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pre\Documents\ML proj\ML_proj_imp_on_FPGA\datasets\"/>
    </mc:Choice>
  </mc:AlternateContent>
  <xr:revisionPtr revIDLastSave="0" documentId="13_ncr:1_{7CCC010E-6687-46AD-8189-3EC7A17CF9C7}" xr6:coauthVersionLast="47" xr6:coauthVersionMax="47" xr10:uidLastSave="{00000000-0000-0000-0000-000000000000}"/>
  <bookViews>
    <workbookView xWindow="-108" yWindow="-108" windowWidth="23256" windowHeight="13896" activeTab="1" xr2:uid="{DE826814-BDFC-44CC-A140-D0DDABF90428}"/>
  </bookViews>
  <sheets>
    <sheet name="SP500" sheetId="1" r:id="rId1"/>
    <sheet name="CRUDE OIL PRICES" sheetId="9" r:id="rId2"/>
    <sheet name="VIX" sheetId="2" r:id="rId3"/>
    <sheet name="DGS10" sheetId="3" r:id="rId4"/>
    <sheet name="T10Y3M" sheetId="4" r:id="rId5"/>
    <sheet name="BAMLC0A4CBBB" sheetId="5" r:id="rId6"/>
    <sheet name="CPIAUCSL" sheetId="6" r:id="rId7"/>
    <sheet name="DFF" sheetId="7" r:id="rId8"/>
    <sheet name="DGS2" sheetId="8" r:id="rId9"/>
  </sheets>
  <definedNames>
    <definedName name="_xlnm._FilterDatabase" localSheetId="0" hidden="1">'SP500'!$A$1:$Q$2516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N19" i="1" s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N35" i="1" s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N51" i="1" s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N67" i="1" s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N83" i="1" s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N99" i="1" s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N115" i="1" s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N131" i="1" s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N147" i="1" s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N163" i="1" s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N179" i="1" s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N195" i="1" s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N211" i="1" s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N227" i="1" s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N243" i="1" s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N259" i="1" s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N275" i="1" s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N291" i="1" s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N307" i="1" s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N323" i="1" s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N339" i="1" s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N355" i="1" s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N371" i="1" s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N387" i="1" s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N403" i="1" s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N419" i="1" s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N435" i="1" s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N451" i="1" s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N467" i="1" s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N483" i="1" s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N499" i="1" s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N515" i="1" s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N531" i="1" s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N547" i="1" s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N563" i="1" s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N579" i="1" s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N595" i="1" s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N611" i="1" s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N627" i="1" s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N643" i="1" s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N659" i="1" s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N675" i="1" s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N691" i="1" s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N707" i="1" s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N723" i="1" s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N739" i="1" s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N755" i="1" s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N771" i="1" s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N787" i="1" s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N803" i="1" s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N819" i="1" s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N835" i="1" s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N851" i="1" s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N867" i="1" s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N883" i="1" s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N899" i="1" s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N915" i="1" s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N931" i="1" s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N947" i="1" s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N963" i="1" s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N979" i="1" s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N995" i="1" s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N1011" i="1" s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N1027" i="1" s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N1043" i="1" s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N1059" i="1" s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N1075" i="1" s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N1091" i="1" s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N1107" i="1" s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N1123" i="1" s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N1139" i="1" s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N1155" i="1" s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N1171" i="1" s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N1187" i="1" s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N1203" i="1" s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N1219" i="1" s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N1235" i="1" s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N1251" i="1" s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N1267" i="1" s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N1283" i="1" s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N1299" i="1" s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N1315" i="1" s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N1331" i="1" s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N1347" i="1" s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N1363" i="1" s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N1378" i="1" s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N1394" i="1" s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N1410" i="1" s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N1426" i="1" s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N1442" i="1" s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N1458" i="1" s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N1474" i="1" s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N1490" i="1" s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N1506" i="1" s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N1522" i="1" s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N1538" i="1" s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N1554" i="1" s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N1570" i="1" s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N1586" i="1" s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N1602" i="1" s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N1618" i="1" s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N1634" i="1" s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N1650" i="1" s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N1666" i="1" s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N1682" i="1" s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N1698" i="1" s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N1714" i="1" s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N1730" i="1" s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N1746" i="1" s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N1762" i="1" s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N1778" i="1" s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N1794" i="1" s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N1810" i="1" s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N1826" i="1" s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N1842" i="1" s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N1858" i="1" s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N1874" i="1" s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N1890" i="1" s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N1906" i="1" s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N1920" i="1" s="1"/>
  <c r="M1921" i="1"/>
  <c r="M1922" i="1"/>
  <c r="N1922" i="1" s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N1939" i="1" s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N1954" i="1" s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N1970" i="1" s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N1986" i="1" s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N2003" i="1" s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N2018" i="1" s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N2034" i="1" s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N2050" i="1" s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N2067" i="1" s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N2082" i="1" s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N2099" i="1" s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N2114" i="1" s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N2130" i="1" s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N2146" i="1" s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N2162" i="1" s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N2178" i="1" s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N2195" i="1" s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N2210" i="1" s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N2226" i="1" s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N2242" i="1" s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N2259" i="1" s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N2274" i="1" s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N2290" i="1" s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N2306" i="1" s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N2323" i="1" s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N2338" i="1" s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N2355" i="1" s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N2370" i="1" s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N2387" i="1" s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N2402" i="1" s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N2418" i="1" s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N2434" i="1" s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N2451" i="1" s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N2466" i="1" s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N2482" i="1" s="1"/>
  <c r="M2483" i="1"/>
  <c r="M2484" i="1"/>
  <c r="M2485" i="1"/>
  <c r="M2486" i="1"/>
  <c r="M2487" i="1"/>
  <c r="M2488" i="1"/>
  <c r="M2489" i="1"/>
  <c r="M2490" i="1"/>
  <c r="M2491" i="1"/>
  <c r="N2492" i="1" s="1"/>
  <c r="M2492" i="1"/>
  <c r="M2493" i="1"/>
  <c r="M2494" i="1"/>
  <c r="M2495" i="1"/>
  <c r="M2496" i="1"/>
  <c r="M2497" i="1"/>
  <c r="M2498" i="1"/>
  <c r="N2498" i="1" s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N2511" i="1" s="1"/>
  <c r="M2512" i="1"/>
  <c r="M2513" i="1"/>
  <c r="M2514" i="1"/>
  <c r="N2514" i="1" s="1"/>
  <c r="M2515" i="1"/>
  <c r="M2516" i="1"/>
  <c r="M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H529" i="1" s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H561" i="1" s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H785" i="1" s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H1041" i="1" s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H1073" i="1" s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H1297" i="1" s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H1394" i="1" s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H1426" i="1" s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H1458" i="1" s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H1490" i="1" s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H1522" i="1" s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H1554" i="1" s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H1586" i="1" s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H1618" i="1" s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H1650" i="1" s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H1682" i="1" s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H1714" i="1" s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H1746" i="1" s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H1778" i="1" s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H1810" i="1" s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H1842" i="1" s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H1874" i="1" s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H1906" i="1" s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H1938" i="1" s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H1970" i="1" s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H2002" i="1" s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H2034" i="1" s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H2066" i="1" s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H2098" i="1" s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H2130" i="1" s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H2162" i="1" s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H2194" i="1" s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H2226" i="1" s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H2258" i="1" s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H2290" i="1" s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H2322" i="1" s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H2346" i="1" s="1"/>
  <c r="G2346" i="1"/>
  <c r="G2347" i="1"/>
  <c r="G2348" i="1"/>
  <c r="G2349" i="1"/>
  <c r="G2350" i="1"/>
  <c r="G2351" i="1"/>
  <c r="G2352" i="1"/>
  <c r="G2353" i="1"/>
  <c r="G2354" i="1"/>
  <c r="H2354" i="1" s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H2378" i="1" s="1"/>
  <c r="G2378" i="1"/>
  <c r="G2379" i="1"/>
  <c r="G2380" i="1"/>
  <c r="G2381" i="1"/>
  <c r="G2382" i="1"/>
  <c r="G2383" i="1"/>
  <c r="G2384" i="1"/>
  <c r="G2385" i="1"/>
  <c r="G2386" i="1"/>
  <c r="H2386" i="1" s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H2407" i="1" s="1"/>
  <c r="G2408" i="1"/>
  <c r="G2409" i="1"/>
  <c r="H2409" i="1" s="1"/>
  <c r="G2410" i="1"/>
  <c r="G2411" i="1"/>
  <c r="G2412" i="1"/>
  <c r="G2413" i="1"/>
  <c r="G2414" i="1"/>
  <c r="G2415" i="1"/>
  <c r="G2416" i="1"/>
  <c r="G2417" i="1"/>
  <c r="G2418" i="1"/>
  <c r="H2418" i="1" s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H2442" i="1" s="1"/>
  <c r="G2442" i="1"/>
  <c r="G2443" i="1"/>
  <c r="G2444" i="1"/>
  <c r="G2445" i="1"/>
  <c r="G2446" i="1"/>
  <c r="G2447" i="1"/>
  <c r="G2448" i="1"/>
  <c r="G2449" i="1"/>
  <c r="G2450" i="1"/>
  <c r="H2450" i="1" s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H2473" i="1" s="1"/>
  <c r="G2474" i="1"/>
  <c r="G2475" i="1"/>
  <c r="G2476" i="1"/>
  <c r="G2477" i="1"/>
  <c r="G2478" i="1"/>
  <c r="G2479" i="1"/>
  <c r="G2480" i="1"/>
  <c r="G2481" i="1"/>
  <c r="G2482" i="1"/>
  <c r="H2482" i="1" s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H2497" i="1" s="1"/>
  <c r="G2498" i="1"/>
  <c r="G2499" i="1"/>
  <c r="G2500" i="1"/>
  <c r="G2501" i="1"/>
  <c r="G2502" i="1"/>
  <c r="G2503" i="1"/>
  <c r="G2504" i="1"/>
  <c r="G2505" i="1"/>
  <c r="H2505" i="1" s="1"/>
  <c r="G2506" i="1"/>
  <c r="G2507" i="1"/>
  <c r="G2508" i="1"/>
  <c r="G2509" i="1"/>
  <c r="G2510" i="1"/>
  <c r="G2511" i="1"/>
  <c r="G2512" i="1"/>
  <c r="H2513" i="1" s="1"/>
  <c r="G2513" i="1"/>
  <c r="G2514" i="1"/>
  <c r="G2515" i="1"/>
  <c r="G2516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F19" i="1" s="1"/>
  <c r="E19" i="1"/>
  <c r="E20" i="1"/>
  <c r="E21" i="1"/>
  <c r="E22" i="1"/>
  <c r="F22" i="1" s="1"/>
  <c r="E23" i="1"/>
  <c r="E24" i="1"/>
  <c r="E25" i="1"/>
  <c r="E26" i="1"/>
  <c r="E27" i="1"/>
  <c r="E28" i="1"/>
  <c r="E29" i="1"/>
  <c r="E30" i="1"/>
  <c r="E31" i="1"/>
  <c r="E32" i="1"/>
  <c r="E33" i="1"/>
  <c r="E34" i="1"/>
  <c r="F35" i="1" s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F50" i="1" s="1"/>
  <c r="E51" i="1"/>
  <c r="E52" i="1"/>
  <c r="E53" i="1"/>
  <c r="E54" i="1"/>
  <c r="F54" i="1" s="1"/>
  <c r="E55" i="1"/>
  <c r="E56" i="1"/>
  <c r="E57" i="1"/>
  <c r="E58" i="1"/>
  <c r="E59" i="1"/>
  <c r="E60" i="1"/>
  <c r="E61" i="1"/>
  <c r="E62" i="1"/>
  <c r="E63" i="1"/>
  <c r="E64" i="1"/>
  <c r="E65" i="1"/>
  <c r="E66" i="1"/>
  <c r="F66" i="1" s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F83" i="1" s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F99" i="1" s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F119" i="1" s="1"/>
  <c r="E119" i="1"/>
  <c r="E120" i="1"/>
  <c r="E121" i="1"/>
  <c r="E122" i="1"/>
  <c r="E123" i="1"/>
  <c r="E124" i="1"/>
  <c r="E125" i="1"/>
  <c r="E126" i="1"/>
  <c r="E127" i="1"/>
  <c r="E128" i="1"/>
  <c r="E129" i="1"/>
  <c r="E130" i="1"/>
  <c r="F130" i="1" s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F147" i="1" s="1"/>
  <c r="E147" i="1"/>
  <c r="E148" i="1"/>
  <c r="E149" i="1"/>
  <c r="E150" i="1"/>
  <c r="F151" i="1" s="1"/>
  <c r="E151" i="1"/>
  <c r="E152" i="1"/>
  <c r="E153" i="1"/>
  <c r="E154" i="1"/>
  <c r="E155" i="1"/>
  <c r="E156" i="1"/>
  <c r="E157" i="1"/>
  <c r="E158" i="1"/>
  <c r="E159" i="1"/>
  <c r="E160" i="1"/>
  <c r="E161" i="1"/>
  <c r="E162" i="1"/>
  <c r="F162" i="1" s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F178" i="1" s="1"/>
  <c r="E179" i="1"/>
  <c r="E180" i="1"/>
  <c r="E181" i="1"/>
  <c r="E182" i="1"/>
  <c r="F183" i="1" s="1"/>
  <c r="E183" i="1"/>
  <c r="E184" i="1"/>
  <c r="E185" i="1"/>
  <c r="E186" i="1"/>
  <c r="E187" i="1"/>
  <c r="E188" i="1"/>
  <c r="E189" i="1"/>
  <c r="E190" i="1"/>
  <c r="E191" i="1"/>
  <c r="E192" i="1"/>
  <c r="E193" i="1"/>
  <c r="E194" i="1"/>
  <c r="F194" i="1" s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F211" i="1" s="1"/>
  <c r="E211" i="1"/>
  <c r="E212" i="1"/>
  <c r="E213" i="1"/>
  <c r="E214" i="1"/>
  <c r="F215" i="1" s="1"/>
  <c r="E215" i="1"/>
  <c r="E216" i="1"/>
  <c r="E217" i="1"/>
  <c r="E218" i="1"/>
  <c r="E219" i="1"/>
  <c r="E220" i="1"/>
  <c r="E221" i="1"/>
  <c r="E222" i="1"/>
  <c r="E223" i="1"/>
  <c r="E224" i="1"/>
  <c r="E225" i="1"/>
  <c r="E226" i="1"/>
  <c r="F226" i="1" s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F242" i="1" s="1"/>
  <c r="E243" i="1"/>
  <c r="E244" i="1"/>
  <c r="E245" i="1"/>
  <c r="E246" i="1"/>
  <c r="F247" i="1" s="1"/>
  <c r="E247" i="1"/>
  <c r="E248" i="1"/>
  <c r="E249" i="1"/>
  <c r="E250" i="1"/>
  <c r="E251" i="1"/>
  <c r="E252" i="1"/>
  <c r="E253" i="1"/>
  <c r="E254" i="1"/>
  <c r="E255" i="1"/>
  <c r="E256" i="1"/>
  <c r="E257" i="1"/>
  <c r="E258" i="1"/>
  <c r="F258" i="1" s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F275" i="1" s="1"/>
  <c r="E275" i="1"/>
  <c r="E276" i="1"/>
  <c r="E277" i="1"/>
  <c r="E278" i="1"/>
  <c r="F278" i="1" s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F307" i="1" s="1"/>
  <c r="E307" i="1"/>
  <c r="E308" i="1"/>
  <c r="E309" i="1"/>
  <c r="E310" i="1"/>
  <c r="F311" i="1" s="1"/>
  <c r="E311" i="1"/>
  <c r="E312" i="1"/>
  <c r="E313" i="1"/>
  <c r="E314" i="1"/>
  <c r="E315" i="1"/>
  <c r="E316" i="1"/>
  <c r="E317" i="1"/>
  <c r="E318" i="1"/>
  <c r="E319" i="1"/>
  <c r="E320" i="1"/>
  <c r="E321" i="1"/>
  <c r="E322" i="1"/>
  <c r="F323" i="1" s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F338" i="1" s="1"/>
  <c r="E339" i="1"/>
  <c r="E340" i="1"/>
  <c r="E341" i="1"/>
  <c r="E342" i="1"/>
  <c r="F342" i="1" s="1"/>
  <c r="E343" i="1"/>
  <c r="E344" i="1"/>
  <c r="E345" i="1"/>
  <c r="E346" i="1"/>
  <c r="E347" i="1"/>
  <c r="E348" i="1"/>
  <c r="E349" i="1"/>
  <c r="E350" i="1"/>
  <c r="E351" i="1"/>
  <c r="E352" i="1"/>
  <c r="E353" i="1"/>
  <c r="E354" i="1"/>
  <c r="F354" i="1" s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F371" i="1" s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F386" i="1" s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F418" i="1" s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F434" i="1" s="1"/>
  <c r="E435" i="1"/>
  <c r="E436" i="1"/>
  <c r="E437" i="1"/>
  <c r="E438" i="1"/>
  <c r="F438" i="1" s="1"/>
  <c r="E439" i="1"/>
  <c r="E440" i="1"/>
  <c r="E441" i="1"/>
  <c r="E442" i="1"/>
  <c r="E443" i="1"/>
  <c r="E444" i="1"/>
  <c r="E445" i="1"/>
  <c r="E446" i="1"/>
  <c r="E447" i="1"/>
  <c r="E448" i="1"/>
  <c r="E449" i="1"/>
  <c r="E450" i="1"/>
  <c r="F450" i="1" s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F467" i="1" s="1"/>
  <c r="E467" i="1"/>
  <c r="E468" i="1"/>
  <c r="E469" i="1"/>
  <c r="E470" i="1"/>
  <c r="F470" i="1" s="1"/>
  <c r="E471" i="1"/>
  <c r="E472" i="1"/>
  <c r="E473" i="1"/>
  <c r="E474" i="1"/>
  <c r="E475" i="1"/>
  <c r="E476" i="1"/>
  <c r="E477" i="1"/>
  <c r="E478" i="1"/>
  <c r="E479" i="1"/>
  <c r="E480" i="1"/>
  <c r="E481" i="1"/>
  <c r="E482" i="1"/>
  <c r="F482" i="1" s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F499" i="1" s="1"/>
  <c r="E499" i="1"/>
  <c r="E500" i="1"/>
  <c r="E501" i="1"/>
  <c r="E502" i="1"/>
  <c r="F503" i="1" s="1"/>
  <c r="E503" i="1"/>
  <c r="E504" i="1"/>
  <c r="E505" i="1"/>
  <c r="E506" i="1"/>
  <c r="E507" i="1"/>
  <c r="E508" i="1"/>
  <c r="E509" i="1"/>
  <c r="E510" i="1"/>
  <c r="E511" i="1"/>
  <c r="E512" i="1"/>
  <c r="E513" i="1"/>
  <c r="E514" i="1"/>
  <c r="F515" i="1" s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F530" i="1" s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F563" i="1" s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F579" i="1" s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F595" i="1" s="1"/>
  <c r="E595" i="1"/>
  <c r="E596" i="1"/>
  <c r="E597" i="1"/>
  <c r="E598" i="1"/>
  <c r="F599" i="1" s="1"/>
  <c r="E599" i="1"/>
  <c r="E600" i="1"/>
  <c r="E601" i="1"/>
  <c r="E602" i="1"/>
  <c r="E603" i="1"/>
  <c r="E604" i="1"/>
  <c r="E605" i="1"/>
  <c r="E606" i="1"/>
  <c r="E607" i="1"/>
  <c r="E608" i="1"/>
  <c r="E609" i="1"/>
  <c r="E610" i="1"/>
  <c r="F611" i="1" s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F627" i="1" s="1"/>
  <c r="E627" i="1"/>
  <c r="E628" i="1"/>
  <c r="E629" i="1"/>
  <c r="E630" i="1"/>
  <c r="F631" i="1" s="1"/>
  <c r="E631" i="1"/>
  <c r="E632" i="1"/>
  <c r="E633" i="1"/>
  <c r="E634" i="1"/>
  <c r="E635" i="1"/>
  <c r="E636" i="1"/>
  <c r="E637" i="1"/>
  <c r="E638" i="1"/>
  <c r="E639" i="1"/>
  <c r="E640" i="1"/>
  <c r="E641" i="1"/>
  <c r="E642" i="1"/>
  <c r="F642" i="1" s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F658" i="1" s="1"/>
  <c r="E659" i="1"/>
  <c r="E660" i="1"/>
  <c r="E661" i="1"/>
  <c r="E662" i="1"/>
  <c r="F662" i="1" s="1"/>
  <c r="E663" i="1"/>
  <c r="E664" i="1"/>
  <c r="E665" i="1"/>
  <c r="E666" i="1"/>
  <c r="E667" i="1"/>
  <c r="E668" i="1"/>
  <c r="E669" i="1"/>
  <c r="E670" i="1"/>
  <c r="E671" i="1"/>
  <c r="E672" i="1"/>
  <c r="E673" i="1"/>
  <c r="E674" i="1"/>
  <c r="F674" i="1" s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F690" i="1" s="1"/>
  <c r="E691" i="1"/>
  <c r="E692" i="1"/>
  <c r="E693" i="1"/>
  <c r="E694" i="1"/>
  <c r="F694" i="1" s="1"/>
  <c r="E695" i="1"/>
  <c r="E696" i="1"/>
  <c r="E697" i="1"/>
  <c r="E698" i="1"/>
  <c r="E699" i="1"/>
  <c r="E700" i="1"/>
  <c r="E701" i="1"/>
  <c r="E702" i="1"/>
  <c r="E703" i="1"/>
  <c r="E704" i="1"/>
  <c r="E705" i="1"/>
  <c r="E706" i="1"/>
  <c r="F706" i="1" s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F727" i="1" s="1"/>
  <c r="E727" i="1"/>
  <c r="E728" i="1"/>
  <c r="E729" i="1"/>
  <c r="E730" i="1"/>
  <c r="E731" i="1"/>
  <c r="E732" i="1"/>
  <c r="E733" i="1"/>
  <c r="E734" i="1"/>
  <c r="E735" i="1"/>
  <c r="E736" i="1"/>
  <c r="E737" i="1"/>
  <c r="E738" i="1"/>
  <c r="F739" i="1" s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F754" i="1" s="1"/>
  <c r="E755" i="1"/>
  <c r="E756" i="1"/>
  <c r="E757" i="1"/>
  <c r="E758" i="1"/>
  <c r="F758" i="1" s="1"/>
  <c r="E759" i="1"/>
  <c r="E760" i="1"/>
  <c r="E761" i="1"/>
  <c r="E762" i="1"/>
  <c r="E763" i="1"/>
  <c r="E764" i="1"/>
  <c r="E765" i="1"/>
  <c r="E766" i="1"/>
  <c r="E767" i="1"/>
  <c r="E768" i="1"/>
  <c r="E769" i="1"/>
  <c r="E770" i="1"/>
  <c r="F771" i="1" s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F787" i="1" s="1"/>
  <c r="E787" i="1"/>
  <c r="E788" i="1"/>
  <c r="E789" i="1"/>
  <c r="E790" i="1"/>
  <c r="F790" i="1" s="1"/>
  <c r="E791" i="1"/>
  <c r="E792" i="1"/>
  <c r="E793" i="1"/>
  <c r="E794" i="1"/>
  <c r="E795" i="1"/>
  <c r="E796" i="1"/>
  <c r="E797" i="1"/>
  <c r="E798" i="1"/>
  <c r="E799" i="1"/>
  <c r="E800" i="1"/>
  <c r="F800" i="1" s="1"/>
  <c r="E801" i="1"/>
  <c r="E802" i="1"/>
  <c r="F802" i="1" s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F818" i="1" s="1"/>
  <c r="E819" i="1"/>
  <c r="E820" i="1"/>
  <c r="E821" i="1"/>
  <c r="E822" i="1"/>
  <c r="F823" i="1" s="1"/>
  <c r="E823" i="1"/>
  <c r="E824" i="1"/>
  <c r="E825" i="1"/>
  <c r="E826" i="1"/>
  <c r="E827" i="1"/>
  <c r="E828" i="1"/>
  <c r="E829" i="1"/>
  <c r="E830" i="1"/>
  <c r="E831" i="1"/>
  <c r="E832" i="1"/>
  <c r="F832" i="1" s="1"/>
  <c r="E833" i="1"/>
  <c r="E834" i="1"/>
  <c r="F835" i="1" s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F851" i="1" s="1"/>
  <c r="E851" i="1"/>
  <c r="E852" i="1"/>
  <c r="E853" i="1"/>
  <c r="E854" i="1"/>
  <c r="F854" i="1" s="1"/>
  <c r="E855" i="1"/>
  <c r="E856" i="1"/>
  <c r="E857" i="1"/>
  <c r="E858" i="1"/>
  <c r="E859" i="1"/>
  <c r="E860" i="1"/>
  <c r="E861" i="1"/>
  <c r="E862" i="1"/>
  <c r="E863" i="1"/>
  <c r="E864" i="1"/>
  <c r="E865" i="1"/>
  <c r="E866" i="1"/>
  <c r="F867" i="1" s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F883" i="1" s="1"/>
  <c r="E883" i="1"/>
  <c r="E884" i="1"/>
  <c r="E885" i="1"/>
  <c r="E886" i="1"/>
  <c r="F886" i="1" s="1"/>
  <c r="E887" i="1"/>
  <c r="E888" i="1"/>
  <c r="E889" i="1"/>
  <c r="E890" i="1"/>
  <c r="E891" i="1"/>
  <c r="E892" i="1"/>
  <c r="E893" i="1"/>
  <c r="E894" i="1"/>
  <c r="E895" i="1"/>
  <c r="E896" i="1"/>
  <c r="E897" i="1"/>
  <c r="E898" i="1"/>
  <c r="F898" i="1" s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F914" i="1" s="1"/>
  <c r="E915" i="1"/>
  <c r="E916" i="1"/>
  <c r="E917" i="1"/>
  <c r="E918" i="1"/>
  <c r="F918" i="1" s="1"/>
  <c r="E919" i="1"/>
  <c r="E920" i="1"/>
  <c r="E921" i="1"/>
  <c r="E922" i="1"/>
  <c r="E923" i="1"/>
  <c r="E924" i="1"/>
  <c r="E925" i="1"/>
  <c r="E926" i="1"/>
  <c r="E927" i="1"/>
  <c r="E928" i="1"/>
  <c r="F928" i="1" s="1"/>
  <c r="E929" i="1"/>
  <c r="E930" i="1"/>
  <c r="F930" i="1" s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F946" i="1" s="1"/>
  <c r="E947" i="1"/>
  <c r="E948" i="1"/>
  <c r="E949" i="1"/>
  <c r="E950" i="1"/>
  <c r="F950" i="1" s="1"/>
  <c r="E951" i="1"/>
  <c r="E952" i="1"/>
  <c r="E953" i="1"/>
  <c r="E954" i="1"/>
  <c r="E955" i="1"/>
  <c r="E956" i="1"/>
  <c r="E957" i="1"/>
  <c r="E958" i="1"/>
  <c r="E959" i="1"/>
  <c r="E960" i="1"/>
  <c r="F960" i="1" s="1"/>
  <c r="E961" i="1"/>
  <c r="E962" i="1"/>
  <c r="F962" i="1" s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F982" i="1" s="1"/>
  <c r="E983" i="1"/>
  <c r="E984" i="1"/>
  <c r="E985" i="1"/>
  <c r="E986" i="1"/>
  <c r="E987" i="1"/>
  <c r="E988" i="1"/>
  <c r="E989" i="1"/>
  <c r="E990" i="1"/>
  <c r="E991" i="1"/>
  <c r="E992" i="1"/>
  <c r="F992" i="1" s="1"/>
  <c r="E993" i="1"/>
  <c r="E994" i="1"/>
  <c r="F994" i="1" s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F1010" i="1" s="1"/>
  <c r="E1011" i="1"/>
  <c r="E1012" i="1"/>
  <c r="E1013" i="1"/>
  <c r="E1014" i="1"/>
  <c r="F1015" i="1" s="1"/>
  <c r="E1015" i="1"/>
  <c r="E1016" i="1"/>
  <c r="E1017" i="1"/>
  <c r="E1018" i="1"/>
  <c r="E1019" i="1"/>
  <c r="E1020" i="1"/>
  <c r="E1021" i="1"/>
  <c r="E1022" i="1"/>
  <c r="E1023" i="1"/>
  <c r="E1024" i="1"/>
  <c r="F1024" i="1" s="1"/>
  <c r="E1025" i="1"/>
  <c r="E1026" i="1"/>
  <c r="F1027" i="1" s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F1043" i="1" s="1"/>
  <c r="E1043" i="1"/>
  <c r="E1044" i="1"/>
  <c r="E1045" i="1"/>
  <c r="E1046" i="1"/>
  <c r="F1046" i="1" s="1"/>
  <c r="E1047" i="1"/>
  <c r="E1048" i="1"/>
  <c r="E1049" i="1"/>
  <c r="E1050" i="1"/>
  <c r="E1051" i="1"/>
  <c r="E1052" i="1"/>
  <c r="E1053" i="1"/>
  <c r="E1054" i="1"/>
  <c r="E1055" i="1"/>
  <c r="E1056" i="1"/>
  <c r="F1056" i="1" s="1"/>
  <c r="E1057" i="1"/>
  <c r="E1058" i="1"/>
  <c r="F1059" i="1" s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F1075" i="1" s="1"/>
  <c r="E1075" i="1"/>
  <c r="E1076" i="1"/>
  <c r="E1077" i="1"/>
  <c r="E1078" i="1"/>
  <c r="F1078" i="1" s="1"/>
  <c r="E1079" i="1"/>
  <c r="E1080" i="1"/>
  <c r="E1081" i="1"/>
  <c r="E1082" i="1"/>
  <c r="E1083" i="1"/>
  <c r="E1084" i="1"/>
  <c r="E1085" i="1"/>
  <c r="E1086" i="1"/>
  <c r="E1087" i="1"/>
  <c r="E1088" i="1"/>
  <c r="F1088" i="1" s="1"/>
  <c r="E1089" i="1"/>
  <c r="E1090" i="1"/>
  <c r="F1090" i="1" s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F1107" i="1" s="1"/>
  <c r="E1107" i="1"/>
  <c r="E1108" i="1"/>
  <c r="E1109" i="1"/>
  <c r="E1110" i="1"/>
  <c r="F1111" i="1" s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F1123" i="1" s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F1138" i="1" s="1"/>
  <c r="E1139" i="1"/>
  <c r="E1140" i="1"/>
  <c r="E1141" i="1"/>
  <c r="E1142" i="1"/>
  <c r="F1143" i="1" s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F1155" i="1" s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F1171" i="1" s="1"/>
  <c r="E1171" i="1"/>
  <c r="E1172" i="1"/>
  <c r="E1173" i="1"/>
  <c r="E1174" i="1"/>
  <c r="F1174" i="1" s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F1194" i="1" s="1"/>
  <c r="E1195" i="1"/>
  <c r="E1196" i="1"/>
  <c r="E1197" i="1"/>
  <c r="E1198" i="1"/>
  <c r="E1199" i="1"/>
  <c r="E1200" i="1"/>
  <c r="E1201" i="1"/>
  <c r="E1202" i="1"/>
  <c r="F1203" i="1" s="1"/>
  <c r="E1203" i="1"/>
  <c r="E1204" i="1"/>
  <c r="E1205" i="1"/>
  <c r="E1206" i="1"/>
  <c r="F1206" i="1" s="1"/>
  <c r="E1207" i="1"/>
  <c r="E1208" i="1"/>
  <c r="E1209" i="1"/>
  <c r="E1210" i="1"/>
  <c r="E1211" i="1"/>
  <c r="E1212" i="1"/>
  <c r="E1213" i="1"/>
  <c r="E1214" i="1"/>
  <c r="E1215" i="1"/>
  <c r="E1216" i="1"/>
  <c r="F1216" i="1" s="1"/>
  <c r="E1217" i="1"/>
  <c r="E1218" i="1"/>
  <c r="F1219" i="1" s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F1235" i="1" s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F1248" i="1" s="1"/>
  <c r="E1249" i="1"/>
  <c r="E1250" i="1"/>
  <c r="F1251" i="1" s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F1267" i="1" s="1"/>
  <c r="E1267" i="1"/>
  <c r="E1268" i="1"/>
  <c r="E1269" i="1"/>
  <c r="E1270" i="1"/>
  <c r="F1270" i="1" s="1"/>
  <c r="E1271" i="1"/>
  <c r="E1272" i="1"/>
  <c r="E1273" i="1"/>
  <c r="E1274" i="1"/>
  <c r="E1275" i="1"/>
  <c r="E1276" i="1"/>
  <c r="E1277" i="1"/>
  <c r="E1278" i="1"/>
  <c r="E1279" i="1"/>
  <c r="E1280" i="1"/>
  <c r="F1280" i="1" s="1"/>
  <c r="E1281" i="1"/>
  <c r="E1282" i="1"/>
  <c r="F1283" i="1" s="1"/>
  <c r="E1283" i="1"/>
  <c r="E1284" i="1"/>
  <c r="E1285" i="1"/>
  <c r="E1286" i="1"/>
  <c r="E1287" i="1"/>
  <c r="E1288" i="1"/>
  <c r="E1289" i="1"/>
  <c r="E1290" i="1"/>
  <c r="F1291" i="1" s="1"/>
  <c r="E1291" i="1"/>
  <c r="E1292" i="1"/>
  <c r="E1293" i="1"/>
  <c r="E1294" i="1"/>
  <c r="E1295" i="1"/>
  <c r="E1296" i="1"/>
  <c r="E1297" i="1"/>
  <c r="E1298" i="1"/>
  <c r="F1299" i="1" s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F1312" i="1" s="1"/>
  <c r="E1313" i="1"/>
  <c r="E1314" i="1"/>
  <c r="F1315" i="1" s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F1331" i="1" s="1"/>
  <c r="E1331" i="1"/>
  <c r="E1332" i="1"/>
  <c r="E1333" i="1"/>
  <c r="E1334" i="1"/>
  <c r="F1335" i="1" s="1"/>
  <c r="E1335" i="1"/>
  <c r="E1336" i="1"/>
  <c r="E1337" i="1"/>
  <c r="E1338" i="1"/>
  <c r="E1339" i="1"/>
  <c r="E1340" i="1"/>
  <c r="E1341" i="1"/>
  <c r="E1342" i="1"/>
  <c r="E1343" i="1"/>
  <c r="E1344" i="1"/>
  <c r="F1344" i="1" s="1"/>
  <c r="E1345" i="1"/>
  <c r="E1346" i="1"/>
  <c r="F1347" i="1" s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F1363" i="1" s="1"/>
  <c r="E1363" i="1"/>
  <c r="E1364" i="1"/>
  <c r="E1365" i="1"/>
  <c r="E1366" i="1"/>
  <c r="F1366" i="1" s="1"/>
  <c r="E1367" i="1"/>
  <c r="E1368" i="1"/>
  <c r="E1369" i="1"/>
  <c r="E1370" i="1"/>
  <c r="E1371" i="1"/>
  <c r="E1372" i="1"/>
  <c r="E1373" i="1"/>
  <c r="E1374" i="1"/>
  <c r="E1375" i="1"/>
  <c r="E1376" i="1"/>
  <c r="F1376" i="1" s="1"/>
  <c r="E1377" i="1"/>
  <c r="E1378" i="1"/>
  <c r="F1379" i="1" s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F1395" i="1" s="1"/>
  <c r="E1395" i="1"/>
  <c r="E1396" i="1"/>
  <c r="E1397" i="1"/>
  <c r="E1398" i="1"/>
  <c r="F1399" i="1" s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F1411" i="1" s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F1427" i="1" s="1"/>
  <c r="E1427" i="1"/>
  <c r="E1428" i="1"/>
  <c r="E1429" i="1"/>
  <c r="E1430" i="1"/>
  <c r="F1431" i="1" s="1"/>
  <c r="E1431" i="1"/>
  <c r="E1432" i="1"/>
  <c r="E1433" i="1"/>
  <c r="E1434" i="1"/>
  <c r="E1435" i="1"/>
  <c r="E1436" i="1"/>
  <c r="E1437" i="1"/>
  <c r="E1438" i="1"/>
  <c r="E1439" i="1"/>
  <c r="E1440" i="1"/>
  <c r="F1440" i="1" s="1"/>
  <c r="E1441" i="1"/>
  <c r="E1442" i="1"/>
  <c r="F1443" i="1" s="1"/>
  <c r="E1443" i="1"/>
  <c r="E1444" i="1"/>
  <c r="E1445" i="1"/>
  <c r="E1446" i="1"/>
  <c r="E1447" i="1"/>
  <c r="E1448" i="1"/>
  <c r="E1449" i="1"/>
  <c r="E1450" i="1"/>
  <c r="F1450" i="1" s="1"/>
  <c r="E1451" i="1"/>
  <c r="E1452" i="1"/>
  <c r="E1453" i="1"/>
  <c r="E1454" i="1"/>
  <c r="F1454" i="1" s="1"/>
  <c r="E1455" i="1"/>
  <c r="E1456" i="1"/>
  <c r="E1457" i="1"/>
  <c r="E1458" i="1"/>
  <c r="E1459" i="1"/>
  <c r="E1460" i="1"/>
  <c r="E1461" i="1"/>
  <c r="E1462" i="1"/>
  <c r="F1463" i="1" s="1"/>
  <c r="E1463" i="1"/>
  <c r="E1464" i="1"/>
  <c r="E1465" i="1"/>
  <c r="E1466" i="1"/>
  <c r="E1467" i="1"/>
  <c r="E1468" i="1"/>
  <c r="E1469" i="1"/>
  <c r="E1470" i="1"/>
  <c r="E1471" i="1"/>
  <c r="E1472" i="1"/>
  <c r="F1472" i="1" s="1"/>
  <c r="E1473" i="1"/>
  <c r="E1474" i="1"/>
  <c r="F1475" i="1" s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F1491" i="1" s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F1504" i="1" s="1"/>
  <c r="E1505" i="1"/>
  <c r="E1506" i="1"/>
  <c r="F1507" i="1" s="1"/>
  <c r="E1507" i="1"/>
  <c r="E1508" i="1"/>
  <c r="E1509" i="1"/>
  <c r="E1510" i="1"/>
  <c r="E1511" i="1"/>
  <c r="E1512" i="1"/>
  <c r="E1513" i="1"/>
  <c r="E1514" i="1"/>
  <c r="F1514" i="1" s="1"/>
  <c r="E1515" i="1"/>
  <c r="E1516" i="1"/>
  <c r="E1517" i="1"/>
  <c r="E1518" i="1"/>
  <c r="F1518" i="1" s="1"/>
  <c r="E1519" i="1"/>
  <c r="E1520" i="1"/>
  <c r="E1521" i="1"/>
  <c r="E1522" i="1"/>
  <c r="F1523" i="1" s="1"/>
  <c r="E1523" i="1"/>
  <c r="E1524" i="1"/>
  <c r="E1525" i="1"/>
  <c r="E1526" i="1"/>
  <c r="F1526" i="1" s="1"/>
  <c r="E1527" i="1"/>
  <c r="E1528" i="1"/>
  <c r="E1529" i="1"/>
  <c r="E1530" i="1"/>
  <c r="E1531" i="1"/>
  <c r="E1532" i="1"/>
  <c r="E1533" i="1"/>
  <c r="E1534" i="1"/>
  <c r="E1535" i="1"/>
  <c r="E1536" i="1"/>
  <c r="F1536" i="1" s="1"/>
  <c r="E1537" i="1"/>
  <c r="E1538" i="1"/>
  <c r="F1539" i="1" s="1"/>
  <c r="E1539" i="1"/>
  <c r="E1540" i="1"/>
  <c r="F1540" i="1" s="1"/>
  <c r="E1541" i="1"/>
  <c r="E1542" i="1"/>
  <c r="E1543" i="1"/>
  <c r="E1544" i="1"/>
  <c r="E1545" i="1"/>
  <c r="E1546" i="1"/>
  <c r="F1546" i="1" s="1"/>
  <c r="E1547" i="1"/>
  <c r="E1548" i="1"/>
  <c r="E1549" i="1"/>
  <c r="E1550" i="1"/>
  <c r="E1551" i="1"/>
  <c r="E1552" i="1"/>
  <c r="E1553" i="1"/>
  <c r="E1554" i="1"/>
  <c r="F1555" i="1" s="1"/>
  <c r="E1555" i="1"/>
  <c r="E1556" i="1"/>
  <c r="E1557" i="1"/>
  <c r="E1558" i="1"/>
  <c r="F1558" i="1" s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F1571" i="1" s="1"/>
  <c r="E1571" i="1"/>
  <c r="E1572" i="1"/>
  <c r="E1573" i="1"/>
  <c r="E1574" i="1"/>
  <c r="F1575" i="1" s="1"/>
  <c r="E1575" i="1"/>
  <c r="E1576" i="1"/>
  <c r="E1577" i="1"/>
  <c r="E1578" i="1"/>
  <c r="F1579" i="1" s="1"/>
  <c r="E1579" i="1"/>
  <c r="E1580" i="1"/>
  <c r="E1581" i="1"/>
  <c r="E1582" i="1"/>
  <c r="E1583" i="1"/>
  <c r="E1584" i="1"/>
  <c r="E1585" i="1"/>
  <c r="E1586" i="1"/>
  <c r="F1587" i="1" s="1"/>
  <c r="E1587" i="1"/>
  <c r="E1588" i="1"/>
  <c r="E1589" i="1"/>
  <c r="E1590" i="1"/>
  <c r="F1590" i="1" s="1"/>
  <c r="E1591" i="1"/>
  <c r="E1592" i="1"/>
  <c r="E1593" i="1"/>
  <c r="E1594" i="1"/>
  <c r="E1595" i="1"/>
  <c r="E1596" i="1"/>
  <c r="E1597" i="1"/>
  <c r="E1598" i="1"/>
  <c r="E1599" i="1"/>
  <c r="E1600" i="1"/>
  <c r="F1600" i="1" s="1"/>
  <c r="E1601" i="1"/>
  <c r="E1602" i="1"/>
  <c r="F1603" i="1" s="1"/>
  <c r="E1603" i="1"/>
  <c r="E1604" i="1"/>
  <c r="E1605" i="1"/>
  <c r="E1606" i="1"/>
  <c r="E1607" i="1"/>
  <c r="E1608" i="1"/>
  <c r="E1609" i="1"/>
  <c r="E1610" i="1"/>
  <c r="F1611" i="1" s="1"/>
  <c r="E1611" i="1"/>
  <c r="E1612" i="1"/>
  <c r="E1613" i="1"/>
  <c r="E1614" i="1"/>
  <c r="E1615" i="1"/>
  <c r="E1616" i="1"/>
  <c r="E1617" i="1"/>
  <c r="E1618" i="1"/>
  <c r="F1619" i="1" s="1"/>
  <c r="E1619" i="1"/>
  <c r="E1620" i="1"/>
  <c r="E1621" i="1"/>
  <c r="E1622" i="1"/>
  <c r="F1622" i="1" s="1"/>
  <c r="E1623" i="1"/>
  <c r="E1624" i="1"/>
  <c r="E1625" i="1"/>
  <c r="F1625" i="1" s="1"/>
  <c r="E1626" i="1"/>
  <c r="E1627" i="1"/>
  <c r="E1628" i="1"/>
  <c r="E1629" i="1"/>
  <c r="E1630" i="1"/>
  <c r="E1631" i="1"/>
  <c r="E1632" i="1"/>
  <c r="F1632" i="1" s="1"/>
  <c r="E1633" i="1"/>
  <c r="E1634" i="1"/>
  <c r="F1635" i="1" s="1"/>
  <c r="E1635" i="1"/>
  <c r="E1636" i="1"/>
  <c r="F1637" i="1" s="1"/>
  <c r="E1637" i="1"/>
  <c r="E1638" i="1"/>
  <c r="E1639" i="1"/>
  <c r="E1640" i="1"/>
  <c r="E1641" i="1"/>
  <c r="E1642" i="1"/>
  <c r="E1643" i="1"/>
  <c r="E1644" i="1"/>
  <c r="F1644" i="1" s="1"/>
  <c r="E1645" i="1"/>
  <c r="E1646" i="1"/>
  <c r="F1646" i="1" s="1"/>
  <c r="E1647" i="1"/>
  <c r="E1648" i="1"/>
  <c r="E1649" i="1"/>
  <c r="E1650" i="1"/>
  <c r="F1651" i="1" s="1"/>
  <c r="E1651" i="1"/>
  <c r="E1652" i="1"/>
  <c r="E1653" i="1"/>
  <c r="E1654" i="1"/>
  <c r="F1654" i="1" s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F1667" i="1" s="1"/>
  <c r="E1667" i="1"/>
  <c r="E1668" i="1"/>
  <c r="F1668" i="1" s="1"/>
  <c r="E1669" i="1"/>
  <c r="E1670" i="1"/>
  <c r="F1671" i="1" s="1"/>
  <c r="E1671" i="1"/>
  <c r="E1672" i="1"/>
  <c r="E1673" i="1"/>
  <c r="E1674" i="1"/>
  <c r="F1675" i="1" s="1"/>
  <c r="E1675" i="1"/>
  <c r="E1676" i="1"/>
  <c r="E1677" i="1"/>
  <c r="E1678" i="1"/>
  <c r="F1678" i="1" s="1"/>
  <c r="E1679" i="1"/>
  <c r="E1680" i="1"/>
  <c r="E1681" i="1"/>
  <c r="E1682" i="1"/>
  <c r="F1683" i="1" s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F1696" i="1" s="1"/>
  <c r="E1697" i="1"/>
  <c r="E1698" i="1"/>
  <c r="F1699" i="1" s="1"/>
  <c r="E1699" i="1"/>
  <c r="E1700" i="1"/>
  <c r="E1701" i="1"/>
  <c r="E1702" i="1"/>
  <c r="E1703" i="1"/>
  <c r="E1704" i="1"/>
  <c r="E1705" i="1"/>
  <c r="E1706" i="1"/>
  <c r="F1706" i="1" s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F1719" i="1" s="1"/>
  <c r="E1719" i="1"/>
  <c r="E1720" i="1"/>
  <c r="E1721" i="1"/>
  <c r="E1722" i="1"/>
  <c r="E1723" i="1"/>
  <c r="E1724" i="1"/>
  <c r="E1725" i="1"/>
  <c r="E1726" i="1"/>
  <c r="E1727" i="1"/>
  <c r="E1728" i="1"/>
  <c r="F1728" i="1" s="1"/>
  <c r="E1729" i="1"/>
  <c r="E1730" i="1"/>
  <c r="F1731" i="1" s="1"/>
  <c r="E1731" i="1"/>
  <c r="E1732" i="1"/>
  <c r="E1733" i="1"/>
  <c r="E1734" i="1"/>
  <c r="E1735" i="1"/>
  <c r="E1736" i="1"/>
  <c r="E1737" i="1"/>
  <c r="F1737" i="1" s="1"/>
  <c r="E1738" i="1"/>
  <c r="F1738" i="1" s="1"/>
  <c r="E1739" i="1"/>
  <c r="E1740" i="1"/>
  <c r="F1740" i="1" s="1"/>
  <c r="E1741" i="1"/>
  <c r="E1742" i="1"/>
  <c r="F1742" i="1" s="1"/>
  <c r="E1743" i="1"/>
  <c r="E1744" i="1"/>
  <c r="E1745" i="1"/>
  <c r="E1746" i="1"/>
  <c r="F1747" i="1" s="1"/>
  <c r="E1747" i="1"/>
  <c r="E1748" i="1"/>
  <c r="E1749" i="1"/>
  <c r="E1750" i="1"/>
  <c r="F1750" i="1" s="1"/>
  <c r="E1751" i="1"/>
  <c r="E1752" i="1"/>
  <c r="E1753" i="1"/>
  <c r="E1754" i="1"/>
  <c r="E1755" i="1"/>
  <c r="E1756" i="1"/>
  <c r="E1757" i="1"/>
  <c r="E1758" i="1"/>
  <c r="E1759" i="1"/>
  <c r="E1760" i="1"/>
  <c r="E1761" i="1"/>
  <c r="F1761" i="1" s="1"/>
  <c r="E1762" i="1"/>
  <c r="F1763" i="1" s="1"/>
  <c r="E1763" i="1"/>
  <c r="E1764" i="1"/>
  <c r="F1764" i="1" s="1"/>
  <c r="E1765" i="1"/>
  <c r="E1766" i="1"/>
  <c r="F1766" i="1" s="1"/>
  <c r="E1767" i="1"/>
  <c r="E1768" i="1"/>
  <c r="E1769" i="1"/>
  <c r="E1770" i="1"/>
  <c r="F1770" i="1" s="1"/>
  <c r="E1771" i="1"/>
  <c r="E1772" i="1"/>
  <c r="E1773" i="1"/>
  <c r="E1774" i="1"/>
  <c r="F1775" i="1" s="1"/>
  <c r="E1775" i="1"/>
  <c r="E1776" i="1"/>
  <c r="E1777" i="1"/>
  <c r="E1778" i="1"/>
  <c r="F1779" i="1" s="1"/>
  <c r="E1779" i="1"/>
  <c r="E1780" i="1"/>
  <c r="E1781" i="1"/>
  <c r="E1782" i="1"/>
  <c r="F1782" i="1" s="1"/>
  <c r="E1783" i="1"/>
  <c r="E1784" i="1"/>
  <c r="E1785" i="1"/>
  <c r="F1786" i="1" s="1"/>
  <c r="E1786" i="1"/>
  <c r="E1787" i="1"/>
  <c r="E1788" i="1"/>
  <c r="F1789" i="1" s="1"/>
  <c r="E1789" i="1"/>
  <c r="E1790" i="1"/>
  <c r="E1791" i="1"/>
  <c r="E1792" i="1"/>
  <c r="F1792" i="1" s="1"/>
  <c r="E1793" i="1"/>
  <c r="E1794" i="1"/>
  <c r="F1795" i="1" s="1"/>
  <c r="E1795" i="1"/>
  <c r="E1796" i="1"/>
  <c r="E1797" i="1"/>
  <c r="E1798" i="1"/>
  <c r="F1798" i="1" s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F1811" i="1" s="1"/>
  <c r="E1811" i="1"/>
  <c r="E1812" i="1"/>
  <c r="E1813" i="1"/>
  <c r="E1814" i="1"/>
  <c r="F1814" i="1" s="1"/>
  <c r="E1815" i="1"/>
  <c r="E1816" i="1"/>
  <c r="F1816" i="1" s="1"/>
  <c r="E1817" i="1"/>
  <c r="E1818" i="1"/>
  <c r="E1819" i="1"/>
  <c r="E1820" i="1"/>
  <c r="F1820" i="1" s="1"/>
  <c r="E1821" i="1"/>
  <c r="E1822" i="1"/>
  <c r="E1823" i="1"/>
  <c r="E1824" i="1"/>
  <c r="E1825" i="1"/>
  <c r="E1826" i="1"/>
  <c r="F1827" i="1" s="1"/>
  <c r="E1827" i="1"/>
  <c r="E1828" i="1"/>
  <c r="F1829" i="1" s="1"/>
  <c r="E1829" i="1"/>
  <c r="E1830" i="1"/>
  <c r="F1830" i="1" s="1"/>
  <c r="E1831" i="1"/>
  <c r="E1832" i="1"/>
  <c r="E1833" i="1"/>
  <c r="E1834" i="1"/>
  <c r="F1834" i="1" s="1"/>
  <c r="E1835" i="1"/>
  <c r="E1836" i="1"/>
  <c r="E1837" i="1"/>
  <c r="E1838" i="1"/>
  <c r="E1839" i="1"/>
  <c r="E1840" i="1"/>
  <c r="E1841" i="1"/>
  <c r="E1842" i="1"/>
  <c r="F1843" i="1" s="1"/>
  <c r="E1843" i="1"/>
  <c r="E1844" i="1"/>
  <c r="E1845" i="1"/>
  <c r="E1846" i="1"/>
  <c r="F1847" i="1" s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F1859" i="1" s="1"/>
  <c r="E1859" i="1"/>
  <c r="E1860" i="1"/>
  <c r="E1861" i="1"/>
  <c r="E1862" i="1"/>
  <c r="F1862" i="1" s="1"/>
  <c r="E1863" i="1"/>
  <c r="E1864" i="1"/>
  <c r="E1865" i="1"/>
  <c r="E1866" i="1"/>
  <c r="F1866" i="1" s="1"/>
  <c r="E1867" i="1"/>
  <c r="E1868" i="1"/>
  <c r="F1868" i="1" s="1"/>
  <c r="E1869" i="1"/>
  <c r="E1870" i="1"/>
  <c r="E1871" i="1"/>
  <c r="E1872" i="1"/>
  <c r="E1873" i="1"/>
  <c r="E1874" i="1"/>
  <c r="F1875" i="1" s="1"/>
  <c r="E1875" i="1"/>
  <c r="E1876" i="1"/>
  <c r="E1877" i="1"/>
  <c r="E1878" i="1"/>
  <c r="F1879" i="1" s="1"/>
  <c r="E1879" i="1"/>
  <c r="E1880" i="1"/>
  <c r="E1881" i="1"/>
  <c r="F1881" i="1" s="1"/>
  <c r="E1882" i="1"/>
  <c r="E1883" i="1"/>
  <c r="E1884" i="1"/>
  <c r="F1884" i="1" s="1"/>
  <c r="E1885" i="1"/>
  <c r="E1886" i="1"/>
  <c r="E1887" i="1"/>
  <c r="E1888" i="1"/>
  <c r="E1889" i="1"/>
  <c r="E1890" i="1"/>
  <c r="F1891" i="1" s="1"/>
  <c r="E1891" i="1"/>
  <c r="E1892" i="1"/>
  <c r="F1893" i="1" s="1"/>
  <c r="E1893" i="1"/>
  <c r="E1894" i="1"/>
  <c r="E1895" i="1"/>
  <c r="F1896" i="1" s="1"/>
  <c r="E1896" i="1"/>
  <c r="E1897" i="1"/>
  <c r="F1897" i="1" s="1"/>
  <c r="E1898" i="1"/>
  <c r="E1899" i="1"/>
  <c r="E1900" i="1"/>
  <c r="E1901" i="1"/>
  <c r="E1902" i="1"/>
  <c r="E1903" i="1"/>
  <c r="E1904" i="1"/>
  <c r="E1905" i="1"/>
  <c r="E1906" i="1"/>
  <c r="F1907" i="1" s="1"/>
  <c r="E1907" i="1"/>
  <c r="E1908" i="1"/>
  <c r="E1909" i="1"/>
  <c r="E1910" i="1"/>
  <c r="F1911" i="1" s="1"/>
  <c r="E1911" i="1"/>
  <c r="E1912" i="1"/>
  <c r="E1913" i="1"/>
  <c r="F1913" i="1" s="1"/>
  <c r="E1914" i="1"/>
  <c r="E1915" i="1"/>
  <c r="E1916" i="1"/>
  <c r="E1917" i="1"/>
  <c r="E1918" i="1"/>
  <c r="E1919" i="1"/>
  <c r="E1920" i="1"/>
  <c r="F1921" i="1" s="1"/>
  <c r="E1921" i="1"/>
  <c r="E1922" i="1"/>
  <c r="F1922" i="1" s="1"/>
  <c r="E1923" i="1"/>
  <c r="E1924" i="1"/>
  <c r="F1925" i="1" s="1"/>
  <c r="E1925" i="1"/>
  <c r="E1926" i="1"/>
  <c r="E1927" i="1"/>
  <c r="F1927" i="1" s="1"/>
  <c r="E1928" i="1"/>
  <c r="E1929" i="1"/>
  <c r="E1930" i="1"/>
  <c r="E1931" i="1"/>
  <c r="E1932" i="1"/>
  <c r="F1932" i="1" s="1"/>
  <c r="E1933" i="1"/>
  <c r="E1934" i="1"/>
  <c r="F1934" i="1" s="1"/>
  <c r="E1935" i="1"/>
  <c r="E1936" i="1"/>
  <c r="E1937" i="1"/>
  <c r="E1938" i="1"/>
  <c r="F1938" i="1" s="1"/>
  <c r="E1939" i="1"/>
  <c r="E1940" i="1"/>
  <c r="E1941" i="1"/>
  <c r="E1942" i="1"/>
  <c r="F1942" i="1" s="1"/>
  <c r="E1943" i="1"/>
  <c r="E1944" i="1"/>
  <c r="E1945" i="1"/>
  <c r="F1946" i="1" s="1"/>
  <c r="E1946" i="1"/>
  <c r="E1947" i="1"/>
  <c r="E1948" i="1"/>
  <c r="F1949" i="1" s="1"/>
  <c r="E1949" i="1"/>
  <c r="E1950" i="1"/>
  <c r="E1951" i="1"/>
  <c r="E1952" i="1"/>
  <c r="F1952" i="1" s="1"/>
  <c r="E1953" i="1"/>
  <c r="E1954" i="1"/>
  <c r="F1955" i="1" s="1"/>
  <c r="E1955" i="1"/>
  <c r="E1956" i="1"/>
  <c r="F1956" i="1" s="1"/>
  <c r="E1957" i="1"/>
  <c r="E1958" i="1"/>
  <c r="E1959" i="1"/>
  <c r="E1960" i="1"/>
  <c r="E1961" i="1"/>
  <c r="F1961" i="1" s="1"/>
  <c r="E1962" i="1"/>
  <c r="E1963" i="1"/>
  <c r="F1963" i="1" s="1"/>
  <c r="E1964" i="1"/>
  <c r="E1965" i="1"/>
  <c r="E1966" i="1"/>
  <c r="F1966" i="1" s="1"/>
  <c r="E1967" i="1"/>
  <c r="E1968" i="1"/>
  <c r="E1969" i="1"/>
  <c r="E1970" i="1"/>
  <c r="F1971" i="1" s="1"/>
  <c r="E1971" i="1"/>
  <c r="E1972" i="1"/>
  <c r="E1973" i="1"/>
  <c r="E1974" i="1"/>
  <c r="F1974" i="1" s="1"/>
  <c r="E1975" i="1"/>
  <c r="E1976" i="1"/>
  <c r="E1977" i="1"/>
  <c r="E1978" i="1"/>
  <c r="E1979" i="1"/>
  <c r="E1980" i="1"/>
  <c r="F1980" i="1" s="1"/>
  <c r="E1981" i="1"/>
  <c r="E1982" i="1"/>
  <c r="E1983" i="1"/>
  <c r="E1984" i="1"/>
  <c r="E1985" i="1"/>
  <c r="E1986" i="1"/>
  <c r="F1987" i="1" s="1"/>
  <c r="E1987" i="1"/>
  <c r="E1988" i="1"/>
  <c r="F1988" i="1" s="1"/>
  <c r="E1989" i="1"/>
  <c r="E1990" i="1"/>
  <c r="E1991" i="1"/>
  <c r="F1991" i="1" s="1"/>
  <c r="E1992" i="1"/>
  <c r="E1993" i="1"/>
  <c r="E1994" i="1"/>
  <c r="E1995" i="1"/>
  <c r="F1995" i="1" s="1"/>
  <c r="E1996" i="1"/>
  <c r="E1997" i="1"/>
  <c r="E1998" i="1"/>
  <c r="F1999" i="1" s="1"/>
  <c r="E1999" i="1"/>
  <c r="E2000" i="1"/>
  <c r="E2001" i="1"/>
  <c r="E2002" i="1"/>
  <c r="F2003" i="1" s="1"/>
  <c r="E2003" i="1"/>
  <c r="E2004" i="1"/>
  <c r="E2005" i="1"/>
  <c r="E2006" i="1"/>
  <c r="F2007" i="1" s="1"/>
  <c r="E2007" i="1"/>
  <c r="E2008" i="1"/>
  <c r="E2009" i="1"/>
  <c r="E2010" i="1"/>
  <c r="F2011" i="1" s="1"/>
  <c r="E2011" i="1"/>
  <c r="E2012" i="1"/>
  <c r="E2013" i="1"/>
  <c r="E2014" i="1"/>
  <c r="E2015" i="1"/>
  <c r="E2016" i="1"/>
  <c r="E2017" i="1"/>
  <c r="E2018" i="1"/>
  <c r="F2019" i="1" s="1"/>
  <c r="E2019" i="1"/>
  <c r="E2020" i="1"/>
  <c r="F2020" i="1" s="1"/>
  <c r="E2021" i="1"/>
  <c r="E2022" i="1"/>
  <c r="E2023" i="1"/>
  <c r="F2024" i="1" s="1"/>
  <c r="E2024" i="1"/>
  <c r="E2025" i="1"/>
  <c r="E2026" i="1"/>
  <c r="F2026" i="1" s="1"/>
  <c r="E2027" i="1"/>
  <c r="E2028" i="1"/>
  <c r="E2029" i="1"/>
  <c r="E2030" i="1"/>
  <c r="E2031" i="1"/>
  <c r="E2032" i="1"/>
  <c r="E2033" i="1"/>
  <c r="E2034" i="1"/>
  <c r="F2035" i="1" s="1"/>
  <c r="E2035" i="1"/>
  <c r="E2036" i="1"/>
  <c r="E2037" i="1"/>
  <c r="E2038" i="1"/>
  <c r="F2038" i="1" s="1"/>
  <c r="E2039" i="1"/>
  <c r="E2040" i="1"/>
  <c r="E2041" i="1"/>
  <c r="F2041" i="1" s="1"/>
  <c r="E2042" i="1"/>
  <c r="E2043" i="1"/>
  <c r="E2044" i="1"/>
  <c r="E2045" i="1"/>
  <c r="E2046" i="1"/>
  <c r="E2047" i="1"/>
  <c r="E2048" i="1"/>
  <c r="F2048" i="1" s="1"/>
  <c r="E2049" i="1"/>
  <c r="E2050" i="1"/>
  <c r="F2051" i="1" s="1"/>
  <c r="E2051" i="1"/>
  <c r="E2052" i="1"/>
  <c r="F2053" i="1" s="1"/>
  <c r="E2053" i="1"/>
  <c r="E2054" i="1"/>
  <c r="E2055" i="1"/>
  <c r="F2056" i="1" s="1"/>
  <c r="E2056" i="1"/>
  <c r="E2057" i="1"/>
  <c r="E2058" i="1"/>
  <c r="F2058" i="1" s="1"/>
  <c r="E2059" i="1"/>
  <c r="E2060" i="1"/>
  <c r="F2060" i="1" s="1"/>
  <c r="E2061" i="1"/>
  <c r="F2061" i="1" s="1"/>
  <c r="E2062" i="1"/>
  <c r="F2062" i="1" s="1"/>
  <c r="E2063" i="1"/>
  <c r="E2064" i="1"/>
  <c r="E2065" i="1"/>
  <c r="E2066" i="1"/>
  <c r="F2067" i="1" s="1"/>
  <c r="E2067" i="1"/>
  <c r="E2068" i="1"/>
  <c r="E2069" i="1"/>
  <c r="E2070" i="1"/>
  <c r="F2070" i="1" s="1"/>
  <c r="E2071" i="1"/>
  <c r="E2072" i="1"/>
  <c r="E2073" i="1"/>
  <c r="E2074" i="1"/>
  <c r="E2075" i="1"/>
  <c r="E2076" i="1"/>
  <c r="F2076" i="1" s="1"/>
  <c r="E2077" i="1"/>
  <c r="E2078" i="1"/>
  <c r="E2079" i="1"/>
  <c r="E2080" i="1"/>
  <c r="F2080" i="1" s="1"/>
  <c r="E2081" i="1"/>
  <c r="E2082" i="1"/>
  <c r="F2083" i="1" s="1"/>
  <c r="E2083" i="1"/>
  <c r="E2084" i="1"/>
  <c r="F2085" i="1" s="1"/>
  <c r="E2085" i="1"/>
  <c r="E2086" i="1"/>
  <c r="E2087" i="1"/>
  <c r="F2087" i="1" s="1"/>
  <c r="E2088" i="1"/>
  <c r="E2089" i="1"/>
  <c r="E2090" i="1"/>
  <c r="E2091" i="1"/>
  <c r="E2092" i="1"/>
  <c r="E2093" i="1"/>
  <c r="E2094" i="1"/>
  <c r="F2095" i="1" s="1"/>
  <c r="E2095" i="1"/>
  <c r="E2096" i="1"/>
  <c r="E2097" i="1"/>
  <c r="E2098" i="1"/>
  <c r="F2099" i="1" s="1"/>
  <c r="E2099" i="1"/>
  <c r="E2100" i="1"/>
  <c r="E2101" i="1"/>
  <c r="E2102" i="1"/>
  <c r="F2102" i="1" s="1"/>
  <c r="E2103" i="1"/>
  <c r="E2104" i="1"/>
  <c r="E2105" i="1"/>
  <c r="F2105" i="1" s="1"/>
  <c r="E2106" i="1"/>
  <c r="E2107" i="1"/>
  <c r="E2108" i="1"/>
  <c r="F2109" i="1" s="1"/>
  <c r="E2109" i="1"/>
  <c r="E2110" i="1"/>
  <c r="E2111" i="1"/>
  <c r="E2112" i="1"/>
  <c r="E2113" i="1"/>
  <c r="E2114" i="1"/>
  <c r="F2115" i="1" s="1"/>
  <c r="E2115" i="1"/>
  <c r="E2116" i="1"/>
  <c r="F2117" i="1" s="1"/>
  <c r="E2117" i="1"/>
  <c r="E2118" i="1"/>
  <c r="F2118" i="1" s="1"/>
  <c r="E2119" i="1"/>
  <c r="F2119" i="1" s="1"/>
  <c r="E2120" i="1"/>
  <c r="E2121" i="1"/>
  <c r="F2121" i="1" s="1"/>
  <c r="E2122" i="1"/>
  <c r="F2122" i="1" s="1"/>
  <c r="E2123" i="1"/>
  <c r="F2123" i="1" s="1"/>
  <c r="E2124" i="1"/>
  <c r="F2124" i="1" s="1"/>
  <c r="E2125" i="1"/>
  <c r="E2126" i="1"/>
  <c r="F2127" i="1" s="1"/>
  <c r="E2127" i="1"/>
  <c r="E2128" i="1"/>
  <c r="E2129" i="1"/>
  <c r="E2130" i="1"/>
  <c r="F2131" i="1" s="1"/>
  <c r="E2131" i="1"/>
  <c r="E2132" i="1"/>
  <c r="E2133" i="1"/>
  <c r="E2134" i="1"/>
  <c r="F2134" i="1" s="1"/>
  <c r="E2135" i="1"/>
  <c r="E2136" i="1"/>
  <c r="E2137" i="1"/>
  <c r="E2138" i="1"/>
  <c r="F2138" i="1" s="1"/>
  <c r="E2139" i="1"/>
  <c r="E2140" i="1"/>
  <c r="E2141" i="1"/>
  <c r="E2142" i="1"/>
  <c r="E2143" i="1"/>
  <c r="E2144" i="1"/>
  <c r="E2145" i="1"/>
  <c r="E2146" i="1"/>
  <c r="F2147" i="1" s="1"/>
  <c r="E2147" i="1"/>
  <c r="E2148" i="1"/>
  <c r="E2149" i="1"/>
  <c r="E2150" i="1"/>
  <c r="F2150" i="1" s="1"/>
  <c r="E2151" i="1"/>
  <c r="F2152" i="1" s="1"/>
  <c r="E2152" i="1"/>
  <c r="E2153" i="1"/>
  <c r="F2153" i="1" s="1"/>
  <c r="E2154" i="1"/>
  <c r="F2154" i="1" s="1"/>
  <c r="E2155" i="1"/>
  <c r="E2156" i="1"/>
  <c r="F2156" i="1" s="1"/>
  <c r="E2157" i="1"/>
  <c r="E2158" i="1"/>
  <c r="F2159" i="1" s="1"/>
  <c r="E2159" i="1"/>
  <c r="E2160" i="1"/>
  <c r="E2161" i="1"/>
  <c r="E2162" i="1"/>
  <c r="F2163" i="1" s="1"/>
  <c r="E2163" i="1"/>
  <c r="E2164" i="1"/>
  <c r="E2165" i="1"/>
  <c r="E2166" i="1"/>
  <c r="F2166" i="1" s="1"/>
  <c r="E2167" i="1"/>
  <c r="E2168" i="1"/>
  <c r="E2169" i="1"/>
  <c r="E2170" i="1"/>
  <c r="F2171" i="1" s="1"/>
  <c r="E2171" i="1"/>
  <c r="E2172" i="1"/>
  <c r="F2173" i="1" s="1"/>
  <c r="E2173" i="1"/>
  <c r="E2174" i="1"/>
  <c r="E2175" i="1"/>
  <c r="E2176" i="1"/>
  <c r="E2177" i="1"/>
  <c r="E2178" i="1"/>
  <c r="F2178" i="1" s="1"/>
  <c r="E2179" i="1"/>
  <c r="E2180" i="1"/>
  <c r="F2180" i="1" s="1"/>
  <c r="E2181" i="1"/>
  <c r="E2182" i="1"/>
  <c r="F2182" i="1" s="1"/>
  <c r="E2183" i="1"/>
  <c r="E2184" i="1"/>
  <c r="E2185" i="1"/>
  <c r="E2186" i="1"/>
  <c r="E2187" i="1"/>
  <c r="E2188" i="1"/>
  <c r="F2188" i="1" s="1"/>
  <c r="E2189" i="1"/>
  <c r="E2190" i="1"/>
  <c r="F2191" i="1" s="1"/>
  <c r="E2191" i="1"/>
  <c r="E2192" i="1"/>
  <c r="E2193" i="1"/>
  <c r="E2194" i="1"/>
  <c r="F2194" i="1" s="1"/>
  <c r="E2195" i="1"/>
  <c r="E2196" i="1"/>
  <c r="E2197" i="1"/>
  <c r="E2198" i="1"/>
  <c r="F2198" i="1" s="1"/>
  <c r="E2199" i="1"/>
  <c r="E2200" i="1"/>
  <c r="E2201" i="1"/>
  <c r="F2201" i="1" s="1"/>
  <c r="E2202" i="1"/>
  <c r="E2203" i="1"/>
  <c r="E2204" i="1"/>
  <c r="F2205" i="1" s="1"/>
  <c r="E2205" i="1"/>
  <c r="E2206" i="1"/>
  <c r="E2207" i="1"/>
  <c r="E2208" i="1"/>
  <c r="E2209" i="1"/>
  <c r="E2210" i="1"/>
  <c r="F2211" i="1" s="1"/>
  <c r="E2211" i="1"/>
  <c r="E2212" i="1"/>
  <c r="F2212" i="1" s="1"/>
  <c r="E2213" i="1"/>
  <c r="E2214" i="1"/>
  <c r="F2214" i="1" s="1"/>
  <c r="E2215" i="1"/>
  <c r="E2216" i="1"/>
  <c r="E2217" i="1"/>
  <c r="F2217" i="1" s="1"/>
  <c r="E2218" i="1"/>
  <c r="F2219" i="1" s="1"/>
  <c r="E2219" i="1"/>
  <c r="E2220" i="1"/>
  <c r="E2221" i="1"/>
  <c r="E2222" i="1"/>
  <c r="F2223" i="1" s="1"/>
  <c r="E2223" i="1"/>
  <c r="E2224" i="1"/>
  <c r="E2225" i="1"/>
  <c r="E2226" i="1"/>
  <c r="F2227" i="1" s="1"/>
  <c r="E2227" i="1"/>
  <c r="E2228" i="1"/>
  <c r="E2229" i="1"/>
  <c r="E2230" i="1"/>
  <c r="E2231" i="1"/>
  <c r="E2232" i="1"/>
  <c r="E2233" i="1"/>
  <c r="E2234" i="1"/>
  <c r="F2235" i="1" s="1"/>
  <c r="E2235" i="1"/>
  <c r="E2236" i="1"/>
  <c r="F2237" i="1" s="1"/>
  <c r="E2237" i="1"/>
  <c r="E2238" i="1"/>
  <c r="E2239" i="1"/>
  <c r="E2240" i="1"/>
  <c r="F2240" i="1" s="1"/>
  <c r="E2241" i="1"/>
  <c r="E2242" i="1"/>
  <c r="F2243" i="1" s="1"/>
  <c r="E2243" i="1"/>
  <c r="E2244" i="1"/>
  <c r="F2244" i="1" s="1"/>
  <c r="E2245" i="1"/>
  <c r="E2246" i="1"/>
  <c r="E2247" i="1"/>
  <c r="E2248" i="1"/>
  <c r="E2249" i="1"/>
  <c r="E2250" i="1"/>
  <c r="E2251" i="1"/>
  <c r="E2252" i="1"/>
  <c r="F2252" i="1" s="1"/>
  <c r="E2253" i="1"/>
  <c r="E2254" i="1"/>
  <c r="E2255" i="1"/>
  <c r="E2256" i="1"/>
  <c r="E2257" i="1"/>
  <c r="E2258" i="1"/>
  <c r="F2259" i="1" s="1"/>
  <c r="E2259" i="1"/>
  <c r="E2260" i="1"/>
  <c r="E2261" i="1"/>
  <c r="E2262" i="1"/>
  <c r="F2262" i="1" s="1"/>
  <c r="E2263" i="1"/>
  <c r="E2264" i="1"/>
  <c r="E2265" i="1"/>
  <c r="F2265" i="1" s="1"/>
  <c r="E2266" i="1"/>
  <c r="E2267" i="1"/>
  <c r="E2268" i="1"/>
  <c r="F2269" i="1" s="1"/>
  <c r="E2269" i="1"/>
  <c r="F2270" i="1" s="1"/>
  <c r="E2270" i="1"/>
  <c r="E2271" i="1"/>
  <c r="E2272" i="1"/>
  <c r="F2273" i="1" s="1"/>
  <c r="E2273" i="1"/>
  <c r="E2274" i="1"/>
  <c r="F2275" i="1" s="1"/>
  <c r="E2275" i="1"/>
  <c r="E2276" i="1"/>
  <c r="E2277" i="1"/>
  <c r="E2278" i="1"/>
  <c r="F2278" i="1" s="1"/>
  <c r="E2279" i="1"/>
  <c r="E2280" i="1"/>
  <c r="E2281" i="1"/>
  <c r="E2282" i="1"/>
  <c r="F2282" i="1" s="1"/>
  <c r="E2283" i="1"/>
  <c r="F2283" i="1" s="1"/>
  <c r="E2284" i="1"/>
  <c r="F2284" i="1" s="1"/>
  <c r="E2285" i="1"/>
  <c r="E2286" i="1"/>
  <c r="F2286" i="1" s="1"/>
  <c r="E2287" i="1"/>
  <c r="E2288" i="1"/>
  <c r="E2289" i="1"/>
  <c r="E2290" i="1"/>
  <c r="F2291" i="1" s="1"/>
  <c r="E2291" i="1"/>
  <c r="E2292" i="1"/>
  <c r="E2293" i="1"/>
  <c r="E2294" i="1"/>
  <c r="F2295" i="1" s="1"/>
  <c r="E2295" i="1"/>
  <c r="E2296" i="1"/>
  <c r="E2297" i="1"/>
  <c r="E2298" i="1"/>
  <c r="F2298" i="1" s="1"/>
  <c r="E2299" i="1"/>
  <c r="E2300" i="1"/>
  <c r="E2301" i="1"/>
  <c r="F2302" i="1" s="1"/>
  <c r="E2302" i="1"/>
  <c r="E2303" i="1"/>
  <c r="E2304" i="1"/>
  <c r="F2304" i="1" s="1"/>
  <c r="E2305" i="1"/>
  <c r="E2306" i="1"/>
  <c r="F2307" i="1" s="1"/>
  <c r="E2307" i="1"/>
  <c r="E2308" i="1"/>
  <c r="F2309" i="1" s="1"/>
  <c r="E2309" i="1"/>
  <c r="E2310" i="1"/>
  <c r="F2310" i="1" s="1"/>
  <c r="E2311" i="1"/>
  <c r="F2311" i="1" s="1"/>
  <c r="E2312" i="1"/>
  <c r="E2313" i="1"/>
  <c r="E2314" i="1"/>
  <c r="F2314" i="1" s="1"/>
  <c r="E2315" i="1"/>
  <c r="E2316" i="1"/>
  <c r="E2317" i="1"/>
  <c r="E2318" i="1"/>
  <c r="F2318" i="1" s="1"/>
  <c r="E2319" i="1"/>
  <c r="E2320" i="1"/>
  <c r="E2321" i="1"/>
  <c r="E2322" i="1"/>
  <c r="F2323" i="1" s="1"/>
  <c r="E2323" i="1"/>
  <c r="E2324" i="1"/>
  <c r="E2325" i="1"/>
  <c r="E2326" i="1"/>
  <c r="E2327" i="1"/>
  <c r="E2328" i="1"/>
  <c r="E2329" i="1"/>
  <c r="E2330" i="1"/>
  <c r="F2331" i="1" s="1"/>
  <c r="E2331" i="1"/>
  <c r="E2332" i="1"/>
  <c r="E2333" i="1"/>
  <c r="F2334" i="1" s="1"/>
  <c r="E2334" i="1"/>
  <c r="E2335" i="1"/>
  <c r="E2336" i="1"/>
  <c r="E2337" i="1"/>
  <c r="E2338" i="1"/>
  <c r="F2339" i="1" s="1"/>
  <c r="E2339" i="1"/>
  <c r="E2340" i="1"/>
  <c r="E2341" i="1"/>
  <c r="E2342" i="1"/>
  <c r="F2342" i="1" s="1"/>
  <c r="E2343" i="1"/>
  <c r="F2343" i="1" s="1"/>
  <c r="E2344" i="1"/>
  <c r="E2345" i="1"/>
  <c r="E2346" i="1"/>
  <c r="F2346" i="1" s="1"/>
  <c r="E2347" i="1"/>
  <c r="E2348" i="1"/>
  <c r="E2349" i="1"/>
  <c r="E2350" i="1"/>
  <c r="E2351" i="1"/>
  <c r="E2352" i="1"/>
  <c r="E2353" i="1"/>
  <c r="E2354" i="1"/>
  <c r="F2355" i="1" s="1"/>
  <c r="E2355" i="1"/>
  <c r="E2356" i="1"/>
  <c r="E2357" i="1"/>
  <c r="E2358" i="1"/>
  <c r="F2359" i="1" s="1"/>
  <c r="E2359" i="1"/>
  <c r="E2360" i="1"/>
  <c r="E2361" i="1"/>
  <c r="E2362" i="1"/>
  <c r="E2363" i="1"/>
  <c r="E2364" i="1"/>
  <c r="F2364" i="1" s="1"/>
  <c r="E2365" i="1"/>
  <c r="E2366" i="1"/>
  <c r="E2367" i="1"/>
  <c r="E2368" i="1"/>
  <c r="F2368" i="1" s="1"/>
  <c r="E2369" i="1"/>
  <c r="E2370" i="1"/>
  <c r="F2371" i="1" s="1"/>
  <c r="E2371" i="1"/>
  <c r="E2372" i="1"/>
  <c r="F2373" i="1" s="1"/>
  <c r="E2373" i="1"/>
  <c r="E2374" i="1"/>
  <c r="E2375" i="1"/>
  <c r="F2375" i="1" s="1"/>
  <c r="E2376" i="1"/>
  <c r="E2377" i="1"/>
  <c r="E2378" i="1"/>
  <c r="F2378" i="1" s="1"/>
  <c r="E2379" i="1"/>
  <c r="E2380" i="1"/>
  <c r="E2381" i="1"/>
  <c r="F2381" i="1" s="1"/>
  <c r="E2382" i="1"/>
  <c r="F2382" i="1" s="1"/>
  <c r="E2383" i="1"/>
  <c r="E2384" i="1"/>
  <c r="E2385" i="1"/>
  <c r="E2386" i="1"/>
  <c r="F2387" i="1" s="1"/>
  <c r="E2387" i="1"/>
  <c r="E2388" i="1"/>
  <c r="F2388" i="1" s="1"/>
  <c r="E2389" i="1"/>
  <c r="E2390" i="1"/>
  <c r="F2390" i="1" s="1"/>
  <c r="E2391" i="1"/>
  <c r="E2392" i="1"/>
  <c r="E2393" i="1"/>
  <c r="E2394" i="1"/>
  <c r="F2395" i="1" s="1"/>
  <c r="E2395" i="1"/>
  <c r="E2396" i="1"/>
  <c r="E2397" i="1"/>
  <c r="F2398" i="1" s="1"/>
  <c r="E2398" i="1"/>
  <c r="E2399" i="1"/>
  <c r="E2400" i="1"/>
  <c r="F2400" i="1" s="1"/>
  <c r="E2401" i="1"/>
  <c r="E2402" i="1"/>
  <c r="F2403" i="1" s="1"/>
  <c r="E2403" i="1"/>
  <c r="E2404" i="1"/>
  <c r="E2405" i="1"/>
  <c r="E2406" i="1"/>
  <c r="F2406" i="1" s="1"/>
  <c r="E2407" i="1"/>
  <c r="F2407" i="1" s="1"/>
  <c r="E2408" i="1"/>
  <c r="E2409" i="1"/>
  <c r="E2410" i="1"/>
  <c r="F2410" i="1" s="1"/>
  <c r="E2411" i="1"/>
  <c r="E2412" i="1"/>
  <c r="F2412" i="1" s="1"/>
  <c r="E2413" i="1"/>
  <c r="F2413" i="1" s="1"/>
  <c r="E2414" i="1"/>
  <c r="F2414" i="1" s="1"/>
  <c r="E2415" i="1"/>
  <c r="E2416" i="1"/>
  <c r="E2417" i="1"/>
  <c r="E2418" i="1"/>
  <c r="F2419" i="1" s="1"/>
  <c r="E2419" i="1"/>
  <c r="E2420" i="1"/>
  <c r="E2421" i="1"/>
  <c r="F2421" i="1" s="1"/>
  <c r="E2422" i="1"/>
  <c r="E2423" i="1"/>
  <c r="E2424" i="1"/>
  <c r="F2424" i="1" s="1"/>
  <c r="E2425" i="1"/>
  <c r="E2426" i="1"/>
  <c r="E2427" i="1"/>
  <c r="E2428" i="1"/>
  <c r="F2428" i="1" s="1"/>
  <c r="E2429" i="1"/>
  <c r="F2430" i="1" s="1"/>
  <c r="E2430" i="1"/>
  <c r="E2431" i="1"/>
  <c r="E2432" i="1"/>
  <c r="E2433" i="1"/>
  <c r="E2434" i="1"/>
  <c r="F2435" i="1" s="1"/>
  <c r="E2435" i="1"/>
  <c r="E2436" i="1"/>
  <c r="F2436" i="1" s="1"/>
  <c r="E2437" i="1"/>
  <c r="E2438" i="1"/>
  <c r="E2439" i="1"/>
  <c r="E2440" i="1"/>
  <c r="E2441" i="1"/>
  <c r="E2442" i="1"/>
  <c r="F2442" i="1" s="1"/>
  <c r="E2443" i="1"/>
  <c r="E2444" i="1"/>
  <c r="E2445" i="1"/>
  <c r="E2446" i="1"/>
  <c r="E2447" i="1"/>
  <c r="E2448" i="1"/>
  <c r="E2449" i="1"/>
  <c r="E2450" i="1"/>
  <c r="F2451" i="1" s="1"/>
  <c r="E2451" i="1"/>
  <c r="E2452" i="1"/>
  <c r="E2453" i="1"/>
  <c r="F2453" i="1" s="1"/>
  <c r="E2454" i="1"/>
  <c r="E2455" i="1"/>
  <c r="E2456" i="1"/>
  <c r="E2457" i="1"/>
  <c r="E2458" i="1"/>
  <c r="E2459" i="1"/>
  <c r="E2460" i="1"/>
  <c r="E2461" i="1"/>
  <c r="F2462" i="1" s="1"/>
  <c r="E2462" i="1"/>
  <c r="E2463" i="1"/>
  <c r="E2464" i="1"/>
  <c r="F2464" i="1" s="1"/>
  <c r="E2465" i="1"/>
  <c r="E2466" i="1"/>
  <c r="F2467" i="1" s="1"/>
  <c r="E2467" i="1"/>
  <c r="E2468" i="1"/>
  <c r="F2469" i="1" s="1"/>
  <c r="E2469" i="1"/>
  <c r="E2470" i="1"/>
  <c r="F2470" i="1" s="1"/>
  <c r="E2471" i="1"/>
  <c r="E2472" i="1"/>
  <c r="E2473" i="1"/>
  <c r="E2474" i="1"/>
  <c r="F2474" i="1" s="1"/>
  <c r="E2475" i="1"/>
  <c r="E2476" i="1"/>
  <c r="E2477" i="1"/>
  <c r="E2478" i="1"/>
  <c r="F2478" i="1" s="1"/>
  <c r="E2479" i="1"/>
  <c r="E2480" i="1"/>
  <c r="E2481" i="1"/>
  <c r="F2481" i="1" s="1"/>
  <c r="E2482" i="1"/>
  <c r="F2483" i="1" s="1"/>
  <c r="E2483" i="1"/>
  <c r="E2484" i="1"/>
  <c r="F2484" i="1" s="1"/>
  <c r="E2485" i="1"/>
  <c r="F2485" i="1" s="1"/>
  <c r="E2486" i="1"/>
  <c r="E2487" i="1"/>
  <c r="E2488" i="1"/>
  <c r="E2489" i="1"/>
  <c r="E2490" i="1"/>
  <c r="E2491" i="1"/>
  <c r="E2492" i="1"/>
  <c r="E2493" i="1"/>
  <c r="E2494" i="1"/>
  <c r="E2495" i="1"/>
  <c r="E2496" i="1"/>
  <c r="F2496" i="1" s="1"/>
  <c r="E2497" i="1"/>
  <c r="E2498" i="1"/>
  <c r="F2499" i="1" s="1"/>
  <c r="E2499" i="1"/>
  <c r="E2500" i="1"/>
  <c r="F2500" i="1" s="1"/>
  <c r="E2501" i="1"/>
  <c r="E2502" i="1"/>
  <c r="F2502" i="1" s="1"/>
  <c r="E2503" i="1"/>
  <c r="E2504" i="1"/>
  <c r="E2505" i="1"/>
  <c r="E2506" i="1"/>
  <c r="F2506" i="1" s="1"/>
  <c r="E2507" i="1"/>
  <c r="E2508" i="1"/>
  <c r="F2508" i="1" s="1"/>
  <c r="E2509" i="1"/>
  <c r="E2510" i="1"/>
  <c r="E2511" i="1"/>
  <c r="E2512" i="1"/>
  <c r="F2512" i="1" s="1"/>
  <c r="E2513" i="1"/>
  <c r="E2514" i="1"/>
  <c r="F2514" i="1" s="1"/>
  <c r="E2515" i="1"/>
  <c r="E2516" i="1"/>
  <c r="F2516" i="1" s="1"/>
  <c r="F16" i="1"/>
  <c r="F32" i="1"/>
  <c r="F48" i="1"/>
  <c r="F64" i="1"/>
  <c r="F80" i="1"/>
  <c r="F96" i="1"/>
  <c r="F112" i="1"/>
  <c r="F160" i="1"/>
  <c r="F176" i="1"/>
  <c r="F192" i="1"/>
  <c r="F208" i="1"/>
  <c r="F224" i="1"/>
  <c r="F240" i="1"/>
  <c r="F256" i="1"/>
  <c r="F272" i="1"/>
  <c r="F320" i="1"/>
  <c r="F336" i="1"/>
  <c r="F352" i="1"/>
  <c r="F368" i="1"/>
  <c r="F384" i="1"/>
  <c r="F400" i="1"/>
  <c r="F449" i="1"/>
  <c r="F464" i="1"/>
  <c r="F480" i="1"/>
  <c r="F496" i="1"/>
  <c r="F512" i="1"/>
  <c r="F528" i="1"/>
  <c r="F544" i="1"/>
  <c r="F593" i="1"/>
  <c r="F608" i="1"/>
  <c r="F624" i="1"/>
  <c r="F640" i="1"/>
  <c r="F656" i="1"/>
  <c r="F672" i="1"/>
  <c r="F688" i="1"/>
  <c r="F704" i="1"/>
  <c r="F720" i="1"/>
  <c r="F736" i="1"/>
  <c r="F752" i="1"/>
  <c r="F768" i="1"/>
  <c r="F784" i="1"/>
  <c r="F816" i="1"/>
  <c r="F848" i="1"/>
  <c r="F864" i="1"/>
  <c r="F880" i="1"/>
  <c r="F896" i="1"/>
  <c r="F912" i="1"/>
  <c r="F976" i="1"/>
  <c r="F1008" i="1"/>
  <c r="F1040" i="1"/>
  <c r="F1072" i="1"/>
  <c r="F1104" i="1"/>
  <c r="F1120" i="1"/>
  <c r="F1152" i="1"/>
  <c r="F1168" i="1"/>
  <c r="F1184" i="1"/>
  <c r="F1200" i="1"/>
  <c r="F1232" i="1"/>
  <c r="F1264" i="1"/>
  <c r="F1296" i="1"/>
  <c r="F1328" i="1"/>
  <c r="F1392" i="1"/>
  <c r="F1408" i="1"/>
  <c r="F1424" i="1"/>
  <c r="F1456" i="1"/>
  <c r="F1488" i="1"/>
  <c r="F1520" i="1"/>
  <c r="F1552" i="1"/>
  <c r="F1568" i="1"/>
  <c r="F1584" i="1"/>
  <c r="F1616" i="1"/>
  <c r="F1648" i="1"/>
  <c r="F1664" i="1"/>
  <c r="F1680" i="1"/>
  <c r="F1712" i="1"/>
  <c r="F1744" i="1"/>
  <c r="F1777" i="1"/>
  <c r="F1808" i="1"/>
  <c r="F1840" i="1"/>
  <c r="F1873" i="1"/>
  <c r="F1905" i="1"/>
  <c r="F1937" i="1"/>
  <c r="F1968" i="1"/>
  <c r="F1984" i="1"/>
  <c r="F2001" i="1"/>
  <c r="F2033" i="1"/>
  <c r="F2064" i="1"/>
  <c r="F2096" i="1"/>
  <c r="F2129" i="1"/>
  <c r="F2161" i="1"/>
  <c r="F2193" i="1"/>
  <c r="F2224" i="1"/>
  <c r="F2257" i="1"/>
  <c r="F2321" i="1"/>
  <c r="F2352" i="1"/>
  <c r="F2385" i="1"/>
  <c r="F2432" i="1"/>
  <c r="F2438" i="1"/>
  <c r="F2446" i="1"/>
  <c r="F2448" i="1"/>
  <c r="F2511" i="1"/>
  <c r="F1187" i="1"/>
  <c r="F1459" i="1"/>
  <c r="F1715" i="1"/>
  <c r="F2288" i="1"/>
  <c r="F655" i="1"/>
  <c r="F686" i="1"/>
  <c r="F702" i="1"/>
  <c r="F718" i="1"/>
  <c r="F734" i="1"/>
  <c r="F750" i="1"/>
  <c r="F767" i="1"/>
  <c r="F783" i="1"/>
  <c r="F799" i="1"/>
  <c r="F830" i="1"/>
  <c r="F846" i="1"/>
  <c r="F862" i="1"/>
  <c r="F878" i="1"/>
  <c r="F894" i="1"/>
  <c r="F911" i="1"/>
  <c r="F927" i="1"/>
  <c r="F943" i="1"/>
  <c r="F974" i="1"/>
  <c r="F990" i="1"/>
  <c r="F1006" i="1"/>
  <c r="F1022" i="1"/>
  <c r="F1038" i="1"/>
  <c r="F1054" i="1"/>
  <c r="F1070" i="1"/>
  <c r="F1102" i="1"/>
  <c r="F1118" i="1"/>
  <c r="F1134" i="1"/>
  <c r="F1136" i="1"/>
  <c r="F1150" i="1"/>
  <c r="F1166" i="1"/>
  <c r="F1182" i="1"/>
  <c r="F1198" i="1"/>
  <c r="F1231" i="1"/>
  <c r="F1246" i="1"/>
  <c r="F1262" i="1"/>
  <c r="F1278" i="1"/>
  <c r="F1294" i="1"/>
  <c r="F1310" i="1"/>
  <c r="F1326" i="1"/>
  <c r="F1358" i="1"/>
  <c r="F1374" i="1"/>
  <c r="F1390" i="1"/>
  <c r="F1406" i="1"/>
  <c r="F1422" i="1"/>
  <c r="F1438" i="1"/>
  <c r="F1486" i="1"/>
  <c r="F1502" i="1"/>
  <c r="F1534" i="1"/>
  <c r="F1550" i="1"/>
  <c r="F1566" i="1"/>
  <c r="F1582" i="1"/>
  <c r="F1614" i="1"/>
  <c r="F1630" i="1"/>
  <c r="F1662" i="1"/>
  <c r="F1694" i="1"/>
  <c r="F1710" i="1"/>
  <c r="F1758" i="1"/>
  <c r="F1759" i="1"/>
  <c r="F1790" i="1"/>
  <c r="F1791" i="1"/>
  <c r="F1822" i="1"/>
  <c r="F1824" i="1"/>
  <c r="F1886" i="1"/>
  <c r="F1887" i="1"/>
  <c r="F1918" i="1"/>
  <c r="F1919" i="1"/>
  <c r="F1935" i="1"/>
  <c r="F1950" i="1"/>
  <c r="F1951" i="1"/>
  <c r="F1982" i="1"/>
  <c r="F2014" i="1"/>
  <c r="F2046" i="1"/>
  <c r="F2047" i="1"/>
  <c r="F2063" i="1"/>
  <c r="F2078" i="1"/>
  <c r="F2079" i="1"/>
  <c r="F2094" i="1"/>
  <c r="F2110" i="1"/>
  <c r="F2142" i="1"/>
  <c r="F2174" i="1"/>
  <c r="F2175" i="1"/>
  <c r="F2190" i="1"/>
  <c r="F2206" i="1"/>
  <c r="F2207" i="1"/>
  <c r="F2238" i="1"/>
  <c r="F2271" i="1"/>
  <c r="F2319" i="1"/>
  <c r="F2324" i="1"/>
  <c r="F2335" i="1"/>
  <c r="F2340" i="1"/>
  <c r="F2356" i="1"/>
  <c r="F2357" i="1"/>
  <c r="F2367" i="1"/>
  <c r="F2399" i="1"/>
  <c r="F2415" i="1"/>
  <c r="F2420" i="1"/>
  <c r="F2431" i="1"/>
  <c r="F2452" i="1"/>
  <c r="F2479" i="1"/>
  <c r="F2495" i="1"/>
  <c r="F34" i="1"/>
  <c r="F114" i="1"/>
  <c r="F146" i="1"/>
  <c r="F210" i="1"/>
  <c r="F290" i="1"/>
  <c r="F370" i="1"/>
  <c r="F402" i="1"/>
  <c r="F466" i="1"/>
  <c r="F546" i="1"/>
  <c r="F626" i="1"/>
  <c r="F722" i="1"/>
  <c r="F882" i="1"/>
  <c r="F978" i="1"/>
  <c r="F2065" i="1"/>
  <c r="F2247" i="1"/>
  <c r="E2" i="1"/>
  <c r="P7" i="1"/>
  <c r="P8" i="1"/>
  <c r="P16" i="1"/>
  <c r="P19" i="1"/>
  <c r="P27" i="1"/>
  <c r="P31" i="1"/>
  <c r="P35" i="1"/>
  <c r="P39" i="1"/>
  <c r="P43" i="1"/>
  <c r="P45" i="1"/>
  <c r="P48" i="1"/>
  <c r="P53" i="1"/>
  <c r="P56" i="1"/>
  <c r="P57" i="1"/>
  <c r="P59" i="1"/>
  <c r="P60" i="1"/>
  <c r="P61" i="1"/>
  <c r="P63" i="1"/>
  <c r="P66" i="1"/>
  <c r="P67" i="1"/>
  <c r="P70" i="1"/>
  <c r="P72" i="1"/>
  <c r="P77" i="1"/>
  <c r="P80" i="1"/>
  <c r="P89" i="1"/>
  <c r="P91" i="1"/>
  <c r="P93" i="1"/>
  <c r="P97" i="1"/>
  <c r="P99" i="1"/>
  <c r="P103" i="1"/>
  <c r="P109" i="1"/>
  <c r="P119" i="1"/>
  <c r="P121" i="1"/>
  <c r="P122" i="1"/>
  <c r="P124" i="1"/>
  <c r="P125" i="1"/>
  <c r="P130" i="1"/>
  <c r="P133" i="1"/>
  <c r="P134" i="1"/>
  <c r="P135" i="1"/>
  <c r="P138" i="1"/>
  <c r="P143" i="1"/>
  <c r="P149" i="1"/>
  <c r="P151" i="1"/>
  <c r="P153" i="1"/>
  <c r="P157" i="1"/>
  <c r="P162" i="1"/>
  <c r="P168" i="1"/>
  <c r="P176" i="1"/>
  <c r="P178" i="1"/>
  <c r="P185" i="1"/>
  <c r="P189" i="1"/>
  <c r="P194" i="1"/>
  <c r="P197" i="1"/>
  <c r="P198" i="1"/>
  <c r="P199" i="1"/>
  <c r="P202" i="1"/>
  <c r="P205" i="1"/>
  <c r="P211" i="1"/>
  <c r="P217" i="1"/>
  <c r="P219" i="1"/>
  <c r="P221" i="1"/>
  <c r="P223" i="1"/>
  <c r="P225" i="1"/>
  <c r="P229" i="1"/>
  <c r="P230" i="1"/>
  <c r="P231" i="1"/>
  <c r="P237" i="1"/>
  <c r="P240" i="1"/>
  <c r="P242" i="1"/>
  <c r="P251" i="1"/>
  <c r="P253" i="1"/>
  <c r="P255" i="1"/>
  <c r="P258" i="1"/>
  <c r="P262" i="1"/>
  <c r="P263" i="1"/>
  <c r="P267" i="1"/>
  <c r="P269" i="1"/>
  <c r="P271" i="1"/>
  <c r="P274" i="1"/>
  <c r="P279" i="1"/>
  <c r="P281" i="1"/>
  <c r="P284" i="1"/>
  <c r="P289" i="1"/>
  <c r="P291" i="1"/>
  <c r="P294" i="1"/>
  <c r="P295" i="1"/>
  <c r="P297" i="1"/>
  <c r="P298" i="1"/>
  <c r="P301" i="1"/>
  <c r="P304" i="1"/>
  <c r="P312" i="1"/>
  <c r="P322" i="1"/>
  <c r="P323" i="1"/>
  <c r="P324" i="1"/>
  <c r="P325" i="1"/>
  <c r="P330" i="1"/>
  <c r="P335" i="1"/>
  <c r="P339" i="1"/>
  <c r="P343" i="1"/>
  <c r="P345" i="1"/>
  <c r="P347" i="1"/>
  <c r="P353" i="1"/>
  <c r="P359" i="1"/>
  <c r="P360" i="1"/>
  <c r="P362" i="1"/>
  <c r="P363" i="1"/>
  <c r="P367" i="1"/>
  <c r="P377" i="1"/>
  <c r="P381" i="1"/>
  <c r="P383" i="1"/>
  <c r="P385" i="1"/>
  <c r="P387" i="1"/>
  <c r="P391" i="1"/>
  <c r="P392" i="1"/>
  <c r="P394" i="1"/>
  <c r="P399" i="1"/>
  <c r="P400" i="1"/>
  <c r="P411" i="1"/>
  <c r="P413" i="1"/>
  <c r="P415" i="1"/>
  <c r="P421" i="1"/>
  <c r="P422" i="1"/>
  <c r="P426" i="1"/>
  <c r="P431" i="1"/>
  <c r="P434" i="1"/>
  <c r="P441" i="1"/>
  <c r="P445" i="1"/>
  <c r="P449" i="1"/>
  <c r="P452" i="1"/>
  <c r="P455" i="1"/>
  <c r="P458" i="1"/>
  <c r="P461" i="1"/>
  <c r="P463" i="1"/>
  <c r="P465" i="1"/>
  <c r="P466" i="1"/>
  <c r="P467" i="1"/>
  <c r="P474" i="1"/>
  <c r="P476" i="1"/>
  <c r="P483" i="1"/>
  <c r="P484" i="1"/>
  <c r="P486" i="1"/>
  <c r="P493" i="1"/>
  <c r="P495" i="1"/>
  <c r="P498" i="1"/>
  <c r="P503" i="1"/>
  <c r="P504" i="1"/>
  <c r="P508" i="1"/>
  <c r="P514" i="1"/>
  <c r="P518" i="1"/>
  <c r="P520" i="1"/>
  <c r="P523" i="1"/>
  <c r="P527" i="1"/>
  <c r="P530" i="1"/>
  <c r="P534" i="1"/>
  <c r="P537" i="1"/>
  <c r="P538" i="1"/>
  <c r="P539" i="1"/>
  <c r="P543" i="1"/>
  <c r="P545" i="1"/>
  <c r="P547" i="1"/>
  <c r="P550" i="1"/>
  <c r="P552" i="1"/>
  <c r="P554" i="1"/>
  <c r="P562" i="1"/>
  <c r="P569" i="1"/>
  <c r="P573" i="1"/>
  <c r="P575" i="1"/>
  <c r="P581" i="1"/>
  <c r="P585" i="1"/>
  <c r="P586" i="1"/>
  <c r="P589" i="1"/>
  <c r="P592" i="1"/>
  <c r="P594" i="1"/>
  <c r="P595" i="1"/>
  <c r="P601" i="1"/>
  <c r="P607" i="1"/>
  <c r="P611" i="1"/>
  <c r="P616" i="1"/>
  <c r="P618" i="1"/>
  <c r="P620" i="1"/>
  <c r="P625" i="1"/>
  <c r="P633" i="1"/>
  <c r="P634" i="1"/>
  <c r="P636" i="1"/>
  <c r="P637" i="1"/>
  <c r="P639" i="1"/>
  <c r="P642" i="1"/>
  <c r="P643" i="1"/>
  <c r="P646" i="1"/>
  <c r="P647" i="1"/>
  <c r="P654" i="1"/>
  <c r="P655" i="1"/>
  <c r="P659" i="1"/>
  <c r="P665" i="1"/>
  <c r="P673" i="1"/>
  <c r="P675" i="1"/>
  <c r="P677" i="1"/>
  <c r="P679" i="1"/>
  <c r="P681" i="1"/>
  <c r="P688" i="1"/>
  <c r="P697" i="1"/>
  <c r="P699" i="1"/>
  <c r="P701" i="1"/>
  <c r="P705" i="1"/>
  <c r="P706" i="1"/>
  <c r="P709" i="1"/>
  <c r="P713" i="1"/>
  <c r="P714" i="1"/>
  <c r="P717" i="1"/>
  <c r="P722" i="1"/>
  <c r="P729" i="1"/>
  <c r="P733" i="1"/>
  <c r="P736" i="1"/>
  <c r="P738" i="1"/>
  <c r="P741" i="1"/>
  <c r="P743" i="1"/>
  <c r="P744" i="1"/>
  <c r="P749" i="1"/>
  <c r="P757" i="1"/>
  <c r="P759" i="1"/>
  <c r="P765" i="1"/>
  <c r="P769" i="1"/>
  <c r="P775" i="1"/>
  <c r="P776" i="1"/>
  <c r="P778" i="1"/>
  <c r="P779" i="1"/>
  <c r="P781" i="1"/>
  <c r="P782" i="1"/>
  <c r="P790" i="1"/>
  <c r="P797" i="1"/>
  <c r="P801" i="1"/>
  <c r="P806" i="1"/>
  <c r="P807" i="1"/>
  <c r="P809" i="1"/>
  <c r="P816" i="1"/>
  <c r="P821" i="1"/>
  <c r="P823" i="1"/>
  <c r="P826" i="1"/>
  <c r="P831" i="1"/>
  <c r="P837" i="1"/>
  <c r="P838" i="1"/>
  <c r="P839" i="1"/>
  <c r="P847" i="1"/>
  <c r="P851" i="1"/>
  <c r="P857" i="1"/>
  <c r="P861" i="1"/>
  <c r="P865" i="1"/>
  <c r="P868" i="1"/>
  <c r="P871" i="1"/>
  <c r="P877" i="1"/>
  <c r="P880" i="1"/>
  <c r="P883" i="1"/>
  <c r="P885" i="1"/>
  <c r="P887" i="1"/>
  <c r="P890" i="1"/>
  <c r="P893" i="1"/>
  <c r="P898" i="1"/>
  <c r="P901" i="1"/>
  <c r="P902" i="1"/>
  <c r="P904" i="1"/>
  <c r="P905" i="1"/>
  <c r="P906" i="1"/>
  <c r="P909" i="1"/>
  <c r="P914" i="1"/>
  <c r="P924" i="1"/>
  <c r="P927" i="1"/>
  <c r="P934" i="1"/>
  <c r="P935" i="1"/>
  <c r="P938" i="1"/>
  <c r="P953" i="1"/>
  <c r="P954" i="1"/>
  <c r="P956" i="1"/>
  <c r="P957" i="1"/>
  <c r="P959" i="1"/>
  <c r="P964" i="1"/>
  <c r="P965" i="1"/>
  <c r="P973" i="1"/>
  <c r="P975" i="1"/>
  <c r="P976" i="1"/>
  <c r="P979" i="1"/>
  <c r="P982" i="1"/>
  <c r="P989" i="1"/>
  <c r="P991" i="1"/>
  <c r="P995" i="1"/>
  <c r="P998" i="1"/>
  <c r="P1000" i="1"/>
  <c r="P1002" i="1"/>
  <c r="P1005" i="1"/>
  <c r="P1007" i="1"/>
  <c r="P1010" i="1"/>
  <c r="P1017" i="1"/>
  <c r="P1023" i="1"/>
  <c r="P1026" i="1"/>
  <c r="P1030" i="1"/>
  <c r="P1033" i="1"/>
  <c r="P1034" i="1"/>
  <c r="P1037" i="1"/>
  <c r="P1038" i="1"/>
  <c r="P1049" i="1"/>
  <c r="P1050" i="1"/>
  <c r="P1053" i="1"/>
  <c r="P1057" i="1"/>
  <c r="P1061" i="1"/>
  <c r="P1066" i="1"/>
  <c r="P1069" i="1"/>
  <c r="P1072" i="1"/>
  <c r="P1074" i="1"/>
  <c r="P1078" i="1"/>
  <c r="P1081" i="1"/>
  <c r="P1085" i="1"/>
  <c r="P1089" i="1"/>
  <c r="P1093" i="1"/>
  <c r="P1096" i="1"/>
  <c r="P1099" i="1"/>
  <c r="P1101" i="1"/>
  <c r="P1104" i="1"/>
  <c r="P1106" i="1"/>
  <c r="P1109" i="1"/>
  <c r="P1115" i="1"/>
  <c r="P1119" i="1"/>
  <c r="P1123" i="1"/>
  <c r="P1124" i="1"/>
  <c r="P1125" i="1"/>
  <c r="P1126" i="1"/>
  <c r="P1127" i="1"/>
  <c r="P1130" i="1"/>
  <c r="P1137" i="1"/>
  <c r="P1141" i="1"/>
  <c r="P1145" i="1"/>
  <c r="P1149" i="1"/>
  <c r="P1153" i="1"/>
  <c r="P1159" i="1"/>
  <c r="P1163" i="1"/>
  <c r="P1165" i="1"/>
  <c r="P1167" i="1"/>
  <c r="P1168" i="1"/>
  <c r="P1170" i="1"/>
  <c r="P1175" i="1"/>
  <c r="P1180" i="1"/>
  <c r="P1183" i="1"/>
  <c r="P1185" i="1"/>
  <c r="P1186" i="1"/>
  <c r="P1189" i="1"/>
  <c r="P1190" i="1"/>
  <c r="P1191" i="1"/>
  <c r="P1193" i="1"/>
  <c r="P1199" i="1"/>
  <c r="P1203" i="1"/>
  <c r="P1207" i="1"/>
  <c r="P1209" i="1"/>
  <c r="P1211" i="1"/>
  <c r="P1213" i="1"/>
  <c r="P1215" i="1"/>
  <c r="P1223" i="1"/>
  <c r="P1231" i="1"/>
  <c r="P1232" i="1"/>
  <c r="P1233" i="1"/>
  <c r="P1234" i="1"/>
  <c r="P1239" i="1"/>
  <c r="P1240" i="1"/>
  <c r="P1241" i="1"/>
  <c r="P1242" i="1"/>
  <c r="P1244" i="1"/>
  <c r="P1249" i="1"/>
  <c r="P1254" i="1"/>
  <c r="P1255" i="1"/>
  <c r="P1257" i="1"/>
  <c r="P1258" i="1"/>
  <c r="P1264" i="1"/>
  <c r="P1269" i="1"/>
  <c r="P1272" i="1"/>
  <c r="P1275" i="1"/>
  <c r="P1277" i="1"/>
  <c r="P1281" i="1"/>
  <c r="P1285" i="1"/>
  <c r="P1287" i="1"/>
  <c r="P1290" i="1"/>
  <c r="P1294" i="1"/>
  <c r="P1295" i="1"/>
  <c r="P1303" i="1"/>
  <c r="P1305" i="1"/>
  <c r="P1309" i="1"/>
  <c r="P1311" i="1"/>
  <c r="P1317" i="1"/>
  <c r="P1320" i="1"/>
  <c r="P1325" i="1"/>
  <c r="P1327" i="1"/>
  <c r="P1328" i="1"/>
  <c r="P1330" i="1"/>
  <c r="P1335" i="1"/>
  <c r="P1338" i="1"/>
  <c r="P1346" i="1"/>
  <c r="P1347" i="1"/>
  <c r="P1351" i="1"/>
  <c r="P1354" i="1"/>
  <c r="P1357" i="1"/>
  <c r="P1366" i="1"/>
  <c r="P1367" i="1"/>
  <c r="P1369" i="1"/>
  <c r="P1371" i="1"/>
  <c r="P1373" i="1"/>
  <c r="P1375" i="1"/>
  <c r="P1377" i="1"/>
  <c r="P1379" i="1"/>
  <c r="P1380" i="1"/>
  <c r="P1386" i="1"/>
  <c r="P1394" i="1"/>
  <c r="P1401" i="1"/>
  <c r="P1402" i="1"/>
  <c r="P1403" i="1"/>
  <c r="P1407" i="1"/>
  <c r="P1412" i="1"/>
  <c r="P1413" i="1"/>
  <c r="P1414" i="1"/>
  <c r="P1417" i="1"/>
  <c r="P1424" i="1"/>
  <c r="P1430" i="1"/>
  <c r="P1433" i="1"/>
  <c r="P1435" i="1"/>
  <c r="P1436" i="1"/>
  <c r="P1439" i="1"/>
  <c r="P1442" i="1"/>
  <c r="P1443" i="1"/>
  <c r="P1447" i="1"/>
  <c r="P1449" i="1"/>
  <c r="P1450" i="1"/>
  <c r="P1453" i="1"/>
  <c r="P1456" i="1"/>
  <c r="P1465" i="1"/>
  <c r="P1467" i="1"/>
  <c r="P1473" i="1"/>
  <c r="P1479" i="1"/>
  <c r="P1480" i="1"/>
  <c r="P1482" i="1"/>
  <c r="P1485" i="1"/>
  <c r="P1493" i="1"/>
  <c r="P1496" i="1"/>
  <c r="P1498" i="1"/>
  <c r="P1503" i="1"/>
  <c r="P1506" i="1"/>
  <c r="P1507" i="1"/>
  <c r="P1511" i="1"/>
  <c r="P1513" i="1"/>
  <c r="P1520" i="1"/>
  <c r="P1522" i="1"/>
  <c r="P1530" i="1"/>
  <c r="P1533" i="1"/>
  <c r="P1535" i="1"/>
  <c r="P1540" i="1"/>
  <c r="P1542" i="1"/>
  <c r="P1544" i="1"/>
  <c r="P1546" i="1"/>
  <c r="P1551" i="1"/>
  <c r="P1552" i="1"/>
  <c r="P1561" i="1"/>
  <c r="P1562" i="1"/>
  <c r="P1563" i="1"/>
  <c r="P1564" i="1"/>
  <c r="P1565" i="1"/>
  <c r="P1567" i="1"/>
  <c r="P1571" i="1"/>
  <c r="P1573" i="1"/>
  <c r="P1574" i="1"/>
  <c r="P1575" i="1"/>
  <c r="P1577" i="1"/>
  <c r="P1581" i="1"/>
  <c r="P1584" i="1"/>
  <c r="P1597" i="1"/>
  <c r="P1599" i="1"/>
  <c r="P1602" i="1"/>
  <c r="P1603" i="1"/>
  <c r="P1605" i="1"/>
  <c r="P1606" i="1"/>
  <c r="P1607" i="1"/>
  <c r="P1608" i="1"/>
  <c r="P1610" i="1"/>
  <c r="P1615" i="1"/>
  <c r="P1624" i="1"/>
  <c r="P1625" i="1"/>
  <c r="P1628" i="1"/>
  <c r="P1629" i="1"/>
  <c r="P1631" i="1"/>
  <c r="P1634" i="1"/>
  <c r="P1638" i="1"/>
  <c r="P1639" i="1"/>
  <c r="P1645" i="1"/>
  <c r="P1647" i="1"/>
  <c r="P1648" i="1"/>
  <c r="P1651" i="1"/>
  <c r="P1657" i="1"/>
  <c r="P1658" i="1"/>
  <c r="P1663" i="1"/>
  <c r="P1664" i="1"/>
  <c r="P1667" i="1"/>
  <c r="P1668" i="1"/>
  <c r="P1670" i="1"/>
  <c r="P1671" i="1"/>
  <c r="P1674" i="1"/>
  <c r="P1680" i="1"/>
  <c r="P1687" i="1"/>
  <c r="P1688" i="1"/>
  <c r="P1693" i="1"/>
  <c r="P1697" i="1"/>
  <c r="P1700" i="1"/>
  <c r="P1703" i="1"/>
  <c r="P1706" i="1"/>
  <c r="P1709" i="1"/>
  <c r="P1711" i="1"/>
  <c r="P1714" i="1"/>
  <c r="P1723" i="1"/>
  <c r="P1727" i="1"/>
  <c r="P1729" i="1"/>
  <c r="P1733" i="1"/>
  <c r="P1734" i="1"/>
  <c r="P1735" i="1"/>
  <c r="P1738" i="1"/>
  <c r="P1743" i="1"/>
  <c r="P1744" i="1"/>
  <c r="P1748" i="1"/>
  <c r="P1750" i="1"/>
  <c r="P1752" i="1"/>
  <c r="P1753" i="1"/>
  <c r="P1757" i="1"/>
  <c r="P1763" i="1"/>
  <c r="P1765" i="1"/>
  <c r="P1766" i="1"/>
  <c r="P1767" i="1"/>
  <c r="P1768" i="1"/>
  <c r="P1770" i="1"/>
  <c r="P1773" i="1"/>
  <c r="P1775" i="1"/>
  <c r="P1776" i="1"/>
  <c r="P1783" i="1"/>
  <c r="P1785" i="1"/>
  <c r="P1787" i="1"/>
  <c r="P1789" i="1"/>
  <c r="P1795" i="1"/>
  <c r="P1797" i="1"/>
  <c r="P1798" i="1"/>
  <c r="P1799" i="1"/>
  <c r="P1802" i="1"/>
  <c r="P1805" i="1"/>
  <c r="P1810" i="1"/>
  <c r="P1812" i="1"/>
  <c r="P1813" i="1"/>
  <c r="P1814" i="1"/>
  <c r="P1817" i="1"/>
  <c r="P1819" i="1"/>
  <c r="P1823" i="1"/>
  <c r="P1826" i="1"/>
  <c r="P1827" i="1"/>
  <c r="P1830" i="1"/>
  <c r="P1831" i="1"/>
  <c r="P1833" i="1"/>
  <c r="P1837" i="1"/>
  <c r="P1848" i="1"/>
  <c r="P1849" i="1"/>
  <c r="P1850" i="1"/>
  <c r="P1853" i="1"/>
  <c r="P1857" i="1"/>
  <c r="P1859" i="1"/>
  <c r="P1861" i="1"/>
  <c r="P1862" i="1"/>
  <c r="P1863" i="1"/>
  <c r="P1866" i="1"/>
  <c r="P1871" i="1"/>
  <c r="P1875" i="1"/>
  <c r="P1881" i="1"/>
  <c r="P1885" i="1"/>
  <c r="P1887" i="1"/>
  <c r="P1890" i="1"/>
  <c r="P1894" i="1"/>
  <c r="P1895" i="1"/>
  <c r="P1896" i="1"/>
  <c r="P1897" i="1"/>
  <c r="P1898" i="1"/>
  <c r="P1901" i="1"/>
  <c r="P1904" i="1"/>
  <c r="P1908" i="1"/>
  <c r="P1913" i="1"/>
  <c r="P1914" i="1"/>
  <c r="P1917" i="1"/>
  <c r="P1919" i="1"/>
  <c r="P1922" i="1"/>
  <c r="P1923" i="1"/>
  <c r="P1926" i="1"/>
  <c r="P1928" i="1"/>
  <c r="P1933" i="1"/>
  <c r="P1935" i="1"/>
  <c r="P1936" i="1"/>
  <c r="P1941" i="1"/>
  <c r="P1945" i="1"/>
  <c r="P1949" i="1"/>
  <c r="P1955" i="1"/>
  <c r="P1958" i="1"/>
  <c r="P1961" i="1"/>
  <c r="P1962" i="1"/>
  <c r="P1965" i="1"/>
  <c r="P1966" i="1"/>
  <c r="P1968" i="1"/>
  <c r="P1969" i="1"/>
  <c r="P1975" i="1"/>
  <c r="P1977" i="1"/>
  <c r="P1979" i="1"/>
  <c r="P1981" i="1"/>
  <c r="P1983" i="1"/>
  <c r="P1988" i="1"/>
  <c r="P1992" i="1"/>
  <c r="P1993" i="1"/>
  <c r="P1994" i="1"/>
  <c r="P2002" i="1"/>
  <c r="P2007" i="1"/>
  <c r="P2010" i="1"/>
  <c r="P2011" i="1"/>
  <c r="P2013" i="1"/>
  <c r="P2015" i="1"/>
  <c r="P2017" i="1"/>
  <c r="P2019" i="1"/>
  <c r="P2022" i="1"/>
  <c r="P2024" i="1"/>
  <c r="P2026" i="1"/>
  <c r="P2032" i="1"/>
  <c r="P2041" i="1"/>
  <c r="P2043" i="1"/>
  <c r="P2045" i="1"/>
  <c r="P2049" i="1"/>
  <c r="P2052" i="1"/>
  <c r="P2055" i="1"/>
  <c r="P2057" i="1"/>
  <c r="P2058" i="1"/>
  <c r="P2061" i="1"/>
  <c r="P2063" i="1"/>
  <c r="P2064" i="1"/>
  <c r="P2066" i="1"/>
  <c r="P2069" i="1"/>
  <c r="P2077" i="1"/>
  <c r="P2079" i="1"/>
  <c r="P2082" i="1"/>
  <c r="P2087" i="1"/>
  <c r="P2088" i="1"/>
  <c r="P2090" i="1"/>
  <c r="P2093" i="1"/>
  <c r="P2105" i="1"/>
  <c r="P2107" i="1"/>
  <c r="P2111" i="1"/>
  <c r="P2114" i="1"/>
  <c r="P2115" i="1"/>
  <c r="P2118" i="1"/>
  <c r="P2120" i="1"/>
  <c r="P2127" i="1"/>
  <c r="P2128" i="1"/>
  <c r="P2130" i="1"/>
  <c r="P2143" i="1"/>
  <c r="P2148" i="1"/>
  <c r="P2150" i="1"/>
  <c r="P2153" i="1"/>
  <c r="P2154" i="1"/>
  <c r="P2157" i="1"/>
  <c r="P2159" i="1"/>
  <c r="P2160" i="1"/>
  <c r="P2168" i="1"/>
  <c r="P2169" i="1"/>
  <c r="P2172" i="1"/>
  <c r="P2177" i="1"/>
  <c r="P2181" i="1"/>
  <c r="P2183" i="1"/>
  <c r="P2189" i="1"/>
  <c r="P2190" i="1"/>
  <c r="P2192" i="1"/>
  <c r="P2201" i="1"/>
  <c r="P2205" i="1"/>
  <c r="P2209" i="1"/>
  <c r="P2211" i="1"/>
  <c r="P2213" i="1"/>
  <c r="P2214" i="1"/>
  <c r="P2216" i="1"/>
  <c r="P2224" i="1"/>
  <c r="P2230" i="1"/>
  <c r="P2231" i="1"/>
  <c r="P2233" i="1"/>
  <c r="P2234" i="1"/>
  <c r="P2235" i="1"/>
  <c r="P2237" i="1"/>
  <c r="P2239" i="1"/>
  <c r="P2242" i="1"/>
  <c r="P2246" i="1"/>
  <c r="P2247" i="1"/>
  <c r="P2249" i="1"/>
  <c r="P2250" i="1"/>
  <c r="P2253" i="1"/>
  <c r="P2255" i="1"/>
  <c r="P2256" i="1"/>
  <c r="P2258" i="1"/>
  <c r="P2264" i="1"/>
  <c r="P2265" i="1"/>
  <c r="P2266" i="1"/>
  <c r="P2271" i="1"/>
  <c r="P2273" i="1"/>
  <c r="P2275" i="1"/>
  <c r="P2278" i="1"/>
  <c r="P2279" i="1"/>
  <c r="P2282" i="1"/>
  <c r="P2285" i="1"/>
  <c r="P2288" i="1"/>
  <c r="P2289" i="1"/>
  <c r="P2291" i="1"/>
  <c r="P2293" i="1"/>
  <c r="P2299" i="1"/>
  <c r="P2305" i="1"/>
  <c r="P2306" i="1"/>
  <c r="P2309" i="1"/>
  <c r="P2310" i="1"/>
  <c r="P2311" i="1"/>
  <c r="P2312" i="1"/>
  <c r="P2314" i="1"/>
  <c r="P2321" i="1"/>
  <c r="P2322" i="1"/>
  <c r="P2324" i="1"/>
  <c r="P2329" i="1"/>
  <c r="P2333" i="1"/>
  <c r="P2337" i="1"/>
  <c r="P2339" i="1"/>
  <c r="P2343" i="1"/>
  <c r="P2344" i="1"/>
  <c r="P2349" i="1"/>
  <c r="P2351" i="1"/>
  <c r="P2352" i="1"/>
  <c r="P2355" i="1"/>
  <c r="P2356" i="1"/>
  <c r="P2359" i="1"/>
  <c r="P2361" i="1"/>
  <c r="P2362" i="1"/>
  <c r="P2364" i="1"/>
  <c r="P2365" i="1"/>
  <c r="P2371" i="1"/>
  <c r="P2375" i="1"/>
  <c r="P2378" i="1"/>
  <c r="P2381" i="1"/>
  <c r="P2384" i="1"/>
  <c r="P2393" i="1"/>
  <c r="P2394" i="1"/>
  <c r="P2397" i="1"/>
  <c r="P2399" i="1"/>
  <c r="P2401" i="1"/>
  <c r="P2403" i="1"/>
  <c r="P2404" i="1"/>
  <c r="P2407" i="1"/>
  <c r="P2409" i="1"/>
  <c r="P2413" i="1"/>
  <c r="P2421" i="1"/>
  <c r="P2423" i="1"/>
  <c r="P2427" i="1"/>
  <c r="P2429" i="1"/>
  <c r="P2431" i="1"/>
  <c r="P2433" i="1"/>
  <c r="P2436" i="1"/>
  <c r="P2438" i="1"/>
  <c r="P2441" i="1"/>
  <c r="P2442" i="1"/>
  <c r="P2445" i="1"/>
  <c r="P2447" i="1"/>
  <c r="P2450" i="1"/>
  <c r="P2457" i="1"/>
  <c r="P2460" i="1"/>
  <c r="P2461" i="1"/>
  <c r="P2464" i="1"/>
  <c r="P2465" i="1"/>
  <c r="P2467" i="1"/>
  <c r="P2471" i="1"/>
  <c r="P2473" i="1"/>
  <c r="P2474" i="1"/>
  <c r="P2477" i="1"/>
  <c r="P2480" i="1"/>
  <c r="P2483" i="1"/>
  <c r="P2486" i="1"/>
  <c r="P2495" i="1"/>
  <c r="P2499" i="1"/>
  <c r="P2502" i="1"/>
  <c r="P2503" i="1"/>
  <c r="P2506" i="1"/>
  <c r="P2509" i="1"/>
  <c r="P2512" i="1"/>
  <c r="Q5" i="1"/>
  <c r="Q6" i="1"/>
  <c r="Q7" i="1"/>
  <c r="Q8" i="1"/>
  <c r="Q10" i="1"/>
  <c r="Q13" i="1"/>
  <c r="Q16" i="1"/>
  <c r="Q26" i="1"/>
  <c r="Q27" i="1"/>
  <c r="Q29" i="1"/>
  <c r="Q31" i="1"/>
  <c r="Q34" i="1"/>
  <c r="Q38" i="1"/>
  <c r="Q39" i="1"/>
  <c r="Q40" i="1"/>
  <c r="Q42" i="1"/>
  <c r="Q46" i="1"/>
  <c r="Q51" i="1"/>
  <c r="Q65" i="1"/>
  <c r="Q68" i="1"/>
  <c r="Q69" i="1"/>
  <c r="Q71" i="1"/>
  <c r="Q73" i="1"/>
  <c r="Q74" i="1"/>
  <c r="Q77" i="1"/>
  <c r="Q78" i="1"/>
  <c r="Q82" i="1"/>
  <c r="Q85" i="1"/>
  <c r="Q86" i="1"/>
  <c r="Q89" i="1"/>
  <c r="Q90" i="1"/>
  <c r="Q93" i="1"/>
  <c r="Q95" i="1"/>
  <c r="Q103" i="1"/>
  <c r="Q106" i="1"/>
  <c r="Q111" i="1"/>
  <c r="Q119" i="1"/>
  <c r="Q120" i="1"/>
  <c r="Q121" i="1"/>
  <c r="Q122" i="1"/>
  <c r="Q123" i="1"/>
  <c r="Q125" i="1"/>
  <c r="Q129" i="1"/>
  <c r="Q132" i="1"/>
  <c r="Q134" i="1"/>
  <c r="Q135" i="1"/>
  <c r="Q137" i="1"/>
  <c r="Q138" i="1"/>
  <c r="Q141" i="1"/>
  <c r="Q143" i="1"/>
  <c r="Q153" i="1"/>
  <c r="Q154" i="1"/>
  <c r="Q155" i="1"/>
  <c r="Q157" i="1"/>
  <c r="Q159" i="1"/>
  <c r="Q164" i="1"/>
  <c r="Q165" i="1"/>
  <c r="Q166" i="1"/>
  <c r="Q170" i="1"/>
  <c r="Q173" i="1"/>
  <c r="Q176" i="1"/>
  <c r="Q179" i="1"/>
  <c r="Q180" i="1"/>
  <c r="Q185" i="1"/>
  <c r="Q187" i="1"/>
  <c r="Q189" i="1"/>
  <c r="Q191" i="1"/>
  <c r="Q194" i="1"/>
  <c r="Q195" i="1"/>
  <c r="Q198" i="1"/>
  <c r="Q199" i="1"/>
  <c r="Q202" i="1"/>
  <c r="Q203" i="1"/>
  <c r="Q207" i="1"/>
  <c r="Q210" i="1"/>
  <c r="Q217" i="1"/>
  <c r="Q221" i="1"/>
  <c r="Q223" i="1"/>
  <c r="Q225" i="1"/>
  <c r="Q227" i="1"/>
  <c r="Q228" i="1"/>
  <c r="Q229" i="1"/>
  <c r="Q233" i="1"/>
  <c r="Q234" i="1"/>
  <c r="Q237" i="1"/>
  <c r="Q239" i="1"/>
  <c r="Q242" i="1"/>
  <c r="Q245" i="1"/>
  <c r="Q246" i="1"/>
  <c r="Q249" i="1"/>
  <c r="Q251" i="1"/>
  <c r="Q253" i="1"/>
  <c r="Q257" i="1"/>
  <c r="Q258" i="1"/>
  <c r="Q261" i="1"/>
  <c r="Q262" i="1"/>
  <c r="Q263" i="1"/>
  <c r="Q266" i="1"/>
  <c r="Q271" i="1"/>
  <c r="Q272" i="1"/>
  <c r="Q274" i="1"/>
  <c r="Q275" i="1"/>
  <c r="Q279" i="1"/>
  <c r="Q282" i="1"/>
  <c r="Q283" i="1"/>
  <c r="Q285" i="1"/>
  <c r="Q289" i="1"/>
  <c r="Q290" i="1"/>
  <c r="Q293" i="1"/>
  <c r="Q294" i="1"/>
  <c r="Q296" i="1"/>
  <c r="Q297" i="1"/>
  <c r="Q298" i="1"/>
  <c r="Q301" i="1"/>
  <c r="Q304" i="1"/>
  <c r="Q307" i="1"/>
  <c r="Q309" i="1"/>
  <c r="Q314" i="1"/>
  <c r="Q315" i="1"/>
  <c r="Q319" i="1"/>
  <c r="Q323" i="1"/>
  <c r="Q325" i="1"/>
  <c r="Q326" i="1"/>
  <c r="Q327" i="1"/>
  <c r="Q329" i="1"/>
  <c r="Q330" i="1"/>
  <c r="Q336" i="1"/>
  <c r="Q338" i="1"/>
  <c r="Q339" i="1"/>
  <c r="Q341" i="1"/>
  <c r="Q342" i="1"/>
  <c r="Q345" i="1"/>
  <c r="Q347" i="1"/>
  <c r="Q351" i="1"/>
  <c r="Q353" i="1"/>
  <c r="Q356" i="1"/>
  <c r="Q358" i="1"/>
  <c r="Q359" i="1"/>
  <c r="Q361" i="1"/>
  <c r="Q362" i="1"/>
  <c r="Q365" i="1"/>
  <c r="Q370" i="1"/>
  <c r="Q373" i="1"/>
  <c r="Q377" i="1"/>
  <c r="Q378" i="1"/>
  <c r="Q380" i="1"/>
  <c r="Q381" i="1"/>
  <c r="Q383" i="1"/>
  <c r="Q387" i="1"/>
  <c r="Q388" i="1"/>
  <c r="Q391" i="1"/>
  <c r="Q394" i="1"/>
  <c r="Q399" i="1"/>
  <c r="Q402" i="1"/>
  <c r="Q409" i="1"/>
  <c r="Q411" i="1"/>
  <c r="Q413" i="1"/>
  <c r="Q415" i="1"/>
  <c r="Q419" i="1"/>
  <c r="Q421" i="1"/>
  <c r="Q423" i="1"/>
  <c r="Q424" i="1"/>
  <c r="Q425" i="1"/>
  <c r="Q430" i="1"/>
  <c r="Q431" i="1"/>
  <c r="Q432" i="1"/>
  <c r="Q443" i="1"/>
  <c r="Q449" i="1"/>
  <c r="Q450" i="1"/>
  <c r="Q451" i="1"/>
  <c r="Q453" i="1"/>
  <c r="Q454" i="1"/>
  <c r="Q455" i="1"/>
  <c r="Q456" i="1"/>
  <c r="Q457" i="1"/>
  <c r="Q461" i="1"/>
  <c r="Q464" i="1"/>
  <c r="Q466" i="1"/>
  <c r="Q467" i="1"/>
  <c r="Q471" i="1"/>
  <c r="Q475" i="1"/>
  <c r="Q476" i="1"/>
  <c r="Q479" i="1"/>
  <c r="Q483" i="1"/>
  <c r="Q484" i="1"/>
  <c r="Q486" i="1"/>
  <c r="Q487" i="1"/>
  <c r="Q488" i="1"/>
  <c r="Q490" i="1"/>
  <c r="Q493" i="1"/>
  <c r="Q495" i="1"/>
  <c r="Q496" i="1"/>
  <c r="Q499" i="1"/>
  <c r="Q505" i="1"/>
  <c r="Q508" i="1"/>
  <c r="Q509" i="1"/>
  <c r="Q513" i="1"/>
  <c r="Q516" i="1"/>
  <c r="Q517" i="1"/>
  <c r="Q518" i="1"/>
  <c r="Q519" i="1"/>
  <c r="Q520" i="1"/>
  <c r="Q522" i="1"/>
  <c r="Q525" i="1"/>
  <c r="Q527" i="1"/>
  <c r="Q528" i="1"/>
  <c r="Q533" i="1"/>
  <c r="Q539" i="1"/>
  <c r="Q540" i="1"/>
  <c r="Q543" i="1"/>
  <c r="Q548" i="1"/>
  <c r="Q549" i="1"/>
  <c r="Q551" i="1"/>
  <c r="Q552" i="1"/>
  <c r="Q553" i="1"/>
  <c r="Q554" i="1"/>
  <c r="Q557" i="1"/>
  <c r="Q559" i="1"/>
  <c r="Q560" i="1"/>
  <c r="Q564" i="1"/>
  <c r="Q568" i="1"/>
  <c r="Q571" i="1"/>
  <c r="Q573" i="1"/>
  <c r="Q575" i="1"/>
  <c r="Q579" i="1"/>
  <c r="Q582" i="1"/>
  <c r="Q583" i="1"/>
  <c r="Q585" i="1"/>
  <c r="Q586" i="1"/>
  <c r="Q587" i="1"/>
  <c r="Q592" i="1"/>
  <c r="Q601" i="1"/>
  <c r="Q603" i="1"/>
  <c r="Q605" i="1"/>
  <c r="Q607" i="1"/>
  <c r="Q610" i="1"/>
  <c r="Q611" i="1"/>
  <c r="Q612" i="1"/>
  <c r="Q614" i="1"/>
  <c r="Q616" i="1"/>
  <c r="Q621" i="1"/>
  <c r="Q623" i="1"/>
  <c r="Q624" i="1"/>
  <c r="Q626" i="1"/>
  <c r="Q631" i="1"/>
  <c r="Q632" i="1"/>
  <c r="Q635" i="1"/>
  <c r="Q636" i="1"/>
  <c r="Q637" i="1"/>
  <c r="Q641" i="1"/>
  <c r="Q643" i="1"/>
  <c r="Q646" i="1"/>
  <c r="Q647" i="1"/>
  <c r="Q650" i="1"/>
  <c r="Q653" i="1"/>
  <c r="Q655" i="1"/>
  <c r="Q656" i="1"/>
  <c r="Q663" i="1"/>
  <c r="Q665" i="1"/>
  <c r="Q667" i="1"/>
  <c r="Q669" i="1"/>
  <c r="Q671" i="1"/>
  <c r="Q675" i="1"/>
  <c r="Q677" i="1"/>
  <c r="Q678" i="1"/>
  <c r="Q679" i="1"/>
  <c r="Q681" i="1"/>
  <c r="Q682" i="1"/>
  <c r="Q685" i="1"/>
  <c r="Q687" i="1"/>
  <c r="Q688" i="1"/>
  <c r="Q691" i="1"/>
  <c r="Q692" i="1"/>
  <c r="Q697" i="1"/>
  <c r="Q699" i="1"/>
  <c r="Q700" i="1"/>
  <c r="Q701" i="1"/>
  <c r="Q705" i="1"/>
  <c r="Q709" i="1"/>
  <c r="Q711" i="1"/>
  <c r="Q713" i="1"/>
  <c r="Q714" i="1"/>
  <c r="Q715" i="1"/>
  <c r="Q719" i="1"/>
  <c r="Q729" i="1"/>
  <c r="Q731" i="1"/>
  <c r="Q732" i="1"/>
  <c r="Q733" i="1"/>
  <c r="Q735" i="1"/>
  <c r="Q739" i="1"/>
  <c r="Q740" i="1"/>
  <c r="Q742" i="1"/>
  <c r="Q743" i="1"/>
  <c r="Q745" i="1"/>
  <c r="Q746" i="1"/>
  <c r="Q749" i="1"/>
  <c r="Q752" i="1"/>
  <c r="Q759" i="1"/>
  <c r="Q761" i="1"/>
  <c r="Q765" i="1"/>
  <c r="Q767" i="1"/>
  <c r="Q771" i="1"/>
  <c r="Q775" i="1"/>
  <c r="Q778" i="1"/>
  <c r="Q781" i="1"/>
  <c r="Q783" i="1"/>
  <c r="Q789" i="1"/>
  <c r="Q793" i="1"/>
  <c r="Q795" i="1"/>
  <c r="Q796" i="1"/>
  <c r="Q797" i="1"/>
  <c r="Q799" i="1"/>
  <c r="Q801" i="1"/>
  <c r="Q804" i="1"/>
  <c r="Q805" i="1"/>
  <c r="Q806" i="1"/>
  <c r="Q809" i="1"/>
  <c r="Q810" i="1"/>
  <c r="Q813" i="1"/>
  <c r="Q816" i="1"/>
  <c r="Q825" i="1"/>
  <c r="Q827" i="1"/>
  <c r="Q829" i="1"/>
  <c r="Q831" i="1"/>
  <c r="Q833" i="1"/>
  <c r="Q834" i="1"/>
  <c r="Q835" i="1"/>
  <c r="Q837" i="1"/>
  <c r="Q838" i="1"/>
  <c r="Q839" i="1"/>
  <c r="Q842" i="1"/>
  <c r="Q845" i="1"/>
  <c r="Q847" i="1"/>
  <c r="Q848" i="1"/>
  <c r="Q857" i="1"/>
  <c r="Q859" i="1"/>
  <c r="Q860" i="1"/>
  <c r="Q861" i="1"/>
  <c r="Q865" i="1"/>
  <c r="Q867" i="1"/>
  <c r="Q868" i="1"/>
  <c r="Q870" i="1"/>
  <c r="Q871" i="1"/>
  <c r="Q874" i="1"/>
  <c r="Q877" i="1"/>
  <c r="Q879" i="1"/>
  <c r="Q880" i="1"/>
  <c r="Q882" i="1"/>
  <c r="Q888" i="1"/>
  <c r="Q889" i="1"/>
  <c r="Q892" i="1"/>
  <c r="Q893" i="1"/>
  <c r="Q895" i="1"/>
  <c r="Q897" i="1"/>
  <c r="Q899" i="1"/>
  <c r="Q903" i="1"/>
  <c r="Q904" i="1"/>
  <c r="Q907" i="1"/>
  <c r="Q911" i="1"/>
  <c r="Q912" i="1"/>
  <c r="Q914" i="1"/>
  <c r="Q921" i="1"/>
  <c r="Q923" i="1"/>
  <c r="Q924" i="1"/>
  <c r="Q925" i="1"/>
  <c r="Q927" i="1"/>
  <c r="Q930" i="1"/>
  <c r="Q931" i="1"/>
  <c r="Q934" i="1"/>
  <c r="Q936" i="1"/>
  <c r="Q937" i="1"/>
  <c r="Q938" i="1"/>
  <c r="Q943" i="1"/>
  <c r="Q944" i="1"/>
  <c r="Q946" i="1"/>
  <c r="Q951" i="1"/>
  <c r="Q953" i="1"/>
  <c r="Q955" i="1"/>
  <c r="Q957" i="1"/>
  <c r="Q959" i="1"/>
  <c r="Q961" i="1"/>
  <c r="Q965" i="1"/>
  <c r="Q966" i="1"/>
  <c r="Q967" i="1"/>
  <c r="Q969" i="1"/>
  <c r="Q970" i="1"/>
  <c r="Q973" i="1"/>
  <c r="Q976" i="1"/>
  <c r="Q981" i="1"/>
  <c r="Q987" i="1"/>
  <c r="Q988" i="1"/>
  <c r="Q989" i="1"/>
  <c r="Q991" i="1"/>
  <c r="Q993" i="1"/>
  <c r="Q995" i="1"/>
  <c r="Q998" i="1"/>
  <c r="Q999" i="1"/>
  <c r="Q1000" i="1"/>
  <c r="Q1002" i="1"/>
  <c r="Q1010" i="1"/>
  <c r="Q1014" i="1"/>
  <c r="Q1016" i="1"/>
  <c r="Q1017" i="1"/>
  <c r="Q1020" i="1"/>
  <c r="Q1021" i="1"/>
  <c r="Q1023" i="1"/>
  <c r="Q1025" i="1"/>
  <c r="Q1027" i="1"/>
  <c r="Q1028" i="1"/>
  <c r="Q1029" i="1"/>
  <c r="Q1030" i="1"/>
  <c r="Q1031" i="1"/>
  <c r="Q1032" i="1"/>
  <c r="Q1033" i="1"/>
  <c r="Q1037" i="1"/>
  <c r="Q1039" i="1"/>
  <c r="Q1040" i="1"/>
  <c r="Q1043" i="1"/>
  <c r="Q1045" i="1"/>
  <c r="Q1049" i="1"/>
  <c r="Q1053" i="1"/>
  <c r="Q1055" i="1"/>
  <c r="Q1057" i="1"/>
  <c r="Q1061" i="1"/>
  <c r="Q1063" i="1"/>
  <c r="Q1064" i="1"/>
  <c r="Q1065" i="1"/>
  <c r="Q1066" i="1"/>
  <c r="Q1069" i="1"/>
  <c r="Q1070" i="1"/>
  <c r="Q1072" i="1"/>
  <c r="Q1075" i="1"/>
  <c r="Q1082" i="1"/>
  <c r="Q1085" i="1"/>
  <c r="Q1087" i="1"/>
  <c r="Q1091" i="1"/>
  <c r="Q1092" i="1"/>
  <c r="Q1093" i="1"/>
  <c r="Q1094" i="1"/>
  <c r="Q1095" i="1"/>
  <c r="Q1097" i="1"/>
  <c r="Q1098" i="1"/>
  <c r="Q1101" i="1"/>
  <c r="Q1104" i="1"/>
  <c r="Q1109" i="1"/>
  <c r="Q1110" i="1"/>
  <c r="Q1111" i="1"/>
  <c r="Q1115" i="1"/>
  <c r="Q1117" i="1"/>
  <c r="Q1122" i="1"/>
  <c r="Q1124" i="1"/>
  <c r="Q1125" i="1"/>
  <c r="Q1127" i="1"/>
  <c r="Q1128" i="1"/>
  <c r="Q1129" i="1"/>
  <c r="Q1130" i="1"/>
  <c r="Q1133" i="1"/>
  <c r="Q1136" i="1"/>
  <c r="Q1140" i="1"/>
  <c r="Q1142" i="1"/>
  <c r="Q1146" i="1"/>
  <c r="Q1147" i="1"/>
  <c r="Q1149" i="1"/>
  <c r="Q1151" i="1"/>
  <c r="Q1153" i="1"/>
  <c r="Q1155" i="1"/>
  <c r="Q1157" i="1"/>
  <c r="Q1158" i="1"/>
  <c r="Q1159" i="1"/>
  <c r="Q1161" i="1"/>
  <c r="Q1162" i="1"/>
  <c r="Q1165" i="1"/>
  <c r="Q1166" i="1"/>
  <c r="Q1168" i="1"/>
  <c r="Q1171" i="1"/>
  <c r="Q1178" i="1"/>
  <c r="Q1181" i="1"/>
  <c r="Q1183" i="1"/>
  <c r="Q1185" i="1"/>
  <c r="Q1187" i="1"/>
  <c r="Q1190" i="1"/>
  <c r="Q1191" i="1"/>
  <c r="Q1192" i="1"/>
  <c r="Q1194" i="1"/>
  <c r="Q1197" i="1"/>
  <c r="Q1200" i="1"/>
  <c r="Q1205" i="1"/>
  <c r="Q1206" i="1"/>
  <c r="Q1207" i="1"/>
  <c r="Q1210" i="1"/>
  <c r="Q1213" i="1"/>
  <c r="Q1218" i="1"/>
  <c r="Q1219" i="1"/>
  <c r="Q1220" i="1"/>
  <c r="Q1221" i="1"/>
  <c r="Q1222" i="1"/>
  <c r="Q1223" i="1"/>
  <c r="Q1224" i="1"/>
  <c r="Q1225" i="1"/>
  <c r="Q1226" i="1"/>
  <c r="Q1229" i="1"/>
  <c r="Q1230" i="1"/>
  <c r="Q1235" i="1"/>
  <c r="Q1239" i="1"/>
  <c r="Q1243" i="1"/>
  <c r="Q1245" i="1"/>
  <c r="Q1247" i="1"/>
  <c r="Q1251" i="1"/>
  <c r="Q1253" i="1"/>
  <c r="Q1254" i="1"/>
  <c r="Q1255" i="1"/>
  <c r="Q1256" i="1"/>
  <c r="Q1258" i="1"/>
  <c r="Q1261" i="1"/>
  <c r="Q1264" i="1"/>
  <c r="Q1266" i="1"/>
  <c r="Q1267" i="1"/>
  <c r="Q1270" i="1"/>
  <c r="Q1277" i="1"/>
  <c r="Q1279" i="1"/>
  <c r="Q1280" i="1"/>
  <c r="Q1281" i="1"/>
  <c r="Q1282" i="1"/>
  <c r="Q1283" i="1"/>
  <c r="Q1284" i="1"/>
  <c r="Q1286" i="1"/>
  <c r="Q1287" i="1"/>
  <c r="Q1290" i="1"/>
  <c r="Q1293" i="1"/>
  <c r="Q1296" i="1"/>
  <c r="Q1298" i="1"/>
  <c r="Q1299" i="1"/>
  <c r="Q1303" i="1"/>
  <c r="Q1304" i="1"/>
  <c r="Q1309" i="1"/>
  <c r="Q1313" i="1"/>
  <c r="Q1315" i="1"/>
  <c r="Q1316" i="1"/>
  <c r="Q1317" i="1"/>
  <c r="Q1318" i="1"/>
  <c r="Q1319" i="1"/>
  <c r="Q1320" i="1"/>
  <c r="Q1322" i="1"/>
  <c r="Q1324" i="1"/>
  <c r="Q1328" i="1"/>
  <c r="Q1330" i="1"/>
  <c r="Q1331" i="1"/>
  <c r="Q1341" i="1"/>
  <c r="Q1344" i="1"/>
  <c r="Q1345" i="1"/>
  <c r="Q1346" i="1"/>
  <c r="Q1349" i="1"/>
  <c r="Q1351" i="1"/>
  <c r="Q1353" i="1"/>
  <c r="Q1354" i="1"/>
  <c r="Q1357" i="1"/>
  <c r="Q1360" i="1"/>
  <c r="Q1368" i="1"/>
  <c r="Q1370" i="1"/>
  <c r="Q1371" i="1"/>
  <c r="Q1373" i="1"/>
  <c r="Q1375" i="1"/>
  <c r="Q1378" i="1"/>
  <c r="Q1381" i="1"/>
  <c r="Q1382" i="1"/>
  <c r="Q1383" i="1"/>
  <c r="Q1384" i="1"/>
  <c r="Q1385" i="1"/>
  <c r="Q1386" i="1"/>
  <c r="Q1389" i="1"/>
  <c r="Q1392" i="1"/>
  <c r="Q1397" i="1"/>
  <c r="Q1402" i="1"/>
  <c r="Q1403" i="1"/>
  <c r="Q1405" i="1"/>
  <c r="Q1407" i="1"/>
  <c r="Q1409" i="1"/>
  <c r="Q1410" i="1"/>
  <c r="Q1411" i="1"/>
  <c r="Q1412" i="1"/>
  <c r="Q1414" i="1"/>
  <c r="Q1415" i="1"/>
  <c r="Q1416" i="1"/>
  <c r="Q1418" i="1"/>
  <c r="Q1421" i="1"/>
  <c r="Q1424" i="1"/>
  <c r="Q1426" i="1"/>
  <c r="Q1427" i="1"/>
  <c r="Q1428" i="1"/>
  <c r="Q1429" i="1"/>
  <c r="Q1430" i="1"/>
  <c r="Q1434" i="1"/>
  <c r="Q1437" i="1"/>
  <c r="Q1439" i="1"/>
  <c r="Q1441" i="1"/>
  <c r="Q1442" i="1"/>
  <c r="Q1443" i="1"/>
  <c r="Q1444" i="1"/>
  <c r="Q1445" i="1"/>
  <c r="Q1446" i="1"/>
  <c r="Q1447" i="1"/>
  <c r="Q1448" i="1"/>
  <c r="Q1450" i="1"/>
  <c r="Q1453" i="1"/>
  <c r="Q1454" i="1"/>
  <c r="Q1456" i="1"/>
  <c r="Q1458" i="1"/>
  <c r="Q1459" i="1"/>
  <c r="Q1466" i="1"/>
  <c r="Q1469" i="1"/>
  <c r="Q1471" i="1"/>
  <c r="Q1473" i="1"/>
  <c r="Q1474" i="1"/>
  <c r="Q1475" i="1"/>
  <c r="Q1477" i="1"/>
  <c r="Q1478" i="1"/>
  <c r="Q1479" i="1"/>
  <c r="Q1480" i="1"/>
  <c r="Q1481" i="1"/>
  <c r="Q1482" i="1"/>
  <c r="Q1485" i="1"/>
  <c r="Q1488" i="1"/>
  <c r="Q1490" i="1"/>
  <c r="Q1499" i="1"/>
  <c r="Q1501" i="1"/>
  <c r="Q1503" i="1"/>
  <c r="Q1506" i="1"/>
  <c r="Q1507" i="1"/>
  <c r="Q1510" i="1"/>
  <c r="Q1511" i="1"/>
  <c r="Q1514" i="1"/>
  <c r="Q1517" i="1"/>
  <c r="Q1520" i="1"/>
  <c r="Q1523" i="1"/>
  <c r="Q1524" i="1"/>
  <c r="Q1528" i="1"/>
  <c r="Q1531" i="1"/>
  <c r="Q1533" i="1"/>
  <c r="Q1535" i="1"/>
  <c r="Q1537" i="1"/>
  <c r="Q1539" i="1"/>
  <c r="Q1540" i="1"/>
  <c r="Q1542" i="1"/>
  <c r="Q1543" i="1"/>
  <c r="Q1545" i="1"/>
  <c r="Q1546" i="1"/>
  <c r="Q1549" i="1"/>
  <c r="Q1552" i="1"/>
  <c r="Q1554" i="1"/>
  <c r="Q1559" i="1"/>
  <c r="Q1560" i="1"/>
  <c r="Q1563" i="1"/>
  <c r="Q1565" i="1"/>
  <c r="Q1569" i="1"/>
  <c r="Q1571" i="1"/>
  <c r="Q1573" i="1"/>
  <c r="Q1574" i="1"/>
  <c r="Q1575" i="1"/>
  <c r="Q1576" i="1"/>
  <c r="Q1578" i="1"/>
  <c r="Q1584" i="1"/>
  <c r="Q1586" i="1"/>
  <c r="Q1588" i="1"/>
  <c r="Q1590" i="1"/>
  <c r="Q1595" i="1"/>
  <c r="Q1597" i="1"/>
  <c r="Q1601" i="1"/>
  <c r="Q1605" i="1"/>
  <c r="Q1607" i="1"/>
  <c r="Q1608" i="1"/>
  <c r="Q1609" i="1"/>
  <c r="Q1610" i="1"/>
  <c r="Q1613" i="1"/>
  <c r="Q1616" i="1"/>
  <c r="Q1629" i="1"/>
  <c r="Q1631" i="1"/>
  <c r="Q1632" i="1"/>
  <c r="Q1633" i="1"/>
  <c r="Q1634" i="1"/>
  <c r="Q1637" i="1"/>
  <c r="Q1638" i="1"/>
  <c r="Q1639" i="1"/>
  <c r="Q1641" i="1"/>
  <c r="Q1642" i="1"/>
  <c r="Q1645" i="1"/>
  <c r="Q1648" i="1"/>
  <c r="Q1650" i="1"/>
  <c r="Q1653" i="1"/>
  <c r="Q1658" i="1"/>
  <c r="Q1661" i="1"/>
  <c r="Q1663" i="1"/>
  <c r="Q1665" i="1"/>
  <c r="Q1666" i="1"/>
  <c r="Q1667" i="1"/>
  <c r="Q1669" i="1"/>
  <c r="Q1670" i="1"/>
  <c r="Q1671" i="1"/>
  <c r="Q1672" i="1"/>
  <c r="Q1673" i="1"/>
  <c r="Q1674" i="1"/>
  <c r="Q1677" i="1"/>
  <c r="Q1680" i="1"/>
  <c r="Q1682" i="1"/>
  <c r="Q1690" i="1"/>
  <c r="Q1693" i="1"/>
  <c r="Q1695" i="1"/>
  <c r="Q1698" i="1"/>
  <c r="Q1699" i="1"/>
  <c r="Q1701" i="1"/>
  <c r="Q1702" i="1"/>
  <c r="Q1703" i="1"/>
  <c r="Q1704" i="1"/>
  <c r="Q1705" i="1"/>
  <c r="Q1706" i="1"/>
  <c r="Q1709" i="1"/>
  <c r="Q1712" i="1"/>
  <c r="Q1714" i="1"/>
  <c r="Q1718" i="1"/>
  <c r="Q1720" i="1"/>
  <c r="Q1723" i="1"/>
  <c r="Q1725" i="1"/>
  <c r="Q1727" i="1"/>
  <c r="Q1729" i="1"/>
  <c r="Q1731" i="1"/>
  <c r="Q1733" i="1"/>
  <c r="Q1734" i="1"/>
  <c r="Q1735" i="1"/>
  <c r="Q1736" i="1"/>
  <c r="Q1737" i="1"/>
  <c r="Q1738" i="1"/>
  <c r="Q1741" i="1"/>
  <c r="Q1742" i="1"/>
  <c r="Q1744" i="1"/>
  <c r="Q1746" i="1"/>
  <c r="Q1747" i="1"/>
  <c r="Q1755" i="1"/>
  <c r="Q1757" i="1"/>
  <c r="Q1759" i="1"/>
  <c r="Q1763" i="1"/>
  <c r="Q1765" i="1"/>
  <c r="Q1766" i="1"/>
  <c r="Q1767" i="1"/>
  <c r="Q1768" i="1"/>
  <c r="Q1769" i="1"/>
  <c r="Q1770" i="1"/>
  <c r="Q1773" i="1"/>
  <c r="Q1776" i="1"/>
  <c r="Q1778" i="1"/>
  <c r="Q1779" i="1"/>
  <c r="Q1782" i="1"/>
  <c r="Q1783" i="1"/>
  <c r="Q1784" i="1"/>
  <c r="Q1789" i="1"/>
  <c r="Q1791" i="1"/>
  <c r="Q1793" i="1"/>
  <c r="Q1794" i="1"/>
  <c r="Q1795" i="1"/>
  <c r="Q1796" i="1"/>
  <c r="Q1798" i="1"/>
  <c r="Q1799" i="1"/>
  <c r="Q1801" i="1"/>
  <c r="Q1802" i="1"/>
  <c r="Q1805" i="1"/>
  <c r="Q1808" i="1"/>
  <c r="Q1810" i="1"/>
  <c r="Q1814" i="1"/>
  <c r="Q1819" i="1"/>
  <c r="Q1821" i="1"/>
  <c r="Q1825" i="1"/>
  <c r="Q1827" i="1"/>
  <c r="Q1828" i="1"/>
  <c r="Q1829" i="1"/>
  <c r="Q1830" i="1"/>
  <c r="Q1831" i="1"/>
  <c r="Q1832" i="1"/>
  <c r="Q1834" i="1"/>
  <c r="Q1840" i="1"/>
  <c r="Q1842" i="1"/>
  <c r="Q1853" i="1"/>
  <c r="Q1860" i="1"/>
  <c r="Q1861" i="1"/>
  <c r="Q1863" i="1"/>
  <c r="Q1864" i="1"/>
  <c r="Q1865" i="1"/>
  <c r="Q1866" i="1"/>
  <c r="Q1869" i="1"/>
  <c r="Q1872" i="1"/>
  <c r="Q1873" i="1"/>
  <c r="Q1875" i="1"/>
  <c r="Q1879" i="1"/>
  <c r="Q1882" i="1"/>
  <c r="Q1883" i="1"/>
  <c r="Q1885" i="1"/>
  <c r="Q1887" i="1"/>
  <c r="Q1889" i="1"/>
  <c r="Q1893" i="1"/>
  <c r="Q1894" i="1"/>
  <c r="Q1895" i="1"/>
  <c r="Q1896" i="1"/>
  <c r="Q1897" i="1"/>
  <c r="Q1898" i="1"/>
  <c r="Q1901" i="1"/>
  <c r="Q1904" i="1"/>
  <c r="Q1906" i="1"/>
  <c r="Q1912" i="1"/>
  <c r="Q1914" i="1"/>
  <c r="Q1915" i="1"/>
  <c r="Q1917" i="1"/>
  <c r="Q1919" i="1"/>
  <c r="Q1921" i="1"/>
  <c r="Q1923" i="1"/>
  <c r="Q1924" i="1"/>
  <c r="Q1925" i="1"/>
  <c r="Q1926" i="1"/>
  <c r="Q1927" i="1"/>
  <c r="Q1928" i="1"/>
  <c r="Q1929" i="1"/>
  <c r="Q1930" i="1"/>
  <c r="Q1933" i="1"/>
  <c r="Q1936" i="1"/>
  <c r="Q1938" i="1"/>
  <c r="Q1940" i="1"/>
  <c r="Q1946" i="1"/>
  <c r="Q1949" i="1"/>
  <c r="Q1951" i="1"/>
  <c r="Q1953" i="1"/>
  <c r="Q1954" i="1"/>
  <c r="Q1955" i="1"/>
  <c r="Q1956" i="1"/>
  <c r="Q1957" i="1"/>
  <c r="Q1958" i="1"/>
  <c r="Q1959" i="1"/>
  <c r="Q1960" i="1"/>
  <c r="Q1961" i="1"/>
  <c r="Q1962" i="1"/>
  <c r="Q1965" i="1"/>
  <c r="Q1966" i="1"/>
  <c r="Q1968" i="1"/>
  <c r="Q1970" i="1"/>
  <c r="Q1974" i="1"/>
  <c r="Q1978" i="1"/>
  <c r="Q1979" i="1"/>
  <c r="Q1981" i="1"/>
  <c r="Q1983" i="1"/>
  <c r="Q1985" i="1"/>
  <c r="Q1987" i="1"/>
  <c r="Q1988" i="1"/>
  <c r="Q1989" i="1"/>
  <c r="Q1990" i="1"/>
  <c r="Q1991" i="1"/>
  <c r="Q1992" i="1"/>
  <c r="Q1994" i="1"/>
  <c r="Q1997" i="1"/>
  <c r="Q1998" i="1"/>
  <c r="Q2000" i="1"/>
  <c r="Q2002" i="1"/>
  <c r="Q2003" i="1"/>
  <c r="Q2007" i="1"/>
  <c r="Q2013" i="1"/>
  <c r="Q2015" i="1"/>
  <c r="Q2018" i="1"/>
  <c r="Q2019" i="1"/>
  <c r="Q2021" i="1"/>
  <c r="Q2022" i="1"/>
  <c r="Q2023" i="1"/>
  <c r="Q2024" i="1"/>
  <c r="Q2026" i="1"/>
  <c r="Q2029" i="1"/>
  <c r="Q2032" i="1"/>
  <c r="Q2034" i="1"/>
  <c r="Q2045" i="1"/>
  <c r="Q2047" i="1"/>
  <c r="Q2048" i="1"/>
  <c r="Q2049" i="1"/>
  <c r="Q2050" i="1"/>
  <c r="Q2051" i="1"/>
  <c r="Q2052" i="1"/>
  <c r="Q2054" i="1"/>
  <c r="Q2055" i="1"/>
  <c r="Q2057" i="1"/>
  <c r="Q2058" i="1"/>
  <c r="Q2061" i="1"/>
  <c r="Q2064" i="1"/>
  <c r="Q2066" i="1"/>
  <c r="Q2071" i="1"/>
  <c r="Q2075" i="1"/>
  <c r="Q2077" i="1"/>
  <c r="Q2081" i="1"/>
  <c r="Q2083" i="1"/>
  <c r="Q2084" i="1"/>
  <c r="Q2085" i="1"/>
  <c r="Q2086" i="1"/>
  <c r="Q2087" i="1"/>
  <c r="Q2088" i="1"/>
  <c r="Q2090" i="1"/>
  <c r="Q2096" i="1"/>
  <c r="Q2098" i="1"/>
  <c r="Q2099" i="1"/>
  <c r="Q2101" i="1"/>
  <c r="Q2102" i="1"/>
  <c r="Q2107" i="1"/>
  <c r="Q2109" i="1"/>
  <c r="Q2113" i="1"/>
  <c r="Q2114" i="1"/>
  <c r="Q2117" i="1"/>
  <c r="Q2119" i="1"/>
  <c r="Q2120" i="1"/>
  <c r="Q2122" i="1"/>
  <c r="Q2125" i="1"/>
  <c r="Q2128" i="1"/>
  <c r="Q2134" i="1"/>
  <c r="Q2135" i="1"/>
  <c r="Q2136" i="1"/>
  <c r="Q2138" i="1"/>
  <c r="Q2139" i="1"/>
  <c r="Q2141" i="1"/>
  <c r="Q2143" i="1"/>
  <c r="Q2145" i="1"/>
  <c r="Q2146" i="1"/>
  <c r="Q2148" i="1"/>
  <c r="Q2149" i="1"/>
  <c r="Q2150" i="1"/>
  <c r="Q2151" i="1"/>
  <c r="Q2152" i="1"/>
  <c r="Q2153" i="1"/>
  <c r="Q2154" i="1"/>
  <c r="Q2157" i="1"/>
  <c r="Q2160" i="1"/>
  <c r="Q2162" i="1"/>
  <c r="Q2167" i="1"/>
  <c r="Q2171" i="1"/>
  <c r="Q2173" i="1"/>
  <c r="Q2175" i="1"/>
  <c r="Q2177" i="1"/>
  <c r="Q2178" i="1"/>
  <c r="Q2179" i="1"/>
  <c r="Q2180" i="1"/>
  <c r="Q2182" i="1"/>
  <c r="Q2183" i="1"/>
  <c r="Q2185" i="1"/>
  <c r="Q2186" i="1"/>
  <c r="Q2189" i="1"/>
  <c r="Q2192" i="1"/>
  <c r="Q2194" i="1"/>
  <c r="Q2202" i="1"/>
  <c r="Q2205" i="1"/>
  <c r="Q2207" i="1"/>
  <c r="Q2209" i="1"/>
  <c r="Q2211" i="1"/>
  <c r="Q2212" i="1"/>
  <c r="Q2213" i="1"/>
  <c r="Q2214" i="1"/>
  <c r="Q2215" i="1"/>
  <c r="Q2216" i="1"/>
  <c r="Q2217" i="1"/>
  <c r="Q2218" i="1"/>
  <c r="Q2221" i="1"/>
  <c r="Q2224" i="1"/>
  <c r="Q2226" i="1"/>
  <c r="Q2227" i="1"/>
  <c r="Q2232" i="1"/>
  <c r="Q2234" i="1"/>
  <c r="Q2235" i="1"/>
  <c r="Q2237" i="1"/>
  <c r="Q2239" i="1"/>
  <c r="Q2241" i="1"/>
  <c r="Q2243" i="1"/>
  <c r="Q2245" i="1"/>
  <c r="Q2246" i="1"/>
  <c r="Q2247" i="1"/>
  <c r="Q2249" i="1"/>
  <c r="Q2250" i="1"/>
  <c r="Q2253" i="1"/>
  <c r="Q2256" i="1"/>
  <c r="Q2258" i="1"/>
  <c r="Q2262" i="1"/>
  <c r="Q2263" i="1"/>
  <c r="Q2267" i="1"/>
  <c r="Q2269" i="1"/>
  <c r="Q2271" i="1"/>
  <c r="Q2274" i="1"/>
  <c r="Q2275" i="1"/>
  <c r="Q2277" i="1"/>
  <c r="Q2278" i="1"/>
  <c r="Q2279" i="1"/>
  <c r="Q2280" i="1"/>
  <c r="Q2281" i="1"/>
  <c r="Q2282" i="1"/>
  <c r="Q2285" i="1"/>
  <c r="Q2288" i="1"/>
  <c r="Q2290" i="1"/>
  <c r="Q2291" i="1"/>
  <c r="Q2294" i="1"/>
  <c r="Q2299" i="1"/>
  <c r="Q2301" i="1"/>
  <c r="Q2303" i="1"/>
  <c r="Q2305" i="1"/>
  <c r="Q2307" i="1"/>
  <c r="Q2308" i="1"/>
  <c r="Q2310" i="1"/>
  <c r="Q2311" i="1"/>
  <c r="Q2313" i="1"/>
  <c r="Q2314" i="1"/>
  <c r="Q2317" i="1"/>
  <c r="Q2318" i="1"/>
  <c r="Q2320" i="1"/>
  <c r="Q2322" i="1"/>
  <c r="Q2327" i="1"/>
  <c r="Q2333" i="1"/>
  <c r="Q2337" i="1"/>
  <c r="Q2339" i="1"/>
  <c r="Q2340" i="1"/>
  <c r="Q2342" i="1"/>
  <c r="Q2343" i="1"/>
  <c r="Q2344" i="1"/>
  <c r="Q2346" i="1"/>
  <c r="Q2352" i="1"/>
  <c r="Q2354" i="1"/>
  <c r="Q2355" i="1"/>
  <c r="Q2356" i="1"/>
  <c r="Q2357" i="1"/>
  <c r="Q2358" i="1"/>
  <c r="Q2363" i="1"/>
  <c r="Q2365" i="1"/>
  <c r="Q2369" i="1"/>
  <c r="Q2370" i="1"/>
  <c r="Q2372" i="1"/>
  <c r="Q2373" i="1"/>
  <c r="Q2375" i="1"/>
  <c r="Q2376" i="1"/>
  <c r="Q2377" i="1"/>
  <c r="Q2378" i="1"/>
  <c r="Q2381" i="1"/>
  <c r="Q2384" i="1"/>
  <c r="Q2385" i="1"/>
  <c r="Q2389" i="1"/>
  <c r="Q2394" i="1"/>
  <c r="Q2397" i="1"/>
  <c r="Q2399" i="1"/>
  <c r="Q2400" i="1"/>
  <c r="Q2401" i="1"/>
  <c r="Q2402" i="1"/>
  <c r="Q2405" i="1"/>
  <c r="Q2406" i="1"/>
  <c r="Q2407" i="1"/>
  <c r="Q2408" i="1"/>
  <c r="Q2409" i="1"/>
  <c r="Q2410" i="1"/>
  <c r="Q2413" i="1"/>
  <c r="Q2416" i="1"/>
  <c r="Q2418" i="1"/>
  <c r="Q2424" i="1"/>
  <c r="Q2426" i="1"/>
  <c r="Q2427" i="1"/>
  <c r="Q2429" i="1"/>
  <c r="Q2431" i="1"/>
  <c r="Q2434" i="1"/>
  <c r="Q2435" i="1"/>
  <c r="Q2437" i="1"/>
  <c r="Q2438" i="1"/>
  <c r="Q2439" i="1"/>
  <c r="Q2440" i="1"/>
  <c r="Q2441" i="1"/>
  <c r="Q2442" i="1"/>
  <c r="Q2445" i="1"/>
  <c r="Q2448" i="1"/>
  <c r="Q2458" i="1"/>
  <c r="Q2461" i="1"/>
  <c r="Q2463" i="1"/>
  <c r="Q2465" i="1"/>
  <c r="Q2466" i="1"/>
  <c r="Q2467" i="1"/>
  <c r="Q2468" i="1"/>
  <c r="Q2470" i="1"/>
  <c r="Q2471" i="1"/>
  <c r="Q2472" i="1"/>
  <c r="Q2474" i="1"/>
  <c r="Q2477" i="1"/>
  <c r="Q2480" i="1"/>
  <c r="Q2482" i="1"/>
  <c r="Q2483" i="1"/>
  <c r="Q2486" i="1"/>
  <c r="Q2487" i="1"/>
  <c r="Q2488" i="1"/>
  <c r="Q2491" i="1"/>
  <c r="Q2493" i="1"/>
  <c r="Q2495" i="1"/>
  <c r="Q2497" i="1"/>
  <c r="Q2498" i="1"/>
  <c r="Q2499" i="1"/>
  <c r="Q2500" i="1"/>
  <c r="Q2501" i="1"/>
  <c r="Q2502" i="1"/>
  <c r="Q2503" i="1"/>
  <c r="Q2504" i="1"/>
  <c r="Q2505" i="1"/>
  <c r="Q2506" i="1"/>
  <c r="Q2509" i="1"/>
  <c r="Q2512" i="1"/>
  <c r="O4" i="1"/>
  <c r="P4" i="1" s="1"/>
  <c r="O5" i="1"/>
  <c r="P5" i="1" s="1"/>
  <c r="O6" i="1"/>
  <c r="P6" i="1" s="1"/>
  <c r="O7" i="1"/>
  <c r="O8" i="1"/>
  <c r="O9" i="1"/>
  <c r="O10" i="1"/>
  <c r="P10" i="1" s="1"/>
  <c r="O11" i="1"/>
  <c r="Q11" i="1" s="1"/>
  <c r="O12" i="1"/>
  <c r="Q12" i="1" s="1"/>
  <c r="O13" i="1"/>
  <c r="P13" i="1" s="1"/>
  <c r="O14" i="1"/>
  <c r="Q14" i="1" s="1"/>
  <c r="O15" i="1"/>
  <c r="P15" i="1" s="1"/>
  <c r="O16" i="1"/>
  <c r="O17" i="1"/>
  <c r="Q17" i="1" s="1"/>
  <c r="O18" i="1"/>
  <c r="O19" i="1"/>
  <c r="Q19" i="1" s="1"/>
  <c r="O20" i="1"/>
  <c r="O21" i="1"/>
  <c r="P21" i="1" s="1"/>
  <c r="O22" i="1"/>
  <c r="O23" i="1"/>
  <c r="Q23" i="1" s="1"/>
  <c r="O24" i="1"/>
  <c r="O25" i="1"/>
  <c r="Q25" i="1" s="1"/>
  <c r="O26" i="1"/>
  <c r="P26" i="1" s="1"/>
  <c r="O27" i="1"/>
  <c r="O28" i="1"/>
  <c r="Q28" i="1" s="1"/>
  <c r="O29" i="1"/>
  <c r="P29" i="1" s="1"/>
  <c r="O30" i="1"/>
  <c r="P30" i="1" s="1"/>
  <c r="O31" i="1"/>
  <c r="O32" i="1"/>
  <c r="O33" i="1"/>
  <c r="O34" i="1"/>
  <c r="P34" i="1" s="1"/>
  <c r="O35" i="1"/>
  <c r="Q35" i="1" s="1"/>
  <c r="O36" i="1"/>
  <c r="P36" i="1" s="1"/>
  <c r="O37" i="1"/>
  <c r="O38" i="1"/>
  <c r="P38" i="1" s="1"/>
  <c r="O39" i="1"/>
  <c r="O40" i="1"/>
  <c r="P40" i="1" s="1"/>
  <c r="O41" i="1"/>
  <c r="P41" i="1" s="1"/>
  <c r="O42" i="1"/>
  <c r="P42" i="1" s="1"/>
  <c r="O43" i="1"/>
  <c r="Q43" i="1" s="1"/>
  <c r="O44" i="1"/>
  <c r="P44" i="1" s="1"/>
  <c r="O45" i="1"/>
  <c r="Q45" i="1" s="1"/>
  <c r="O46" i="1"/>
  <c r="P46" i="1" s="1"/>
  <c r="O47" i="1"/>
  <c r="P47" i="1" s="1"/>
  <c r="O48" i="1"/>
  <c r="Q48" i="1" s="1"/>
  <c r="O49" i="1"/>
  <c r="P49" i="1" s="1"/>
  <c r="O50" i="1"/>
  <c r="O51" i="1"/>
  <c r="P51" i="1" s="1"/>
  <c r="O52" i="1"/>
  <c r="P52" i="1" s="1"/>
  <c r="O53" i="1"/>
  <c r="Q53" i="1" s="1"/>
  <c r="O54" i="1"/>
  <c r="O55" i="1"/>
  <c r="P55" i="1" s="1"/>
  <c r="O56" i="1"/>
  <c r="Q56" i="1" s="1"/>
  <c r="O57" i="1"/>
  <c r="Q57" i="1" s="1"/>
  <c r="O58" i="1"/>
  <c r="O59" i="1"/>
  <c r="Q59" i="1" s="1"/>
  <c r="O60" i="1"/>
  <c r="Q60" i="1" s="1"/>
  <c r="O61" i="1"/>
  <c r="Q61" i="1" s="1"/>
  <c r="O62" i="1"/>
  <c r="P62" i="1" s="1"/>
  <c r="O63" i="1"/>
  <c r="Q63" i="1" s="1"/>
  <c r="O64" i="1"/>
  <c r="O65" i="1"/>
  <c r="P65" i="1" s="1"/>
  <c r="O66" i="1"/>
  <c r="Q66" i="1" s="1"/>
  <c r="O67" i="1"/>
  <c r="Q67" i="1" s="1"/>
  <c r="O68" i="1"/>
  <c r="P68" i="1" s="1"/>
  <c r="O69" i="1"/>
  <c r="P69" i="1" s="1"/>
  <c r="O70" i="1"/>
  <c r="Q70" i="1" s="1"/>
  <c r="O71" i="1"/>
  <c r="P71" i="1" s="1"/>
  <c r="O72" i="1"/>
  <c r="Q72" i="1" s="1"/>
  <c r="O73" i="1"/>
  <c r="P73" i="1" s="1"/>
  <c r="O74" i="1"/>
  <c r="P74" i="1" s="1"/>
  <c r="O75" i="1"/>
  <c r="Q75" i="1" s="1"/>
  <c r="O76" i="1"/>
  <c r="P76" i="1" s="1"/>
  <c r="O77" i="1"/>
  <c r="O78" i="1"/>
  <c r="P78" i="1" s="1"/>
  <c r="O79" i="1"/>
  <c r="P79" i="1" s="1"/>
  <c r="O80" i="1"/>
  <c r="Q80" i="1" s="1"/>
  <c r="O81" i="1"/>
  <c r="P81" i="1" s="1"/>
  <c r="O82" i="1"/>
  <c r="P82" i="1" s="1"/>
  <c r="O83" i="1"/>
  <c r="P83" i="1" s="1"/>
  <c r="O84" i="1"/>
  <c r="P84" i="1" s="1"/>
  <c r="O85" i="1"/>
  <c r="P85" i="1" s="1"/>
  <c r="O86" i="1"/>
  <c r="P86" i="1" s="1"/>
  <c r="O87" i="1"/>
  <c r="O88" i="1"/>
  <c r="Q88" i="1" s="1"/>
  <c r="O89" i="1"/>
  <c r="O90" i="1"/>
  <c r="P90" i="1" s="1"/>
  <c r="O91" i="1"/>
  <c r="Q91" i="1" s="1"/>
  <c r="O92" i="1"/>
  <c r="Q92" i="1" s="1"/>
  <c r="O93" i="1"/>
  <c r="O94" i="1"/>
  <c r="P94" i="1" s="1"/>
  <c r="O95" i="1"/>
  <c r="P95" i="1" s="1"/>
  <c r="O96" i="1"/>
  <c r="Q96" i="1" s="1"/>
  <c r="O97" i="1"/>
  <c r="Q97" i="1" s="1"/>
  <c r="O98" i="1"/>
  <c r="O99" i="1"/>
  <c r="Q99" i="1" s="1"/>
  <c r="O100" i="1"/>
  <c r="P100" i="1" s="1"/>
  <c r="O101" i="1"/>
  <c r="O102" i="1"/>
  <c r="O103" i="1"/>
  <c r="O104" i="1"/>
  <c r="P104" i="1" s="1"/>
  <c r="O105" i="1"/>
  <c r="O106" i="1"/>
  <c r="P106" i="1" s="1"/>
  <c r="O107" i="1"/>
  <c r="P107" i="1" s="1"/>
  <c r="O108" i="1"/>
  <c r="Q108" i="1" s="1"/>
  <c r="O109" i="1"/>
  <c r="Q109" i="1" s="1"/>
  <c r="O110" i="1"/>
  <c r="Q110" i="1" s="1"/>
  <c r="O111" i="1"/>
  <c r="P111" i="1" s="1"/>
  <c r="O112" i="1"/>
  <c r="O113" i="1"/>
  <c r="Q113" i="1" s="1"/>
  <c r="O114" i="1"/>
  <c r="O115" i="1"/>
  <c r="O116" i="1"/>
  <c r="P116" i="1" s="1"/>
  <c r="O117" i="1"/>
  <c r="P117" i="1" s="1"/>
  <c r="O118" i="1"/>
  <c r="Q118" i="1" s="1"/>
  <c r="O119" i="1"/>
  <c r="O120" i="1"/>
  <c r="P120" i="1" s="1"/>
  <c r="O121" i="1"/>
  <c r="O122" i="1"/>
  <c r="O123" i="1"/>
  <c r="P123" i="1" s="1"/>
  <c r="O124" i="1"/>
  <c r="Q124" i="1" s="1"/>
  <c r="O125" i="1"/>
  <c r="O126" i="1"/>
  <c r="P126" i="1" s="1"/>
  <c r="O127" i="1"/>
  <c r="O128" i="1"/>
  <c r="O129" i="1"/>
  <c r="P129" i="1" s="1"/>
  <c r="O130" i="1"/>
  <c r="Q130" i="1" s="1"/>
  <c r="O131" i="1"/>
  <c r="O132" i="1"/>
  <c r="P132" i="1" s="1"/>
  <c r="O133" i="1"/>
  <c r="Q133" i="1" s="1"/>
  <c r="O134" i="1"/>
  <c r="O135" i="1"/>
  <c r="O136" i="1"/>
  <c r="O137" i="1"/>
  <c r="P137" i="1" s="1"/>
  <c r="O138" i="1"/>
  <c r="O139" i="1"/>
  <c r="O140" i="1"/>
  <c r="Q140" i="1" s="1"/>
  <c r="O141" i="1"/>
  <c r="P141" i="1" s="1"/>
  <c r="O142" i="1"/>
  <c r="P142" i="1" s="1"/>
  <c r="O143" i="1"/>
  <c r="O144" i="1"/>
  <c r="Q144" i="1" s="1"/>
  <c r="O145" i="1"/>
  <c r="P145" i="1" s="1"/>
  <c r="O146" i="1"/>
  <c r="O147" i="1"/>
  <c r="P147" i="1" s="1"/>
  <c r="O148" i="1"/>
  <c r="O149" i="1"/>
  <c r="Q149" i="1" s="1"/>
  <c r="O150" i="1"/>
  <c r="O151" i="1"/>
  <c r="Q151" i="1" s="1"/>
  <c r="O152" i="1"/>
  <c r="P152" i="1" s="1"/>
  <c r="O153" i="1"/>
  <c r="O154" i="1"/>
  <c r="P154" i="1" s="1"/>
  <c r="O155" i="1"/>
  <c r="P155" i="1" s="1"/>
  <c r="O156" i="1"/>
  <c r="Q156" i="1" s="1"/>
  <c r="O157" i="1"/>
  <c r="O158" i="1"/>
  <c r="P158" i="1" s="1"/>
  <c r="O159" i="1"/>
  <c r="P159" i="1" s="1"/>
  <c r="O160" i="1"/>
  <c r="Q160" i="1" s="1"/>
  <c r="O161" i="1"/>
  <c r="O162" i="1"/>
  <c r="Q162" i="1" s="1"/>
  <c r="O163" i="1"/>
  <c r="O164" i="1"/>
  <c r="P164" i="1" s="1"/>
  <c r="O165" i="1"/>
  <c r="P165" i="1" s="1"/>
  <c r="O166" i="1"/>
  <c r="P166" i="1" s="1"/>
  <c r="O167" i="1"/>
  <c r="O168" i="1"/>
  <c r="Q168" i="1" s="1"/>
  <c r="O169" i="1"/>
  <c r="P169" i="1" s="1"/>
  <c r="O170" i="1"/>
  <c r="P170" i="1" s="1"/>
  <c r="O171" i="1"/>
  <c r="P171" i="1" s="1"/>
  <c r="O172" i="1"/>
  <c r="Q172" i="1" s="1"/>
  <c r="O173" i="1"/>
  <c r="P173" i="1" s="1"/>
  <c r="O174" i="1"/>
  <c r="P174" i="1" s="1"/>
  <c r="O175" i="1"/>
  <c r="O176" i="1"/>
  <c r="O177" i="1"/>
  <c r="Q177" i="1" s="1"/>
  <c r="O178" i="1"/>
  <c r="Q178" i="1" s="1"/>
  <c r="O179" i="1"/>
  <c r="P179" i="1" s="1"/>
  <c r="O180" i="1"/>
  <c r="P180" i="1" s="1"/>
  <c r="O181" i="1"/>
  <c r="O182" i="1"/>
  <c r="Q182" i="1" s="1"/>
  <c r="O183" i="1"/>
  <c r="O184" i="1"/>
  <c r="P184" i="1" s="1"/>
  <c r="O185" i="1"/>
  <c r="O186" i="1"/>
  <c r="O187" i="1"/>
  <c r="P187" i="1" s="1"/>
  <c r="O188" i="1"/>
  <c r="O189" i="1"/>
  <c r="O190" i="1"/>
  <c r="P190" i="1" s="1"/>
  <c r="O191" i="1"/>
  <c r="P191" i="1" s="1"/>
  <c r="O192" i="1"/>
  <c r="Q192" i="1" s="1"/>
  <c r="O193" i="1"/>
  <c r="O194" i="1"/>
  <c r="O195" i="1"/>
  <c r="P195" i="1" s="1"/>
  <c r="O196" i="1"/>
  <c r="P196" i="1" s="1"/>
  <c r="O197" i="1"/>
  <c r="Q197" i="1" s="1"/>
  <c r="O198" i="1"/>
  <c r="O199" i="1"/>
  <c r="O200" i="1"/>
  <c r="O201" i="1"/>
  <c r="O202" i="1"/>
  <c r="O203" i="1"/>
  <c r="P203" i="1" s="1"/>
  <c r="O204" i="1"/>
  <c r="O205" i="1"/>
  <c r="Q205" i="1" s="1"/>
  <c r="O206" i="1"/>
  <c r="P206" i="1" s="1"/>
  <c r="O207" i="1"/>
  <c r="P207" i="1" s="1"/>
  <c r="O208" i="1"/>
  <c r="O209" i="1"/>
  <c r="P209" i="1" s="1"/>
  <c r="O210" i="1"/>
  <c r="P210" i="1" s="1"/>
  <c r="O211" i="1"/>
  <c r="Q211" i="1" s="1"/>
  <c r="O212" i="1"/>
  <c r="P212" i="1" s="1"/>
  <c r="O213" i="1"/>
  <c r="P213" i="1" s="1"/>
  <c r="O214" i="1"/>
  <c r="O215" i="1"/>
  <c r="P215" i="1" s="1"/>
  <c r="O216" i="1"/>
  <c r="Q216" i="1" s="1"/>
  <c r="O217" i="1"/>
  <c r="O218" i="1"/>
  <c r="P218" i="1" s="1"/>
  <c r="O219" i="1"/>
  <c r="Q219" i="1" s="1"/>
  <c r="O220" i="1"/>
  <c r="Q220" i="1" s="1"/>
  <c r="O221" i="1"/>
  <c r="O222" i="1"/>
  <c r="O223" i="1"/>
  <c r="O224" i="1"/>
  <c r="Q224" i="1" s="1"/>
  <c r="O225" i="1"/>
  <c r="O226" i="1"/>
  <c r="Q226" i="1" s="1"/>
  <c r="O227" i="1"/>
  <c r="P227" i="1" s="1"/>
  <c r="O228" i="1"/>
  <c r="P228" i="1" s="1"/>
  <c r="O229" i="1"/>
  <c r="O230" i="1"/>
  <c r="Q230" i="1" s="1"/>
  <c r="O231" i="1"/>
  <c r="Q231" i="1" s="1"/>
  <c r="O232" i="1"/>
  <c r="P232" i="1" s="1"/>
  <c r="O233" i="1"/>
  <c r="P233" i="1" s="1"/>
  <c r="O234" i="1"/>
  <c r="P234" i="1" s="1"/>
  <c r="O235" i="1"/>
  <c r="O236" i="1"/>
  <c r="O237" i="1"/>
  <c r="O238" i="1"/>
  <c r="P238" i="1" s="1"/>
  <c r="O239" i="1"/>
  <c r="P239" i="1" s="1"/>
  <c r="O240" i="1"/>
  <c r="Q240" i="1" s="1"/>
  <c r="O241" i="1"/>
  <c r="P241" i="1" s="1"/>
  <c r="O242" i="1"/>
  <c r="O243" i="1"/>
  <c r="O244" i="1"/>
  <c r="O245" i="1"/>
  <c r="P245" i="1" s="1"/>
  <c r="O246" i="1"/>
  <c r="P246" i="1" s="1"/>
  <c r="O247" i="1"/>
  <c r="Q247" i="1" s="1"/>
  <c r="O248" i="1"/>
  <c r="O249" i="1"/>
  <c r="P249" i="1" s="1"/>
  <c r="O250" i="1"/>
  <c r="P250" i="1" s="1"/>
  <c r="O251" i="1"/>
  <c r="O252" i="1"/>
  <c r="P252" i="1" s="1"/>
  <c r="O253" i="1"/>
  <c r="O254" i="1"/>
  <c r="P254" i="1" s="1"/>
  <c r="O255" i="1"/>
  <c r="Q255" i="1" s="1"/>
  <c r="O256" i="1"/>
  <c r="O257" i="1"/>
  <c r="P257" i="1" s="1"/>
  <c r="O258" i="1"/>
  <c r="O259" i="1"/>
  <c r="O260" i="1"/>
  <c r="Q260" i="1" s="1"/>
  <c r="O261" i="1"/>
  <c r="P261" i="1" s="1"/>
  <c r="O262" i="1"/>
  <c r="O263" i="1"/>
  <c r="O264" i="1"/>
  <c r="P264" i="1" s="1"/>
  <c r="O265" i="1"/>
  <c r="O266" i="1"/>
  <c r="P266" i="1" s="1"/>
  <c r="O267" i="1"/>
  <c r="Q267" i="1" s="1"/>
  <c r="O268" i="1"/>
  <c r="O269" i="1"/>
  <c r="Q269" i="1" s="1"/>
  <c r="O270" i="1"/>
  <c r="P270" i="1" s="1"/>
  <c r="O271" i="1"/>
  <c r="O272" i="1"/>
  <c r="P272" i="1" s="1"/>
  <c r="O273" i="1"/>
  <c r="Q273" i="1" s="1"/>
  <c r="O274" i="1"/>
  <c r="O275" i="1"/>
  <c r="P275" i="1" s="1"/>
  <c r="O276" i="1"/>
  <c r="O277" i="1"/>
  <c r="O278" i="1"/>
  <c r="Q278" i="1" s="1"/>
  <c r="O279" i="1"/>
  <c r="O280" i="1"/>
  <c r="O281" i="1"/>
  <c r="Q281" i="1" s="1"/>
  <c r="O282" i="1"/>
  <c r="P282" i="1" s="1"/>
  <c r="O283" i="1"/>
  <c r="P283" i="1" s="1"/>
  <c r="O284" i="1"/>
  <c r="Q284" i="1" s="1"/>
  <c r="O285" i="1"/>
  <c r="P285" i="1" s="1"/>
  <c r="O286" i="1"/>
  <c r="P286" i="1" s="1"/>
  <c r="O287" i="1"/>
  <c r="P287" i="1" s="1"/>
  <c r="O288" i="1"/>
  <c r="O289" i="1"/>
  <c r="O290" i="1"/>
  <c r="P290" i="1" s="1"/>
  <c r="O291" i="1"/>
  <c r="Q291" i="1" s="1"/>
  <c r="O292" i="1"/>
  <c r="O293" i="1"/>
  <c r="P293" i="1" s="1"/>
  <c r="O294" i="1"/>
  <c r="O295" i="1"/>
  <c r="Q295" i="1" s="1"/>
  <c r="O296" i="1"/>
  <c r="P296" i="1" s="1"/>
  <c r="O297" i="1"/>
  <c r="O298" i="1"/>
  <c r="O299" i="1"/>
  <c r="O300" i="1"/>
  <c r="P300" i="1" s="1"/>
  <c r="O301" i="1"/>
  <c r="O302" i="1"/>
  <c r="P302" i="1" s="1"/>
  <c r="O303" i="1"/>
  <c r="O304" i="1"/>
  <c r="O305" i="1"/>
  <c r="P305" i="1" s="1"/>
  <c r="O306" i="1"/>
  <c r="O307" i="1"/>
  <c r="P307" i="1" s="1"/>
  <c r="O308" i="1"/>
  <c r="P308" i="1" s="1"/>
  <c r="O309" i="1"/>
  <c r="P309" i="1" s="1"/>
  <c r="O310" i="1"/>
  <c r="O311" i="1"/>
  <c r="Q311" i="1" s="1"/>
  <c r="O312" i="1"/>
  <c r="Q312" i="1" s="1"/>
  <c r="O313" i="1"/>
  <c r="Q313" i="1" s="1"/>
  <c r="O314" i="1"/>
  <c r="P314" i="1" s="1"/>
  <c r="O315" i="1"/>
  <c r="P315" i="1" s="1"/>
  <c r="O316" i="1"/>
  <c r="O317" i="1"/>
  <c r="P317" i="1" s="1"/>
  <c r="O318" i="1"/>
  <c r="P318" i="1" s="1"/>
  <c r="O319" i="1"/>
  <c r="P319" i="1" s="1"/>
  <c r="O320" i="1"/>
  <c r="Q320" i="1" s="1"/>
  <c r="O321" i="1"/>
  <c r="O322" i="1"/>
  <c r="Q322" i="1" s="1"/>
  <c r="O323" i="1"/>
  <c r="O324" i="1"/>
  <c r="Q324" i="1" s="1"/>
  <c r="O325" i="1"/>
  <c r="O326" i="1"/>
  <c r="P326" i="1" s="1"/>
  <c r="O327" i="1"/>
  <c r="P327" i="1" s="1"/>
  <c r="O328" i="1"/>
  <c r="O329" i="1"/>
  <c r="P329" i="1" s="1"/>
  <c r="O330" i="1"/>
  <c r="O331" i="1"/>
  <c r="Q331" i="1" s="1"/>
  <c r="O332" i="1"/>
  <c r="P332" i="1" s="1"/>
  <c r="O333" i="1"/>
  <c r="Q333" i="1" s="1"/>
  <c r="O334" i="1"/>
  <c r="P334" i="1" s="1"/>
  <c r="O335" i="1"/>
  <c r="Q335" i="1" s="1"/>
  <c r="O336" i="1"/>
  <c r="P336" i="1" s="1"/>
  <c r="O337" i="1"/>
  <c r="Q337" i="1" s="1"/>
  <c r="O338" i="1"/>
  <c r="P338" i="1" s="1"/>
  <c r="O339" i="1"/>
  <c r="O340" i="1"/>
  <c r="P340" i="1" s="1"/>
  <c r="O341" i="1"/>
  <c r="P341" i="1" s="1"/>
  <c r="O342" i="1"/>
  <c r="P342" i="1" s="1"/>
  <c r="O343" i="1"/>
  <c r="Q343" i="1" s="1"/>
  <c r="O344" i="1"/>
  <c r="P344" i="1" s="1"/>
  <c r="O345" i="1"/>
  <c r="O346" i="1"/>
  <c r="O347" i="1"/>
  <c r="O348" i="1"/>
  <c r="O349" i="1"/>
  <c r="Q349" i="1" s="1"/>
  <c r="O350" i="1"/>
  <c r="P350" i="1" s="1"/>
  <c r="O351" i="1"/>
  <c r="P351" i="1" s="1"/>
  <c r="O352" i="1"/>
  <c r="O353" i="1"/>
  <c r="O354" i="1"/>
  <c r="Q354" i="1" s="1"/>
  <c r="O355" i="1"/>
  <c r="P355" i="1" s="1"/>
  <c r="O356" i="1"/>
  <c r="P356" i="1" s="1"/>
  <c r="O357" i="1"/>
  <c r="O358" i="1"/>
  <c r="P358" i="1" s="1"/>
  <c r="O359" i="1"/>
  <c r="O360" i="1"/>
  <c r="Q360" i="1" s="1"/>
  <c r="O361" i="1"/>
  <c r="P361" i="1" s="1"/>
  <c r="O362" i="1"/>
  <c r="O363" i="1"/>
  <c r="Q363" i="1" s="1"/>
  <c r="O364" i="1"/>
  <c r="O365" i="1"/>
  <c r="P365" i="1" s="1"/>
  <c r="O366" i="1"/>
  <c r="Q366" i="1" s="1"/>
  <c r="O367" i="1"/>
  <c r="Q367" i="1" s="1"/>
  <c r="O368" i="1"/>
  <c r="O369" i="1"/>
  <c r="P369" i="1" s="1"/>
  <c r="O370" i="1"/>
  <c r="P370" i="1" s="1"/>
  <c r="O371" i="1"/>
  <c r="O372" i="1"/>
  <c r="P372" i="1" s="1"/>
  <c r="O373" i="1"/>
  <c r="P373" i="1" s="1"/>
  <c r="O374" i="1"/>
  <c r="Q374" i="1" s="1"/>
  <c r="O375" i="1"/>
  <c r="P375" i="1" s="1"/>
  <c r="O376" i="1"/>
  <c r="Q376" i="1" s="1"/>
  <c r="O377" i="1"/>
  <c r="O378" i="1"/>
  <c r="P378" i="1" s="1"/>
  <c r="O379" i="1"/>
  <c r="O380" i="1"/>
  <c r="P380" i="1" s="1"/>
  <c r="O381" i="1"/>
  <c r="O382" i="1"/>
  <c r="P382" i="1" s="1"/>
  <c r="O383" i="1"/>
  <c r="O384" i="1"/>
  <c r="Q384" i="1" s="1"/>
  <c r="O385" i="1"/>
  <c r="Q385" i="1" s="1"/>
  <c r="O386" i="1"/>
  <c r="O387" i="1"/>
  <c r="O388" i="1"/>
  <c r="P388" i="1" s="1"/>
  <c r="O389" i="1"/>
  <c r="P389" i="1" s="1"/>
  <c r="O390" i="1"/>
  <c r="O391" i="1"/>
  <c r="O392" i="1"/>
  <c r="Q392" i="1" s="1"/>
  <c r="O393" i="1"/>
  <c r="O394" i="1"/>
  <c r="O395" i="1"/>
  <c r="P395" i="1" s="1"/>
  <c r="O396" i="1"/>
  <c r="P396" i="1" s="1"/>
  <c r="O397" i="1"/>
  <c r="P397" i="1" s="1"/>
  <c r="O398" i="1"/>
  <c r="P398" i="1" s="1"/>
  <c r="O399" i="1"/>
  <c r="O400" i="1"/>
  <c r="Q400" i="1" s="1"/>
  <c r="O401" i="1"/>
  <c r="O402" i="1"/>
  <c r="P402" i="1" s="1"/>
  <c r="O403" i="1"/>
  <c r="Q403" i="1" s="1"/>
  <c r="O404" i="1"/>
  <c r="O405" i="1"/>
  <c r="O406" i="1"/>
  <c r="P406" i="1" s="1"/>
  <c r="O407" i="1"/>
  <c r="P407" i="1" s="1"/>
  <c r="O408" i="1"/>
  <c r="Q408" i="1" s="1"/>
  <c r="O409" i="1"/>
  <c r="P409" i="1" s="1"/>
  <c r="O410" i="1"/>
  <c r="P410" i="1" s="1"/>
  <c r="O411" i="1"/>
  <c r="O412" i="1"/>
  <c r="O413" i="1"/>
  <c r="O414" i="1"/>
  <c r="P414" i="1" s="1"/>
  <c r="O415" i="1"/>
  <c r="O416" i="1"/>
  <c r="Q416" i="1" s="1"/>
  <c r="O417" i="1"/>
  <c r="O418" i="1"/>
  <c r="P418" i="1" s="1"/>
  <c r="O419" i="1"/>
  <c r="P419" i="1" s="1"/>
  <c r="O420" i="1"/>
  <c r="O421" i="1"/>
  <c r="O422" i="1"/>
  <c r="Q422" i="1" s="1"/>
  <c r="O423" i="1"/>
  <c r="P423" i="1" s="1"/>
  <c r="O424" i="1"/>
  <c r="P424" i="1" s="1"/>
  <c r="O425" i="1"/>
  <c r="P425" i="1" s="1"/>
  <c r="O426" i="1"/>
  <c r="Q426" i="1" s="1"/>
  <c r="O427" i="1"/>
  <c r="P427" i="1" s="1"/>
  <c r="O428" i="1"/>
  <c r="Q428" i="1" s="1"/>
  <c r="O429" i="1"/>
  <c r="O430" i="1"/>
  <c r="P430" i="1" s="1"/>
  <c r="O431" i="1"/>
  <c r="O432" i="1"/>
  <c r="P432" i="1" s="1"/>
  <c r="O433" i="1"/>
  <c r="Q433" i="1" s="1"/>
  <c r="O434" i="1"/>
  <c r="Q434" i="1" s="1"/>
  <c r="O435" i="1"/>
  <c r="O436" i="1"/>
  <c r="P436" i="1" s="1"/>
  <c r="O437" i="1"/>
  <c r="O438" i="1"/>
  <c r="P438" i="1" s="1"/>
  <c r="O439" i="1"/>
  <c r="O440" i="1"/>
  <c r="P440" i="1" s="1"/>
  <c r="O441" i="1"/>
  <c r="Q441" i="1" s="1"/>
  <c r="O442" i="1"/>
  <c r="O443" i="1"/>
  <c r="P443" i="1" s="1"/>
  <c r="O444" i="1"/>
  <c r="Q444" i="1" s="1"/>
  <c r="O445" i="1"/>
  <c r="Q445" i="1" s="1"/>
  <c r="O446" i="1"/>
  <c r="P446" i="1" s="1"/>
  <c r="O447" i="1"/>
  <c r="P447" i="1" s="1"/>
  <c r="O448" i="1"/>
  <c r="O449" i="1"/>
  <c r="O450" i="1"/>
  <c r="P450" i="1" s="1"/>
  <c r="O451" i="1"/>
  <c r="P451" i="1" s="1"/>
  <c r="O452" i="1"/>
  <c r="Q452" i="1" s="1"/>
  <c r="O453" i="1"/>
  <c r="P453" i="1" s="1"/>
  <c r="O454" i="1"/>
  <c r="P454" i="1" s="1"/>
  <c r="O455" i="1"/>
  <c r="O456" i="1"/>
  <c r="P456" i="1" s="1"/>
  <c r="O457" i="1"/>
  <c r="P457" i="1" s="1"/>
  <c r="O458" i="1"/>
  <c r="Q458" i="1" s="1"/>
  <c r="O459" i="1"/>
  <c r="O460" i="1"/>
  <c r="P460" i="1" s="1"/>
  <c r="O461" i="1"/>
  <c r="O462" i="1"/>
  <c r="Q462" i="1" s="1"/>
  <c r="O463" i="1"/>
  <c r="Q463" i="1" s="1"/>
  <c r="O464" i="1"/>
  <c r="P464" i="1" s="1"/>
  <c r="O465" i="1"/>
  <c r="Q465" i="1" s="1"/>
  <c r="O466" i="1"/>
  <c r="O467" i="1"/>
  <c r="O468" i="1"/>
  <c r="P468" i="1" s="1"/>
  <c r="O469" i="1"/>
  <c r="O470" i="1"/>
  <c r="P470" i="1" s="1"/>
  <c r="O471" i="1"/>
  <c r="P471" i="1" s="1"/>
  <c r="O472" i="1"/>
  <c r="P472" i="1" s="1"/>
  <c r="O473" i="1"/>
  <c r="O474" i="1"/>
  <c r="Q474" i="1" s="1"/>
  <c r="O475" i="1"/>
  <c r="P475" i="1" s="1"/>
  <c r="O476" i="1"/>
  <c r="O477" i="1"/>
  <c r="P477" i="1" s="1"/>
  <c r="O478" i="1"/>
  <c r="O479" i="1"/>
  <c r="P479" i="1" s="1"/>
  <c r="O480" i="1"/>
  <c r="Q480" i="1" s="1"/>
  <c r="O481" i="1"/>
  <c r="O482" i="1"/>
  <c r="P482" i="1" s="1"/>
  <c r="O483" i="1"/>
  <c r="O484" i="1"/>
  <c r="O485" i="1"/>
  <c r="O486" i="1"/>
  <c r="O487" i="1"/>
  <c r="P487" i="1" s="1"/>
  <c r="O488" i="1"/>
  <c r="P488" i="1" s="1"/>
  <c r="O489" i="1"/>
  <c r="O490" i="1"/>
  <c r="P490" i="1" s="1"/>
  <c r="O491" i="1"/>
  <c r="P491" i="1" s="1"/>
  <c r="O492" i="1"/>
  <c r="O493" i="1"/>
  <c r="O494" i="1"/>
  <c r="Q494" i="1" s="1"/>
  <c r="O495" i="1"/>
  <c r="O496" i="1"/>
  <c r="P496" i="1" s="1"/>
  <c r="O497" i="1"/>
  <c r="P497" i="1" s="1"/>
  <c r="O498" i="1"/>
  <c r="Q498" i="1" s="1"/>
  <c r="O499" i="1"/>
  <c r="P499" i="1" s="1"/>
  <c r="O500" i="1"/>
  <c r="P500" i="1" s="1"/>
  <c r="O501" i="1"/>
  <c r="O502" i="1"/>
  <c r="O503" i="1"/>
  <c r="Q503" i="1" s="1"/>
  <c r="O504" i="1"/>
  <c r="Q504" i="1" s="1"/>
  <c r="O505" i="1"/>
  <c r="P505" i="1" s="1"/>
  <c r="O506" i="1"/>
  <c r="Q506" i="1" s="1"/>
  <c r="O507" i="1"/>
  <c r="O508" i="1"/>
  <c r="O509" i="1"/>
  <c r="P509" i="1" s="1"/>
  <c r="O510" i="1"/>
  <c r="O511" i="1"/>
  <c r="O512" i="1"/>
  <c r="O513" i="1"/>
  <c r="P513" i="1" s="1"/>
  <c r="O514" i="1"/>
  <c r="Q514" i="1" s="1"/>
  <c r="O515" i="1"/>
  <c r="O516" i="1"/>
  <c r="P516" i="1" s="1"/>
  <c r="O517" i="1"/>
  <c r="P517" i="1" s="1"/>
  <c r="O518" i="1"/>
  <c r="O519" i="1"/>
  <c r="P519" i="1" s="1"/>
  <c r="O520" i="1"/>
  <c r="O521" i="1"/>
  <c r="P521" i="1" s="1"/>
  <c r="O522" i="1"/>
  <c r="P522" i="1" s="1"/>
  <c r="O523" i="1"/>
  <c r="Q523" i="1" s="1"/>
  <c r="O524" i="1"/>
  <c r="P524" i="1" s="1"/>
  <c r="O525" i="1"/>
  <c r="P525" i="1" s="1"/>
  <c r="O526" i="1"/>
  <c r="Q526" i="1" s="1"/>
  <c r="O527" i="1"/>
  <c r="O528" i="1"/>
  <c r="P528" i="1" s="1"/>
  <c r="O529" i="1"/>
  <c r="P529" i="1" s="1"/>
  <c r="O530" i="1"/>
  <c r="Q530" i="1" s="1"/>
  <c r="O531" i="1"/>
  <c r="O532" i="1"/>
  <c r="P532" i="1" s="1"/>
  <c r="O533" i="1"/>
  <c r="P533" i="1" s="1"/>
  <c r="O534" i="1"/>
  <c r="Q534" i="1" s="1"/>
  <c r="O535" i="1"/>
  <c r="Q535" i="1" s="1"/>
  <c r="O536" i="1"/>
  <c r="O537" i="1"/>
  <c r="Q537" i="1" s="1"/>
  <c r="O538" i="1"/>
  <c r="Q538" i="1" s="1"/>
  <c r="O539" i="1"/>
  <c r="O540" i="1"/>
  <c r="P540" i="1" s="1"/>
  <c r="O541" i="1"/>
  <c r="O542" i="1"/>
  <c r="P542" i="1" s="1"/>
  <c r="O543" i="1"/>
  <c r="O544" i="1"/>
  <c r="Q544" i="1" s="1"/>
  <c r="O545" i="1"/>
  <c r="Q545" i="1" s="1"/>
  <c r="O546" i="1"/>
  <c r="O547" i="1"/>
  <c r="Q547" i="1" s="1"/>
  <c r="O548" i="1"/>
  <c r="P548" i="1" s="1"/>
  <c r="O549" i="1"/>
  <c r="P549" i="1" s="1"/>
  <c r="O550" i="1"/>
  <c r="Q550" i="1" s="1"/>
  <c r="O551" i="1"/>
  <c r="P551" i="1" s="1"/>
  <c r="O552" i="1"/>
  <c r="O553" i="1"/>
  <c r="P553" i="1" s="1"/>
  <c r="O554" i="1"/>
  <c r="O555" i="1"/>
  <c r="P555" i="1" s="1"/>
  <c r="O556" i="1"/>
  <c r="P556" i="1" s="1"/>
  <c r="O557" i="1"/>
  <c r="P557" i="1" s="1"/>
  <c r="O558" i="1"/>
  <c r="P558" i="1" s="1"/>
  <c r="O559" i="1"/>
  <c r="P559" i="1" s="1"/>
  <c r="O560" i="1"/>
  <c r="P560" i="1" s="1"/>
  <c r="O561" i="1"/>
  <c r="P561" i="1" s="1"/>
  <c r="O562" i="1"/>
  <c r="Q562" i="1" s="1"/>
  <c r="O563" i="1"/>
  <c r="P563" i="1" s="1"/>
  <c r="O564" i="1"/>
  <c r="P564" i="1" s="1"/>
  <c r="O565" i="1"/>
  <c r="O566" i="1"/>
  <c r="P566" i="1" s="1"/>
  <c r="O567" i="1"/>
  <c r="O568" i="1"/>
  <c r="P568" i="1" s="1"/>
  <c r="O569" i="1"/>
  <c r="Q569" i="1" s="1"/>
  <c r="O570" i="1"/>
  <c r="Q570" i="1" s="1"/>
  <c r="O571" i="1"/>
  <c r="P571" i="1" s="1"/>
  <c r="O572" i="1"/>
  <c r="Q572" i="1" s="1"/>
  <c r="O573" i="1"/>
  <c r="O574" i="1"/>
  <c r="O575" i="1"/>
  <c r="O576" i="1"/>
  <c r="P576" i="1" s="1"/>
  <c r="O577" i="1"/>
  <c r="O578" i="1"/>
  <c r="O579" i="1"/>
  <c r="P579" i="1" s="1"/>
  <c r="O580" i="1"/>
  <c r="P580" i="1" s="1"/>
  <c r="O581" i="1"/>
  <c r="Q581" i="1" s="1"/>
  <c r="O582" i="1"/>
  <c r="P582" i="1" s="1"/>
  <c r="O583" i="1"/>
  <c r="P583" i="1" s="1"/>
  <c r="O584" i="1"/>
  <c r="O585" i="1"/>
  <c r="O586" i="1"/>
  <c r="O587" i="1"/>
  <c r="P587" i="1" s="1"/>
  <c r="O588" i="1"/>
  <c r="Q588" i="1" s="1"/>
  <c r="O589" i="1"/>
  <c r="Q589" i="1" s="1"/>
  <c r="O590" i="1"/>
  <c r="P590" i="1" s="1"/>
  <c r="O591" i="1"/>
  <c r="P591" i="1" s="1"/>
  <c r="O592" i="1"/>
  <c r="O593" i="1"/>
  <c r="P593" i="1" s="1"/>
  <c r="O594" i="1"/>
  <c r="Q594" i="1" s="1"/>
  <c r="O595" i="1"/>
  <c r="Q595" i="1" s="1"/>
  <c r="O596" i="1"/>
  <c r="P596" i="1" s="1"/>
  <c r="O597" i="1"/>
  <c r="P597" i="1" s="1"/>
  <c r="O598" i="1"/>
  <c r="P598" i="1" s="1"/>
  <c r="O599" i="1"/>
  <c r="Q599" i="1" s="1"/>
  <c r="O600" i="1"/>
  <c r="P600" i="1" s="1"/>
  <c r="O601" i="1"/>
  <c r="O602" i="1"/>
  <c r="O603" i="1"/>
  <c r="P603" i="1" s="1"/>
  <c r="O604" i="1"/>
  <c r="Q604" i="1" s="1"/>
  <c r="O605" i="1"/>
  <c r="P605" i="1" s="1"/>
  <c r="O606" i="1"/>
  <c r="O607" i="1"/>
  <c r="O608" i="1"/>
  <c r="O609" i="1"/>
  <c r="O610" i="1"/>
  <c r="P610" i="1" s="1"/>
  <c r="O611" i="1"/>
  <c r="O612" i="1"/>
  <c r="P612" i="1" s="1"/>
  <c r="O613" i="1"/>
  <c r="O614" i="1"/>
  <c r="P614" i="1" s="1"/>
  <c r="O615" i="1"/>
  <c r="P615" i="1" s="1"/>
  <c r="O616" i="1"/>
  <c r="O617" i="1"/>
  <c r="O618" i="1"/>
  <c r="Q618" i="1" s="1"/>
  <c r="O619" i="1"/>
  <c r="O620" i="1"/>
  <c r="Q620" i="1" s="1"/>
  <c r="O621" i="1"/>
  <c r="P621" i="1" s="1"/>
  <c r="O622" i="1"/>
  <c r="Q622" i="1" s="1"/>
  <c r="O623" i="1"/>
  <c r="P623" i="1" s="1"/>
  <c r="O624" i="1"/>
  <c r="P624" i="1" s="1"/>
  <c r="O625" i="1"/>
  <c r="Q625" i="1" s="1"/>
  <c r="O626" i="1"/>
  <c r="P626" i="1" s="1"/>
  <c r="O627" i="1"/>
  <c r="P627" i="1" s="1"/>
  <c r="O628" i="1"/>
  <c r="O629" i="1"/>
  <c r="P629" i="1" s="1"/>
  <c r="O630" i="1"/>
  <c r="P630" i="1" s="1"/>
  <c r="O631" i="1"/>
  <c r="P631" i="1" s="1"/>
  <c r="O632" i="1"/>
  <c r="P632" i="1" s="1"/>
  <c r="O633" i="1"/>
  <c r="Q633" i="1" s="1"/>
  <c r="O634" i="1"/>
  <c r="Q634" i="1" s="1"/>
  <c r="O635" i="1"/>
  <c r="P635" i="1" s="1"/>
  <c r="O636" i="1"/>
  <c r="O637" i="1"/>
  <c r="O638" i="1"/>
  <c r="O639" i="1"/>
  <c r="Q639" i="1" s="1"/>
  <c r="O640" i="1"/>
  <c r="P640" i="1" s="1"/>
  <c r="O641" i="1"/>
  <c r="P641" i="1" s="1"/>
  <c r="O642" i="1"/>
  <c r="Q642" i="1" s="1"/>
  <c r="O643" i="1"/>
  <c r="O644" i="1"/>
  <c r="O645" i="1"/>
  <c r="P645" i="1" s="1"/>
  <c r="O646" i="1"/>
  <c r="O647" i="1"/>
  <c r="O648" i="1"/>
  <c r="O649" i="1"/>
  <c r="O650" i="1"/>
  <c r="P650" i="1" s="1"/>
  <c r="O651" i="1"/>
  <c r="P651" i="1" s="1"/>
  <c r="O652" i="1"/>
  <c r="Q652" i="1" s="1"/>
  <c r="O653" i="1"/>
  <c r="P653" i="1" s="1"/>
  <c r="O654" i="1"/>
  <c r="Q654" i="1" s="1"/>
  <c r="O655" i="1"/>
  <c r="O656" i="1"/>
  <c r="P656" i="1" s="1"/>
  <c r="O657" i="1"/>
  <c r="Q657" i="1" s="1"/>
  <c r="O658" i="1"/>
  <c r="O659" i="1"/>
  <c r="Q659" i="1" s="1"/>
  <c r="O660" i="1"/>
  <c r="P660" i="1" s="1"/>
  <c r="O661" i="1"/>
  <c r="P661" i="1" s="1"/>
  <c r="O662" i="1"/>
  <c r="P662" i="1" s="1"/>
  <c r="O663" i="1"/>
  <c r="P663" i="1" s="1"/>
  <c r="O664" i="1"/>
  <c r="Q664" i="1" s="1"/>
  <c r="O665" i="1"/>
  <c r="O666" i="1"/>
  <c r="O667" i="1"/>
  <c r="P667" i="1" s="1"/>
  <c r="O668" i="1"/>
  <c r="Q668" i="1" s="1"/>
  <c r="O669" i="1"/>
  <c r="P669" i="1" s="1"/>
  <c r="O670" i="1"/>
  <c r="O671" i="1"/>
  <c r="P671" i="1" s="1"/>
  <c r="O672" i="1"/>
  <c r="P672" i="1" s="1"/>
  <c r="O673" i="1"/>
  <c r="Q673" i="1" s="1"/>
  <c r="O674" i="1"/>
  <c r="P674" i="1" s="1"/>
  <c r="O675" i="1"/>
  <c r="O676" i="1"/>
  <c r="O677" i="1"/>
  <c r="O678" i="1"/>
  <c r="P678" i="1" s="1"/>
  <c r="O679" i="1"/>
  <c r="O680" i="1"/>
  <c r="P680" i="1" s="1"/>
  <c r="O681" i="1"/>
  <c r="O682" i="1"/>
  <c r="P682" i="1" s="1"/>
  <c r="O683" i="1"/>
  <c r="O684" i="1"/>
  <c r="O685" i="1"/>
  <c r="P685" i="1" s="1"/>
  <c r="O686" i="1"/>
  <c r="Q686" i="1" s="1"/>
  <c r="O687" i="1"/>
  <c r="P687" i="1" s="1"/>
  <c r="O688" i="1"/>
  <c r="O689" i="1"/>
  <c r="O690" i="1"/>
  <c r="P690" i="1" s="1"/>
  <c r="O691" i="1"/>
  <c r="P691" i="1" s="1"/>
  <c r="O692" i="1"/>
  <c r="P692" i="1" s="1"/>
  <c r="O693" i="1"/>
  <c r="O694" i="1"/>
  <c r="P694" i="1" s="1"/>
  <c r="O695" i="1"/>
  <c r="Q695" i="1" s="1"/>
  <c r="O696" i="1"/>
  <c r="O697" i="1"/>
  <c r="O698" i="1"/>
  <c r="O699" i="1"/>
  <c r="O700" i="1"/>
  <c r="P700" i="1" s="1"/>
  <c r="O701" i="1"/>
  <c r="O702" i="1"/>
  <c r="O703" i="1"/>
  <c r="O704" i="1"/>
  <c r="P704" i="1" s="1"/>
  <c r="O705" i="1"/>
  <c r="O706" i="1"/>
  <c r="Q706" i="1" s="1"/>
  <c r="O707" i="1"/>
  <c r="Q707" i="1" s="1"/>
  <c r="O708" i="1"/>
  <c r="P708" i="1" s="1"/>
  <c r="O709" i="1"/>
  <c r="O710" i="1"/>
  <c r="O711" i="1"/>
  <c r="P711" i="1" s="1"/>
  <c r="O712" i="1"/>
  <c r="P712" i="1" s="1"/>
  <c r="O713" i="1"/>
  <c r="O714" i="1"/>
  <c r="O715" i="1"/>
  <c r="P715" i="1" s="1"/>
  <c r="O716" i="1"/>
  <c r="P716" i="1" s="1"/>
  <c r="O717" i="1"/>
  <c r="Q717" i="1" s="1"/>
  <c r="O718" i="1"/>
  <c r="P718" i="1" s="1"/>
  <c r="O719" i="1"/>
  <c r="P719" i="1" s="1"/>
  <c r="O720" i="1"/>
  <c r="O721" i="1"/>
  <c r="P721" i="1" s="1"/>
  <c r="O722" i="1"/>
  <c r="Q722" i="1" s="1"/>
  <c r="O723" i="1"/>
  <c r="Q723" i="1" s="1"/>
  <c r="O724" i="1"/>
  <c r="O725" i="1"/>
  <c r="P725" i="1" s="1"/>
  <c r="O726" i="1"/>
  <c r="P726" i="1" s="1"/>
  <c r="O727" i="1"/>
  <c r="P727" i="1" s="1"/>
  <c r="O728" i="1"/>
  <c r="Q728" i="1" s="1"/>
  <c r="O729" i="1"/>
  <c r="O730" i="1"/>
  <c r="O731" i="1"/>
  <c r="P731" i="1" s="1"/>
  <c r="O732" i="1"/>
  <c r="P732" i="1" s="1"/>
  <c r="O733" i="1"/>
  <c r="O734" i="1"/>
  <c r="O735" i="1"/>
  <c r="P735" i="1" s="1"/>
  <c r="O736" i="1"/>
  <c r="Q736" i="1" s="1"/>
  <c r="O737" i="1"/>
  <c r="O738" i="1"/>
  <c r="Q738" i="1" s="1"/>
  <c r="O739" i="1"/>
  <c r="P739" i="1" s="1"/>
  <c r="O740" i="1"/>
  <c r="P740" i="1" s="1"/>
  <c r="O741" i="1"/>
  <c r="Q741" i="1" s="1"/>
  <c r="O742" i="1"/>
  <c r="P742" i="1" s="1"/>
  <c r="O743" i="1"/>
  <c r="O744" i="1"/>
  <c r="Q744" i="1" s="1"/>
  <c r="O745" i="1"/>
  <c r="P745" i="1" s="1"/>
  <c r="O746" i="1"/>
  <c r="P746" i="1" s="1"/>
  <c r="O747" i="1"/>
  <c r="O748" i="1"/>
  <c r="P748" i="1" s="1"/>
  <c r="O749" i="1"/>
  <c r="O750" i="1"/>
  <c r="O751" i="1"/>
  <c r="O752" i="1"/>
  <c r="P752" i="1" s="1"/>
  <c r="O753" i="1"/>
  <c r="P753" i="1" s="1"/>
  <c r="O754" i="1"/>
  <c r="O755" i="1"/>
  <c r="P755" i="1" s="1"/>
  <c r="O756" i="1"/>
  <c r="P756" i="1" s="1"/>
  <c r="O757" i="1"/>
  <c r="Q757" i="1" s="1"/>
  <c r="O758" i="1"/>
  <c r="P758" i="1" s="1"/>
  <c r="O759" i="1"/>
  <c r="O760" i="1"/>
  <c r="P760" i="1" s="1"/>
  <c r="O761" i="1"/>
  <c r="P761" i="1" s="1"/>
  <c r="O762" i="1"/>
  <c r="O763" i="1"/>
  <c r="P763" i="1" s="1"/>
  <c r="O764" i="1"/>
  <c r="O765" i="1"/>
  <c r="O766" i="1"/>
  <c r="P766" i="1" s="1"/>
  <c r="O767" i="1"/>
  <c r="P767" i="1" s="1"/>
  <c r="O768" i="1"/>
  <c r="O769" i="1"/>
  <c r="Q769" i="1" s="1"/>
  <c r="O770" i="1"/>
  <c r="Q770" i="1" s="1"/>
  <c r="O771" i="1"/>
  <c r="P771" i="1" s="1"/>
  <c r="O772" i="1"/>
  <c r="P772" i="1" s="1"/>
  <c r="O773" i="1"/>
  <c r="O774" i="1"/>
  <c r="O775" i="1"/>
  <c r="O776" i="1"/>
  <c r="Q776" i="1" s="1"/>
  <c r="O777" i="1"/>
  <c r="O778" i="1"/>
  <c r="O779" i="1"/>
  <c r="Q779" i="1" s="1"/>
  <c r="O780" i="1"/>
  <c r="P780" i="1" s="1"/>
  <c r="O781" i="1"/>
  <c r="O782" i="1"/>
  <c r="Q782" i="1" s="1"/>
  <c r="O783" i="1"/>
  <c r="P783" i="1" s="1"/>
  <c r="O784" i="1"/>
  <c r="O785" i="1"/>
  <c r="P785" i="1" s="1"/>
  <c r="O786" i="1"/>
  <c r="O787" i="1"/>
  <c r="O788" i="1"/>
  <c r="P788" i="1" s="1"/>
  <c r="O789" i="1"/>
  <c r="P789" i="1" s="1"/>
  <c r="O790" i="1"/>
  <c r="Q790" i="1" s="1"/>
  <c r="O791" i="1"/>
  <c r="P791" i="1" s="1"/>
  <c r="O792" i="1"/>
  <c r="P792" i="1" s="1"/>
  <c r="O793" i="1"/>
  <c r="P793" i="1" s="1"/>
  <c r="O794" i="1"/>
  <c r="O795" i="1"/>
  <c r="P795" i="1" s="1"/>
  <c r="O796" i="1"/>
  <c r="P796" i="1" s="1"/>
  <c r="O797" i="1"/>
  <c r="O798" i="1"/>
  <c r="P798" i="1" s="1"/>
  <c r="O799" i="1"/>
  <c r="P799" i="1" s="1"/>
  <c r="O800" i="1"/>
  <c r="P800" i="1" s="1"/>
  <c r="O801" i="1"/>
  <c r="O802" i="1"/>
  <c r="O803" i="1"/>
  <c r="O804" i="1"/>
  <c r="P804" i="1" s="1"/>
  <c r="O805" i="1"/>
  <c r="P805" i="1" s="1"/>
  <c r="O806" i="1"/>
  <c r="O807" i="1"/>
  <c r="Q807" i="1" s="1"/>
  <c r="O808" i="1"/>
  <c r="O809" i="1"/>
  <c r="O810" i="1"/>
  <c r="P810" i="1" s="1"/>
  <c r="O811" i="1"/>
  <c r="Q811" i="1" s="1"/>
  <c r="O812" i="1"/>
  <c r="O813" i="1"/>
  <c r="P813" i="1" s="1"/>
  <c r="O814" i="1"/>
  <c r="P814" i="1" s="1"/>
  <c r="O815" i="1"/>
  <c r="O816" i="1"/>
  <c r="O817" i="1"/>
  <c r="Q817" i="1" s="1"/>
  <c r="O818" i="1"/>
  <c r="P818" i="1" s="1"/>
  <c r="O819" i="1"/>
  <c r="P819" i="1" s="1"/>
  <c r="O820" i="1"/>
  <c r="O821" i="1"/>
  <c r="Q821" i="1" s="1"/>
  <c r="O822" i="1"/>
  <c r="P822" i="1" s="1"/>
  <c r="O823" i="1"/>
  <c r="Q823" i="1" s="1"/>
  <c r="O824" i="1"/>
  <c r="Q824" i="1" s="1"/>
  <c r="O825" i="1"/>
  <c r="P825" i="1" s="1"/>
  <c r="O826" i="1"/>
  <c r="Q826" i="1" s="1"/>
  <c r="O827" i="1"/>
  <c r="P827" i="1" s="1"/>
  <c r="O828" i="1"/>
  <c r="O829" i="1"/>
  <c r="P829" i="1" s="1"/>
  <c r="O830" i="1"/>
  <c r="P830" i="1" s="1"/>
  <c r="O831" i="1"/>
  <c r="O832" i="1"/>
  <c r="Q832" i="1" s="1"/>
  <c r="O833" i="1"/>
  <c r="P833" i="1" s="1"/>
  <c r="O834" i="1"/>
  <c r="P834" i="1" s="1"/>
  <c r="O835" i="1"/>
  <c r="P835" i="1" s="1"/>
  <c r="O836" i="1"/>
  <c r="O837" i="1"/>
  <c r="O838" i="1"/>
  <c r="O839" i="1"/>
  <c r="O840" i="1"/>
  <c r="O841" i="1"/>
  <c r="O842" i="1"/>
  <c r="P842" i="1" s="1"/>
  <c r="O843" i="1"/>
  <c r="Q843" i="1" s="1"/>
  <c r="O844" i="1"/>
  <c r="Q844" i="1" s="1"/>
  <c r="O845" i="1"/>
  <c r="P845" i="1" s="1"/>
  <c r="O846" i="1"/>
  <c r="Q846" i="1" s="1"/>
  <c r="O847" i="1"/>
  <c r="O848" i="1"/>
  <c r="P848" i="1" s="1"/>
  <c r="O849" i="1"/>
  <c r="Q849" i="1" s="1"/>
  <c r="O850" i="1"/>
  <c r="O851" i="1"/>
  <c r="Q851" i="1" s="1"/>
  <c r="O852" i="1"/>
  <c r="P852" i="1" s="1"/>
  <c r="O853" i="1"/>
  <c r="O854" i="1"/>
  <c r="Q854" i="1" s="1"/>
  <c r="O855" i="1"/>
  <c r="O856" i="1"/>
  <c r="O857" i="1"/>
  <c r="O858" i="1"/>
  <c r="Q858" i="1" s="1"/>
  <c r="O859" i="1"/>
  <c r="P859" i="1" s="1"/>
  <c r="O860" i="1"/>
  <c r="P860" i="1" s="1"/>
  <c r="O861" i="1"/>
  <c r="O862" i="1"/>
  <c r="P862" i="1" s="1"/>
  <c r="O863" i="1"/>
  <c r="P863" i="1" s="1"/>
  <c r="O864" i="1"/>
  <c r="P864" i="1" s="1"/>
  <c r="O865" i="1"/>
  <c r="O866" i="1"/>
  <c r="Q866" i="1" s="1"/>
  <c r="O867" i="1"/>
  <c r="P867" i="1" s="1"/>
  <c r="O868" i="1"/>
  <c r="O869" i="1"/>
  <c r="O870" i="1"/>
  <c r="P870" i="1" s="1"/>
  <c r="O871" i="1"/>
  <c r="O872" i="1"/>
  <c r="P872" i="1" s="1"/>
  <c r="O873" i="1"/>
  <c r="O874" i="1"/>
  <c r="P874" i="1" s="1"/>
  <c r="O875" i="1"/>
  <c r="P875" i="1" s="1"/>
  <c r="O876" i="1"/>
  <c r="O877" i="1"/>
  <c r="O878" i="1"/>
  <c r="P878" i="1" s="1"/>
  <c r="O879" i="1"/>
  <c r="P879" i="1" s="1"/>
  <c r="O880" i="1"/>
  <c r="O881" i="1"/>
  <c r="P881" i="1" s="1"/>
  <c r="O882" i="1"/>
  <c r="P882" i="1" s="1"/>
  <c r="O883" i="1"/>
  <c r="Q883" i="1" s="1"/>
  <c r="O884" i="1"/>
  <c r="P884" i="1" s="1"/>
  <c r="O885" i="1"/>
  <c r="Q885" i="1" s="1"/>
  <c r="O886" i="1"/>
  <c r="O887" i="1"/>
  <c r="Q887" i="1" s="1"/>
  <c r="O888" i="1"/>
  <c r="P888" i="1" s="1"/>
  <c r="O889" i="1"/>
  <c r="P889" i="1" s="1"/>
  <c r="O890" i="1"/>
  <c r="Q890" i="1" s="1"/>
  <c r="O891" i="1"/>
  <c r="O892" i="1"/>
  <c r="P892" i="1" s="1"/>
  <c r="O893" i="1"/>
  <c r="O894" i="1"/>
  <c r="O895" i="1"/>
  <c r="P895" i="1" s="1"/>
  <c r="O896" i="1"/>
  <c r="P896" i="1" s="1"/>
  <c r="O897" i="1"/>
  <c r="P897" i="1" s="1"/>
  <c r="O898" i="1"/>
  <c r="Q898" i="1" s="1"/>
  <c r="O899" i="1"/>
  <c r="P899" i="1" s="1"/>
  <c r="O900" i="1"/>
  <c r="P900" i="1" s="1"/>
  <c r="O901" i="1"/>
  <c r="Q901" i="1" s="1"/>
  <c r="O902" i="1"/>
  <c r="Q902" i="1" s="1"/>
  <c r="O903" i="1"/>
  <c r="P903" i="1" s="1"/>
  <c r="O904" i="1"/>
  <c r="O905" i="1"/>
  <c r="Q905" i="1" s="1"/>
  <c r="O906" i="1"/>
  <c r="Q906" i="1" s="1"/>
  <c r="O907" i="1"/>
  <c r="P907" i="1" s="1"/>
  <c r="O908" i="1"/>
  <c r="Q908" i="1" s="1"/>
  <c r="O909" i="1"/>
  <c r="Q909" i="1" s="1"/>
  <c r="O910" i="1"/>
  <c r="Q910" i="1" s="1"/>
  <c r="O911" i="1"/>
  <c r="P911" i="1" s="1"/>
  <c r="O912" i="1"/>
  <c r="P912" i="1" s="1"/>
  <c r="O913" i="1"/>
  <c r="Q913" i="1" s="1"/>
  <c r="O914" i="1"/>
  <c r="O915" i="1"/>
  <c r="P915" i="1" s="1"/>
  <c r="O916" i="1"/>
  <c r="Q916" i="1" s="1"/>
  <c r="O917" i="1"/>
  <c r="P917" i="1" s="1"/>
  <c r="O918" i="1"/>
  <c r="P918" i="1" s="1"/>
  <c r="O919" i="1"/>
  <c r="O920" i="1"/>
  <c r="Q920" i="1" s="1"/>
  <c r="O921" i="1"/>
  <c r="P921" i="1" s="1"/>
  <c r="O922" i="1"/>
  <c r="O923" i="1"/>
  <c r="P923" i="1" s="1"/>
  <c r="O924" i="1"/>
  <c r="O925" i="1"/>
  <c r="P925" i="1" s="1"/>
  <c r="O926" i="1"/>
  <c r="P926" i="1" s="1"/>
  <c r="O927" i="1"/>
  <c r="O928" i="1"/>
  <c r="P928" i="1" s="1"/>
  <c r="O929" i="1"/>
  <c r="O930" i="1"/>
  <c r="P930" i="1" s="1"/>
  <c r="O931" i="1"/>
  <c r="P931" i="1" s="1"/>
  <c r="O932" i="1"/>
  <c r="O933" i="1"/>
  <c r="O934" i="1"/>
  <c r="O935" i="1"/>
  <c r="Q935" i="1" s="1"/>
  <c r="O936" i="1"/>
  <c r="P936" i="1" s="1"/>
  <c r="O937" i="1"/>
  <c r="P937" i="1" s="1"/>
  <c r="O938" i="1"/>
  <c r="O939" i="1"/>
  <c r="Q939" i="1" s="1"/>
  <c r="O940" i="1"/>
  <c r="P940" i="1" s="1"/>
  <c r="O941" i="1"/>
  <c r="P941" i="1" s="1"/>
  <c r="O942" i="1"/>
  <c r="Q942" i="1" s="1"/>
  <c r="O943" i="1"/>
  <c r="P943" i="1" s="1"/>
  <c r="O944" i="1"/>
  <c r="P944" i="1" s="1"/>
  <c r="O945" i="1"/>
  <c r="Q945" i="1" s="1"/>
  <c r="O946" i="1"/>
  <c r="P946" i="1" s="1"/>
  <c r="O947" i="1"/>
  <c r="P947" i="1" s="1"/>
  <c r="O948" i="1"/>
  <c r="P948" i="1" s="1"/>
  <c r="O949" i="1"/>
  <c r="Q949" i="1" s="1"/>
  <c r="O950" i="1"/>
  <c r="P950" i="1" s="1"/>
  <c r="O951" i="1"/>
  <c r="P951" i="1" s="1"/>
  <c r="O952" i="1"/>
  <c r="O953" i="1"/>
  <c r="O954" i="1"/>
  <c r="Q954" i="1" s="1"/>
  <c r="O955" i="1"/>
  <c r="P955" i="1" s="1"/>
  <c r="O956" i="1"/>
  <c r="Q956" i="1" s="1"/>
  <c r="O957" i="1"/>
  <c r="O958" i="1"/>
  <c r="P958" i="1" s="1"/>
  <c r="O959" i="1"/>
  <c r="O960" i="1"/>
  <c r="Q960" i="1" s="1"/>
  <c r="O961" i="1"/>
  <c r="P961" i="1" s="1"/>
  <c r="O962" i="1"/>
  <c r="Q962" i="1" s="1"/>
  <c r="O963" i="1"/>
  <c r="P963" i="1" s="1"/>
  <c r="O964" i="1"/>
  <c r="Q964" i="1" s="1"/>
  <c r="O965" i="1"/>
  <c r="O966" i="1"/>
  <c r="P966" i="1" s="1"/>
  <c r="O967" i="1"/>
  <c r="P967" i="1" s="1"/>
  <c r="O968" i="1"/>
  <c r="O969" i="1"/>
  <c r="P969" i="1" s="1"/>
  <c r="O970" i="1"/>
  <c r="P970" i="1" s="1"/>
  <c r="O971" i="1"/>
  <c r="O972" i="1"/>
  <c r="O973" i="1"/>
  <c r="O974" i="1"/>
  <c r="P974" i="1" s="1"/>
  <c r="O975" i="1"/>
  <c r="Q975" i="1" s="1"/>
  <c r="O976" i="1"/>
  <c r="O977" i="1"/>
  <c r="P977" i="1" s="1"/>
  <c r="O978" i="1"/>
  <c r="P978" i="1" s="1"/>
  <c r="O979" i="1"/>
  <c r="Q979" i="1" s="1"/>
  <c r="O980" i="1"/>
  <c r="Q980" i="1" s="1"/>
  <c r="O981" i="1"/>
  <c r="P981" i="1" s="1"/>
  <c r="O982" i="1"/>
  <c r="Q982" i="1" s="1"/>
  <c r="O983" i="1"/>
  <c r="P983" i="1" s="1"/>
  <c r="O984" i="1"/>
  <c r="O985" i="1"/>
  <c r="P985" i="1" s="1"/>
  <c r="O986" i="1"/>
  <c r="Q986" i="1" s="1"/>
  <c r="O987" i="1"/>
  <c r="P987" i="1" s="1"/>
  <c r="O988" i="1"/>
  <c r="P988" i="1" s="1"/>
  <c r="O989" i="1"/>
  <c r="O990" i="1"/>
  <c r="P990" i="1" s="1"/>
  <c r="O991" i="1"/>
  <c r="O992" i="1"/>
  <c r="P992" i="1" s="1"/>
  <c r="O993" i="1"/>
  <c r="P993" i="1" s="1"/>
  <c r="O994" i="1"/>
  <c r="P994" i="1" s="1"/>
  <c r="O995" i="1"/>
  <c r="O996" i="1"/>
  <c r="P996" i="1" s="1"/>
  <c r="O997" i="1"/>
  <c r="Q997" i="1" s="1"/>
  <c r="O998" i="1"/>
  <c r="O999" i="1"/>
  <c r="P999" i="1" s="1"/>
  <c r="O1000" i="1"/>
  <c r="O1001" i="1"/>
  <c r="O1002" i="1"/>
  <c r="O1003" i="1"/>
  <c r="P1003" i="1" s="1"/>
  <c r="O1004" i="1"/>
  <c r="P1004" i="1" s="1"/>
  <c r="O1005" i="1"/>
  <c r="Q1005" i="1" s="1"/>
  <c r="O1006" i="1"/>
  <c r="P1006" i="1" s="1"/>
  <c r="O1007" i="1"/>
  <c r="Q1007" i="1" s="1"/>
  <c r="O1008" i="1"/>
  <c r="O1009" i="1"/>
  <c r="P1009" i="1" s="1"/>
  <c r="O1010" i="1"/>
  <c r="O1011" i="1"/>
  <c r="Q1011" i="1" s="1"/>
  <c r="O1012" i="1"/>
  <c r="Q1012" i="1" s="1"/>
  <c r="O1013" i="1"/>
  <c r="P1013" i="1" s="1"/>
  <c r="O1014" i="1"/>
  <c r="P1014" i="1" s="1"/>
  <c r="O1015" i="1"/>
  <c r="O1016" i="1"/>
  <c r="P1016" i="1" s="1"/>
  <c r="O1017" i="1"/>
  <c r="O1018" i="1"/>
  <c r="O1019" i="1"/>
  <c r="Q1019" i="1" s="1"/>
  <c r="O1020" i="1"/>
  <c r="P1020" i="1" s="1"/>
  <c r="O1021" i="1"/>
  <c r="P1021" i="1" s="1"/>
  <c r="O1022" i="1"/>
  <c r="P1022" i="1" s="1"/>
  <c r="O1023" i="1"/>
  <c r="O1024" i="1"/>
  <c r="Q1024" i="1" s="1"/>
  <c r="O1025" i="1"/>
  <c r="P1025" i="1" s="1"/>
  <c r="O1026" i="1"/>
  <c r="Q1026" i="1" s="1"/>
  <c r="O1027" i="1"/>
  <c r="P1027" i="1" s="1"/>
  <c r="O1028" i="1"/>
  <c r="P1028" i="1" s="1"/>
  <c r="O1029" i="1"/>
  <c r="P1029" i="1" s="1"/>
  <c r="O1030" i="1"/>
  <c r="O1031" i="1"/>
  <c r="P1031" i="1" s="1"/>
  <c r="O1032" i="1"/>
  <c r="P1032" i="1" s="1"/>
  <c r="O1033" i="1"/>
  <c r="O1034" i="1"/>
  <c r="Q1034" i="1" s="1"/>
  <c r="O1035" i="1"/>
  <c r="P1035" i="1" s="1"/>
  <c r="O1036" i="1"/>
  <c r="O1037" i="1"/>
  <c r="O1038" i="1"/>
  <c r="Q1038" i="1" s="1"/>
  <c r="O1039" i="1"/>
  <c r="P1039" i="1" s="1"/>
  <c r="O1040" i="1"/>
  <c r="P1040" i="1" s="1"/>
  <c r="O1041" i="1"/>
  <c r="Q1041" i="1" s="1"/>
  <c r="O1042" i="1"/>
  <c r="O1043" i="1"/>
  <c r="P1043" i="1" s="1"/>
  <c r="O1044" i="1"/>
  <c r="P1044" i="1" s="1"/>
  <c r="O1045" i="1"/>
  <c r="P1045" i="1" s="1"/>
  <c r="O1046" i="1"/>
  <c r="O1047" i="1"/>
  <c r="P1047" i="1" s="1"/>
  <c r="O1048" i="1"/>
  <c r="O1049" i="1"/>
  <c r="O1050" i="1"/>
  <c r="Q1050" i="1" s="1"/>
  <c r="O1051" i="1"/>
  <c r="O1052" i="1"/>
  <c r="O1053" i="1"/>
  <c r="O1054" i="1"/>
  <c r="P1054" i="1" s="1"/>
  <c r="O1055" i="1"/>
  <c r="P1055" i="1" s="1"/>
  <c r="O1056" i="1"/>
  <c r="Q1056" i="1" s="1"/>
  <c r="O1057" i="1"/>
  <c r="O1058" i="1"/>
  <c r="P1058" i="1" s="1"/>
  <c r="O1059" i="1"/>
  <c r="P1059" i="1" s="1"/>
  <c r="O1060" i="1"/>
  <c r="Q1060" i="1" s="1"/>
  <c r="O1061" i="1"/>
  <c r="O1062" i="1"/>
  <c r="P1062" i="1" s="1"/>
  <c r="O1063" i="1"/>
  <c r="P1063" i="1" s="1"/>
  <c r="O1064" i="1"/>
  <c r="P1064" i="1" s="1"/>
  <c r="O1065" i="1"/>
  <c r="P1065" i="1" s="1"/>
  <c r="O1066" i="1"/>
  <c r="O1067" i="1"/>
  <c r="Q1067" i="1" s="1"/>
  <c r="O1068" i="1"/>
  <c r="P1068" i="1" s="1"/>
  <c r="O1069" i="1"/>
  <c r="O1070" i="1"/>
  <c r="P1070" i="1" s="1"/>
  <c r="O1071" i="1"/>
  <c r="O1072" i="1"/>
  <c r="O1073" i="1"/>
  <c r="P1073" i="1" s="1"/>
  <c r="O1074" i="1"/>
  <c r="Q1074" i="1" s="1"/>
  <c r="O1075" i="1"/>
  <c r="P1075" i="1" s="1"/>
  <c r="O1076" i="1"/>
  <c r="Q1076" i="1" s="1"/>
  <c r="O1077" i="1"/>
  <c r="P1077" i="1" s="1"/>
  <c r="O1078" i="1"/>
  <c r="Q1078" i="1" s="1"/>
  <c r="O1079" i="1"/>
  <c r="P1079" i="1" s="1"/>
  <c r="O1080" i="1"/>
  <c r="O1081" i="1"/>
  <c r="Q1081" i="1" s="1"/>
  <c r="O1082" i="1"/>
  <c r="P1082" i="1" s="1"/>
  <c r="O1083" i="1"/>
  <c r="P1083" i="1" s="1"/>
  <c r="O1084" i="1"/>
  <c r="O1085" i="1"/>
  <c r="O1086" i="1"/>
  <c r="O1087" i="1"/>
  <c r="P1087" i="1" s="1"/>
  <c r="O1088" i="1"/>
  <c r="P1088" i="1" s="1"/>
  <c r="O1089" i="1"/>
  <c r="Q1089" i="1" s="1"/>
  <c r="O1090" i="1"/>
  <c r="Q1090" i="1" s="1"/>
  <c r="O1091" i="1"/>
  <c r="P1091" i="1" s="1"/>
  <c r="O1092" i="1"/>
  <c r="P1092" i="1" s="1"/>
  <c r="O1093" i="1"/>
  <c r="O1094" i="1"/>
  <c r="P1094" i="1" s="1"/>
  <c r="O1095" i="1"/>
  <c r="P1095" i="1" s="1"/>
  <c r="O1096" i="1"/>
  <c r="Q1096" i="1" s="1"/>
  <c r="O1097" i="1"/>
  <c r="P1097" i="1" s="1"/>
  <c r="O1098" i="1"/>
  <c r="P1098" i="1" s="1"/>
  <c r="O1099" i="1"/>
  <c r="Q1099" i="1" s="1"/>
  <c r="O1100" i="1"/>
  <c r="O1101" i="1"/>
  <c r="O1102" i="1"/>
  <c r="P1102" i="1" s="1"/>
  <c r="O1103" i="1"/>
  <c r="O1104" i="1"/>
  <c r="O1105" i="1"/>
  <c r="Q1105" i="1" s="1"/>
  <c r="O1106" i="1"/>
  <c r="Q1106" i="1" s="1"/>
  <c r="O1107" i="1"/>
  <c r="P1107" i="1" s="1"/>
  <c r="O1108" i="1"/>
  <c r="P1108" i="1" s="1"/>
  <c r="O1109" i="1"/>
  <c r="O1110" i="1"/>
  <c r="P1110" i="1" s="1"/>
  <c r="O1111" i="1"/>
  <c r="P1111" i="1" s="1"/>
  <c r="O1112" i="1"/>
  <c r="P1112" i="1" s="1"/>
  <c r="O1113" i="1"/>
  <c r="P1113" i="1" s="1"/>
  <c r="O1114" i="1"/>
  <c r="O1115" i="1"/>
  <c r="O1116" i="1"/>
  <c r="O1117" i="1"/>
  <c r="P1117" i="1" s="1"/>
  <c r="O1118" i="1"/>
  <c r="P1118" i="1" s="1"/>
  <c r="O1119" i="1"/>
  <c r="Q1119" i="1" s="1"/>
  <c r="O1120" i="1"/>
  <c r="P1120" i="1" s="1"/>
  <c r="O1121" i="1"/>
  <c r="P1121" i="1" s="1"/>
  <c r="O1122" i="1"/>
  <c r="P1122" i="1" s="1"/>
  <c r="O1123" i="1"/>
  <c r="Q1123" i="1" s="1"/>
  <c r="O1124" i="1"/>
  <c r="O1125" i="1"/>
  <c r="O1126" i="1"/>
  <c r="Q1126" i="1" s="1"/>
  <c r="O1127" i="1"/>
  <c r="O1128" i="1"/>
  <c r="P1128" i="1" s="1"/>
  <c r="O1129" i="1"/>
  <c r="P1129" i="1" s="1"/>
  <c r="O1130" i="1"/>
  <c r="O1131" i="1"/>
  <c r="O1132" i="1"/>
  <c r="Q1132" i="1" s="1"/>
  <c r="O1133" i="1"/>
  <c r="P1133" i="1" s="1"/>
  <c r="O1134" i="1"/>
  <c r="Q1134" i="1" s="1"/>
  <c r="O1135" i="1"/>
  <c r="Q1135" i="1" s="1"/>
  <c r="O1136" i="1"/>
  <c r="P1136" i="1" s="1"/>
  <c r="O1137" i="1"/>
  <c r="Q1137" i="1" s="1"/>
  <c r="O1138" i="1"/>
  <c r="O1139" i="1"/>
  <c r="Q1139" i="1" s="1"/>
  <c r="O1140" i="1"/>
  <c r="P1140" i="1" s="1"/>
  <c r="O1141" i="1"/>
  <c r="Q1141" i="1" s="1"/>
  <c r="O1142" i="1"/>
  <c r="P1142" i="1" s="1"/>
  <c r="O1143" i="1"/>
  <c r="P1143" i="1" s="1"/>
  <c r="O1144" i="1"/>
  <c r="P1144" i="1" s="1"/>
  <c r="O1145" i="1"/>
  <c r="Q1145" i="1" s="1"/>
  <c r="O1146" i="1"/>
  <c r="P1146" i="1" s="1"/>
  <c r="O1147" i="1"/>
  <c r="P1147" i="1" s="1"/>
  <c r="O1148" i="1"/>
  <c r="Q1148" i="1" s="1"/>
  <c r="O1149" i="1"/>
  <c r="O1150" i="1"/>
  <c r="P1150" i="1" s="1"/>
  <c r="O1151" i="1"/>
  <c r="P1151" i="1" s="1"/>
  <c r="O1152" i="1"/>
  <c r="Q1152" i="1" s="1"/>
  <c r="O1153" i="1"/>
  <c r="O1154" i="1"/>
  <c r="P1154" i="1" s="1"/>
  <c r="O1155" i="1"/>
  <c r="P1155" i="1" s="1"/>
  <c r="O1156" i="1"/>
  <c r="O1157" i="1"/>
  <c r="P1157" i="1" s="1"/>
  <c r="O1158" i="1"/>
  <c r="P1158" i="1" s="1"/>
  <c r="O1159" i="1"/>
  <c r="O1160" i="1"/>
  <c r="Q1160" i="1" s="1"/>
  <c r="O1161" i="1"/>
  <c r="P1161" i="1" s="1"/>
  <c r="O1162" i="1"/>
  <c r="P1162" i="1" s="1"/>
  <c r="O1163" i="1"/>
  <c r="Q1163" i="1" s="1"/>
  <c r="O1164" i="1"/>
  <c r="O1165" i="1"/>
  <c r="O1166" i="1"/>
  <c r="P1166" i="1" s="1"/>
  <c r="O1167" i="1"/>
  <c r="Q1167" i="1" s="1"/>
  <c r="O1168" i="1"/>
  <c r="O1169" i="1"/>
  <c r="P1169" i="1" s="1"/>
  <c r="O1170" i="1"/>
  <c r="Q1170" i="1" s="1"/>
  <c r="O1171" i="1"/>
  <c r="P1171" i="1" s="1"/>
  <c r="O1172" i="1"/>
  <c r="P1172" i="1" s="1"/>
  <c r="O1173" i="1"/>
  <c r="O1174" i="1"/>
  <c r="P1174" i="1" s="1"/>
  <c r="O1175" i="1"/>
  <c r="Q1175" i="1" s="1"/>
  <c r="O1176" i="1"/>
  <c r="O1177" i="1"/>
  <c r="Q1177" i="1" s="1"/>
  <c r="O1178" i="1"/>
  <c r="P1178" i="1" s="1"/>
  <c r="O1179" i="1"/>
  <c r="P1179" i="1" s="1"/>
  <c r="O1180" i="1"/>
  <c r="Q1180" i="1" s="1"/>
  <c r="O1181" i="1"/>
  <c r="P1181" i="1" s="1"/>
  <c r="O1182" i="1"/>
  <c r="P1182" i="1" s="1"/>
  <c r="O1183" i="1"/>
  <c r="O1184" i="1"/>
  <c r="P1184" i="1" s="1"/>
  <c r="O1185" i="1"/>
  <c r="O1186" i="1"/>
  <c r="Q1186" i="1" s="1"/>
  <c r="O1187" i="1"/>
  <c r="P1187" i="1" s="1"/>
  <c r="O1188" i="1"/>
  <c r="P1188" i="1" s="1"/>
  <c r="O1189" i="1"/>
  <c r="Q1189" i="1" s="1"/>
  <c r="O1190" i="1"/>
  <c r="O1191" i="1"/>
  <c r="O1192" i="1"/>
  <c r="P1192" i="1" s="1"/>
  <c r="O1193" i="1"/>
  <c r="Q1193" i="1" s="1"/>
  <c r="O1194" i="1"/>
  <c r="P1194" i="1" s="1"/>
  <c r="O1195" i="1"/>
  <c r="Q1195" i="1" s="1"/>
  <c r="O1196" i="1"/>
  <c r="P1196" i="1" s="1"/>
  <c r="O1197" i="1"/>
  <c r="P1197" i="1" s="1"/>
  <c r="O1198" i="1"/>
  <c r="O1199" i="1"/>
  <c r="Q1199" i="1" s="1"/>
  <c r="O1200" i="1"/>
  <c r="P1200" i="1" s="1"/>
  <c r="O1201" i="1"/>
  <c r="Q1201" i="1" s="1"/>
  <c r="O1202" i="1"/>
  <c r="O1203" i="1"/>
  <c r="Q1203" i="1" s="1"/>
  <c r="O1204" i="1"/>
  <c r="Q1204" i="1" s="1"/>
  <c r="O1205" i="1"/>
  <c r="P1205" i="1" s="1"/>
  <c r="O1206" i="1"/>
  <c r="P1206" i="1" s="1"/>
  <c r="O1207" i="1"/>
  <c r="O1208" i="1"/>
  <c r="P1208" i="1" s="1"/>
  <c r="O1209" i="1"/>
  <c r="Q1209" i="1" s="1"/>
  <c r="O1210" i="1"/>
  <c r="P1210" i="1" s="1"/>
  <c r="O1211" i="1"/>
  <c r="Q1211" i="1" s="1"/>
  <c r="O1212" i="1"/>
  <c r="O1213" i="1"/>
  <c r="O1214" i="1"/>
  <c r="P1214" i="1" s="1"/>
  <c r="O1215" i="1"/>
  <c r="Q1215" i="1" s="1"/>
  <c r="O1216" i="1"/>
  <c r="P1216" i="1" s="1"/>
  <c r="O1217" i="1"/>
  <c r="P1217" i="1" s="1"/>
  <c r="O1218" i="1"/>
  <c r="P1218" i="1" s="1"/>
  <c r="O1219" i="1"/>
  <c r="P1219" i="1" s="1"/>
  <c r="O1220" i="1"/>
  <c r="P1220" i="1" s="1"/>
  <c r="O1221" i="1"/>
  <c r="P1221" i="1" s="1"/>
  <c r="O1222" i="1"/>
  <c r="P1222" i="1" s="1"/>
  <c r="O1223" i="1"/>
  <c r="O1224" i="1"/>
  <c r="P1224" i="1" s="1"/>
  <c r="O1225" i="1"/>
  <c r="P1225" i="1" s="1"/>
  <c r="O1226" i="1"/>
  <c r="P1226" i="1" s="1"/>
  <c r="O1227" i="1"/>
  <c r="O1228" i="1"/>
  <c r="P1228" i="1" s="1"/>
  <c r="O1229" i="1"/>
  <c r="P1229" i="1" s="1"/>
  <c r="O1230" i="1"/>
  <c r="P1230" i="1" s="1"/>
  <c r="O1231" i="1"/>
  <c r="Q1231" i="1" s="1"/>
  <c r="O1232" i="1"/>
  <c r="Q1232" i="1" s="1"/>
  <c r="O1233" i="1"/>
  <c r="Q1233" i="1" s="1"/>
  <c r="O1234" i="1"/>
  <c r="Q1234" i="1" s="1"/>
  <c r="O1235" i="1"/>
  <c r="P1235" i="1" s="1"/>
  <c r="O1236" i="1"/>
  <c r="Q1236" i="1" s="1"/>
  <c r="O1237" i="1"/>
  <c r="Q1237" i="1" s="1"/>
  <c r="O1238" i="1"/>
  <c r="P1238" i="1" s="1"/>
  <c r="O1239" i="1"/>
  <c r="O1240" i="1"/>
  <c r="Q1240" i="1" s="1"/>
  <c r="O1241" i="1"/>
  <c r="Q1241" i="1" s="1"/>
  <c r="O1242" i="1"/>
  <c r="Q1242" i="1" s="1"/>
  <c r="O1243" i="1"/>
  <c r="P1243" i="1" s="1"/>
  <c r="O1244" i="1"/>
  <c r="Q1244" i="1" s="1"/>
  <c r="O1245" i="1"/>
  <c r="P1245" i="1" s="1"/>
  <c r="O1246" i="1"/>
  <c r="P1246" i="1" s="1"/>
  <c r="O1247" i="1"/>
  <c r="P1247" i="1" s="1"/>
  <c r="O1248" i="1"/>
  <c r="Q1248" i="1" s="1"/>
  <c r="O1249" i="1"/>
  <c r="Q1249" i="1" s="1"/>
  <c r="O1250" i="1"/>
  <c r="P1250" i="1" s="1"/>
  <c r="O1251" i="1"/>
  <c r="P1251" i="1" s="1"/>
  <c r="O1252" i="1"/>
  <c r="O1253" i="1"/>
  <c r="P1253" i="1" s="1"/>
  <c r="O1254" i="1"/>
  <c r="O1255" i="1"/>
  <c r="O1256" i="1"/>
  <c r="P1256" i="1" s="1"/>
  <c r="O1257" i="1"/>
  <c r="Q1257" i="1" s="1"/>
  <c r="O1258" i="1"/>
  <c r="O1259" i="1"/>
  <c r="Q1259" i="1" s="1"/>
  <c r="O1260" i="1"/>
  <c r="P1260" i="1" s="1"/>
  <c r="O1261" i="1"/>
  <c r="P1261" i="1" s="1"/>
  <c r="O1262" i="1"/>
  <c r="Q1262" i="1" s="1"/>
  <c r="O1263" i="1"/>
  <c r="O1264" i="1"/>
  <c r="O1265" i="1"/>
  <c r="O1266" i="1"/>
  <c r="P1266" i="1" s="1"/>
  <c r="O1267" i="1"/>
  <c r="P1267" i="1" s="1"/>
  <c r="O1268" i="1"/>
  <c r="P1268" i="1" s="1"/>
  <c r="O1269" i="1"/>
  <c r="Q1269" i="1" s="1"/>
  <c r="O1270" i="1"/>
  <c r="P1270" i="1" s="1"/>
  <c r="O1271" i="1"/>
  <c r="P1271" i="1" s="1"/>
  <c r="O1272" i="1"/>
  <c r="Q1272" i="1" s="1"/>
  <c r="O1273" i="1"/>
  <c r="P1273" i="1" s="1"/>
  <c r="O1274" i="1"/>
  <c r="Q1274" i="1" s="1"/>
  <c r="O1275" i="1"/>
  <c r="Q1275" i="1" s="1"/>
  <c r="O1276" i="1"/>
  <c r="O1277" i="1"/>
  <c r="O1278" i="1"/>
  <c r="O1279" i="1"/>
  <c r="P1279" i="1" s="1"/>
  <c r="O1280" i="1"/>
  <c r="P1280" i="1" s="1"/>
  <c r="O1281" i="1"/>
  <c r="O1282" i="1"/>
  <c r="P1282" i="1" s="1"/>
  <c r="O1283" i="1"/>
  <c r="P1283" i="1" s="1"/>
  <c r="O1284" i="1"/>
  <c r="P1284" i="1" s="1"/>
  <c r="O1285" i="1"/>
  <c r="Q1285" i="1" s="1"/>
  <c r="O1286" i="1"/>
  <c r="P1286" i="1" s="1"/>
  <c r="O1287" i="1"/>
  <c r="O1288" i="1"/>
  <c r="Q1288" i="1" s="1"/>
  <c r="O1289" i="1"/>
  <c r="Q1289" i="1" s="1"/>
  <c r="O1290" i="1"/>
  <c r="O1291" i="1"/>
  <c r="Q1291" i="1" s="1"/>
  <c r="O1292" i="1"/>
  <c r="P1292" i="1" s="1"/>
  <c r="O1293" i="1"/>
  <c r="P1293" i="1" s="1"/>
  <c r="O1294" i="1"/>
  <c r="Q1294" i="1" s="1"/>
  <c r="O1295" i="1"/>
  <c r="Q1295" i="1" s="1"/>
  <c r="O1296" i="1"/>
  <c r="P1296" i="1" s="1"/>
  <c r="O1297" i="1"/>
  <c r="Q1297" i="1" s="1"/>
  <c r="O1298" i="1"/>
  <c r="P1298" i="1" s="1"/>
  <c r="O1299" i="1"/>
  <c r="P1299" i="1" s="1"/>
  <c r="O1300" i="1"/>
  <c r="Q1300" i="1" s="1"/>
  <c r="O1301" i="1"/>
  <c r="O1302" i="1"/>
  <c r="P1302" i="1" s="1"/>
  <c r="O1303" i="1"/>
  <c r="O1304" i="1"/>
  <c r="P1304" i="1" s="1"/>
  <c r="O1305" i="1"/>
  <c r="Q1305" i="1" s="1"/>
  <c r="O1306" i="1"/>
  <c r="O1307" i="1"/>
  <c r="P1307" i="1" s="1"/>
  <c r="O1308" i="1"/>
  <c r="Q1308" i="1" s="1"/>
  <c r="O1309" i="1"/>
  <c r="O1310" i="1"/>
  <c r="P1310" i="1" s="1"/>
  <c r="O1311" i="1"/>
  <c r="Q1311" i="1" s="1"/>
  <c r="O1312" i="1"/>
  <c r="P1312" i="1" s="1"/>
  <c r="O1313" i="1"/>
  <c r="P1313" i="1" s="1"/>
  <c r="O1314" i="1"/>
  <c r="O1315" i="1"/>
  <c r="P1315" i="1" s="1"/>
  <c r="O1316" i="1"/>
  <c r="P1316" i="1" s="1"/>
  <c r="O1317" i="1"/>
  <c r="O1318" i="1"/>
  <c r="P1318" i="1" s="1"/>
  <c r="O1319" i="1"/>
  <c r="P1319" i="1" s="1"/>
  <c r="O1320" i="1"/>
  <c r="O1321" i="1"/>
  <c r="O1322" i="1"/>
  <c r="P1322" i="1" s="1"/>
  <c r="O1323" i="1"/>
  <c r="O1324" i="1"/>
  <c r="P1324" i="1" s="1"/>
  <c r="O1325" i="1"/>
  <c r="Q1325" i="1" s="1"/>
  <c r="O1326" i="1"/>
  <c r="P1326" i="1" s="1"/>
  <c r="O1327" i="1"/>
  <c r="Q1327" i="1" s="1"/>
  <c r="O1328" i="1"/>
  <c r="O1329" i="1"/>
  <c r="P1329" i="1" s="1"/>
  <c r="O1330" i="1"/>
  <c r="O1331" i="1"/>
  <c r="P1331" i="1" s="1"/>
  <c r="O1332" i="1"/>
  <c r="Q1332" i="1" s="1"/>
  <c r="O1333" i="1"/>
  <c r="Q1333" i="1" s="1"/>
  <c r="O1334" i="1"/>
  <c r="P1334" i="1" s="1"/>
  <c r="O1335" i="1"/>
  <c r="Q1335" i="1" s="1"/>
  <c r="O1336" i="1"/>
  <c r="Q1336" i="1" s="1"/>
  <c r="O1337" i="1"/>
  <c r="P1337" i="1" s="1"/>
  <c r="O1338" i="1"/>
  <c r="Q1338" i="1" s="1"/>
  <c r="O1339" i="1"/>
  <c r="P1339" i="1" s="1"/>
  <c r="O1340" i="1"/>
  <c r="Q1340" i="1" s="1"/>
  <c r="O1341" i="1"/>
  <c r="P1341" i="1" s="1"/>
  <c r="O1342" i="1"/>
  <c r="P1342" i="1" s="1"/>
  <c r="O1343" i="1"/>
  <c r="P1343" i="1" s="1"/>
  <c r="O1344" i="1"/>
  <c r="P1344" i="1" s="1"/>
  <c r="O1345" i="1"/>
  <c r="P1345" i="1" s="1"/>
  <c r="O1346" i="1"/>
  <c r="O1347" i="1"/>
  <c r="Q1347" i="1" s="1"/>
  <c r="O1348" i="1"/>
  <c r="P1348" i="1" s="1"/>
  <c r="O1349" i="1"/>
  <c r="P1349" i="1" s="1"/>
  <c r="O1350" i="1"/>
  <c r="P1350" i="1" s="1"/>
  <c r="O1351" i="1"/>
  <c r="O1352" i="1"/>
  <c r="P1352" i="1" s="1"/>
  <c r="O1353" i="1"/>
  <c r="P1353" i="1" s="1"/>
  <c r="O1354" i="1"/>
  <c r="O1355" i="1"/>
  <c r="Q1355" i="1" s="1"/>
  <c r="O1356" i="1"/>
  <c r="P1356" i="1" s="1"/>
  <c r="O1357" i="1"/>
  <c r="O1358" i="1"/>
  <c r="Q1358" i="1" s="1"/>
  <c r="O1359" i="1"/>
  <c r="O1360" i="1"/>
  <c r="P1360" i="1" s="1"/>
  <c r="O1361" i="1"/>
  <c r="P1361" i="1" s="1"/>
  <c r="O1362" i="1"/>
  <c r="O1363" i="1"/>
  <c r="P1363" i="1" s="1"/>
  <c r="O1364" i="1"/>
  <c r="P1364" i="1" s="1"/>
  <c r="O1365" i="1"/>
  <c r="P1365" i="1" s="1"/>
  <c r="O1366" i="1"/>
  <c r="Q1366" i="1" s="1"/>
  <c r="O1367" i="1"/>
  <c r="Q1367" i="1" s="1"/>
  <c r="O1368" i="1"/>
  <c r="P1368" i="1" s="1"/>
  <c r="O1369" i="1"/>
  <c r="Q1369" i="1" s="1"/>
  <c r="O1370" i="1"/>
  <c r="P1370" i="1" s="1"/>
  <c r="O1371" i="1"/>
  <c r="O1372" i="1"/>
  <c r="O1373" i="1"/>
  <c r="O1374" i="1"/>
  <c r="P1374" i="1" s="1"/>
  <c r="O1375" i="1"/>
  <c r="O1376" i="1"/>
  <c r="Q1376" i="1" s="1"/>
  <c r="O1377" i="1"/>
  <c r="Q1377" i="1" s="1"/>
  <c r="O1378" i="1"/>
  <c r="P1378" i="1" s="1"/>
  <c r="O1379" i="1"/>
  <c r="Q1379" i="1" s="1"/>
  <c r="O1380" i="1"/>
  <c r="Q1380" i="1" s="1"/>
  <c r="O1381" i="1"/>
  <c r="P1381" i="1" s="1"/>
  <c r="O1382" i="1"/>
  <c r="P1382" i="1" s="1"/>
  <c r="O1383" i="1"/>
  <c r="P1383" i="1" s="1"/>
  <c r="O1384" i="1"/>
  <c r="P1384" i="1" s="1"/>
  <c r="O1385" i="1"/>
  <c r="P1385" i="1" s="1"/>
  <c r="O1386" i="1"/>
  <c r="O1387" i="1"/>
  <c r="O1388" i="1"/>
  <c r="Q1388" i="1" s="1"/>
  <c r="O1389" i="1"/>
  <c r="P1389" i="1" s="1"/>
  <c r="O1390" i="1"/>
  <c r="P1390" i="1" s="1"/>
  <c r="O1391" i="1"/>
  <c r="O1392" i="1"/>
  <c r="P1392" i="1" s="1"/>
  <c r="O1393" i="1"/>
  <c r="P1393" i="1" s="1"/>
  <c r="O1394" i="1"/>
  <c r="Q1394" i="1" s="1"/>
  <c r="O1395" i="1"/>
  <c r="O1396" i="1"/>
  <c r="Q1396" i="1" s="1"/>
  <c r="O1397" i="1"/>
  <c r="P1397" i="1" s="1"/>
  <c r="O1398" i="1"/>
  <c r="Q1398" i="1" s="1"/>
  <c r="O1399" i="1"/>
  <c r="Q1399" i="1" s="1"/>
  <c r="O1400" i="1"/>
  <c r="Q1400" i="1" s="1"/>
  <c r="O1401" i="1"/>
  <c r="Q1401" i="1" s="1"/>
  <c r="O1402" i="1"/>
  <c r="O1403" i="1"/>
  <c r="O1404" i="1"/>
  <c r="O1405" i="1"/>
  <c r="P1405" i="1" s="1"/>
  <c r="O1406" i="1"/>
  <c r="P1406" i="1" s="1"/>
  <c r="O1407" i="1"/>
  <c r="O1408" i="1"/>
  <c r="P1408" i="1" s="1"/>
  <c r="O1409" i="1"/>
  <c r="P1409" i="1" s="1"/>
  <c r="O1410" i="1"/>
  <c r="P1410" i="1" s="1"/>
  <c r="O1411" i="1"/>
  <c r="P1411" i="1" s="1"/>
  <c r="O1412" i="1"/>
  <c r="O1413" i="1"/>
  <c r="Q1413" i="1" s="1"/>
  <c r="O1414" i="1"/>
  <c r="O1415" i="1"/>
  <c r="P1415" i="1" s="1"/>
  <c r="O1416" i="1"/>
  <c r="P1416" i="1" s="1"/>
  <c r="O1417" i="1"/>
  <c r="Q1417" i="1" s="1"/>
  <c r="O1418" i="1"/>
  <c r="P1418" i="1" s="1"/>
  <c r="O1419" i="1"/>
  <c r="Q1419" i="1" s="1"/>
  <c r="O1420" i="1"/>
  <c r="Q1420" i="1" s="1"/>
  <c r="O1421" i="1"/>
  <c r="P1421" i="1" s="1"/>
  <c r="O1422" i="1"/>
  <c r="P1422" i="1" s="1"/>
  <c r="O1423" i="1"/>
  <c r="Q1423" i="1" s="1"/>
  <c r="O1424" i="1"/>
  <c r="O1425" i="1"/>
  <c r="O1426" i="1"/>
  <c r="P1426" i="1" s="1"/>
  <c r="O1427" i="1"/>
  <c r="P1427" i="1" s="1"/>
  <c r="O1428" i="1"/>
  <c r="P1428" i="1" s="1"/>
  <c r="O1429" i="1"/>
  <c r="P1429" i="1" s="1"/>
  <c r="O1430" i="1"/>
  <c r="O1431" i="1"/>
  <c r="O1432" i="1"/>
  <c r="P1432" i="1" s="1"/>
  <c r="O1433" i="1"/>
  <c r="Q1433" i="1" s="1"/>
  <c r="O1434" i="1"/>
  <c r="P1434" i="1" s="1"/>
  <c r="O1435" i="1"/>
  <c r="Q1435" i="1" s="1"/>
  <c r="O1436" i="1"/>
  <c r="Q1436" i="1" s="1"/>
  <c r="O1437" i="1"/>
  <c r="P1437" i="1" s="1"/>
  <c r="O1438" i="1"/>
  <c r="P1438" i="1" s="1"/>
  <c r="O1439" i="1"/>
  <c r="O1440" i="1"/>
  <c r="P1440" i="1" s="1"/>
  <c r="O1441" i="1"/>
  <c r="P1441" i="1" s="1"/>
  <c r="O1442" i="1"/>
  <c r="O1443" i="1"/>
  <c r="O1444" i="1"/>
  <c r="P1444" i="1" s="1"/>
  <c r="O1445" i="1"/>
  <c r="P1445" i="1" s="1"/>
  <c r="O1446" i="1"/>
  <c r="P1446" i="1" s="1"/>
  <c r="O1447" i="1"/>
  <c r="O1448" i="1"/>
  <c r="P1448" i="1" s="1"/>
  <c r="O1449" i="1"/>
  <c r="Q1449" i="1" s="1"/>
  <c r="O1450" i="1"/>
  <c r="O1451" i="1"/>
  <c r="O1452" i="1"/>
  <c r="O1453" i="1"/>
  <c r="O1454" i="1"/>
  <c r="P1454" i="1" s="1"/>
  <c r="O1455" i="1"/>
  <c r="O1456" i="1"/>
  <c r="O1457" i="1"/>
  <c r="Q1457" i="1" s="1"/>
  <c r="O1458" i="1"/>
  <c r="P1458" i="1" s="1"/>
  <c r="O1459" i="1"/>
  <c r="P1459" i="1" s="1"/>
  <c r="O1460" i="1"/>
  <c r="Q1460" i="1" s="1"/>
  <c r="O1461" i="1"/>
  <c r="O1462" i="1"/>
  <c r="P1462" i="1" s="1"/>
  <c r="O1463" i="1"/>
  <c r="Q1463" i="1" s="1"/>
  <c r="O1464" i="1"/>
  <c r="P1464" i="1" s="1"/>
  <c r="O1465" i="1"/>
  <c r="Q1465" i="1" s="1"/>
  <c r="O1466" i="1"/>
  <c r="P1466" i="1" s="1"/>
  <c r="O1467" i="1"/>
  <c r="Q1467" i="1" s="1"/>
  <c r="O1468" i="1"/>
  <c r="O1469" i="1"/>
  <c r="P1469" i="1" s="1"/>
  <c r="O1470" i="1"/>
  <c r="P1470" i="1" s="1"/>
  <c r="O1471" i="1"/>
  <c r="P1471" i="1" s="1"/>
  <c r="O1472" i="1"/>
  <c r="Q1472" i="1" s="1"/>
  <c r="O1473" i="1"/>
  <c r="O1474" i="1"/>
  <c r="P1474" i="1" s="1"/>
  <c r="O1475" i="1"/>
  <c r="P1475" i="1" s="1"/>
  <c r="O1476" i="1"/>
  <c r="P1476" i="1" s="1"/>
  <c r="O1477" i="1"/>
  <c r="P1477" i="1" s="1"/>
  <c r="O1478" i="1"/>
  <c r="P1478" i="1" s="1"/>
  <c r="O1479" i="1"/>
  <c r="O1480" i="1"/>
  <c r="O1481" i="1"/>
  <c r="P1481" i="1" s="1"/>
  <c r="O1482" i="1"/>
  <c r="O1483" i="1"/>
  <c r="O1484" i="1"/>
  <c r="O1485" i="1"/>
  <c r="O1486" i="1"/>
  <c r="P1486" i="1" s="1"/>
  <c r="O1487" i="1"/>
  <c r="O1488" i="1"/>
  <c r="P1488" i="1" s="1"/>
  <c r="O1489" i="1"/>
  <c r="Q1489" i="1" s="1"/>
  <c r="O1490" i="1"/>
  <c r="P1490" i="1" s="1"/>
  <c r="O1491" i="1"/>
  <c r="P1491" i="1" s="1"/>
  <c r="O1492" i="1"/>
  <c r="P1492" i="1" s="1"/>
  <c r="O1493" i="1"/>
  <c r="Q1493" i="1" s="1"/>
  <c r="O1494" i="1"/>
  <c r="P1494" i="1" s="1"/>
  <c r="O1495" i="1"/>
  <c r="P1495" i="1" s="1"/>
  <c r="O1496" i="1"/>
  <c r="Q1496" i="1" s="1"/>
  <c r="O1497" i="1"/>
  <c r="P1497" i="1" s="1"/>
  <c r="O1498" i="1"/>
  <c r="Q1498" i="1" s="1"/>
  <c r="O1499" i="1"/>
  <c r="P1499" i="1" s="1"/>
  <c r="O1500" i="1"/>
  <c r="O1501" i="1"/>
  <c r="P1501" i="1" s="1"/>
  <c r="O1502" i="1"/>
  <c r="P1502" i="1" s="1"/>
  <c r="O1503" i="1"/>
  <c r="O1504" i="1"/>
  <c r="Q1504" i="1" s="1"/>
  <c r="O1505" i="1"/>
  <c r="Q1505" i="1" s="1"/>
  <c r="O1506" i="1"/>
  <c r="O1507" i="1"/>
  <c r="O1508" i="1"/>
  <c r="O1509" i="1"/>
  <c r="Q1509" i="1" s="1"/>
  <c r="O1510" i="1"/>
  <c r="P1510" i="1" s="1"/>
  <c r="O1511" i="1"/>
  <c r="O1512" i="1"/>
  <c r="P1512" i="1" s="1"/>
  <c r="O1513" i="1"/>
  <c r="Q1513" i="1" s="1"/>
  <c r="O1514" i="1"/>
  <c r="P1514" i="1" s="1"/>
  <c r="O1515" i="1"/>
  <c r="Q1515" i="1" s="1"/>
  <c r="O1516" i="1"/>
  <c r="Q1516" i="1" s="1"/>
  <c r="O1517" i="1"/>
  <c r="P1517" i="1" s="1"/>
  <c r="O1518" i="1"/>
  <c r="P1518" i="1" s="1"/>
  <c r="O1519" i="1"/>
  <c r="O1520" i="1"/>
  <c r="O1521" i="1"/>
  <c r="Q1521" i="1" s="1"/>
  <c r="O1522" i="1"/>
  <c r="Q1522" i="1" s="1"/>
  <c r="O1523" i="1"/>
  <c r="P1523" i="1" s="1"/>
  <c r="O1524" i="1"/>
  <c r="P1524" i="1" s="1"/>
  <c r="O1525" i="1"/>
  <c r="O1526" i="1"/>
  <c r="Q1526" i="1" s="1"/>
  <c r="O1527" i="1"/>
  <c r="P1527" i="1" s="1"/>
  <c r="O1528" i="1"/>
  <c r="P1528" i="1" s="1"/>
  <c r="O1529" i="1"/>
  <c r="P1529" i="1" s="1"/>
  <c r="O1530" i="1"/>
  <c r="Q1530" i="1" s="1"/>
  <c r="O1531" i="1"/>
  <c r="P1531" i="1" s="1"/>
  <c r="O1532" i="1"/>
  <c r="O1533" i="1"/>
  <c r="O1534" i="1"/>
  <c r="O1535" i="1"/>
  <c r="O1536" i="1"/>
  <c r="P1536" i="1" s="1"/>
  <c r="O1537" i="1"/>
  <c r="P1537" i="1" s="1"/>
  <c r="O1538" i="1"/>
  <c r="Q1538" i="1" s="1"/>
  <c r="O1539" i="1"/>
  <c r="P1539" i="1" s="1"/>
  <c r="O1540" i="1"/>
  <c r="O1541" i="1"/>
  <c r="O1542" i="1"/>
  <c r="O1543" i="1"/>
  <c r="P1543" i="1" s="1"/>
  <c r="O1544" i="1"/>
  <c r="Q1544" i="1" s="1"/>
  <c r="O1545" i="1"/>
  <c r="P1545" i="1" s="1"/>
  <c r="O1546" i="1"/>
  <c r="O1547" i="1"/>
  <c r="O1548" i="1"/>
  <c r="P1548" i="1" s="1"/>
  <c r="O1549" i="1"/>
  <c r="P1549" i="1" s="1"/>
  <c r="O1550" i="1"/>
  <c r="P1550" i="1" s="1"/>
  <c r="O1551" i="1"/>
  <c r="Q1551" i="1" s="1"/>
  <c r="O1552" i="1"/>
  <c r="O1553" i="1"/>
  <c r="P1553" i="1" s="1"/>
  <c r="O1554" i="1"/>
  <c r="P1554" i="1" s="1"/>
  <c r="O1555" i="1"/>
  <c r="P1555" i="1" s="1"/>
  <c r="O1556" i="1"/>
  <c r="P1556" i="1" s="1"/>
  <c r="O1557" i="1"/>
  <c r="O1558" i="1"/>
  <c r="P1558" i="1" s="1"/>
  <c r="O1559" i="1"/>
  <c r="P1559" i="1" s="1"/>
  <c r="O1560" i="1"/>
  <c r="P1560" i="1" s="1"/>
  <c r="O1561" i="1"/>
  <c r="Q1561" i="1" s="1"/>
  <c r="O1562" i="1"/>
  <c r="Q1562" i="1" s="1"/>
  <c r="O1563" i="1"/>
  <c r="O1564" i="1"/>
  <c r="Q1564" i="1" s="1"/>
  <c r="O1565" i="1"/>
  <c r="O1566" i="1"/>
  <c r="P1566" i="1" s="1"/>
  <c r="O1567" i="1"/>
  <c r="Q1567" i="1" s="1"/>
  <c r="O1568" i="1"/>
  <c r="P1568" i="1" s="1"/>
  <c r="O1569" i="1"/>
  <c r="P1569" i="1" s="1"/>
  <c r="O1570" i="1"/>
  <c r="O1571" i="1"/>
  <c r="O1572" i="1"/>
  <c r="P1572" i="1" s="1"/>
  <c r="O1573" i="1"/>
  <c r="O1574" i="1"/>
  <c r="O1575" i="1"/>
  <c r="O1576" i="1"/>
  <c r="P1576" i="1" s="1"/>
  <c r="O1577" i="1"/>
  <c r="Q1577" i="1" s="1"/>
  <c r="O1578" i="1"/>
  <c r="P1578" i="1" s="1"/>
  <c r="O1579" i="1"/>
  <c r="Q1579" i="1" s="1"/>
  <c r="O1580" i="1"/>
  <c r="P1580" i="1" s="1"/>
  <c r="O1581" i="1"/>
  <c r="Q1581" i="1" s="1"/>
  <c r="O1582" i="1"/>
  <c r="P1582" i="1" s="1"/>
  <c r="O1583" i="1"/>
  <c r="O1584" i="1"/>
  <c r="O1585" i="1"/>
  <c r="P1585" i="1" s="1"/>
  <c r="O1586" i="1"/>
  <c r="P1586" i="1" s="1"/>
  <c r="O1587" i="1"/>
  <c r="P1587" i="1" s="1"/>
  <c r="O1588" i="1"/>
  <c r="P1588" i="1" s="1"/>
  <c r="O1589" i="1"/>
  <c r="P1589" i="1" s="1"/>
  <c r="O1590" i="1"/>
  <c r="P1590" i="1" s="1"/>
  <c r="O1591" i="1"/>
  <c r="P1591" i="1" s="1"/>
  <c r="O1592" i="1"/>
  <c r="Q1592" i="1" s="1"/>
  <c r="O1593" i="1"/>
  <c r="P1593" i="1" s="1"/>
  <c r="O1594" i="1"/>
  <c r="Q1594" i="1" s="1"/>
  <c r="O1595" i="1"/>
  <c r="P1595" i="1" s="1"/>
  <c r="O1596" i="1"/>
  <c r="O1597" i="1"/>
  <c r="O1598" i="1"/>
  <c r="P1598" i="1" s="1"/>
  <c r="O1599" i="1"/>
  <c r="Q1599" i="1" s="1"/>
  <c r="O1600" i="1"/>
  <c r="P1600" i="1" s="1"/>
  <c r="O1601" i="1"/>
  <c r="P1601" i="1" s="1"/>
  <c r="O1602" i="1"/>
  <c r="Q1602" i="1" s="1"/>
  <c r="O1603" i="1"/>
  <c r="Q1603" i="1" s="1"/>
  <c r="O1604" i="1"/>
  <c r="P1604" i="1" s="1"/>
  <c r="O1605" i="1"/>
  <c r="O1606" i="1"/>
  <c r="Q1606" i="1" s="1"/>
  <c r="O1607" i="1"/>
  <c r="O1608" i="1"/>
  <c r="O1609" i="1"/>
  <c r="P1609" i="1" s="1"/>
  <c r="O1610" i="1"/>
  <c r="O1611" i="1"/>
  <c r="O1612" i="1"/>
  <c r="P1612" i="1" s="1"/>
  <c r="O1613" i="1"/>
  <c r="P1613" i="1" s="1"/>
  <c r="O1614" i="1"/>
  <c r="Q1614" i="1" s="1"/>
  <c r="O1615" i="1"/>
  <c r="Q1615" i="1" s="1"/>
  <c r="O1616" i="1"/>
  <c r="P1616" i="1" s="1"/>
  <c r="O1617" i="1"/>
  <c r="P1617" i="1" s="1"/>
  <c r="O1618" i="1"/>
  <c r="O1619" i="1"/>
  <c r="P1619" i="1" s="1"/>
  <c r="O1620" i="1"/>
  <c r="P1620" i="1" s="1"/>
  <c r="O1621" i="1"/>
  <c r="P1621" i="1" s="1"/>
  <c r="O1622" i="1"/>
  <c r="P1622" i="1" s="1"/>
  <c r="O1623" i="1"/>
  <c r="P1623" i="1" s="1"/>
  <c r="O1624" i="1"/>
  <c r="Q1624" i="1" s="1"/>
  <c r="O1625" i="1"/>
  <c r="Q1625" i="1" s="1"/>
  <c r="O1626" i="1"/>
  <c r="P1626" i="1" s="1"/>
  <c r="O1627" i="1"/>
  <c r="P1627" i="1" s="1"/>
  <c r="O1628" i="1"/>
  <c r="Q1628" i="1" s="1"/>
  <c r="O1629" i="1"/>
  <c r="O1630" i="1"/>
  <c r="P1630" i="1" s="1"/>
  <c r="O1631" i="1"/>
  <c r="O1632" i="1"/>
  <c r="P1632" i="1" s="1"/>
  <c r="O1633" i="1"/>
  <c r="P1633" i="1" s="1"/>
  <c r="O1634" i="1"/>
  <c r="O1635" i="1"/>
  <c r="P1635" i="1" s="1"/>
  <c r="O1636" i="1"/>
  <c r="P1636" i="1" s="1"/>
  <c r="O1637" i="1"/>
  <c r="P1637" i="1" s="1"/>
  <c r="O1638" i="1"/>
  <c r="O1639" i="1"/>
  <c r="O1640" i="1"/>
  <c r="P1640" i="1" s="1"/>
  <c r="O1641" i="1"/>
  <c r="P1641" i="1" s="1"/>
  <c r="O1642" i="1"/>
  <c r="P1642" i="1" s="1"/>
  <c r="O1643" i="1"/>
  <c r="O1644" i="1"/>
  <c r="Q1644" i="1" s="1"/>
  <c r="O1645" i="1"/>
  <c r="O1646" i="1"/>
  <c r="P1646" i="1" s="1"/>
  <c r="O1647" i="1"/>
  <c r="Q1647" i="1" s="1"/>
  <c r="O1648" i="1"/>
  <c r="O1649" i="1"/>
  <c r="Q1649" i="1" s="1"/>
  <c r="O1650" i="1"/>
  <c r="P1650" i="1" s="1"/>
  <c r="O1651" i="1"/>
  <c r="Q1651" i="1" s="1"/>
  <c r="O1652" i="1"/>
  <c r="Q1652" i="1" s="1"/>
  <c r="O1653" i="1"/>
  <c r="P1653" i="1" s="1"/>
  <c r="O1654" i="1"/>
  <c r="O1655" i="1"/>
  <c r="P1655" i="1" s="1"/>
  <c r="O1656" i="1"/>
  <c r="P1656" i="1" s="1"/>
  <c r="O1657" i="1"/>
  <c r="Q1657" i="1" s="1"/>
  <c r="O1658" i="1"/>
  <c r="O1659" i="1"/>
  <c r="P1659" i="1" s="1"/>
  <c r="O1660" i="1"/>
  <c r="Q1660" i="1" s="1"/>
  <c r="O1661" i="1"/>
  <c r="P1661" i="1" s="1"/>
  <c r="O1662" i="1"/>
  <c r="P1662" i="1" s="1"/>
  <c r="O1663" i="1"/>
  <c r="O1664" i="1"/>
  <c r="Q1664" i="1" s="1"/>
  <c r="O1665" i="1"/>
  <c r="P1665" i="1" s="1"/>
  <c r="O1666" i="1"/>
  <c r="P1666" i="1" s="1"/>
  <c r="O1667" i="1"/>
  <c r="O1668" i="1"/>
  <c r="Q1668" i="1" s="1"/>
  <c r="O1669" i="1"/>
  <c r="P1669" i="1" s="1"/>
  <c r="O1670" i="1"/>
  <c r="O1671" i="1"/>
  <c r="O1672" i="1"/>
  <c r="P1672" i="1" s="1"/>
  <c r="O1673" i="1"/>
  <c r="P1673" i="1" s="1"/>
  <c r="O1674" i="1"/>
  <c r="O1675" i="1"/>
  <c r="O1676" i="1"/>
  <c r="Q1676" i="1" s="1"/>
  <c r="O1677" i="1"/>
  <c r="P1677" i="1" s="1"/>
  <c r="O1678" i="1"/>
  <c r="P1678" i="1" s="1"/>
  <c r="O1679" i="1"/>
  <c r="O1680" i="1"/>
  <c r="O1681" i="1"/>
  <c r="O1682" i="1"/>
  <c r="P1682" i="1" s="1"/>
  <c r="O1683" i="1"/>
  <c r="Q1683" i="1" s="1"/>
  <c r="O1684" i="1"/>
  <c r="Q1684" i="1" s="1"/>
  <c r="O1685" i="1"/>
  <c r="Q1685" i="1" s="1"/>
  <c r="O1686" i="1"/>
  <c r="P1686" i="1" s="1"/>
  <c r="O1687" i="1"/>
  <c r="Q1687" i="1" s="1"/>
  <c r="O1688" i="1"/>
  <c r="Q1688" i="1" s="1"/>
  <c r="O1689" i="1"/>
  <c r="P1689" i="1" s="1"/>
  <c r="O1690" i="1"/>
  <c r="P1690" i="1" s="1"/>
  <c r="O1691" i="1"/>
  <c r="O1692" i="1"/>
  <c r="O1693" i="1"/>
  <c r="O1694" i="1"/>
  <c r="P1694" i="1" s="1"/>
  <c r="O1695" i="1"/>
  <c r="P1695" i="1" s="1"/>
  <c r="O1696" i="1"/>
  <c r="P1696" i="1" s="1"/>
  <c r="O1697" i="1"/>
  <c r="Q1697" i="1" s="1"/>
  <c r="O1698" i="1"/>
  <c r="P1698" i="1" s="1"/>
  <c r="O1699" i="1"/>
  <c r="P1699" i="1" s="1"/>
  <c r="O1700" i="1"/>
  <c r="Q1700" i="1" s="1"/>
  <c r="O1701" i="1"/>
  <c r="P1701" i="1" s="1"/>
  <c r="O1702" i="1"/>
  <c r="P1702" i="1" s="1"/>
  <c r="O1703" i="1"/>
  <c r="O1704" i="1"/>
  <c r="P1704" i="1" s="1"/>
  <c r="O1705" i="1"/>
  <c r="P1705" i="1" s="1"/>
  <c r="O1706" i="1"/>
  <c r="O1707" i="1"/>
  <c r="O1708" i="1"/>
  <c r="O1709" i="1"/>
  <c r="O1710" i="1"/>
  <c r="P1710" i="1" s="1"/>
  <c r="O1711" i="1"/>
  <c r="Q1711" i="1" s="1"/>
  <c r="O1712" i="1"/>
  <c r="P1712" i="1" s="1"/>
  <c r="O1713" i="1"/>
  <c r="Q1713" i="1" s="1"/>
  <c r="O1714" i="1"/>
  <c r="O1715" i="1"/>
  <c r="P1715" i="1" s="1"/>
  <c r="O1716" i="1"/>
  <c r="O1717" i="1"/>
  <c r="O1718" i="1"/>
  <c r="P1718" i="1" s="1"/>
  <c r="O1719" i="1"/>
  <c r="P1719" i="1" s="1"/>
  <c r="O1720" i="1"/>
  <c r="P1720" i="1" s="1"/>
  <c r="O1721" i="1"/>
  <c r="P1721" i="1" s="1"/>
  <c r="O1722" i="1"/>
  <c r="P1722" i="1" s="1"/>
  <c r="O1723" i="1"/>
  <c r="O1724" i="1"/>
  <c r="Q1724" i="1" s="1"/>
  <c r="O1725" i="1"/>
  <c r="P1725" i="1" s="1"/>
  <c r="O1726" i="1"/>
  <c r="P1726" i="1" s="1"/>
  <c r="O1727" i="1"/>
  <c r="O1728" i="1"/>
  <c r="Q1728" i="1" s="1"/>
  <c r="O1729" i="1"/>
  <c r="O1730" i="1"/>
  <c r="P1730" i="1" s="1"/>
  <c r="O1731" i="1"/>
  <c r="P1731" i="1" s="1"/>
  <c r="O1732" i="1"/>
  <c r="P1732" i="1" s="1"/>
  <c r="O1733" i="1"/>
  <c r="O1734" i="1"/>
  <c r="O1735" i="1"/>
  <c r="O1736" i="1"/>
  <c r="P1736" i="1" s="1"/>
  <c r="O1737" i="1"/>
  <c r="P1737" i="1" s="1"/>
  <c r="O1738" i="1"/>
  <c r="O1739" i="1"/>
  <c r="O1740" i="1"/>
  <c r="O1741" i="1"/>
  <c r="P1741" i="1" s="1"/>
  <c r="O1742" i="1"/>
  <c r="P1742" i="1" s="1"/>
  <c r="O1743" i="1"/>
  <c r="Q1743" i="1" s="1"/>
  <c r="O1744" i="1"/>
  <c r="O1745" i="1"/>
  <c r="O1746" i="1"/>
  <c r="P1746" i="1" s="1"/>
  <c r="O1747" i="1"/>
  <c r="P1747" i="1" s="1"/>
  <c r="O1748" i="1"/>
  <c r="Q1748" i="1" s="1"/>
  <c r="O1749" i="1"/>
  <c r="O1750" i="1"/>
  <c r="Q1750" i="1" s="1"/>
  <c r="O1751" i="1"/>
  <c r="P1751" i="1" s="1"/>
  <c r="O1752" i="1"/>
  <c r="Q1752" i="1" s="1"/>
  <c r="O1753" i="1"/>
  <c r="Q1753" i="1" s="1"/>
  <c r="O1754" i="1"/>
  <c r="O1755" i="1"/>
  <c r="P1755" i="1" s="1"/>
  <c r="O1756" i="1"/>
  <c r="O1757" i="1"/>
  <c r="O1758" i="1"/>
  <c r="P1758" i="1" s="1"/>
  <c r="O1759" i="1"/>
  <c r="P1759" i="1" s="1"/>
  <c r="O1760" i="1"/>
  <c r="P1760" i="1" s="1"/>
  <c r="O1761" i="1"/>
  <c r="Q1761" i="1" s="1"/>
  <c r="O1762" i="1"/>
  <c r="P1762" i="1" s="1"/>
  <c r="O1763" i="1"/>
  <c r="O1764" i="1"/>
  <c r="O1765" i="1"/>
  <c r="O1766" i="1"/>
  <c r="O1767" i="1"/>
  <c r="O1768" i="1"/>
  <c r="O1769" i="1"/>
  <c r="P1769" i="1" s="1"/>
  <c r="O1770" i="1"/>
  <c r="O1771" i="1"/>
  <c r="Q1771" i="1" s="1"/>
  <c r="O1772" i="1"/>
  <c r="Q1772" i="1" s="1"/>
  <c r="O1773" i="1"/>
  <c r="O1774" i="1"/>
  <c r="P1774" i="1" s="1"/>
  <c r="O1775" i="1"/>
  <c r="Q1775" i="1" s="1"/>
  <c r="O1776" i="1"/>
  <c r="O1777" i="1"/>
  <c r="Q1777" i="1" s="1"/>
  <c r="O1778" i="1"/>
  <c r="P1778" i="1" s="1"/>
  <c r="O1779" i="1"/>
  <c r="P1779" i="1" s="1"/>
  <c r="O1780" i="1"/>
  <c r="Q1780" i="1" s="1"/>
  <c r="O1781" i="1"/>
  <c r="Q1781" i="1" s="1"/>
  <c r="O1782" i="1"/>
  <c r="P1782" i="1" s="1"/>
  <c r="O1783" i="1"/>
  <c r="O1784" i="1"/>
  <c r="P1784" i="1" s="1"/>
  <c r="O1785" i="1"/>
  <c r="Q1785" i="1" s="1"/>
  <c r="O1786" i="1"/>
  <c r="O1787" i="1"/>
  <c r="Q1787" i="1" s="1"/>
  <c r="O1788" i="1"/>
  <c r="O1789" i="1"/>
  <c r="O1790" i="1"/>
  <c r="O1791" i="1"/>
  <c r="P1791" i="1" s="1"/>
  <c r="O1792" i="1"/>
  <c r="P1792" i="1" s="1"/>
  <c r="O1793" i="1"/>
  <c r="P1793" i="1" s="1"/>
  <c r="O1794" i="1"/>
  <c r="P1794" i="1" s="1"/>
  <c r="O1795" i="1"/>
  <c r="O1796" i="1"/>
  <c r="P1796" i="1" s="1"/>
  <c r="O1797" i="1"/>
  <c r="Q1797" i="1" s="1"/>
  <c r="O1798" i="1"/>
  <c r="O1799" i="1"/>
  <c r="O1800" i="1"/>
  <c r="O1801" i="1"/>
  <c r="P1801" i="1" s="1"/>
  <c r="O1802" i="1"/>
  <c r="O1803" i="1"/>
  <c r="Q1803" i="1" s="1"/>
  <c r="O1804" i="1"/>
  <c r="P1804" i="1" s="1"/>
  <c r="O1805" i="1"/>
  <c r="O1806" i="1"/>
  <c r="P1806" i="1" s="1"/>
  <c r="O1807" i="1"/>
  <c r="O1808" i="1"/>
  <c r="P1808" i="1" s="1"/>
  <c r="O1809" i="1"/>
  <c r="P1809" i="1" s="1"/>
  <c r="O1810" i="1"/>
  <c r="O1811" i="1"/>
  <c r="P1811" i="1" s="1"/>
  <c r="O1812" i="1"/>
  <c r="Q1812" i="1" s="1"/>
  <c r="O1813" i="1"/>
  <c r="Q1813" i="1" s="1"/>
  <c r="O1814" i="1"/>
  <c r="O1815" i="1"/>
  <c r="Q1815" i="1" s="1"/>
  <c r="O1816" i="1"/>
  <c r="Q1816" i="1" s="1"/>
  <c r="O1817" i="1"/>
  <c r="Q1817" i="1" s="1"/>
  <c r="O1818" i="1"/>
  <c r="Q1818" i="1" s="1"/>
  <c r="O1819" i="1"/>
  <c r="O1820" i="1"/>
  <c r="O1821" i="1"/>
  <c r="P1821" i="1" s="1"/>
  <c r="O1822" i="1"/>
  <c r="P1822" i="1" s="1"/>
  <c r="O1823" i="1"/>
  <c r="Q1823" i="1" s="1"/>
  <c r="O1824" i="1"/>
  <c r="P1824" i="1" s="1"/>
  <c r="O1825" i="1"/>
  <c r="P1825" i="1" s="1"/>
  <c r="O1826" i="1"/>
  <c r="Q1826" i="1" s="1"/>
  <c r="O1827" i="1"/>
  <c r="O1828" i="1"/>
  <c r="P1828" i="1" s="1"/>
  <c r="O1829" i="1"/>
  <c r="P1829" i="1" s="1"/>
  <c r="O1830" i="1"/>
  <c r="O1831" i="1"/>
  <c r="O1832" i="1"/>
  <c r="P1832" i="1" s="1"/>
  <c r="O1833" i="1"/>
  <c r="Q1833" i="1" s="1"/>
  <c r="O1834" i="1"/>
  <c r="P1834" i="1" s="1"/>
  <c r="O1835" i="1"/>
  <c r="O1836" i="1"/>
  <c r="Q1836" i="1" s="1"/>
  <c r="O1837" i="1"/>
  <c r="Q1837" i="1" s="1"/>
  <c r="O1838" i="1"/>
  <c r="P1838" i="1" s="1"/>
  <c r="O1839" i="1"/>
  <c r="O1840" i="1"/>
  <c r="P1840" i="1" s="1"/>
  <c r="O1841" i="1"/>
  <c r="P1841" i="1" s="1"/>
  <c r="O1842" i="1"/>
  <c r="P1842" i="1" s="1"/>
  <c r="O1843" i="1"/>
  <c r="Q1843" i="1" s="1"/>
  <c r="O1844" i="1"/>
  <c r="P1844" i="1" s="1"/>
  <c r="O1845" i="1"/>
  <c r="P1845" i="1" s="1"/>
  <c r="O1846" i="1"/>
  <c r="Q1846" i="1" s="1"/>
  <c r="O1847" i="1"/>
  <c r="P1847" i="1" s="1"/>
  <c r="O1848" i="1"/>
  <c r="Q1848" i="1" s="1"/>
  <c r="O1849" i="1"/>
  <c r="Q1849" i="1" s="1"/>
  <c r="O1850" i="1"/>
  <c r="Q1850" i="1" s="1"/>
  <c r="O1851" i="1"/>
  <c r="P1851" i="1" s="1"/>
  <c r="O1852" i="1"/>
  <c r="Q1852" i="1" s="1"/>
  <c r="O1853" i="1"/>
  <c r="O1854" i="1"/>
  <c r="P1854" i="1" s="1"/>
  <c r="O1855" i="1"/>
  <c r="P1855" i="1" s="1"/>
  <c r="O1856" i="1"/>
  <c r="P1856" i="1" s="1"/>
  <c r="O1857" i="1"/>
  <c r="Q1857" i="1" s="1"/>
  <c r="O1858" i="1"/>
  <c r="P1858" i="1" s="1"/>
  <c r="O1859" i="1"/>
  <c r="Q1859" i="1" s="1"/>
  <c r="O1860" i="1"/>
  <c r="P1860" i="1" s="1"/>
  <c r="O1861" i="1"/>
  <c r="O1862" i="1"/>
  <c r="Q1862" i="1" s="1"/>
  <c r="O1863" i="1"/>
  <c r="O1864" i="1"/>
  <c r="P1864" i="1" s="1"/>
  <c r="O1865" i="1"/>
  <c r="P1865" i="1" s="1"/>
  <c r="O1866" i="1"/>
  <c r="O1867" i="1"/>
  <c r="Q1867" i="1" s="1"/>
  <c r="O1868" i="1"/>
  <c r="Q1868" i="1" s="1"/>
  <c r="O1869" i="1"/>
  <c r="P1869" i="1" s="1"/>
  <c r="O1870" i="1"/>
  <c r="O1871" i="1"/>
  <c r="Q1871" i="1" s="1"/>
  <c r="O1872" i="1"/>
  <c r="P1872" i="1" s="1"/>
  <c r="O1873" i="1"/>
  <c r="P1873" i="1" s="1"/>
  <c r="O1874" i="1"/>
  <c r="O1875" i="1"/>
  <c r="O1876" i="1"/>
  <c r="Q1876" i="1" s="1"/>
  <c r="O1877" i="1"/>
  <c r="P1877" i="1" s="1"/>
  <c r="O1878" i="1"/>
  <c r="P1878" i="1" s="1"/>
  <c r="O1879" i="1"/>
  <c r="P1879" i="1" s="1"/>
  <c r="O1880" i="1"/>
  <c r="P1880" i="1" s="1"/>
  <c r="O1881" i="1"/>
  <c r="Q1881" i="1" s="1"/>
  <c r="O1882" i="1"/>
  <c r="P1882" i="1" s="1"/>
  <c r="O1883" i="1"/>
  <c r="P1883" i="1" s="1"/>
  <c r="O1884" i="1"/>
  <c r="O1885" i="1"/>
  <c r="O1886" i="1"/>
  <c r="P1886" i="1" s="1"/>
  <c r="O1887" i="1"/>
  <c r="O1888" i="1"/>
  <c r="P1888" i="1" s="1"/>
  <c r="O1889" i="1"/>
  <c r="P1889" i="1" s="1"/>
  <c r="O1890" i="1"/>
  <c r="Q1890" i="1" s="1"/>
  <c r="O1891" i="1"/>
  <c r="P1891" i="1" s="1"/>
  <c r="O1892" i="1"/>
  <c r="P1892" i="1" s="1"/>
  <c r="O1893" i="1"/>
  <c r="P1893" i="1" s="1"/>
  <c r="O1894" i="1"/>
  <c r="O1895" i="1"/>
  <c r="O1896" i="1"/>
  <c r="O1897" i="1"/>
  <c r="O1898" i="1"/>
  <c r="O1899" i="1"/>
  <c r="O1900" i="1"/>
  <c r="Q1900" i="1" s="1"/>
  <c r="O1901" i="1"/>
  <c r="O1902" i="1"/>
  <c r="P1902" i="1" s="1"/>
  <c r="O1903" i="1"/>
  <c r="Q1903" i="1" s="1"/>
  <c r="O1904" i="1"/>
  <c r="O1905" i="1"/>
  <c r="P1905" i="1" s="1"/>
  <c r="O1906" i="1"/>
  <c r="P1906" i="1" s="1"/>
  <c r="O1907" i="1"/>
  <c r="Q1907" i="1" s="1"/>
  <c r="O1908" i="1"/>
  <c r="Q1908" i="1" s="1"/>
  <c r="O1909" i="1"/>
  <c r="P1909" i="1" s="1"/>
  <c r="O1910" i="1"/>
  <c r="O1911" i="1"/>
  <c r="P1911" i="1" s="1"/>
  <c r="O1912" i="1"/>
  <c r="P1912" i="1" s="1"/>
  <c r="O1913" i="1"/>
  <c r="Q1913" i="1" s="1"/>
  <c r="O1914" i="1"/>
  <c r="O1915" i="1"/>
  <c r="P1915" i="1" s="1"/>
  <c r="O1916" i="1"/>
  <c r="O1917" i="1"/>
  <c r="O1918" i="1"/>
  <c r="P1918" i="1" s="1"/>
  <c r="O1919" i="1"/>
  <c r="O1920" i="1"/>
  <c r="P1920" i="1" s="1"/>
  <c r="O1921" i="1"/>
  <c r="P1921" i="1" s="1"/>
  <c r="O1922" i="1"/>
  <c r="Q1922" i="1" s="1"/>
  <c r="O1923" i="1"/>
  <c r="O1924" i="1"/>
  <c r="P1924" i="1" s="1"/>
  <c r="O1925" i="1"/>
  <c r="P1925" i="1" s="1"/>
  <c r="O1926" i="1"/>
  <c r="O1927" i="1"/>
  <c r="P1927" i="1" s="1"/>
  <c r="O1928" i="1"/>
  <c r="O1929" i="1"/>
  <c r="P1929" i="1" s="1"/>
  <c r="O1930" i="1"/>
  <c r="P1930" i="1" s="1"/>
  <c r="O1931" i="1"/>
  <c r="Q1931" i="1" s="1"/>
  <c r="O1932" i="1"/>
  <c r="Q1932" i="1" s="1"/>
  <c r="O1933" i="1"/>
  <c r="O1934" i="1"/>
  <c r="P1934" i="1" s="1"/>
  <c r="O1935" i="1"/>
  <c r="Q1935" i="1" s="1"/>
  <c r="O1936" i="1"/>
  <c r="O1937" i="1"/>
  <c r="O1938" i="1"/>
  <c r="P1938" i="1" s="1"/>
  <c r="O1939" i="1"/>
  <c r="P1939" i="1" s="1"/>
  <c r="O1940" i="1"/>
  <c r="P1940" i="1" s="1"/>
  <c r="O1941" i="1"/>
  <c r="Q1941" i="1" s="1"/>
  <c r="O1942" i="1"/>
  <c r="Q1942" i="1" s="1"/>
  <c r="O1943" i="1"/>
  <c r="O1944" i="1"/>
  <c r="Q1944" i="1" s="1"/>
  <c r="O1945" i="1"/>
  <c r="Q1945" i="1" s="1"/>
  <c r="O1946" i="1"/>
  <c r="P1946" i="1" s="1"/>
  <c r="O1947" i="1"/>
  <c r="O1948" i="1"/>
  <c r="Q1948" i="1" s="1"/>
  <c r="O1949" i="1"/>
  <c r="O1950" i="1"/>
  <c r="P1950" i="1" s="1"/>
  <c r="O1951" i="1"/>
  <c r="P1951" i="1" s="1"/>
  <c r="O1952" i="1"/>
  <c r="P1952" i="1" s="1"/>
  <c r="O1953" i="1"/>
  <c r="P1953" i="1" s="1"/>
  <c r="O1954" i="1"/>
  <c r="P1954" i="1" s="1"/>
  <c r="O1955" i="1"/>
  <c r="O1956" i="1"/>
  <c r="P1956" i="1" s="1"/>
  <c r="O1957" i="1"/>
  <c r="P1957" i="1" s="1"/>
  <c r="O1958" i="1"/>
  <c r="O1959" i="1"/>
  <c r="P1959" i="1" s="1"/>
  <c r="O1960" i="1"/>
  <c r="P1960" i="1" s="1"/>
  <c r="O1961" i="1"/>
  <c r="O1962" i="1"/>
  <c r="O1963" i="1"/>
  <c r="Q1963" i="1" s="1"/>
  <c r="O1964" i="1"/>
  <c r="Q1964" i="1" s="1"/>
  <c r="O1965" i="1"/>
  <c r="O1966" i="1"/>
  <c r="O1967" i="1"/>
  <c r="O1968" i="1"/>
  <c r="O1969" i="1"/>
  <c r="Q1969" i="1" s="1"/>
  <c r="O1970" i="1"/>
  <c r="P1970" i="1" s="1"/>
  <c r="O1971" i="1"/>
  <c r="P1971" i="1" s="1"/>
  <c r="O1972" i="1"/>
  <c r="O1973" i="1"/>
  <c r="Q1973" i="1" s="1"/>
  <c r="O1974" i="1"/>
  <c r="P1974" i="1" s="1"/>
  <c r="O1975" i="1"/>
  <c r="Q1975" i="1" s="1"/>
  <c r="O1976" i="1"/>
  <c r="P1976" i="1" s="1"/>
  <c r="O1977" i="1"/>
  <c r="Q1977" i="1" s="1"/>
  <c r="O1978" i="1"/>
  <c r="P1978" i="1" s="1"/>
  <c r="O1979" i="1"/>
  <c r="O1980" i="1"/>
  <c r="Q1980" i="1" s="1"/>
  <c r="O1981" i="1"/>
  <c r="O1982" i="1"/>
  <c r="P1982" i="1" s="1"/>
  <c r="O1983" i="1"/>
  <c r="O1984" i="1"/>
  <c r="Q1984" i="1" s="1"/>
  <c r="O1985" i="1"/>
  <c r="P1985" i="1" s="1"/>
  <c r="O1986" i="1"/>
  <c r="P1986" i="1" s="1"/>
  <c r="O1987" i="1"/>
  <c r="P1987" i="1" s="1"/>
  <c r="O1988" i="1"/>
  <c r="O1989" i="1"/>
  <c r="P1989" i="1" s="1"/>
  <c r="O1990" i="1"/>
  <c r="P1990" i="1" s="1"/>
  <c r="O1991" i="1"/>
  <c r="P1991" i="1" s="1"/>
  <c r="O1992" i="1"/>
  <c r="O1993" i="1"/>
  <c r="Q1993" i="1" s="1"/>
  <c r="O1994" i="1"/>
  <c r="O1995" i="1"/>
  <c r="O1996" i="1"/>
  <c r="O1997" i="1"/>
  <c r="P1997" i="1" s="1"/>
  <c r="O1998" i="1"/>
  <c r="P1998" i="1" s="1"/>
  <c r="O1999" i="1"/>
  <c r="O2000" i="1"/>
  <c r="P2000" i="1" s="1"/>
  <c r="O2001" i="1"/>
  <c r="Q2001" i="1" s="1"/>
  <c r="O2002" i="1"/>
  <c r="O2003" i="1"/>
  <c r="P2003" i="1" s="1"/>
  <c r="O2004" i="1"/>
  <c r="Q2004" i="1" s="1"/>
  <c r="O2005" i="1"/>
  <c r="O2006" i="1"/>
  <c r="Q2006" i="1" s="1"/>
  <c r="O2007" i="1"/>
  <c r="O2008" i="1"/>
  <c r="O2009" i="1"/>
  <c r="P2009" i="1" s="1"/>
  <c r="O2010" i="1"/>
  <c r="Q2010" i="1" s="1"/>
  <c r="O2011" i="1"/>
  <c r="Q2011" i="1" s="1"/>
  <c r="O2012" i="1"/>
  <c r="O2013" i="1"/>
  <c r="O2014" i="1"/>
  <c r="P2014" i="1" s="1"/>
  <c r="O2015" i="1"/>
  <c r="O2016" i="1"/>
  <c r="Q2016" i="1" s="1"/>
  <c r="O2017" i="1"/>
  <c r="Q2017" i="1" s="1"/>
  <c r="O2018" i="1"/>
  <c r="P2018" i="1" s="1"/>
  <c r="O2019" i="1"/>
  <c r="O2020" i="1"/>
  <c r="O2021" i="1"/>
  <c r="P2021" i="1" s="1"/>
  <c r="O2022" i="1"/>
  <c r="O2023" i="1"/>
  <c r="P2023" i="1" s="1"/>
  <c r="O2024" i="1"/>
  <c r="O2025" i="1"/>
  <c r="P2025" i="1" s="1"/>
  <c r="O2026" i="1"/>
  <c r="O2027" i="1"/>
  <c r="Q2027" i="1" s="1"/>
  <c r="O2028" i="1"/>
  <c r="P2028" i="1" s="1"/>
  <c r="O2029" i="1"/>
  <c r="P2029" i="1" s="1"/>
  <c r="O2030" i="1"/>
  <c r="P2030" i="1" s="1"/>
  <c r="O2031" i="1"/>
  <c r="O2032" i="1"/>
  <c r="O2033" i="1"/>
  <c r="O2034" i="1"/>
  <c r="P2034" i="1" s="1"/>
  <c r="O2035" i="1"/>
  <c r="P2035" i="1" s="1"/>
  <c r="O2036" i="1"/>
  <c r="P2036" i="1" s="1"/>
  <c r="O2037" i="1"/>
  <c r="O2038" i="1"/>
  <c r="P2038" i="1" s="1"/>
  <c r="O2039" i="1"/>
  <c r="P2039" i="1" s="1"/>
  <c r="O2040" i="1"/>
  <c r="P2040" i="1" s="1"/>
  <c r="O2041" i="1"/>
  <c r="Q2041" i="1" s="1"/>
  <c r="O2042" i="1"/>
  <c r="O2043" i="1"/>
  <c r="Q2043" i="1" s="1"/>
  <c r="O2044" i="1"/>
  <c r="Q2044" i="1" s="1"/>
  <c r="O2045" i="1"/>
  <c r="O2046" i="1"/>
  <c r="O2047" i="1"/>
  <c r="P2047" i="1" s="1"/>
  <c r="O2048" i="1"/>
  <c r="P2048" i="1" s="1"/>
  <c r="O2049" i="1"/>
  <c r="O2050" i="1"/>
  <c r="P2050" i="1" s="1"/>
  <c r="O2051" i="1"/>
  <c r="P2051" i="1" s="1"/>
  <c r="O2052" i="1"/>
  <c r="O2053" i="1"/>
  <c r="O2054" i="1"/>
  <c r="P2054" i="1" s="1"/>
  <c r="O2055" i="1"/>
  <c r="O2056" i="1"/>
  <c r="O2057" i="1"/>
  <c r="O2058" i="1"/>
  <c r="O2059" i="1"/>
  <c r="Q2059" i="1" s="1"/>
  <c r="O2060" i="1"/>
  <c r="P2060" i="1" s="1"/>
  <c r="O2061" i="1"/>
  <c r="O2062" i="1"/>
  <c r="P2062" i="1" s="1"/>
  <c r="O2063" i="1"/>
  <c r="Q2063" i="1" s="1"/>
  <c r="O2064" i="1"/>
  <c r="O2065" i="1"/>
  <c r="P2065" i="1" s="1"/>
  <c r="O2066" i="1"/>
  <c r="O2067" i="1"/>
  <c r="P2067" i="1" s="1"/>
  <c r="O2068" i="1"/>
  <c r="P2068" i="1" s="1"/>
  <c r="O2069" i="1"/>
  <c r="Q2069" i="1" s="1"/>
  <c r="O2070" i="1"/>
  <c r="P2070" i="1" s="1"/>
  <c r="O2071" i="1"/>
  <c r="P2071" i="1" s="1"/>
  <c r="O2072" i="1"/>
  <c r="P2072" i="1" s="1"/>
  <c r="O2073" i="1"/>
  <c r="P2073" i="1" s="1"/>
  <c r="O2074" i="1"/>
  <c r="O2075" i="1"/>
  <c r="P2075" i="1" s="1"/>
  <c r="O2076" i="1"/>
  <c r="Q2076" i="1" s="1"/>
  <c r="O2077" i="1"/>
  <c r="O2078" i="1"/>
  <c r="P2078" i="1" s="1"/>
  <c r="O2079" i="1"/>
  <c r="Q2079" i="1" s="1"/>
  <c r="O2080" i="1"/>
  <c r="P2080" i="1" s="1"/>
  <c r="O2081" i="1"/>
  <c r="P2081" i="1" s="1"/>
  <c r="O2082" i="1"/>
  <c r="Q2082" i="1" s="1"/>
  <c r="O2083" i="1"/>
  <c r="P2083" i="1" s="1"/>
  <c r="O2084" i="1"/>
  <c r="P2084" i="1" s="1"/>
  <c r="O2085" i="1"/>
  <c r="P2085" i="1" s="1"/>
  <c r="O2086" i="1"/>
  <c r="P2086" i="1" s="1"/>
  <c r="O2087" i="1"/>
  <c r="O2088" i="1"/>
  <c r="O2089" i="1"/>
  <c r="O2090" i="1"/>
  <c r="O2091" i="1"/>
  <c r="Q2091" i="1" s="1"/>
  <c r="O2092" i="1"/>
  <c r="P2092" i="1" s="1"/>
  <c r="O2093" i="1"/>
  <c r="Q2093" i="1" s="1"/>
  <c r="O2094" i="1"/>
  <c r="P2094" i="1" s="1"/>
  <c r="O2095" i="1"/>
  <c r="O2096" i="1"/>
  <c r="P2096" i="1" s="1"/>
  <c r="O2097" i="1"/>
  <c r="P2097" i="1" s="1"/>
  <c r="O2098" i="1"/>
  <c r="P2098" i="1" s="1"/>
  <c r="O2099" i="1"/>
  <c r="P2099" i="1" s="1"/>
  <c r="O2100" i="1"/>
  <c r="P2100" i="1" s="1"/>
  <c r="O2101" i="1"/>
  <c r="P2101" i="1" s="1"/>
  <c r="O2102" i="1"/>
  <c r="P2102" i="1" s="1"/>
  <c r="O2103" i="1"/>
  <c r="P2103" i="1" s="1"/>
  <c r="O2104" i="1"/>
  <c r="P2104" i="1" s="1"/>
  <c r="O2105" i="1"/>
  <c r="Q2105" i="1" s="1"/>
  <c r="O2106" i="1"/>
  <c r="O2107" i="1"/>
  <c r="O2108" i="1"/>
  <c r="O2109" i="1"/>
  <c r="P2109" i="1" s="1"/>
  <c r="O2110" i="1"/>
  <c r="P2110" i="1" s="1"/>
  <c r="O2111" i="1"/>
  <c r="Q2111" i="1" s="1"/>
  <c r="O2112" i="1"/>
  <c r="P2112" i="1" s="1"/>
  <c r="O2113" i="1"/>
  <c r="P2113" i="1" s="1"/>
  <c r="O2114" i="1"/>
  <c r="O2115" i="1"/>
  <c r="Q2115" i="1" s="1"/>
  <c r="O2116" i="1"/>
  <c r="P2116" i="1" s="1"/>
  <c r="O2117" i="1"/>
  <c r="P2117" i="1" s="1"/>
  <c r="O2118" i="1"/>
  <c r="Q2118" i="1" s="1"/>
  <c r="O2119" i="1"/>
  <c r="P2119" i="1" s="1"/>
  <c r="O2120" i="1"/>
  <c r="O2121" i="1"/>
  <c r="P2121" i="1" s="1"/>
  <c r="O2122" i="1"/>
  <c r="P2122" i="1" s="1"/>
  <c r="O2123" i="1"/>
  <c r="Q2123" i="1" s="1"/>
  <c r="O2124" i="1"/>
  <c r="P2124" i="1" s="1"/>
  <c r="O2125" i="1"/>
  <c r="P2125" i="1" s="1"/>
  <c r="O2126" i="1"/>
  <c r="Q2126" i="1" s="1"/>
  <c r="O2127" i="1"/>
  <c r="Q2127" i="1" s="1"/>
  <c r="O2128" i="1"/>
  <c r="O2129" i="1"/>
  <c r="P2129" i="1" s="1"/>
  <c r="O2130" i="1"/>
  <c r="Q2130" i="1" s="1"/>
  <c r="O2131" i="1"/>
  <c r="Q2131" i="1" s="1"/>
  <c r="O2132" i="1"/>
  <c r="P2132" i="1" s="1"/>
  <c r="O2133" i="1"/>
  <c r="P2133" i="1" s="1"/>
  <c r="O2134" i="1"/>
  <c r="P2134" i="1" s="1"/>
  <c r="O2135" i="1"/>
  <c r="P2135" i="1" s="1"/>
  <c r="O2136" i="1"/>
  <c r="P2136" i="1" s="1"/>
  <c r="O2137" i="1"/>
  <c r="P2137" i="1" s="1"/>
  <c r="O2138" i="1"/>
  <c r="P2138" i="1" s="1"/>
  <c r="O2139" i="1"/>
  <c r="P2139" i="1" s="1"/>
  <c r="O2140" i="1"/>
  <c r="Q2140" i="1" s="1"/>
  <c r="O2141" i="1"/>
  <c r="P2141" i="1" s="1"/>
  <c r="O2142" i="1"/>
  <c r="P2142" i="1" s="1"/>
  <c r="O2143" i="1"/>
  <c r="O2144" i="1"/>
  <c r="P2144" i="1" s="1"/>
  <c r="O2145" i="1"/>
  <c r="P2145" i="1" s="1"/>
  <c r="O2146" i="1"/>
  <c r="P2146" i="1" s="1"/>
  <c r="O2147" i="1"/>
  <c r="P2147" i="1" s="1"/>
  <c r="O2148" i="1"/>
  <c r="O2149" i="1"/>
  <c r="P2149" i="1" s="1"/>
  <c r="O2150" i="1"/>
  <c r="O2151" i="1"/>
  <c r="P2151" i="1" s="1"/>
  <c r="O2152" i="1"/>
  <c r="P2152" i="1" s="1"/>
  <c r="O2153" i="1"/>
  <c r="O2154" i="1"/>
  <c r="O2155" i="1"/>
  <c r="O2156" i="1"/>
  <c r="Q2156" i="1" s="1"/>
  <c r="O2157" i="1"/>
  <c r="O2158" i="1"/>
  <c r="P2158" i="1" s="1"/>
  <c r="O2159" i="1"/>
  <c r="Q2159" i="1" s="1"/>
  <c r="O2160" i="1"/>
  <c r="O2161" i="1"/>
  <c r="P2161" i="1" s="1"/>
  <c r="O2162" i="1"/>
  <c r="P2162" i="1" s="1"/>
  <c r="O2163" i="1"/>
  <c r="Q2163" i="1" s="1"/>
  <c r="O2164" i="1"/>
  <c r="Q2164" i="1" s="1"/>
  <c r="O2165" i="1"/>
  <c r="P2165" i="1" s="1"/>
  <c r="O2166" i="1"/>
  <c r="O2167" i="1"/>
  <c r="P2167" i="1" s="1"/>
  <c r="O2168" i="1"/>
  <c r="Q2168" i="1" s="1"/>
  <c r="O2169" i="1"/>
  <c r="Q2169" i="1" s="1"/>
  <c r="O2170" i="1"/>
  <c r="P2170" i="1" s="1"/>
  <c r="O2171" i="1"/>
  <c r="P2171" i="1" s="1"/>
  <c r="O2172" i="1"/>
  <c r="Q2172" i="1" s="1"/>
  <c r="O2173" i="1"/>
  <c r="P2173" i="1" s="1"/>
  <c r="O2174" i="1"/>
  <c r="P2174" i="1" s="1"/>
  <c r="O2175" i="1"/>
  <c r="P2175" i="1" s="1"/>
  <c r="O2176" i="1"/>
  <c r="Q2176" i="1" s="1"/>
  <c r="O2177" i="1"/>
  <c r="O2178" i="1"/>
  <c r="P2178" i="1" s="1"/>
  <c r="O2179" i="1"/>
  <c r="P2179" i="1" s="1"/>
  <c r="O2180" i="1"/>
  <c r="P2180" i="1" s="1"/>
  <c r="O2181" i="1"/>
  <c r="Q2181" i="1" s="1"/>
  <c r="O2182" i="1"/>
  <c r="P2182" i="1" s="1"/>
  <c r="O2183" i="1"/>
  <c r="O2184" i="1"/>
  <c r="P2184" i="1" s="1"/>
  <c r="O2185" i="1"/>
  <c r="P2185" i="1" s="1"/>
  <c r="O2186" i="1"/>
  <c r="P2186" i="1" s="1"/>
  <c r="O2187" i="1"/>
  <c r="Q2187" i="1" s="1"/>
  <c r="O2188" i="1"/>
  <c r="O2189" i="1"/>
  <c r="O2190" i="1"/>
  <c r="Q2190" i="1" s="1"/>
  <c r="O2191" i="1"/>
  <c r="O2192" i="1"/>
  <c r="O2193" i="1"/>
  <c r="Q2193" i="1" s="1"/>
  <c r="O2194" i="1"/>
  <c r="P2194" i="1" s="1"/>
  <c r="O2195" i="1"/>
  <c r="P2195" i="1" s="1"/>
  <c r="O2196" i="1"/>
  <c r="P2196" i="1" s="1"/>
  <c r="O2197" i="1"/>
  <c r="P2197" i="1" s="1"/>
  <c r="O2198" i="1"/>
  <c r="P2198" i="1" s="1"/>
  <c r="O2199" i="1"/>
  <c r="Q2199" i="1" s="1"/>
  <c r="O2200" i="1"/>
  <c r="P2200" i="1" s="1"/>
  <c r="O2201" i="1"/>
  <c r="Q2201" i="1" s="1"/>
  <c r="O2202" i="1"/>
  <c r="P2202" i="1" s="1"/>
  <c r="O2203" i="1"/>
  <c r="O2204" i="1"/>
  <c r="Q2204" i="1" s="1"/>
  <c r="O2205" i="1"/>
  <c r="O2206" i="1"/>
  <c r="P2206" i="1" s="1"/>
  <c r="O2207" i="1"/>
  <c r="P2207" i="1" s="1"/>
  <c r="O2208" i="1"/>
  <c r="P2208" i="1" s="1"/>
  <c r="O2209" i="1"/>
  <c r="O2210" i="1"/>
  <c r="Q2210" i="1" s="1"/>
  <c r="O2211" i="1"/>
  <c r="O2212" i="1"/>
  <c r="P2212" i="1" s="1"/>
  <c r="O2213" i="1"/>
  <c r="O2214" i="1"/>
  <c r="O2215" i="1"/>
  <c r="P2215" i="1" s="1"/>
  <c r="O2216" i="1"/>
  <c r="O2217" i="1"/>
  <c r="P2217" i="1" s="1"/>
  <c r="O2218" i="1"/>
  <c r="P2218" i="1" s="1"/>
  <c r="O2219" i="1"/>
  <c r="O2220" i="1"/>
  <c r="Q2220" i="1" s="1"/>
  <c r="O2221" i="1"/>
  <c r="P2221" i="1" s="1"/>
  <c r="O2222" i="1"/>
  <c r="P2222" i="1" s="1"/>
  <c r="O2223" i="1"/>
  <c r="O2224" i="1"/>
  <c r="O2225" i="1"/>
  <c r="O2226" i="1"/>
  <c r="P2226" i="1" s="1"/>
  <c r="O2227" i="1"/>
  <c r="P2227" i="1" s="1"/>
  <c r="O2228" i="1"/>
  <c r="O2229" i="1"/>
  <c r="O2230" i="1"/>
  <c r="Q2230" i="1" s="1"/>
  <c r="O2231" i="1"/>
  <c r="Q2231" i="1" s="1"/>
  <c r="O2232" i="1"/>
  <c r="P2232" i="1" s="1"/>
  <c r="O2233" i="1"/>
  <c r="Q2233" i="1" s="1"/>
  <c r="O2234" i="1"/>
  <c r="O2235" i="1"/>
  <c r="O2236" i="1"/>
  <c r="O2237" i="1"/>
  <c r="O2238" i="1"/>
  <c r="P2238" i="1" s="1"/>
  <c r="O2239" i="1"/>
  <c r="O2240" i="1"/>
  <c r="O2241" i="1"/>
  <c r="P2241" i="1" s="1"/>
  <c r="O2242" i="1"/>
  <c r="Q2242" i="1" s="1"/>
  <c r="O2243" i="1"/>
  <c r="P2243" i="1" s="1"/>
  <c r="O2244" i="1"/>
  <c r="P2244" i="1" s="1"/>
  <c r="O2245" i="1"/>
  <c r="P2245" i="1" s="1"/>
  <c r="O2246" i="1"/>
  <c r="O2247" i="1"/>
  <c r="O2248" i="1"/>
  <c r="P2248" i="1" s="1"/>
  <c r="O2249" i="1"/>
  <c r="O2250" i="1"/>
  <c r="O2251" i="1"/>
  <c r="O2252" i="1"/>
  <c r="Q2252" i="1" s="1"/>
  <c r="O2253" i="1"/>
  <c r="O2254" i="1"/>
  <c r="P2254" i="1" s="1"/>
  <c r="O2255" i="1"/>
  <c r="Q2255" i="1" s="1"/>
  <c r="O2256" i="1"/>
  <c r="O2257" i="1"/>
  <c r="O2258" i="1"/>
  <c r="O2259" i="1"/>
  <c r="Q2259" i="1" s="1"/>
  <c r="O2260" i="1"/>
  <c r="P2260" i="1" s="1"/>
  <c r="O2261" i="1"/>
  <c r="O2262" i="1"/>
  <c r="P2262" i="1" s="1"/>
  <c r="O2263" i="1"/>
  <c r="P2263" i="1" s="1"/>
  <c r="O2264" i="1"/>
  <c r="Q2264" i="1" s="1"/>
  <c r="O2265" i="1"/>
  <c r="Q2265" i="1" s="1"/>
  <c r="O2266" i="1"/>
  <c r="Q2266" i="1" s="1"/>
  <c r="O2267" i="1"/>
  <c r="P2267" i="1" s="1"/>
  <c r="O2268" i="1"/>
  <c r="Q2268" i="1" s="1"/>
  <c r="O2269" i="1"/>
  <c r="P2269" i="1" s="1"/>
  <c r="O2270" i="1"/>
  <c r="P2270" i="1" s="1"/>
  <c r="O2271" i="1"/>
  <c r="O2272" i="1"/>
  <c r="P2272" i="1" s="1"/>
  <c r="O2273" i="1"/>
  <c r="Q2273" i="1" s="1"/>
  <c r="O2274" i="1"/>
  <c r="P2274" i="1" s="1"/>
  <c r="O2275" i="1"/>
  <c r="O2276" i="1"/>
  <c r="Q2276" i="1" s="1"/>
  <c r="O2277" i="1"/>
  <c r="P2277" i="1" s="1"/>
  <c r="O2278" i="1"/>
  <c r="O2279" i="1"/>
  <c r="O2280" i="1"/>
  <c r="P2280" i="1" s="1"/>
  <c r="O2281" i="1"/>
  <c r="P2281" i="1" s="1"/>
  <c r="O2282" i="1"/>
  <c r="O2283" i="1"/>
  <c r="Q2283" i="1" s="1"/>
  <c r="O2284" i="1"/>
  <c r="P2284" i="1" s="1"/>
  <c r="O2285" i="1"/>
  <c r="O2286" i="1"/>
  <c r="P2286" i="1" s="1"/>
  <c r="O2287" i="1"/>
  <c r="O2288" i="1"/>
  <c r="O2289" i="1"/>
  <c r="Q2289" i="1" s="1"/>
  <c r="O2290" i="1"/>
  <c r="P2290" i="1" s="1"/>
  <c r="O2291" i="1"/>
  <c r="O2292" i="1"/>
  <c r="P2292" i="1" s="1"/>
  <c r="O2293" i="1"/>
  <c r="Q2293" i="1" s="1"/>
  <c r="O2294" i="1"/>
  <c r="P2294" i="1" s="1"/>
  <c r="O2295" i="1"/>
  <c r="P2295" i="1" s="1"/>
  <c r="O2296" i="1"/>
  <c r="Q2296" i="1" s="1"/>
  <c r="O2297" i="1"/>
  <c r="P2297" i="1" s="1"/>
  <c r="O2298" i="1"/>
  <c r="O2299" i="1"/>
  <c r="O2300" i="1"/>
  <c r="Q2300" i="1" s="1"/>
  <c r="O2301" i="1"/>
  <c r="P2301" i="1" s="1"/>
  <c r="O2302" i="1"/>
  <c r="O2303" i="1"/>
  <c r="P2303" i="1" s="1"/>
  <c r="O2304" i="1"/>
  <c r="P2304" i="1" s="1"/>
  <c r="O2305" i="1"/>
  <c r="O2306" i="1"/>
  <c r="Q2306" i="1" s="1"/>
  <c r="O2307" i="1"/>
  <c r="P2307" i="1" s="1"/>
  <c r="O2308" i="1"/>
  <c r="P2308" i="1" s="1"/>
  <c r="O2309" i="1"/>
  <c r="Q2309" i="1" s="1"/>
  <c r="O2310" i="1"/>
  <c r="O2311" i="1"/>
  <c r="O2312" i="1"/>
  <c r="Q2312" i="1" s="1"/>
  <c r="O2313" i="1"/>
  <c r="P2313" i="1" s="1"/>
  <c r="O2314" i="1"/>
  <c r="O2315" i="1"/>
  <c r="Q2315" i="1" s="1"/>
  <c r="O2316" i="1"/>
  <c r="Q2316" i="1" s="1"/>
  <c r="O2317" i="1"/>
  <c r="P2317" i="1" s="1"/>
  <c r="O2318" i="1"/>
  <c r="P2318" i="1" s="1"/>
  <c r="O2319" i="1"/>
  <c r="O2320" i="1"/>
  <c r="P2320" i="1" s="1"/>
  <c r="O2321" i="1"/>
  <c r="Q2321" i="1" s="1"/>
  <c r="O2322" i="1"/>
  <c r="O2323" i="1"/>
  <c r="P2323" i="1" s="1"/>
  <c r="O2324" i="1"/>
  <c r="Q2324" i="1" s="1"/>
  <c r="O2325" i="1"/>
  <c r="O2326" i="1"/>
  <c r="P2326" i="1" s="1"/>
  <c r="O2327" i="1"/>
  <c r="P2327" i="1" s="1"/>
  <c r="O2328" i="1"/>
  <c r="P2328" i="1" s="1"/>
  <c r="O2329" i="1"/>
  <c r="Q2329" i="1" s="1"/>
  <c r="O2330" i="1"/>
  <c r="O2331" i="1"/>
  <c r="P2331" i="1" s="1"/>
  <c r="O2332" i="1"/>
  <c r="Q2332" i="1" s="1"/>
  <c r="O2333" i="1"/>
  <c r="O2334" i="1"/>
  <c r="P2334" i="1" s="1"/>
  <c r="O2335" i="1"/>
  <c r="P2335" i="1" s="1"/>
  <c r="O2336" i="1"/>
  <c r="P2336" i="1" s="1"/>
  <c r="O2337" i="1"/>
  <c r="O2338" i="1"/>
  <c r="Q2338" i="1" s="1"/>
  <c r="O2339" i="1"/>
  <c r="O2340" i="1"/>
  <c r="P2340" i="1" s="1"/>
  <c r="O2341" i="1"/>
  <c r="P2341" i="1" s="1"/>
  <c r="O2342" i="1"/>
  <c r="P2342" i="1" s="1"/>
  <c r="O2343" i="1"/>
  <c r="O2344" i="1"/>
  <c r="O2345" i="1"/>
  <c r="O2346" i="1"/>
  <c r="P2346" i="1" s="1"/>
  <c r="O2347" i="1"/>
  <c r="Q2347" i="1" s="1"/>
  <c r="O2348" i="1"/>
  <c r="P2348" i="1" s="1"/>
  <c r="O2349" i="1"/>
  <c r="Q2349" i="1" s="1"/>
  <c r="O2350" i="1"/>
  <c r="P2350" i="1" s="1"/>
  <c r="O2351" i="1"/>
  <c r="Q2351" i="1" s="1"/>
  <c r="O2352" i="1"/>
  <c r="O2353" i="1"/>
  <c r="P2353" i="1" s="1"/>
  <c r="O2354" i="1"/>
  <c r="P2354" i="1" s="1"/>
  <c r="O2355" i="1"/>
  <c r="O2356" i="1"/>
  <c r="O2357" i="1"/>
  <c r="P2357" i="1" s="1"/>
  <c r="O2358" i="1"/>
  <c r="P2358" i="1" s="1"/>
  <c r="O2359" i="1"/>
  <c r="Q2359" i="1" s="1"/>
  <c r="O2360" i="1"/>
  <c r="Q2360" i="1" s="1"/>
  <c r="O2361" i="1"/>
  <c r="Q2361" i="1" s="1"/>
  <c r="O2362" i="1"/>
  <c r="Q2362" i="1" s="1"/>
  <c r="O2363" i="1"/>
  <c r="P2363" i="1" s="1"/>
  <c r="O2364" i="1"/>
  <c r="Q2364" i="1" s="1"/>
  <c r="O2365" i="1"/>
  <c r="O2366" i="1"/>
  <c r="P2366" i="1" s="1"/>
  <c r="O2367" i="1"/>
  <c r="P2367" i="1" s="1"/>
  <c r="O2368" i="1"/>
  <c r="P2368" i="1" s="1"/>
  <c r="O2369" i="1"/>
  <c r="P2369" i="1" s="1"/>
  <c r="O2370" i="1"/>
  <c r="P2370" i="1" s="1"/>
  <c r="O2371" i="1"/>
  <c r="Q2371" i="1" s="1"/>
  <c r="O2372" i="1"/>
  <c r="P2372" i="1" s="1"/>
  <c r="O2373" i="1"/>
  <c r="P2373" i="1" s="1"/>
  <c r="O2374" i="1"/>
  <c r="P2374" i="1" s="1"/>
  <c r="O2375" i="1"/>
  <c r="O2376" i="1"/>
  <c r="P2376" i="1" s="1"/>
  <c r="O2377" i="1"/>
  <c r="P2377" i="1" s="1"/>
  <c r="O2378" i="1"/>
  <c r="O2379" i="1"/>
  <c r="O2380" i="1"/>
  <c r="P2380" i="1" s="1"/>
  <c r="O2381" i="1"/>
  <c r="O2382" i="1"/>
  <c r="O2383" i="1"/>
  <c r="O2384" i="1"/>
  <c r="O2385" i="1"/>
  <c r="P2385" i="1" s="1"/>
  <c r="O2386" i="1"/>
  <c r="O2387" i="1"/>
  <c r="P2387" i="1" s="1"/>
  <c r="O2388" i="1"/>
  <c r="P2388" i="1" s="1"/>
  <c r="O2389" i="1"/>
  <c r="P2389" i="1" s="1"/>
  <c r="O2390" i="1"/>
  <c r="P2390" i="1" s="1"/>
  <c r="O2391" i="1"/>
  <c r="P2391" i="1" s="1"/>
  <c r="O2392" i="1"/>
  <c r="P2392" i="1" s="1"/>
  <c r="O2393" i="1"/>
  <c r="Q2393" i="1" s="1"/>
  <c r="O2394" i="1"/>
  <c r="O2395" i="1"/>
  <c r="P2395" i="1" s="1"/>
  <c r="O2396" i="1"/>
  <c r="Q2396" i="1" s="1"/>
  <c r="O2397" i="1"/>
  <c r="O2398" i="1"/>
  <c r="P2398" i="1" s="1"/>
  <c r="O2399" i="1"/>
  <c r="O2400" i="1"/>
  <c r="P2400" i="1" s="1"/>
  <c r="O2401" i="1"/>
  <c r="O2402" i="1"/>
  <c r="P2402" i="1" s="1"/>
  <c r="O2403" i="1"/>
  <c r="Q2403" i="1" s="1"/>
  <c r="O2404" i="1"/>
  <c r="Q2404" i="1" s="1"/>
  <c r="O2405" i="1"/>
  <c r="P2405" i="1" s="1"/>
  <c r="O2406" i="1"/>
  <c r="P2406" i="1" s="1"/>
  <c r="O2407" i="1"/>
  <c r="O2408" i="1"/>
  <c r="P2408" i="1" s="1"/>
  <c r="O2409" i="1"/>
  <c r="O2410" i="1"/>
  <c r="P2410" i="1" s="1"/>
  <c r="O2411" i="1"/>
  <c r="O2412" i="1"/>
  <c r="O2413" i="1"/>
  <c r="O2414" i="1"/>
  <c r="P2414" i="1" s="1"/>
  <c r="O2415" i="1"/>
  <c r="Q2415" i="1" s="1"/>
  <c r="O2416" i="1"/>
  <c r="P2416" i="1" s="1"/>
  <c r="O2417" i="1"/>
  <c r="P2417" i="1" s="1"/>
  <c r="O2418" i="1"/>
  <c r="P2418" i="1" s="1"/>
  <c r="O2419" i="1"/>
  <c r="O2420" i="1"/>
  <c r="P2420" i="1" s="1"/>
  <c r="O2421" i="1"/>
  <c r="Q2421" i="1" s="1"/>
  <c r="O2422" i="1"/>
  <c r="Q2422" i="1" s="1"/>
  <c r="O2423" i="1"/>
  <c r="Q2423" i="1" s="1"/>
  <c r="O2424" i="1"/>
  <c r="P2424" i="1" s="1"/>
  <c r="O2425" i="1"/>
  <c r="P2425" i="1" s="1"/>
  <c r="O2426" i="1"/>
  <c r="P2426" i="1" s="1"/>
  <c r="O2427" i="1"/>
  <c r="O2428" i="1"/>
  <c r="O2429" i="1"/>
  <c r="O2430" i="1"/>
  <c r="P2430" i="1" s="1"/>
  <c r="O2431" i="1"/>
  <c r="O2432" i="1"/>
  <c r="P2432" i="1" s="1"/>
  <c r="O2433" i="1"/>
  <c r="Q2433" i="1" s="1"/>
  <c r="O2434" i="1"/>
  <c r="P2434" i="1" s="1"/>
  <c r="O2435" i="1"/>
  <c r="P2435" i="1" s="1"/>
  <c r="O2436" i="1"/>
  <c r="Q2436" i="1" s="1"/>
  <c r="O2437" i="1"/>
  <c r="P2437" i="1" s="1"/>
  <c r="O2438" i="1"/>
  <c r="O2439" i="1"/>
  <c r="P2439" i="1" s="1"/>
  <c r="O2440" i="1"/>
  <c r="P2440" i="1" s="1"/>
  <c r="O2441" i="1"/>
  <c r="O2442" i="1"/>
  <c r="O2443" i="1"/>
  <c r="O2444" i="1"/>
  <c r="Q2444" i="1" s="1"/>
  <c r="O2445" i="1"/>
  <c r="O2446" i="1"/>
  <c r="P2446" i="1" s="1"/>
  <c r="O2447" i="1"/>
  <c r="Q2447" i="1" s="1"/>
  <c r="O2448" i="1"/>
  <c r="P2448" i="1" s="1"/>
  <c r="O2449" i="1"/>
  <c r="O2450" i="1"/>
  <c r="Q2450" i="1" s="1"/>
  <c r="O2451" i="1"/>
  <c r="P2451" i="1" s="1"/>
  <c r="O2452" i="1"/>
  <c r="P2452" i="1" s="1"/>
  <c r="O2453" i="1"/>
  <c r="P2453" i="1" s="1"/>
  <c r="O2454" i="1"/>
  <c r="P2454" i="1" s="1"/>
  <c r="O2455" i="1"/>
  <c r="Q2455" i="1" s="1"/>
  <c r="O2456" i="1"/>
  <c r="P2456" i="1" s="1"/>
  <c r="O2457" i="1"/>
  <c r="Q2457" i="1" s="1"/>
  <c r="O2458" i="1"/>
  <c r="P2458" i="1" s="1"/>
  <c r="O2459" i="1"/>
  <c r="Q2459" i="1" s="1"/>
  <c r="O2460" i="1"/>
  <c r="Q2460" i="1" s="1"/>
  <c r="O2461" i="1"/>
  <c r="O2462" i="1"/>
  <c r="P2462" i="1" s="1"/>
  <c r="O2463" i="1"/>
  <c r="P2463" i="1" s="1"/>
  <c r="O2464" i="1"/>
  <c r="Q2464" i="1" s="1"/>
  <c r="O2465" i="1"/>
  <c r="O2466" i="1"/>
  <c r="P2466" i="1" s="1"/>
  <c r="O2467" i="1"/>
  <c r="O2468" i="1"/>
  <c r="P2468" i="1" s="1"/>
  <c r="O2469" i="1"/>
  <c r="P2469" i="1" s="1"/>
  <c r="O2470" i="1"/>
  <c r="P2470" i="1" s="1"/>
  <c r="O2471" i="1"/>
  <c r="O2472" i="1"/>
  <c r="P2472" i="1" s="1"/>
  <c r="O2473" i="1"/>
  <c r="Q2473" i="1" s="1"/>
  <c r="O2474" i="1"/>
  <c r="O2475" i="1"/>
  <c r="O2476" i="1"/>
  <c r="Q2476" i="1" s="1"/>
  <c r="O2477" i="1"/>
  <c r="O2478" i="1"/>
  <c r="P2478" i="1" s="1"/>
  <c r="O2479" i="1"/>
  <c r="O2480" i="1"/>
  <c r="O2481" i="1"/>
  <c r="Q2481" i="1" s="1"/>
  <c r="O2482" i="1"/>
  <c r="P2482" i="1" s="1"/>
  <c r="O2483" i="1"/>
  <c r="O2484" i="1"/>
  <c r="Q2484" i="1" s="1"/>
  <c r="O2485" i="1"/>
  <c r="O2486" i="1"/>
  <c r="O2487" i="1"/>
  <c r="P2487" i="1" s="1"/>
  <c r="O2488" i="1"/>
  <c r="P2488" i="1" s="1"/>
  <c r="O2489" i="1"/>
  <c r="P2489" i="1" s="1"/>
  <c r="O2490" i="1"/>
  <c r="Q2490" i="1" s="1"/>
  <c r="O2491" i="1"/>
  <c r="P2491" i="1" s="1"/>
  <c r="O2492" i="1"/>
  <c r="O2493" i="1"/>
  <c r="P2493" i="1" s="1"/>
  <c r="O2494" i="1"/>
  <c r="Q2494" i="1" s="1"/>
  <c r="O2495" i="1"/>
  <c r="O2496" i="1"/>
  <c r="O2497" i="1"/>
  <c r="P2497" i="1" s="1"/>
  <c r="O2498" i="1"/>
  <c r="P2498" i="1" s="1"/>
  <c r="O2499" i="1"/>
  <c r="O2500" i="1"/>
  <c r="P2500" i="1" s="1"/>
  <c r="O2501" i="1"/>
  <c r="P2501" i="1" s="1"/>
  <c r="O2502" i="1"/>
  <c r="O2503" i="1"/>
  <c r="O2504" i="1"/>
  <c r="P2504" i="1" s="1"/>
  <c r="O2505" i="1"/>
  <c r="P2505" i="1" s="1"/>
  <c r="O2506" i="1"/>
  <c r="O2507" i="1"/>
  <c r="O2508" i="1"/>
  <c r="Q2508" i="1" s="1"/>
  <c r="O2509" i="1"/>
  <c r="O2510" i="1"/>
  <c r="P2510" i="1" s="1"/>
  <c r="O2511" i="1"/>
  <c r="O2512" i="1"/>
  <c r="O2513" i="1"/>
  <c r="Q2513" i="1" s="1"/>
  <c r="O2514" i="1"/>
  <c r="P2514" i="1" s="1"/>
  <c r="O2515" i="1"/>
  <c r="Q2515" i="1" s="1"/>
  <c r="O2516" i="1"/>
  <c r="P2516" i="1" s="1"/>
  <c r="O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8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6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4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2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8" i="1"/>
  <c r="N2469" i="1"/>
  <c r="N2470" i="1"/>
  <c r="N2471" i="1"/>
  <c r="N2472" i="1"/>
  <c r="N2473" i="1"/>
  <c r="N2474" i="1"/>
  <c r="N2475" i="1"/>
  <c r="N2477" i="1"/>
  <c r="N2478" i="1"/>
  <c r="N2479" i="1"/>
  <c r="N2484" i="1"/>
  <c r="N2485" i="1"/>
  <c r="N2486" i="1"/>
  <c r="N2487" i="1"/>
  <c r="N2488" i="1"/>
  <c r="N2489" i="1"/>
  <c r="N2490" i="1"/>
  <c r="N2491" i="1"/>
  <c r="N2493" i="1"/>
  <c r="N2494" i="1"/>
  <c r="N2500" i="1"/>
  <c r="N2501" i="1"/>
  <c r="N2502" i="1"/>
  <c r="N2503" i="1"/>
  <c r="N2504" i="1"/>
  <c r="N2505" i="1"/>
  <c r="N2506" i="1"/>
  <c r="N2507" i="1"/>
  <c r="N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1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8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1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2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7" i="1"/>
  <c r="H578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7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7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3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3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4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3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3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9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3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5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40" i="1"/>
  <c r="H2341" i="1"/>
  <c r="H2342" i="1"/>
  <c r="H2343" i="1"/>
  <c r="H2344" i="1"/>
  <c r="H2345" i="1"/>
  <c r="H2347" i="1"/>
  <c r="H2348" i="1"/>
  <c r="H2349" i="1"/>
  <c r="H2350" i="1"/>
  <c r="H2351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72" i="1"/>
  <c r="H2373" i="1"/>
  <c r="H2374" i="1"/>
  <c r="H2375" i="1"/>
  <c r="H2376" i="1"/>
  <c r="H2379" i="1"/>
  <c r="H2380" i="1"/>
  <c r="H2381" i="1"/>
  <c r="H2382" i="1"/>
  <c r="H2383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4" i="1"/>
  <c r="H2405" i="1"/>
  <c r="H2406" i="1"/>
  <c r="H2410" i="1"/>
  <c r="H2411" i="1"/>
  <c r="H2412" i="1"/>
  <c r="H2413" i="1"/>
  <c r="H2414" i="1"/>
  <c r="H2415" i="1"/>
  <c r="H2417" i="1"/>
  <c r="H2420" i="1"/>
  <c r="H2421" i="1"/>
  <c r="H2422" i="1"/>
  <c r="H2425" i="1"/>
  <c r="H2426" i="1"/>
  <c r="H2427" i="1"/>
  <c r="H2428" i="1"/>
  <c r="H2429" i="1"/>
  <c r="H2430" i="1"/>
  <c r="H2431" i="1"/>
  <c r="H2436" i="1"/>
  <c r="H2437" i="1"/>
  <c r="H2438" i="1"/>
  <c r="H2441" i="1"/>
  <c r="H2443" i="1"/>
  <c r="H2444" i="1"/>
  <c r="H2445" i="1"/>
  <c r="H2446" i="1"/>
  <c r="H2447" i="1"/>
  <c r="H2452" i="1"/>
  <c r="H2453" i="1"/>
  <c r="H2454" i="1"/>
  <c r="H2457" i="1"/>
  <c r="H2458" i="1"/>
  <c r="H2459" i="1"/>
  <c r="H2460" i="1"/>
  <c r="H2461" i="1"/>
  <c r="H2462" i="1"/>
  <c r="H2463" i="1"/>
  <c r="H2468" i="1"/>
  <c r="H2469" i="1"/>
  <c r="H2470" i="1"/>
  <c r="H2474" i="1"/>
  <c r="H2475" i="1"/>
  <c r="H2476" i="1"/>
  <c r="H2477" i="1"/>
  <c r="H2478" i="1"/>
  <c r="H2479" i="1"/>
  <c r="H2484" i="1"/>
  <c r="H2485" i="1"/>
  <c r="H2486" i="1"/>
  <c r="H2489" i="1"/>
  <c r="H2490" i="1"/>
  <c r="H2491" i="1"/>
  <c r="H2492" i="1"/>
  <c r="H2493" i="1"/>
  <c r="H2494" i="1"/>
  <c r="H2495" i="1"/>
  <c r="H2496" i="1"/>
  <c r="H2501" i="1"/>
  <c r="H2502" i="1"/>
  <c r="H2506" i="1"/>
  <c r="H2507" i="1"/>
  <c r="H2508" i="1"/>
  <c r="H2509" i="1"/>
  <c r="H2510" i="1"/>
  <c r="H2511" i="1"/>
  <c r="H3" i="1"/>
  <c r="F4" i="1"/>
  <c r="F5" i="1"/>
  <c r="F6" i="1"/>
  <c r="F7" i="1"/>
  <c r="F8" i="1"/>
  <c r="F9" i="1"/>
  <c r="F10" i="1"/>
  <c r="F11" i="1"/>
  <c r="F12" i="1"/>
  <c r="F13" i="1"/>
  <c r="F14" i="1"/>
  <c r="F15" i="1"/>
  <c r="F20" i="1"/>
  <c r="F21" i="1"/>
  <c r="F24" i="1"/>
  <c r="F25" i="1"/>
  <c r="F26" i="1"/>
  <c r="F27" i="1"/>
  <c r="F28" i="1"/>
  <c r="F29" i="1"/>
  <c r="F30" i="1"/>
  <c r="F31" i="1"/>
  <c r="F36" i="1"/>
  <c r="F37" i="1"/>
  <c r="F38" i="1"/>
  <c r="F39" i="1"/>
  <c r="F40" i="1"/>
  <c r="F41" i="1"/>
  <c r="F42" i="1"/>
  <c r="F43" i="1"/>
  <c r="F44" i="1"/>
  <c r="F45" i="1"/>
  <c r="F46" i="1"/>
  <c r="F47" i="1"/>
  <c r="F52" i="1"/>
  <c r="F53" i="1"/>
  <c r="F55" i="1"/>
  <c r="F56" i="1"/>
  <c r="F57" i="1"/>
  <c r="F58" i="1"/>
  <c r="F59" i="1"/>
  <c r="F60" i="1"/>
  <c r="F61" i="1"/>
  <c r="F62" i="1"/>
  <c r="F63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4" i="1"/>
  <c r="F85" i="1"/>
  <c r="F86" i="1"/>
  <c r="F87" i="1"/>
  <c r="F88" i="1"/>
  <c r="F89" i="1"/>
  <c r="F90" i="1"/>
  <c r="F91" i="1"/>
  <c r="F92" i="1"/>
  <c r="F93" i="1"/>
  <c r="F94" i="1"/>
  <c r="F95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3" i="1"/>
  <c r="F115" i="1"/>
  <c r="F116" i="1"/>
  <c r="F117" i="1"/>
  <c r="F118" i="1"/>
  <c r="F120" i="1"/>
  <c r="F121" i="1"/>
  <c r="F122" i="1"/>
  <c r="F123" i="1"/>
  <c r="F124" i="1"/>
  <c r="F125" i="1"/>
  <c r="F126" i="1"/>
  <c r="F127" i="1"/>
  <c r="F128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8" i="1"/>
  <c r="F149" i="1"/>
  <c r="F152" i="1"/>
  <c r="F153" i="1"/>
  <c r="F154" i="1"/>
  <c r="F155" i="1"/>
  <c r="F156" i="1"/>
  <c r="F157" i="1"/>
  <c r="F158" i="1"/>
  <c r="F159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9" i="1"/>
  <c r="F180" i="1"/>
  <c r="F181" i="1"/>
  <c r="F182" i="1"/>
  <c r="F184" i="1"/>
  <c r="F185" i="1"/>
  <c r="F186" i="1"/>
  <c r="F187" i="1"/>
  <c r="F188" i="1"/>
  <c r="F189" i="1"/>
  <c r="F190" i="1"/>
  <c r="F191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12" i="1"/>
  <c r="F213" i="1"/>
  <c r="F216" i="1"/>
  <c r="F217" i="1"/>
  <c r="F218" i="1"/>
  <c r="F219" i="1"/>
  <c r="F220" i="1"/>
  <c r="F221" i="1"/>
  <c r="F222" i="1"/>
  <c r="F223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4" i="1"/>
  <c r="F245" i="1"/>
  <c r="F246" i="1"/>
  <c r="F248" i="1"/>
  <c r="F249" i="1"/>
  <c r="F250" i="1"/>
  <c r="F251" i="1"/>
  <c r="F252" i="1"/>
  <c r="F253" i="1"/>
  <c r="F254" i="1"/>
  <c r="F255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3" i="1"/>
  <c r="F276" i="1"/>
  <c r="F277" i="1"/>
  <c r="F279" i="1"/>
  <c r="F280" i="1"/>
  <c r="F281" i="1"/>
  <c r="F282" i="1"/>
  <c r="F283" i="1"/>
  <c r="F284" i="1"/>
  <c r="F285" i="1"/>
  <c r="F286" i="1"/>
  <c r="F287" i="1"/>
  <c r="F288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8" i="1"/>
  <c r="F309" i="1"/>
  <c r="F310" i="1"/>
  <c r="F312" i="1"/>
  <c r="F313" i="1"/>
  <c r="F314" i="1"/>
  <c r="F315" i="1"/>
  <c r="F316" i="1"/>
  <c r="F317" i="1"/>
  <c r="F318" i="1"/>
  <c r="F319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40" i="1"/>
  <c r="F341" i="1"/>
  <c r="F343" i="1"/>
  <c r="F344" i="1"/>
  <c r="F345" i="1"/>
  <c r="F346" i="1"/>
  <c r="F347" i="1"/>
  <c r="F348" i="1"/>
  <c r="F349" i="1"/>
  <c r="F350" i="1"/>
  <c r="F351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6" i="1"/>
  <c r="F437" i="1"/>
  <c r="F440" i="1"/>
  <c r="F441" i="1"/>
  <c r="F442" i="1"/>
  <c r="F443" i="1"/>
  <c r="F444" i="1"/>
  <c r="F445" i="1"/>
  <c r="F446" i="1"/>
  <c r="F447" i="1"/>
  <c r="F448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5" i="1"/>
  <c r="F468" i="1"/>
  <c r="F469" i="1"/>
  <c r="F471" i="1"/>
  <c r="F472" i="1"/>
  <c r="F473" i="1"/>
  <c r="F474" i="1"/>
  <c r="F475" i="1"/>
  <c r="F476" i="1"/>
  <c r="F477" i="1"/>
  <c r="F478" i="1"/>
  <c r="F479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500" i="1"/>
  <c r="F501" i="1"/>
  <c r="F504" i="1"/>
  <c r="F505" i="1"/>
  <c r="F506" i="1"/>
  <c r="F507" i="1"/>
  <c r="F508" i="1"/>
  <c r="F509" i="1"/>
  <c r="F510" i="1"/>
  <c r="F511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6" i="1"/>
  <c r="F597" i="1"/>
  <c r="F598" i="1"/>
  <c r="F600" i="1"/>
  <c r="F601" i="1"/>
  <c r="F602" i="1"/>
  <c r="F603" i="1"/>
  <c r="F604" i="1"/>
  <c r="F605" i="1"/>
  <c r="F606" i="1"/>
  <c r="F607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8" i="1"/>
  <c r="F629" i="1"/>
  <c r="F630" i="1"/>
  <c r="F632" i="1"/>
  <c r="F633" i="1"/>
  <c r="F634" i="1"/>
  <c r="F635" i="1"/>
  <c r="F636" i="1"/>
  <c r="F637" i="1"/>
  <c r="F638" i="1"/>
  <c r="F639" i="1"/>
  <c r="F644" i="1"/>
  <c r="F645" i="1"/>
  <c r="F646" i="1"/>
  <c r="F647" i="1"/>
  <c r="F648" i="1"/>
  <c r="F649" i="1"/>
  <c r="F650" i="1"/>
  <c r="F651" i="1"/>
  <c r="F652" i="1"/>
  <c r="F653" i="1"/>
  <c r="F654" i="1"/>
  <c r="F660" i="1"/>
  <c r="F661" i="1"/>
  <c r="F663" i="1"/>
  <c r="F664" i="1"/>
  <c r="F665" i="1"/>
  <c r="F666" i="1"/>
  <c r="F667" i="1"/>
  <c r="F668" i="1"/>
  <c r="F669" i="1"/>
  <c r="F670" i="1"/>
  <c r="F671" i="1"/>
  <c r="F676" i="1"/>
  <c r="F677" i="1"/>
  <c r="F678" i="1"/>
  <c r="F679" i="1"/>
  <c r="F680" i="1"/>
  <c r="F681" i="1"/>
  <c r="F682" i="1"/>
  <c r="F683" i="1"/>
  <c r="F684" i="1"/>
  <c r="F685" i="1"/>
  <c r="F691" i="1"/>
  <c r="F692" i="1"/>
  <c r="F693" i="1"/>
  <c r="F695" i="1"/>
  <c r="F696" i="1"/>
  <c r="F697" i="1"/>
  <c r="F698" i="1"/>
  <c r="F699" i="1"/>
  <c r="F700" i="1"/>
  <c r="F701" i="1"/>
  <c r="F708" i="1"/>
  <c r="F709" i="1"/>
  <c r="F710" i="1"/>
  <c r="F711" i="1"/>
  <c r="F712" i="1"/>
  <c r="F713" i="1"/>
  <c r="F714" i="1"/>
  <c r="F715" i="1"/>
  <c r="F716" i="1"/>
  <c r="F717" i="1"/>
  <c r="F723" i="1"/>
  <c r="F724" i="1"/>
  <c r="F725" i="1"/>
  <c r="F726" i="1"/>
  <c r="F728" i="1"/>
  <c r="F729" i="1"/>
  <c r="F730" i="1"/>
  <c r="F731" i="1"/>
  <c r="F732" i="1"/>
  <c r="F733" i="1"/>
  <c r="F740" i="1"/>
  <c r="F741" i="1"/>
  <c r="F742" i="1"/>
  <c r="F743" i="1"/>
  <c r="F744" i="1"/>
  <c r="F745" i="1"/>
  <c r="F746" i="1"/>
  <c r="F747" i="1"/>
  <c r="F748" i="1"/>
  <c r="F749" i="1"/>
  <c r="F756" i="1"/>
  <c r="F757" i="1"/>
  <c r="F759" i="1"/>
  <c r="F760" i="1"/>
  <c r="F761" i="1"/>
  <c r="F762" i="1"/>
  <c r="F763" i="1"/>
  <c r="F764" i="1"/>
  <c r="F765" i="1"/>
  <c r="F766" i="1"/>
  <c r="F772" i="1"/>
  <c r="F773" i="1"/>
  <c r="F774" i="1"/>
  <c r="F775" i="1"/>
  <c r="F776" i="1"/>
  <c r="F777" i="1"/>
  <c r="F778" i="1"/>
  <c r="F779" i="1"/>
  <c r="F780" i="1"/>
  <c r="F781" i="1"/>
  <c r="F782" i="1"/>
  <c r="F788" i="1"/>
  <c r="F789" i="1"/>
  <c r="F792" i="1"/>
  <c r="F793" i="1"/>
  <c r="F794" i="1"/>
  <c r="F795" i="1"/>
  <c r="F796" i="1"/>
  <c r="F797" i="1"/>
  <c r="F798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20" i="1"/>
  <c r="F821" i="1"/>
  <c r="F822" i="1"/>
  <c r="F824" i="1"/>
  <c r="F825" i="1"/>
  <c r="F826" i="1"/>
  <c r="F827" i="1"/>
  <c r="F828" i="1"/>
  <c r="F829" i="1"/>
  <c r="F836" i="1"/>
  <c r="F837" i="1"/>
  <c r="F838" i="1"/>
  <c r="F839" i="1"/>
  <c r="F840" i="1"/>
  <c r="F841" i="1"/>
  <c r="F842" i="1"/>
  <c r="F843" i="1"/>
  <c r="F844" i="1"/>
  <c r="F845" i="1"/>
  <c r="F852" i="1"/>
  <c r="F853" i="1"/>
  <c r="F855" i="1"/>
  <c r="F856" i="1"/>
  <c r="F857" i="1"/>
  <c r="F858" i="1"/>
  <c r="F859" i="1"/>
  <c r="F860" i="1"/>
  <c r="F861" i="1"/>
  <c r="F868" i="1"/>
  <c r="F869" i="1"/>
  <c r="F870" i="1"/>
  <c r="F871" i="1"/>
  <c r="F872" i="1"/>
  <c r="F873" i="1"/>
  <c r="F874" i="1"/>
  <c r="F875" i="1"/>
  <c r="F876" i="1"/>
  <c r="F877" i="1"/>
  <c r="F884" i="1"/>
  <c r="F885" i="1"/>
  <c r="F888" i="1"/>
  <c r="F889" i="1"/>
  <c r="F890" i="1"/>
  <c r="F891" i="1"/>
  <c r="F892" i="1"/>
  <c r="F893" i="1"/>
  <c r="F900" i="1"/>
  <c r="F901" i="1"/>
  <c r="F902" i="1"/>
  <c r="F903" i="1"/>
  <c r="F904" i="1"/>
  <c r="F905" i="1"/>
  <c r="F906" i="1"/>
  <c r="F907" i="1"/>
  <c r="F908" i="1"/>
  <c r="F909" i="1"/>
  <c r="F910" i="1"/>
  <c r="F915" i="1"/>
  <c r="F916" i="1"/>
  <c r="F917" i="1"/>
  <c r="F919" i="1"/>
  <c r="F920" i="1"/>
  <c r="F921" i="1"/>
  <c r="F922" i="1"/>
  <c r="F923" i="1"/>
  <c r="F924" i="1"/>
  <c r="F925" i="1"/>
  <c r="F932" i="1"/>
  <c r="F933" i="1"/>
  <c r="F934" i="1"/>
  <c r="F935" i="1"/>
  <c r="F936" i="1"/>
  <c r="F937" i="1"/>
  <c r="F938" i="1"/>
  <c r="F939" i="1"/>
  <c r="F940" i="1"/>
  <c r="F941" i="1"/>
  <c r="F942" i="1"/>
  <c r="F944" i="1"/>
  <c r="F948" i="1"/>
  <c r="F949" i="1"/>
  <c r="F951" i="1"/>
  <c r="F952" i="1"/>
  <c r="F953" i="1"/>
  <c r="F954" i="1"/>
  <c r="F955" i="1"/>
  <c r="F956" i="1"/>
  <c r="F957" i="1"/>
  <c r="F958" i="1"/>
  <c r="F959" i="1"/>
  <c r="F964" i="1"/>
  <c r="F965" i="1"/>
  <c r="F966" i="1"/>
  <c r="F967" i="1"/>
  <c r="F968" i="1"/>
  <c r="F969" i="1"/>
  <c r="F970" i="1"/>
  <c r="F971" i="1"/>
  <c r="F972" i="1"/>
  <c r="F973" i="1"/>
  <c r="F979" i="1"/>
  <c r="F980" i="1"/>
  <c r="F981" i="1"/>
  <c r="F983" i="1"/>
  <c r="F984" i="1"/>
  <c r="F985" i="1"/>
  <c r="F986" i="1"/>
  <c r="F987" i="1"/>
  <c r="F988" i="1"/>
  <c r="F989" i="1"/>
  <c r="F996" i="1"/>
  <c r="F997" i="1"/>
  <c r="F998" i="1"/>
  <c r="F999" i="1"/>
  <c r="F1000" i="1"/>
  <c r="F1001" i="1"/>
  <c r="F1002" i="1"/>
  <c r="F1003" i="1"/>
  <c r="F1004" i="1"/>
  <c r="F1005" i="1"/>
  <c r="F1011" i="1"/>
  <c r="F1012" i="1"/>
  <c r="F1013" i="1"/>
  <c r="F1014" i="1"/>
  <c r="F1016" i="1"/>
  <c r="F1017" i="1"/>
  <c r="F1018" i="1"/>
  <c r="F1019" i="1"/>
  <c r="F1020" i="1"/>
  <c r="F1021" i="1"/>
  <c r="F1028" i="1"/>
  <c r="F1029" i="1"/>
  <c r="F1030" i="1"/>
  <c r="F1031" i="1"/>
  <c r="F1032" i="1"/>
  <c r="F1033" i="1"/>
  <c r="F1034" i="1"/>
  <c r="F1035" i="1"/>
  <c r="F1036" i="1"/>
  <c r="F1037" i="1"/>
  <c r="F1044" i="1"/>
  <c r="F1045" i="1"/>
  <c r="F1048" i="1"/>
  <c r="F1049" i="1"/>
  <c r="F1050" i="1"/>
  <c r="F1051" i="1"/>
  <c r="F1052" i="1"/>
  <c r="F1053" i="1"/>
  <c r="F1055" i="1"/>
  <c r="F1060" i="1"/>
  <c r="F1061" i="1"/>
  <c r="F1062" i="1"/>
  <c r="F1063" i="1"/>
  <c r="F1064" i="1"/>
  <c r="F1065" i="1"/>
  <c r="F1066" i="1"/>
  <c r="F1067" i="1"/>
  <c r="F1068" i="1"/>
  <c r="F1069" i="1"/>
  <c r="F1071" i="1"/>
  <c r="F1076" i="1"/>
  <c r="F1077" i="1"/>
  <c r="F1080" i="1"/>
  <c r="F1081" i="1"/>
  <c r="F1082" i="1"/>
  <c r="F1083" i="1"/>
  <c r="F1084" i="1"/>
  <c r="F1085" i="1"/>
  <c r="F1086" i="1"/>
  <c r="F1087" i="1"/>
  <c r="F1092" i="1"/>
  <c r="F1093" i="1"/>
  <c r="F1094" i="1"/>
  <c r="F1095" i="1"/>
  <c r="F1096" i="1"/>
  <c r="F1097" i="1"/>
  <c r="F1098" i="1"/>
  <c r="F1099" i="1"/>
  <c r="F1100" i="1"/>
  <c r="F1101" i="1"/>
  <c r="F1103" i="1"/>
  <c r="F1108" i="1"/>
  <c r="F1109" i="1"/>
  <c r="F1110" i="1"/>
  <c r="F1112" i="1"/>
  <c r="F1113" i="1"/>
  <c r="F1114" i="1"/>
  <c r="F1115" i="1"/>
  <c r="F1116" i="1"/>
  <c r="F1117" i="1"/>
  <c r="F1124" i="1"/>
  <c r="F1125" i="1"/>
  <c r="F1126" i="1"/>
  <c r="F1127" i="1"/>
  <c r="F1128" i="1"/>
  <c r="F1129" i="1"/>
  <c r="F1130" i="1"/>
  <c r="F1131" i="1"/>
  <c r="F1132" i="1"/>
  <c r="F1133" i="1"/>
  <c r="F1140" i="1"/>
  <c r="F1141" i="1"/>
  <c r="F1142" i="1"/>
  <c r="F1144" i="1"/>
  <c r="F1145" i="1"/>
  <c r="F1146" i="1"/>
  <c r="F1147" i="1"/>
  <c r="F1148" i="1"/>
  <c r="F1149" i="1"/>
  <c r="F1156" i="1"/>
  <c r="F1157" i="1"/>
  <c r="F1158" i="1"/>
  <c r="F1159" i="1"/>
  <c r="F1160" i="1"/>
  <c r="F1161" i="1"/>
  <c r="F1162" i="1"/>
  <c r="F1163" i="1"/>
  <c r="F1164" i="1"/>
  <c r="F1165" i="1"/>
  <c r="F1172" i="1"/>
  <c r="F1173" i="1"/>
  <c r="F1175" i="1"/>
  <c r="F1176" i="1"/>
  <c r="F1177" i="1"/>
  <c r="F1178" i="1"/>
  <c r="F1179" i="1"/>
  <c r="F1180" i="1"/>
  <c r="F1181" i="1"/>
  <c r="F1183" i="1"/>
  <c r="F1188" i="1"/>
  <c r="F1189" i="1"/>
  <c r="F1190" i="1"/>
  <c r="F1191" i="1"/>
  <c r="F1192" i="1"/>
  <c r="F1193" i="1"/>
  <c r="F1195" i="1"/>
  <c r="F1196" i="1"/>
  <c r="F1197" i="1"/>
  <c r="F1199" i="1"/>
  <c r="F1204" i="1"/>
  <c r="F1205" i="1"/>
  <c r="F1208" i="1"/>
  <c r="F1209" i="1"/>
  <c r="F1210" i="1"/>
  <c r="F1211" i="1"/>
  <c r="F1212" i="1"/>
  <c r="F1213" i="1"/>
  <c r="F1214" i="1"/>
  <c r="F1215" i="1"/>
  <c r="F1220" i="1"/>
  <c r="F1221" i="1"/>
  <c r="F1222" i="1"/>
  <c r="F1223" i="1"/>
  <c r="F1224" i="1"/>
  <c r="F1225" i="1"/>
  <c r="F1226" i="1"/>
  <c r="F1227" i="1"/>
  <c r="F1228" i="1"/>
  <c r="F1229" i="1"/>
  <c r="F1236" i="1"/>
  <c r="F1237" i="1"/>
  <c r="F1238" i="1"/>
  <c r="F1239" i="1"/>
  <c r="F1240" i="1"/>
  <c r="F1241" i="1"/>
  <c r="F1242" i="1"/>
  <c r="F1243" i="1"/>
  <c r="F1244" i="1"/>
  <c r="F1245" i="1"/>
  <c r="F1252" i="1"/>
  <c r="F1253" i="1"/>
  <c r="F1254" i="1"/>
  <c r="F1255" i="1"/>
  <c r="F1256" i="1"/>
  <c r="F1257" i="1"/>
  <c r="F1258" i="1"/>
  <c r="F1259" i="1"/>
  <c r="F1260" i="1"/>
  <c r="F1261" i="1"/>
  <c r="F1268" i="1"/>
  <c r="F1269" i="1"/>
  <c r="F1272" i="1"/>
  <c r="F1273" i="1"/>
  <c r="F1274" i="1"/>
  <c r="F1275" i="1"/>
  <c r="F1276" i="1"/>
  <c r="F1277" i="1"/>
  <c r="F1284" i="1"/>
  <c r="F1285" i="1"/>
  <c r="F1286" i="1"/>
  <c r="F1287" i="1"/>
  <c r="F1288" i="1"/>
  <c r="F1289" i="1"/>
  <c r="F1290" i="1"/>
  <c r="F1292" i="1"/>
  <c r="F1293" i="1"/>
  <c r="F1300" i="1"/>
  <c r="F1301" i="1"/>
  <c r="F1302" i="1"/>
  <c r="F1303" i="1"/>
  <c r="F1304" i="1"/>
  <c r="F1305" i="1"/>
  <c r="F1306" i="1"/>
  <c r="F1307" i="1"/>
  <c r="F1308" i="1"/>
  <c r="F1309" i="1"/>
  <c r="F1311" i="1"/>
  <c r="F1316" i="1"/>
  <c r="F1317" i="1"/>
  <c r="F1318" i="1"/>
  <c r="F1319" i="1"/>
  <c r="F1320" i="1"/>
  <c r="F1321" i="1"/>
  <c r="F1322" i="1"/>
  <c r="F1323" i="1"/>
  <c r="F1324" i="1"/>
  <c r="F1325" i="1"/>
  <c r="F1327" i="1"/>
  <c r="F1332" i="1"/>
  <c r="F1333" i="1"/>
  <c r="F1334" i="1"/>
  <c r="F1336" i="1"/>
  <c r="F1337" i="1"/>
  <c r="F1338" i="1"/>
  <c r="F1339" i="1"/>
  <c r="F1340" i="1"/>
  <c r="F1341" i="1"/>
  <c r="F1342" i="1"/>
  <c r="F1343" i="1"/>
  <c r="F1348" i="1"/>
  <c r="F1349" i="1"/>
  <c r="F1350" i="1"/>
  <c r="F1351" i="1"/>
  <c r="F1352" i="1"/>
  <c r="F1353" i="1"/>
  <c r="F1354" i="1"/>
  <c r="F1355" i="1"/>
  <c r="F1356" i="1"/>
  <c r="F1357" i="1"/>
  <c r="F1359" i="1"/>
  <c r="F1360" i="1"/>
  <c r="F1364" i="1"/>
  <c r="F1365" i="1"/>
  <c r="F1368" i="1"/>
  <c r="F1369" i="1"/>
  <c r="F1370" i="1"/>
  <c r="F1371" i="1"/>
  <c r="F1372" i="1"/>
  <c r="F1373" i="1"/>
  <c r="F1380" i="1"/>
  <c r="F1381" i="1"/>
  <c r="F1382" i="1"/>
  <c r="F1383" i="1"/>
  <c r="F1384" i="1"/>
  <c r="F1385" i="1"/>
  <c r="F1386" i="1"/>
  <c r="F1387" i="1"/>
  <c r="F1388" i="1"/>
  <c r="F1389" i="1"/>
  <c r="F1396" i="1"/>
  <c r="F1397" i="1"/>
  <c r="F1398" i="1"/>
  <c r="F1400" i="1"/>
  <c r="F1401" i="1"/>
  <c r="F1402" i="1"/>
  <c r="F1403" i="1"/>
  <c r="F1404" i="1"/>
  <c r="F1405" i="1"/>
  <c r="F1412" i="1"/>
  <c r="F1413" i="1"/>
  <c r="F1414" i="1"/>
  <c r="F1415" i="1"/>
  <c r="F1416" i="1"/>
  <c r="F1417" i="1"/>
  <c r="F1418" i="1"/>
  <c r="F1419" i="1"/>
  <c r="F1420" i="1"/>
  <c r="F1421" i="1"/>
  <c r="F1428" i="1"/>
  <c r="F1429" i="1"/>
  <c r="F1430" i="1"/>
  <c r="F1432" i="1"/>
  <c r="F1433" i="1"/>
  <c r="F1434" i="1"/>
  <c r="F1435" i="1"/>
  <c r="F1436" i="1"/>
  <c r="F1437" i="1"/>
  <c r="F1439" i="1"/>
  <c r="F1444" i="1"/>
  <c r="F1445" i="1"/>
  <c r="F1446" i="1"/>
  <c r="F1447" i="1"/>
  <c r="F1448" i="1"/>
  <c r="F1449" i="1"/>
  <c r="F1451" i="1"/>
  <c r="F1452" i="1"/>
  <c r="F1453" i="1"/>
  <c r="F1455" i="1"/>
  <c r="F1460" i="1"/>
  <c r="F1461" i="1"/>
  <c r="F1462" i="1"/>
  <c r="F1464" i="1"/>
  <c r="F1465" i="1"/>
  <c r="F1466" i="1"/>
  <c r="F1467" i="1"/>
  <c r="F1468" i="1"/>
  <c r="F1469" i="1"/>
  <c r="F1470" i="1"/>
  <c r="F1471" i="1"/>
  <c r="F1476" i="1"/>
  <c r="F1477" i="1"/>
  <c r="F1478" i="1"/>
  <c r="F1479" i="1"/>
  <c r="F1480" i="1"/>
  <c r="F1481" i="1"/>
  <c r="F1482" i="1"/>
  <c r="F1483" i="1"/>
  <c r="F1484" i="1"/>
  <c r="F1485" i="1"/>
  <c r="F1487" i="1"/>
  <c r="F1492" i="1"/>
  <c r="F1493" i="1"/>
  <c r="F1494" i="1"/>
  <c r="F1495" i="1"/>
  <c r="F1496" i="1"/>
  <c r="F1497" i="1"/>
  <c r="F1498" i="1"/>
  <c r="F1499" i="1"/>
  <c r="F1500" i="1"/>
  <c r="F1501" i="1"/>
  <c r="F1508" i="1"/>
  <c r="F1509" i="1"/>
  <c r="F1510" i="1"/>
  <c r="F1511" i="1"/>
  <c r="F1512" i="1"/>
  <c r="F1513" i="1"/>
  <c r="F1515" i="1"/>
  <c r="F1516" i="1"/>
  <c r="F1517" i="1"/>
  <c r="F1524" i="1"/>
  <c r="F1525" i="1"/>
  <c r="F1527" i="1"/>
  <c r="F1528" i="1"/>
  <c r="F1529" i="1"/>
  <c r="F1530" i="1"/>
  <c r="F1531" i="1"/>
  <c r="F1532" i="1"/>
  <c r="F1533" i="1"/>
  <c r="F1541" i="1"/>
  <c r="F1542" i="1"/>
  <c r="F1543" i="1"/>
  <c r="F1544" i="1"/>
  <c r="F1545" i="1"/>
  <c r="F1547" i="1"/>
  <c r="F1548" i="1"/>
  <c r="F1549" i="1"/>
  <c r="F1556" i="1"/>
  <c r="F1557" i="1"/>
  <c r="F1560" i="1"/>
  <c r="F1561" i="1"/>
  <c r="F1562" i="1"/>
  <c r="F1563" i="1"/>
  <c r="F1564" i="1"/>
  <c r="F1565" i="1"/>
  <c r="F1567" i="1"/>
  <c r="F1572" i="1"/>
  <c r="F1573" i="1"/>
  <c r="F1574" i="1"/>
  <c r="F1576" i="1"/>
  <c r="F1577" i="1"/>
  <c r="F1578" i="1"/>
  <c r="F1580" i="1"/>
  <c r="F1581" i="1"/>
  <c r="F1583" i="1"/>
  <c r="F1588" i="1"/>
  <c r="F1589" i="1"/>
  <c r="F1591" i="1"/>
  <c r="F1592" i="1"/>
  <c r="F1593" i="1"/>
  <c r="F1594" i="1"/>
  <c r="F1595" i="1"/>
  <c r="F1596" i="1"/>
  <c r="F1597" i="1"/>
  <c r="F1598" i="1"/>
  <c r="F1599" i="1"/>
  <c r="F1604" i="1"/>
  <c r="F1605" i="1"/>
  <c r="F1606" i="1"/>
  <c r="F1607" i="1"/>
  <c r="F1608" i="1"/>
  <c r="F1609" i="1"/>
  <c r="F1610" i="1"/>
  <c r="F1612" i="1"/>
  <c r="F1613" i="1"/>
  <c r="F1615" i="1"/>
  <c r="F1620" i="1"/>
  <c r="F1621" i="1"/>
  <c r="F1624" i="1"/>
  <c r="F1626" i="1"/>
  <c r="F1627" i="1"/>
  <c r="F1628" i="1"/>
  <c r="F1629" i="1"/>
  <c r="F1636" i="1"/>
  <c r="F1638" i="1"/>
  <c r="F1639" i="1"/>
  <c r="F1640" i="1"/>
  <c r="F1641" i="1"/>
  <c r="F1642" i="1"/>
  <c r="F1643" i="1"/>
  <c r="F1645" i="1"/>
  <c r="F1652" i="1"/>
  <c r="F1653" i="1"/>
  <c r="F1656" i="1"/>
  <c r="F1657" i="1"/>
  <c r="F1658" i="1"/>
  <c r="F1659" i="1"/>
  <c r="F1660" i="1"/>
  <c r="F1661" i="1"/>
  <c r="F1669" i="1"/>
  <c r="F1670" i="1"/>
  <c r="F1672" i="1"/>
  <c r="F1673" i="1"/>
  <c r="F1674" i="1"/>
  <c r="F1676" i="1"/>
  <c r="F1677" i="1"/>
  <c r="F1684" i="1"/>
  <c r="F1685" i="1"/>
  <c r="F1686" i="1"/>
  <c r="F1687" i="1"/>
  <c r="F1688" i="1"/>
  <c r="F1689" i="1"/>
  <c r="F1690" i="1"/>
  <c r="F1691" i="1"/>
  <c r="F1692" i="1"/>
  <c r="F1693" i="1"/>
  <c r="F1695" i="1"/>
  <c r="F1700" i="1"/>
  <c r="F1701" i="1"/>
  <c r="F1702" i="1"/>
  <c r="F1703" i="1"/>
  <c r="F1704" i="1"/>
  <c r="F1705" i="1"/>
  <c r="F1708" i="1"/>
  <c r="F1709" i="1"/>
  <c r="F1711" i="1"/>
  <c r="F1716" i="1"/>
  <c r="F1717" i="1"/>
  <c r="F1720" i="1"/>
  <c r="F1721" i="1"/>
  <c r="F1722" i="1"/>
  <c r="F1723" i="1"/>
  <c r="F1724" i="1"/>
  <c r="F1725" i="1"/>
  <c r="F1726" i="1"/>
  <c r="F1727" i="1"/>
  <c r="F1732" i="1"/>
  <c r="F1733" i="1"/>
  <c r="F1734" i="1"/>
  <c r="F1735" i="1"/>
  <c r="F1736" i="1"/>
  <c r="F1739" i="1"/>
  <c r="F1741" i="1"/>
  <c r="F1748" i="1"/>
  <c r="F1749" i="1"/>
  <c r="F1752" i="1"/>
  <c r="F1753" i="1"/>
  <c r="F1754" i="1"/>
  <c r="F1755" i="1"/>
  <c r="F1756" i="1"/>
  <c r="F1757" i="1"/>
  <c r="F1765" i="1"/>
  <c r="F1767" i="1"/>
  <c r="F1768" i="1"/>
  <c r="F1769" i="1"/>
  <c r="F1771" i="1"/>
  <c r="F1772" i="1"/>
  <c r="F1773" i="1"/>
  <c r="F1780" i="1"/>
  <c r="F1781" i="1"/>
  <c r="F1784" i="1"/>
  <c r="F1785" i="1"/>
  <c r="F1787" i="1"/>
  <c r="F1788" i="1"/>
  <c r="F1796" i="1"/>
  <c r="F1797" i="1"/>
  <c r="F1799" i="1"/>
  <c r="F1800" i="1"/>
  <c r="F1801" i="1"/>
  <c r="F1802" i="1"/>
  <c r="F1803" i="1"/>
  <c r="F1804" i="1"/>
  <c r="F1805" i="1"/>
  <c r="F1812" i="1"/>
  <c r="F1813" i="1"/>
  <c r="F1817" i="1"/>
  <c r="F1818" i="1"/>
  <c r="F1819" i="1"/>
  <c r="F1821" i="1"/>
  <c r="F1823" i="1"/>
  <c r="F1828" i="1"/>
  <c r="F1831" i="1"/>
  <c r="F1832" i="1"/>
  <c r="F1833" i="1"/>
  <c r="F1836" i="1"/>
  <c r="F1837" i="1"/>
  <c r="F1844" i="1"/>
  <c r="F1845" i="1"/>
  <c r="F1846" i="1"/>
  <c r="F1848" i="1"/>
  <c r="F1849" i="1"/>
  <c r="F1850" i="1"/>
  <c r="F1851" i="1"/>
  <c r="F1852" i="1"/>
  <c r="F1853" i="1"/>
  <c r="F1854" i="1"/>
  <c r="F1855" i="1"/>
  <c r="F1860" i="1"/>
  <c r="F1861" i="1"/>
  <c r="F1863" i="1"/>
  <c r="F1864" i="1"/>
  <c r="F1865" i="1"/>
  <c r="F1876" i="1"/>
  <c r="F1877" i="1"/>
  <c r="F1878" i="1"/>
  <c r="F1880" i="1"/>
  <c r="F1883" i="1"/>
  <c r="F1885" i="1"/>
  <c r="F1892" i="1"/>
  <c r="F1894" i="1"/>
  <c r="F1895" i="1"/>
  <c r="F1898" i="1"/>
  <c r="F1899" i="1"/>
  <c r="F1900" i="1"/>
  <c r="F1901" i="1"/>
  <c r="F1908" i="1"/>
  <c r="F1909" i="1"/>
  <c r="F1912" i="1"/>
  <c r="F1914" i="1"/>
  <c r="F1915" i="1"/>
  <c r="F1916" i="1"/>
  <c r="F1917" i="1"/>
  <c r="F1924" i="1"/>
  <c r="F1926" i="1"/>
  <c r="F1929" i="1"/>
  <c r="F1930" i="1"/>
  <c r="F1933" i="1"/>
  <c r="F1940" i="1"/>
  <c r="F1941" i="1"/>
  <c r="F1944" i="1"/>
  <c r="F1945" i="1"/>
  <c r="F1947" i="1"/>
  <c r="F1948" i="1"/>
  <c r="F1957" i="1"/>
  <c r="F1958" i="1"/>
  <c r="F1959" i="1"/>
  <c r="F1960" i="1"/>
  <c r="F1962" i="1"/>
  <c r="F1964" i="1"/>
  <c r="F1967" i="1"/>
  <c r="F1972" i="1"/>
  <c r="F1973" i="1"/>
  <c r="F1975" i="1"/>
  <c r="F1976" i="1"/>
  <c r="F1977" i="1"/>
  <c r="F1978" i="1"/>
  <c r="F1979" i="1"/>
  <c r="F1983" i="1"/>
  <c r="F1990" i="1"/>
  <c r="F1992" i="1"/>
  <c r="F1993" i="1"/>
  <c r="F1994" i="1"/>
  <c r="F1996" i="1"/>
  <c r="F1997" i="1"/>
  <c r="F1998" i="1"/>
  <c r="F2004" i="1"/>
  <c r="F2005" i="1"/>
  <c r="F2008" i="1"/>
  <c r="F2009" i="1"/>
  <c r="F2010" i="1"/>
  <c r="F2012" i="1"/>
  <c r="F2013" i="1"/>
  <c r="F2015" i="1"/>
  <c r="F2022" i="1"/>
  <c r="F2023" i="1"/>
  <c r="F2025" i="1"/>
  <c r="F2027" i="1"/>
  <c r="F2028" i="1"/>
  <c r="F2036" i="1"/>
  <c r="F2037" i="1"/>
  <c r="F2040" i="1"/>
  <c r="F2042" i="1"/>
  <c r="F2043" i="1"/>
  <c r="F2044" i="1"/>
  <c r="F2045" i="1"/>
  <c r="F2052" i="1"/>
  <c r="F2054" i="1"/>
  <c r="F2055" i="1"/>
  <c r="F2057" i="1"/>
  <c r="F2059" i="1"/>
  <c r="F2068" i="1"/>
  <c r="F2069" i="1"/>
  <c r="F2071" i="1"/>
  <c r="F2072" i="1"/>
  <c r="F2073" i="1"/>
  <c r="F2074" i="1"/>
  <c r="F2075" i="1"/>
  <c r="F2084" i="1"/>
  <c r="F2086" i="1"/>
  <c r="F2088" i="1"/>
  <c r="F2089" i="1"/>
  <c r="F2090" i="1"/>
  <c r="F2091" i="1"/>
  <c r="F2092" i="1"/>
  <c r="F2093" i="1"/>
  <c r="F2100" i="1"/>
  <c r="F2101" i="1"/>
  <c r="F2104" i="1"/>
  <c r="F2106" i="1"/>
  <c r="F2107" i="1"/>
  <c r="F2111" i="1"/>
  <c r="F2116" i="1"/>
  <c r="F2120" i="1"/>
  <c r="F2125" i="1"/>
  <c r="F2126" i="1"/>
  <c r="F2132" i="1"/>
  <c r="F2133" i="1"/>
  <c r="F2136" i="1"/>
  <c r="F2137" i="1"/>
  <c r="F2139" i="1"/>
  <c r="F2140" i="1"/>
  <c r="F2141" i="1"/>
  <c r="F2143" i="1"/>
  <c r="F2148" i="1"/>
  <c r="F2149" i="1"/>
  <c r="F2157" i="1"/>
  <c r="F2164" i="1"/>
  <c r="F2165" i="1"/>
  <c r="F2168" i="1"/>
  <c r="F2169" i="1"/>
  <c r="F2172" i="1"/>
  <c r="F2183" i="1"/>
  <c r="F2184" i="1"/>
  <c r="F2185" i="1"/>
  <c r="F2186" i="1"/>
  <c r="F2187" i="1"/>
  <c r="F2189" i="1"/>
  <c r="F2196" i="1"/>
  <c r="F2197" i="1"/>
  <c r="F2200" i="1"/>
  <c r="F2202" i="1"/>
  <c r="F2203" i="1"/>
  <c r="F2204" i="1"/>
  <c r="F2216" i="1"/>
  <c r="F2218" i="1"/>
  <c r="F2220" i="1"/>
  <c r="F2228" i="1"/>
  <c r="F2229" i="1"/>
  <c r="F2233" i="1"/>
  <c r="F2234" i="1"/>
  <c r="F2236" i="1"/>
  <c r="F2239" i="1"/>
  <c r="F2245" i="1"/>
  <c r="F2246" i="1"/>
  <c r="F2249" i="1"/>
  <c r="F2250" i="1"/>
  <c r="F2251" i="1"/>
  <c r="F2253" i="1"/>
  <c r="F2260" i="1"/>
  <c r="F2261" i="1"/>
  <c r="F2266" i="1"/>
  <c r="F2267" i="1"/>
  <c r="F2268" i="1"/>
  <c r="F2276" i="1"/>
  <c r="F2277" i="1"/>
  <c r="F2285" i="1"/>
  <c r="F2292" i="1"/>
  <c r="F2293" i="1"/>
  <c r="F2297" i="1"/>
  <c r="F2299" i="1"/>
  <c r="F2300" i="1"/>
  <c r="F2301" i="1"/>
  <c r="F2303" i="1"/>
  <c r="F2308" i="1"/>
  <c r="F2315" i="1"/>
  <c r="F2316" i="1"/>
  <c r="F2317" i="1"/>
  <c r="F2325" i="1"/>
  <c r="F2330" i="1"/>
  <c r="F2332" i="1"/>
  <c r="F2341" i="1"/>
  <c r="F2347" i="1"/>
  <c r="F2348" i="1"/>
  <c r="F2349" i="1"/>
  <c r="F2362" i="1"/>
  <c r="F2363" i="1"/>
  <c r="F2380" i="1"/>
  <c r="F2389" i="1"/>
  <c r="F2396" i="1"/>
  <c r="F2427" i="1"/>
  <c r="F2444" i="1"/>
  <c r="F2445" i="1"/>
  <c r="F2454" i="1"/>
  <c r="F2460" i="1"/>
  <c r="F2461" i="1"/>
  <c r="F2463" i="1"/>
  <c r="F2476" i="1"/>
  <c r="F3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5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3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" i="1"/>
  <c r="P2496" i="1" l="1"/>
  <c r="Q2496" i="1"/>
  <c r="P2240" i="1"/>
  <c r="Q2240" i="1"/>
  <c r="P768" i="1"/>
  <c r="Q768" i="1"/>
  <c r="P608" i="1"/>
  <c r="Q608" i="1"/>
  <c r="P512" i="1"/>
  <c r="Q512" i="1"/>
  <c r="Q448" i="1"/>
  <c r="P448" i="1"/>
  <c r="P352" i="1"/>
  <c r="Q352" i="1"/>
  <c r="Q288" i="1"/>
  <c r="P288" i="1"/>
  <c r="Q256" i="1"/>
  <c r="P256" i="1"/>
  <c r="Q128" i="1"/>
  <c r="P128" i="1"/>
  <c r="P64" i="1"/>
  <c r="Q64" i="1"/>
  <c r="Q32" i="1"/>
  <c r="P32" i="1"/>
  <c r="Q2206" i="1"/>
  <c r="Q1856" i="1"/>
  <c r="Q1502" i="1"/>
  <c r="Q414" i="1"/>
  <c r="F2326" i="1"/>
  <c r="F2327" i="1"/>
  <c r="F2231" i="1"/>
  <c r="F2230" i="1"/>
  <c r="F2294" i="1"/>
  <c r="Q2510" i="1"/>
  <c r="Q2292" i="1"/>
  <c r="Q2161" i="1"/>
  <c r="Q2072" i="1"/>
  <c r="Q2028" i="1"/>
  <c r="Q1939" i="1"/>
  <c r="Q1854" i="1"/>
  <c r="Q1809" i="1"/>
  <c r="Q1719" i="1"/>
  <c r="Q1589" i="1"/>
  <c r="Q1326" i="1"/>
  <c r="Q1044" i="1"/>
  <c r="Q996" i="1"/>
  <c r="Q760" i="1"/>
  <c r="Q566" i="1"/>
  <c r="Q308" i="1"/>
  <c r="Q206" i="1"/>
  <c r="Q100" i="1"/>
  <c r="Q44" i="1"/>
  <c r="P2210" i="1"/>
  <c r="P1907" i="1"/>
  <c r="P1728" i="1"/>
  <c r="P1538" i="1"/>
  <c r="P1472" i="1"/>
  <c r="P1336" i="1"/>
  <c r="P1204" i="1"/>
  <c r="P1139" i="1"/>
  <c r="P854" i="1"/>
  <c r="P622" i="1"/>
  <c r="P544" i="1"/>
  <c r="P320" i="1"/>
  <c r="P92" i="1"/>
  <c r="P17" i="1"/>
  <c r="P2302" i="1"/>
  <c r="Q2302" i="1"/>
  <c r="P2046" i="1"/>
  <c r="Q2046" i="1"/>
  <c r="P1790" i="1"/>
  <c r="Q1790" i="1"/>
  <c r="P1534" i="1"/>
  <c r="Q1534" i="1"/>
  <c r="P1278" i="1"/>
  <c r="Q1278" i="1"/>
  <c r="P1086" i="1"/>
  <c r="Q1086" i="1"/>
  <c r="P894" i="1"/>
  <c r="Q894" i="1"/>
  <c r="P734" i="1"/>
  <c r="Q734" i="1"/>
  <c r="P702" i="1"/>
  <c r="Q702" i="1"/>
  <c r="P670" i="1"/>
  <c r="Q670" i="1"/>
  <c r="P638" i="1"/>
  <c r="Q638" i="1"/>
  <c r="P606" i="1"/>
  <c r="Q606" i="1"/>
  <c r="P574" i="1"/>
  <c r="Q574" i="1"/>
  <c r="P510" i="1"/>
  <c r="Q510" i="1"/>
  <c r="P478" i="1"/>
  <c r="Q478" i="1"/>
  <c r="P222" i="1"/>
  <c r="Q222" i="1"/>
  <c r="Q1982" i="1"/>
  <c r="Q254" i="1"/>
  <c r="F2103" i="1"/>
  <c r="F1559" i="1"/>
  <c r="H2377" i="1"/>
  <c r="Q2380" i="1"/>
  <c r="Q2336" i="1"/>
  <c r="Q2244" i="1"/>
  <c r="Q2200" i="1"/>
  <c r="Q2158" i="1"/>
  <c r="Q2116" i="1"/>
  <c r="Q2070" i="1"/>
  <c r="Q2025" i="1"/>
  <c r="Q1851" i="1"/>
  <c r="Q1806" i="1"/>
  <c r="Q1762" i="1"/>
  <c r="Q1715" i="1"/>
  <c r="Q1587" i="1"/>
  <c r="Q1495" i="1"/>
  <c r="Q1184" i="1"/>
  <c r="Q994" i="1"/>
  <c r="Q950" i="1"/>
  <c r="Q900" i="1"/>
  <c r="Q758" i="1"/>
  <c r="Q712" i="1"/>
  <c r="Q662" i="1"/>
  <c r="Q563" i="1"/>
  <c r="Q410" i="1"/>
  <c r="Q305" i="1"/>
  <c r="Q152" i="1"/>
  <c r="Q94" i="1"/>
  <c r="Q41" i="1"/>
  <c r="P1903" i="1"/>
  <c r="P1846" i="1"/>
  <c r="P1781" i="1"/>
  <c r="P1724" i="1"/>
  <c r="P1400" i="1"/>
  <c r="P1333" i="1"/>
  <c r="P1201" i="1"/>
  <c r="P1135" i="1"/>
  <c r="P1067" i="1"/>
  <c r="P997" i="1"/>
  <c r="P920" i="1"/>
  <c r="P849" i="1"/>
  <c r="P311" i="1"/>
  <c r="P160" i="1"/>
  <c r="P14" i="1"/>
  <c r="Q2492" i="1"/>
  <c r="P2492" i="1"/>
  <c r="P2428" i="1"/>
  <c r="Q2428" i="1"/>
  <c r="P2236" i="1"/>
  <c r="Q2236" i="1"/>
  <c r="P2108" i="1"/>
  <c r="Q2108" i="1"/>
  <c r="P2012" i="1"/>
  <c r="Q2012" i="1"/>
  <c r="P1916" i="1"/>
  <c r="Q1916" i="1"/>
  <c r="P1884" i="1"/>
  <c r="Q1884" i="1"/>
  <c r="Q1820" i="1"/>
  <c r="P1820" i="1"/>
  <c r="P1788" i="1"/>
  <c r="Q1788" i="1"/>
  <c r="P1756" i="1"/>
  <c r="Q1756" i="1"/>
  <c r="P1692" i="1"/>
  <c r="Q1692" i="1"/>
  <c r="P1596" i="1"/>
  <c r="Q1596" i="1"/>
  <c r="P1532" i="1"/>
  <c r="Q1532" i="1"/>
  <c r="P1500" i="1"/>
  <c r="Q1500" i="1"/>
  <c r="Q1468" i="1"/>
  <c r="P1468" i="1"/>
  <c r="P1404" i="1"/>
  <c r="Q1404" i="1"/>
  <c r="Q1372" i="1"/>
  <c r="P1372" i="1"/>
  <c r="Q1276" i="1"/>
  <c r="P1276" i="1"/>
  <c r="P1212" i="1"/>
  <c r="Q1212" i="1"/>
  <c r="P1116" i="1"/>
  <c r="Q1116" i="1"/>
  <c r="P1084" i="1"/>
  <c r="Q1084" i="1"/>
  <c r="P1052" i="1"/>
  <c r="Q1052" i="1"/>
  <c r="P828" i="1"/>
  <c r="Q828" i="1"/>
  <c r="P764" i="1"/>
  <c r="Q764" i="1"/>
  <c r="P412" i="1"/>
  <c r="Q412" i="1"/>
  <c r="P348" i="1"/>
  <c r="Q348" i="1"/>
  <c r="P316" i="1"/>
  <c r="Q316" i="1"/>
  <c r="P188" i="1"/>
  <c r="Q188" i="1"/>
  <c r="Q2334" i="1"/>
  <c r="Q2198" i="1"/>
  <c r="Q2068" i="1"/>
  <c r="Q1934" i="1"/>
  <c r="Q1760" i="1"/>
  <c r="Q1630" i="1"/>
  <c r="Q1494" i="1"/>
  <c r="Q1408" i="1"/>
  <c r="Q1228" i="1"/>
  <c r="Q1088" i="1"/>
  <c r="Q948" i="1"/>
  <c r="Q852" i="1"/>
  <c r="Q661" i="1"/>
  <c r="Q561" i="1"/>
  <c r="Q460" i="1"/>
  <c r="Q252" i="1"/>
  <c r="Q147" i="1"/>
  <c r="P2316" i="1"/>
  <c r="P2259" i="1"/>
  <c r="P2204" i="1"/>
  <c r="P1964" i="1"/>
  <c r="P1843" i="1"/>
  <c r="P1780" i="1"/>
  <c r="P1660" i="1"/>
  <c r="P1399" i="1"/>
  <c r="P1332" i="1"/>
  <c r="P1262" i="1"/>
  <c r="P1134" i="1"/>
  <c r="P916" i="1"/>
  <c r="P462" i="1"/>
  <c r="P384" i="1"/>
  <c r="P88" i="1"/>
  <c r="P12" i="1"/>
  <c r="F1989" i="1"/>
  <c r="F1869" i="1"/>
  <c r="F1707" i="1"/>
  <c r="F1207" i="1"/>
  <c r="P2203" i="1"/>
  <c r="Q2203" i="1"/>
  <c r="P1947" i="1"/>
  <c r="Q1947" i="1"/>
  <c r="P1691" i="1"/>
  <c r="Q1691" i="1"/>
  <c r="P1051" i="1"/>
  <c r="Q1051" i="1"/>
  <c r="P891" i="1"/>
  <c r="Q891" i="1"/>
  <c r="Q2420" i="1"/>
  <c r="Q2286" i="1"/>
  <c r="Q2197" i="1"/>
  <c r="Q2067" i="1"/>
  <c r="Q1892" i="1"/>
  <c r="Q1847" i="1"/>
  <c r="Q1804" i="1"/>
  <c r="Q1585" i="1"/>
  <c r="Q1492" i="1"/>
  <c r="Q1365" i="1"/>
  <c r="Q1182" i="1"/>
  <c r="Q992" i="1"/>
  <c r="Q947" i="1"/>
  <c r="Q756" i="1"/>
  <c r="Q660" i="1"/>
  <c r="Q407" i="1"/>
  <c r="Q302" i="1"/>
  <c r="Q145" i="1"/>
  <c r="P2494" i="1"/>
  <c r="P2315" i="1"/>
  <c r="P2140" i="1"/>
  <c r="P1963" i="1"/>
  <c r="P1900" i="1"/>
  <c r="P1777" i="1"/>
  <c r="P1463" i="1"/>
  <c r="P1398" i="1"/>
  <c r="P1259" i="1"/>
  <c r="P1195" i="1"/>
  <c r="P1132" i="1"/>
  <c r="P846" i="1"/>
  <c r="P156" i="1"/>
  <c r="P11" i="1"/>
  <c r="F2383" i="1"/>
  <c r="F2372" i="1"/>
  <c r="F2213" i="1"/>
  <c r="F1928" i="1"/>
  <c r="F1815" i="1"/>
  <c r="F1655" i="1"/>
  <c r="P2330" i="1"/>
  <c r="Q2330" i="1"/>
  <c r="P2298" i="1"/>
  <c r="Q2298" i="1"/>
  <c r="P2106" i="1"/>
  <c r="Q2106" i="1"/>
  <c r="P2074" i="1"/>
  <c r="Q2074" i="1"/>
  <c r="P2042" i="1"/>
  <c r="Q2042" i="1"/>
  <c r="P1786" i="1"/>
  <c r="Q1786" i="1"/>
  <c r="Q1754" i="1"/>
  <c r="P1754" i="1"/>
  <c r="P1306" i="1"/>
  <c r="Q1306" i="1"/>
  <c r="P1114" i="1"/>
  <c r="Q1114" i="1"/>
  <c r="P1018" i="1"/>
  <c r="Q1018" i="1"/>
  <c r="P922" i="1"/>
  <c r="Q922" i="1"/>
  <c r="Q794" i="1"/>
  <c r="P794" i="1"/>
  <c r="P762" i="1"/>
  <c r="Q762" i="1"/>
  <c r="P730" i="1"/>
  <c r="Q730" i="1"/>
  <c r="P698" i="1"/>
  <c r="Q698" i="1"/>
  <c r="Q666" i="1"/>
  <c r="P666" i="1"/>
  <c r="Q602" i="1"/>
  <c r="P602" i="1"/>
  <c r="P442" i="1"/>
  <c r="Q442" i="1"/>
  <c r="Q346" i="1"/>
  <c r="P346" i="1"/>
  <c r="Q186" i="1"/>
  <c r="P186" i="1"/>
  <c r="P58" i="1"/>
  <c r="Q58" i="1"/>
  <c r="Q2462" i="1"/>
  <c r="Q2331" i="1"/>
  <c r="Q2196" i="1"/>
  <c r="Q2112" i="1"/>
  <c r="Q1976" i="1"/>
  <c r="Q1758" i="1"/>
  <c r="Q1710" i="1"/>
  <c r="Q1627" i="1"/>
  <c r="Q1491" i="1"/>
  <c r="Q1406" i="1"/>
  <c r="Q1364" i="1"/>
  <c r="Q1035" i="1"/>
  <c r="Q800" i="1"/>
  <c r="Q755" i="1"/>
  <c r="Q708" i="1"/>
  <c r="Q406" i="1"/>
  <c r="Q250" i="1"/>
  <c r="Q196" i="1"/>
  <c r="P1836" i="1"/>
  <c r="P1594" i="1"/>
  <c r="P1526" i="1"/>
  <c r="P1460" i="1"/>
  <c r="P1396" i="1"/>
  <c r="P1060" i="1"/>
  <c r="P913" i="1"/>
  <c r="P844" i="1"/>
  <c r="P770" i="1"/>
  <c r="P695" i="1"/>
  <c r="P226" i="1"/>
  <c r="F2039" i="1"/>
  <c r="F1981" i="1"/>
  <c r="F1867" i="1"/>
  <c r="F502" i="1"/>
  <c r="F214" i="1"/>
  <c r="Q2417" i="1"/>
  <c r="Q2328" i="1"/>
  <c r="Q2284" i="1"/>
  <c r="Q2195" i="1"/>
  <c r="Q2110" i="1"/>
  <c r="Q2065" i="1"/>
  <c r="Q1845" i="1"/>
  <c r="Q1626" i="1"/>
  <c r="Q1582" i="1"/>
  <c r="Q1363" i="1"/>
  <c r="Q1271" i="1"/>
  <c r="Q1179" i="1"/>
  <c r="Q1083" i="1"/>
  <c r="Q990" i="1"/>
  <c r="Q896" i="1"/>
  <c r="Q753" i="1"/>
  <c r="Q558" i="1"/>
  <c r="Q350" i="1"/>
  <c r="Q300" i="1"/>
  <c r="Q142" i="1"/>
  <c r="Q36" i="1"/>
  <c r="P2490" i="1"/>
  <c r="P2199" i="1"/>
  <c r="P2076" i="1"/>
  <c r="P2016" i="1"/>
  <c r="P1652" i="1"/>
  <c r="P1592" i="1"/>
  <c r="P986" i="1"/>
  <c r="P910" i="1"/>
  <c r="P843" i="1"/>
  <c r="P604" i="1"/>
  <c r="P535" i="1"/>
  <c r="P2008" i="1"/>
  <c r="Q2008" i="1"/>
  <c r="P1176" i="1"/>
  <c r="Q1176" i="1"/>
  <c r="P1080" i="1"/>
  <c r="Q1080" i="1"/>
  <c r="Q1048" i="1"/>
  <c r="P1048" i="1"/>
  <c r="P984" i="1"/>
  <c r="Q984" i="1"/>
  <c r="P952" i="1"/>
  <c r="Q952" i="1"/>
  <c r="P856" i="1"/>
  <c r="Q856" i="1"/>
  <c r="P696" i="1"/>
  <c r="Q696" i="1"/>
  <c r="P536" i="1"/>
  <c r="Q536" i="1"/>
  <c r="Q280" i="1"/>
  <c r="P280" i="1"/>
  <c r="P248" i="1"/>
  <c r="Q248" i="1"/>
  <c r="P24" i="1"/>
  <c r="Q24" i="1"/>
  <c r="Q2238" i="1"/>
  <c r="Q1888" i="1"/>
  <c r="Q1844" i="1"/>
  <c r="Q1580" i="1"/>
  <c r="Q1536" i="1"/>
  <c r="Q1361" i="1"/>
  <c r="Q798" i="1"/>
  <c r="Q704" i="1"/>
  <c r="P1521" i="1"/>
  <c r="P1457" i="1"/>
  <c r="P1388" i="1"/>
  <c r="P1056" i="1"/>
  <c r="P686" i="1"/>
  <c r="P376" i="1"/>
  <c r="P224" i="1"/>
  <c r="P75" i="1"/>
  <c r="F2351" i="1"/>
  <c r="F2350" i="1"/>
  <c r="F2254" i="1"/>
  <c r="F2255" i="1"/>
  <c r="F2030" i="1"/>
  <c r="F2031" i="1"/>
  <c r="F1903" i="1"/>
  <c r="F1902" i="1"/>
  <c r="F1870" i="1"/>
  <c r="F1871" i="1"/>
  <c r="F1838" i="1"/>
  <c r="F1839" i="1"/>
  <c r="F1807" i="1"/>
  <c r="F1806" i="1"/>
  <c r="P1943" i="1"/>
  <c r="Q1943" i="1"/>
  <c r="P1431" i="1"/>
  <c r="Q1431" i="1"/>
  <c r="P1015" i="1"/>
  <c r="Q1015" i="1"/>
  <c r="P919" i="1"/>
  <c r="Q919" i="1"/>
  <c r="P855" i="1"/>
  <c r="Q855" i="1"/>
  <c r="Q567" i="1"/>
  <c r="P567" i="1"/>
  <c r="P439" i="1"/>
  <c r="Q439" i="1"/>
  <c r="P183" i="1"/>
  <c r="Q183" i="1"/>
  <c r="P87" i="1"/>
  <c r="Q87" i="1"/>
  <c r="Q2456" i="1"/>
  <c r="Q2414" i="1"/>
  <c r="Q2326" i="1"/>
  <c r="Q2062" i="1"/>
  <c r="Q1971" i="1"/>
  <c r="Q1751" i="1"/>
  <c r="Q1623" i="1"/>
  <c r="Q1486" i="1"/>
  <c r="Q1268" i="1"/>
  <c r="Q1079" i="1"/>
  <c r="Q940" i="1"/>
  <c r="Q600" i="1"/>
  <c r="Q556" i="1"/>
  <c r="Q398" i="1"/>
  <c r="P2484" i="1"/>
  <c r="P2252" i="1"/>
  <c r="P2131" i="1"/>
  <c r="P1772" i="1"/>
  <c r="P1713" i="1"/>
  <c r="P1649" i="1"/>
  <c r="P980" i="1"/>
  <c r="P908" i="1"/>
  <c r="P599" i="1"/>
  <c r="P374" i="1"/>
  <c r="F2510" i="1"/>
  <c r="F2221" i="1"/>
  <c r="F2029" i="1"/>
  <c r="F1965" i="1"/>
  <c r="F1751" i="1"/>
  <c r="Q2166" i="1"/>
  <c r="P2166" i="1"/>
  <c r="P1910" i="1"/>
  <c r="Q1910" i="1"/>
  <c r="P1654" i="1"/>
  <c r="Q1654" i="1"/>
  <c r="P1046" i="1"/>
  <c r="Q1046" i="1"/>
  <c r="P886" i="1"/>
  <c r="Q886" i="1"/>
  <c r="P502" i="1"/>
  <c r="Q502" i="1"/>
  <c r="P310" i="1"/>
  <c r="Q310" i="1"/>
  <c r="Q214" i="1"/>
  <c r="P214" i="1"/>
  <c r="P150" i="1"/>
  <c r="Q150" i="1"/>
  <c r="Q54" i="1"/>
  <c r="P54" i="1"/>
  <c r="Q22" i="1"/>
  <c r="P22" i="1"/>
  <c r="Q2454" i="1"/>
  <c r="Q2104" i="1"/>
  <c r="Q1886" i="1"/>
  <c r="Q1622" i="1"/>
  <c r="Q1174" i="1"/>
  <c r="Q748" i="1"/>
  <c r="Q651" i="1"/>
  <c r="Q598" i="1"/>
  <c r="Q555" i="1"/>
  <c r="Q396" i="1"/>
  <c r="Q344" i="1"/>
  <c r="Q190" i="1"/>
  <c r="Q84" i="1"/>
  <c r="Q30" i="1"/>
  <c r="P2193" i="1"/>
  <c r="P1771" i="1"/>
  <c r="P1516" i="1"/>
  <c r="F2391" i="1"/>
  <c r="P3" i="1"/>
  <c r="P2485" i="1"/>
  <c r="Q2485" i="1"/>
  <c r="P2325" i="1"/>
  <c r="Q2325" i="1"/>
  <c r="P2261" i="1"/>
  <c r="Q2261" i="1"/>
  <c r="P2229" i="1"/>
  <c r="Q2229" i="1"/>
  <c r="P2037" i="1"/>
  <c r="Q2037" i="1"/>
  <c r="P2005" i="1"/>
  <c r="Q2005" i="1"/>
  <c r="P1749" i="1"/>
  <c r="Q1749" i="1"/>
  <c r="P1717" i="1"/>
  <c r="Q1717" i="1"/>
  <c r="P1557" i="1"/>
  <c r="Q1557" i="1"/>
  <c r="P1525" i="1"/>
  <c r="Q1525" i="1"/>
  <c r="P1461" i="1"/>
  <c r="Q1461" i="1"/>
  <c r="P1301" i="1"/>
  <c r="Q1301" i="1"/>
  <c r="P1173" i="1"/>
  <c r="Q1173" i="1"/>
  <c r="P853" i="1"/>
  <c r="Q853" i="1"/>
  <c r="P693" i="1"/>
  <c r="Q693" i="1"/>
  <c r="Q565" i="1"/>
  <c r="P565" i="1"/>
  <c r="P501" i="1"/>
  <c r="Q501" i="1"/>
  <c r="P469" i="1"/>
  <c r="Q469" i="1"/>
  <c r="P437" i="1"/>
  <c r="Q437" i="1"/>
  <c r="P405" i="1"/>
  <c r="Q405" i="1"/>
  <c r="P277" i="1"/>
  <c r="Q277" i="1"/>
  <c r="P181" i="1"/>
  <c r="Q181" i="1"/>
  <c r="Q2453" i="1"/>
  <c r="Q2323" i="1"/>
  <c r="Q2103" i="1"/>
  <c r="Q2060" i="1"/>
  <c r="Q1841" i="1"/>
  <c r="Q1621" i="1"/>
  <c r="Q1356" i="1"/>
  <c r="Q1312" i="1"/>
  <c r="Q1172" i="1"/>
  <c r="Q1077" i="1"/>
  <c r="Q983" i="1"/>
  <c r="Q597" i="1"/>
  <c r="Q500" i="1"/>
  <c r="Q395" i="1"/>
  <c r="Q241" i="1"/>
  <c r="Q83" i="1"/>
  <c r="P2481" i="1"/>
  <c r="P2422" i="1"/>
  <c r="P2360" i="1"/>
  <c r="P1948" i="1"/>
  <c r="P1579" i="1"/>
  <c r="P1515" i="1"/>
  <c r="P1248" i="1"/>
  <c r="P832" i="1"/>
  <c r="P526" i="1"/>
  <c r="P444" i="1"/>
  <c r="P366" i="1"/>
  <c r="P220" i="1"/>
  <c r="P140" i="1"/>
  <c r="F2507" i="1"/>
  <c r="F2475" i="1"/>
  <c r="F2443" i="1"/>
  <c r="F2379" i="1"/>
  <c r="F2155" i="1"/>
  <c r="F1931" i="1"/>
  <c r="F1835" i="1"/>
  <c r="F2199" i="1"/>
  <c r="P2228" i="1"/>
  <c r="Q2228" i="1"/>
  <c r="P1972" i="1"/>
  <c r="Q1972" i="1"/>
  <c r="P1716" i="1"/>
  <c r="Q1716" i="1"/>
  <c r="P820" i="1"/>
  <c r="Q820" i="1"/>
  <c r="P724" i="1"/>
  <c r="Q724" i="1"/>
  <c r="P628" i="1"/>
  <c r="Q628" i="1"/>
  <c r="P404" i="1"/>
  <c r="Q404" i="1"/>
  <c r="P276" i="1"/>
  <c r="Q276" i="1"/>
  <c r="P244" i="1"/>
  <c r="Q244" i="1"/>
  <c r="P148" i="1"/>
  <c r="Q148" i="1"/>
  <c r="P20" i="1"/>
  <c r="Q20" i="1"/>
  <c r="Q2452" i="1"/>
  <c r="Q2368" i="1"/>
  <c r="Q2014" i="1"/>
  <c r="Q1662" i="1"/>
  <c r="Q1620" i="1"/>
  <c r="Q1440" i="1"/>
  <c r="Q1310" i="1"/>
  <c r="Q596" i="1"/>
  <c r="F2263" i="1"/>
  <c r="P2419" i="1"/>
  <c r="Q2419" i="1"/>
  <c r="P1395" i="1"/>
  <c r="Q1395" i="1"/>
  <c r="P787" i="1"/>
  <c r="Q787" i="1"/>
  <c r="P531" i="1"/>
  <c r="Q531" i="1"/>
  <c r="Q435" i="1"/>
  <c r="P435" i="1"/>
  <c r="Q371" i="1"/>
  <c r="P371" i="1"/>
  <c r="P243" i="1"/>
  <c r="Q243" i="1"/>
  <c r="P115" i="1"/>
  <c r="Q115" i="1"/>
  <c r="Q2451" i="1"/>
  <c r="Q2366" i="1"/>
  <c r="Q1838" i="1"/>
  <c r="Q1619" i="1"/>
  <c r="Q1527" i="1"/>
  <c r="Q1169" i="1"/>
  <c r="Q1073" i="1"/>
  <c r="Q792" i="1"/>
  <c r="Q497" i="1"/>
  <c r="Q446" i="1"/>
  <c r="Q238" i="1"/>
  <c r="Q81" i="1"/>
  <c r="P2126" i="1"/>
  <c r="P2006" i="1"/>
  <c r="P1944" i="1"/>
  <c r="P1644" i="1"/>
  <c r="P1376" i="1"/>
  <c r="F1743" i="1"/>
  <c r="F1047" i="1"/>
  <c r="P2386" i="1"/>
  <c r="Q2386" i="1"/>
  <c r="P1874" i="1"/>
  <c r="Q1874" i="1"/>
  <c r="P1618" i="1"/>
  <c r="Q1618" i="1"/>
  <c r="P1362" i="1"/>
  <c r="Q1362" i="1"/>
  <c r="P1202" i="1"/>
  <c r="Q1202" i="1"/>
  <c r="Q1138" i="1"/>
  <c r="P1138" i="1"/>
  <c r="Q1042" i="1"/>
  <c r="P1042" i="1"/>
  <c r="P850" i="1"/>
  <c r="Q850" i="1"/>
  <c r="P786" i="1"/>
  <c r="Q786" i="1"/>
  <c r="Q754" i="1"/>
  <c r="P754" i="1"/>
  <c r="P658" i="1"/>
  <c r="Q658" i="1"/>
  <c r="P306" i="1"/>
  <c r="Q306" i="1"/>
  <c r="P146" i="1"/>
  <c r="Q146" i="1"/>
  <c r="Q114" i="1"/>
  <c r="P114" i="1"/>
  <c r="Q50" i="1"/>
  <c r="P50" i="1"/>
  <c r="Q18" i="1"/>
  <c r="P18" i="1"/>
  <c r="Q2184" i="1"/>
  <c r="Q2144" i="1"/>
  <c r="Q2100" i="1"/>
  <c r="Q1880" i="1"/>
  <c r="Q1792" i="1"/>
  <c r="Q1659" i="1"/>
  <c r="Q1617" i="1"/>
  <c r="Q1572" i="1"/>
  <c r="Q1438" i="1"/>
  <c r="Q1352" i="1"/>
  <c r="Q1307" i="1"/>
  <c r="Q1217" i="1"/>
  <c r="Q1121" i="1"/>
  <c r="Q978" i="1"/>
  <c r="Q884" i="1"/>
  <c r="Q791" i="1"/>
  <c r="Q694" i="1"/>
  <c r="Q645" i="1"/>
  <c r="Q389" i="1"/>
  <c r="Q340" i="1"/>
  <c r="Q184" i="1"/>
  <c r="Q79" i="1"/>
  <c r="Q21" i="1"/>
  <c r="P2476" i="1"/>
  <c r="P2415" i="1"/>
  <c r="P2300" i="1"/>
  <c r="P2187" i="1"/>
  <c r="P2123" i="1"/>
  <c r="P2004" i="1"/>
  <c r="P1942" i="1"/>
  <c r="P1818" i="1"/>
  <c r="P1509" i="1"/>
  <c r="P1308" i="1"/>
  <c r="P1041" i="1"/>
  <c r="P824" i="1"/>
  <c r="P668" i="1"/>
  <c r="P433" i="1"/>
  <c r="P216" i="1"/>
  <c r="F2287" i="1"/>
  <c r="F1774" i="1"/>
  <c r="P2449" i="1"/>
  <c r="Q2449" i="1"/>
  <c r="P2257" i="1"/>
  <c r="Q2257" i="1"/>
  <c r="P2225" i="1"/>
  <c r="Q2225" i="1"/>
  <c r="P2033" i="1"/>
  <c r="Q2033" i="1"/>
  <c r="P1937" i="1"/>
  <c r="Q1937" i="1"/>
  <c r="P1745" i="1"/>
  <c r="Q1745" i="1"/>
  <c r="P1681" i="1"/>
  <c r="Q1681" i="1"/>
  <c r="P1425" i="1"/>
  <c r="Q1425" i="1"/>
  <c r="P1265" i="1"/>
  <c r="Q1265" i="1"/>
  <c r="P689" i="1"/>
  <c r="Q689" i="1"/>
  <c r="Q401" i="1"/>
  <c r="P401" i="1"/>
  <c r="Q1393" i="1"/>
  <c r="Q1260" i="1"/>
  <c r="Q1216" i="1"/>
  <c r="Q1120" i="1"/>
  <c r="Q977" i="1"/>
  <c r="Q593" i="1"/>
  <c r="Q286" i="1"/>
  <c r="Q126" i="1"/>
  <c r="F2279" i="1"/>
  <c r="F2215" i="1"/>
  <c r="F2151" i="1"/>
  <c r="F2468" i="1"/>
  <c r="F1910" i="1"/>
  <c r="Q2446" i="1"/>
  <c r="Q2272" i="1"/>
  <c r="Q2142" i="1"/>
  <c r="Q1920" i="1"/>
  <c r="Q1878" i="1"/>
  <c r="Q1656" i="1"/>
  <c r="Q1214" i="1"/>
  <c r="Q1118" i="1"/>
  <c r="Q928" i="1"/>
  <c r="Q881" i="1"/>
  <c r="Q788" i="1"/>
  <c r="Q440" i="1"/>
  <c r="P2296" i="1"/>
  <c r="P2059" i="1"/>
  <c r="P2001" i="1"/>
  <c r="P1816" i="1"/>
  <c r="P664" i="1"/>
  <c r="P588" i="1"/>
  <c r="F2135" i="1"/>
  <c r="F2077" i="1"/>
  <c r="F2021" i="1"/>
  <c r="Q2511" i="1"/>
  <c r="P2511" i="1"/>
  <c r="Q2479" i="1"/>
  <c r="P2479" i="1"/>
  <c r="P2383" i="1"/>
  <c r="Q2383" i="1"/>
  <c r="Q2319" i="1"/>
  <c r="P2319" i="1"/>
  <c r="P2287" i="1"/>
  <c r="Q2287" i="1"/>
  <c r="P2223" i="1"/>
  <c r="Q2223" i="1"/>
  <c r="P2191" i="1"/>
  <c r="Q2191" i="1"/>
  <c r="Q2095" i="1"/>
  <c r="P2095" i="1"/>
  <c r="P2031" i="1"/>
  <c r="Q2031" i="1"/>
  <c r="Q1999" i="1"/>
  <c r="P1999" i="1"/>
  <c r="Q1967" i="1"/>
  <c r="P1967" i="1"/>
  <c r="Q1839" i="1"/>
  <c r="P1839" i="1"/>
  <c r="P1807" i="1"/>
  <c r="Q1807" i="1"/>
  <c r="P1679" i="1"/>
  <c r="Q1679" i="1"/>
  <c r="P1583" i="1"/>
  <c r="Q1583" i="1"/>
  <c r="Q1519" i="1"/>
  <c r="P1519" i="1"/>
  <c r="Q1487" i="1"/>
  <c r="P1487" i="1"/>
  <c r="Q1455" i="1"/>
  <c r="P1455" i="1"/>
  <c r="P1391" i="1"/>
  <c r="Q1391" i="1"/>
  <c r="P1359" i="1"/>
  <c r="Q1359" i="1"/>
  <c r="P1263" i="1"/>
  <c r="Q1263" i="1"/>
  <c r="Q1103" i="1"/>
  <c r="P1103" i="1"/>
  <c r="P1071" i="1"/>
  <c r="Q1071" i="1"/>
  <c r="P815" i="1"/>
  <c r="Q815" i="1"/>
  <c r="Q751" i="1"/>
  <c r="P751" i="1"/>
  <c r="Q303" i="1"/>
  <c r="P303" i="1"/>
  <c r="Q175" i="1"/>
  <c r="P175" i="1"/>
  <c r="Q2097" i="1"/>
  <c r="Q1877" i="1"/>
  <c r="Q1655" i="1"/>
  <c r="Q1612" i="1"/>
  <c r="Q1568" i="1"/>
  <c r="Q1476" i="1"/>
  <c r="Q1432" i="1"/>
  <c r="Q1390" i="1"/>
  <c r="Q1348" i="1"/>
  <c r="Q1302" i="1"/>
  <c r="Q1068" i="1"/>
  <c r="Q1022" i="1"/>
  <c r="Q974" i="1"/>
  <c r="Q785" i="1"/>
  <c r="Q690" i="1"/>
  <c r="Q640" i="1"/>
  <c r="Q591" i="1"/>
  <c r="Q491" i="1"/>
  <c r="Q438" i="1"/>
  <c r="Q232" i="1"/>
  <c r="Q76" i="1"/>
  <c r="Q15" i="1"/>
  <c r="P1876" i="1"/>
  <c r="P1815" i="1"/>
  <c r="P1761" i="1"/>
  <c r="P1505" i="1"/>
  <c r="P1300" i="1"/>
  <c r="P1237" i="1"/>
  <c r="P1105" i="1"/>
  <c r="P962" i="1"/>
  <c r="P817" i="1"/>
  <c r="P506" i="1"/>
  <c r="P428" i="1"/>
  <c r="P354" i="1"/>
  <c r="P278" i="1"/>
  <c r="F2222" i="1"/>
  <c r="P2382" i="1"/>
  <c r="Q2382" i="1"/>
  <c r="Q1870" i="1"/>
  <c r="P1870" i="1"/>
  <c r="P1198" i="1"/>
  <c r="Q1198" i="1"/>
  <c r="P750" i="1"/>
  <c r="Q750" i="1"/>
  <c r="Q2270" i="1"/>
  <c r="Q2222" i="1"/>
  <c r="Q1918" i="1"/>
  <c r="Q1696" i="1"/>
  <c r="Q1566" i="1"/>
  <c r="Q926" i="1"/>
  <c r="Q590" i="1"/>
  <c r="Q436" i="1"/>
  <c r="Q334" i="1"/>
  <c r="P1504" i="1"/>
  <c r="P1297" i="1"/>
  <c r="P1236" i="1"/>
  <c r="P960" i="1"/>
  <c r="F2404" i="1"/>
  <c r="F2405" i="1"/>
  <c r="Q2094" i="1"/>
  <c r="Q1518" i="1"/>
  <c r="Q1208" i="1"/>
  <c r="Q1112" i="1"/>
  <c r="Q878" i="1"/>
  <c r="Q830" i="1"/>
  <c r="Q542" i="1"/>
  <c r="Q382" i="1"/>
  <c r="Q332" i="1"/>
  <c r="Q174" i="1"/>
  <c r="P2176" i="1"/>
  <c r="P811" i="1"/>
  <c r="P657" i="1"/>
  <c r="P273" i="1"/>
  <c r="Q2412" i="1"/>
  <c r="P2412" i="1"/>
  <c r="P2188" i="1"/>
  <c r="Q2188" i="1"/>
  <c r="P1996" i="1"/>
  <c r="Q1996" i="1"/>
  <c r="P1740" i="1"/>
  <c r="Q1740" i="1"/>
  <c r="P1708" i="1"/>
  <c r="Q1708" i="1"/>
  <c r="P1484" i="1"/>
  <c r="Q1484" i="1"/>
  <c r="P1452" i="1"/>
  <c r="Q1452" i="1"/>
  <c r="P1164" i="1"/>
  <c r="Q1164" i="1"/>
  <c r="P1100" i="1"/>
  <c r="Q1100" i="1"/>
  <c r="P1036" i="1"/>
  <c r="Q1036" i="1"/>
  <c r="P972" i="1"/>
  <c r="Q972" i="1"/>
  <c r="Q876" i="1"/>
  <c r="P876" i="1"/>
  <c r="P812" i="1"/>
  <c r="Q812" i="1"/>
  <c r="P684" i="1"/>
  <c r="Q684" i="1"/>
  <c r="P492" i="1"/>
  <c r="Q492" i="1"/>
  <c r="P364" i="1"/>
  <c r="Q364" i="1"/>
  <c r="P268" i="1"/>
  <c r="Q268" i="1"/>
  <c r="P236" i="1"/>
  <c r="Q236" i="1"/>
  <c r="P204" i="1"/>
  <c r="Q204" i="1"/>
  <c r="Q2092" i="1"/>
  <c r="Q1694" i="1"/>
  <c r="P1932" i="1"/>
  <c r="P1868" i="1"/>
  <c r="Q2507" i="1"/>
  <c r="P2507" i="1"/>
  <c r="Q2475" i="1"/>
  <c r="P2475" i="1"/>
  <c r="Q2443" i="1"/>
  <c r="P2443" i="1"/>
  <c r="P2411" i="1"/>
  <c r="Q2411" i="1"/>
  <c r="Q2379" i="1"/>
  <c r="P2379" i="1"/>
  <c r="P2251" i="1"/>
  <c r="Q2251" i="1"/>
  <c r="Q2219" i="1"/>
  <c r="P2219" i="1"/>
  <c r="P2155" i="1"/>
  <c r="Q2155" i="1"/>
  <c r="P1995" i="1"/>
  <c r="Q1995" i="1"/>
  <c r="Q1899" i="1"/>
  <c r="P1899" i="1"/>
  <c r="Q1835" i="1"/>
  <c r="P1835" i="1"/>
  <c r="Q1739" i="1"/>
  <c r="P1739" i="1"/>
  <c r="Q1707" i="1"/>
  <c r="P1707" i="1"/>
  <c r="P1675" i="1"/>
  <c r="Q1675" i="1"/>
  <c r="Q1643" i="1"/>
  <c r="P1643" i="1"/>
  <c r="P1611" i="1"/>
  <c r="Q1611" i="1"/>
  <c r="P1547" i="1"/>
  <c r="Q1547" i="1"/>
  <c r="Q1483" i="1"/>
  <c r="P1483" i="1"/>
  <c r="P1451" i="1"/>
  <c r="Q1451" i="1"/>
  <c r="P1387" i="1"/>
  <c r="Q1387" i="1"/>
  <c r="Q1323" i="1"/>
  <c r="P1323" i="1"/>
  <c r="P1227" i="1"/>
  <c r="Q1227" i="1"/>
  <c r="P1131" i="1"/>
  <c r="Q1131" i="1"/>
  <c r="Q971" i="1"/>
  <c r="P971" i="1"/>
  <c r="P747" i="1"/>
  <c r="Q747" i="1"/>
  <c r="P683" i="1"/>
  <c r="Q683" i="1"/>
  <c r="P619" i="1"/>
  <c r="Q619" i="1"/>
  <c r="Q459" i="1"/>
  <c r="P459" i="1"/>
  <c r="Q299" i="1"/>
  <c r="P299" i="1"/>
  <c r="P235" i="1"/>
  <c r="Q235" i="1"/>
  <c r="P139" i="1"/>
  <c r="Q139" i="1"/>
  <c r="Q1342" i="1"/>
  <c r="Q875" i="1"/>
  <c r="Q780" i="1"/>
  <c r="Q171" i="1"/>
  <c r="P2347" i="1"/>
  <c r="P1931" i="1"/>
  <c r="P1867" i="1"/>
  <c r="P1291" i="1"/>
  <c r="P1024" i="1"/>
  <c r="P416" i="1"/>
  <c r="F2337" i="1"/>
  <c r="F2209" i="1"/>
  <c r="F2177" i="1"/>
  <c r="F2145" i="1"/>
  <c r="F2113" i="1"/>
  <c r="F2017" i="1"/>
  <c r="F1889" i="1"/>
  <c r="F1857" i="1"/>
  <c r="Q2398" i="1"/>
  <c r="Q1470" i="1"/>
  <c r="P1984" i="1"/>
  <c r="P652" i="1"/>
  <c r="P192" i="1"/>
  <c r="F2437" i="1"/>
  <c r="F791" i="1"/>
  <c r="P2345" i="1"/>
  <c r="Q2345" i="1"/>
  <c r="P2089" i="1"/>
  <c r="Q2089" i="1"/>
  <c r="P1321" i="1"/>
  <c r="Q1321" i="1"/>
  <c r="P1001" i="1"/>
  <c r="Q1001" i="1"/>
  <c r="Q873" i="1"/>
  <c r="P873" i="1"/>
  <c r="P841" i="1"/>
  <c r="Q841" i="1"/>
  <c r="P777" i="1"/>
  <c r="Q777" i="1"/>
  <c r="P649" i="1"/>
  <c r="Q649" i="1"/>
  <c r="P617" i="1"/>
  <c r="Q617" i="1"/>
  <c r="P489" i="1"/>
  <c r="Q489" i="1"/>
  <c r="P393" i="1"/>
  <c r="Q393" i="1"/>
  <c r="Q265" i="1"/>
  <c r="P265" i="1"/>
  <c r="Q201" i="1"/>
  <c r="P201" i="1"/>
  <c r="P105" i="1"/>
  <c r="Q105" i="1"/>
  <c r="Q9" i="1"/>
  <c r="P9" i="1"/>
  <c r="Q2353" i="1"/>
  <c r="Q2260" i="1"/>
  <c r="Q2133" i="1"/>
  <c r="Q1911" i="1"/>
  <c r="Q1824" i="1"/>
  <c r="Q1732" i="1"/>
  <c r="Q1646" i="1"/>
  <c r="Q1604" i="1"/>
  <c r="Q1558" i="1"/>
  <c r="Q1339" i="1"/>
  <c r="Q1250" i="1"/>
  <c r="Q1154" i="1"/>
  <c r="Q1108" i="1"/>
  <c r="Q1013" i="1"/>
  <c r="Q918" i="1"/>
  <c r="Q872" i="1"/>
  <c r="Q727" i="1"/>
  <c r="Q680" i="1"/>
  <c r="Q630" i="1"/>
  <c r="Q532" i="1"/>
  <c r="Q169" i="1"/>
  <c r="Q117" i="1"/>
  <c r="P2459" i="1"/>
  <c r="P2283" i="1"/>
  <c r="P1685" i="1"/>
  <c r="P1423" i="1"/>
  <c r="P1358" i="1"/>
  <c r="P1289" i="1"/>
  <c r="P1160" i="1"/>
  <c r="P1019" i="1"/>
  <c r="P728" i="1"/>
  <c r="P572" i="1"/>
  <c r="P494" i="1"/>
  <c r="P118" i="1"/>
  <c r="F2158" i="1"/>
  <c r="F2429" i="1"/>
  <c r="F2181" i="1"/>
  <c r="F2006" i="1"/>
  <c r="F1783" i="1"/>
  <c r="F1623" i="1"/>
  <c r="F1079" i="1"/>
  <c r="F887" i="1"/>
  <c r="F439" i="1"/>
  <c r="F150" i="1"/>
  <c r="P2056" i="1"/>
  <c r="Q2056" i="1"/>
  <c r="P1800" i="1"/>
  <c r="Q1800" i="1"/>
  <c r="P968" i="1"/>
  <c r="Q968" i="1"/>
  <c r="P840" i="1"/>
  <c r="Q840" i="1"/>
  <c r="P808" i="1"/>
  <c r="Q808" i="1"/>
  <c r="P648" i="1"/>
  <c r="Q648" i="1"/>
  <c r="P584" i="1"/>
  <c r="Q584" i="1"/>
  <c r="Q328" i="1"/>
  <c r="P328" i="1"/>
  <c r="P200" i="1"/>
  <c r="Q200" i="1"/>
  <c r="P136" i="1"/>
  <c r="Q136" i="1"/>
  <c r="Q2478" i="1"/>
  <c r="Q2395" i="1"/>
  <c r="Q2174" i="1"/>
  <c r="Q2132" i="1"/>
  <c r="Q2040" i="1"/>
  <c r="Q1952" i="1"/>
  <c r="Q1909" i="1"/>
  <c r="Q1822" i="1"/>
  <c r="Q1686" i="1"/>
  <c r="Q1556" i="1"/>
  <c r="Q1512" i="1"/>
  <c r="Q1422" i="1"/>
  <c r="Q1107" i="1"/>
  <c r="Q1058" i="1"/>
  <c r="Q917" i="1"/>
  <c r="Q822" i="1"/>
  <c r="Q726" i="1"/>
  <c r="Q629" i="1"/>
  <c r="Q529" i="1"/>
  <c r="Q482" i="1"/>
  <c r="Q427" i="1"/>
  <c r="Q270" i="1"/>
  <c r="Q218" i="1"/>
  <c r="Q116" i="1"/>
  <c r="Q4" i="1"/>
  <c r="P2164" i="1"/>
  <c r="P2044" i="1"/>
  <c r="P1803" i="1"/>
  <c r="P1684" i="1"/>
  <c r="P1420" i="1"/>
  <c r="P1288" i="1"/>
  <c r="P1090" i="1"/>
  <c r="P949" i="1"/>
  <c r="P570" i="1"/>
  <c r="P337" i="1"/>
  <c r="P113" i="1"/>
  <c r="Q2350" i="1"/>
  <c r="Q2039" i="1"/>
  <c r="Q1774" i="1"/>
  <c r="Q1730" i="1"/>
  <c r="Q1555" i="1"/>
  <c r="Q1292" i="1"/>
  <c r="Q1009" i="1"/>
  <c r="Q915" i="1"/>
  <c r="Q772" i="1"/>
  <c r="Q725" i="1"/>
  <c r="Q627" i="1"/>
  <c r="Q580" i="1"/>
  <c r="Q375" i="1"/>
  <c r="Q62" i="1"/>
  <c r="P2515" i="1"/>
  <c r="P2455" i="1"/>
  <c r="P2396" i="1"/>
  <c r="P2338" i="1"/>
  <c r="P2163" i="1"/>
  <c r="P1980" i="1"/>
  <c r="P1683" i="1"/>
  <c r="P1489" i="1"/>
  <c r="P1419" i="1"/>
  <c r="P1355" i="1"/>
  <c r="P723" i="1"/>
  <c r="P408" i="1"/>
  <c r="P260" i="1"/>
  <c r="P182" i="1"/>
  <c r="P110" i="1"/>
  <c r="F2493" i="1"/>
  <c r="F2366" i="1"/>
  <c r="F2365" i="1"/>
  <c r="Q2392" i="1"/>
  <c r="Q2348" i="1"/>
  <c r="Q2304" i="1"/>
  <c r="Q2129" i="1"/>
  <c r="Q2038" i="1"/>
  <c r="Q1950" i="1"/>
  <c r="Q1600" i="1"/>
  <c r="Q1464" i="1"/>
  <c r="Q1334" i="1"/>
  <c r="Q1246" i="1"/>
  <c r="Q1196" i="1"/>
  <c r="Q1150" i="1"/>
  <c r="Q1006" i="1"/>
  <c r="Q819" i="1"/>
  <c r="P2513" i="1"/>
  <c r="P2220" i="1"/>
  <c r="P1614" i="1"/>
  <c r="P1152" i="1"/>
  <c r="P1012" i="1"/>
  <c r="P945" i="1"/>
  <c r="P403" i="1"/>
  <c r="F2170" i="1"/>
  <c r="F1367" i="1"/>
  <c r="F1271" i="1"/>
  <c r="F23" i="1"/>
  <c r="P2053" i="1"/>
  <c r="Q2053" i="1"/>
  <c r="P1541" i="1"/>
  <c r="Q1541" i="1"/>
  <c r="P933" i="1"/>
  <c r="Q933" i="1"/>
  <c r="Q869" i="1"/>
  <c r="P869" i="1"/>
  <c r="P773" i="1"/>
  <c r="Q773" i="1"/>
  <c r="P613" i="1"/>
  <c r="Q613" i="1"/>
  <c r="P485" i="1"/>
  <c r="Q485" i="1"/>
  <c r="Q357" i="1"/>
  <c r="P357" i="1"/>
  <c r="P101" i="1"/>
  <c r="Q101" i="1"/>
  <c r="P37" i="1"/>
  <c r="Q37" i="1"/>
  <c r="Q2391" i="1"/>
  <c r="Q2254" i="1"/>
  <c r="Q2170" i="1"/>
  <c r="Q2036" i="1"/>
  <c r="Q1905" i="1"/>
  <c r="Q1640" i="1"/>
  <c r="Q1598" i="1"/>
  <c r="Q1553" i="1"/>
  <c r="Q1102" i="1"/>
  <c r="Q1004" i="1"/>
  <c r="Q818" i="1"/>
  <c r="Q576" i="1"/>
  <c r="Q372" i="1"/>
  <c r="Q264" i="1"/>
  <c r="Q215" i="1"/>
  <c r="Q55" i="1"/>
  <c r="P2276" i="1"/>
  <c r="P1676" i="1"/>
  <c r="P1011" i="1"/>
  <c r="P866" i="1"/>
  <c r="P331" i="1"/>
  <c r="P177" i="1"/>
  <c r="P108" i="1"/>
  <c r="P2020" i="1"/>
  <c r="Q2020" i="1"/>
  <c r="P1764" i="1"/>
  <c r="Q1764" i="1"/>
  <c r="P1508" i="1"/>
  <c r="Q1508" i="1"/>
  <c r="P1252" i="1"/>
  <c r="Q1252" i="1"/>
  <c r="P1156" i="1"/>
  <c r="Q1156" i="1"/>
  <c r="P932" i="1"/>
  <c r="Q932" i="1"/>
  <c r="P836" i="1"/>
  <c r="Q836" i="1"/>
  <c r="Q676" i="1"/>
  <c r="P676" i="1"/>
  <c r="P644" i="1"/>
  <c r="Q644" i="1"/>
  <c r="P420" i="1"/>
  <c r="Q420" i="1"/>
  <c r="P292" i="1"/>
  <c r="Q292" i="1"/>
  <c r="Q2432" i="1"/>
  <c r="Q2390" i="1"/>
  <c r="Q2035" i="1"/>
  <c r="Q1726" i="1"/>
  <c r="Q1462" i="1"/>
  <c r="Q1054" i="1"/>
  <c r="Q1003" i="1"/>
  <c r="Q721" i="1"/>
  <c r="Q674" i="1"/>
  <c r="Q524" i="1"/>
  <c r="Q472" i="1"/>
  <c r="Q318" i="1"/>
  <c r="Q213" i="1"/>
  <c r="Q52" i="1"/>
  <c r="P2332" i="1"/>
  <c r="P1148" i="1"/>
  <c r="P942" i="1"/>
  <c r="P480" i="1"/>
  <c r="P28" i="1"/>
  <c r="F2490" i="1"/>
  <c r="F2459" i="1"/>
  <c r="F2458" i="1"/>
  <c r="F2426" i="1"/>
  <c r="F2394" i="1"/>
  <c r="F2411" i="1"/>
  <c r="Q2516" i="1"/>
  <c r="Q2124" i="1"/>
  <c r="Q2080" i="1"/>
  <c r="Q1902" i="1"/>
  <c r="Q1550" i="1"/>
  <c r="Q958" i="1"/>
  <c r="Q864" i="1"/>
  <c r="Q814" i="1"/>
  <c r="Q766" i="1"/>
  <c r="Q672" i="1"/>
  <c r="Q369" i="1"/>
  <c r="Q212" i="1"/>
  <c r="Q158" i="1"/>
  <c r="Q107" i="1"/>
  <c r="P2508" i="1"/>
  <c r="P939" i="1"/>
  <c r="F2167" i="1"/>
  <c r="F1943" i="1"/>
  <c r="Q1570" i="1"/>
  <c r="P1570" i="1"/>
  <c r="P1314" i="1"/>
  <c r="Q1314" i="1"/>
  <c r="P802" i="1"/>
  <c r="Q802" i="1"/>
  <c r="P578" i="1"/>
  <c r="Q578" i="1"/>
  <c r="P546" i="1"/>
  <c r="Q546" i="1"/>
  <c r="P386" i="1"/>
  <c r="Q386" i="1"/>
  <c r="P98" i="1"/>
  <c r="Q98" i="1"/>
  <c r="Q2430" i="1"/>
  <c r="Q2388" i="1"/>
  <c r="Q2208" i="1"/>
  <c r="Q2165" i="1"/>
  <c r="Q2078" i="1"/>
  <c r="Q1858" i="1"/>
  <c r="Q1678" i="1"/>
  <c r="Q1374" i="1"/>
  <c r="Q1238" i="1"/>
  <c r="Q1144" i="1"/>
  <c r="Q862" i="1"/>
  <c r="Q718" i="1"/>
  <c r="Q470" i="1"/>
  <c r="Q418" i="1"/>
  <c r="Q49" i="1"/>
  <c r="P2156" i="1"/>
  <c r="P1340" i="1"/>
  <c r="P1076" i="1"/>
  <c r="P172" i="1"/>
  <c r="P23" i="1"/>
  <c r="F2393" i="1"/>
  <c r="F2361" i="1"/>
  <c r="F2329" i="1"/>
  <c r="F2397" i="1"/>
  <c r="F2108" i="1"/>
  <c r="F1882" i="1"/>
  <c r="F1718" i="1"/>
  <c r="P929" i="1"/>
  <c r="Q929" i="1"/>
  <c r="Q737" i="1"/>
  <c r="P737" i="1"/>
  <c r="P609" i="1"/>
  <c r="Q609" i="1"/>
  <c r="P577" i="1"/>
  <c r="Q577" i="1"/>
  <c r="P481" i="1"/>
  <c r="Q481" i="1"/>
  <c r="Q417" i="1"/>
  <c r="P417" i="1"/>
  <c r="P321" i="1"/>
  <c r="Q321" i="1"/>
  <c r="P193" i="1"/>
  <c r="Q193" i="1"/>
  <c r="P161" i="1"/>
  <c r="Q161" i="1"/>
  <c r="P33" i="1"/>
  <c r="Q33" i="1"/>
  <c r="Q2514" i="1"/>
  <c r="Q2469" i="1"/>
  <c r="Q2387" i="1"/>
  <c r="Q2341" i="1"/>
  <c r="Q2295" i="1"/>
  <c r="Q2248" i="1"/>
  <c r="Q2121" i="1"/>
  <c r="Q2030" i="1"/>
  <c r="Q1986" i="1"/>
  <c r="Q1811" i="1"/>
  <c r="Q1722" i="1"/>
  <c r="Q1636" i="1"/>
  <c r="Q1591" i="1"/>
  <c r="Q1548" i="1"/>
  <c r="Q1329" i="1"/>
  <c r="Q1188" i="1"/>
  <c r="Q1143" i="1"/>
  <c r="Q1047" i="1"/>
  <c r="Q763" i="1"/>
  <c r="Q716" i="1"/>
  <c r="Q521" i="1"/>
  <c r="Q468" i="1"/>
  <c r="Q209" i="1"/>
  <c r="Q104" i="1"/>
  <c r="Q47" i="1"/>
  <c r="P2444" i="1"/>
  <c r="P2268" i="1"/>
  <c r="P2091" i="1"/>
  <c r="P2027" i="1"/>
  <c r="P1973" i="1"/>
  <c r="P1852" i="1"/>
  <c r="P1274" i="1"/>
  <c r="P858" i="1"/>
  <c r="P247" i="1"/>
  <c r="P96" i="1"/>
  <c r="P507" i="1"/>
  <c r="Q507" i="1"/>
  <c r="Q379" i="1"/>
  <c r="P379" i="1"/>
  <c r="F2417" i="1"/>
  <c r="F2447" i="1"/>
  <c r="P1008" i="1"/>
  <c r="Q1008" i="1"/>
  <c r="P784" i="1"/>
  <c r="Q784" i="1"/>
  <c r="P720" i="1"/>
  <c r="Q720" i="1"/>
  <c r="P368" i="1"/>
  <c r="Q368" i="1"/>
  <c r="P208" i="1"/>
  <c r="Q208" i="1"/>
  <c r="P112" i="1"/>
  <c r="Q112" i="1"/>
  <c r="Q1062" i="1"/>
  <c r="P707" i="1"/>
  <c r="P333" i="1"/>
  <c r="P144" i="1"/>
  <c r="P429" i="1"/>
  <c r="Q429" i="1"/>
  <c r="Q1059" i="1"/>
  <c r="Q941" i="1"/>
  <c r="Q863" i="1"/>
  <c r="Q287" i="1"/>
  <c r="P774" i="1"/>
  <c r="Q774" i="1"/>
  <c r="P710" i="1"/>
  <c r="Q710" i="1"/>
  <c r="P390" i="1"/>
  <c r="Q390" i="1"/>
  <c r="P102" i="1"/>
  <c r="Q102" i="1"/>
  <c r="Q2374" i="1"/>
  <c r="Q1350" i="1"/>
  <c r="F2333" i="1"/>
  <c r="P803" i="1"/>
  <c r="Q803" i="1"/>
  <c r="P515" i="1"/>
  <c r="Q515" i="1"/>
  <c r="P259" i="1"/>
  <c r="Q259" i="1"/>
  <c r="P163" i="1"/>
  <c r="Q163" i="1"/>
  <c r="Q131" i="1"/>
  <c r="P131" i="1"/>
  <c r="Q2335" i="1"/>
  <c r="Q447" i="1"/>
  <c r="P703" i="1"/>
  <c r="Q703" i="1"/>
  <c r="Q511" i="1"/>
  <c r="P511" i="1"/>
  <c r="P127" i="1"/>
  <c r="Q127" i="1"/>
  <c r="Q2367" i="1"/>
  <c r="Q2147" i="1"/>
  <c r="Q1891" i="1"/>
  <c r="Q1855" i="1"/>
  <c r="Q1635" i="1"/>
  <c r="Q1343" i="1"/>
  <c r="Q963" i="1"/>
  <c r="Q397" i="1"/>
  <c r="Q355" i="1"/>
  <c r="Q985" i="1"/>
  <c r="Q477" i="1"/>
  <c r="P1177" i="1"/>
  <c r="P167" i="1"/>
  <c r="Q167" i="1"/>
  <c r="Q2489" i="1"/>
  <c r="Q2425" i="1"/>
  <c r="Q2297" i="1"/>
  <c r="Q2137" i="1"/>
  <c r="Q2073" i="1"/>
  <c r="Q2009" i="1"/>
  <c r="Q1721" i="1"/>
  <c r="Q1689" i="1"/>
  <c r="Q1593" i="1"/>
  <c r="Q1529" i="1"/>
  <c r="Q1497" i="1"/>
  <c r="Q1337" i="1"/>
  <c r="Q1273" i="1"/>
  <c r="Q1113" i="1"/>
  <c r="Q615" i="1"/>
  <c r="P313" i="1"/>
  <c r="P541" i="1"/>
  <c r="Q541" i="1"/>
  <c r="Q317" i="1"/>
  <c r="P349" i="1"/>
  <c r="P473" i="1"/>
  <c r="Q473" i="1"/>
  <c r="P25" i="1"/>
  <c r="F2504" i="1"/>
  <c r="N2495" i="1"/>
  <c r="H2500" i="1"/>
  <c r="H2498" i="1"/>
  <c r="H2466" i="1"/>
  <c r="H2434" i="1"/>
  <c r="H2402" i="1"/>
  <c r="H2370" i="1"/>
  <c r="H2338" i="1"/>
  <c r="H2306" i="1"/>
  <c r="H2274" i="1"/>
  <c r="H2242" i="1"/>
  <c r="H2210" i="1"/>
  <c r="H2178" i="1"/>
  <c r="H2146" i="1"/>
  <c r="H2114" i="1"/>
  <c r="H2082" i="1"/>
  <c r="H2050" i="1"/>
  <c r="H2018" i="1"/>
  <c r="H1986" i="1"/>
  <c r="H1954" i="1"/>
  <c r="H1922" i="1"/>
  <c r="H1890" i="1"/>
  <c r="H1858" i="1"/>
  <c r="H1826" i="1"/>
  <c r="H1794" i="1"/>
  <c r="H1762" i="1"/>
  <c r="H1730" i="1"/>
  <c r="H1698" i="1"/>
  <c r="H1666" i="1"/>
  <c r="H1634" i="1"/>
  <c r="H1602" i="1"/>
  <c r="H1570" i="1"/>
  <c r="H1538" i="1"/>
  <c r="H1506" i="1"/>
  <c r="H1474" i="1"/>
  <c r="H1442" i="1"/>
  <c r="H1410" i="1"/>
  <c r="H1378" i="1"/>
  <c r="H1347" i="1"/>
  <c r="H1251" i="1"/>
  <c r="H1187" i="1"/>
  <c r="H1091" i="1"/>
  <c r="H995" i="1"/>
  <c r="H931" i="1"/>
  <c r="H835" i="1"/>
  <c r="H739" i="1"/>
  <c r="H675" i="1"/>
  <c r="H579" i="1"/>
  <c r="H483" i="1"/>
  <c r="H419" i="1"/>
  <c r="H323" i="1"/>
  <c r="H227" i="1"/>
  <c r="H163" i="1"/>
  <c r="H67" i="1"/>
  <c r="H2464" i="1"/>
  <c r="H2432" i="1"/>
  <c r="H2400" i="1"/>
  <c r="H2368" i="1"/>
  <c r="H2336" i="1"/>
  <c r="H2304" i="1"/>
  <c r="H2272" i="1"/>
  <c r="H2240" i="1"/>
  <c r="H2209" i="1"/>
  <c r="H2177" i="1"/>
  <c r="H2144" i="1"/>
  <c r="H2112" i="1"/>
  <c r="H2080" i="1"/>
  <c r="H2048" i="1"/>
  <c r="H2016" i="1"/>
  <c r="H1344" i="1"/>
  <c r="H1312" i="1"/>
  <c r="H1217" i="1"/>
  <c r="H1153" i="1"/>
  <c r="H1088" i="1"/>
  <c r="H1057" i="1"/>
  <c r="H961" i="1"/>
  <c r="H897" i="1"/>
  <c r="H832" i="1"/>
  <c r="H800" i="1"/>
  <c r="H705" i="1"/>
  <c r="H641" i="1"/>
  <c r="H576" i="1"/>
  <c r="H544" i="1"/>
  <c r="H449" i="1"/>
  <c r="H385" i="1"/>
  <c r="H352" i="1"/>
  <c r="H320" i="1"/>
  <c r="F2473" i="1"/>
  <c r="F2441" i="1"/>
  <c r="F2409" i="1"/>
  <c r="F2377" i="1"/>
  <c r="F2345" i="1"/>
  <c r="F2313" i="1"/>
  <c r="F2281" i="1"/>
  <c r="N2516" i="1"/>
  <c r="N2512" i="1"/>
  <c r="N1936" i="1"/>
  <c r="N2510" i="1"/>
  <c r="H2516" i="1"/>
  <c r="H2515" i="1"/>
  <c r="H1363" i="1"/>
  <c r="H1331" i="1"/>
  <c r="H1107" i="1"/>
  <c r="H1075" i="1"/>
  <c r="H851" i="1"/>
  <c r="H819" i="1"/>
  <c r="H595" i="1"/>
  <c r="H563" i="1"/>
  <c r="H339" i="1"/>
  <c r="H307" i="1"/>
  <c r="H83" i="1"/>
  <c r="H51" i="1"/>
  <c r="N2476" i="1"/>
  <c r="H2480" i="1"/>
  <c r="H2448" i="1"/>
  <c r="H2416" i="1"/>
  <c r="H2384" i="1"/>
  <c r="H2352" i="1"/>
  <c r="H2320" i="1"/>
  <c r="H2288" i="1"/>
  <c r="H2256" i="1"/>
  <c r="H2224" i="1"/>
  <c r="H2192" i="1"/>
  <c r="H2160" i="1"/>
  <c r="H2128" i="1"/>
  <c r="H2096" i="1"/>
  <c r="H2064" i="1"/>
  <c r="H2032" i="1"/>
  <c r="H1328" i="1"/>
  <c r="H1232" i="1"/>
  <c r="H1168" i="1"/>
  <c r="H976" i="1"/>
  <c r="H912" i="1"/>
  <c r="H816" i="1"/>
  <c r="H720" i="1"/>
  <c r="H656" i="1"/>
  <c r="H464" i="1"/>
  <c r="H400" i="1"/>
  <c r="H336" i="1"/>
  <c r="F2491" i="1"/>
  <c r="N2467" i="1"/>
  <c r="N2339" i="1"/>
  <c r="N2211" i="1"/>
  <c r="N2083" i="1"/>
  <c r="N1955" i="1"/>
  <c r="N1202" i="1"/>
  <c r="N946" i="1"/>
  <c r="N690" i="1"/>
  <c r="N434" i="1"/>
  <c r="N178" i="1"/>
  <c r="N2513" i="1"/>
  <c r="N2450" i="1"/>
  <c r="N2416" i="1"/>
  <c r="N2417" i="1"/>
  <c r="N2224" i="1"/>
  <c r="N2225" i="1"/>
  <c r="N2032" i="1"/>
  <c r="N2033" i="1"/>
  <c r="N2227" i="1"/>
  <c r="N1971" i="1"/>
  <c r="N978" i="1"/>
  <c r="N722" i="1"/>
  <c r="N466" i="1"/>
  <c r="N210" i="1"/>
  <c r="N2464" i="1"/>
  <c r="N2465" i="1"/>
  <c r="N2288" i="1"/>
  <c r="N2289" i="1"/>
  <c r="N2064" i="1"/>
  <c r="N2065" i="1"/>
  <c r="N2483" i="1"/>
  <c r="N2354" i="1"/>
  <c r="N2098" i="1"/>
  <c r="N1250" i="1"/>
  <c r="N994" i="1"/>
  <c r="N738" i="1"/>
  <c r="N482" i="1"/>
  <c r="N226" i="1"/>
  <c r="N2400" i="1"/>
  <c r="N2401" i="1"/>
  <c r="N2208" i="1"/>
  <c r="N2209" i="1"/>
  <c r="N1984" i="1"/>
  <c r="N1985" i="1"/>
  <c r="N2371" i="1"/>
  <c r="N2243" i="1"/>
  <c r="N2115" i="1"/>
  <c r="N1987" i="1"/>
  <c r="N1266" i="1"/>
  <c r="N1010" i="1"/>
  <c r="N754" i="1"/>
  <c r="N498" i="1"/>
  <c r="N242" i="1"/>
  <c r="N2368" i="1"/>
  <c r="N2369" i="1"/>
  <c r="N2176" i="1"/>
  <c r="N2177" i="1"/>
  <c r="N1952" i="1"/>
  <c r="N1953" i="1"/>
  <c r="N1234" i="1"/>
  <c r="N1282" i="1"/>
  <c r="N1026" i="1"/>
  <c r="N770" i="1"/>
  <c r="N514" i="1"/>
  <c r="N258" i="1"/>
  <c r="N2508" i="1"/>
  <c r="N2432" i="1"/>
  <c r="N2433" i="1"/>
  <c r="N2240" i="1"/>
  <c r="N2241" i="1"/>
  <c r="N2016" i="1"/>
  <c r="N2017" i="1"/>
  <c r="N1298" i="1"/>
  <c r="N1042" i="1"/>
  <c r="N786" i="1"/>
  <c r="N530" i="1"/>
  <c r="N274" i="1"/>
  <c r="N2496" i="1"/>
  <c r="N2497" i="1"/>
  <c r="N2304" i="1"/>
  <c r="N2305" i="1"/>
  <c r="N2096" i="1"/>
  <c r="N2097" i="1"/>
  <c r="N2131" i="1"/>
  <c r="N2499" i="1"/>
  <c r="N2386" i="1"/>
  <c r="N2258" i="1"/>
  <c r="N2002" i="1"/>
  <c r="N1314" i="1"/>
  <c r="N1058" i="1"/>
  <c r="N802" i="1"/>
  <c r="N546" i="1"/>
  <c r="N290" i="1"/>
  <c r="N34" i="1"/>
  <c r="N2480" i="1"/>
  <c r="N2481" i="1"/>
  <c r="N2272" i="1"/>
  <c r="N2273" i="1"/>
  <c r="N2048" i="1"/>
  <c r="N2049" i="1"/>
  <c r="N2403" i="1"/>
  <c r="N2275" i="1"/>
  <c r="N2147" i="1"/>
  <c r="N2019" i="1"/>
  <c r="N1330" i="1"/>
  <c r="N1074" i="1"/>
  <c r="N818" i="1"/>
  <c r="N562" i="1"/>
  <c r="N306" i="1"/>
  <c r="N50" i="1"/>
  <c r="N2352" i="1"/>
  <c r="N2353" i="1"/>
  <c r="N2160" i="1"/>
  <c r="N2161" i="1"/>
  <c r="N1968" i="1"/>
  <c r="N1969" i="1"/>
  <c r="N1346" i="1"/>
  <c r="N1090" i="1"/>
  <c r="N834" i="1"/>
  <c r="N578" i="1"/>
  <c r="N322" i="1"/>
  <c r="N66" i="1"/>
  <c r="N2448" i="1"/>
  <c r="N2449" i="1"/>
  <c r="N2256" i="1"/>
  <c r="N2257" i="1"/>
  <c r="N2080" i="1"/>
  <c r="N2081" i="1"/>
  <c r="N2419" i="1"/>
  <c r="N2291" i="1"/>
  <c r="N2163" i="1"/>
  <c r="N2035" i="1"/>
  <c r="N1907" i="1"/>
  <c r="N1891" i="1"/>
  <c r="N1875" i="1"/>
  <c r="N1859" i="1"/>
  <c r="N1843" i="1"/>
  <c r="N1827" i="1"/>
  <c r="N1811" i="1"/>
  <c r="N1795" i="1"/>
  <c r="N1779" i="1"/>
  <c r="N1763" i="1"/>
  <c r="N1747" i="1"/>
  <c r="N1731" i="1"/>
  <c r="N1715" i="1"/>
  <c r="N1699" i="1"/>
  <c r="N1683" i="1"/>
  <c r="N1667" i="1"/>
  <c r="N1651" i="1"/>
  <c r="N1635" i="1"/>
  <c r="N1619" i="1"/>
  <c r="N1603" i="1"/>
  <c r="N1587" i="1"/>
  <c r="N1571" i="1"/>
  <c r="N1555" i="1"/>
  <c r="N1539" i="1"/>
  <c r="N1523" i="1"/>
  <c r="N1507" i="1"/>
  <c r="N1491" i="1"/>
  <c r="N1475" i="1"/>
  <c r="N1459" i="1"/>
  <c r="N1443" i="1"/>
  <c r="N1427" i="1"/>
  <c r="N1411" i="1"/>
  <c r="N1395" i="1"/>
  <c r="N1379" i="1"/>
  <c r="N1362" i="1"/>
  <c r="N1106" i="1"/>
  <c r="N850" i="1"/>
  <c r="N594" i="1"/>
  <c r="N338" i="1"/>
  <c r="N82" i="1"/>
  <c r="N1218" i="1"/>
  <c r="N962" i="1"/>
  <c r="N2336" i="1"/>
  <c r="N2337" i="1"/>
  <c r="N2128" i="1"/>
  <c r="N2129" i="1"/>
  <c r="N1122" i="1"/>
  <c r="N866" i="1"/>
  <c r="N610" i="1"/>
  <c r="N354" i="1"/>
  <c r="N98" i="1"/>
  <c r="N2384" i="1"/>
  <c r="N2385" i="1"/>
  <c r="N2192" i="1"/>
  <c r="N2193" i="1"/>
  <c r="N2000" i="1"/>
  <c r="N2001" i="1"/>
  <c r="N2435" i="1"/>
  <c r="N2307" i="1"/>
  <c r="N2179" i="1"/>
  <c r="N2051" i="1"/>
  <c r="N1923" i="1"/>
  <c r="N1138" i="1"/>
  <c r="N882" i="1"/>
  <c r="N626" i="1"/>
  <c r="N370" i="1"/>
  <c r="N114" i="1"/>
  <c r="N2320" i="1"/>
  <c r="N2321" i="1"/>
  <c r="N2112" i="1"/>
  <c r="N2113" i="1"/>
  <c r="N2515" i="1"/>
  <c r="N1154" i="1"/>
  <c r="N898" i="1"/>
  <c r="N642" i="1"/>
  <c r="N386" i="1"/>
  <c r="N130" i="1"/>
  <c r="N706" i="1"/>
  <c r="N2144" i="1"/>
  <c r="N2145" i="1"/>
  <c r="N1170" i="1"/>
  <c r="N914" i="1"/>
  <c r="N658" i="1"/>
  <c r="N402" i="1"/>
  <c r="N146" i="1"/>
  <c r="N1937" i="1"/>
  <c r="N1921" i="1"/>
  <c r="N2509" i="1"/>
  <c r="H963" i="1"/>
  <c r="H962" i="1"/>
  <c r="H899" i="1"/>
  <c r="H898" i="1"/>
  <c r="H867" i="1"/>
  <c r="H866" i="1"/>
  <c r="H803" i="1"/>
  <c r="H802" i="1"/>
  <c r="H771" i="1"/>
  <c r="H770" i="1"/>
  <c r="H707" i="1"/>
  <c r="H706" i="1"/>
  <c r="H643" i="1"/>
  <c r="H642" i="1"/>
  <c r="H611" i="1"/>
  <c r="H610" i="1"/>
  <c r="H547" i="1"/>
  <c r="H546" i="1"/>
  <c r="H515" i="1"/>
  <c r="H514" i="1"/>
  <c r="H499" i="1"/>
  <c r="H498" i="1"/>
  <c r="H451" i="1"/>
  <c r="H450" i="1"/>
  <c r="H435" i="1"/>
  <c r="H434" i="1"/>
  <c r="H403" i="1"/>
  <c r="H402" i="1"/>
  <c r="H387" i="1"/>
  <c r="H386" i="1"/>
  <c r="H371" i="1"/>
  <c r="H370" i="1"/>
  <c r="H355" i="1"/>
  <c r="H354" i="1"/>
  <c r="H291" i="1"/>
  <c r="H290" i="1"/>
  <c r="H275" i="1"/>
  <c r="H274" i="1"/>
  <c r="H259" i="1"/>
  <c r="H258" i="1"/>
  <c r="H243" i="1"/>
  <c r="H242" i="1"/>
  <c r="H211" i="1"/>
  <c r="H210" i="1"/>
  <c r="H195" i="1"/>
  <c r="H194" i="1"/>
  <c r="H179" i="1"/>
  <c r="H178" i="1"/>
  <c r="H147" i="1"/>
  <c r="H146" i="1"/>
  <c r="H131" i="1"/>
  <c r="H130" i="1"/>
  <c r="H115" i="1"/>
  <c r="H114" i="1"/>
  <c r="H99" i="1"/>
  <c r="H98" i="1"/>
  <c r="H35" i="1"/>
  <c r="H34" i="1"/>
  <c r="H19" i="1"/>
  <c r="H18" i="1"/>
  <c r="H1203" i="1"/>
  <c r="H1202" i="1"/>
  <c r="H1059" i="1"/>
  <c r="H1058" i="1"/>
  <c r="H979" i="1"/>
  <c r="H978" i="1"/>
  <c r="H947" i="1"/>
  <c r="H946" i="1"/>
  <c r="H915" i="1"/>
  <c r="H914" i="1"/>
  <c r="H883" i="1"/>
  <c r="H882" i="1"/>
  <c r="H787" i="1"/>
  <c r="H786" i="1"/>
  <c r="H755" i="1"/>
  <c r="H754" i="1"/>
  <c r="H723" i="1"/>
  <c r="H722" i="1"/>
  <c r="H691" i="1"/>
  <c r="H690" i="1"/>
  <c r="H659" i="1"/>
  <c r="H658" i="1"/>
  <c r="H627" i="1"/>
  <c r="H626" i="1"/>
  <c r="H531" i="1"/>
  <c r="H530" i="1"/>
  <c r="H467" i="1"/>
  <c r="H466" i="1"/>
  <c r="H2514" i="1"/>
  <c r="H2227" i="1"/>
  <c r="H2017" i="1"/>
  <c r="H1763" i="1"/>
  <c r="H1507" i="1"/>
  <c r="H1330" i="1"/>
  <c r="H834" i="1"/>
  <c r="H738" i="1"/>
  <c r="H1123" i="1"/>
  <c r="H1122" i="1"/>
  <c r="H1920" i="1"/>
  <c r="H1921" i="1"/>
  <c r="H1680" i="1"/>
  <c r="H1681" i="1"/>
  <c r="H1456" i="1"/>
  <c r="H1457" i="1"/>
  <c r="H928" i="1"/>
  <c r="H929" i="1"/>
  <c r="H624" i="1"/>
  <c r="H625" i="1"/>
  <c r="H608" i="1"/>
  <c r="H609" i="1"/>
  <c r="H432" i="1"/>
  <c r="H433" i="1"/>
  <c r="H416" i="1"/>
  <c r="H417" i="1"/>
  <c r="H368" i="1"/>
  <c r="H369" i="1"/>
  <c r="H1139" i="1"/>
  <c r="H1138" i="1"/>
  <c r="H1952" i="1"/>
  <c r="H1953" i="1"/>
  <c r="H1728" i="1"/>
  <c r="H1729" i="1"/>
  <c r="H1504" i="1"/>
  <c r="H1505" i="1"/>
  <c r="H1136" i="1"/>
  <c r="H1137" i="1"/>
  <c r="H688" i="1"/>
  <c r="H689" i="1"/>
  <c r="H480" i="1"/>
  <c r="H481" i="1"/>
  <c r="H2512" i="1"/>
  <c r="H2433" i="1"/>
  <c r="H2259" i="1"/>
  <c r="H2241" i="1"/>
  <c r="H2033" i="1"/>
  <c r="H1859" i="1"/>
  <c r="H1603" i="1"/>
  <c r="H1346" i="1"/>
  <c r="H1250" i="1"/>
  <c r="H1169" i="1"/>
  <c r="H1089" i="1"/>
  <c r="H594" i="1"/>
  <c r="H418" i="1"/>
  <c r="H1936" i="1"/>
  <c r="H1937" i="1"/>
  <c r="H1712" i="1"/>
  <c r="H1713" i="1"/>
  <c r="H1488" i="1"/>
  <c r="H1489" i="1"/>
  <c r="H1104" i="1"/>
  <c r="H1105" i="1"/>
  <c r="H944" i="1"/>
  <c r="H945" i="1"/>
  <c r="H512" i="1"/>
  <c r="H513" i="1"/>
  <c r="H2275" i="1"/>
  <c r="H2257" i="1"/>
  <c r="H2051" i="1"/>
  <c r="H1779" i="1"/>
  <c r="H1523" i="1"/>
  <c r="H1345" i="1"/>
  <c r="H850" i="1"/>
  <c r="H674" i="1"/>
  <c r="H226" i="1"/>
  <c r="H82" i="1"/>
  <c r="H1171" i="1"/>
  <c r="H1170" i="1"/>
  <c r="H2000" i="1"/>
  <c r="H2001" i="1"/>
  <c r="H1776" i="1"/>
  <c r="H1777" i="1"/>
  <c r="H1552" i="1"/>
  <c r="H1553" i="1"/>
  <c r="H1392" i="1"/>
  <c r="H1393" i="1"/>
  <c r="H1184" i="1"/>
  <c r="H1185" i="1"/>
  <c r="H1024" i="1"/>
  <c r="H1025" i="1"/>
  <c r="H880" i="1"/>
  <c r="H881" i="1"/>
  <c r="H736" i="1"/>
  <c r="H737" i="1"/>
  <c r="H2451" i="1"/>
  <c r="H2291" i="1"/>
  <c r="H2273" i="1"/>
  <c r="H2049" i="1"/>
  <c r="H1955" i="1"/>
  <c r="H1699" i="1"/>
  <c r="H1443" i="1"/>
  <c r="H1106" i="1"/>
  <c r="H930" i="1"/>
  <c r="H1904" i="1"/>
  <c r="H1905" i="1"/>
  <c r="H1696" i="1"/>
  <c r="H1697" i="1"/>
  <c r="H1472" i="1"/>
  <c r="H1473" i="1"/>
  <c r="H1120" i="1"/>
  <c r="H1121" i="1"/>
  <c r="H672" i="1"/>
  <c r="H673" i="1"/>
  <c r="H496" i="1"/>
  <c r="H497" i="1"/>
  <c r="H2449" i="1"/>
  <c r="H2307" i="1"/>
  <c r="H2289" i="1"/>
  <c r="H2067" i="1"/>
  <c r="H1875" i="1"/>
  <c r="H1619" i="1"/>
  <c r="H1362" i="1"/>
  <c r="H1186" i="1"/>
  <c r="H1299" i="1"/>
  <c r="H1298" i="1"/>
  <c r="H1011" i="1"/>
  <c r="H1010" i="1"/>
  <c r="H2435" i="1"/>
  <c r="H2035" i="1"/>
  <c r="H1939" i="1"/>
  <c r="H1683" i="1"/>
  <c r="H1427" i="1"/>
  <c r="H1872" i="1"/>
  <c r="H1873" i="1"/>
  <c r="H1648" i="1"/>
  <c r="H1649" i="1"/>
  <c r="H1424" i="1"/>
  <c r="H1425" i="1"/>
  <c r="H1200" i="1"/>
  <c r="H1201" i="1"/>
  <c r="H752" i="1"/>
  <c r="H753" i="1"/>
  <c r="H2323" i="1"/>
  <c r="H2305" i="1"/>
  <c r="H2065" i="1"/>
  <c r="H1795" i="1"/>
  <c r="H1539" i="1"/>
  <c r="H1155" i="1"/>
  <c r="H1154" i="1"/>
  <c r="H1984" i="1"/>
  <c r="H1985" i="1"/>
  <c r="H1760" i="1"/>
  <c r="H1761" i="1"/>
  <c r="H1536" i="1"/>
  <c r="H1537" i="1"/>
  <c r="H1376" i="1"/>
  <c r="H1377" i="1"/>
  <c r="H1008" i="1"/>
  <c r="H1009" i="1"/>
  <c r="H864" i="1"/>
  <c r="H865" i="1"/>
  <c r="H2467" i="1"/>
  <c r="H2339" i="1"/>
  <c r="H2321" i="1"/>
  <c r="H2083" i="1"/>
  <c r="H1971" i="1"/>
  <c r="H1715" i="1"/>
  <c r="H1459" i="1"/>
  <c r="H1968" i="1"/>
  <c r="H1969" i="1"/>
  <c r="H1744" i="1"/>
  <c r="H1745" i="1"/>
  <c r="H1520" i="1"/>
  <c r="H1521" i="1"/>
  <c r="H1360" i="1"/>
  <c r="H1361" i="1"/>
  <c r="H992" i="1"/>
  <c r="H993" i="1"/>
  <c r="H848" i="1"/>
  <c r="H849" i="1"/>
  <c r="H592" i="1"/>
  <c r="H593" i="1"/>
  <c r="H2465" i="1"/>
  <c r="H2355" i="1"/>
  <c r="H2337" i="1"/>
  <c r="H2099" i="1"/>
  <c r="H2081" i="1"/>
  <c r="H1891" i="1"/>
  <c r="H1635" i="1"/>
  <c r="H1379" i="1"/>
  <c r="H1043" i="1"/>
  <c r="H1042" i="1"/>
  <c r="H1888" i="1"/>
  <c r="H1889" i="1"/>
  <c r="H1664" i="1"/>
  <c r="H1665" i="1"/>
  <c r="H1440" i="1"/>
  <c r="H1441" i="1"/>
  <c r="H768" i="1"/>
  <c r="H769" i="1"/>
  <c r="H2371" i="1"/>
  <c r="H2353" i="1"/>
  <c r="H2115" i="1"/>
  <c r="H2097" i="1"/>
  <c r="H1811" i="1"/>
  <c r="H1555" i="1"/>
  <c r="H448" i="1"/>
  <c r="H1267" i="1"/>
  <c r="H1266" i="1"/>
  <c r="H1824" i="1"/>
  <c r="H1825" i="1"/>
  <c r="H1600" i="1"/>
  <c r="H1601" i="1"/>
  <c r="H1408" i="1"/>
  <c r="H1409" i="1"/>
  <c r="H2483" i="1"/>
  <c r="H2387" i="1"/>
  <c r="H2369" i="1"/>
  <c r="H2131" i="1"/>
  <c r="H2113" i="1"/>
  <c r="H1987" i="1"/>
  <c r="H1731" i="1"/>
  <c r="H1475" i="1"/>
  <c r="H704" i="1"/>
  <c r="H2439" i="1"/>
  <c r="H2440" i="1"/>
  <c r="H2423" i="1"/>
  <c r="H2424" i="1"/>
  <c r="H1235" i="1"/>
  <c r="H1234" i="1"/>
  <c r="H1808" i="1"/>
  <c r="H1809" i="1"/>
  <c r="H1584" i="1"/>
  <c r="H1585" i="1"/>
  <c r="H1248" i="1"/>
  <c r="H1249" i="1"/>
  <c r="H2487" i="1"/>
  <c r="H2488" i="1"/>
  <c r="H2481" i="1"/>
  <c r="H2403" i="1"/>
  <c r="H2385" i="1"/>
  <c r="H2147" i="1"/>
  <c r="H2129" i="1"/>
  <c r="H1907" i="1"/>
  <c r="H1651" i="1"/>
  <c r="H1395" i="1"/>
  <c r="H960" i="1"/>
  <c r="H784" i="1"/>
  <c r="H1219" i="1"/>
  <c r="H1218" i="1"/>
  <c r="H1792" i="1"/>
  <c r="H1793" i="1"/>
  <c r="H1568" i="1"/>
  <c r="H1569" i="1"/>
  <c r="H2455" i="1"/>
  <c r="H2456" i="1"/>
  <c r="H2499" i="1"/>
  <c r="H2401" i="1"/>
  <c r="H2163" i="1"/>
  <c r="H2145" i="1"/>
  <c r="H1827" i="1"/>
  <c r="H1571" i="1"/>
  <c r="H1216" i="1"/>
  <c r="H1040" i="1"/>
  <c r="H545" i="1"/>
  <c r="H465" i="1"/>
  <c r="H384" i="1"/>
  <c r="H306" i="1"/>
  <c r="H162" i="1"/>
  <c r="H1283" i="1"/>
  <c r="H1282" i="1"/>
  <c r="H1840" i="1"/>
  <c r="H1841" i="1"/>
  <c r="H1616" i="1"/>
  <c r="H1617" i="1"/>
  <c r="H1264" i="1"/>
  <c r="H1265" i="1"/>
  <c r="H2503" i="1"/>
  <c r="H2504" i="1"/>
  <c r="H2179" i="1"/>
  <c r="H2161" i="1"/>
  <c r="H2003" i="1"/>
  <c r="H1747" i="1"/>
  <c r="H1491" i="1"/>
  <c r="H1296" i="1"/>
  <c r="H801" i="1"/>
  <c r="H721" i="1"/>
  <c r="H640" i="1"/>
  <c r="H562" i="1"/>
  <c r="H1315" i="1"/>
  <c r="H1314" i="1"/>
  <c r="H1027" i="1"/>
  <c r="H1026" i="1"/>
  <c r="H2243" i="1"/>
  <c r="H1090" i="1"/>
  <c r="H994" i="1"/>
  <c r="H1856" i="1"/>
  <c r="H1857" i="1"/>
  <c r="H1632" i="1"/>
  <c r="H1633" i="1"/>
  <c r="H1280" i="1"/>
  <c r="H1281" i="1"/>
  <c r="H2471" i="1"/>
  <c r="H2472" i="1"/>
  <c r="H2419" i="1"/>
  <c r="H2195" i="1"/>
  <c r="H1923" i="1"/>
  <c r="H1667" i="1"/>
  <c r="H1411" i="1"/>
  <c r="H977" i="1"/>
  <c r="H896" i="1"/>
  <c r="H818" i="1"/>
  <c r="H322" i="1"/>
  <c r="H337" i="1"/>
  <c r="H353" i="1"/>
  <c r="H2408" i="1"/>
  <c r="F866" i="1"/>
  <c r="F610" i="1"/>
  <c r="F98" i="1"/>
  <c r="F2472" i="1"/>
  <c r="F1139" i="1"/>
  <c r="F531" i="1"/>
  <c r="F435" i="1"/>
  <c r="F339" i="1"/>
  <c r="F51" i="1"/>
  <c r="F850" i="1"/>
  <c r="F594" i="1"/>
  <c r="F82" i="1"/>
  <c r="F819" i="1"/>
  <c r="F243" i="1"/>
  <c r="F834" i="1"/>
  <c r="F578" i="1"/>
  <c r="F322" i="1"/>
  <c r="F2494" i="1"/>
  <c r="F755" i="1"/>
  <c r="F643" i="1"/>
  <c r="F451" i="1"/>
  <c r="F163" i="1"/>
  <c r="F562" i="1"/>
  <c r="F306" i="1"/>
  <c r="F995" i="1"/>
  <c r="F931" i="1"/>
  <c r="F707" i="1"/>
  <c r="F1058" i="1"/>
  <c r="F259" i="1"/>
  <c r="F1042" i="1"/>
  <c r="F786" i="1"/>
  <c r="F274" i="1"/>
  <c r="F18" i="1"/>
  <c r="F1026" i="1"/>
  <c r="F770" i="1"/>
  <c r="F514" i="1"/>
  <c r="F1074" i="1"/>
  <c r="F2492" i="1"/>
  <c r="F947" i="1"/>
  <c r="F659" i="1"/>
  <c r="F498" i="1"/>
  <c r="F483" i="1"/>
  <c r="F738" i="1"/>
  <c r="F963" i="1"/>
  <c r="F675" i="1"/>
  <c r="F387" i="1"/>
  <c r="F899" i="1"/>
  <c r="F131" i="1"/>
  <c r="F1745" i="1"/>
  <c r="F2513" i="1"/>
  <c r="F161" i="1"/>
  <c r="F1809" i="1"/>
  <c r="F1872" i="1"/>
  <c r="F625" i="1"/>
  <c r="F337" i="1"/>
  <c r="F193" i="1"/>
  <c r="F977" i="1"/>
  <c r="F209" i="1"/>
  <c r="F17" i="1"/>
  <c r="F369" i="1"/>
  <c r="F33" i="1"/>
  <c r="F2486" i="1"/>
  <c r="F49" i="1"/>
  <c r="F65" i="1"/>
  <c r="F81" i="1"/>
  <c r="F2272" i="1"/>
  <c r="F1091" i="1"/>
  <c r="F1234" i="1"/>
  <c r="F926" i="1"/>
  <c r="F2289" i="1"/>
  <c r="F2097" i="1"/>
  <c r="F1841" i="1"/>
  <c r="F2128" i="1"/>
  <c r="F2000" i="1"/>
  <c r="F1856" i="1"/>
  <c r="F2402" i="1"/>
  <c r="F2081" i="1"/>
  <c r="F1825" i="1"/>
  <c r="F2256" i="1"/>
  <c r="F2049" i="1"/>
  <c r="F1793" i="1"/>
  <c r="F2016" i="1"/>
  <c r="F2179" i="1"/>
  <c r="F2160" i="1"/>
  <c r="F2032" i="1"/>
  <c r="F1888" i="1"/>
  <c r="F1760" i="1"/>
  <c r="F1230" i="1"/>
  <c r="F975" i="1"/>
  <c r="F849" i="1"/>
  <c r="F831" i="1"/>
  <c r="F705" i="1"/>
  <c r="F687" i="1"/>
  <c r="F2195" i="1"/>
  <c r="F1631" i="1"/>
  <c r="F1503" i="1"/>
  <c r="F1375" i="1"/>
  <c r="F1247" i="1"/>
  <c r="F1119" i="1"/>
  <c r="F991" i="1"/>
  <c r="F721" i="1"/>
  <c r="F2369" i="1"/>
  <c r="F2241" i="1"/>
  <c r="F2320" i="1"/>
  <c r="F2480" i="1"/>
  <c r="F2358" i="1"/>
  <c r="F2336" i="1"/>
  <c r="F2176" i="1"/>
  <c r="F1923" i="1"/>
  <c r="F1904" i="1"/>
  <c r="F1776" i="1"/>
  <c r="F847" i="1"/>
  <c r="F703" i="1"/>
  <c r="F1985" i="1"/>
  <c r="F1713" i="1"/>
  <c r="F2384" i="1"/>
  <c r="F2192" i="1"/>
  <c r="F1939" i="1"/>
  <c r="F1647" i="1"/>
  <c r="F1519" i="1"/>
  <c r="F1391" i="1"/>
  <c r="F1263" i="1"/>
  <c r="F1135" i="1"/>
  <c r="F1007" i="1"/>
  <c r="F881" i="1"/>
  <c r="F863" i="1"/>
  <c r="F719" i="1"/>
  <c r="F2353" i="1"/>
  <c r="F2225" i="1"/>
  <c r="F1969" i="1"/>
  <c r="F2422" i="1"/>
  <c r="F2208" i="1"/>
  <c r="F1920" i="1"/>
  <c r="F735" i="1"/>
  <c r="F1953" i="1"/>
  <c r="F1936" i="1"/>
  <c r="F1663" i="1"/>
  <c r="F1535" i="1"/>
  <c r="F1407" i="1"/>
  <c r="F1279" i="1"/>
  <c r="F1151" i="1"/>
  <c r="F1023" i="1"/>
  <c r="F879" i="1"/>
  <c r="F2144" i="1"/>
  <c r="F2374" i="1"/>
  <c r="F895" i="1"/>
  <c r="F751" i="1"/>
  <c r="F1679" i="1"/>
  <c r="F1551" i="1"/>
  <c r="F1423" i="1"/>
  <c r="F1295" i="1"/>
  <c r="F1167" i="1"/>
  <c r="F1039" i="1"/>
  <c r="F2416" i="1"/>
  <c r="F2305" i="1"/>
  <c r="F2112" i="1"/>
  <c r="F1617" i="1"/>
  <c r="F1618" i="1"/>
  <c r="F1425" i="1"/>
  <c r="F1426" i="1"/>
  <c r="F1266" i="1"/>
  <c r="F1265" i="1"/>
  <c r="F1106" i="1"/>
  <c r="F1105" i="1"/>
  <c r="F2306" i="1"/>
  <c r="F2210" i="1"/>
  <c r="F1954" i="1"/>
  <c r="F1714" i="1"/>
  <c r="F2497" i="1"/>
  <c r="F2498" i="1"/>
  <c r="F1649" i="1"/>
  <c r="F1650" i="1"/>
  <c r="F1457" i="1"/>
  <c r="F1458" i="1"/>
  <c r="F1314" i="1"/>
  <c r="F1313" i="1"/>
  <c r="F1154" i="1"/>
  <c r="F1153" i="1"/>
  <c r="F2226" i="1"/>
  <c r="F1970" i="1"/>
  <c r="F2386" i="1"/>
  <c r="F1633" i="1"/>
  <c r="F1634" i="1"/>
  <c r="F1441" i="1"/>
  <c r="F1442" i="1"/>
  <c r="F1282" i="1"/>
  <c r="F1281" i="1"/>
  <c r="F1986" i="1"/>
  <c r="F1697" i="1"/>
  <c r="F1698" i="1"/>
  <c r="F1505" i="1"/>
  <c r="F1506" i="1"/>
  <c r="F1346" i="1"/>
  <c r="F1345" i="1"/>
  <c r="F1202" i="1"/>
  <c r="F1201" i="1"/>
  <c r="F2401" i="1"/>
  <c r="F2322" i="1"/>
  <c r="F2002" i="1"/>
  <c r="F1746" i="1"/>
  <c r="F1665" i="1"/>
  <c r="F1666" i="1"/>
  <c r="F1473" i="1"/>
  <c r="F1474" i="1"/>
  <c r="F1298" i="1"/>
  <c r="F1297" i="1"/>
  <c r="F1170" i="1"/>
  <c r="F1169" i="1"/>
  <c r="F2242" i="1"/>
  <c r="F2018" i="1"/>
  <c r="F1762" i="1"/>
  <c r="F1521" i="1"/>
  <c r="F1522" i="1"/>
  <c r="F1362" i="1"/>
  <c r="F1361" i="1"/>
  <c r="F2471" i="1"/>
  <c r="F2034" i="1"/>
  <c r="F1778" i="1"/>
  <c r="F1233" i="1"/>
  <c r="F1681" i="1"/>
  <c r="F1682" i="1"/>
  <c r="F1489" i="1"/>
  <c r="F1490" i="1"/>
  <c r="F1330" i="1"/>
  <c r="F1329" i="1"/>
  <c r="F1186" i="1"/>
  <c r="F1185" i="1"/>
  <c r="F2503" i="1"/>
  <c r="F2338" i="1"/>
  <c r="F2050" i="1"/>
  <c r="F1794" i="1"/>
  <c r="F2466" i="1"/>
  <c r="F2465" i="1"/>
  <c r="F1601" i="1"/>
  <c r="F1602" i="1"/>
  <c r="F1409" i="1"/>
  <c r="F1410" i="1"/>
  <c r="F1250" i="1"/>
  <c r="F1249" i="1"/>
  <c r="F1122" i="1"/>
  <c r="F1121" i="1"/>
  <c r="F2418" i="1"/>
  <c r="F2258" i="1"/>
  <c r="F2066" i="1"/>
  <c r="F1810" i="1"/>
  <c r="F2449" i="1"/>
  <c r="F2450" i="1"/>
  <c r="F1585" i="1"/>
  <c r="F1586" i="1"/>
  <c r="F1393" i="1"/>
  <c r="F1394" i="1"/>
  <c r="F1218" i="1"/>
  <c r="F1217" i="1"/>
  <c r="F2082" i="1"/>
  <c r="F1826" i="1"/>
  <c r="F2433" i="1"/>
  <c r="F2434" i="1"/>
  <c r="F2439" i="1"/>
  <c r="F2440" i="1"/>
  <c r="F1729" i="1"/>
  <c r="F1730" i="1"/>
  <c r="F1377" i="1"/>
  <c r="F1378" i="1"/>
  <c r="F2354" i="1"/>
  <c r="F2098" i="1"/>
  <c r="F1842" i="1"/>
  <c r="F2455" i="1"/>
  <c r="F2456" i="1"/>
  <c r="F2274" i="1"/>
  <c r="F2114" i="1"/>
  <c r="F1858" i="1"/>
  <c r="F1137" i="1"/>
  <c r="F1537" i="1"/>
  <c r="F1538" i="1"/>
  <c r="F2130" i="1"/>
  <c r="F1874" i="1"/>
  <c r="F1553" i="1"/>
  <c r="F1554" i="1"/>
  <c r="F2487" i="1"/>
  <c r="F2488" i="1"/>
  <c r="F2370" i="1"/>
  <c r="F2146" i="1"/>
  <c r="F1890" i="1"/>
  <c r="F1569" i="1"/>
  <c r="F1570" i="1"/>
  <c r="F2290" i="1"/>
  <c r="F2162" i="1"/>
  <c r="F1906" i="1"/>
  <c r="F961" i="1"/>
  <c r="F2482" i="1"/>
  <c r="F993" i="1"/>
  <c r="F737" i="1"/>
  <c r="F481" i="1"/>
  <c r="F225" i="1"/>
  <c r="F2501" i="1"/>
  <c r="F2392" i="1"/>
  <c r="F2376" i="1"/>
  <c r="F2360" i="1"/>
  <c r="F2344" i="1"/>
  <c r="F2328" i="1"/>
  <c r="F2312" i="1"/>
  <c r="F2296" i="1"/>
  <c r="F2280" i="1"/>
  <c r="F2264" i="1"/>
  <c r="F2248" i="1"/>
  <c r="F2232" i="1"/>
  <c r="F1009" i="1"/>
  <c r="F753" i="1"/>
  <c r="F497" i="1"/>
  <c r="F241" i="1"/>
  <c r="F2425" i="1"/>
  <c r="F2408" i="1"/>
  <c r="F1025" i="1"/>
  <c r="F769" i="1"/>
  <c r="F513" i="1"/>
  <c r="F257" i="1"/>
  <c r="F1041" i="1"/>
  <c r="F785" i="1"/>
  <c r="F529" i="1"/>
  <c r="F2477" i="1"/>
  <c r="F2457" i="1"/>
  <c r="F2423" i="1"/>
  <c r="F1057" i="1"/>
  <c r="F801" i="1"/>
  <c r="F545" i="1"/>
  <c r="F289" i="1"/>
  <c r="F1073" i="1"/>
  <c r="F817" i="1"/>
  <c r="F561" i="1"/>
  <c r="F305" i="1"/>
  <c r="F1089" i="1"/>
  <c r="F833" i="1"/>
  <c r="F577" i="1"/>
  <c r="F321" i="1"/>
  <c r="F865" i="1"/>
  <c r="F609" i="1"/>
  <c r="F353" i="1"/>
  <c r="F97" i="1"/>
  <c r="F2509" i="1"/>
  <c r="F2489" i="1"/>
  <c r="F897" i="1"/>
  <c r="F641" i="1"/>
  <c r="F385" i="1"/>
  <c r="F129" i="1"/>
  <c r="F913" i="1"/>
  <c r="F657" i="1"/>
  <c r="F401" i="1"/>
  <c r="F145" i="1"/>
  <c r="F929" i="1"/>
  <c r="F673" i="1"/>
  <c r="F417" i="1"/>
  <c r="F2505" i="1"/>
  <c r="F945" i="1"/>
  <c r="F689" i="1"/>
  <c r="F433" i="1"/>
  <c r="F177" i="1"/>
  <c r="F2515" i="1"/>
</calcChain>
</file>

<file path=xl/sharedStrings.xml><?xml version="1.0" encoding="utf-8"?>
<sst xmlns="http://schemas.openxmlformats.org/spreadsheetml/2006/main" count="34" uniqueCount="22">
  <si>
    <t>observation_date</t>
  </si>
  <si>
    <t>SP500</t>
  </si>
  <si>
    <t>SP500 1 day return</t>
  </si>
  <si>
    <t>SP500 3 day momentum</t>
  </si>
  <si>
    <t>VIXCLS</t>
  </si>
  <si>
    <t>VIX</t>
  </si>
  <si>
    <t>VIX 1 day change</t>
  </si>
  <si>
    <t>DGS10</t>
  </si>
  <si>
    <t>DGS10 1 day change</t>
  </si>
  <si>
    <t>T10Y3M</t>
  </si>
  <si>
    <t xml:space="preserve">T10Y3M </t>
  </si>
  <si>
    <t>BAMLC0A4CBBB</t>
  </si>
  <si>
    <t>CPIAUCSL</t>
  </si>
  <si>
    <t>DFF</t>
  </si>
  <si>
    <t>DGS2</t>
  </si>
  <si>
    <t>DGS2 1 day change</t>
  </si>
  <si>
    <t>Target: Raw next-day return</t>
  </si>
  <si>
    <t>Target: Up or Down - 1 next day UP, 0 next day down/flat</t>
  </si>
  <si>
    <t>Target: Buy/hold/sell = 1/0/-1 0.3% margin</t>
  </si>
  <si>
    <t>Closing Value</t>
  </si>
  <si>
    <t>Closing Value - CRUDE OIL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</si>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</sst>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8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C581F-738A-4938-AC93-86B805237F8A}">
  <dimension ref="A1:R2516"/>
  <sheetViews>
    <sheetView topLeftCell="C1" workbookViewId="0">
      <selection activeCell="R11" sqref="R11"/>
    </sheetView>
  </sheetViews>
  <sheetFormatPr defaultRowHeight="14.4"/>
  <cols>
    <col min="1" max="1" width="12" customWidth="1"/>
    <col min="3" max="3" width="15.88671875" bestFit="1" customWidth="1"/>
    <col min="4" max="4" width="20.33203125" bestFit="1" customWidth="1"/>
    <col min="5" max="5" width="11.44140625" customWidth="1"/>
    <col min="6" max="6" width="14.33203125" bestFit="1" customWidth="1"/>
    <col min="17" max="17" width="35" bestFit="1" customWidth="1"/>
    <col min="18" max="18" width="22.2187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8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s="2" t="s">
        <v>16</v>
      </c>
      <c r="P1" t="s">
        <v>17</v>
      </c>
      <c r="Q1" t="s">
        <v>18</v>
      </c>
      <c r="R1" s="3" t="s">
        <v>20</v>
      </c>
    </row>
    <row r="2" spans="1:18">
      <c r="A2" s="1">
        <v>42464</v>
      </c>
      <c r="B2">
        <v>2066.13</v>
      </c>
      <c r="E2">
        <f>_xlfn.XLOOKUP(A2,VIX!A:A,VIX!B:B,"",-1)</f>
        <v>14.12</v>
      </c>
      <c r="G2">
        <f>_xlfn.XLOOKUP(A2,'DGS10'!A:A,'DGS10'!B:B,"",-1)</f>
        <v>1.78</v>
      </c>
      <c r="I2" s="2">
        <f>_xlfn.XLOOKUP(A2,T10Y3M!A:A,T10Y3M!B:B,"",-1)</f>
        <v>1.55</v>
      </c>
      <c r="J2" s="2">
        <f>_xlfn.XLOOKUP(A2,BAMLC0A4CBBB!A:A,BAMLC0A4CBBB!B:B,"",-1)</f>
        <v>2.2999999999999998</v>
      </c>
      <c r="K2" s="2">
        <f>_xlfn.XLOOKUP(A2,CPIAUCSL!A:A,CPIAUCSL!B:B,"",-1)</f>
        <v>238.99199999999999</v>
      </c>
      <c r="L2">
        <f>_xlfn.XLOOKUP(A2,DFF!A:A,DFF!B:B,"",-1)</f>
        <v>0.37</v>
      </c>
      <c r="M2">
        <f>_xlfn.XLOOKUP(A2,'DGS2'!A:A,'DGS2'!B:B,"",-1)</f>
        <v>0.75</v>
      </c>
      <c r="R2" s="3">
        <v>35.700000000000003</v>
      </c>
    </row>
    <row r="3" spans="1:18">
      <c r="A3" s="1">
        <v>42465</v>
      </c>
      <c r="B3">
        <v>2045.17</v>
      </c>
      <c r="C3">
        <f>IF(OR(B3="",B2=""),"",(B3/B2)-1)</f>
        <v>-1.0144569799577008E-2</v>
      </c>
      <c r="E3">
        <f>_xlfn.XLOOKUP(A3,VIX!A:A,VIX!B:B,"",-1)</f>
        <v>15.42</v>
      </c>
      <c r="F3">
        <f>IF(OR(E3="",E2=""),"",E3-E2)</f>
        <v>1.3000000000000007</v>
      </c>
      <c r="G3">
        <f>_xlfn.XLOOKUP(A3,'DGS10'!A:A,'DGS10'!B:B,"",-1)</f>
        <v>1.73</v>
      </c>
      <c r="H3">
        <f>IF(OR(G3="",G2=""),"",G3-G2)</f>
        <v>-5.0000000000000044E-2</v>
      </c>
      <c r="I3" s="2">
        <f>_xlfn.XLOOKUP(A3,T10Y3M!A:A,T10Y3M!B:B,"",-1)</f>
        <v>1.5</v>
      </c>
      <c r="J3" s="2">
        <f>_xlfn.XLOOKUP(A3,BAMLC0A4CBBB!A:A,BAMLC0A4CBBB!B:B,"",-1)</f>
        <v>2.31</v>
      </c>
      <c r="K3" s="2">
        <f>_xlfn.XLOOKUP(A3,CPIAUCSL!A:A,CPIAUCSL!B:B,"",-1)</f>
        <v>238.99199999999999</v>
      </c>
      <c r="L3">
        <f>_xlfn.XLOOKUP(A3,DFF!A:A,DFF!B:B,"",-1)</f>
        <v>0.37</v>
      </c>
      <c r="M3">
        <f>_xlfn.XLOOKUP(A3,'DGS2'!A:A,'DGS2'!B:B,"",-1)</f>
        <v>0.72</v>
      </c>
      <c r="N3">
        <f>IF(OR(M3="",M2=""),"",M3-M2)</f>
        <v>-3.0000000000000027E-2</v>
      </c>
      <c r="O3">
        <f>IF(OR(B4="",B3=""),"",(B4/B3)-1)</f>
        <v>1.0507683957812652E-2</v>
      </c>
      <c r="P3">
        <f>IF(O3="","",IF(O3&gt;0,1,0))</f>
        <v>1</v>
      </c>
      <c r="Q3">
        <f>IF(O3="","",IF(O3&gt;0.003,1,IF(O3&lt;-0.01,-1,0)))</f>
        <v>1</v>
      </c>
      <c r="R3" s="3">
        <v>35.89</v>
      </c>
    </row>
    <row r="4" spans="1:18">
      <c r="A4" s="1">
        <v>42466</v>
      </c>
      <c r="B4">
        <v>2066.66</v>
      </c>
      <c r="C4">
        <f t="shared" ref="C4:C67" si="0">IF(OR(B4="",B3=""),"",(B4/B3)-1)</f>
        <v>1.0507683957812652E-2</v>
      </c>
      <c r="E4">
        <f>_xlfn.XLOOKUP(A4,VIX!A:A,VIX!B:B,"",-1)</f>
        <v>14.09</v>
      </c>
      <c r="F4">
        <f t="shared" ref="F4:F67" si="1">IF(OR(E4="",E3=""),"",E4-E3)</f>
        <v>-1.33</v>
      </c>
      <c r="G4">
        <f>_xlfn.XLOOKUP(A4,'DGS10'!A:A,'DGS10'!B:B,"",-1)</f>
        <v>1.76</v>
      </c>
      <c r="H4">
        <f t="shared" ref="H4:H67" si="2">IF(OR(G4="",G3=""),"",G4-G3)</f>
        <v>3.0000000000000027E-2</v>
      </c>
      <c r="I4" s="2">
        <f>_xlfn.XLOOKUP(A4,T10Y3M!A:A,T10Y3M!B:B,"",-1)</f>
        <v>1.53</v>
      </c>
      <c r="J4" s="2">
        <f>_xlfn.XLOOKUP(A4,BAMLC0A4CBBB!A:A,BAMLC0A4CBBB!B:B,"",-1)</f>
        <v>2.2999999999999998</v>
      </c>
      <c r="K4" s="2">
        <f>_xlfn.XLOOKUP(A4,CPIAUCSL!A:A,CPIAUCSL!B:B,"",-1)</f>
        <v>238.99199999999999</v>
      </c>
      <c r="L4">
        <f>_xlfn.XLOOKUP(A4,DFF!A:A,DFF!B:B,"",-1)</f>
        <v>0.37</v>
      </c>
      <c r="M4">
        <f>_xlfn.XLOOKUP(A4,'DGS2'!A:A,'DGS2'!B:B,"",-1)</f>
        <v>0.73</v>
      </c>
      <c r="N4">
        <f t="shared" ref="N4:N67" si="3">IF(OR(M4="",M3=""),"",M4-M3)</f>
        <v>1.0000000000000009E-2</v>
      </c>
      <c r="O4">
        <f t="shared" ref="O4:O67" si="4">IF(OR(B5="",B4=""),"",(B5/B4)-1)</f>
        <v>-1.1975845083371128E-2</v>
      </c>
      <c r="P4">
        <f t="shared" ref="P4:P67" si="5">IF(O4="","",IF(O4&gt;0,1,0))</f>
        <v>0</v>
      </c>
      <c r="Q4">
        <f t="shared" ref="Q4:Q67" si="6">IF(O4="","",IF(O4&gt;0.003,1,IF(O4&lt;-0.003,-1,0)))</f>
        <v>-1</v>
      </c>
      <c r="R4" s="3">
        <v>37.75</v>
      </c>
    </row>
    <row r="5" spans="1:18">
      <c r="A5" s="1">
        <v>42467</v>
      </c>
      <c r="B5">
        <v>2041.91</v>
      </c>
      <c r="C5">
        <f t="shared" si="0"/>
        <v>-1.1975845083371128E-2</v>
      </c>
      <c r="D5">
        <f>IF(OR(B5="",B2=""),"",(B5/B2)-1)</f>
        <v>-1.1722398880999796E-2</v>
      </c>
      <c r="E5">
        <f>_xlfn.XLOOKUP(A5,VIX!A:A,VIX!B:B,"",-1)</f>
        <v>16.16</v>
      </c>
      <c r="F5">
        <f t="shared" si="1"/>
        <v>2.0700000000000003</v>
      </c>
      <c r="G5">
        <f>_xlfn.XLOOKUP(A5,'DGS10'!A:A,'DGS10'!B:B,"",-1)</f>
        <v>1.7</v>
      </c>
      <c r="H5">
        <f t="shared" si="2"/>
        <v>-6.0000000000000053E-2</v>
      </c>
      <c r="I5" s="2">
        <f>_xlfn.XLOOKUP(A5,T10Y3M!A:A,T10Y3M!B:B,"",-1)</f>
        <v>1.47</v>
      </c>
      <c r="J5" s="2">
        <f>_xlfn.XLOOKUP(A5,BAMLC0A4CBBB!A:A,BAMLC0A4CBBB!B:B,"",-1)</f>
        <v>2.31</v>
      </c>
      <c r="K5" s="2">
        <f>_xlfn.XLOOKUP(A5,CPIAUCSL!A:A,CPIAUCSL!B:B,"",-1)</f>
        <v>238.99199999999999</v>
      </c>
      <c r="L5">
        <f>_xlfn.XLOOKUP(A5,DFF!A:A,DFF!B:B,"",-1)</f>
        <v>0.37</v>
      </c>
      <c r="M5">
        <f>_xlfn.XLOOKUP(A5,'DGS2'!A:A,'DGS2'!B:B,"",-1)</f>
        <v>0.7</v>
      </c>
      <c r="N5">
        <f t="shared" si="3"/>
        <v>-3.0000000000000027E-2</v>
      </c>
      <c r="O5">
        <f t="shared" si="4"/>
        <v>2.7866066574921966E-3</v>
      </c>
      <c r="P5">
        <f t="shared" si="5"/>
        <v>1</v>
      </c>
      <c r="Q5">
        <f t="shared" si="6"/>
        <v>0</v>
      </c>
      <c r="R5" s="3">
        <v>37.26</v>
      </c>
    </row>
    <row r="6" spans="1:18">
      <c r="A6" s="1">
        <v>42468</v>
      </c>
      <c r="B6">
        <v>2047.6</v>
      </c>
      <c r="C6">
        <f t="shared" si="0"/>
        <v>2.7866066574921966E-3</v>
      </c>
      <c r="D6">
        <f t="shared" ref="D6:D69" si="7">IF(OR(B6="",B3=""),"",(B6/B3)-1)</f>
        <v>1.1881652869931703E-3</v>
      </c>
      <c r="E6">
        <f>_xlfn.XLOOKUP(A6,VIX!A:A,VIX!B:B,"",-1)</f>
        <v>15.36</v>
      </c>
      <c r="F6">
        <f t="shared" si="1"/>
        <v>-0.80000000000000071</v>
      </c>
      <c r="G6">
        <f>_xlfn.XLOOKUP(A6,'DGS10'!A:A,'DGS10'!B:B,"",-1)</f>
        <v>1.72</v>
      </c>
      <c r="H6">
        <f t="shared" si="2"/>
        <v>2.0000000000000018E-2</v>
      </c>
      <c r="I6" s="2">
        <f>_xlfn.XLOOKUP(A6,T10Y3M!A:A,T10Y3M!B:B,"",-1)</f>
        <v>1.49</v>
      </c>
      <c r="J6" s="2">
        <f>_xlfn.XLOOKUP(A6,BAMLC0A4CBBB!A:A,BAMLC0A4CBBB!B:B,"",-1)</f>
        <v>2.31</v>
      </c>
      <c r="K6" s="2">
        <f>_xlfn.XLOOKUP(A6,CPIAUCSL!A:A,CPIAUCSL!B:B,"",-1)</f>
        <v>238.99199999999999</v>
      </c>
      <c r="L6">
        <f>_xlfn.XLOOKUP(A6,DFF!A:A,DFF!B:B,"",-1)</f>
        <v>0.37</v>
      </c>
      <c r="M6">
        <f>_xlfn.XLOOKUP(A6,'DGS2'!A:A,'DGS2'!B:B,"",-1)</f>
        <v>0.7</v>
      </c>
      <c r="N6">
        <f t="shared" si="3"/>
        <v>0</v>
      </c>
      <c r="O6">
        <f t="shared" si="4"/>
        <v>-2.7397929283062838E-3</v>
      </c>
      <c r="P6">
        <f t="shared" si="5"/>
        <v>0</v>
      </c>
      <c r="Q6">
        <f t="shared" si="6"/>
        <v>0</v>
      </c>
      <c r="R6" s="3">
        <v>39.72</v>
      </c>
    </row>
    <row r="7" spans="1:18">
      <c r="A7" s="1">
        <v>42471</v>
      </c>
      <c r="B7">
        <v>2041.99</v>
      </c>
      <c r="C7">
        <f t="shared" si="0"/>
        <v>-2.7397929283062838E-3</v>
      </c>
      <c r="D7">
        <f t="shared" si="7"/>
        <v>-1.1937135281081424E-2</v>
      </c>
      <c r="E7">
        <f>_xlfn.XLOOKUP(A7,VIX!A:A,VIX!B:B,"",-1)</f>
        <v>16.260000000000002</v>
      </c>
      <c r="F7">
        <f t="shared" si="1"/>
        <v>0.90000000000000213</v>
      </c>
      <c r="G7">
        <f>_xlfn.XLOOKUP(A7,'DGS10'!A:A,'DGS10'!B:B,"",-1)</f>
        <v>1.73</v>
      </c>
      <c r="H7">
        <f t="shared" si="2"/>
        <v>1.0000000000000009E-2</v>
      </c>
      <c r="I7" s="2">
        <f>_xlfn.XLOOKUP(A7,T10Y3M!A:A,T10Y3M!B:B,"",-1)</f>
        <v>1.5</v>
      </c>
      <c r="J7" s="2">
        <f>_xlfn.XLOOKUP(A7,BAMLC0A4CBBB!A:A,BAMLC0A4CBBB!B:B,"",-1)</f>
        <v>2.2999999999999998</v>
      </c>
      <c r="K7" s="2">
        <f>_xlfn.XLOOKUP(A7,CPIAUCSL!A:A,CPIAUCSL!B:B,"",-1)</f>
        <v>238.99199999999999</v>
      </c>
      <c r="L7">
        <f>_xlfn.XLOOKUP(A7,DFF!A:A,DFF!B:B,"",-1)</f>
        <v>0.37</v>
      </c>
      <c r="M7">
        <f>_xlfn.XLOOKUP(A7,'DGS2'!A:A,'DGS2'!B:B,"",-1)</f>
        <v>0.7</v>
      </c>
      <c r="N7">
        <f t="shared" si="3"/>
        <v>0</v>
      </c>
      <c r="O7">
        <f t="shared" si="4"/>
        <v>9.6621433013872604E-3</v>
      </c>
      <c r="P7">
        <f t="shared" si="5"/>
        <v>1</v>
      </c>
      <c r="Q7">
        <f t="shared" si="6"/>
        <v>1</v>
      </c>
      <c r="R7" s="3">
        <v>40.36</v>
      </c>
    </row>
    <row r="8" spans="1:18">
      <c r="A8" s="1">
        <v>42472</v>
      </c>
      <c r="B8">
        <v>2061.7199999999998</v>
      </c>
      <c r="C8">
        <f t="shared" si="0"/>
        <v>9.6621433013872604E-3</v>
      </c>
      <c r="D8">
        <f t="shared" si="7"/>
        <v>9.7017008585098541E-3</v>
      </c>
      <c r="E8">
        <f>_xlfn.XLOOKUP(A8,VIX!A:A,VIX!B:B,"",-1)</f>
        <v>14.85</v>
      </c>
      <c r="F8">
        <f t="shared" si="1"/>
        <v>-1.4100000000000019</v>
      </c>
      <c r="G8">
        <f>_xlfn.XLOOKUP(A8,'DGS10'!A:A,'DGS10'!B:B,"",-1)</f>
        <v>1.79</v>
      </c>
      <c r="H8">
        <f t="shared" si="2"/>
        <v>6.0000000000000053E-2</v>
      </c>
      <c r="I8" s="2">
        <f>_xlfn.XLOOKUP(A8,T10Y3M!A:A,T10Y3M!B:B,"",-1)</f>
        <v>1.57</v>
      </c>
      <c r="J8" s="2">
        <f>_xlfn.XLOOKUP(A8,BAMLC0A4CBBB!A:A,BAMLC0A4CBBB!B:B,"",-1)</f>
        <v>2.2799999999999998</v>
      </c>
      <c r="K8" s="2">
        <f>_xlfn.XLOOKUP(A8,CPIAUCSL!A:A,CPIAUCSL!B:B,"",-1)</f>
        <v>238.99199999999999</v>
      </c>
      <c r="L8">
        <f>_xlfn.XLOOKUP(A8,DFF!A:A,DFF!B:B,"",-1)</f>
        <v>0.37</v>
      </c>
      <c r="M8">
        <f>_xlfn.XLOOKUP(A8,'DGS2'!A:A,'DGS2'!B:B,"",-1)</f>
        <v>0.74</v>
      </c>
      <c r="N8">
        <f t="shared" si="3"/>
        <v>4.0000000000000036E-2</v>
      </c>
      <c r="O8">
        <f t="shared" si="4"/>
        <v>1.0040160642570406E-2</v>
      </c>
      <c r="P8">
        <f t="shared" si="5"/>
        <v>1</v>
      </c>
      <c r="Q8">
        <f t="shared" si="6"/>
        <v>1</v>
      </c>
      <c r="R8" s="3">
        <v>42.17</v>
      </c>
    </row>
    <row r="9" spans="1:18">
      <c r="A9" s="1">
        <v>42473</v>
      </c>
      <c r="B9">
        <v>2082.42</v>
      </c>
      <c r="C9">
        <f t="shared" si="0"/>
        <v>1.0040160642570406E-2</v>
      </c>
      <c r="D9">
        <f t="shared" si="7"/>
        <v>1.700527446766964E-2</v>
      </c>
      <c r="E9">
        <f>_xlfn.XLOOKUP(A9,VIX!A:A,VIX!B:B,"",-1)</f>
        <v>13.84</v>
      </c>
      <c r="F9">
        <f t="shared" si="1"/>
        <v>-1.0099999999999998</v>
      </c>
      <c r="G9">
        <f>_xlfn.XLOOKUP(A9,'DGS10'!A:A,'DGS10'!B:B,"",-1)</f>
        <v>1.77</v>
      </c>
      <c r="H9">
        <f t="shared" si="2"/>
        <v>-2.0000000000000018E-2</v>
      </c>
      <c r="I9" s="2">
        <f>_xlfn.XLOOKUP(A9,T10Y3M!A:A,T10Y3M!B:B,"",-1)</f>
        <v>1.54</v>
      </c>
      <c r="J9" s="2">
        <f>_xlfn.XLOOKUP(A9,BAMLC0A4CBBB!A:A,BAMLC0A4CBBB!B:B,"",-1)</f>
        <v>2.2599999999999998</v>
      </c>
      <c r="K9" s="2">
        <f>_xlfn.XLOOKUP(A9,CPIAUCSL!A:A,CPIAUCSL!B:B,"",-1)</f>
        <v>238.99199999999999</v>
      </c>
      <c r="L9">
        <f>_xlfn.XLOOKUP(A9,DFF!A:A,DFF!B:B,"",-1)</f>
        <v>0.37</v>
      </c>
      <c r="M9">
        <f>_xlfn.XLOOKUP(A9,'DGS2'!A:A,'DGS2'!B:B,"",-1)</f>
        <v>0.75</v>
      </c>
      <c r="N9">
        <f t="shared" si="3"/>
        <v>1.0000000000000009E-2</v>
      </c>
      <c r="O9">
        <f t="shared" si="4"/>
        <v>1.7287578874580767E-4</v>
      </c>
      <c r="P9">
        <f t="shared" si="5"/>
        <v>1</v>
      </c>
      <c r="Q9">
        <f t="shared" si="6"/>
        <v>0</v>
      </c>
      <c r="R9" s="3">
        <v>41.76</v>
      </c>
    </row>
    <row r="10" spans="1:18">
      <c r="A10" s="1">
        <v>42474</v>
      </c>
      <c r="B10">
        <v>2082.7800000000002</v>
      </c>
      <c r="C10">
        <f t="shared" si="0"/>
        <v>1.7287578874580767E-4</v>
      </c>
      <c r="D10">
        <f t="shared" si="7"/>
        <v>1.9975612025524114E-2</v>
      </c>
      <c r="E10">
        <f>_xlfn.XLOOKUP(A10,VIX!A:A,VIX!B:B,"",-1)</f>
        <v>13.72</v>
      </c>
      <c r="F10">
        <f t="shared" si="1"/>
        <v>-0.11999999999999922</v>
      </c>
      <c r="G10">
        <f>_xlfn.XLOOKUP(A10,'DGS10'!A:A,'DGS10'!B:B,"",-1)</f>
        <v>1.8</v>
      </c>
      <c r="H10">
        <f t="shared" si="2"/>
        <v>3.0000000000000027E-2</v>
      </c>
      <c r="I10" s="2">
        <f>_xlfn.XLOOKUP(A10,T10Y3M!A:A,T10Y3M!B:B,"",-1)</f>
        <v>1.58</v>
      </c>
      <c r="J10" s="2">
        <f>_xlfn.XLOOKUP(A10,BAMLC0A4CBBB!A:A,BAMLC0A4CBBB!B:B,"",-1)</f>
        <v>2.23</v>
      </c>
      <c r="K10" s="2">
        <f>_xlfn.XLOOKUP(A10,CPIAUCSL!A:A,CPIAUCSL!B:B,"",-1)</f>
        <v>238.99199999999999</v>
      </c>
      <c r="L10">
        <f>_xlfn.XLOOKUP(A10,DFF!A:A,DFF!B:B,"",-1)</f>
        <v>0.37</v>
      </c>
      <c r="M10">
        <f>_xlfn.XLOOKUP(A10,'DGS2'!A:A,'DGS2'!B:B,"",-1)</f>
        <v>0.77</v>
      </c>
      <c r="N10">
        <f t="shared" si="3"/>
        <v>2.0000000000000018E-2</v>
      </c>
      <c r="O10">
        <f t="shared" si="4"/>
        <v>-9.8426141983321003E-4</v>
      </c>
      <c r="P10">
        <f t="shared" si="5"/>
        <v>0</v>
      </c>
      <c r="Q10">
        <f t="shared" si="6"/>
        <v>0</v>
      </c>
      <c r="R10" s="3">
        <v>41.5</v>
      </c>
    </row>
    <row r="11" spans="1:18">
      <c r="A11" s="1">
        <v>42475</v>
      </c>
      <c r="B11">
        <v>2080.73</v>
      </c>
      <c r="C11">
        <f t="shared" si="0"/>
        <v>-9.8426141983321003E-4</v>
      </c>
      <c r="D11">
        <f t="shared" si="7"/>
        <v>9.2204567060514275E-3</v>
      </c>
      <c r="E11">
        <f>_xlfn.XLOOKUP(A11,VIX!A:A,VIX!B:B,"",-1)</f>
        <v>13.62</v>
      </c>
      <c r="F11">
        <f t="shared" si="1"/>
        <v>-0.10000000000000142</v>
      </c>
      <c r="G11">
        <f>_xlfn.XLOOKUP(A11,'DGS10'!A:A,'DGS10'!B:B,"",-1)</f>
        <v>1.76</v>
      </c>
      <c r="H11">
        <f t="shared" si="2"/>
        <v>-4.0000000000000036E-2</v>
      </c>
      <c r="I11" s="2">
        <f>_xlfn.XLOOKUP(A11,T10Y3M!A:A,T10Y3M!B:B,"",-1)</f>
        <v>1.54</v>
      </c>
      <c r="J11" s="2">
        <f>_xlfn.XLOOKUP(A11,BAMLC0A4CBBB!A:A,BAMLC0A4CBBB!B:B,"",-1)</f>
        <v>2.2200000000000002</v>
      </c>
      <c r="K11" s="2">
        <f>_xlfn.XLOOKUP(A11,CPIAUCSL!A:A,CPIAUCSL!B:B,"",-1)</f>
        <v>238.99199999999999</v>
      </c>
      <c r="L11">
        <f>_xlfn.XLOOKUP(A11,DFF!A:A,DFF!B:B,"",-1)</f>
        <v>0.37</v>
      </c>
      <c r="M11">
        <f>_xlfn.XLOOKUP(A11,'DGS2'!A:A,'DGS2'!B:B,"",-1)</f>
        <v>0.74</v>
      </c>
      <c r="N11">
        <f t="shared" si="3"/>
        <v>-3.0000000000000027E-2</v>
      </c>
      <c r="O11">
        <f t="shared" si="4"/>
        <v>6.5409736006114549E-3</v>
      </c>
      <c r="P11">
        <f t="shared" si="5"/>
        <v>1</v>
      </c>
      <c r="Q11">
        <f t="shared" si="6"/>
        <v>1</v>
      </c>
      <c r="R11" s="3">
        <v>40.36</v>
      </c>
    </row>
    <row r="12" spans="1:18">
      <c r="A12" s="1">
        <v>42478</v>
      </c>
      <c r="B12">
        <v>2094.34</v>
      </c>
      <c r="C12">
        <f t="shared" si="0"/>
        <v>6.5409736006114549E-3</v>
      </c>
      <c r="D12">
        <f t="shared" si="7"/>
        <v>5.7241094495827927E-3</v>
      </c>
      <c r="E12">
        <f>_xlfn.XLOOKUP(A12,VIX!A:A,VIX!B:B,"",-1)</f>
        <v>13.35</v>
      </c>
      <c r="F12">
        <f t="shared" si="1"/>
        <v>-0.26999999999999957</v>
      </c>
      <c r="G12">
        <f>_xlfn.XLOOKUP(A12,'DGS10'!A:A,'DGS10'!B:B,"",-1)</f>
        <v>1.78</v>
      </c>
      <c r="H12">
        <f t="shared" si="2"/>
        <v>2.0000000000000018E-2</v>
      </c>
      <c r="I12" s="2">
        <f>_xlfn.XLOOKUP(A12,T10Y3M!A:A,T10Y3M!B:B,"",-1)</f>
        <v>1.56</v>
      </c>
      <c r="J12" s="2">
        <f>_xlfn.XLOOKUP(A12,BAMLC0A4CBBB!A:A,BAMLC0A4CBBB!B:B,"",-1)</f>
        <v>2.21</v>
      </c>
      <c r="K12" s="2">
        <f>_xlfn.XLOOKUP(A12,CPIAUCSL!A:A,CPIAUCSL!B:B,"",-1)</f>
        <v>238.99199999999999</v>
      </c>
      <c r="L12">
        <f>_xlfn.XLOOKUP(A12,DFF!A:A,DFF!B:B,"",-1)</f>
        <v>0.37</v>
      </c>
      <c r="M12">
        <f>_xlfn.XLOOKUP(A12,'DGS2'!A:A,'DGS2'!B:B,"",-1)</f>
        <v>0.75</v>
      </c>
      <c r="N12">
        <f t="shared" si="3"/>
        <v>1.0000000000000009E-2</v>
      </c>
      <c r="O12">
        <f t="shared" si="4"/>
        <v>3.0845039487379378E-3</v>
      </c>
      <c r="P12">
        <f t="shared" si="5"/>
        <v>1</v>
      </c>
      <c r="Q12">
        <f t="shared" si="6"/>
        <v>1</v>
      </c>
      <c r="R12" s="3">
        <v>39.78</v>
      </c>
    </row>
    <row r="13" spans="1:18">
      <c r="A13" s="1">
        <v>42479</v>
      </c>
      <c r="B13">
        <v>2100.8000000000002</v>
      </c>
      <c r="C13">
        <f t="shared" si="0"/>
        <v>3.0845039487379378E-3</v>
      </c>
      <c r="D13">
        <f t="shared" si="7"/>
        <v>8.6518979440939336E-3</v>
      </c>
      <c r="E13">
        <f>_xlfn.XLOOKUP(A13,VIX!A:A,VIX!B:B,"",-1)</f>
        <v>13.24</v>
      </c>
      <c r="F13">
        <f t="shared" si="1"/>
        <v>-0.10999999999999943</v>
      </c>
      <c r="G13">
        <f>_xlfn.XLOOKUP(A13,'DGS10'!A:A,'DGS10'!B:B,"",-1)</f>
        <v>1.79</v>
      </c>
      <c r="H13">
        <f t="shared" si="2"/>
        <v>1.0000000000000009E-2</v>
      </c>
      <c r="I13" s="2">
        <f>_xlfn.XLOOKUP(A13,T10Y3M!A:A,T10Y3M!B:B,"",-1)</f>
        <v>1.58</v>
      </c>
      <c r="J13" s="2">
        <f>_xlfn.XLOOKUP(A13,BAMLC0A4CBBB!A:A,BAMLC0A4CBBB!B:B,"",-1)</f>
        <v>2.1800000000000002</v>
      </c>
      <c r="K13" s="2">
        <f>_xlfn.XLOOKUP(A13,CPIAUCSL!A:A,CPIAUCSL!B:B,"",-1)</f>
        <v>238.99199999999999</v>
      </c>
      <c r="L13">
        <f>_xlfn.XLOOKUP(A13,DFF!A:A,DFF!B:B,"",-1)</f>
        <v>0.37</v>
      </c>
      <c r="M13">
        <f>_xlfn.XLOOKUP(A13,'DGS2'!A:A,'DGS2'!B:B,"",-1)</f>
        <v>0.77</v>
      </c>
      <c r="N13">
        <f t="shared" si="3"/>
        <v>2.0000000000000018E-2</v>
      </c>
      <c r="O13">
        <f t="shared" si="4"/>
        <v>7.6161462300072813E-4</v>
      </c>
      <c r="P13">
        <f t="shared" si="5"/>
        <v>1</v>
      </c>
      <c r="Q13">
        <f t="shared" si="6"/>
        <v>0</v>
      </c>
      <c r="R13" s="3">
        <v>41.08</v>
      </c>
    </row>
    <row r="14" spans="1:18">
      <c r="A14" s="1">
        <v>42480</v>
      </c>
      <c r="B14">
        <v>2102.4</v>
      </c>
      <c r="C14">
        <f t="shared" si="0"/>
        <v>7.6161462300072813E-4</v>
      </c>
      <c r="D14">
        <f t="shared" si="7"/>
        <v>1.0414614101781572E-2</v>
      </c>
      <c r="E14">
        <f>_xlfn.XLOOKUP(A14,VIX!A:A,VIX!B:B,"",-1)</f>
        <v>13.28</v>
      </c>
      <c r="F14">
        <f t="shared" si="1"/>
        <v>3.9999999999999147E-2</v>
      </c>
      <c r="G14">
        <f>_xlfn.XLOOKUP(A14,'DGS10'!A:A,'DGS10'!B:B,"",-1)</f>
        <v>1.85</v>
      </c>
      <c r="H14">
        <f t="shared" si="2"/>
        <v>6.0000000000000053E-2</v>
      </c>
      <c r="I14" s="2">
        <f>_xlfn.XLOOKUP(A14,T10Y3M!A:A,T10Y3M!B:B,"",-1)</f>
        <v>1.62</v>
      </c>
      <c r="J14" s="2">
        <f>_xlfn.XLOOKUP(A14,BAMLC0A4CBBB!A:A,BAMLC0A4CBBB!B:B,"",-1)</f>
        <v>2.14</v>
      </c>
      <c r="K14" s="2">
        <f>_xlfn.XLOOKUP(A14,CPIAUCSL!A:A,CPIAUCSL!B:B,"",-1)</f>
        <v>238.99199999999999</v>
      </c>
      <c r="L14">
        <f>_xlfn.XLOOKUP(A14,DFF!A:A,DFF!B:B,"",-1)</f>
        <v>0.37</v>
      </c>
      <c r="M14">
        <f>_xlfn.XLOOKUP(A14,'DGS2'!A:A,'DGS2'!B:B,"",-1)</f>
        <v>0.8</v>
      </c>
      <c r="N14">
        <f t="shared" si="3"/>
        <v>3.0000000000000027E-2</v>
      </c>
      <c r="O14">
        <f t="shared" si="4"/>
        <v>-5.1940639269406619E-3</v>
      </c>
      <c r="P14">
        <f t="shared" si="5"/>
        <v>0</v>
      </c>
      <c r="Q14">
        <f t="shared" si="6"/>
        <v>-1</v>
      </c>
      <c r="R14" s="3">
        <v>42.63</v>
      </c>
    </row>
    <row r="15" spans="1:18">
      <c r="A15" s="1">
        <v>42481</v>
      </c>
      <c r="B15">
        <v>2091.48</v>
      </c>
      <c r="C15">
        <f t="shared" si="0"/>
        <v>-5.1940639269406619E-3</v>
      </c>
      <c r="D15">
        <f t="shared" si="7"/>
        <v>-1.3655853395342366E-3</v>
      </c>
      <c r="E15">
        <f>_xlfn.XLOOKUP(A15,VIX!A:A,VIX!B:B,"",-1)</f>
        <v>13.95</v>
      </c>
      <c r="F15">
        <f t="shared" si="1"/>
        <v>0.66999999999999993</v>
      </c>
      <c r="G15">
        <f>_xlfn.XLOOKUP(A15,'DGS10'!A:A,'DGS10'!B:B,"",-1)</f>
        <v>1.88</v>
      </c>
      <c r="H15">
        <f t="shared" si="2"/>
        <v>2.9999999999999805E-2</v>
      </c>
      <c r="I15" s="2">
        <f>_xlfn.XLOOKUP(A15,T10Y3M!A:A,T10Y3M!B:B,"",-1)</f>
        <v>1.65</v>
      </c>
      <c r="J15" s="2">
        <f>_xlfn.XLOOKUP(A15,BAMLC0A4CBBB!A:A,BAMLC0A4CBBB!B:B,"",-1)</f>
        <v>2.11</v>
      </c>
      <c r="K15" s="2">
        <f>_xlfn.XLOOKUP(A15,CPIAUCSL!A:A,CPIAUCSL!B:B,"",-1)</f>
        <v>238.99199999999999</v>
      </c>
      <c r="L15">
        <f>_xlfn.XLOOKUP(A15,DFF!A:A,DFF!B:B,"",-1)</f>
        <v>0.37</v>
      </c>
      <c r="M15">
        <f>_xlfn.XLOOKUP(A15,'DGS2'!A:A,'DGS2'!B:B,"",-1)</f>
        <v>0.82</v>
      </c>
      <c r="N15">
        <f t="shared" si="3"/>
        <v>1.9999999999999907E-2</v>
      </c>
      <c r="O15">
        <f t="shared" si="4"/>
        <v>4.7813031919918814E-5</v>
      </c>
      <c r="P15">
        <f t="shared" si="5"/>
        <v>1</v>
      </c>
      <c r="Q15">
        <f t="shared" si="6"/>
        <v>0</v>
      </c>
      <c r="R15" s="3">
        <v>43.18</v>
      </c>
    </row>
    <row r="16" spans="1:18">
      <c r="A16" s="1">
        <v>42482</v>
      </c>
      <c r="B16">
        <v>2091.58</v>
      </c>
      <c r="C16">
        <f t="shared" si="0"/>
        <v>4.7813031919918814E-5</v>
      </c>
      <c r="D16">
        <f t="shared" si="7"/>
        <v>-4.3888042650419568E-3</v>
      </c>
      <c r="E16">
        <f>_xlfn.XLOOKUP(A16,VIX!A:A,VIX!B:B,"",-1)</f>
        <v>13.22</v>
      </c>
      <c r="F16">
        <f t="shared" si="1"/>
        <v>-0.72999999999999865</v>
      </c>
      <c r="G16">
        <f>_xlfn.XLOOKUP(A16,'DGS10'!A:A,'DGS10'!B:B,"",-1)</f>
        <v>1.89</v>
      </c>
      <c r="H16">
        <f t="shared" si="2"/>
        <v>1.0000000000000009E-2</v>
      </c>
      <c r="I16" s="2">
        <f>_xlfn.XLOOKUP(A16,T10Y3M!A:A,T10Y3M!B:B,"",-1)</f>
        <v>1.66</v>
      </c>
      <c r="J16" s="2">
        <f>_xlfn.XLOOKUP(A16,BAMLC0A4CBBB!A:A,BAMLC0A4CBBB!B:B,"",-1)</f>
        <v>2.09</v>
      </c>
      <c r="K16" s="2">
        <f>_xlfn.XLOOKUP(A16,CPIAUCSL!A:A,CPIAUCSL!B:B,"",-1)</f>
        <v>238.99199999999999</v>
      </c>
      <c r="L16">
        <f>_xlfn.XLOOKUP(A16,DFF!A:A,DFF!B:B,"",-1)</f>
        <v>0.37</v>
      </c>
      <c r="M16">
        <f>_xlfn.XLOOKUP(A16,'DGS2'!A:A,'DGS2'!B:B,"",-1)</f>
        <v>0.84</v>
      </c>
      <c r="N16">
        <f t="shared" si="3"/>
        <v>2.0000000000000018E-2</v>
      </c>
      <c r="O16">
        <f t="shared" si="4"/>
        <v>-1.8120272712495167E-3</v>
      </c>
      <c r="P16">
        <f t="shared" si="5"/>
        <v>0</v>
      </c>
      <c r="Q16">
        <f t="shared" si="6"/>
        <v>0</v>
      </c>
      <c r="R16" s="3">
        <v>43.73</v>
      </c>
    </row>
    <row r="17" spans="1:18">
      <c r="A17" s="1">
        <v>42485</v>
      </c>
      <c r="B17">
        <v>2087.79</v>
      </c>
      <c r="C17">
        <f t="shared" si="0"/>
        <v>-1.8120272712495167E-3</v>
      </c>
      <c r="D17">
        <f t="shared" si="7"/>
        <v>-6.9492009132420263E-3</v>
      </c>
      <c r="E17">
        <f>_xlfn.XLOOKUP(A17,VIX!A:A,VIX!B:B,"",-1)</f>
        <v>14.08</v>
      </c>
      <c r="F17">
        <f t="shared" si="1"/>
        <v>0.85999999999999943</v>
      </c>
      <c r="G17">
        <f>_xlfn.XLOOKUP(A17,'DGS10'!A:A,'DGS10'!B:B,"",-1)</f>
        <v>1.91</v>
      </c>
      <c r="H17">
        <f t="shared" si="2"/>
        <v>2.0000000000000018E-2</v>
      </c>
      <c r="I17" s="2">
        <f>_xlfn.XLOOKUP(A17,T10Y3M!A:A,T10Y3M!B:B,"",-1)</f>
        <v>1.66</v>
      </c>
      <c r="J17" s="2">
        <f>_xlfn.XLOOKUP(A17,BAMLC0A4CBBB!A:A,BAMLC0A4CBBB!B:B,"",-1)</f>
        <v>2.09</v>
      </c>
      <c r="K17" s="2">
        <f>_xlfn.XLOOKUP(A17,CPIAUCSL!A:A,CPIAUCSL!B:B,"",-1)</f>
        <v>238.99199999999999</v>
      </c>
      <c r="L17">
        <f>_xlfn.XLOOKUP(A17,DFF!A:A,DFF!B:B,"",-1)</f>
        <v>0.37</v>
      </c>
      <c r="M17">
        <f>_xlfn.XLOOKUP(A17,'DGS2'!A:A,'DGS2'!B:B,"",-1)</f>
        <v>0.85</v>
      </c>
      <c r="N17">
        <f t="shared" si="3"/>
        <v>1.0000000000000009E-2</v>
      </c>
      <c r="O17">
        <f t="shared" si="4"/>
        <v>1.8727937196747479E-3</v>
      </c>
      <c r="P17">
        <f t="shared" si="5"/>
        <v>1</v>
      </c>
      <c r="Q17">
        <f t="shared" si="6"/>
        <v>0</v>
      </c>
      <c r="R17" s="3">
        <v>43.15</v>
      </c>
    </row>
    <row r="18" spans="1:18">
      <c r="A18" s="1">
        <v>42486</v>
      </c>
      <c r="B18">
        <v>2091.6999999999998</v>
      </c>
      <c r="C18">
        <f t="shared" si="0"/>
        <v>1.8727937196747479E-3</v>
      </c>
      <c r="D18">
        <f t="shared" si="7"/>
        <v>1.0518867022391021E-4</v>
      </c>
      <c r="E18">
        <f>_xlfn.XLOOKUP(A18,VIX!A:A,VIX!B:B,"",-1)</f>
        <v>13.96</v>
      </c>
      <c r="F18">
        <f t="shared" si="1"/>
        <v>-0.11999999999999922</v>
      </c>
      <c r="G18">
        <f>_xlfn.XLOOKUP(A18,'DGS10'!A:A,'DGS10'!B:B,"",-1)</f>
        <v>1.94</v>
      </c>
      <c r="H18">
        <f t="shared" si="2"/>
        <v>3.0000000000000027E-2</v>
      </c>
      <c r="I18" s="2">
        <f>_xlfn.XLOOKUP(A18,T10Y3M!A:A,T10Y3M!B:B,"",-1)</f>
        <v>1.7</v>
      </c>
      <c r="J18" s="2">
        <f>_xlfn.XLOOKUP(A18,BAMLC0A4CBBB!A:A,BAMLC0A4CBBB!B:B,"",-1)</f>
        <v>2.0699999999999998</v>
      </c>
      <c r="K18" s="2">
        <f>_xlfn.XLOOKUP(A18,CPIAUCSL!A:A,CPIAUCSL!B:B,"",-1)</f>
        <v>238.99199999999999</v>
      </c>
      <c r="L18">
        <f>_xlfn.XLOOKUP(A18,DFF!A:A,DFF!B:B,"",-1)</f>
        <v>0.37</v>
      </c>
      <c r="M18">
        <f>_xlfn.XLOOKUP(A18,'DGS2'!A:A,'DGS2'!B:B,"",-1)</f>
        <v>0.86</v>
      </c>
      <c r="N18">
        <f t="shared" si="3"/>
        <v>1.0000000000000009E-2</v>
      </c>
      <c r="O18">
        <f t="shared" si="4"/>
        <v>1.6493761055602629E-3</v>
      </c>
      <c r="P18">
        <f t="shared" si="5"/>
        <v>1</v>
      </c>
      <c r="Q18">
        <f t="shared" si="6"/>
        <v>0</v>
      </c>
      <c r="R18" s="3">
        <v>42.64</v>
      </c>
    </row>
    <row r="19" spans="1:18">
      <c r="A19" s="1">
        <v>42487</v>
      </c>
      <c r="B19">
        <v>2095.15</v>
      </c>
      <c r="C19">
        <f t="shared" si="0"/>
        <v>1.6493761055602629E-3</v>
      </c>
      <c r="D19">
        <f t="shared" si="7"/>
        <v>1.7068436301743706E-3</v>
      </c>
      <c r="E19">
        <f>_xlfn.XLOOKUP(A19,VIX!A:A,VIX!B:B,"",-1)</f>
        <v>13.77</v>
      </c>
      <c r="F19">
        <f t="shared" si="1"/>
        <v>-0.19000000000000128</v>
      </c>
      <c r="G19">
        <f>_xlfn.XLOOKUP(A19,'DGS10'!A:A,'DGS10'!B:B,"",-1)</f>
        <v>1.87</v>
      </c>
      <c r="H19">
        <f t="shared" si="2"/>
        <v>-6.999999999999984E-2</v>
      </c>
      <c r="I19" s="2">
        <f>_xlfn.XLOOKUP(A19,T10Y3M!A:A,T10Y3M!B:B,"",-1)</f>
        <v>1.63</v>
      </c>
      <c r="J19" s="2">
        <f>_xlfn.XLOOKUP(A19,BAMLC0A4CBBB!A:A,BAMLC0A4CBBB!B:B,"",-1)</f>
        <v>2.0699999999999998</v>
      </c>
      <c r="K19" s="2">
        <f>_xlfn.XLOOKUP(A19,CPIAUCSL!A:A,CPIAUCSL!B:B,"",-1)</f>
        <v>238.99199999999999</v>
      </c>
      <c r="L19">
        <f>_xlfn.XLOOKUP(A19,DFF!A:A,DFF!B:B,"",-1)</f>
        <v>0.37</v>
      </c>
      <c r="M19">
        <f>_xlfn.XLOOKUP(A19,'DGS2'!A:A,'DGS2'!B:B,"",-1)</f>
        <v>0.83</v>
      </c>
      <c r="N19">
        <f t="shared" si="3"/>
        <v>-3.0000000000000027E-2</v>
      </c>
      <c r="O19">
        <f t="shared" si="4"/>
        <v>-9.2308426604300609E-3</v>
      </c>
      <c r="P19">
        <f t="shared" si="5"/>
        <v>0</v>
      </c>
      <c r="Q19">
        <f t="shared" si="6"/>
        <v>-1</v>
      </c>
      <c r="R19" s="3">
        <v>44.04</v>
      </c>
    </row>
    <row r="20" spans="1:18">
      <c r="A20" s="1">
        <v>42488</v>
      </c>
      <c r="B20">
        <v>2075.81</v>
      </c>
      <c r="C20">
        <f t="shared" si="0"/>
        <v>-9.2308426604300609E-3</v>
      </c>
      <c r="D20">
        <f t="shared" si="7"/>
        <v>-5.7381250029936437E-3</v>
      </c>
      <c r="E20">
        <f>_xlfn.XLOOKUP(A20,VIX!A:A,VIX!B:B,"",-1)</f>
        <v>15.22</v>
      </c>
      <c r="F20">
        <f t="shared" si="1"/>
        <v>1.4500000000000011</v>
      </c>
      <c r="G20">
        <f>_xlfn.XLOOKUP(A20,'DGS10'!A:A,'DGS10'!B:B,"",-1)</f>
        <v>1.84</v>
      </c>
      <c r="H20">
        <f t="shared" si="2"/>
        <v>-3.0000000000000027E-2</v>
      </c>
      <c r="I20" s="2">
        <f>_xlfn.XLOOKUP(A20,T10Y3M!A:A,T10Y3M!B:B,"",-1)</f>
        <v>1.62</v>
      </c>
      <c r="J20" s="2">
        <f>_xlfn.XLOOKUP(A20,BAMLC0A4CBBB!A:A,BAMLC0A4CBBB!B:B,"",-1)</f>
        <v>2.06</v>
      </c>
      <c r="K20" s="2">
        <f>_xlfn.XLOOKUP(A20,CPIAUCSL!A:A,CPIAUCSL!B:B,"",-1)</f>
        <v>238.99199999999999</v>
      </c>
      <c r="L20">
        <f>_xlfn.XLOOKUP(A20,DFF!A:A,DFF!B:B,"",-1)</f>
        <v>0.37</v>
      </c>
      <c r="M20">
        <f>_xlfn.XLOOKUP(A20,'DGS2'!A:A,'DGS2'!B:B,"",-1)</f>
        <v>0.78</v>
      </c>
      <c r="N20">
        <f t="shared" si="3"/>
        <v>-4.9999999999999933E-2</v>
      </c>
      <c r="O20">
        <f t="shared" si="4"/>
        <v>-5.0630838082482699E-3</v>
      </c>
      <c r="P20">
        <f t="shared" si="5"/>
        <v>0</v>
      </c>
      <c r="Q20">
        <f t="shared" si="6"/>
        <v>-1</v>
      </c>
      <c r="R20" s="3">
        <v>45.33</v>
      </c>
    </row>
    <row r="21" spans="1:18">
      <c r="A21" s="1">
        <v>42489</v>
      </c>
      <c r="B21">
        <v>2065.3000000000002</v>
      </c>
      <c r="C21">
        <f t="shared" si="0"/>
        <v>-5.0630838082482699E-3</v>
      </c>
      <c r="D21">
        <f t="shared" si="7"/>
        <v>-1.2621312807763796E-2</v>
      </c>
      <c r="E21">
        <f>_xlfn.XLOOKUP(A21,VIX!A:A,VIX!B:B,"",-1)</f>
        <v>15.7</v>
      </c>
      <c r="F21">
        <f t="shared" si="1"/>
        <v>0.47999999999999865</v>
      </c>
      <c r="G21">
        <f>_xlfn.XLOOKUP(A21,'DGS10'!A:A,'DGS10'!B:B,"",-1)</f>
        <v>1.83</v>
      </c>
      <c r="H21">
        <f t="shared" si="2"/>
        <v>-1.0000000000000009E-2</v>
      </c>
      <c r="I21" s="2">
        <f>_xlfn.XLOOKUP(A21,T10Y3M!A:A,T10Y3M!B:B,"",-1)</f>
        <v>1.61</v>
      </c>
      <c r="J21" s="2">
        <f>_xlfn.XLOOKUP(A21,BAMLC0A4CBBB!A:A,BAMLC0A4CBBB!B:B,"",-1)</f>
        <v>2.06</v>
      </c>
      <c r="K21" s="2">
        <f>_xlfn.XLOOKUP(A21,CPIAUCSL!A:A,CPIAUCSL!B:B,"",-1)</f>
        <v>238.99199999999999</v>
      </c>
      <c r="L21">
        <f>_xlfn.XLOOKUP(A21,DFF!A:A,DFF!B:B,"",-1)</f>
        <v>0.3</v>
      </c>
      <c r="M21">
        <f>_xlfn.XLOOKUP(A21,'DGS2'!A:A,'DGS2'!B:B,"",-1)</f>
        <v>0.77</v>
      </c>
      <c r="N21">
        <f t="shared" si="3"/>
        <v>-1.0000000000000009E-2</v>
      </c>
      <c r="O21">
        <f t="shared" si="4"/>
        <v>7.8100033893380161E-3</v>
      </c>
      <c r="P21">
        <f t="shared" si="5"/>
        <v>1</v>
      </c>
      <c r="Q21">
        <f t="shared" si="6"/>
        <v>1</v>
      </c>
      <c r="R21" s="3">
        <v>46.03</v>
      </c>
    </row>
    <row r="22" spans="1:18">
      <c r="A22" s="1">
        <v>42492</v>
      </c>
      <c r="B22">
        <v>2081.4299999999998</v>
      </c>
      <c r="C22">
        <f t="shared" si="0"/>
        <v>7.8100033893380161E-3</v>
      </c>
      <c r="D22">
        <f t="shared" si="7"/>
        <v>-6.5484571510394662E-3</v>
      </c>
      <c r="E22">
        <f>_xlfn.XLOOKUP(A22,VIX!A:A,VIX!B:B,"",-1)</f>
        <v>14.68</v>
      </c>
      <c r="F22">
        <f t="shared" si="1"/>
        <v>-1.0199999999999996</v>
      </c>
      <c r="G22">
        <f>_xlfn.XLOOKUP(A22,'DGS10'!A:A,'DGS10'!B:B,"",-1)</f>
        <v>1.88</v>
      </c>
      <c r="H22">
        <f t="shared" si="2"/>
        <v>4.9999999999999822E-2</v>
      </c>
      <c r="I22" s="2">
        <f>_xlfn.XLOOKUP(A22,T10Y3M!A:A,T10Y3M!B:B,"",-1)</f>
        <v>1.66</v>
      </c>
      <c r="J22" s="2">
        <f>_xlfn.XLOOKUP(A22,BAMLC0A4CBBB!A:A,BAMLC0A4CBBB!B:B,"",-1)</f>
        <v>2.06</v>
      </c>
      <c r="K22" s="2">
        <f>_xlfn.XLOOKUP(A22,CPIAUCSL!A:A,CPIAUCSL!B:B,"",-1)</f>
        <v>239.55699999999999</v>
      </c>
      <c r="L22">
        <f>_xlfn.XLOOKUP(A22,DFF!A:A,DFF!B:B,"",-1)</f>
        <v>0.37</v>
      </c>
      <c r="M22">
        <f>_xlfn.XLOOKUP(A22,'DGS2'!A:A,'DGS2'!B:B,"",-1)</f>
        <v>0.8</v>
      </c>
      <c r="N22">
        <f t="shared" si="3"/>
        <v>3.0000000000000027E-2</v>
      </c>
      <c r="O22">
        <f t="shared" si="4"/>
        <v>-8.6767270578400613E-3</v>
      </c>
      <c r="P22">
        <f t="shared" si="5"/>
        <v>0</v>
      </c>
      <c r="Q22">
        <f t="shared" si="6"/>
        <v>-1</v>
      </c>
      <c r="R22" s="3">
        <v>45.92</v>
      </c>
    </row>
    <row r="23" spans="1:18">
      <c r="A23" s="1">
        <v>42493</v>
      </c>
      <c r="B23">
        <v>2063.37</v>
      </c>
      <c r="C23">
        <f t="shared" si="0"/>
        <v>-8.6767270578400613E-3</v>
      </c>
      <c r="D23">
        <f t="shared" si="7"/>
        <v>-5.9928413486783905E-3</v>
      </c>
      <c r="E23">
        <f>_xlfn.XLOOKUP(A23,VIX!A:A,VIX!B:B,"",-1)</f>
        <v>15.6</v>
      </c>
      <c r="F23">
        <f t="shared" si="1"/>
        <v>0.91999999999999993</v>
      </c>
      <c r="G23">
        <f>_xlfn.XLOOKUP(A23,'DGS10'!A:A,'DGS10'!B:B,"",-1)</f>
        <v>1.81</v>
      </c>
      <c r="H23">
        <f t="shared" si="2"/>
        <v>-6.999999999999984E-2</v>
      </c>
      <c r="I23" s="2">
        <f>_xlfn.XLOOKUP(A23,T10Y3M!A:A,T10Y3M!B:B,"",-1)</f>
        <v>1.6</v>
      </c>
      <c r="J23" s="2">
        <f>_xlfn.XLOOKUP(A23,BAMLC0A4CBBB!A:A,BAMLC0A4CBBB!B:B,"",-1)</f>
        <v>2.0699999999999998</v>
      </c>
      <c r="K23" s="2">
        <f>_xlfn.XLOOKUP(A23,CPIAUCSL!A:A,CPIAUCSL!B:B,"",-1)</f>
        <v>239.55699999999999</v>
      </c>
      <c r="L23">
        <f>_xlfn.XLOOKUP(A23,DFF!A:A,DFF!B:B,"",-1)</f>
        <v>0.37</v>
      </c>
      <c r="M23">
        <f>_xlfn.XLOOKUP(A23,'DGS2'!A:A,'DGS2'!B:B,"",-1)</f>
        <v>0.75</v>
      </c>
      <c r="N23">
        <f t="shared" si="3"/>
        <v>-5.0000000000000044E-2</v>
      </c>
      <c r="O23">
        <f t="shared" si="4"/>
        <v>-5.9368896513954938E-3</v>
      </c>
      <c r="P23">
        <f t="shared" si="5"/>
        <v>0</v>
      </c>
      <c r="Q23">
        <f t="shared" si="6"/>
        <v>-1</v>
      </c>
      <c r="R23" s="3">
        <v>45.48</v>
      </c>
    </row>
    <row r="24" spans="1:18">
      <c r="A24" s="1">
        <v>42494</v>
      </c>
      <c r="B24">
        <v>2051.12</v>
      </c>
      <c r="C24">
        <f t="shared" si="0"/>
        <v>-5.9368896513954938E-3</v>
      </c>
      <c r="D24">
        <f t="shared" si="7"/>
        <v>-6.8658306299328453E-3</v>
      </c>
      <c r="E24">
        <f>_xlfn.XLOOKUP(A24,VIX!A:A,VIX!B:B,"",-1)</f>
        <v>16.05</v>
      </c>
      <c r="F24">
        <f t="shared" si="1"/>
        <v>0.45000000000000107</v>
      </c>
      <c r="G24">
        <f>_xlfn.XLOOKUP(A24,'DGS10'!A:A,'DGS10'!B:B,"",-1)</f>
        <v>1.79</v>
      </c>
      <c r="H24">
        <f t="shared" si="2"/>
        <v>-2.0000000000000018E-2</v>
      </c>
      <c r="I24" s="2">
        <f>_xlfn.XLOOKUP(A24,T10Y3M!A:A,T10Y3M!B:B,"",-1)</f>
        <v>1.6</v>
      </c>
      <c r="J24" s="2">
        <f>_xlfn.XLOOKUP(A24,BAMLC0A4CBBB!A:A,BAMLC0A4CBBB!B:B,"",-1)</f>
        <v>2.09</v>
      </c>
      <c r="K24" s="2">
        <f>_xlfn.XLOOKUP(A24,CPIAUCSL!A:A,CPIAUCSL!B:B,"",-1)</f>
        <v>239.55699999999999</v>
      </c>
      <c r="L24">
        <f>_xlfn.XLOOKUP(A24,DFF!A:A,DFF!B:B,"",-1)</f>
        <v>0.37</v>
      </c>
      <c r="M24">
        <f>_xlfn.XLOOKUP(A24,'DGS2'!A:A,'DGS2'!B:B,"",-1)</f>
        <v>0.75</v>
      </c>
      <c r="N24">
        <f t="shared" si="3"/>
        <v>0</v>
      </c>
      <c r="O24">
        <f t="shared" si="4"/>
        <v>-2.3889387261577522E-4</v>
      </c>
      <c r="P24">
        <f t="shared" si="5"/>
        <v>0</v>
      </c>
      <c r="Q24">
        <f t="shared" si="6"/>
        <v>0</v>
      </c>
      <c r="R24" s="3">
        <v>44.78</v>
      </c>
    </row>
    <row r="25" spans="1:18">
      <c r="A25" s="1">
        <v>42495</v>
      </c>
      <c r="B25">
        <v>2050.63</v>
      </c>
      <c r="C25">
        <f t="shared" si="0"/>
        <v>-2.3889387261577522E-4</v>
      </c>
      <c r="D25">
        <f t="shared" si="7"/>
        <v>-1.4797519013370453E-2</v>
      </c>
      <c r="E25">
        <f>_xlfn.XLOOKUP(A25,VIX!A:A,VIX!B:B,"",-1)</f>
        <v>15.91</v>
      </c>
      <c r="F25">
        <f t="shared" si="1"/>
        <v>-0.14000000000000057</v>
      </c>
      <c r="G25">
        <f>_xlfn.XLOOKUP(A25,'DGS10'!A:A,'DGS10'!B:B,"",-1)</f>
        <v>1.76</v>
      </c>
      <c r="H25">
        <f t="shared" si="2"/>
        <v>-3.0000000000000027E-2</v>
      </c>
      <c r="I25" s="2">
        <f>_xlfn.XLOOKUP(A25,T10Y3M!A:A,T10Y3M!B:B,"",-1)</f>
        <v>1.56</v>
      </c>
      <c r="J25" s="2">
        <f>_xlfn.XLOOKUP(A25,BAMLC0A4CBBB!A:A,BAMLC0A4CBBB!B:B,"",-1)</f>
        <v>2.1</v>
      </c>
      <c r="K25" s="2">
        <f>_xlfn.XLOOKUP(A25,CPIAUCSL!A:A,CPIAUCSL!B:B,"",-1)</f>
        <v>239.55699999999999</v>
      </c>
      <c r="L25">
        <f>_xlfn.XLOOKUP(A25,DFF!A:A,DFF!B:B,"",-1)</f>
        <v>0.37</v>
      </c>
      <c r="M25">
        <f>_xlfn.XLOOKUP(A25,'DGS2'!A:A,'DGS2'!B:B,"",-1)</f>
        <v>0.72</v>
      </c>
      <c r="N25">
        <f t="shared" si="3"/>
        <v>-3.0000000000000027E-2</v>
      </c>
      <c r="O25">
        <f t="shared" si="4"/>
        <v>3.174634136826171E-3</v>
      </c>
      <c r="P25">
        <f t="shared" si="5"/>
        <v>1</v>
      </c>
      <c r="Q25">
        <f t="shared" si="6"/>
        <v>1</v>
      </c>
      <c r="R25" s="3">
        <v>43.65</v>
      </c>
    </row>
    <row r="26" spans="1:18">
      <c r="A26" s="1">
        <v>42496</v>
      </c>
      <c r="B26">
        <v>2057.14</v>
      </c>
      <c r="C26">
        <f t="shared" si="0"/>
        <v>3.174634136826171E-3</v>
      </c>
      <c r="D26">
        <f t="shared" si="7"/>
        <v>-3.0193324512811648E-3</v>
      </c>
      <c r="E26">
        <f>_xlfn.XLOOKUP(A26,VIX!A:A,VIX!B:B,"",-1)</f>
        <v>14.72</v>
      </c>
      <c r="F26">
        <f t="shared" si="1"/>
        <v>-1.1899999999999995</v>
      </c>
      <c r="G26">
        <f>_xlfn.XLOOKUP(A26,'DGS10'!A:A,'DGS10'!B:B,"",-1)</f>
        <v>1.79</v>
      </c>
      <c r="H26">
        <f t="shared" si="2"/>
        <v>3.0000000000000027E-2</v>
      </c>
      <c r="I26" s="2">
        <f>_xlfn.XLOOKUP(A26,T10Y3M!A:A,T10Y3M!B:B,"",-1)</f>
        <v>1.6</v>
      </c>
      <c r="J26" s="2">
        <f>_xlfn.XLOOKUP(A26,BAMLC0A4CBBB!A:A,BAMLC0A4CBBB!B:B,"",-1)</f>
        <v>2.11</v>
      </c>
      <c r="K26" s="2">
        <f>_xlfn.XLOOKUP(A26,CPIAUCSL!A:A,CPIAUCSL!B:B,"",-1)</f>
        <v>239.55699999999999</v>
      </c>
      <c r="L26">
        <f>_xlfn.XLOOKUP(A26,DFF!A:A,DFF!B:B,"",-1)</f>
        <v>0.37</v>
      </c>
      <c r="M26">
        <f>_xlfn.XLOOKUP(A26,'DGS2'!A:A,'DGS2'!B:B,"",-1)</f>
        <v>0.74</v>
      </c>
      <c r="N26">
        <f t="shared" si="3"/>
        <v>2.0000000000000018E-2</v>
      </c>
      <c r="O26">
        <f t="shared" si="4"/>
        <v>7.5347326871288978E-4</v>
      </c>
      <c r="P26">
        <f t="shared" si="5"/>
        <v>1</v>
      </c>
      <c r="Q26">
        <f t="shared" si="6"/>
        <v>0</v>
      </c>
      <c r="R26" s="3">
        <v>43.78</v>
      </c>
    </row>
    <row r="27" spans="1:18">
      <c r="A27" s="1">
        <v>42499</v>
      </c>
      <c r="B27">
        <v>2058.69</v>
      </c>
      <c r="C27">
        <f t="shared" si="0"/>
        <v>7.5347326871288978E-4</v>
      </c>
      <c r="D27">
        <f t="shared" si="7"/>
        <v>3.6906665626585955E-3</v>
      </c>
      <c r="E27">
        <f>_xlfn.XLOOKUP(A27,VIX!A:A,VIX!B:B,"",-1)</f>
        <v>14.57</v>
      </c>
      <c r="F27">
        <f t="shared" si="1"/>
        <v>-0.15000000000000036</v>
      </c>
      <c r="G27">
        <f>_xlfn.XLOOKUP(A27,'DGS10'!A:A,'DGS10'!B:B,"",-1)</f>
        <v>1.77</v>
      </c>
      <c r="H27">
        <f t="shared" si="2"/>
        <v>-2.0000000000000018E-2</v>
      </c>
      <c r="I27" s="2">
        <f>_xlfn.XLOOKUP(A27,T10Y3M!A:A,T10Y3M!B:B,"",-1)</f>
        <v>1.53</v>
      </c>
      <c r="J27" s="2">
        <f>_xlfn.XLOOKUP(A27,BAMLC0A4CBBB!A:A,BAMLC0A4CBBB!B:B,"",-1)</f>
        <v>2.12</v>
      </c>
      <c r="K27" s="2">
        <f>_xlfn.XLOOKUP(A27,CPIAUCSL!A:A,CPIAUCSL!B:B,"",-1)</f>
        <v>239.55699999999999</v>
      </c>
      <c r="L27">
        <f>_xlfn.XLOOKUP(A27,DFF!A:A,DFF!B:B,"",-1)</f>
        <v>0.37</v>
      </c>
      <c r="M27">
        <f>_xlfn.XLOOKUP(A27,'DGS2'!A:A,'DGS2'!B:B,"",-1)</f>
        <v>0.72</v>
      </c>
      <c r="N27">
        <f t="shared" si="3"/>
        <v>-2.0000000000000018E-2</v>
      </c>
      <c r="O27">
        <f t="shared" si="4"/>
        <v>1.2483666797817872E-2</v>
      </c>
      <c r="P27">
        <f t="shared" si="5"/>
        <v>1</v>
      </c>
      <c r="Q27">
        <f t="shared" si="6"/>
        <v>1</v>
      </c>
      <c r="R27" s="3">
        <v>44.32</v>
      </c>
    </row>
    <row r="28" spans="1:18">
      <c r="A28" s="1">
        <v>42500</v>
      </c>
      <c r="B28">
        <v>2084.39</v>
      </c>
      <c r="C28">
        <f t="shared" si="0"/>
        <v>1.2483666797817872E-2</v>
      </c>
      <c r="D28">
        <f t="shared" si="7"/>
        <v>1.6463233250269216E-2</v>
      </c>
      <c r="E28">
        <f>_xlfn.XLOOKUP(A28,VIX!A:A,VIX!B:B,"",-1)</f>
        <v>13.63</v>
      </c>
      <c r="F28">
        <f t="shared" si="1"/>
        <v>-0.9399999999999995</v>
      </c>
      <c r="G28">
        <f>_xlfn.XLOOKUP(A28,'DGS10'!A:A,'DGS10'!B:B,"",-1)</f>
        <v>1.77</v>
      </c>
      <c r="H28">
        <f t="shared" si="2"/>
        <v>0</v>
      </c>
      <c r="I28" s="2">
        <f>_xlfn.XLOOKUP(A28,T10Y3M!A:A,T10Y3M!B:B,"",-1)</f>
        <v>1.53</v>
      </c>
      <c r="J28" s="2">
        <f>_xlfn.XLOOKUP(A28,BAMLC0A4CBBB!A:A,BAMLC0A4CBBB!B:B,"",-1)</f>
        <v>2.12</v>
      </c>
      <c r="K28" s="2">
        <f>_xlfn.XLOOKUP(A28,CPIAUCSL!A:A,CPIAUCSL!B:B,"",-1)</f>
        <v>239.55699999999999</v>
      </c>
      <c r="L28">
        <f>_xlfn.XLOOKUP(A28,DFF!A:A,DFF!B:B,"",-1)</f>
        <v>0.37</v>
      </c>
      <c r="M28">
        <f>_xlfn.XLOOKUP(A28,'DGS2'!A:A,'DGS2'!B:B,"",-1)</f>
        <v>0.72</v>
      </c>
      <c r="N28">
        <f t="shared" si="3"/>
        <v>0</v>
      </c>
      <c r="O28">
        <f t="shared" si="4"/>
        <v>-9.5615503816462999E-3</v>
      </c>
      <c r="P28">
        <f t="shared" si="5"/>
        <v>0</v>
      </c>
      <c r="Q28">
        <f t="shared" si="6"/>
        <v>-1</v>
      </c>
      <c r="R28" s="3">
        <v>44.66</v>
      </c>
    </row>
    <row r="29" spans="1:18">
      <c r="A29" s="1">
        <v>42501</v>
      </c>
      <c r="B29">
        <v>2064.46</v>
      </c>
      <c r="C29">
        <f t="shared" si="0"/>
        <v>-9.5615503816462999E-3</v>
      </c>
      <c r="D29">
        <f t="shared" si="7"/>
        <v>3.5583382754698079E-3</v>
      </c>
      <c r="E29">
        <f>_xlfn.XLOOKUP(A29,VIX!A:A,VIX!B:B,"",-1)</f>
        <v>14.69</v>
      </c>
      <c r="F29">
        <f t="shared" si="1"/>
        <v>1.0599999999999987</v>
      </c>
      <c r="G29">
        <f>_xlfn.XLOOKUP(A29,'DGS10'!A:A,'DGS10'!B:B,"",-1)</f>
        <v>1.73</v>
      </c>
      <c r="H29">
        <f t="shared" si="2"/>
        <v>-4.0000000000000036E-2</v>
      </c>
      <c r="I29" s="2">
        <f>_xlfn.XLOOKUP(A29,T10Y3M!A:A,T10Y3M!B:B,"",-1)</f>
        <v>1.47</v>
      </c>
      <c r="J29" s="2">
        <f>_xlfn.XLOOKUP(A29,BAMLC0A4CBBB!A:A,BAMLC0A4CBBB!B:B,"",-1)</f>
        <v>2.12</v>
      </c>
      <c r="K29" s="2">
        <f>_xlfn.XLOOKUP(A29,CPIAUCSL!A:A,CPIAUCSL!B:B,"",-1)</f>
        <v>239.55699999999999</v>
      </c>
      <c r="L29">
        <f>_xlfn.XLOOKUP(A29,DFF!A:A,DFF!B:B,"",-1)</f>
        <v>0.37</v>
      </c>
      <c r="M29">
        <f>_xlfn.XLOOKUP(A29,'DGS2'!A:A,'DGS2'!B:B,"",-1)</f>
        <v>0.74</v>
      </c>
      <c r="N29">
        <f t="shared" si="3"/>
        <v>2.0000000000000018E-2</v>
      </c>
      <c r="O29">
        <f t="shared" si="4"/>
        <v>-1.6953585925616466E-4</v>
      </c>
      <c r="P29">
        <f t="shared" si="5"/>
        <v>0</v>
      </c>
      <c r="Q29">
        <f t="shared" si="6"/>
        <v>0</v>
      </c>
      <c r="R29" s="3">
        <v>45.44</v>
      </c>
    </row>
    <row r="30" spans="1:18">
      <c r="A30" s="1">
        <v>42502</v>
      </c>
      <c r="B30">
        <v>2064.11</v>
      </c>
      <c r="C30">
        <f t="shared" si="0"/>
        <v>-1.6953585925616466E-4</v>
      </c>
      <c r="D30">
        <f t="shared" si="7"/>
        <v>2.6327421807070817E-3</v>
      </c>
      <c r="E30">
        <f>_xlfn.XLOOKUP(A30,VIX!A:A,VIX!B:B,"",-1)</f>
        <v>14.41</v>
      </c>
      <c r="F30">
        <f t="shared" si="1"/>
        <v>-0.27999999999999936</v>
      </c>
      <c r="G30">
        <f>_xlfn.XLOOKUP(A30,'DGS10'!A:A,'DGS10'!B:B,"",-1)</f>
        <v>1.75</v>
      </c>
      <c r="H30">
        <f t="shared" si="2"/>
        <v>2.0000000000000018E-2</v>
      </c>
      <c r="I30" s="2">
        <f>_xlfn.XLOOKUP(A30,T10Y3M!A:A,T10Y3M!B:B,"",-1)</f>
        <v>1.48</v>
      </c>
      <c r="J30" s="2">
        <f>_xlfn.XLOOKUP(A30,BAMLC0A4CBBB!A:A,BAMLC0A4CBBB!B:B,"",-1)</f>
        <v>2.12</v>
      </c>
      <c r="K30" s="2">
        <f>_xlfn.XLOOKUP(A30,CPIAUCSL!A:A,CPIAUCSL!B:B,"",-1)</f>
        <v>239.55699999999999</v>
      </c>
      <c r="L30">
        <f>_xlfn.XLOOKUP(A30,DFF!A:A,DFF!B:B,"",-1)</f>
        <v>0.37</v>
      </c>
      <c r="M30">
        <f>_xlfn.XLOOKUP(A30,'DGS2'!A:A,'DGS2'!B:B,"",-1)</f>
        <v>0.76</v>
      </c>
      <c r="N30">
        <f t="shared" si="3"/>
        <v>2.0000000000000018E-2</v>
      </c>
      <c r="O30">
        <f t="shared" si="4"/>
        <v>-8.478230326872227E-3</v>
      </c>
      <c r="P30">
        <f t="shared" si="5"/>
        <v>0</v>
      </c>
      <c r="Q30">
        <f t="shared" si="6"/>
        <v>-1</v>
      </c>
      <c r="R30" s="3">
        <v>43.44</v>
      </c>
    </row>
    <row r="31" spans="1:18">
      <c r="A31" s="1">
        <v>42503</v>
      </c>
      <c r="B31">
        <v>2046.61</v>
      </c>
      <c r="C31">
        <f t="shared" si="0"/>
        <v>-8.478230326872227E-3</v>
      </c>
      <c r="D31">
        <f t="shared" si="7"/>
        <v>-1.8125206895062806E-2</v>
      </c>
      <c r="E31">
        <f>_xlfn.XLOOKUP(A31,VIX!A:A,VIX!B:B,"",-1)</f>
        <v>15.04</v>
      </c>
      <c r="F31">
        <f t="shared" si="1"/>
        <v>0.62999999999999901</v>
      </c>
      <c r="G31">
        <f>_xlfn.XLOOKUP(A31,'DGS10'!A:A,'DGS10'!B:B,"",-1)</f>
        <v>1.71</v>
      </c>
      <c r="H31">
        <f t="shared" si="2"/>
        <v>-4.0000000000000036E-2</v>
      </c>
      <c r="I31" s="2">
        <f>_xlfn.XLOOKUP(A31,T10Y3M!A:A,T10Y3M!B:B,"",-1)</f>
        <v>1.42</v>
      </c>
      <c r="J31" s="2">
        <f>_xlfn.XLOOKUP(A31,BAMLC0A4CBBB!A:A,BAMLC0A4CBBB!B:B,"",-1)</f>
        <v>2.12</v>
      </c>
      <c r="K31" s="2">
        <f>_xlfn.XLOOKUP(A31,CPIAUCSL!A:A,CPIAUCSL!B:B,"",-1)</f>
        <v>239.55699999999999</v>
      </c>
      <c r="L31">
        <f>_xlfn.XLOOKUP(A31,DFF!A:A,DFF!B:B,"",-1)</f>
        <v>0.37</v>
      </c>
      <c r="M31">
        <f>_xlfn.XLOOKUP(A31,'DGS2'!A:A,'DGS2'!B:B,"",-1)</f>
        <v>0.76</v>
      </c>
      <c r="N31">
        <f t="shared" si="3"/>
        <v>0</v>
      </c>
      <c r="O31">
        <f t="shared" si="4"/>
        <v>9.7966881819202545E-3</v>
      </c>
      <c r="P31">
        <f t="shared" si="5"/>
        <v>1</v>
      </c>
      <c r="Q31">
        <f t="shared" si="6"/>
        <v>1</v>
      </c>
      <c r="R31" s="3">
        <v>44.66</v>
      </c>
    </row>
    <row r="32" spans="1:18">
      <c r="A32" s="1">
        <v>42506</v>
      </c>
      <c r="B32">
        <v>2066.66</v>
      </c>
      <c r="C32">
        <f t="shared" si="0"/>
        <v>9.7966881819202545E-3</v>
      </c>
      <c r="D32">
        <f t="shared" si="7"/>
        <v>1.0656539724673841E-3</v>
      </c>
      <c r="E32">
        <f>_xlfn.XLOOKUP(A32,VIX!A:A,VIX!B:B,"",-1)</f>
        <v>14.68</v>
      </c>
      <c r="F32">
        <f t="shared" si="1"/>
        <v>-0.35999999999999943</v>
      </c>
      <c r="G32">
        <f>_xlfn.XLOOKUP(A32,'DGS10'!A:A,'DGS10'!B:B,"",-1)</f>
        <v>1.75</v>
      </c>
      <c r="H32">
        <f t="shared" si="2"/>
        <v>4.0000000000000036E-2</v>
      </c>
      <c r="I32" s="2">
        <f>_xlfn.XLOOKUP(A32,T10Y3M!A:A,T10Y3M!B:B,"",-1)</f>
        <v>1.47</v>
      </c>
      <c r="J32" s="2">
        <f>_xlfn.XLOOKUP(A32,BAMLC0A4CBBB!A:A,BAMLC0A4CBBB!B:B,"",-1)</f>
        <v>2.11</v>
      </c>
      <c r="K32" s="2">
        <f>_xlfn.XLOOKUP(A32,CPIAUCSL!A:A,CPIAUCSL!B:B,"",-1)</f>
        <v>239.55699999999999</v>
      </c>
      <c r="L32">
        <f>_xlfn.XLOOKUP(A32,DFF!A:A,DFF!B:B,"",-1)</f>
        <v>0.37</v>
      </c>
      <c r="M32">
        <f>_xlfn.XLOOKUP(A32,'DGS2'!A:A,'DGS2'!B:B,"",-1)</f>
        <v>0.79</v>
      </c>
      <c r="N32">
        <f t="shared" si="3"/>
        <v>3.0000000000000027E-2</v>
      </c>
      <c r="O32">
        <f t="shared" si="4"/>
        <v>-9.4113206816794914E-3</v>
      </c>
      <c r="P32">
        <f t="shared" si="5"/>
        <v>0</v>
      </c>
      <c r="Q32">
        <f t="shared" si="6"/>
        <v>-1</v>
      </c>
      <c r="R32" s="3">
        <v>46.23</v>
      </c>
    </row>
    <row r="33" spans="1:18">
      <c r="A33" s="1">
        <v>42507</v>
      </c>
      <c r="B33">
        <v>2047.21</v>
      </c>
      <c r="C33">
        <f t="shared" si="0"/>
        <v>-9.4113206816794914E-3</v>
      </c>
      <c r="D33">
        <f t="shared" si="7"/>
        <v>-8.1875481442365006E-3</v>
      </c>
      <c r="E33">
        <f>_xlfn.XLOOKUP(A33,VIX!A:A,VIX!B:B,"",-1)</f>
        <v>15.57</v>
      </c>
      <c r="F33">
        <f t="shared" si="1"/>
        <v>0.89000000000000057</v>
      </c>
      <c r="G33">
        <f>_xlfn.XLOOKUP(A33,'DGS10'!A:A,'DGS10'!B:B,"",-1)</f>
        <v>1.76</v>
      </c>
      <c r="H33">
        <f t="shared" si="2"/>
        <v>1.0000000000000009E-2</v>
      </c>
      <c r="I33" s="2">
        <f>_xlfn.XLOOKUP(A33,T10Y3M!A:A,T10Y3M!B:B,"",-1)</f>
        <v>1.48</v>
      </c>
      <c r="J33" s="2">
        <f>_xlfn.XLOOKUP(A33,BAMLC0A4CBBB!A:A,BAMLC0A4CBBB!B:B,"",-1)</f>
        <v>2.11</v>
      </c>
      <c r="K33" s="2">
        <f>_xlfn.XLOOKUP(A33,CPIAUCSL!A:A,CPIAUCSL!B:B,"",-1)</f>
        <v>239.55699999999999</v>
      </c>
      <c r="L33">
        <f>_xlfn.XLOOKUP(A33,DFF!A:A,DFF!B:B,"",-1)</f>
        <v>0.37</v>
      </c>
      <c r="M33">
        <f>_xlfn.XLOOKUP(A33,'DGS2'!A:A,'DGS2'!B:B,"",-1)</f>
        <v>0.82</v>
      </c>
      <c r="N33">
        <f t="shared" si="3"/>
        <v>2.9999999999999916E-2</v>
      </c>
      <c r="O33">
        <f t="shared" si="4"/>
        <v>2.0515726281145064E-4</v>
      </c>
      <c r="P33">
        <f t="shared" si="5"/>
        <v>1</v>
      </c>
      <c r="Q33">
        <f t="shared" si="6"/>
        <v>0</v>
      </c>
      <c r="R33" s="3">
        <v>46.7</v>
      </c>
    </row>
    <row r="34" spans="1:18">
      <c r="A34" s="1">
        <v>42508</v>
      </c>
      <c r="B34">
        <v>2047.63</v>
      </c>
      <c r="C34">
        <f t="shared" si="0"/>
        <v>2.0515726281145064E-4</v>
      </c>
      <c r="D34">
        <f t="shared" si="7"/>
        <v>4.9838513444200316E-4</v>
      </c>
      <c r="E34">
        <f>_xlfn.XLOOKUP(A34,VIX!A:A,VIX!B:B,"",-1)</f>
        <v>15.95</v>
      </c>
      <c r="F34">
        <f t="shared" si="1"/>
        <v>0.37999999999999901</v>
      </c>
      <c r="G34">
        <f>_xlfn.XLOOKUP(A34,'DGS10'!A:A,'DGS10'!B:B,"",-1)</f>
        <v>1.87</v>
      </c>
      <c r="H34">
        <f t="shared" si="2"/>
        <v>0.1100000000000001</v>
      </c>
      <c r="I34" s="2">
        <f>_xlfn.XLOOKUP(A34,T10Y3M!A:A,T10Y3M!B:B,"",-1)</f>
        <v>1.57</v>
      </c>
      <c r="J34" s="2">
        <f>_xlfn.XLOOKUP(A34,BAMLC0A4CBBB!A:A,BAMLC0A4CBBB!B:B,"",-1)</f>
        <v>2.09</v>
      </c>
      <c r="K34" s="2">
        <f>_xlfn.XLOOKUP(A34,CPIAUCSL!A:A,CPIAUCSL!B:B,"",-1)</f>
        <v>239.55699999999999</v>
      </c>
      <c r="L34">
        <f>_xlfn.XLOOKUP(A34,DFF!A:A,DFF!B:B,"",-1)</f>
        <v>0.37</v>
      </c>
      <c r="M34">
        <f>_xlfn.XLOOKUP(A34,'DGS2'!A:A,'DGS2'!B:B,"",-1)</f>
        <v>0.9</v>
      </c>
      <c r="N34">
        <f t="shared" si="3"/>
        <v>8.0000000000000071E-2</v>
      </c>
      <c r="O34">
        <f t="shared" si="4"/>
        <v>-3.7067243593813526E-3</v>
      </c>
      <c r="P34">
        <f t="shared" si="5"/>
        <v>0</v>
      </c>
      <c r="Q34">
        <f t="shared" si="6"/>
        <v>-1</v>
      </c>
      <c r="R34" s="3">
        <v>46.21</v>
      </c>
    </row>
    <row r="35" spans="1:18">
      <c r="A35" s="1">
        <v>42509</v>
      </c>
      <c r="B35">
        <v>2040.04</v>
      </c>
      <c r="C35">
        <f t="shared" si="0"/>
        <v>-3.7067243593813526E-3</v>
      </c>
      <c r="D35">
        <f t="shared" si="7"/>
        <v>-1.2880686711892575E-2</v>
      </c>
      <c r="E35">
        <f>_xlfn.XLOOKUP(A35,VIX!A:A,VIX!B:B,"",-1)</f>
        <v>16.329999999999998</v>
      </c>
      <c r="F35">
        <f t="shared" si="1"/>
        <v>0.37999999999999901</v>
      </c>
      <c r="G35">
        <f>_xlfn.XLOOKUP(A35,'DGS10'!A:A,'DGS10'!B:B,"",-1)</f>
        <v>1.85</v>
      </c>
      <c r="H35">
        <f t="shared" si="2"/>
        <v>-2.0000000000000018E-2</v>
      </c>
      <c r="I35" s="2">
        <f>_xlfn.XLOOKUP(A35,T10Y3M!A:A,T10Y3M!B:B,"",-1)</f>
        <v>1.54</v>
      </c>
      <c r="J35" s="2">
        <f>_xlfn.XLOOKUP(A35,BAMLC0A4CBBB!A:A,BAMLC0A4CBBB!B:B,"",-1)</f>
        <v>2.11</v>
      </c>
      <c r="K35" s="2">
        <f>_xlfn.XLOOKUP(A35,CPIAUCSL!A:A,CPIAUCSL!B:B,"",-1)</f>
        <v>239.55699999999999</v>
      </c>
      <c r="L35">
        <f>_xlfn.XLOOKUP(A35,DFF!A:A,DFF!B:B,"",-1)</f>
        <v>0.37</v>
      </c>
      <c r="M35">
        <f>_xlfn.XLOOKUP(A35,'DGS2'!A:A,'DGS2'!B:B,"",-1)</f>
        <v>0.89</v>
      </c>
      <c r="N35">
        <f t="shared" si="3"/>
        <v>-1.0000000000000009E-2</v>
      </c>
      <c r="O35">
        <f t="shared" si="4"/>
        <v>6.019489813925416E-3</v>
      </c>
      <c r="P35">
        <f t="shared" si="5"/>
        <v>1</v>
      </c>
      <c r="Q35">
        <f t="shared" si="6"/>
        <v>1</v>
      </c>
      <c r="R35" s="3">
        <v>46.8</v>
      </c>
    </row>
    <row r="36" spans="1:18">
      <c r="A36" s="1">
        <v>42510</v>
      </c>
      <c r="B36">
        <v>2052.3200000000002</v>
      </c>
      <c r="C36">
        <f t="shared" si="0"/>
        <v>6.019489813925416E-3</v>
      </c>
      <c r="D36">
        <f t="shared" si="7"/>
        <v>2.4960800308713171E-3</v>
      </c>
      <c r="E36">
        <f>_xlfn.XLOOKUP(A36,VIX!A:A,VIX!B:B,"",-1)</f>
        <v>15.2</v>
      </c>
      <c r="F36">
        <f t="shared" si="1"/>
        <v>-1.129999999999999</v>
      </c>
      <c r="G36">
        <f>_xlfn.XLOOKUP(A36,'DGS10'!A:A,'DGS10'!B:B,"",-1)</f>
        <v>1.85</v>
      </c>
      <c r="H36">
        <f t="shared" si="2"/>
        <v>0</v>
      </c>
      <c r="I36" s="2">
        <f>_xlfn.XLOOKUP(A36,T10Y3M!A:A,T10Y3M!B:B,"",-1)</f>
        <v>1.52</v>
      </c>
      <c r="J36" s="2">
        <f>_xlfn.XLOOKUP(A36,BAMLC0A4CBBB!A:A,BAMLC0A4CBBB!B:B,"",-1)</f>
        <v>2.11</v>
      </c>
      <c r="K36" s="2">
        <f>_xlfn.XLOOKUP(A36,CPIAUCSL!A:A,CPIAUCSL!B:B,"",-1)</f>
        <v>239.55699999999999</v>
      </c>
      <c r="L36">
        <f>_xlfn.XLOOKUP(A36,DFF!A:A,DFF!B:B,"",-1)</f>
        <v>0.37</v>
      </c>
      <c r="M36">
        <f>_xlfn.XLOOKUP(A36,'DGS2'!A:A,'DGS2'!B:B,"",-1)</f>
        <v>0.89</v>
      </c>
      <c r="N36">
        <f t="shared" si="3"/>
        <v>0</v>
      </c>
      <c r="O36">
        <f t="shared" si="4"/>
        <v>-2.0854447649489849E-3</v>
      </c>
      <c r="P36">
        <f t="shared" si="5"/>
        <v>0</v>
      </c>
      <c r="Q36">
        <f t="shared" si="6"/>
        <v>0</v>
      </c>
      <c r="R36" s="3">
        <v>47.72</v>
      </c>
    </row>
    <row r="37" spans="1:18">
      <c r="A37" s="1">
        <v>42513</v>
      </c>
      <c r="B37">
        <v>2048.04</v>
      </c>
      <c r="C37">
        <f t="shared" si="0"/>
        <v>-2.0854447649489849E-3</v>
      </c>
      <c r="D37">
        <f t="shared" si="7"/>
        <v>2.0023148713388395E-4</v>
      </c>
      <c r="E37">
        <f>_xlfn.XLOOKUP(A37,VIX!A:A,VIX!B:B,"",-1)</f>
        <v>15.82</v>
      </c>
      <c r="F37">
        <f t="shared" si="1"/>
        <v>0.62000000000000099</v>
      </c>
      <c r="G37">
        <f>_xlfn.XLOOKUP(A37,'DGS10'!A:A,'DGS10'!B:B,"",-1)</f>
        <v>1.84</v>
      </c>
      <c r="H37">
        <f t="shared" si="2"/>
        <v>-1.0000000000000009E-2</v>
      </c>
      <c r="I37" s="2">
        <f>_xlfn.XLOOKUP(A37,T10Y3M!A:A,T10Y3M!B:B,"",-1)</f>
        <v>1.49</v>
      </c>
      <c r="J37" s="2">
        <f>_xlfn.XLOOKUP(A37,BAMLC0A4CBBB!A:A,BAMLC0A4CBBB!B:B,"",-1)</f>
        <v>2.11</v>
      </c>
      <c r="K37" s="2">
        <f>_xlfn.XLOOKUP(A37,CPIAUCSL!A:A,CPIAUCSL!B:B,"",-1)</f>
        <v>239.55699999999999</v>
      </c>
      <c r="L37">
        <f>_xlfn.XLOOKUP(A37,DFF!A:A,DFF!B:B,"",-1)</f>
        <v>0.37</v>
      </c>
      <c r="M37">
        <f>_xlfn.XLOOKUP(A37,'DGS2'!A:A,'DGS2'!B:B,"",-1)</f>
        <v>0.91</v>
      </c>
      <c r="N37">
        <f t="shared" si="3"/>
        <v>2.0000000000000018E-2</v>
      </c>
      <c r="O37">
        <f t="shared" si="4"/>
        <v>1.3681373410675546E-2</v>
      </c>
      <c r="P37">
        <f t="shared" si="5"/>
        <v>1</v>
      </c>
      <c r="Q37">
        <f t="shared" si="6"/>
        <v>1</v>
      </c>
      <c r="R37" s="3">
        <v>48.31</v>
      </c>
    </row>
    <row r="38" spans="1:18">
      <c r="A38" s="1">
        <v>42514</v>
      </c>
      <c r="B38">
        <v>2076.06</v>
      </c>
      <c r="C38">
        <f t="shared" si="0"/>
        <v>1.3681373410675546E-2</v>
      </c>
      <c r="D38">
        <f t="shared" si="7"/>
        <v>1.7656516538891331E-2</v>
      </c>
      <c r="E38">
        <f>_xlfn.XLOOKUP(A38,VIX!A:A,VIX!B:B,"",-1)</f>
        <v>14.42</v>
      </c>
      <c r="F38">
        <f t="shared" si="1"/>
        <v>-1.4000000000000004</v>
      </c>
      <c r="G38">
        <f>_xlfn.XLOOKUP(A38,'DGS10'!A:A,'DGS10'!B:B,"",-1)</f>
        <v>1.86</v>
      </c>
      <c r="H38">
        <f t="shared" si="2"/>
        <v>2.0000000000000018E-2</v>
      </c>
      <c r="I38" s="2">
        <f>_xlfn.XLOOKUP(A38,T10Y3M!A:A,T10Y3M!B:B,"",-1)</f>
        <v>1.51</v>
      </c>
      <c r="J38" s="2">
        <f>_xlfn.XLOOKUP(A38,BAMLC0A4CBBB!A:A,BAMLC0A4CBBB!B:B,"",-1)</f>
        <v>2.1</v>
      </c>
      <c r="K38" s="2">
        <f>_xlfn.XLOOKUP(A38,CPIAUCSL!A:A,CPIAUCSL!B:B,"",-1)</f>
        <v>239.55699999999999</v>
      </c>
      <c r="L38">
        <f>_xlfn.XLOOKUP(A38,DFF!A:A,DFF!B:B,"",-1)</f>
        <v>0.37</v>
      </c>
      <c r="M38">
        <f>_xlfn.XLOOKUP(A38,'DGS2'!A:A,'DGS2'!B:B,"",-1)</f>
        <v>0.92</v>
      </c>
      <c r="N38">
        <f t="shared" si="3"/>
        <v>1.0000000000000009E-2</v>
      </c>
      <c r="O38">
        <f t="shared" si="4"/>
        <v>6.9747502480661527E-3</v>
      </c>
      <c r="P38">
        <f t="shared" si="5"/>
        <v>1</v>
      </c>
      <c r="Q38">
        <f t="shared" si="6"/>
        <v>1</v>
      </c>
      <c r="R38" s="3">
        <v>48.19</v>
      </c>
    </row>
    <row r="39" spans="1:18">
      <c r="A39" s="1">
        <v>42515</v>
      </c>
      <c r="B39">
        <v>2090.54</v>
      </c>
      <c r="C39">
        <f t="shared" si="0"/>
        <v>6.9747502480661527E-3</v>
      </c>
      <c r="D39">
        <f t="shared" si="7"/>
        <v>1.8622826849614027E-2</v>
      </c>
      <c r="E39">
        <f>_xlfn.XLOOKUP(A39,VIX!A:A,VIX!B:B,"",-1)</f>
        <v>13.9</v>
      </c>
      <c r="F39">
        <f t="shared" si="1"/>
        <v>-0.51999999999999957</v>
      </c>
      <c r="G39">
        <f>_xlfn.XLOOKUP(A39,'DGS10'!A:A,'DGS10'!B:B,"",-1)</f>
        <v>1.87</v>
      </c>
      <c r="H39">
        <f t="shared" si="2"/>
        <v>1.0000000000000009E-2</v>
      </c>
      <c r="I39" s="2">
        <f>_xlfn.XLOOKUP(A39,T10Y3M!A:A,T10Y3M!B:B,"",-1)</f>
        <v>1.54</v>
      </c>
      <c r="J39" s="2">
        <f>_xlfn.XLOOKUP(A39,BAMLC0A4CBBB!A:A,BAMLC0A4CBBB!B:B,"",-1)</f>
        <v>2.09</v>
      </c>
      <c r="K39" s="2">
        <f>_xlfn.XLOOKUP(A39,CPIAUCSL!A:A,CPIAUCSL!B:B,"",-1)</f>
        <v>239.55699999999999</v>
      </c>
      <c r="L39">
        <f>_xlfn.XLOOKUP(A39,DFF!A:A,DFF!B:B,"",-1)</f>
        <v>0.37</v>
      </c>
      <c r="M39">
        <f>_xlfn.XLOOKUP(A39,'DGS2'!A:A,'DGS2'!B:B,"",-1)</f>
        <v>0.92</v>
      </c>
      <c r="N39">
        <f t="shared" si="3"/>
        <v>0</v>
      </c>
      <c r="O39">
        <f t="shared" si="4"/>
        <v>-2.104719354808493E-4</v>
      </c>
      <c r="P39">
        <f t="shared" si="5"/>
        <v>0</v>
      </c>
      <c r="Q39">
        <f t="shared" si="6"/>
        <v>0</v>
      </c>
      <c r="R39" s="3">
        <v>48.16</v>
      </c>
    </row>
    <row r="40" spans="1:18">
      <c r="A40" s="1">
        <v>42516</v>
      </c>
      <c r="B40">
        <v>2090.1</v>
      </c>
      <c r="C40">
        <f t="shared" si="0"/>
        <v>-2.104719354808493E-4</v>
      </c>
      <c r="D40">
        <f t="shared" si="7"/>
        <v>2.0536708267416603E-2</v>
      </c>
      <c r="E40">
        <f>_xlfn.XLOOKUP(A40,VIX!A:A,VIX!B:B,"",-1)</f>
        <v>13.43</v>
      </c>
      <c r="F40">
        <f t="shared" si="1"/>
        <v>-0.47000000000000064</v>
      </c>
      <c r="G40">
        <f>_xlfn.XLOOKUP(A40,'DGS10'!A:A,'DGS10'!B:B,"",-1)</f>
        <v>1.83</v>
      </c>
      <c r="H40">
        <f t="shared" si="2"/>
        <v>-4.0000000000000036E-2</v>
      </c>
      <c r="I40" s="2">
        <f>_xlfn.XLOOKUP(A40,T10Y3M!A:A,T10Y3M!B:B,"",-1)</f>
        <v>1.52</v>
      </c>
      <c r="J40" s="2">
        <f>_xlfn.XLOOKUP(A40,BAMLC0A4CBBB!A:A,BAMLC0A4CBBB!B:B,"",-1)</f>
        <v>2.09</v>
      </c>
      <c r="K40" s="2">
        <f>_xlfn.XLOOKUP(A40,CPIAUCSL!A:A,CPIAUCSL!B:B,"",-1)</f>
        <v>239.55699999999999</v>
      </c>
      <c r="L40">
        <f>_xlfn.XLOOKUP(A40,DFF!A:A,DFF!B:B,"",-1)</f>
        <v>0.37</v>
      </c>
      <c r="M40">
        <f>_xlfn.XLOOKUP(A40,'DGS2'!A:A,'DGS2'!B:B,"",-1)</f>
        <v>0.87</v>
      </c>
      <c r="N40">
        <f t="shared" si="3"/>
        <v>-5.0000000000000044E-2</v>
      </c>
      <c r="O40">
        <f t="shared" si="4"/>
        <v>4.2868762260179771E-3</v>
      </c>
      <c r="P40">
        <f t="shared" si="5"/>
        <v>1</v>
      </c>
      <c r="Q40">
        <f t="shared" si="6"/>
        <v>1</v>
      </c>
      <c r="R40" s="3">
        <v>47.75</v>
      </c>
    </row>
    <row r="41" spans="1:18">
      <c r="A41" s="1">
        <v>42517</v>
      </c>
      <c r="B41">
        <v>2099.06</v>
      </c>
      <c r="C41">
        <f t="shared" si="0"/>
        <v>4.2868762260179771E-3</v>
      </c>
      <c r="D41">
        <f t="shared" si="7"/>
        <v>1.1078677880215437E-2</v>
      </c>
      <c r="E41">
        <f>_xlfn.XLOOKUP(A41,VIX!A:A,VIX!B:B,"",-1)</f>
        <v>13.12</v>
      </c>
      <c r="F41">
        <f t="shared" si="1"/>
        <v>-0.3100000000000005</v>
      </c>
      <c r="G41">
        <f>_xlfn.XLOOKUP(A41,'DGS10'!A:A,'DGS10'!B:B,"",-1)</f>
        <v>1.85</v>
      </c>
      <c r="H41">
        <f t="shared" si="2"/>
        <v>2.0000000000000018E-2</v>
      </c>
      <c r="I41" s="2">
        <f>_xlfn.XLOOKUP(A41,T10Y3M!A:A,T10Y3M!B:B,"",-1)</f>
        <v>1.53</v>
      </c>
      <c r="J41" s="2">
        <f>_xlfn.XLOOKUP(A41,BAMLC0A4CBBB!A:A,BAMLC0A4CBBB!B:B,"",-1)</f>
        <v>2.08</v>
      </c>
      <c r="K41" s="2">
        <f>_xlfn.XLOOKUP(A41,CPIAUCSL!A:A,CPIAUCSL!B:B,"",-1)</f>
        <v>239.55699999999999</v>
      </c>
      <c r="L41">
        <f>_xlfn.XLOOKUP(A41,DFF!A:A,DFF!B:B,"",-1)</f>
        <v>0.37</v>
      </c>
      <c r="M41">
        <f>_xlfn.XLOOKUP(A41,'DGS2'!A:A,'DGS2'!B:B,"",-1)</f>
        <v>0.9</v>
      </c>
      <c r="N41">
        <f t="shared" si="3"/>
        <v>3.0000000000000027E-2</v>
      </c>
      <c r="O41">
        <f t="shared" si="4"/>
        <v>-1.0004478195001498E-3</v>
      </c>
      <c r="P41">
        <f t="shared" si="5"/>
        <v>0</v>
      </c>
      <c r="Q41">
        <f t="shared" si="6"/>
        <v>0</v>
      </c>
      <c r="R41" s="3">
        <v>48.14</v>
      </c>
    </row>
    <row r="42" spans="1:18">
      <c r="A42" s="1">
        <v>42521</v>
      </c>
      <c r="B42">
        <v>2096.96</v>
      </c>
      <c r="C42">
        <f t="shared" si="0"/>
        <v>-1.0004478195001498E-3</v>
      </c>
      <c r="D42">
        <f t="shared" si="7"/>
        <v>3.0709768767878121E-3</v>
      </c>
      <c r="E42">
        <f>_xlfn.XLOOKUP(A42,VIX!A:A,VIX!B:B,"",-1)</f>
        <v>14.19</v>
      </c>
      <c r="F42">
        <f t="shared" si="1"/>
        <v>1.0700000000000003</v>
      </c>
      <c r="G42">
        <f>_xlfn.XLOOKUP(A42,'DGS10'!A:A,'DGS10'!B:B,"",-1)</f>
        <v>1.84</v>
      </c>
      <c r="H42">
        <f t="shared" si="2"/>
        <v>-1.0000000000000009E-2</v>
      </c>
      <c r="I42" s="2">
        <f>_xlfn.XLOOKUP(A42,T10Y3M!A:A,T10Y3M!B:B,"",-1)</f>
        <v>1.5</v>
      </c>
      <c r="J42" s="2">
        <f>_xlfn.XLOOKUP(A42,BAMLC0A4CBBB!A:A,BAMLC0A4CBBB!B:B,"",-1)</f>
        <v>2.0699999999999998</v>
      </c>
      <c r="K42" s="2">
        <f>_xlfn.XLOOKUP(A42,CPIAUCSL!A:A,CPIAUCSL!B:B,"",-1)</f>
        <v>239.55699999999999</v>
      </c>
      <c r="L42">
        <f>_xlfn.XLOOKUP(A42,DFF!A:A,DFF!B:B,"",-1)</f>
        <v>0.28999999999999998</v>
      </c>
      <c r="M42">
        <f>_xlfn.XLOOKUP(A42,'DGS2'!A:A,'DGS2'!B:B,"",-1)</f>
        <v>0.87</v>
      </c>
      <c r="N42">
        <f t="shared" si="3"/>
        <v>-3.0000000000000027E-2</v>
      </c>
      <c r="O42">
        <f t="shared" si="4"/>
        <v>1.130207538531991E-3</v>
      </c>
      <c r="P42">
        <f t="shared" si="5"/>
        <v>1</v>
      </c>
      <c r="Q42">
        <f t="shared" si="6"/>
        <v>0</v>
      </c>
      <c r="R42" s="3">
        <v>48.08</v>
      </c>
    </row>
    <row r="43" spans="1:18">
      <c r="A43" s="1">
        <v>42522</v>
      </c>
      <c r="B43">
        <v>2099.33</v>
      </c>
      <c r="C43">
        <f t="shared" si="0"/>
        <v>1.130207538531991E-3</v>
      </c>
      <c r="D43">
        <f t="shared" si="7"/>
        <v>4.4160566480073715E-3</v>
      </c>
      <c r="E43">
        <f>_xlfn.XLOOKUP(A43,VIX!A:A,VIX!B:B,"",-1)</f>
        <v>14.2</v>
      </c>
      <c r="F43">
        <f t="shared" si="1"/>
        <v>9.9999999999997868E-3</v>
      </c>
      <c r="G43">
        <f>_xlfn.XLOOKUP(A43,'DGS10'!A:A,'DGS10'!B:B,"",-1)</f>
        <v>1.85</v>
      </c>
      <c r="H43">
        <f t="shared" si="2"/>
        <v>1.0000000000000009E-2</v>
      </c>
      <c r="I43" s="2">
        <f>_xlfn.XLOOKUP(A43,T10Y3M!A:A,T10Y3M!B:B,"",-1)</f>
        <v>1.55</v>
      </c>
      <c r="J43" s="2">
        <f>_xlfn.XLOOKUP(A43,BAMLC0A4CBBB!A:A,BAMLC0A4CBBB!B:B,"",-1)</f>
        <v>2.0699999999999998</v>
      </c>
      <c r="K43" s="2">
        <f>_xlfn.XLOOKUP(A43,CPIAUCSL!A:A,CPIAUCSL!B:B,"",-1)</f>
        <v>240.22200000000001</v>
      </c>
      <c r="L43">
        <f>_xlfn.XLOOKUP(A43,DFF!A:A,DFF!B:B,"",-1)</f>
        <v>0.37</v>
      </c>
      <c r="M43">
        <f>_xlfn.XLOOKUP(A43,'DGS2'!A:A,'DGS2'!B:B,"",-1)</f>
        <v>0.91</v>
      </c>
      <c r="N43">
        <f t="shared" si="3"/>
        <v>4.0000000000000036E-2</v>
      </c>
      <c r="O43">
        <f t="shared" si="4"/>
        <v>2.8247107410461769E-3</v>
      </c>
      <c r="P43">
        <f t="shared" si="5"/>
        <v>1</v>
      </c>
      <c r="Q43">
        <f t="shared" si="6"/>
        <v>0</v>
      </c>
      <c r="R43" s="3">
        <v>48.62</v>
      </c>
    </row>
    <row r="44" spans="1:18">
      <c r="A44" s="1">
        <v>42523</v>
      </c>
      <c r="B44">
        <v>2105.2600000000002</v>
      </c>
      <c r="C44">
        <f t="shared" si="0"/>
        <v>2.8247107410461769E-3</v>
      </c>
      <c r="D44">
        <f t="shared" si="7"/>
        <v>2.953703086143511E-3</v>
      </c>
      <c r="E44">
        <f>_xlfn.XLOOKUP(A44,VIX!A:A,VIX!B:B,"",-1)</f>
        <v>13.63</v>
      </c>
      <c r="F44">
        <f t="shared" si="1"/>
        <v>-0.56999999999999851</v>
      </c>
      <c r="G44">
        <f>_xlfn.XLOOKUP(A44,'DGS10'!A:A,'DGS10'!B:B,"",-1)</f>
        <v>1.81</v>
      </c>
      <c r="H44">
        <f t="shared" si="2"/>
        <v>-4.0000000000000036E-2</v>
      </c>
      <c r="I44" s="2">
        <f>_xlfn.XLOOKUP(A44,T10Y3M!A:A,T10Y3M!B:B,"",-1)</f>
        <v>1.52</v>
      </c>
      <c r="J44" s="2">
        <f>_xlfn.XLOOKUP(A44,BAMLC0A4CBBB!A:A,BAMLC0A4CBBB!B:B,"",-1)</f>
        <v>2.0699999999999998</v>
      </c>
      <c r="K44" s="2">
        <f>_xlfn.XLOOKUP(A44,CPIAUCSL!A:A,CPIAUCSL!B:B,"",-1)</f>
        <v>240.22200000000001</v>
      </c>
      <c r="L44">
        <f>_xlfn.XLOOKUP(A44,DFF!A:A,DFF!B:B,"",-1)</f>
        <v>0.37</v>
      </c>
      <c r="M44">
        <f>_xlfn.XLOOKUP(A44,'DGS2'!A:A,'DGS2'!B:B,"",-1)</f>
        <v>0.89</v>
      </c>
      <c r="N44">
        <f t="shared" si="3"/>
        <v>-2.0000000000000018E-2</v>
      </c>
      <c r="O44">
        <f t="shared" si="4"/>
        <v>-2.9117543676315805E-3</v>
      </c>
      <c r="P44">
        <f t="shared" si="5"/>
        <v>0</v>
      </c>
      <c r="Q44">
        <f t="shared" si="6"/>
        <v>0</v>
      </c>
      <c r="R44" s="3">
        <v>49.56</v>
      </c>
    </row>
    <row r="45" spans="1:18">
      <c r="A45" s="1">
        <v>42524</v>
      </c>
      <c r="B45">
        <v>2099.13</v>
      </c>
      <c r="C45">
        <f t="shared" si="0"/>
        <v>-2.9117543676315805E-3</v>
      </c>
      <c r="D45">
        <f t="shared" si="7"/>
        <v>1.0348313749428684E-3</v>
      </c>
      <c r="E45">
        <f>_xlfn.XLOOKUP(A45,VIX!A:A,VIX!B:B,"",-1)</f>
        <v>13.47</v>
      </c>
      <c r="F45">
        <f t="shared" si="1"/>
        <v>-0.16000000000000014</v>
      </c>
      <c r="G45">
        <f>_xlfn.XLOOKUP(A45,'DGS10'!A:A,'DGS10'!B:B,"",-1)</f>
        <v>1.71</v>
      </c>
      <c r="H45">
        <f t="shared" si="2"/>
        <v>-0.10000000000000009</v>
      </c>
      <c r="I45" s="2">
        <f>_xlfn.XLOOKUP(A45,T10Y3M!A:A,T10Y3M!B:B,"",-1)</f>
        <v>1.41</v>
      </c>
      <c r="J45" s="2">
        <f>_xlfn.XLOOKUP(A45,BAMLC0A4CBBB!A:A,BAMLC0A4CBBB!B:B,"",-1)</f>
        <v>2.08</v>
      </c>
      <c r="K45" s="2">
        <f>_xlfn.XLOOKUP(A45,CPIAUCSL!A:A,CPIAUCSL!B:B,"",-1)</f>
        <v>240.22200000000001</v>
      </c>
      <c r="L45">
        <f>_xlfn.XLOOKUP(A45,DFF!A:A,DFF!B:B,"",-1)</f>
        <v>0.37</v>
      </c>
      <c r="M45">
        <f>_xlfn.XLOOKUP(A45,'DGS2'!A:A,'DGS2'!B:B,"",-1)</f>
        <v>0.78</v>
      </c>
      <c r="N45">
        <f t="shared" si="3"/>
        <v>-0.10999999999999999</v>
      </c>
      <c r="O45">
        <f t="shared" si="4"/>
        <v>4.8972669629798737E-3</v>
      </c>
      <c r="P45">
        <f t="shared" si="5"/>
        <v>1</v>
      </c>
      <c r="Q45">
        <f t="shared" si="6"/>
        <v>1</v>
      </c>
      <c r="R45" s="3">
        <v>49.48</v>
      </c>
    </row>
    <row r="46" spans="1:18">
      <c r="A46" s="1">
        <v>42527</v>
      </c>
      <c r="B46">
        <v>2109.41</v>
      </c>
      <c r="C46">
        <f t="shared" si="0"/>
        <v>4.8972669629798737E-3</v>
      </c>
      <c r="D46">
        <f t="shared" si="7"/>
        <v>4.8015319173260185E-3</v>
      </c>
      <c r="E46">
        <f>_xlfn.XLOOKUP(A46,VIX!A:A,VIX!B:B,"",-1)</f>
        <v>13.65</v>
      </c>
      <c r="F46">
        <f t="shared" si="1"/>
        <v>0.17999999999999972</v>
      </c>
      <c r="G46">
        <f>_xlfn.XLOOKUP(A46,'DGS10'!A:A,'DGS10'!B:B,"",-1)</f>
        <v>1.73</v>
      </c>
      <c r="H46">
        <f t="shared" si="2"/>
        <v>2.0000000000000018E-2</v>
      </c>
      <c r="I46" s="2">
        <f>_xlfn.XLOOKUP(A46,T10Y3M!A:A,T10Y3M!B:B,"",-1)</f>
        <v>1.45</v>
      </c>
      <c r="J46" s="2">
        <f>_xlfn.XLOOKUP(A46,BAMLC0A4CBBB!A:A,BAMLC0A4CBBB!B:B,"",-1)</f>
        <v>2.08</v>
      </c>
      <c r="K46" s="2">
        <f>_xlfn.XLOOKUP(A46,CPIAUCSL!A:A,CPIAUCSL!B:B,"",-1)</f>
        <v>240.22200000000001</v>
      </c>
      <c r="L46">
        <f>_xlfn.XLOOKUP(A46,DFF!A:A,DFF!B:B,"",-1)</f>
        <v>0.37</v>
      </c>
      <c r="M46">
        <f>_xlfn.XLOOKUP(A46,'DGS2'!A:A,'DGS2'!B:B,"",-1)</f>
        <v>0.8</v>
      </c>
      <c r="N46">
        <f t="shared" si="3"/>
        <v>2.0000000000000018E-2</v>
      </c>
      <c r="O46">
        <f t="shared" si="4"/>
        <v>1.2894600859958416E-3</v>
      </c>
      <c r="P46">
        <f t="shared" si="5"/>
        <v>1</v>
      </c>
      <c r="Q46">
        <f t="shared" si="6"/>
        <v>0</v>
      </c>
      <c r="R46" s="3">
        <v>49.33</v>
      </c>
    </row>
    <row r="47" spans="1:18">
      <c r="A47" s="1">
        <v>42528</v>
      </c>
      <c r="B47">
        <v>2112.13</v>
      </c>
      <c r="C47">
        <f t="shared" si="0"/>
        <v>1.2894600859958416E-3</v>
      </c>
      <c r="D47">
        <f t="shared" si="7"/>
        <v>3.2632548948823281E-3</v>
      </c>
      <c r="E47">
        <f>_xlfn.XLOOKUP(A47,VIX!A:A,VIX!B:B,"",-1)</f>
        <v>14.05</v>
      </c>
      <c r="F47">
        <f t="shared" si="1"/>
        <v>0.40000000000000036</v>
      </c>
      <c r="G47">
        <f>_xlfn.XLOOKUP(A47,'DGS10'!A:A,'DGS10'!B:B,"",-1)</f>
        <v>1.72</v>
      </c>
      <c r="H47">
        <f t="shared" si="2"/>
        <v>-1.0000000000000009E-2</v>
      </c>
      <c r="I47" s="2">
        <f>_xlfn.XLOOKUP(A47,T10Y3M!A:A,T10Y3M!B:B,"",-1)</f>
        <v>1.44</v>
      </c>
      <c r="J47" s="2">
        <f>_xlfn.XLOOKUP(A47,BAMLC0A4CBBB!A:A,BAMLC0A4CBBB!B:B,"",-1)</f>
        <v>2.0699999999999998</v>
      </c>
      <c r="K47" s="2">
        <f>_xlfn.XLOOKUP(A47,CPIAUCSL!A:A,CPIAUCSL!B:B,"",-1)</f>
        <v>240.22200000000001</v>
      </c>
      <c r="L47">
        <f>_xlfn.XLOOKUP(A47,DFF!A:A,DFF!B:B,"",-1)</f>
        <v>0.37</v>
      </c>
      <c r="M47">
        <f>_xlfn.XLOOKUP(A47,'DGS2'!A:A,'DGS2'!B:B,"",-1)</f>
        <v>0.78</v>
      </c>
      <c r="N47">
        <f t="shared" si="3"/>
        <v>-2.0000000000000018E-2</v>
      </c>
      <c r="O47">
        <f t="shared" si="4"/>
        <v>3.3094553839014829E-3</v>
      </c>
      <c r="P47">
        <f t="shared" si="5"/>
        <v>1</v>
      </c>
      <c r="Q47">
        <f t="shared" si="6"/>
        <v>1</v>
      </c>
      <c r="R47" s="3">
        <v>49.6</v>
      </c>
    </row>
    <row r="48" spans="1:18">
      <c r="A48" s="1">
        <v>42529</v>
      </c>
      <c r="B48">
        <v>2119.12</v>
      </c>
      <c r="C48">
        <f t="shared" si="0"/>
        <v>3.3094553839014829E-3</v>
      </c>
      <c r="D48">
        <f t="shared" si="7"/>
        <v>9.5229928589461998E-3</v>
      </c>
      <c r="E48">
        <f>_xlfn.XLOOKUP(A48,VIX!A:A,VIX!B:B,"",-1)</f>
        <v>14.08</v>
      </c>
      <c r="F48">
        <f t="shared" si="1"/>
        <v>2.9999999999999361E-2</v>
      </c>
      <c r="G48">
        <f>_xlfn.XLOOKUP(A48,'DGS10'!A:A,'DGS10'!B:B,"",-1)</f>
        <v>1.71</v>
      </c>
      <c r="H48">
        <f t="shared" si="2"/>
        <v>-1.0000000000000009E-2</v>
      </c>
      <c r="I48" s="2">
        <f>_xlfn.XLOOKUP(A48,T10Y3M!A:A,T10Y3M!B:B,"",-1)</f>
        <v>1.47</v>
      </c>
      <c r="J48" s="2">
        <f>_xlfn.XLOOKUP(A48,BAMLC0A4CBBB!A:A,BAMLC0A4CBBB!B:B,"",-1)</f>
        <v>2.0499999999999998</v>
      </c>
      <c r="K48" s="2">
        <f>_xlfn.XLOOKUP(A48,CPIAUCSL!A:A,CPIAUCSL!B:B,"",-1)</f>
        <v>240.22200000000001</v>
      </c>
      <c r="L48">
        <f>_xlfn.XLOOKUP(A48,DFF!A:A,DFF!B:B,"",-1)</f>
        <v>0.37</v>
      </c>
      <c r="M48">
        <f>_xlfn.XLOOKUP(A48,'DGS2'!A:A,'DGS2'!B:B,"",-1)</f>
        <v>0.78</v>
      </c>
      <c r="N48">
        <f t="shared" si="3"/>
        <v>0</v>
      </c>
      <c r="O48">
        <f t="shared" si="4"/>
        <v>-1.7176941371889187E-3</v>
      </c>
      <c r="P48">
        <f t="shared" si="5"/>
        <v>0</v>
      </c>
      <c r="Q48">
        <f t="shared" si="6"/>
        <v>0</v>
      </c>
      <c r="R48" s="3">
        <v>49.1</v>
      </c>
    </row>
    <row r="49" spans="1:18">
      <c r="A49" s="1">
        <v>42530</v>
      </c>
      <c r="B49">
        <v>2115.48</v>
      </c>
      <c r="C49">
        <f t="shared" si="0"/>
        <v>-1.7176941371889187E-3</v>
      </c>
      <c r="D49">
        <f t="shared" si="7"/>
        <v>2.8775818830859556E-3</v>
      </c>
      <c r="E49">
        <f>_xlfn.XLOOKUP(A49,VIX!A:A,VIX!B:B,"",-1)</f>
        <v>14.64</v>
      </c>
      <c r="F49">
        <f t="shared" si="1"/>
        <v>0.5600000000000005</v>
      </c>
      <c r="G49">
        <f>_xlfn.XLOOKUP(A49,'DGS10'!A:A,'DGS10'!B:B,"",-1)</f>
        <v>1.68</v>
      </c>
      <c r="H49">
        <f t="shared" si="2"/>
        <v>-3.0000000000000027E-2</v>
      </c>
      <c r="I49" s="2">
        <f>_xlfn.XLOOKUP(A49,T10Y3M!A:A,T10Y3M!B:B,"",-1)</f>
        <v>1.42</v>
      </c>
      <c r="J49" s="2">
        <f>_xlfn.XLOOKUP(A49,BAMLC0A4CBBB!A:A,BAMLC0A4CBBB!B:B,"",-1)</f>
        <v>2.06</v>
      </c>
      <c r="K49" s="2">
        <f>_xlfn.XLOOKUP(A49,CPIAUCSL!A:A,CPIAUCSL!B:B,"",-1)</f>
        <v>240.22200000000001</v>
      </c>
      <c r="L49">
        <f>_xlfn.XLOOKUP(A49,DFF!A:A,DFF!B:B,"",-1)</f>
        <v>0.37</v>
      </c>
      <c r="M49">
        <f>_xlfn.XLOOKUP(A49,'DGS2'!A:A,'DGS2'!B:B,"",-1)</f>
        <v>0.77</v>
      </c>
      <c r="N49">
        <f t="shared" si="3"/>
        <v>-1.0000000000000009E-2</v>
      </c>
      <c r="O49">
        <f t="shared" si="4"/>
        <v>-9.175222644506098E-3</v>
      </c>
      <c r="P49">
        <f t="shared" si="5"/>
        <v>0</v>
      </c>
      <c r="Q49">
        <f t="shared" si="6"/>
        <v>-1</v>
      </c>
      <c r="R49" s="3">
        <v>49.01</v>
      </c>
    </row>
    <row r="50" spans="1:18">
      <c r="A50" s="1">
        <v>42531</v>
      </c>
      <c r="B50">
        <v>2096.0700000000002</v>
      </c>
      <c r="C50">
        <f t="shared" si="0"/>
        <v>-9.175222644506098E-3</v>
      </c>
      <c r="D50">
        <f t="shared" si="7"/>
        <v>-7.6036986359740988E-3</v>
      </c>
      <c r="E50">
        <f>_xlfn.XLOOKUP(A50,VIX!A:A,VIX!B:B,"",-1)</f>
        <v>17.03</v>
      </c>
      <c r="F50">
        <f t="shared" si="1"/>
        <v>2.3900000000000006</v>
      </c>
      <c r="G50">
        <f>_xlfn.XLOOKUP(A50,'DGS10'!A:A,'DGS10'!B:B,"",-1)</f>
        <v>1.64</v>
      </c>
      <c r="H50">
        <f t="shared" si="2"/>
        <v>-4.0000000000000036E-2</v>
      </c>
      <c r="I50" s="2">
        <f>_xlfn.XLOOKUP(A50,T10Y3M!A:A,T10Y3M!B:B,"",-1)</f>
        <v>1.38</v>
      </c>
      <c r="J50" s="2">
        <f>_xlfn.XLOOKUP(A50,BAMLC0A4CBBB!A:A,BAMLC0A4CBBB!B:B,"",-1)</f>
        <v>2.0699999999999998</v>
      </c>
      <c r="K50" s="2">
        <f>_xlfn.XLOOKUP(A50,CPIAUCSL!A:A,CPIAUCSL!B:B,"",-1)</f>
        <v>240.22200000000001</v>
      </c>
      <c r="L50">
        <f>_xlfn.XLOOKUP(A50,DFF!A:A,DFF!B:B,"",-1)</f>
        <v>0.37</v>
      </c>
      <c r="M50">
        <f>_xlfn.XLOOKUP(A50,'DGS2'!A:A,'DGS2'!B:B,"",-1)</f>
        <v>0.73</v>
      </c>
      <c r="N50">
        <f t="shared" si="3"/>
        <v>-4.0000000000000036E-2</v>
      </c>
      <c r="O50">
        <f t="shared" si="4"/>
        <v>-8.1151869928008935E-3</v>
      </c>
      <c r="P50">
        <f t="shared" si="5"/>
        <v>0</v>
      </c>
      <c r="Q50">
        <f t="shared" si="6"/>
        <v>-1</v>
      </c>
      <c r="R50" s="3">
        <v>49.17</v>
      </c>
    </row>
    <row r="51" spans="1:18">
      <c r="A51" s="1">
        <v>42534</v>
      </c>
      <c r="B51">
        <v>2079.06</v>
      </c>
      <c r="C51">
        <f t="shared" si="0"/>
        <v>-8.1151869928008935E-3</v>
      </c>
      <c r="D51">
        <f t="shared" si="7"/>
        <v>-1.8904073388953835E-2</v>
      </c>
      <c r="E51">
        <f>_xlfn.XLOOKUP(A51,VIX!A:A,VIX!B:B,"",-1)</f>
        <v>20.97</v>
      </c>
      <c r="F51">
        <f t="shared" si="1"/>
        <v>3.9399999999999977</v>
      </c>
      <c r="G51">
        <f>_xlfn.XLOOKUP(A51,'DGS10'!A:A,'DGS10'!B:B,"",-1)</f>
        <v>1.62</v>
      </c>
      <c r="H51">
        <f t="shared" si="2"/>
        <v>-1.9999999999999796E-2</v>
      </c>
      <c r="I51" s="2">
        <f>_xlfn.XLOOKUP(A51,T10Y3M!A:A,T10Y3M!B:B,"",-1)</f>
        <v>1.35</v>
      </c>
      <c r="J51" s="2">
        <f>_xlfn.XLOOKUP(A51,BAMLC0A4CBBB!A:A,BAMLC0A4CBBB!B:B,"",-1)</f>
        <v>2.09</v>
      </c>
      <c r="K51" s="2">
        <f>_xlfn.XLOOKUP(A51,CPIAUCSL!A:A,CPIAUCSL!B:B,"",-1)</f>
        <v>240.22200000000001</v>
      </c>
      <c r="L51">
        <f>_xlfn.XLOOKUP(A51,DFF!A:A,DFF!B:B,"",-1)</f>
        <v>0.37</v>
      </c>
      <c r="M51">
        <f>_xlfn.XLOOKUP(A51,'DGS2'!A:A,'DGS2'!B:B,"",-1)</f>
        <v>0.73</v>
      </c>
      <c r="N51">
        <f t="shared" si="3"/>
        <v>0</v>
      </c>
      <c r="O51">
        <f t="shared" si="4"/>
        <v>-1.7988898829277566E-3</v>
      </c>
      <c r="P51">
        <f t="shared" si="5"/>
        <v>0</v>
      </c>
      <c r="Q51">
        <f t="shared" si="6"/>
        <v>0</v>
      </c>
      <c r="R51" s="3">
        <v>48.62</v>
      </c>
    </row>
    <row r="52" spans="1:18">
      <c r="A52" s="1">
        <v>42535</v>
      </c>
      <c r="B52">
        <v>2075.3200000000002</v>
      </c>
      <c r="C52">
        <f t="shared" si="0"/>
        <v>-1.7988898829277566E-3</v>
      </c>
      <c r="D52">
        <f t="shared" si="7"/>
        <v>-1.8983871272713504E-2</v>
      </c>
      <c r="E52">
        <f>_xlfn.XLOOKUP(A52,VIX!A:A,VIX!B:B,"",-1)</f>
        <v>20.5</v>
      </c>
      <c r="F52">
        <f t="shared" si="1"/>
        <v>-0.46999999999999886</v>
      </c>
      <c r="G52">
        <f>_xlfn.XLOOKUP(A52,'DGS10'!A:A,'DGS10'!B:B,"",-1)</f>
        <v>1.62</v>
      </c>
      <c r="H52">
        <f t="shared" si="2"/>
        <v>0</v>
      </c>
      <c r="I52" s="2">
        <f>_xlfn.XLOOKUP(A52,T10Y3M!A:A,T10Y3M!B:B,"",-1)</f>
        <v>1.35</v>
      </c>
      <c r="J52" s="2">
        <f>_xlfn.XLOOKUP(A52,BAMLC0A4CBBB!A:A,BAMLC0A4CBBB!B:B,"",-1)</f>
        <v>2.11</v>
      </c>
      <c r="K52" s="2">
        <f>_xlfn.XLOOKUP(A52,CPIAUCSL!A:A,CPIAUCSL!B:B,"",-1)</f>
        <v>240.22200000000001</v>
      </c>
      <c r="L52">
        <f>_xlfn.XLOOKUP(A52,DFF!A:A,DFF!B:B,"",-1)</f>
        <v>0.37</v>
      </c>
      <c r="M52">
        <f>_xlfn.XLOOKUP(A52,'DGS2'!A:A,'DGS2'!B:B,"",-1)</f>
        <v>0.74</v>
      </c>
      <c r="N52">
        <f t="shared" si="3"/>
        <v>1.0000000000000009E-2</v>
      </c>
      <c r="O52">
        <f t="shared" si="4"/>
        <v>-1.8406799915194894E-3</v>
      </c>
      <c r="P52">
        <f t="shared" si="5"/>
        <v>0</v>
      </c>
      <c r="Q52">
        <f t="shared" si="6"/>
        <v>0</v>
      </c>
      <c r="R52" s="3">
        <v>49.69</v>
      </c>
    </row>
    <row r="53" spans="1:18">
      <c r="A53" s="1">
        <v>42536</v>
      </c>
      <c r="B53">
        <v>2071.5</v>
      </c>
      <c r="C53">
        <f t="shared" si="0"/>
        <v>-1.8406799915194894E-3</v>
      </c>
      <c r="D53">
        <f t="shared" si="7"/>
        <v>-1.1721936767378982E-2</v>
      </c>
      <c r="E53">
        <f>_xlfn.XLOOKUP(A53,VIX!A:A,VIX!B:B,"",-1)</f>
        <v>20.14</v>
      </c>
      <c r="F53">
        <f t="shared" si="1"/>
        <v>-0.35999999999999943</v>
      </c>
      <c r="G53">
        <f>_xlfn.XLOOKUP(A53,'DGS10'!A:A,'DGS10'!B:B,"",-1)</f>
        <v>1.6</v>
      </c>
      <c r="H53">
        <f t="shared" si="2"/>
        <v>-2.0000000000000018E-2</v>
      </c>
      <c r="I53" s="2">
        <f>_xlfn.XLOOKUP(A53,T10Y3M!A:A,T10Y3M!B:B,"",-1)</f>
        <v>1.34</v>
      </c>
      <c r="J53" s="2">
        <f>_xlfn.XLOOKUP(A53,BAMLC0A4CBBB!A:A,BAMLC0A4CBBB!B:B,"",-1)</f>
        <v>2.12</v>
      </c>
      <c r="K53" s="2">
        <f>_xlfn.XLOOKUP(A53,CPIAUCSL!A:A,CPIAUCSL!B:B,"",-1)</f>
        <v>240.22200000000001</v>
      </c>
      <c r="L53">
        <f>_xlfn.XLOOKUP(A53,DFF!A:A,DFF!B:B,"",-1)</f>
        <v>0.37</v>
      </c>
      <c r="M53">
        <f>_xlfn.XLOOKUP(A53,'DGS2'!A:A,'DGS2'!B:B,"",-1)</f>
        <v>0.69</v>
      </c>
      <c r="N53">
        <f t="shared" si="3"/>
        <v>-5.0000000000000044E-2</v>
      </c>
      <c r="O53">
        <f t="shared" si="4"/>
        <v>3.1329954139511784E-3</v>
      </c>
      <c r="P53">
        <f t="shared" si="5"/>
        <v>1</v>
      </c>
      <c r="Q53">
        <f t="shared" si="6"/>
        <v>1</v>
      </c>
      <c r="R53" s="3">
        <v>50.36</v>
      </c>
    </row>
    <row r="54" spans="1:18">
      <c r="A54" s="1">
        <v>42537</v>
      </c>
      <c r="B54">
        <v>2077.9899999999998</v>
      </c>
      <c r="C54">
        <f t="shared" si="0"/>
        <v>3.1329954139511784E-3</v>
      </c>
      <c r="D54">
        <f t="shared" si="7"/>
        <v>-5.1465566169339727E-4</v>
      </c>
      <c r="E54">
        <f>_xlfn.XLOOKUP(A54,VIX!A:A,VIX!B:B,"",-1)</f>
        <v>19.37</v>
      </c>
      <c r="F54">
        <f t="shared" si="1"/>
        <v>-0.76999999999999957</v>
      </c>
      <c r="G54">
        <f>_xlfn.XLOOKUP(A54,'DGS10'!A:A,'DGS10'!B:B,"",-1)</f>
        <v>1.57</v>
      </c>
      <c r="H54">
        <f t="shared" si="2"/>
        <v>-3.0000000000000027E-2</v>
      </c>
      <c r="I54" s="2">
        <f>_xlfn.XLOOKUP(A54,T10Y3M!A:A,T10Y3M!B:B,"",-1)</f>
        <v>1.3</v>
      </c>
      <c r="J54" s="2">
        <f>_xlfn.XLOOKUP(A54,BAMLC0A4CBBB!A:A,BAMLC0A4CBBB!B:B,"",-1)</f>
        <v>2.14</v>
      </c>
      <c r="K54" s="2">
        <f>_xlfn.XLOOKUP(A54,CPIAUCSL!A:A,CPIAUCSL!B:B,"",-1)</f>
        <v>240.22200000000001</v>
      </c>
      <c r="L54">
        <f>_xlfn.XLOOKUP(A54,DFF!A:A,DFF!B:B,"",-1)</f>
        <v>0.38</v>
      </c>
      <c r="M54">
        <f>_xlfn.XLOOKUP(A54,'DGS2'!A:A,'DGS2'!B:B,"",-1)</f>
        <v>0.7</v>
      </c>
      <c r="N54">
        <f t="shared" si="3"/>
        <v>1.0000000000000009E-2</v>
      </c>
      <c r="O54">
        <f t="shared" si="4"/>
        <v>-3.2579560055631118E-3</v>
      </c>
      <c r="P54">
        <f t="shared" si="5"/>
        <v>0</v>
      </c>
      <c r="Q54">
        <f t="shared" si="6"/>
        <v>-1</v>
      </c>
      <c r="R54" s="3">
        <v>51.23</v>
      </c>
    </row>
    <row r="55" spans="1:18">
      <c r="A55" s="1">
        <v>42538</v>
      </c>
      <c r="B55">
        <v>2071.2199999999998</v>
      </c>
      <c r="C55">
        <f t="shared" si="0"/>
        <v>-3.2579560055631118E-3</v>
      </c>
      <c r="D55">
        <f t="shared" si="7"/>
        <v>-1.9755989437775234E-3</v>
      </c>
      <c r="E55">
        <f>_xlfn.XLOOKUP(A55,VIX!A:A,VIX!B:B,"",-1)</f>
        <v>19.41</v>
      </c>
      <c r="F55">
        <f t="shared" si="1"/>
        <v>3.9999999999999147E-2</v>
      </c>
      <c r="G55">
        <f>_xlfn.XLOOKUP(A55,'DGS10'!A:A,'DGS10'!B:B,"",-1)</f>
        <v>1.62</v>
      </c>
      <c r="H55">
        <f t="shared" si="2"/>
        <v>5.0000000000000044E-2</v>
      </c>
      <c r="I55" s="2">
        <f>_xlfn.XLOOKUP(A55,T10Y3M!A:A,T10Y3M!B:B,"",-1)</f>
        <v>1.35</v>
      </c>
      <c r="J55" s="2">
        <f>_xlfn.XLOOKUP(A55,BAMLC0A4CBBB!A:A,BAMLC0A4CBBB!B:B,"",-1)</f>
        <v>2.12</v>
      </c>
      <c r="K55" s="2">
        <f>_xlfn.XLOOKUP(A55,CPIAUCSL!A:A,CPIAUCSL!B:B,"",-1)</f>
        <v>240.22200000000001</v>
      </c>
      <c r="L55">
        <f>_xlfn.XLOOKUP(A55,DFF!A:A,DFF!B:B,"",-1)</f>
        <v>0.38</v>
      </c>
      <c r="M55">
        <f>_xlfn.XLOOKUP(A55,'DGS2'!A:A,'DGS2'!B:B,"",-1)</f>
        <v>0.7</v>
      </c>
      <c r="N55">
        <f t="shared" si="3"/>
        <v>0</v>
      </c>
      <c r="O55">
        <f t="shared" si="4"/>
        <v>5.8081710296347122E-3</v>
      </c>
      <c r="P55">
        <f t="shared" si="5"/>
        <v>1</v>
      </c>
      <c r="Q55">
        <f t="shared" si="6"/>
        <v>1</v>
      </c>
      <c r="R55" s="3">
        <v>50.56</v>
      </c>
    </row>
    <row r="56" spans="1:18">
      <c r="A56" s="1">
        <v>42541</v>
      </c>
      <c r="B56">
        <v>2083.25</v>
      </c>
      <c r="C56">
        <f t="shared" si="0"/>
        <v>5.8081710296347122E-3</v>
      </c>
      <c r="D56">
        <f t="shared" si="7"/>
        <v>5.6722181993724696E-3</v>
      </c>
      <c r="E56">
        <f>_xlfn.XLOOKUP(A56,VIX!A:A,VIX!B:B,"",-1)</f>
        <v>18.37</v>
      </c>
      <c r="F56">
        <f t="shared" si="1"/>
        <v>-1.0399999999999991</v>
      </c>
      <c r="G56">
        <f>_xlfn.XLOOKUP(A56,'DGS10'!A:A,'DGS10'!B:B,"",-1)</f>
        <v>1.67</v>
      </c>
      <c r="H56">
        <f t="shared" si="2"/>
        <v>4.9999999999999822E-2</v>
      </c>
      <c r="I56" s="2">
        <f>_xlfn.XLOOKUP(A56,T10Y3M!A:A,T10Y3M!B:B,"",-1)</f>
        <v>1.39</v>
      </c>
      <c r="J56" s="2">
        <f>_xlfn.XLOOKUP(A56,BAMLC0A4CBBB!A:A,BAMLC0A4CBBB!B:B,"",-1)</f>
        <v>2.1</v>
      </c>
      <c r="K56" s="2">
        <f>_xlfn.XLOOKUP(A56,CPIAUCSL!A:A,CPIAUCSL!B:B,"",-1)</f>
        <v>240.22200000000001</v>
      </c>
      <c r="L56">
        <f>_xlfn.XLOOKUP(A56,DFF!A:A,DFF!B:B,"",-1)</f>
        <v>0.38</v>
      </c>
      <c r="M56">
        <f>_xlfn.XLOOKUP(A56,'DGS2'!A:A,'DGS2'!B:B,"",-1)</f>
        <v>0.74</v>
      </c>
      <c r="N56">
        <f t="shared" si="3"/>
        <v>4.0000000000000036E-2</v>
      </c>
      <c r="O56">
        <f t="shared" si="4"/>
        <v>2.7121084843393373E-3</v>
      </c>
      <c r="P56">
        <f t="shared" si="5"/>
        <v>1</v>
      </c>
      <c r="Q56">
        <f t="shared" si="6"/>
        <v>0</v>
      </c>
      <c r="R56" s="3">
        <v>49.07</v>
      </c>
    </row>
    <row r="57" spans="1:18">
      <c r="A57" s="1">
        <v>42542</v>
      </c>
      <c r="B57">
        <v>2088.9</v>
      </c>
      <c r="C57">
        <f t="shared" si="0"/>
        <v>2.7121084843393373E-3</v>
      </c>
      <c r="D57">
        <f t="shared" si="7"/>
        <v>5.2502658819342241E-3</v>
      </c>
      <c r="E57">
        <f>_xlfn.XLOOKUP(A57,VIX!A:A,VIX!B:B,"",-1)</f>
        <v>18.48</v>
      </c>
      <c r="F57">
        <f t="shared" si="1"/>
        <v>0.10999999999999943</v>
      </c>
      <c r="G57">
        <f>_xlfn.XLOOKUP(A57,'DGS10'!A:A,'DGS10'!B:B,"",-1)</f>
        <v>1.71</v>
      </c>
      <c r="H57">
        <f t="shared" si="2"/>
        <v>4.0000000000000036E-2</v>
      </c>
      <c r="I57" s="2">
        <f>_xlfn.XLOOKUP(A57,T10Y3M!A:A,T10Y3M!B:B,"",-1)</f>
        <v>1.44</v>
      </c>
      <c r="J57" s="2">
        <f>_xlfn.XLOOKUP(A57,BAMLC0A4CBBB!A:A,BAMLC0A4CBBB!B:B,"",-1)</f>
        <v>2.08</v>
      </c>
      <c r="K57" s="2">
        <f>_xlfn.XLOOKUP(A57,CPIAUCSL!A:A,CPIAUCSL!B:B,"",-1)</f>
        <v>240.22200000000001</v>
      </c>
      <c r="L57">
        <f>_xlfn.XLOOKUP(A57,DFF!A:A,DFF!B:B,"",-1)</f>
        <v>0.38</v>
      </c>
      <c r="M57">
        <f>_xlfn.XLOOKUP(A57,'DGS2'!A:A,'DGS2'!B:B,"",-1)</f>
        <v>0.76</v>
      </c>
      <c r="N57">
        <f t="shared" si="3"/>
        <v>2.0000000000000018E-2</v>
      </c>
      <c r="O57">
        <f t="shared" si="4"/>
        <v>-1.6515869596439581E-3</v>
      </c>
      <c r="P57">
        <f t="shared" si="5"/>
        <v>0</v>
      </c>
      <c r="Q57">
        <f t="shared" si="6"/>
        <v>0</v>
      </c>
      <c r="R57" s="3">
        <v>48.88</v>
      </c>
    </row>
    <row r="58" spans="1:18">
      <c r="A58" s="1">
        <v>42543</v>
      </c>
      <c r="B58">
        <v>2085.4499999999998</v>
      </c>
      <c r="C58">
        <f t="shared" si="0"/>
        <v>-1.6515869596439581E-3</v>
      </c>
      <c r="D58">
        <f t="shared" si="7"/>
        <v>6.8703469452786603E-3</v>
      </c>
      <c r="E58">
        <f>_xlfn.XLOOKUP(A58,VIX!A:A,VIX!B:B,"",-1)</f>
        <v>21.17</v>
      </c>
      <c r="F58">
        <f t="shared" si="1"/>
        <v>2.6900000000000013</v>
      </c>
      <c r="G58">
        <f>_xlfn.XLOOKUP(A58,'DGS10'!A:A,'DGS10'!B:B,"",-1)</f>
        <v>1.69</v>
      </c>
      <c r="H58">
        <f t="shared" si="2"/>
        <v>-2.0000000000000018E-2</v>
      </c>
      <c r="I58" s="2">
        <f>_xlfn.XLOOKUP(A58,T10Y3M!A:A,T10Y3M!B:B,"",-1)</f>
        <v>1.42</v>
      </c>
      <c r="J58" s="2">
        <f>_xlfn.XLOOKUP(A58,BAMLC0A4CBBB!A:A,BAMLC0A4CBBB!B:B,"",-1)</f>
        <v>2.0699999999999998</v>
      </c>
      <c r="K58" s="2">
        <f>_xlfn.XLOOKUP(A58,CPIAUCSL!A:A,CPIAUCSL!B:B,"",-1)</f>
        <v>240.22200000000001</v>
      </c>
      <c r="L58">
        <f>_xlfn.XLOOKUP(A58,DFF!A:A,DFF!B:B,"",-1)</f>
        <v>0.38</v>
      </c>
      <c r="M58">
        <f>_xlfn.XLOOKUP(A58,'DGS2'!A:A,'DGS2'!B:B,"",-1)</f>
        <v>0.75</v>
      </c>
      <c r="N58">
        <f t="shared" si="3"/>
        <v>-1.0000000000000009E-2</v>
      </c>
      <c r="O58">
        <f t="shared" si="4"/>
        <v>1.3364022153492305E-2</v>
      </c>
      <c r="P58">
        <f t="shared" si="5"/>
        <v>1</v>
      </c>
      <c r="Q58">
        <f t="shared" si="6"/>
        <v>1</v>
      </c>
      <c r="R58" s="3">
        <v>48.49</v>
      </c>
    </row>
    <row r="59" spans="1:18">
      <c r="A59" s="1">
        <v>42544</v>
      </c>
      <c r="B59">
        <v>2113.3200000000002</v>
      </c>
      <c r="C59">
        <f t="shared" si="0"/>
        <v>1.3364022153492305E-2</v>
      </c>
      <c r="D59">
        <f t="shared" si="7"/>
        <v>1.4434177367094847E-2</v>
      </c>
      <c r="E59">
        <f>_xlfn.XLOOKUP(A59,VIX!A:A,VIX!B:B,"",-1)</f>
        <v>17.25</v>
      </c>
      <c r="F59">
        <f t="shared" si="1"/>
        <v>-3.9200000000000017</v>
      </c>
      <c r="G59">
        <f>_xlfn.XLOOKUP(A59,'DGS10'!A:A,'DGS10'!B:B,"",-1)</f>
        <v>1.74</v>
      </c>
      <c r="H59">
        <f t="shared" si="2"/>
        <v>5.0000000000000044E-2</v>
      </c>
      <c r="I59" s="2">
        <f>_xlfn.XLOOKUP(A59,T10Y3M!A:A,T10Y3M!B:B,"",-1)</f>
        <v>1.43</v>
      </c>
      <c r="J59" s="2">
        <f>_xlfn.XLOOKUP(A59,BAMLC0A4CBBB!A:A,BAMLC0A4CBBB!B:B,"",-1)</f>
        <v>2.04</v>
      </c>
      <c r="K59" s="2">
        <f>_xlfn.XLOOKUP(A59,CPIAUCSL!A:A,CPIAUCSL!B:B,"",-1)</f>
        <v>240.22200000000001</v>
      </c>
      <c r="L59">
        <f>_xlfn.XLOOKUP(A59,DFF!A:A,DFF!B:B,"",-1)</f>
        <v>0.39</v>
      </c>
      <c r="M59">
        <f>_xlfn.XLOOKUP(A59,'DGS2'!A:A,'DGS2'!B:B,"",-1)</f>
        <v>0.78</v>
      </c>
      <c r="N59">
        <f t="shared" si="3"/>
        <v>3.0000000000000027E-2</v>
      </c>
      <c r="O59">
        <f t="shared" si="4"/>
        <v>-3.5919784982870628E-2</v>
      </c>
      <c r="P59">
        <f t="shared" si="5"/>
        <v>0</v>
      </c>
      <c r="Q59">
        <f t="shared" si="6"/>
        <v>-1</v>
      </c>
      <c r="R59" s="3">
        <v>48.01</v>
      </c>
    </row>
    <row r="60" spans="1:18">
      <c r="A60" s="1">
        <v>42545</v>
      </c>
      <c r="B60">
        <v>2037.41</v>
      </c>
      <c r="C60">
        <f t="shared" si="0"/>
        <v>-3.5919784982870628E-2</v>
      </c>
      <c r="D60">
        <f t="shared" si="7"/>
        <v>-2.4649336971611868E-2</v>
      </c>
      <c r="E60">
        <f>_xlfn.XLOOKUP(A60,VIX!A:A,VIX!B:B,"",-1)</f>
        <v>25.76</v>
      </c>
      <c r="F60">
        <f t="shared" si="1"/>
        <v>8.5100000000000016</v>
      </c>
      <c r="G60">
        <f>_xlfn.XLOOKUP(A60,'DGS10'!A:A,'DGS10'!B:B,"",-1)</f>
        <v>1.57</v>
      </c>
      <c r="H60">
        <f t="shared" si="2"/>
        <v>-0.16999999999999993</v>
      </c>
      <c r="I60" s="2">
        <f>_xlfn.XLOOKUP(A60,T10Y3M!A:A,T10Y3M!B:B,"",-1)</f>
        <v>1.3</v>
      </c>
      <c r="J60" s="2">
        <f>_xlfn.XLOOKUP(A60,BAMLC0A4CBBB!A:A,BAMLC0A4CBBB!B:B,"",-1)</f>
        <v>2.12</v>
      </c>
      <c r="K60" s="2">
        <f>_xlfn.XLOOKUP(A60,CPIAUCSL!A:A,CPIAUCSL!B:B,"",-1)</f>
        <v>240.22200000000001</v>
      </c>
      <c r="L60">
        <f>_xlfn.XLOOKUP(A60,DFF!A:A,DFF!B:B,"",-1)</f>
        <v>0.4</v>
      </c>
      <c r="M60">
        <f>_xlfn.XLOOKUP(A60,'DGS2'!A:A,'DGS2'!B:B,"",-1)</f>
        <v>0.64</v>
      </c>
      <c r="N60">
        <f t="shared" si="3"/>
        <v>-0.14000000000000001</v>
      </c>
      <c r="O60">
        <f t="shared" si="4"/>
        <v>-1.809650487628911E-2</v>
      </c>
      <c r="P60">
        <f t="shared" si="5"/>
        <v>0</v>
      </c>
      <c r="Q60">
        <f t="shared" si="6"/>
        <v>-1</v>
      </c>
      <c r="R60" s="3">
        <v>46.21</v>
      </c>
    </row>
    <row r="61" spans="1:18">
      <c r="A61" s="1">
        <v>42548</v>
      </c>
      <c r="B61">
        <v>2000.54</v>
      </c>
      <c r="C61">
        <f t="shared" si="0"/>
        <v>-1.809650487628911E-2</v>
      </c>
      <c r="D61">
        <f t="shared" si="7"/>
        <v>-4.0715433119950073E-2</v>
      </c>
      <c r="E61">
        <f>_xlfn.XLOOKUP(A61,VIX!A:A,VIX!B:B,"",-1)</f>
        <v>23.85</v>
      </c>
      <c r="F61">
        <f t="shared" si="1"/>
        <v>-1.9100000000000001</v>
      </c>
      <c r="G61">
        <f>_xlfn.XLOOKUP(A61,'DGS10'!A:A,'DGS10'!B:B,"",-1)</f>
        <v>1.46</v>
      </c>
      <c r="H61">
        <f t="shared" si="2"/>
        <v>-0.1100000000000001</v>
      </c>
      <c r="I61" s="2">
        <f>_xlfn.XLOOKUP(A61,T10Y3M!A:A,T10Y3M!B:B,"",-1)</f>
        <v>1.19</v>
      </c>
      <c r="J61" s="2">
        <f>_xlfn.XLOOKUP(A61,BAMLC0A4CBBB!A:A,BAMLC0A4CBBB!B:B,"",-1)</f>
        <v>2.16</v>
      </c>
      <c r="K61" s="2">
        <f>_xlfn.XLOOKUP(A61,CPIAUCSL!A:A,CPIAUCSL!B:B,"",-1)</f>
        <v>240.22200000000001</v>
      </c>
      <c r="L61">
        <f>_xlfn.XLOOKUP(A61,DFF!A:A,DFF!B:B,"",-1)</f>
        <v>0.41</v>
      </c>
      <c r="M61">
        <f>_xlfn.XLOOKUP(A61,'DGS2'!A:A,'DGS2'!B:B,"",-1)</f>
        <v>0.61</v>
      </c>
      <c r="N61">
        <f t="shared" si="3"/>
        <v>-3.0000000000000027E-2</v>
      </c>
      <c r="O61">
        <f t="shared" si="4"/>
        <v>1.7770202045447769E-2</v>
      </c>
      <c r="P61">
        <f t="shared" si="5"/>
        <v>1</v>
      </c>
      <c r="Q61">
        <f t="shared" si="6"/>
        <v>1</v>
      </c>
      <c r="R61" s="3">
        <v>47.98</v>
      </c>
    </row>
    <row r="62" spans="1:18">
      <c r="A62" s="1">
        <v>42549</v>
      </c>
      <c r="B62">
        <v>2036.09</v>
      </c>
      <c r="C62">
        <f t="shared" si="0"/>
        <v>1.7770202045447769E-2</v>
      </c>
      <c r="D62">
        <f t="shared" si="7"/>
        <v>-3.6544394601858765E-2</v>
      </c>
      <c r="E62">
        <f>_xlfn.XLOOKUP(A62,VIX!A:A,VIX!B:B,"",-1)</f>
        <v>18.75</v>
      </c>
      <c r="F62">
        <f t="shared" si="1"/>
        <v>-5.1000000000000014</v>
      </c>
      <c r="G62">
        <f>_xlfn.XLOOKUP(A62,'DGS10'!A:A,'DGS10'!B:B,"",-1)</f>
        <v>1.46</v>
      </c>
      <c r="H62">
        <f t="shared" si="2"/>
        <v>0</v>
      </c>
      <c r="I62" s="2">
        <f>_xlfn.XLOOKUP(A62,T10Y3M!A:A,T10Y3M!B:B,"",-1)</f>
        <v>1.2</v>
      </c>
      <c r="J62" s="2">
        <f>_xlfn.XLOOKUP(A62,BAMLC0A4CBBB!A:A,BAMLC0A4CBBB!B:B,"",-1)</f>
        <v>2.15</v>
      </c>
      <c r="K62" s="2">
        <f>_xlfn.XLOOKUP(A62,CPIAUCSL!A:A,CPIAUCSL!B:B,"",-1)</f>
        <v>240.22200000000001</v>
      </c>
      <c r="L62">
        <f>_xlfn.XLOOKUP(A62,DFF!A:A,DFF!B:B,"",-1)</f>
        <v>0.41</v>
      </c>
      <c r="M62">
        <f>_xlfn.XLOOKUP(A62,'DGS2'!A:A,'DGS2'!B:B,"",-1)</f>
        <v>0.61</v>
      </c>
      <c r="N62">
        <f t="shared" si="3"/>
        <v>0</v>
      </c>
      <c r="O62">
        <f t="shared" si="4"/>
        <v>1.703264590465059E-2</v>
      </c>
      <c r="P62">
        <f t="shared" si="5"/>
        <v>1</v>
      </c>
      <c r="Q62">
        <f t="shared" si="6"/>
        <v>1</v>
      </c>
      <c r="R62" s="3">
        <v>49.37</v>
      </c>
    </row>
    <row r="63" spans="1:18">
      <c r="A63" s="1">
        <v>42550</v>
      </c>
      <c r="B63">
        <v>2070.77</v>
      </c>
      <c r="C63">
        <f t="shared" si="0"/>
        <v>1.703264590465059E-2</v>
      </c>
      <c r="D63">
        <f t="shared" si="7"/>
        <v>1.6373729391727654E-2</v>
      </c>
      <c r="E63">
        <f>_xlfn.XLOOKUP(A63,VIX!A:A,VIX!B:B,"",-1)</f>
        <v>16.64</v>
      </c>
      <c r="F63">
        <f t="shared" si="1"/>
        <v>-2.1099999999999994</v>
      </c>
      <c r="G63">
        <f>_xlfn.XLOOKUP(A63,'DGS10'!A:A,'DGS10'!B:B,"",-1)</f>
        <v>1.5</v>
      </c>
      <c r="H63">
        <f t="shared" si="2"/>
        <v>4.0000000000000036E-2</v>
      </c>
      <c r="I63" s="2">
        <f>_xlfn.XLOOKUP(A63,T10Y3M!A:A,T10Y3M!B:B,"",-1)</f>
        <v>1.24</v>
      </c>
      <c r="J63" s="2">
        <f>_xlfn.XLOOKUP(A63,BAMLC0A4CBBB!A:A,BAMLC0A4CBBB!B:B,"",-1)</f>
        <v>2.13</v>
      </c>
      <c r="K63" s="2">
        <f>_xlfn.XLOOKUP(A63,CPIAUCSL!A:A,CPIAUCSL!B:B,"",-1)</f>
        <v>240.22200000000001</v>
      </c>
      <c r="L63">
        <f>_xlfn.XLOOKUP(A63,DFF!A:A,DFF!B:B,"",-1)</f>
        <v>0.41</v>
      </c>
      <c r="M63">
        <f>_xlfn.XLOOKUP(A63,'DGS2'!A:A,'DGS2'!B:B,"",-1)</f>
        <v>0.62</v>
      </c>
      <c r="N63">
        <f t="shared" si="3"/>
        <v>1.0000000000000009E-2</v>
      </c>
      <c r="O63">
        <f t="shared" si="4"/>
        <v>1.3565002390415248E-2</v>
      </c>
      <c r="P63">
        <f t="shared" si="5"/>
        <v>1</v>
      </c>
      <c r="Q63">
        <f t="shared" si="6"/>
        <v>1</v>
      </c>
      <c r="R63" s="3">
        <v>48.85</v>
      </c>
    </row>
    <row r="64" spans="1:18">
      <c r="A64" s="1">
        <v>42551</v>
      </c>
      <c r="B64">
        <v>2098.86</v>
      </c>
      <c r="C64">
        <f t="shared" si="0"/>
        <v>1.3565002390415248E-2</v>
      </c>
      <c r="D64">
        <f t="shared" si="7"/>
        <v>4.9146730382796822E-2</v>
      </c>
      <c r="E64">
        <f>_xlfn.XLOOKUP(A64,VIX!A:A,VIX!B:B,"",-1)</f>
        <v>15.63</v>
      </c>
      <c r="F64">
        <f t="shared" si="1"/>
        <v>-1.0099999999999998</v>
      </c>
      <c r="G64">
        <f>_xlfn.XLOOKUP(A64,'DGS10'!A:A,'DGS10'!B:B,"",-1)</f>
        <v>1.49</v>
      </c>
      <c r="H64">
        <f t="shared" si="2"/>
        <v>-1.0000000000000009E-2</v>
      </c>
      <c r="I64" s="2">
        <f>_xlfn.XLOOKUP(A64,T10Y3M!A:A,T10Y3M!B:B,"",-1)</f>
        <v>1.23</v>
      </c>
      <c r="J64" s="2">
        <f>_xlfn.XLOOKUP(A64,BAMLC0A4CBBB!A:A,BAMLC0A4CBBB!B:B,"",-1)</f>
        <v>2.13</v>
      </c>
      <c r="K64" s="2">
        <f>_xlfn.XLOOKUP(A64,CPIAUCSL!A:A,CPIAUCSL!B:B,"",-1)</f>
        <v>240.22200000000001</v>
      </c>
      <c r="L64">
        <f>_xlfn.XLOOKUP(A64,DFF!A:A,DFF!B:B,"",-1)</f>
        <v>0.3</v>
      </c>
      <c r="M64">
        <f>_xlfn.XLOOKUP(A64,'DGS2'!A:A,'DGS2'!B:B,"",-1)</f>
        <v>0.57999999999999996</v>
      </c>
      <c r="N64">
        <f t="shared" si="3"/>
        <v>-4.0000000000000036E-2</v>
      </c>
      <c r="O64">
        <f t="shared" si="4"/>
        <v>1.9486769007936999E-3</v>
      </c>
      <c r="P64">
        <f t="shared" si="5"/>
        <v>1</v>
      </c>
      <c r="Q64">
        <f t="shared" si="6"/>
        <v>0</v>
      </c>
      <c r="R64" s="3">
        <v>49.13</v>
      </c>
    </row>
    <row r="65" spans="1:18">
      <c r="A65" s="1">
        <v>42552</v>
      </c>
      <c r="B65">
        <v>2102.9499999999998</v>
      </c>
      <c r="C65">
        <f t="shared" si="0"/>
        <v>1.9486769007936999E-3</v>
      </c>
      <c r="D65">
        <f t="shared" si="7"/>
        <v>3.2837448246393786E-2</v>
      </c>
      <c r="E65">
        <f>_xlfn.XLOOKUP(A65,VIX!A:A,VIX!B:B,"",-1)</f>
        <v>14.77</v>
      </c>
      <c r="F65">
        <f t="shared" si="1"/>
        <v>-0.86000000000000121</v>
      </c>
      <c r="G65">
        <f>_xlfn.XLOOKUP(A65,'DGS10'!A:A,'DGS10'!B:B,"",-1)</f>
        <v>1.46</v>
      </c>
      <c r="H65">
        <f t="shared" si="2"/>
        <v>-3.0000000000000027E-2</v>
      </c>
      <c r="I65" s="2">
        <f>_xlfn.XLOOKUP(A65,T10Y3M!A:A,T10Y3M!B:B,"",-1)</f>
        <v>1.18</v>
      </c>
      <c r="J65" s="2">
        <f>_xlfn.XLOOKUP(A65,BAMLC0A4CBBB!A:A,BAMLC0A4CBBB!B:B,"",-1)</f>
        <v>2.12</v>
      </c>
      <c r="K65" s="2">
        <f>_xlfn.XLOOKUP(A65,CPIAUCSL!A:A,CPIAUCSL!B:B,"",-1)</f>
        <v>240.101</v>
      </c>
      <c r="L65">
        <f>_xlfn.XLOOKUP(A65,DFF!A:A,DFF!B:B,"",-1)</f>
        <v>0.41</v>
      </c>
      <c r="M65">
        <f>_xlfn.XLOOKUP(A65,'DGS2'!A:A,'DGS2'!B:B,"",-1)</f>
        <v>0.59</v>
      </c>
      <c r="N65">
        <f t="shared" si="3"/>
        <v>1.0000000000000009E-2</v>
      </c>
      <c r="O65">
        <f t="shared" si="4"/>
        <v>-6.8475237166835123E-3</v>
      </c>
      <c r="P65">
        <f t="shared" si="5"/>
        <v>0</v>
      </c>
      <c r="Q65">
        <f t="shared" si="6"/>
        <v>-1</v>
      </c>
      <c r="R65" s="3">
        <v>50.11</v>
      </c>
    </row>
    <row r="66" spans="1:18">
      <c r="A66" s="1">
        <v>42556</v>
      </c>
      <c r="B66">
        <v>2088.5500000000002</v>
      </c>
      <c r="C66">
        <f t="shared" si="0"/>
        <v>-6.8475237166835123E-3</v>
      </c>
      <c r="D66">
        <f t="shared" si="7"/>
        <v>8.5861780883440542E-3</v>
      </c>
      <c r="E66">
        <f>_xlfn.XLOOKUP(A66,VIX!A:A,VIX!B:B,"",-1)</f>
        <v>15.58</v>
      </c>
      <c r="F66">
        <f t="shared" si="1"/>
        <v>0.8100000000000005</v>
      </c>
      <c r="G66">
        <f>_xlfn.XLOOKUP(A66,'DGS10'!A:A,'DGS10'!B:B,"",-1)</f>
        <v>1.37</v>
      </c>
      <c r="H66">
        <f t="shared" si="2"/>
        <v>-8.9999999999999858E-2</v>
      </c>
      <c r="I66" s="2">
        <f>_xlfn.XLOOKUP(A66,T10Y3M!A:A,T10Y3M!B:B,"",-1)</f>
        <v>1.0900000000000001</v>
      </c>
      <c r="J66" s="2">
        <f>_xlfn.XLOOKUP(A66,BAMLC0A4CBBB!A:A,BAMLC0A4CBBB!B:B,"",-1)</f>
        <v>2.12</v>
      </c>
      <c r="K66" s="2">
        <f>_xlfn.XLOOKUP(A66,CPIAUCSL!A:A,CPIAUCSL!B:B,"",-1)</f>
        <v>240.101</v>
      </c>
      <c r="L66">
        <f>_xlfn.XLOOKUP(A66,DFF!A:A,DFF!B:B,"",-1)</f>
        <v>0.4</v>
      </c>
      <c r="M66">
        <f>_xlfn.XLOOKUP(A66,'DGS2'!A:A,'DGS2'!B:B,"",-1)</f>
        <v>0.56000000000000005</v>
      </c>
      <c r="N66">
        <f t="shared" si="3"/>
        <v>-2.9999999999999916E-2</v>
      </c>
      <c r="O66">
        <f t="shared" si="4"/>
        <v>5.3529960977711788E-3</v>
      </c>
      <c r="P66">
        <f t="shared" si="5"/>
        <v>1</v>
      </c>
      <c r="Q66">
        <f t="shared" si="6"/>
        <v>1</v>
      </c>
      <c r="R66" s="3">
        <v>47.64</v>
      </c>
    </row>
    <row r="67" spans="1:18">
      <c r="A67" s="1">
        <v>42557</v>
      </c>
      <c r="B67">
        <v>2099.73</v>
      </c>
      <c r="C67">
        <f t="shared" si="0"/>
        <v>5.3529960977711788E-3</v>
      </c>
      <c r="D67">
        <f t="shared" si="7"/>
        <v>4.1451073439868757E-4</v>
      </c>
      <c r="E67">
        <f>_xlfn.XLOOKUP(A67,VIX!A:A,VIX!B:B,"",-1)</f>
        <v>14.96</v>
      </c>
      <c r="F67">
        <f t="shared" si="1"/>
        <v>-0.61999999999999922</v>
      </c>
      <c r="G67">
        <f>_xlfn.XLOOKUP(A67,'DGS10'!A:A,'DGS10'!B:B,"",-1)</f>
        <v>1.38</v>
      </c>
      <c r="H67">
        <f t="shared" si="2"/>
        <v>9.9999999999997868E-3</v>
      </c>
      <c r="I67" s="2">
        <f>_xlfn.XLOOKUP(A67,T10Y3M!A:A,T10Y3M!B:B,"",-1)</f>
        <v>1.1100000000000001</v>
      </c>
      <c r="J67" s="2">
        <f>_xlfn.XLOOKUP(A67,BAMLC0A4CBBB!A:A,BAMLC0A4CBBB!B:B,"",-1)</f>
        <v>2.11</v>
      </c>
      <c r="K67" s="2">
        <f>_xlfn.XLOOKUP(A67,CPIAUCSL!A:A,CPIAUCSL!B:B,"",-1)</f>
        <v>240.101</v>
      </c>
      <c r="L67">
        <f>_xlfn.XLOOKUP(A67,DFF!A:A,DFF!B:B,"",-1)</f>
        <v>0.4</v>
      </c>
      <c r="M67">
        <f>_xlfn.XLOOKUP(A67,'DGS2'!A:A,'DGS2'!B:B,"",-1)</f>
        <v>0.57999999999999996</v>
      </c>
      <c r="N67">
        <f t="shared" si="3"/>
        <v>1.9999999999999907E-2</v>
      </c>
      <c r="O67">
        <f t="shared" si="4"/>
        <v>-8.7154062665195653E-4</v>
      </c>
      <c r="P67">
        <f t="shared" si="5"/>
        <v>0</v>
      </c>
      <c r="Q67">
        <f t="shared" si="6"/>
        <v>0</v>
      </c>
      <c r="R67" s="3">
        <v>46.33</v>
      </c>
    </row>
    <row r="68" spans="1:18">
      <c r="A68" s="1">
        <v>42558</v>
      </c>
      <c r="B68">
        <v>2097.9</v>
      </c>
      <c r="C68">
        <f t="shared" ref="C68:C131" si="8">IF(OR(B68="",B67=""),"",(B68/B67)-1)</f>
        <v>-8.7154062665195653E-4</v>
      </c>
      <c r="D68">
        <f t="shared" si="7"/>
        <v>-2.4013885256424228E-3</v>
      </c>
      <c r="E68">
        <f>_xlfn.XLOOKUP(A68,VIX!A:A,VIX!B:B,"",-1)</f>
        <v>14.76</v>
      </c>
      <c r="F68">
        <f t="shared" ref="F68:F131" si="9">IF(OR(E68="",E67=""),"",E68-E67)</f>
        <v>-0.20000000000000107</v>
      </c>
      <c r="G68">
        <f>_xlfn.XLOOKUP(A68,'DGS10'!A:A,'DGS10'!B:B,"",-1)</f>
        <v>1.4</v>
      </c>
      <c r="H68">
        <f t="shared" ref="H68:H131" si="10">IF(OR(G68="",G67=""),"",G68-G67)</f>
        <v>2.0000000000000018E-2</v>
      </c>
      <c r="I68" s="2">
        <f>_xlfn.XLOOKUP(A68,T10Y3M!A:A,T10Y3M!B:B,"",-1)</f>
        <v>1.1100000000000001</v>
      </c>
      <c r="J68" s="2">
        <f>_xlfn.XLOOKUP(A68,BAMLC0A4CBBB!A:A,BAMLC0A4CBBB!B:B,"",-1)</f>
        <v>2.09</v>
      </c>
      <c r="K68" s="2">
        <f>_xlfn.XLOOKUP(A68,CPIAUCSL!A:A,CPIAUCSL!B:B,"",-1)</f>
        <v>240.101</v>
      </c>
      <c r="L68">
        <f>_xlfn.XLOOKUP(A68,DFF!A:A,DFF!B:B,"",-1)</f>
        <v>0.4</v>
      </c>
      <c r="M68">
        <f>_xlfn.XLOOKUP(A68,'DGS2'!A:A,'DGS2'!B:B,"",-1)</f>
        <v>0.57999999999999996</v>
      </c>
      <c r="N68">
        <f t="shared" ref="N68:N131" si="11">IF(OR(M68="",M67=""),"",M68-M67)</f>
        <v>0</v>
      </c>
      <c r="O68">
        <f t="shared" ref="O68:O131" si="12">IF(OR(B69="",B68=""),"",(B69/B68)-1)</f>
        <v>1.5253348586681925E-2</v>
      </c>
      <c r="P68">
        <f t="shared" ref="P68:P131" si="13">IF(O68="","",IF(O68&gt;0,1,0))</f>
        <v>1</v>
      </c>
      <c r="Q68">
        <f t="shared" ref="Q68:Q131" si="14">IF(O68="","",IF(O68&gt;0.003,1,IF(O68&lt;-0.003,-1,0)))</f>
        <v>1</v>
      </c>
      <c r="R68" s="3">
        <v>47.85</v>
      </c>
    </row>
    <row r="69" spans="1:18">
      <c r="A69" s="1">
        <v>42559</v>
      </c>
      <c r="B69">
        <v>2129.9</v>
      </c>
      <c r="C69">
        <f t="shared" si="8"/>
        <v>1.5253348586681925E-2</v>
      </c>
      <c r="D69">
        <f t="shared" si="7"/>
        <v>1.9798424744439824E-2</v>
      </c>
      <c r="E69">
        <f>_xlfn.XLOOKUP(A69,VIX!A:A,VIX!B:B,"",-1)</f>
        <v>13.2</v>
      </c>
      <c r="F69">
        <f t="shared" si="9"/>
        <v>-1.5600000000000005</v>
      </c>
      <c r="G69">
        <f>_xlfn.XLOOKUP(A69,'DGS10'!A:A,'DGS10'!B:B,"",-1)</f>
        <v>1.37</v>
      </c>
      <c r="H69">
        <f t="shared" si="10"/>
        <v>-2.9999999999999805E-2</v>
      </c>
      <c r="I69" s="2">
        <f>_xlfn.XLOOKUP(A69,T10Y3M!A:A,T10Y3M!B:B,"",-1)</f>
        <v>1.0900000000000001</v>
      </c>
      <c r="J69" s="2">
        <f>_xlfn.XLOOKUP(A69,BAMLC0A4CBBB!A:A,BAMLC0A4CBBB!B:B,"",-1)</f>
        <v>2.0699999999999998</v>
      </c>
      <c r="K69" s="2">
        <f>_xlfn.XLOOKUP(A69,CPIAUCSL!A:A,CPIAUCSL!B:B,"",-1)</f>
        <v>240.101</v>
      </c>
      <c r="L69">
        <f>_xlfn.XLOOKUP(A69,DFF!A:A,DFF!B:B,"",-1)</f>
        <v>0.4</v>
      </c>
      <c r="M69">
        <f>_xlfn.XLOOKUP(A69,'DGS2'!A:A,'DGS2'!B:B,"",-1)</f>
        <v>0.61</v>
      </c>
      <c r="N69">
        <f t="shared" si="11"/>
        <v>3.0000000000000027E-2</v>
      </c>
      <c r="O69">
        <f t="shared" si="12"/>
        <v>3.4086107328981097E-3</v>
      </c>
      <c r="P69">
        <f t="shared" si="13"/>
        <v>1</v>
      </c>
      <c r="Q69">
        <f t="shared" si="14"/>
        <v>1</v>
      </c>
      <c r="R69" s="3">
        <v>49.88</v>
      </c>
    </row>
    <row r="70" spans="1:18">
      <c r="A70" s="1">
        <v>42562</v>
      </c>
      <c r="B70">
        <v>2137.16</v>
      </c>
      <c r="C70">
        <f t="shared" si="8"/>
        <v>3.4086107328981097E-3</v>
      </c>
      <c r="D70">
        <f t="shared" ref="D70:D133" si="15">IF(OR(B70="",B67=""),"",(B70/B67)-1)</f>
        <v>1.7826101451138943E-2</v>
      </c>
      <c r="E70">
        <f>_xlfn.XLOOKUP(A70,VIX!A:A,VIX!B:B,"",-1)</f>
        <v>13.54</v>
      </c>
      <c r="F70">
        <f t="shared" si="9"/>
        <v>0.33999999999999986</v>
      </c>
      <c r="G70">
        <f>_xlfn.XLOOKUP(A70,'DGS10'!A:A,'DGS10'!B:B,"",-1)</f>
        <v>1.43</v>
      </c>
      <c r="H70">
        <f t="shared" si="10"/>
        <v>5.9999999999999831E-2</v>
      </c>
      <c r="I70" s="2">
        <f>_xlfn.XLOOKUP(A70,T10Y3M!A:A,T10Y3M!B:B,"",-1)</f>
        <v>1.1200000000000001</v>
      </c>
      <c r="J70" s="2">
        <f>_xlfn.XLOOKUP(A70,BAMLC0A4CBBB!A:A,BAMLC0A4CBBB!B:B,"",-1)</f>
        <v>2.04</v>
      </c>
      <c r="K70" s="2">
        <f>_xlfn.XLOOKUP(A70,CPIAUCSL!A:A,CPIAUCSL!B:B,"",-1)</f>
        <v>240.101</v>
      </c>
      <c r="L70">
        <f>_xlfn.XLOOKUP(A70,DFF!A:A,DFF!B:B,"",-1)</f>
        <v>0.4</v>
      </c>
      <c r="M70">
        <f>_xlfn.XLOOKUP(A70,'DGS2'!A:A,'DGS2'!B:B,"",-1)</f>
        <v>0.66</v>
      </c>
      <c r="N70">
        <f t="shared" si="11"/>
        <v>5.0000000000000044E-2</v>
      </c>
      <c r="O70">
        <f t="shared" si="12"/>
        <v>7.0093020644219628E-3</v>
      </c>
      <c r="P70">
        <f t="shared" si="13"/>
        <v>1</v>
      </c>
      <c r="Q70">
        <f t="shared" si="14"/>
        <v>1</v>
      </c>
      <c r="R70" s="3">
        <v>48.33</v>
      </c>
    </row>
    <row r="71" spans="1:18">
      <c r="A71" s="1">
        <v>42563</v>
      </c>
      <c r="B71">
        <v>2152.14</v>
      </c>
      <c r="C71">
        <f t="shared" si="8"/>
        <v>7.0093020644219628E-3</v>
      </c>
      <c r="D71">
        <f t="shared" si="15"/>
        <v>2.5854425854425767E-2</v>
      </c>
      <c r="E71">
        <f>_xlfn.XLOOKUP(A71,VIX!A:A,VIX!B:B,"",-1)</f>
        <v>13.55</v>
      </c>
      <c r="F71">
        <f t="shared" si="9"/>
        <v>1.0000000000001563E-2</v>
      </c>
      <c r="G71">
        <f>_xlfn.XLOOKUP(A71,'DGS10'!A:A,'DGS10'!B:B,"",-1)</f>
        <v>1.53</v>
      </c>
      <c r="H71">
        <f t="shared" si="10"/>
        <v>0.10000000000000009</v>
      </c>
      <c r="I71" s="2">
        <f>_xlfn.XLOOKUP(A71,T10Y3M!A:A,T10Y3M!B:B,"",-1)</f>
        <v>1.24</v>
      </c>
      <c r="J71" s="2">
        <f>_xlfn.XLOOKUP(A71,BAMLC0A4CBBB!A:A,BAMLC0A4CBBB!B:B,"",-1)</f>
        <v>2</v>
      </c>
      <c r="K71" s="2">
        <f>_xlfn.XLOOKUP(A71,CPIAUCSL!A:A,CPIAUCSL!B:B,"",-1)</f>
        <v>240.101</v>
      </c>
      <c r="L71">
        <f>_xlfn.XLOOKUP(A71,DFF!A:A,DFF!B:B,"",-1)</f>
        <v>0.4</v>
      </c>
      <c r="M71">
        <f>_xlfn.XLOOKUP(A71,'DGS2'!A:A,'DGS2'!B:B,"",-1)</f>
        <v>0.69</v>
      </c>
      <c r="N71">
        <f t="shared" si="11"/>
        <v>2.9999999999999916E-2</v>
      </c>
      <c r="O71">
        <f t="shared" si="12"/>
        <v>1.3474959807435738E-4</v>
      </c>
      <c r="P71">
        <f t="shared" si="13"/>
        <v>1</v>
      </c>
      <c r="Q71">
        <f t="shared" si="14"/>
        <v>0</v>
      </c>
      <c r="R71" s="3">
        <v>48.99</v>
      </c>
    </row>
    <row r="72" spans="1:18">
      <c r="A72" s="1">
        <v>42564</v>
      </c>
      <c r="B72">
        <v>2152.4299999999998</v>
      </c>
      <c r="C72">
        <f t="shared" si="8"/>
        <v>1.3474959807435738E-4</v>
      </c>
      <c r="D72">
        <f t="shared" si="15"/>
        <v>1.0577961406638581E-2</v>
      </c>
      <c r="E72">
        <f>_xlfn.XLOOKUP(A72,VIX!A:A,VIX!B:B,"",-1)</f>
        <v>13.04</v>
      </c>
      <c r="F72">
        <f t="shared" si="9"/>
        <v>-0.51000000000000156</v>
      </c>
      <c r="G72">
        <f>_xlfn.XLOOKUP(A72,'DGS10'!A:A,'DGS10'!B:B,"",-1)</f>
        <v>1.48</v>
      </c>
      <c r="H72">
        <f t="shared" si="10"/>
        <v>-5.0000000000000044E-2</v>
      </c>
      <c r="I72" s="2">
        <f>_xlfn.XLOOKUP(A72,T10Y3M!A:A,T10Y3M!B:B,"",-1)</f>
        <v>1.17</v>
      </c>
      <c r="J72" s="2">
        <f>_xlfn.XLOOKUP(A72,BAMLC0A4CBBB!A:A,BAMLC0A4CBBB!B:B,"",-1)</f>
        <v>2</v>
      </c>
      <c r="K72" s="2">
        <f>_xlfn.XLOOKUP(A72,CPIAUCSL!A:A,CPIAUCSL!B:B,"",-1)</f>
        <v>240.101</v>
      </c>
      <c r="L72">
        <f>_xlfn.XLOOKUP(A72,DFF!A:A,DFF!B:B,"",-1)</f>
        <v>0.4</v>
      </c>
      <c r="M72">
        <f>_xlfn.XLOOKUP(A72,'DGS2'!A:A,'DGS2'!B:B,"",-1)</f>
        <v>0.68</v>
      </c>
      <c r="N72">
        <f t="shared" si="11"/>
        <v>-9.9999999999998979E-3</v>
      </c>
      <c r="O72">
        <f t="shared" si="12"/>
        <v>5.2591721914301282E-3</v>
      </c>
      <c r="P72">
        <f t="shared" si="13"/>
        <v>1</v>
      </c>
      <c r="Q72">
        <f t="shared" si="14"/>
        <v>1</v>
      </c>
      <c r="R72" s="3">
        <v>48.76</v>
      </c>
    </row>
    <row r="73" spans="1:18">
      <c r="A73" s="1">
        <v>42565</v>
      </c>
      <c r="B73">
        <v>2163.75</v>
      </c>
      <c r="C73">
        <f t="shared" si="8"/>
        <v>5.2591721914301282E-3</v>
      </c>
      <c r="D73">
        <f t="shared" si="15"/>
        <v>1.244174511969165E-2</v>
      </c>
      <c r="E73">
        <f>_xlfn.XLOOKUP(A73,VIX!A:A,VIX!B:B,"",-1)</f>
        <v>12.82</v>
      </c>
      <c r="F73">
        <f t="shared" si="9"/>
        <v>-0.21999999999999886</v>
      </c>
      <c r="G73">
        <f>_xlfn.XLOOKUP(A73,'DGS10'!A:A,'DGS10'!B:B,"",-1)</f>
        <v>1.53</v>
      </c>
      <c r="H73">
        <f t="shared" si="10"/>
        <v>5.0000000000000044E-2</v>
      </c>
      <c r="I73" s="2">
        <f>_xlfn.XLOOKUP(A73,T10Y3M!A:A,T10Y3M!B:B,"",-1)</f>
        <v>1.21</v>
      </c>
      <c r="J73" s="2">
        <f>_xlfn.XLOOKUP(A73,BAMLC0A4CBBB!A:A,BAMLC0A4CBBB!B:B,"",-1)</f>
        <v>1.97</v>
      </c>
      <c r="K73" s="2">
        <f>_xlfn.XLOOKUP(A73,CPIAUCSL!A:A,CPIAUCSL!B:B,"",-1)</f>
        <v>240.101</v>
      </c>
      <c r="L73">
        <f>_xlfn.XLOOKUP(A73,DFF!A:A,DFF!B:B,"",-1)</f>
        <v>0.4</v>
      </c>
      <c r="M73">
        <f>_xlfn.XLOOKUP(A73,'DGS2'!A:A,'DGS2'!B:B,"",-1)</f>
        <v>0.68</v>
      </c>
      <c r="N73">
        <f t="shared" si="11"/>
        <v>0</v>
      </c>
      <c r="O73">
        <f t="shared" si="12"/>
        <v>-9.2894280762578774E-4</v>
      </c>
      <c r="P73">
        <f t="shared" si="13"/>
        <v>0</v>
      </c>
      <c r="Q73">
        <f t="shared" si="14"/>
        <v>0</v>
      </c>
      <c r="R73" s="3">
        <v>46.6</v>
      </c>
    </row>
    <row r="74" spans="1:18">
      <c r="A74" s="1">
        <v>42566</v>
      </c>
      <c r="B74">
        <v>2161.7399999999998</v>
      </c>
      <c r="C74">
        <f t="shared" si="8"/>
        <v>-9.2894280762578774E-4</v>
      </c>
      <c r="D74">
        <f t="shared" si="15"/>
        <v>4.460676350051429E-3</v>
      </c>
      <c r="E74">
        <f>_xlfn.XLOOKUP(A74,VIX!A:A,VIX!B:B,"",-1)</f>
        <v>12.67</v>
      </c>
      <c r="F74">
        <f t="shared" si="9"/>
        <v>-0.15000000000000036</v>
      </c>
      <c r="G74">
        <f>_xlfn.XLOOKUP(A74,'DGS10'!A:A,'DGS10'!B:B,"",-1)</f>
        <v>1.6</v>
      </c>
      <c r="H74">
        <f t="shared" si="10"/>
        <v>7.0000000000000062E-2</v>
      </c>
      <c r="I74" s="2">
        <f>_xlfn.XLOOKUP(A74,T10Y3M!A:A,T10Y3M!B:B,"",-1)</f>
        <v>1.28</v>
      </c>
      <c r="J74" s="2">
        <f>_xlfn.XLOOKUP(A74,BAMLC0A4CBBB!A:A,BAMLC0A4CBBB!B:B,"",-1)</f>
        <v>1.96</v>
      </c>
      <c r="K74" s="2">
        <f>_xlfn.XLOOKUP(A74,CPIAUCSL!A:A,CPIAUCSL!B:B,"",-1)</f>
        <v>240.101</v>
      </c>
      <c r="L74">
        <f>_xlfn.XLOOKUP(A74,DFF!A:A,DFF!B:B,"",-1)</f>
        <v>0.4</v>
      </c>
      <c r="M74">
        <f>_xlfn.XLOOKUP(A74,'DGS2'!A:A,'DGS2'!B:B,"",-1)</f>
        <v>0.71</v>
      </c>
      <c r="N74">
        <f t="shared" si="11"/>
        <v>2.9999999999999916E-2</v>
      </c>
      <c r="O74">
        <f t="shared" si="12"/>
        <v>2.3823401519147414E-3</v>
      </c>
      <c r="P74">
        <f t="shared" si="13"/>
        <v>1</v>
      </c>
      <c r="Q74">
        <f t="shared" si="14"/>
        <v>0</v>
      </c>
      <c r="R74" s="3">
        <v>47.43</v>
      </c>
    </row>
    <row r="75" spans="1:18">
      <c r="A75" s="1">
        <v>42569</v>
      </c>
      <c r="B75">
        <v>2166.89</v>
      </c>
      <c r="C75">
        <f t="shared" si="8"/>
        <v>2.3823401519147414E-3</v>
      </c>
      <c r="D75">
        <f t="shared" si="15"/>
        <v>6.7179885060142386E-3</v>
      </c>
      <c r="E75">
        <f>_xlfn.XLOOKUP(A75,VIX!A:A,VIX!B:B,"",-1)</f>
        <v>12.44</v>
      </c>
      <c r="F75">
        <f t="shared" si="9"/>
        <v>-0.23000000000000043</v>
      </c>
      <c r="G75">
        <f>_xlfn.XLOOKUP(A75,'DGS10'!A:A,'DGS10'!B:B,"",-1)</f>
        <v>1.59</v>
      </c>
      <c r="H75">
        <f t="shared" si="10"/>
        <v>-1.0000000000000009E-2</v>
      </c>
      <c r="I75" s="2">
        <f>_xlfn.XLOOKUP(A75,T10Y3M!A:A,T10Y3M!B:B,"",-1)</f>
        <v>1.27</v>
      </c>
      <c r="J75" s="2">
        <f>_xlfn.XLOOKUP(A75,BAMLC0A4CBBB!A:A,BAMLC0A4CBBB!B:B,"",-1)</f>
        <v>1.95</v>
      </c>
      <c r="K75" s="2">
        <f>_xlfn.XLOOKUP(A75,CPIAUCSL!A:A,CPIAUCSL!B:B,"",-1)</f>
        <v>240.101</v>
      </c>
      <c r="L75">
        <f>_xlfn.XLOOKUP(A75,DFF!A:A,DFF!B:B,"",-1)</f>
        <v>0.4</v>
      </c>
      <c r="M75">
        <f>_xlfn.XLOOKUP(A75,'DGS2'!A:A,'DGS2'!B:B,"",-1)</f>
        <v>0.68</v>
      </c>
      <c r="N75">
        <f t="shared" si="11"/>
        <v>-2.9999999999999916E-2</v>
      </c>
      <c r="O75">
        <f t="shared" si="12"/>
        <v>-1.4352366756040791E-3</v>
      </c>
      <c r="P75">
        <f t="shared" si="13"/>
        <v>0</v>
      </c>
      <c r="Q75">
        <f t="shared" si="14"/>
        <v>0</v>
      </c>
      <c r="R75" s="3">
        <v>45.14</v>
      </c>
    </row>
    <row r="76" spans="1:18">
      <c r="A76" s="1">
        <v>42570</v>
      </c>
      <c r="B76">
        <v>2163.7800000000002</v>
      </c>
      <c r="C76">
        <f t="shared" si="8"/>
        <v>-1.4352366756040791E-3</v>
      </c>
      <c r="D76">
        <f t="shared" si="15"/>
        <v>1.3864818024345027E-5</v>
      </c>
      <c r="E76">
        <f>_xlfn.XLOOKUP(A76,VIX!A:A,VIX!B:B,"",-1)</f>
        <v>11.97</v>
      </c>
      <c r="F76">
        <f t="shared" si="9"/>
        <v>-0.46999999999999886</v>
      </c>
      <c r="G76">
        <f>_xlfn.XLOOKUP(A76,'DGS10'!A:A,'DGS10'!B:B,"",-1)</f>
        <v>1.56</v>
      </c>
      <c r="H76">
        <f t="shared" si="10"/>
        <v>-3.0000000000000027E-2</v>
      </c>
      <c r="I76" s="2">
        <f>_xlfn.XLOOKUP(A76,T10Y3M!A:A,T10Y3M!B:B,"",-1)</f>
        <v>1.25</v>
      </c>
      <c r="J76" s="2">
        <f>_xlfn.XLOOKUP(A76,BAMLC0A4CBBB!A:A,BAMLC0A4CBBB!B:B,"",-1)</f>
        <v>1.95</v>
      </c>
      <c r="K76" s="2">
        <f>_xlfn.XLOOKUP(A76,CPIAUCSL!A:A,CPIAUCSL!B:B,"",-1)</f>
        <v>240.101</v>
      </c>
      <c r="L76">
        <f>_xlfn.XLOOKUP(A76,DFF!A:A,DFF!B:B,"",-1)</f>
        <v>0.4</v>
      </c>
      <c r="M76">
        <f>_xlfn.XLOOKUP(A76,'DGS2'!A:A,'DGS2'!B:B,"",-1)</f>
        <v>0.7</v>
      </c>
      <c r="N76">
        <f t="shared" si="11"/>
        <v>1.9999999999999907E-2</v>
      </c>
      <c r="O76">
        <f t="shared" si="12"/>
        <v>4.2703047444747622E-3</v>
      </c>
      <c r="P76">
        <f t="shared" si="13"/>
        <v>1</v>
      </c>
      <c r="Q76">
        <f t="shared" si="14"/>
        <v>1</v>
      </c>
      <c r="R76" s="3">
        <v>45.41</v>
      </c>
    </row>
    <row r="77" spans="1:18">
      <c r="A77" s="1">
        <v>42571</v>
      </c>
      <c r="B77">
        <v>2173.02</v>
      </c>
      <c r="C77">
        <f t="shared" si="8"/>
        <v>4.2703047444747622E-3</v>
      </c>
      <c r="D77">
        <f t="shared" si="15"/>
        <v>5.218018818174297E-3</v>
      </c>
      <c r="E77">
        <f>_xlfn.XLOOKUP(A77,VIX!A:A,VIX!B:B,"",-1)</f>
        <v>11.77</v>
      </c>
      <c r="F77">
        <f t="shared" si="9"/>
        <v>-0.20000000000000107</v>
      </c>
      <c r="G77">
        <f>_xlfn.XLOOKUP(A77,'DGS10'!A:A,'DGS10'!B:B,"",-1)</f>
        <v>1.59</v>
      </c>
      <c r="H77">
        <f t="shared" si="10"/>
        <v>3.0000000000000027E-2</v>
      </c>
      <c r="I77" s="2">
        <f>_xlfn.XLOOKUP(A77,T10Y3M!A:A,T10Y3M!B:B,"",-1)</f>
        <v>1.27</v>
      </c>
      <c r="J77" s="2">
        <f>_xlfn.XLOOKUP(A77,BAMLC0A4CBBB!A:A,BAMLC0A4CBBB!B:B,"",-1)</f>
        <v>1.94</v>
      </c>
      <c r="K77" s="2">
        <f>_xlfn.XLOOKUP(A77,CPIAUCSL!A:A,CPIAUCSL!B:B,"",-1)</f>
        <v>240.101</v>
      </c>
      <c r="L77">
        <f>_xlfn.XLOOKUP(A77,DFF!A:A,DFF!B:B,"",-1)</f>
        <v>0.4</v>
      </c>
      <c r="M77">
        <f>_xlfn.XLOOKUP(A77,'DGS2'!A:A,'DGS2'!B:B,"",-1)</f>
        <v>0.73</v>
      </c>
      <c r="N77">
        <f t="shared" si="11"/>
        <v>3.0000000000000027E-2</v>
      </c>
      <c r="O77">
        <f t="shared" si="12"/>
        <v>-3.6124840084306165E-3</v>
      </c>
      <c r="P77">
        <f t="shared" si="13"/>
        <v>0</v>
      </c>
      <c r="Q77">
        <f t="shared" si="14"/>
        <v>-1</v>
      </c>
      <c r="R77" s="3">
        <v>44.76</v>
      </c>
    </row>
    <row r="78" spans="1:18">
      <c r="A78" s="1">
        <v>42572</v>
      </c>
      <c r="B78">
        <v>2165.17</v>
      </c>
      <c r="C78">
        <f t="shared" si="8"/>
        <v>-3.6124840084306165E-3</v>
      </c>
      <c r="D78">
        <f t="shared" si="15"/>
        <v>-7.9376433506073152E-4</v>
      </c>
      <c r="E78">
        <f>_xlfn.XLOOKUP(A78,VIX!A:A,VIX!B:B,"",-1)</f>
        <v>12.74</v>
      </c>
      <c r="F78">
        <f t="shared" si="9"/>
        <v>0.97000000000000064</v>
      </c>
      <c r="G78">
        <f>_xlfn.XLOOKUP(A78,'DGS10'!A:A,'DGS10'!B:B,"",-1)</f>
        <v>1.57</v>
      </c>
      <c r="H78">
        <f t="shared" si="10"/>
        <v>-2.0000000000000018E-2</v>
      </c>
      <c r="I78" s="2">
        <f>_xlfn.XLOOKUP(A78,T10Y3M!A:A,T10Y3M!B:B,"",-1)</f>
        <v>1.25</v>
      </c>
      <c r="J78" s="2">
        <f>_xlfn.XLOOKUP(A78,BAMLC0A4CBBB!A:A,BAMLC0A4CBBB!B:B,"",-1)</f>
        <v>1.94</v>
      </c>
      <c r="K78" s="2">
        <f>_xlfn.XLOOKUP(A78,CPIAUCSL!A:A,CPIAUCSL!B:B,"",-1)</f>
        <v>240.101</v>
      </c>
      <c r="L78">
        <f>_xlfn.XLOOKUP(A78,DFF!A:A,DFF!B:B,"",-1)</f>
        <v>0.4</v>
      </c>
      <c r="M78">
        <f>_xlfn.XLOOKUP(A78,'DGS2'!A:A,'DGS2'!B:B,"",-1)</f>
        <v>0.7</v>
      </c>
      <c r="N78">
        <f t="shared" si="11"/>
        <v>-3.0000000000000027E-2</v>
      </c>
      <c r="O78">
        <f t="shared" si="12"/>
        <v>4.5539149350859454E-3</v>
      </c>
      <c r="P78">
        <f t="shared" si="13"/>
        <v>1</v>
      </c>
      <c r="Q78">
        <f t="shared" si="14"/>
        <v>1</v>
      </c>
      <c r="R78" s="3">
        <v>46.8</v>
      </c>
    </row>
    <row r="79" spans="1:18">
      <c r="A79" s="1">
        <v>42573</v>
      </c>
      <c r="B79">
        <v>2175.0300000000002</v>
      </c>
      <c r="C79">
        <f t="shared" si="8"/>
        <v>4.5539149350859454E-3</v>
      </c>
      <c r="D79">
        <f t="shared" si="15"/>
        <v>5.19923467265615E-3</v>
      </c>
      <c r="E79">
        <f>_xlfn.XLOOKUP(A79,VIX!A:A,VIX!B:B,"",-1)</f>
        <v>12.02</v>
      </c>
      <c r="F79">
        <f t="shared" si="9"/>
        <v>-0.72000000000000064</v>
      </c>
      <c r="G79">
        <f>_xlfn.XLOOKUP(A79,'DGS10'!A:A,'DGS10'!B:B,"",-1)</f>
        <v>1.57</v>
      </c>
      <c r="H79">
        <f t="shared" si="10"/>
        <v>0</v>
      </c>
      <c r="I79" s="2">
        <f>_xlfn.XLOOKUP(A79,T10Y3M!A:A,T10Y3M!B:B,"",-1)</f>
        <v>1.24</v>
      </c>
      <c r="J79" s="2">
        <f>_xlfn.XLOOKUP(A79,BAMLC0A4CBBB!A:A,BAMLC0A4CBBB!B:B,"",-1)</f>
        <v>1.93</v>
      </c>
      <c r="K79" s="2">
        <f>_xlfn.XLOOKUP(A79,CPIAUCSL!A:A,CPIAUCSL!B:B,"",-1)</f>
        <v>240.101</v>
      </c>
      <c r="L79">
        <f>_xlfn.XLOOKUP(A79,DFF!A:A,DFF!B:B,"",-1)</f>
        <v>0.4</v>
      </c>
      <c r="M79">
        <f>_xlfn.XLOOKUP(A79,'DGS2'!A:A,'DGS2'!B:B,"",-1)</f>
        <v>0.71</v>
      </c>
      <c r="N79">
        <f t="shared" si="11"/>
        <v>1.0000000000000009E-2</v>
      </c>
      <c r="O79">
        <f t="shared" si="12"/>
        <v>-3.0114527155947757E-3</v>
      </c>
      <c r="P79">
        <f t="shared" si="13"/>
        <v>0</v>
      </c>
      <c r="Q79">
        <f t="shared" si="14"/>
        <v>-1</v>
      </c>
      <c r="R79" s="3">
        <v>44.75</v>
      </c>
    </row>
    <row r="80" spans="1:18">
      <c r="A80" s="1">
        <v>42576</v>
      </c>
      <c r="B80">
        <v>2168.48</v>
      </c>
      <c r="C80">
        <f t="shared" si="8"/>
        <v>-3.0114527155947757E-3</v>
      </c>
      <c r="D80">
        <f t="shared" si="15"/>
        <v>-2.0892582672962234E-3</v>
      </c>
      <c r="E80">
        <f>_xlfn.XLOOKUP(A80,VIX!A:A,VIX!B:B,"",-1)</f>
        <v>12.87</v>
      </c>
      <c r="F80">
        <f t="shared" si="9"/>
        <v>0.84999999999999964</v>
      </c>
      <c r="G80">
        <f>_xlfn.XLOOKUP(A80,'DGS10'!A:A,'DGS10'!B:B,"",-1)</f>
        <v>1.58</v>
      </c>
      <c r="H80">
        <f t="shared" si="10"/>
        <v>1.0000000000000009E-2</v>
      </c>
      <c r="I80" s="2">
        <f>_xlfn.XLOOKUP(A80,T10Y3M!A:A,T10Y3M!B:B,"",-1)</f>
        <v>1.26</v>
      </c>
      <c r="J80" s="2">
        <f>_xlfn.XLOOKUP(A80,BAMLC0A4CBBB!A:A,BAMLC0A4CBBB!B:B,"",-1)</f>
        <v>1.92</v>
      </c>
      <c r="K80" s="2">
        <f>_xlfn.XLOOKUP(A80,CPIAUCSL!A:A,CPIAUCSL!B:B,"",-1)</f>
        <v>240.101</v>
      </c>
      <c r="L80">
        <f>_xlfn.XLOOKUP(A80,DFF!A:A,DFF!B:B,"",-1)</f>
        <v>0.4</v>
      </c>
      <c r="M80">
        <f>_xlfn.XLOOKUP(A80,'DGS2'!A:A,'DGS2'!B:B,"",-1)</f>
        <v>0.72</v>
      </c>
      <c r="N80">
        <f t="shared" si="11"/>
        <v>1.0000000000000009E-2</v>
      </c>
      <c r="O80">
        <f t="shared" si="12"/>
        <v>3.2280675865115072E-4</v>
      </c>
      <c r="P80">
        <f t="shared" si="13"/>
        <v>1</v>
      </c>
      <c r="Q80">
        <f t="shared" si="14"/>
        <v>0</v>
      </c>
      <c r="R80" s="3">
        <v>45.68</v>
      </c>
    </row>
    <row r="81" spans="1:18">
      <c r="A81" s="1">
        <v>42577</v>
      </c>
      <c r="B81">
        <v>2169.1799999999998</v>
      </c>
      <c r="C81">
        <f t="shared" si="8"/>
        <v>3.2280675865115072E-4</v>
      </c>
      <c r="D81">
        <f t="shared" si="15"/>
        <v>1.8520485689343946E-3</v>
      </c>
      <c r="E81">
        <f>_xlfn.XLOOKUP(A81,VIX!A:A,VIX!B:B,"",-1)</f>
        <v>13.05</v>
      </c>
      <c r="F81">
        <f t="shared" si="9"/>
        <v>0.18000000000000149</v>
      </c>
      <c r="G81">
        <f>_xlfn.XLOOKUP(A81,'DGS10'!A:A,'DGS10'!B:B,"",-1)</f>
        <v>1.57</v>
      </c>
      <c r="H81">
        <f t="shared" si="10"/>
        <v>-1.0000000000000009E-2</v>
      </c>
      <c r="I81" s="2">
        <f>_xlfn.XLOOKUP(A81,T10Y3M!A:A,T10Y3M!B:B,"",-1)</f>
        <v>1.26</v>
      </c>
      <c r="J81" s="2">
        <f>_xlfn.XLOOKUP(A81,BAMLC0A4CBBB!A:A,BAMLC0A4CBBB!B:B,"",-1)</f>
        <v>1.93</v>
      </c>
      <c r="K81" s="2">
        <f>_xlfn.XLOOKUP(A81,CPIAUCSL!A:A,CPIAUCSL!B:B,"",-1)</f>
        <v>240.101</v>
      </c>
      <c r="L81">
        <f>_xlfn.XLOOKUP(A81,DFF!A:A,DFF!B:B,"",-1)</f>
        <v>0.4</v>
      </c>
      <c r="M81">
        <f>_xlfn.XLOOKUP(A81,'DGS2'!A:A,'DGS2'!B:B,"",-1)</f>
        <v>0.75</v>
      </c>
      <c r="N81">
        <f t="shared" si="11"/>
        <v>3.0000000000000027E-2</v>
      </c>
      <c r="O81">
        <f t="shared" si="12"/>
        <v>-1.1986096128490109E-3</v>
      </c>
      <c r="P81">
        <f t="shared" si="13"/>
        <v>0</v>
      </c>
      <c r="Q81">
        <f t="shared" si="14"/>
        <v>0</v>
      </c>
      <c r="R81" s="3">
        <v>45.95</v>
      </c>
    </row>
    <row r="82" spans="1:18">
      <c r="A82" s="1">
        <v>42578</v>
      </c>
      <c r="B82">
        <v>2166.58</v>
      </c>
      <c r="C82">
        <f t="shared" si="8"/>
        <v>-1.1986096128490109E-3</v>
      </c>
      <c r="D82">
        <f t="shared" si="15"/>
        <v>-3.8850038850040125E-3</v>
      </c>
      <c r="E82">
        <f>_xlfn.XLOOKUP(A82,VIX!A:A,VIX!B:B,"",-1)</f>
        <v>12.83</v>
      </c>
      <c r="F82">
        <f t="shared" si="9"/>
        <v>-0.22000000000000064</v>
      </c>
      <c r="G82">
        <f>_xlfn.XLOOKUP(A82,'DGS10'!A:A,'DGS10'!B:B,"",-1)</f>
        <v>1.52</v>
      </c>
      <c r="H82">
        <f t="shared" si="10"/>
        <v>-5.0000000000000044E-2</v>
      </c>
      <c r="I82" s="2">
        <f>_xlfn.XLOOKUP(A82,T10Y3M!A:A,T10Y3M!B:B,"",-1)</f>
        <v>1.21</v>
      </c>
      <c r="J82" s="2">
        <f>_xlfn.XLOOKUP(A82,BAMLC0A4CBBB!A:A,BAMLC0A4CBBB!B:B,"",-1)</f>
        <v>1.94</v>
      </c>
      <c r="K82" s="2">
        <f>_xlfn.XLOOKUP(A82,CPIAUCSL!A:A,CPIAUCSL!B:B,"",-1)</f>
        <v>240.101</v>
      </c>
      <c r="L82">
        <f>_xlfn.XLOOKUP(A82,DFF!A:A,DFF!B:B,"",-1)</f>
        <v>0.4</v>
      </c>
      <c r="M82">
        <f>_xlfn.XLOOKUP(A82,'DGS2'!A:A,'DGS2'!B:B,"",-1)</f>
        <v>0.73</v>
      </c>
      <c r="N82">
        <f t="shared" si="11"/>
        <v>-2.0000000000000018E-2</v>
      </c>
      <c r="O82">
        <f t="shared" si="12"/>
        <v>1.6062180948777094E-3</v>
      </c>
      <c r="P82">
        <f t="shared" si="13"/>
        <v>1</v>
      </c>
      <c r="Q82">
        <f t="shared" si="14"/>
        <v>0</v>
      </c>
      <c r="R82" s="3">
        <v>45.24</v>
      </c>
    </row>
    <row r="83" spans="1:18">
      <c r="A83" s="1">
        <v>42579</v>
      </c>
      <c r="B83">
        <v>2170.06</v>
      </c>
      <c r="C83">
        <f t="shared" si="8"/>
        <v>1.6062180948777094E-3</v>
      </c>
      <c r="D83">
        <f t="shared" si="15"/>
        <v>7.2862096952697186E-4</v>
      </c>
      <c r="E83">
        <f>_xlfn.XLOOKUP(A83,VIX!A:A,VIX!B:B,"",-1)</f>
        <v>12.72</v>
      </c>
      <c r="F83">
        <f t="shared" si="9"/>
        <v>-0.10999999999999943</v>
      </c>
      <c r="G83">
        <f>_xlfn.XLOOKUP(A83,'DGS10'!A:A,'DGS10'!B:B,"",-1)</f>
        <v>1.52</v>
      </c>
      <c r="H83">
        <f t="shared" si="10"/>
        <v>0</v>
      </c>
      <c r="I83" s="2">
        <f>_xlfn.XLOOKUP(A83,T10Y3M!A:A,T10Y3M!B:B,"",-1)</f>
        <v>1.27</v>
      </c>
      <c r="J83" s="2">
        <f>_xlfn.XLOOKUP(A83,BAMLC0A4CBBB!A:A,BAMLC0A4CBBB!B:B,"",-1)</f>
        <v>1.95</v>
      </c>
      <c r="K83" s="2">
        <f>_xlfn.XLOOKUP(A83,CPIAUCSL!A:A,CPIAUCSL!B:B,"",-1)</f>
        <v>240.101</v>
      </c>
      <c r="L83">
        <f>_xlfn.XLOOKUP(A83,DFF!A:A,DFF!B:B,"",-1)</f>
        <v>0.4</v>
      </c>
      <c r="M83">
        <f>_xlfn.XLOOKUP(A83,'DGS2'!A:A,'DGS2'!B:B,"",-1)</f>
        <v>0.72</v>
      </c>
      <c r="N83">
        <f t="shared" si="11"/>
        <v>-1.0000000000000009E-2</v>
      </c>
      <c r="O83">
        <f t="shared" si="12"/>
        <v>1.6312913007012764E-3</v>
      </c>
      <c r="P83">
        <f t="shared" si="13"/>
        <v>1</v>
      </c>
      <c r="Q83">
        <f t="shared" si="14"/>
        <v>0</v>
      </c>
      <c r="R83" s="3">
        <v>44.65</v>
      </c>
    </row>
    <row r="84" spans="1:18">
      <c r="A84" s="1">
        <v>42580</v>
      </c>
      <c r="B84">
        <v>2173.6</v>
      </c>
      <c r="C84">
        <f t="shared" si="8"/>
        <v>1.6312913007012764E-3</v>
      </c>
      <c r="D84">
        <f t="shared" si="15"/>
        <v>2.0376363418435073E-3</v>
      </c>
      <c r="E84">
        <f>_xlfn.XLOOKUP(A84,VIX!A:A,VIX!B:B,"",-1)</f>
        <v>11.87</v>
      </c>
      <c r="F84">
        <f t="shared" si="9"/>
        <v>-0.85000000000000142</v>
      </c>
      <c r="G84">
        <f>_xlfn.XLOOKUP(A84,'DGS10'!A:A,'DGS10'!B:B,"",-1)</f>
        <v>1.46</v>
      </c>
      <c r="H84">
        <f t="shared" si="10"/>
        <v>-6.0000000000000053E-2</v>
      </c>
      <c r="I84" s="2">
        <f>_xlfn.XLOOKUP(A84,T10Y3M!A:A,T10Y3M!B:B,"",-1)</f>
        <v>1.18</v>
      </c>
      <c r="J84" s="2">
        <f>_xlfn.XLOOKUP(A84,BAMLC0A4CBBB!A:A,BAMLC0A4CBBB!B:B,"",-1)</f>
        <v>1.97</v>
      </c>
      <c r="K84" s="2">
        <f>_xlfn.XLOOKUP(A84,CPIAUCSL!A:A,CPIAUCSL!B:B,"",-1)</f>
        <v>240.101</v>
      </c>
      <c r="L84">
        <f>_xlfn.XLOOKUP(A84,DFF!A:A,DFF!B:B,"",-1)</f>
        <v>0.3</v>
      </c>
      <c r="M84">
        <f>_xlfn.XLOOKUP(A84,'DGS2'!A:A,'DGS2'!B:B,"",-1)</f>
        <v>0.67</v>
      </c>
      <c r="N84">
        <f t="shared" si="11"/>
        <v>-4.9999999999999933E-2</v>
      </c>
      <c r="O84">
        <f t="shared" si="12"/>
        <v>-1.2697828487301388E-3</v>
      </c>
      <c r="P84">
        <f t="shared" si="13"/>
        <v>0</v>
      </c>
      <c r="Q84">
        <f t="shared" si="14"/>
        <v>0</v>
      </c>
      <c r="R84" s="3">
        <v>44.94</v>
      </c>
    </row>
    <row r="85" spans="1:18">
      <c r="A85" s="1">
        <v>42583</v>
      </c>
      <c r="B85">
        <v>2170.84</v>
      </c>
      <c r="C85">
        <f t="shared" si="8"/>
        <v>-1.2697828487301388E-3</v>
      </c>
      <c r="D85">
        <f t="shared" si="15"/>
        <v>1.9662324954536903E-3</v>
      </c>
      <c r="E85">
        <f>_xlfn.XLOOKUP(A85,VIX!A:A,VIX!B:B,"",-1)</f>
        <v>12.44</v>
      </c>
      <c r="F85">
        <f t="shared" si="9"/>
        <v>0.57000000000000028</v>
      </c>
      <c r="G85">
        <f>_xlfn.XLOOKUP(A85,'DGS10'!A:A,'DGS10'!B:B,"",-1)</f>
        <v>1.51</v>
      </c>
      <c r="H85">
        <f t="shared" si="10"/>
        <v>5.0000000000000044E-2</v>
      </c>
      <c r="I85" s="2">
        <f>_xlfn.XLOOKUP(A85,T10Y3M!A:A,T10Y3M!B:B,"",-1)</f>
        <v>1.22</v>
      </c>
      <c r="J85" s="2">
        <f>_xlfn.XLOOKUP(A85,BAMLC0A4CBBB!A:A,BAMLC0A4CBBB!B:B,"",-1)</f>
        <v>1.97</v>
      </c>
      <c r="K85" s="2">
        <f>_xlfn.XLOOKUP(A85,CPIAUCSL!A:A,CPIAUCSL!B:B,"",-1)</f>
        <v>240.54499999999999</v>
      </c>
      <c r="L85">
        <f>_xlfn.XLOOKUP(A85,DFF!A:A,DFF!B:B,"",-1)</f>
        <v>0.4</v>
      </c>
      <c r="M85">
        <f>_xlfn.XLOOKUP(A85,'DGS2'!A:A,'DGS2'!B:B,"",-1)</f>
        <v>0.67</v>
      </c>
      <c r="N85">
        <f t="shared" si="11"/>
        <v>0</v>
      </c>
      <c r="O85">
        <f t="shared" si="12"/>
        <v>-6.3615927475078049E-3</v>
      </c>
      <c r="P85">
        <f t="shared" si="13"/>
        <v>0</v>
      </c>
      <c r="Q85">
        <f t="shared" si="14"/>
        <v>-1</v>
      </c>
      <c r="R85" s="3">
        <v>44.75</v>
      </c>
    </row>
    <row r="86" spans="1:18">
      <c r="A86" s="1">
        <v>42584</v>
      </c>
      <c r="B86">
        <v>2157.0300000000002</v>
      </c>
      <c r="C86">
        <f t="shared" si="8"/>
        <v>-6.3615927475078049E-3</v>
      </c>
      <c r="D86">
        <f t="shared" si="15"/>
        <v>-6.0044422734853997E-3</v>
      </c>
      <c r="E86">
        <f>_xlfn.XLOOKUP(A86,VIX!A:A,VIX!B:B,"",-1)</f>
        <v>13.37</v>
      </c>
      <c r="F86">
        <f t="shared" si="9"/>
        <v>0.92999999999999972</v>
      </c>
      <c r="G86">
        <f>_xlfn.XLOOKUP(A86,'DGS10'!A:A,'DGS10'!B:B,"",-1)</f>
        <v>1.55</v>
      </c>
      <c r="H86">
        <f t="shared" si="10"/>
        <v>4.0000000000000036E-2</v>
      </c>
      <c r="I86" s="2">
        <f>_xlfn.XLOOKUP(A86,T10Y3M!A:A,T10Y3M!B:B,"",-1)</f>
        <v>1.26</v>
      </c>
      <c r="J86" s="2">
        <f>_xlfn.XLOOKUP(A86,BAMLC0A4CBBB!A:A,BAMLC0A4CBBB!B:B,"",-1)</f>
        <v>1.98</v>
      </c>
      <c r="K86" s="2">
        <f>_xlfn.XLOOKUP(A86,CPIAUCSL!A:A,CPIAUCSL!B:B,"",-1)</f>
        <v>240.54499999999999</v>
      </c>
      <c r="L86">
        <f>_xlfn.XLOOKUP(A86,DFF!A:A,DFF!B:B,"",-1)</f>
        <v>0.4</v>
      </c>
      <c r="M86">
        <f>_xlfn.XLOOKUP(A86,'DGS2'!A:A,'DGS2'!B:B,"",-1)</f>
        <v>0.67</v>
      </c>
      <c r="N86">
        <f t="shared" si="11"/>
        <v>0</v>
      </c>
      <c r="O86">
        <f t="shared" si="12"/>
        <v>3.1339387954731901E-3</v>
      </c>
      <c r="P86">
        <f t="shared" si="13"/>
        <v>1</v>
      </c>
      <c r="Q86">
        <f t="shared" si="14"/>
        <v>1</v>
      </c>
      <c r="R86" s="3">
        <v>44.19</v>
      </c>
    </row>
    <row r="87" spans="1:18">
      <c r="A87" s="1">
        <v>42585</v>
      </c>
      <c r="B87">
        <v>2163.79</v>
      </c>
      <c r="C87">
        <f t="shared" si="8"/>
        <v>3.1339387954731901E-3</v>
      </c>
      <c r="D87">
        <f t="shared" si="15"/>
        <v>-4.5132499079867383E-3</v>
      </c>
      <c r="E87">
        <f>_xlfn.XLOOKUP(A87,VIX!A:A,VIX!B:B,"",-1)</f>
        <v>12.86</v>
      </c>
      <c r="F87">
        <f t="shared" si="9"/>
        <v>-0.50999999999999979</v>
      </c>
      <c r="G87">
        <f>_xlfn.XLOOKUP(A87,'DGS10'!A:A,'DGS10'!B:B,"",-1)</f>
        <v>1.55</v>
      </c>
      <c r="H87">
        <f t="shared" si="10"/>
        <v>0</v>
      </c>
      <c r="I87" s="2">
        <f>_xlfn.XLOOKUP(A87,T10Y3M!A:A,T10Y3M!B:B,"",-1)</f>
        <v>1.27</v>
      </c>
      <c r="J87" s="2">
        <f>_xlfn.XLOOKUP(A87,BAMLC0A4CBBB!A:A,BAMLC0A4CBBB!B:B,"",-1)</f>
        <v>1.98</v>
      </c>
      <c r="K87" s="2">
        <f>_xlfn.XLOOKUP(A87,CPIAUCSL!A:A,CPIAUCSL!B:B,"",-1)</f>
        <v>240.54499999999999</v>
      </c>
      <c r="L87">
        <f>_xlfn.XLOOKUP(A87,DFF!A:A,DFF!B:B,"",-1)</f>
        <v>0.4</v>
      </c>
      <c r="M87">
        <f>_xlfn.XLOOKUP(A87,'DGS2'!A:A,'DGS2'!B:B,"",-1)</f>
        <v>0.67</v>
      </c>
      <c r="N87">
        <f t="shared" si="11"/>
        <v>0</v>
      </c>
      <c r="O87">
        <f t="shared" si="12"/>
        <v>2.1258994634409945E-4</v>
      </c>
      <c r="P87">
        <f t="shared" si="13"/>
        <v>1</v>
      </c>
      <c r="Q87">
        <f t="shared" si="14"/>
        <v>0</v>
      </c>
      <c r="R87" s="3">
        <v>43.13</v>
      </c>
    </row>
    <row r="88" spans="1:18">
      <c r="A88" s="1">
        <v>42586</v>
      </c>
      <c r="B88">
        <v>2164.25</v>
      </c>
      <c r="C88">
        <f t="shared" si="8"/>
        <v>2.1258994634409945E-4</v>
      </c>
      <c r="D88">
        <f t="shared" si="15"/>
        <v>-3.0356912531555036E-3</v>
      </c>
      <c r="E88">
        <f>_xlfn.XLOOKUP(A88,VIX!A:A,VIX!B:B,"",-1)</f>
        <v>12.42</v>
      </c>
      <c r="F88">
        <f t="shared" si="9"/>
        <v>-0.4399999999999995</v>
      </c>
      <c r="G88">
        <f>_xlfn.XLOOKUP(A88,'DGS10'!A:A,'DGS10'!B:B,"",-1)</f>
        <v>1.51</v>
      </c>
      <c r="H88">
        <f t="shared" si="10"/>
        <v>-4.0000000000000036E-2</v>
      </c>
      <c r="I88" s="2">
        <f>_xlfn.XLOOKUP(A88,T10Y3M!A:A,T10Y3M!B:B,"",-1)</f>
        <v>1.25</v>
      </c>
      <c r="J88" s="2">
        <f>_xlfn.XLOOKUP(A88,BAMLC0A4CBBB!A:A,BAMLC0A4CBBB!B:B,"",-1)</f>
        <v>1.97</v>
      </c>
      <c r="K88" s="2">
        <f>_xlfn.XLOOKUP(A88,CPIAUCSL!A:A,CPIAUCSL!B:B,"",-1)</f>
        <v>240.54499999999999</v>
      </c>
      <c r="L88">
        <f>_xlfn.XLOOKUP(A88,DFF!A:A,DFF!B:B,"",-1)</f>
        <v>0.4</v>
      </c>
      <c r="M88">
        <f>_xlfn.XLOOKUP(A88,'DGS2'!A:A,'DGS2'!B:B,"",-1)</f>
        <v>0.64</v>
      </c>
      <c r="N88">
        <f t="shared" si="11"/>
        <v>-3.0000000000000027E-2</v>
      </c>
      <c r="O88">
        <f t="shared" si="12"/>
        <v>8.6034423010279415E-3</v>
      </c>
      <c r="P88">
        <f t="shared" si="13"/>
        <v>1</v>
      </c>
      <c r="Q88">
        <f t="shared" si="14"/>
        <v>1</v>
      </c>
      <c r="R88" s="3">
        <v>42.92</v>
      </c>
    </row>
    <row r="89" spans="1:18">
      <c r="A89" s="1">
        <v>42587</v>
      </c>
      <c r="B89">
        <v>2182.87</v>
      </c>
      <c r="C89">
        <f t="shared" si="8"/>
        <v>8.6034423010279415E-3</v>
      </c>
      <c r="D89">
        <f t="shared" si="15"/>
        <v>1.1979434685655654E-2</v>
      </c>
      <c r="E89">
        <f>_xlfn.XLOOKUP(A89,VIX!A:A,VIX!B:B,"",-1)</f>
        <v>11.39</v>
      </c>
      <c r="F89">
        <f t="shared" si="9"/>
        <v>-1.0299999999999994</v>
      </c>
      <c r="G89">
        <f>_xlfn.XLOOKUP(A89,'DGS10'!A:A,'DGS10'!B:B,"",-1)</f>
        <v>1.59</v>
      </c>
      <c r="H89">
        <f t="shared" si="10"/>
        <v>8.0000000000000071E-2</v>
      </c>
      <c r="I89" s="2">
        <f>_xlfn.XLOOKUP(A89,T10Y3M!A:A,T10Y3M!B:B,"",-1)</f>
        <v>1.31</v>
      </c>
      <c r="J89" s="2">
        <f>_xlfn.XLOOKUP(A89,BAMLC0A4CBBB!A:A,BAMLC0A4CBBB!B:B,"",-1)</f>
        <v>1.95</v>
      </c>
      <c r="K89" s="2">
        <f>_xlfn.XLOOKUP(A89,CPIAUCSL!A:A,CPIAUCSL!B:B,"",-1)</f>
        <v>240.54499999999999</v>
      </c>
      <c r="L89">
        <f>_xlfn.XLOOKUP(A89,DFF!A:A,DFF!B:B,"",-1)</f>
        <v>0.4</v>
      </c>
      <c r="M89">
        <f>_xlfn.XLOOKUP(A89,'DGS2'!A:A,'DGS2'!B:B,"",-1)</f>
        <v>0.72</v>
      </c>
      <c r="N89">
        <f t="shared" si="11"/>
        <v>7.999999999999996E-2</v>
      </c>
      <c r="O89">
        <f t="shared" si="12"/>
        <v>-9.0706272018037382E-4</v>
      </c>
      <c r="P89">
        <f t="shared" si="13"/>
        <v>0</v>
      </c>
      <c r="Q89">
        <f t="shared" si="14"/>
        <v>0</v>
      </c>
      <c r="R89" s="3">
        <v>41.92</v>
      </c>
    </row>
    <row r="90" spans="1:18">
      <c r="A90" s="1">
        <v>42590</v>
      </c>
      <c r="B90">
        <v>2180.89</v>
      </c>
      <c r="C90">
        <f t="shared" si="8"/>
        <v>-9.0706272018037382E-4</v>
      </c>
      <c r="D90">
        <f t="shared" si="15"/>
        <v>7.9028001793148839E-3</v>
      </c>
      <c r="E90">
        <f>_xlfn.XLOOKUP(A90,VIX!A:A,VIX!B:B,"",-1)</f>
        <v>11.5</v>
      </c>
      <c r="F90">
        <f t="shared" si="9"/>
        <v>0.10999999999999943</v>
      </c>
      <c r="G90">
        <f>_xlfn.XLOOKUP(A90,'DGS10'!A:A,'DGS10'!B:B,"",-1)</f>
        <v>1.59</v>
      </c>
      <c r="H90">
        <f t="shared" si="10"/>
        <v>0</v>
      </c>
      <c r="I90" s="2">
        <f>_xlfn.XLOOKUP(A90,T10Y3M!A:A,T10Y3M!B:B,"",-1)</f>
        <v>1.28</v>
      </c>
      <c r="J90" s="2">
        <f>_xlfn.XLOOKUP(A90,BAMLC0A4CBBB!A:A,BAMLC0A4CBBB!B:B,"",-1)</f>
        <v>1.93</v>
      </c>
      <c r="K90" s="2">
        <f>_xlfn.XLOOKUP(A90,CPIAUCSL!A:A,CPIAUCSL!B:B,"",-1)</f>
        <v>240.54499999999999</v>
      </c>
      <c r="L90">
        <f>_xlfn.XLOOKUP(A90,DFF!A:A,DFF!B:B,"",-1)</f>
        <v>0.4</v>
      </c>
      <c r="M90">
        <f>_xlfn.XLOOKUP(A90,'DGS2'!A:A,'DGS2'!B:B,"",-1)</f>
        <v>0.74</v>
      </c>
      <c r="N90">
        <f t="shared" si="11"/>
        <v>2.0000000000000018E-2</v>
      </c>
      <c r="O90">
        <f t="shared" si="12"/>
        <v>3.8974913911293818E-4</v>
      </c>
      <c r="P90">
        <f t="shared" si="13"/>
        <v>1</v>
      </c>
      <c r="Q90">
        <f t="shared" si="14"/>
        <v>0</v>
      </c>
      <c r="R90" s="3">
        <v>41.14</v>
      </c>
    </row>
    <row r="91" spans="1:18">
      <c r="A91" s="1">
        <v>42591</v>
      </c>
      <c r="B91">
        <v>2181.7399999999998</v>
      </c>
      <c r="C91">
        <f t="shared" si="8"/>
        <v>3.8974913911293818E-4</v>
      </c>
      <c r="D91">
        <f t="shared" si="15"/>
        <v>8.0813214739516859E-3</v>
      </c>
      <c r="E91">
        <f>_xlfn.XLOOKUP(A91,VIX!A:A,VIX!B:B,"",-1)</f>
        <v>11.66</v>
      </c>
      <c r="F91">
        <f t="shared" si="9"/>
        <v>0.16000000000000014</v>
      </c>
      <c r="G91">
        <f>_xlfn.XLOOKUP(A91,'DGS10'!A:A,'DGS10'!B:B,"",-1)</f>
        <v>1.55</v>
      </c>
      <c r="H91">
        <f t="shared" si="10"/>
        <v>-4.0000000000000036E-2</v>
      </c>
      <c r="I91" s="2">
        <f>_xlfn.XLOOKUP(A91,T10Y3M!A:A,T10Y3M!B:B,"",-1)</f>
        <v>1.26</v>
      </c>
      <c r="J91" s="2">
        <f>_xlfn.XLOOKUP(A91,BAMLC0A4CBBB!A:A,BAMLC0A4CBBB!B:B,"",-1)</f>
        <v>1.92</v>
      </c>
      <c r="K91" s="2">
        <f>_xlfn.XLOOKUP(A91,CPIAUCSL!A:A,CPIAUCSL!B:B,"",-1)</f>
        <v>240.54499999999999</v>
      </c>
      <c r="L91">
        <f>_xlfn.XLOOKUP(A91,DFF!A:A,DFF!B:B,"",-1)</f>
        <v>0.4</v>
      </c>
      <c r="M91">
        <f>_xlfn.XLOOKUP(A91,'DGS2'!A:A,'DGS2'!B:B,"",-1)</f>
        <v>0.71</v>
      </c>
      <c r="N91">
        <f t="shared" si="11"/>
        <v>-3.0000000000000027E-2</v>
      </c>
      <c r="O91">
        <f t="shared" si="12"/>
        <v>-2.8646859845811168E-3</v>
      </c>
      <c r="P91">
        <f t="shared" si="13"/>
        <v>0</v>
      </c>
      <c r="Q91">
        <f t="shared" si="14"/>
        <v>0</v>
      </c>
      <c r="R91" s="3">
        <v>41.6</v>
      </c>
    </row>
    <row r="92" spans="1:18">
      <c r="A92" s="1">
        <v>42592</v>
      </c>
      <c r="B92">
        <v>2175.4899999999998</v>
      </c>
      <c r="C92">
        <f t="shared" si="8"/>
        <v>-2.8646859845811168E-3</v>
      </c>
      <c r="D92">
        <f t="shared" si="15"/>
        <v>-3.3808701388539086E-3</v>
      </c>
      <c r="E92">
        <f>_xlfn.XLOOKUP(A92,VIX!A:A,VIX!B:B,"",-1)</f>
        <v>12.05</v>
      </c>
      <c r="F92">
        <f t="shared" si="9"/>
        <v>0.39000000000000057</v>
      </c>
      <c r="G92">
        <f>_xlfn.XLOOKUP(A92,'DGS10'!A:A,'DGS10'!B:B,"",-1)</f>
        <v>1.5</v>
      </c>
      <c r="H92">
        <f t="shared" si="10"/>
        <v>-5.0000000000000044E-2</v>
      </c>
      <c r="I92" s="2">
        <f>_xlfn.XLOOKUP(A92,T10Y3M!A:A,T10Y3M!B:B,"",-1)</f>
        <v>1.22</v>
      </c>
      <c r="J92" s="2">
        <f>_xlfn.XLOOKUP(A92,BAMLC0A4CBBB!A:A,BAMLC0A4CBBB!B:B,"",-1)</f>
        <v>1.92</v>
      </c>
      <c r="K92" s="2">
        <f>_xlfn.XLOOKUP(A92,CPIAUCSL!A:A,CPIAUCSL!B:B,"",-1)</f>
        <v>240.54499999999999</v>
      </c>
      <c r="L92">
        <f>_xlfn.XLOOKUP(A92,DFF!A:A,DFF!B:B,"",-1)</f>
        <v>0.4</v>
      </c>
      <c r="M92">
        <f>_xlfn.XLOOKUP(A92,'DGS2'!A:A,'DGS2'!B:B,"",-1)</f>
        <v>0.69</v>
      </c>
      <c r="N92">
        <f t="shared" si="11"/>
        <v>-2.0000000000000018E-2</v>
      </c>
      <c r="O92">
        <f t="shared" si="12"/>
        <v>4.7345655461528136E-3</v>
      </c>
      <c r="P92">
        <f t="shared" si="13"/>
        <v>1</v>
      </c>
      <c r="Q92">
        <f t="shared" si="14"/>
        <v>1</v>
      </c>
      <c r="R92" s="3">
        <v>40.06</v>
      </c>
    </row>
    <row r="93" spans="1:18">
      <c r="A93" s="1">
        <v>42593</v>
      </c>
      <c r="B93">
        <v>2185.79</v>
      </c>
      <c r="C93">
        <f t="shared" si="8"/>
        <v>4.7345655461528136E-3</v>
      </c>
      <c r="D93">
        <f t="shared" si="15"/>
        <v>2.2467891548862973E-3</v>
      </c>
      <c r="E93">
        <f>_xlfn.XLOOKUP(A93,VIX!A:A,VIX!B:B,"",-1)</f>
        <v>11.68</v>
      </c>
      <c r="F93">
        <f t="shared" si="9"/>
        <v>-0.37000000000000099</v>
      </c>
      <c r="G93">
        <f>_xlfn.XLOOKUP(A93,'DGS10'!A:A,'DGS10'!B:B,"",-1)</f>
        <v>1.57</v>
      </c>
      <c r="H93">
        <f t="shared" si="10"/>
        <v>7.0000000000000062E-2</v>
      </c>
      <c r="I93" s="2">
        <f>_xlfn.XLOOKUP(A93,T10Y3M!A:A,T10Y3M!B:B,"",-1)</f>
        <v>1.29</v>
      </c>
      <c r="J93" s="2">
        <f>_xlfn.XLOOKUP(A93,BAMLC0A4CBBB!A:A,BAMLC0A4CBBB!B:B,"",-1)</f>
        <v>1.9</v>
      </c>
      <c r="K93" s="2">
        <f>_xlfn.XLOOKUP(A93,CPIAUCSL!A:A,CPIAUCSL!B:B,"",-1)</f>
        <v>240.54499999999999</v>
      </c>
      <c r="L93">
        <f>_xlfn.XLOOKUP(A93,DFF!A:A,DFF!B:B,"",-1)</f>
        <v>0.4</v>
      </c>
      <c r="M93">
        <f>_xlfn.XLOOKUP(A93,'DGS2'!A:A,'DGS2'!B:B,"",-1)</f>
        <v>0.76</v>
      </c>
      <c r="N93">
        <f t="shared" si="11"/>
        <v>7.0000000000000062E-2</v>
      </c>
      <c r="O93">
        <f t="shared" si="12"/>
        <v>-7.960508557545154E-4</v>
      </c>
      <c r="P93">
        <f t="shared" si="13"/>
        <v>0</v>
      </c>
      <c r="Q93">
        <f t="shared" si="14"/>
        <v>0</v>
      </c>
      <c r="R93" s="3">
        <v>39.51</v>
      </c>
    </row>
    <row r="94" spans="1:18">
      <c r="A94" s="1">
        <v>42594</v>
      </c>
      <c r="B94">
        <v>2184.0500000000002</v>
      </c>
      <c r="C94">
        <f t="shared" si="8"/>
        <v>-7.960508557545154E-4</v>
      </c>
      <c r="D94">
        <f t="shared" si="15"/>
        <v>1.0587879399013289E-3</v>
      </c>
      <c r="E94">
        <f>_xlfn.XLOOKUP(A94,VIX!A:A,VIX!B:B,"",-1)</f>
        <v>11.55</v>
      </c>
      <c r="F94">
        <f t="shared" si="9"/>
        <v>-0.12999999999999901</v>
      </c>
      <c r="G94">
        <f>_xlfn.XLOOKUP(A94,'DGS10'!A:A,'DGS10'!B:B,"",-1)</f>
        <v>1.51</v>
      </c>
      <c r="H94">
        <f t="shared" si="10"/>
        <v>-6.0000000000000053E-2</v>
      </c>
      <c r="I94" s="2">
        <f>_xlfn.XLOOKUP(A94,T10Y3M!A:A,T10Y3M!B:B,"",-1)</f>
        <v>1.22</v>
      </c>
      <c r="J94" s="2">
        <f>_xlfn.XLOOKUP(A94,BAMLC0A4CBBB!A:A,BAMLC0A4CBBB!B:B,"",-1)</f>
        <v>1.9</v>
      </c>
      <c r="K94" s="2">
        <f>_xlfn.XLOOKUP(A94,CPIAUCSL!A:A,CPIAUCSL!B:B,"",-1)</f>
        <v>240.54499999999999</v>
      </c>
      <c r="L94">
        <f>_xlfn.XLOOKUP(A94,DFF!A:A,DFF!B:B,"",-1)</f>
        <v>0.4</v>
      </c>
      <c r="M94">
        <f>_xlfn.XLOOKUP(A94,'DGS2'!A:A,'DGS2'!B:B,"",-1)</f>
        <v>0.71</v>
      </c>
      <c r="N94">
        <f t="shared" si="11"/>
        <v>-5.0000000000000044E-2</v>
      </c>
      <c r="O94">
        <f t="shared" si="12"/>
        <v>2.7929763512739569E-3</v>
      </c>
      <c r="P94">
        <f t="shared" si="13"/>
        <v>1</v>
      </c>
      <c r="Q94">
        <f t="shared" si="14"/>
        <v>0</v>
      </c>
      <c r="R94" s="3">
        <v>40.83</v>
      </c>
    </row>
    <row r="95" spans="1:18">
      <c r="A95" s="1">
        <v>42597</v>
      </c>
      <c r="B95">
        <v>2190.15</v>
      </c>
      <c r="C95">
        <f t="shared" si="8"/>
        <v>2.7929763512739569E-3</v>
      </c>
      <c r="D95">
        <f t="shared" si="15"/>
        <v>6.7387117385049322E-3</v>
      </c>
      <c r="E95">
        <f>_xlfn.XLOOKUP(A95,VIX!A:A,VIX!B:B,"",-1)</f>
        <v>11.81</v>
      </c>
      <c r="F95">
        <f t="shared" si="9"/>
        <v>0.25999999999999979</v>
      </c>
      <c r="G95">
        <f>_xlfn.XLOOKUP(A95,'DGS10'!A:A,'DGS10'!B:B,"",-1)</f>
        <v>1.55</v>
      </c>
      <c r="H95">
        <f t="shared" si="10"/>
        <v>4.0000000000000036E-2</v>
      </c>
      <c r="I95" s="2">
        <f>_xlfn.XLOOKUP(A95,T10Y3M!A:A,T10Y3M!B:B,"",-1)</f>
        <v>1.24</v>
      </c>
      <c r="J95" s="2">
        <f>_xlfn.XLOOKUP(A95,BAMLC0A4CBBB!A:A,BAMLC0A4CBBB!B:B,"",-1)</f>
        <v>1.88</v>
      </c>
      <c r="K95" s="2">
        <f>_xlfn.XLOOKUP(A95,CPIAUCSL!A:A,CPIAUCSL!B:B,"",-1)</f>
        <v>240.54499999999999</v>
      </c>
      <c r="L95">
        <f>_xlfn.XLOOKUP(A95,DFF!A:A,DFF!B:B,"",-1)</f>
        <v>0.4</v>
      </c>
      <c r="M95">
        <f>_xlfn.XLOOKUP(A95,'DGS2'!A:A,'DGS2'!B:B,"",-1)</f>
        <v>0.72</v>
      </c>
      <c r="N95">
        <f t="shared" si="11"/>
        <v>1.0000000000000009E-2</v>
      </c>
      <c r="O95">
        <f t="shared" si="12"/>
        <v>-5.4790767755633629E-3</v>
      </c>
      <c r="P95">
        <f t="shared" si="13"/>
        <v>0</v>
      </c>
      <c r="Q95">
        <f t="shared" si="14"/>
        <v>-1</v>
      </c>
      <c r="R95" s="3">
        <v>41.93</v>
      </c>
    </row>
    <row r="96" spans="1:18">
      <c r="A96" s="1">
        <v>42598</v>
      </c>
      <c r="B96">
        <v>2178.15</v>
      </c>
      <c r="C96">
        <f t="shared" si="8"/>
        <v>-5.4790767755633629E-3</v>
      </c>
      <c r="D96">
        <f t="shared" si="15"/>
        <v>-3.4953037574514401E-3</v>
      </c>
      <c r="E96">
        <f>_xlfn.XLOOKUP(A96,VIX!A:A,VIX!B:B,"",-1)</f>
        <v>12.64</v>
      </c>
      <c r="F96">
        <f t="shared" si="9"/>
        <v>0.83000000000000007</v>
      </c>
      <c r="G96">
        <f>_xlfn.XLOOKUP(A96,'DGS10'!A:A,'DGS10'!B:B,"",-1)</f>
        <v>1.57</v>
      </c>
      <c r="H96">
        <f t="shared" si="10"/>
        <v>2.0000000000000018E-2</v>
      </c>
      <c r="I96" s="2">
        <f>_xlfn.XLOOKUP(A96,T10Y3M!A:A,T10Y3M!B:B,"",-1)</f>
        <v>1.3</v>
      </c>
      <c r="J96" s="2">
        <f>_xlfn.XLOOKUP(A96,BAMLC0A4CBBB!A:A,BAMLC0A4CBBB!B:B,"",-1)</f>
        <v>1.87</v>
      </c>
      <c r="K96" s="2">
        <f>_xlfn.XLOOKUP(A96,CPIAUCSL!A:A,CPIAUCSL!B:B,"",-1)</f>
        <v>240.54499999999999</v>
      </c>
      <c r="L96">
        <f>_xlfn.XLOOKUP(A96,DFF!A:A,DFF!B:B,"",-1)</f>
        <v>0.4</v>
      </c>
      <c r="M96">
        <f>_xlfn.XLOOKUP(A96,'DGS2'!A:A,'DGS2'!B:B,"",-1)</f>
        <v>0.76</v>
      </c>
      <c r="N96">
        <f t="shared" si="11"/>
        <v>4.0000000000000036E-2</v>
      </c>
      <c r="O96">
        <f t="shared" si="12"/>
        <v>1.868558180106783E-3</v>
      </c>
      <c r="P96">
        <f t="shared" si="13"/>
        <v>1</v>
      </c>
      <c r="Q96">
        <f t="shared" si="14"/>
        <v>0</v>
      </c>
      <c r="R96" s="3">
        <v>41.8</v>
      </c>
    </row>
    <row r="97" spans="1:18">
      <c r="A97" s="1">
        <v>42599</v>
      </c>
      <c r="B97">
        <v>2182.2199999999998</v>
      </c>
      <c r="C97">
        <f t="shared" si="8"/>
        <v>1.868558180106783E-3</v>
      </c>
      <c r="D97">
        <f t="shared" si="15"/>
        <v>-8.3789290538238692E-4</v>
      </c>
      <c r="E97">
        <f>_xlfn.XLOOKUP(A97,VIX!A:A,VIX!B:B,"",-1)</f>
        <v>12.19</v>
      </c>
      <c r="F97">
        <f t="shared" si="9"/>
        <v>-0.45000000000000107</v>
      </c>
      <c r="G97">
        <f>_xlfn.XLOOKUP(A97,'DGS10'!A:A,'DGS10'!B:B,"",-1)</f>
        <v>1.56</v>
      </c>
      <c r="H97">
        <f t="shared" si="10"/>
        <v>-1.0000000000000009E-2</v>
      </c>
      <c r="I97" s="2">
        <f>_xlfn.XLOOKUP(A97,T10Y3M!A:A,T10Y3M!B:B,"",-1)</f>
        <v>1.26</v>
      </c>
      <c r="J97" s="2">
        <f>_xlfn.XLOOKUP(A97,BAMLC0A4CBBB!A:A,BAMLC0A4CBBB!B:B,"",-1)</f>
        <v>1.86</v>
      </c>
      <c r="K97" s="2">
        <f>_xlfn.XLOOKUP(A97,CPIAUCSL!A:A,CPIAUCSL!B:B,"",-1)</f>
        <v>240.54499999999999</v>
      </c>
      <c r="L97">
        <f>_xlfn.XLOOKUP(A97,DFF!A:A,DFF!B:B,"",-1)</f>
        <v>0.4</v>
      </c>
      <c r="M97">
        <f>_xlfn.XLOOKUP(A97,'DGS2'!A:A,'DGS2'!B:B,"",-1)</f>
        <v>0.74</v>
      </c>
      <c r="N97">
        <f t="shared" si="11"/>
        <v>-2.0000000000000018E-2</v>
      </c>
      <c r="O97">
        <f t="shared" si="12"/>
        <v>2.1995949079378629E-3</v>
      </c>
      <c r="P97">
        <f t="shared" si="13"/>
        <v>1</v>
      </c>
      <c r="Q97">
        <f t="shared" si="14"/>
        <v>0</v>
      </c>
      <c r="R97" s="3">
        <v>43.02</v>
      </c>
    </row>
    <row r="98" spans="1:18">
      <c r="A98" s="1">
        <v>42600</v>
      </c>
      <c r="B98">
        <v>2187.02</v>
      </c>
      <c r="C98">
        <f t="shared" si="8"/>
        <v>2.1995949079378629E-3</v>
      </c>
      <c r="D98">
        <f t="shared" si="15"/>
        <v>-1.4291258589594902E-3</v>
      </c>
      <c r="E98">
        <f>_xlfn.XLOOKUP(A98,VIX!A:A,VIX!B:B,"",-1)</f>
        <v>11.43</v>
      </c>
      <c r="F98">
        <f t="shared" si="9"/>
        <v>-0.75999999999999979</v>
      </c>
      <c r="G98">
        <f>_xlfn.XLOOKUP(A98,'DGS10'!A:A,'DGS10'!B:B,"",-1)</f>
        <v>1.53</v>
      </c>
      <c r="H98">
        <f t="shared" si="10"/>
        <v>-3.0000000000000027E-2</v>
      </c>
      <c r="I98" s="2">
        <f>_xlfn.XLOOKUP(A98,T10Y3M!A:A,T10Y3M!B:B,"",-1)</f>
        <v>1.23</v>
      </c>
      <c r="J98" s="2">
        <f>_xlfn.XLOOKUP(A98,BAMLC0A4CBBB!A:A,BAMLC0A4CBBB!B:B,"",-1)</f>
        <v>1.86</v>
      </c>
      <c r="K98" s="2">
        <f>_xlfn.XLOOKUP(A98,CPIAUCSL!A:A,CPIAUCSL!B:B,"",-1)</f>
        <v>240.54499999999999</v>
      </c>
      <c r="L98">
        <f>_xlfn.XLOOKUP(A98,DFF!A:A,DFF!B:B,"",-1)</f>
        <v>0.4</v>
      </c>
      <c r="M98">
        <f>_xlfn.XLOOKUP(A98,'DGS2'!A:A,'DGS2'!B:B,"",-1)</f>
        <v>0.71</v>
      </c>
      <c r="N98">
        <f t="shared" si="11"/>
        <v>-3.0000000000000027E-2</v>
      </c>
      <c r="O98">
        <f t="shared" si="12"/>
        <v>-1.4403160464925291E-3</v>
      </c>
      <c r="P98">
        <f t="shared" si="13"/>
        <v>0</v>
      </c>
      <c r="Q98">
        <f t="shared" si="14"/>
        <v>0</v>
      </c>
      <c r="R98" s="3">
        <v>42.77</v>
      </c>
    </row>
    <row r="99" spans="1:18">
      <c r="A99" s="1">
        <v>42601</v>
      </c>
      <c r="B99">
        <v>2183.87</v>
      </c>
      <c r="C99">
        <f t="shared" si="8"/>
        <v>-1.4403160464925291E-3</v>
      </c>
      <c r="D99">
        <f t="shared" si="15"/>
        <v>2.6260817666368119E-3</v>
      </c>
      <c r="E99">
        <f>_xlfn.XLOOKUP(A99,VIX!A:A,VIX!B:B,"",-1)</f>
        <v>11.34</v>
      </c>
      <c r="F99">
        <f t="shared" si="9"/>
        <v>-8.9999999999999858E-2</v>
      </c>
      <c r="G99">
        <f>_xlfn.XLOOKUP(A99,'DGS10'!A:A,'DGS10'!B:B,"",-1)</f>
        <v>1.58</v>
      </c>
      <c r="H99">
        <f t="shared" si="10"/>
        <v>5.0000000000000044E-2</v>
      </c>
      <c r="I99" s="2">
        <f>_xlfn.XLOOKUP(A99,T10Y3M!A:A,T10Y3M!B:B,"",-1)</f>
        <v>1.28</v>
      </c>
      <c r="J99" s="2">
        <f>_xlfn.XLOOKUP(A99,BAMLC0A4CBBB!A:A,BAMLC0A4CBBB!B:B,"",-1)</f>
        <v>1.84</v>
      </c>
      <c r="K99" s="2">
        <f>_xlfn.XLOOKUP(A99,CPIAUCSL!A:A,CPIAUCSL!B:B,"",-1)</f>
        <v>240.54499999999999</v>
      </c>
      <c r="L99">
        <f>_xlfn.XLOOKUP(A99,DFF!A:A,DFF!B:B,"",-1)</f>
        <v>0.4</v>
      </c>
      <c r="M99">
        <f>_xlfn.XLOOKUP(A99,'DGS2'!A:A,'DGS2'!B:B,"",-1)</f>
        <v>0.76</v>
      </c>
      <c r="N99">
        <f t="shared" si="11"/>
        <v>5.0000000000000044E-2</v>
      </c>
      <c r="O99">
        <f t="shared" si="12"/>
        <v>-5.6322033820699335E-4</v>
      </c>
      <c r="P99">
        <f t="shared" si="13"/>
        <v>0</v>
      </c>
      <c r="Q99">
        <f t="shared" si="14"/>
        <v>0</v>
      </c>
      <c r="R99" s="3">
        <v>41.71</v>
      </c>
    </row>
    <row r="100" spans="1:18">
      <c r="A100" s="1">
        <v>42604</v>
      </c>
      <c r="B100">
        <v>2182.64</v>
      </c>
      <c r="C100">
        <f t="shared" si="8"/>
        <v>-5.6322033820699335E-4</v>
      </c>
      <c r="D100">
        <f t="shared" si="15"/>
        <v>1.9246455444466015E-4</v>
      </c>
      <c r="E100">
        <f>_xlfn.XLOOKUP(A100,VIX!A:A,VIX!B:B,"",-1)</f>
        <v>12.27</v>
      </c>
      <c r="F100">
        <f t="shared" si="9"/>
        <v>0.92999999999999972</v>
      </c>
      <c r="G100">
        <f>_xlfn.XLOOKUP(A100,'DGS10'!A:A,'DGS10'!B:B,"",-1)</f>
        <v>1.55</v>
      </c>
      <c r="H100">
        <f t="shared" si="10"/>
        <v>-3.0000000000000027E-2</v>
      </c>
      <c r="I100" s="2">
        <f>_xlfn.XLOOKUP(A100,T10Y3M!A:A,T10Y3M!B:B,"",-1)</f>
        <v>1.26</v>
      </c>
      <c r="J100" s="2">
        <f>_xlfn.XLOOKUP(A100,BAMLC0A4CBBB!A:A,BAMLC0A4CBBB!B:B,"",-1)</f>
        <v>1.84</v>
      </c>
      <c r="K100" s="2">
        <f>_xlfn.XLOOKUP(A100,CPIAUCSL!A:A,CPIAUCSL!B:B,"",-1)</f>
        <v>240.54499999999999</v>
      </c>
      <c r="L100">
        <f>_xlfn.XLOOKUP(A100,DFF!A:A,DFF!B:B,"",-1)</f>
        <v>0.4</v>
      </c>
      <c r="M100">
        <f>_xlfn.XLOOKUP(A100,'DGS2'!A:A,'DGS2'!B:B,"",-1)</f>
        <v>0.76</v>
      </c>
      <c r="N100">
        <f t="shared" si="11"/>
        <v>0</v>
      </c>
      <c r="O100">
        <f t="shared" si="12"/>
        <v>1.9517648352453953E-3</v>
      </c>
      <c r="P100">
        <f t="shared" si="13"/>
        <v>1</v>
      </c>
      <c r="Q100">
        <f t="shared" si="14"/>
        <v>0</v>
      </c>
      <c r="R100" s="3">
        <v>43.49</v>
      </c>
    </row>
    <row r="101" spans="1:18">
      <c r="A101" s="1">
        <v>42605</v>
      </c>
      <c r="B101">
        <v>2186.9</v>
      </c>
      <c r="C101">
        <f t="shared" si="8"/>
        <v>1.9517648352453953E-3</v>
      </c>
      <c r="D101">
        <f t="shared" si="15"/>
        <v>-5.4869182723460419E-5</v>
      </c>
      <c r="E101">
        <f>_xlfn.XLOOKUP(A101,VIX!A:A,VIX!B:B,"",-1)</f>
        <v>12.38</v>
      </c>
      <c r="F101">
        <f t="shared" si="9"/>
        <v>0.11000000000000121</v>
      </c>
      <c r="G101">
        <f>_xlfn.XLOOKUP(A101,'DGS10'!A:A,'DGS10'!B:B,"",-1)</f>
        <v>1.55</v>
      </c>
      <c r="H101">
        <f t="shared" si="10"/>
        <v>0</v>
      </c>
      <c r="I101" s="2">
        <f>_xlfn.XLOOKUP(A101,T10Y3M!A:A,T10Y3M!B:B,"",-1)</f>
        <v>1.25</v>
      </c>
      <c r="J101" s="2">
        <f>_xlfn.XLOOKUP(A101,BAMLC0A4CBBB!A:A,BAMLC0A4CBBB!B:B,"",-1)</f>
        <v>1.84</v>
      </c>
      <c r="K101" s="2">
        <f>_xlfn.XLOOKUP(A101,CPIAUCSL!A:A,CPIAUCSL!B:B,"",-1)</f>
        <v>240.54499999999999</v>
      </c>
      <c r="L101">
        <f>_xlfn.XLOOKUP(A101,DFF!A:A,DFF!B:B,"",-1)</f>
        <v>0.4</v>
      </c>
      <c r="M101">
        <f>_xlfn.XLOOKUP(A101,'DGS2'!A:A,'DGS2'!B:B,"",-1)</f>
        <v>0.74</v>
      </c>
      <c r="N101">
        <f t="shared" si="11"/>
        <v>-2.0000000000000018E-2</v>
      </c>
      <c r="O101">
        <f t="shared" si="12"/>
        <v>-5.240294480771901E-3</v>
      </c>
      <c r="P101">
        <f t="shared" si="13"/>
        <v>0</v>
      </c>
      <c r="Q101">
        <f t="shared" si="14"/>
        <v>-1</v>
      </c>
      <c r="R101" s="3">
        <v>44.49</v>
      </c>
    </row>
    <row r="102" spans="1:18">
      <c r="A102" s="1">
        <v>42606</v>
      </c>
      <c r="B102">
        <v>2175.44</v>
      </c>
      <c r="C102">
        <f t="shared" si="8"/>
        <v>-5.240294480771901E-3</v>
      </c>
      <c r="D102">
        <f t="shared" si="15"/>
        <v>-3.8601198789304236E-3</v>
      </c>
      <c r="E102">
        <f>_xlfn.XLOOKUP(A102,VIX!A:A,VIX!B:B,"",-1)</f>
        <v>13.45</v>
      </c>
      <c r="F102">
        <f t="shared" si="9"/>
        <v>1.0699999999999985</v>
      </c>
      <c r="G102">
        <f>_xlfn.XLOOKUP(A102,'DGS10'!A:A,'DGS10'!B:B,"",-1)</f>
        <v>1.56</v>
      </c>
      <c r="H102">
        <f t="shared" si="10"/>
        <v>1.0000000000000009E-2</v>
      </c>
      <c r="I102" s="2">
        <f>_xlfn.XLOOKUP(A102,T10Y3M!A:A,T10Y3M!B:B,"",-1)</f>
        <v>1.25</v>
      </c>
      <c r="J102" s="2">
        <f>_xlfn.XLOOKUP(A102,BAMLC0A4CBBB!A:A,BAMLC0A4CBBB!B:B,"",-1)</f>
        <v>1.83</v>
      </c>
      <c r="K102" s="2">
        <f>_xlfn.XLOOKUP(A102,CPIAUCSL!A:A,CPIAUCSL!B:B,"",-1)</f>
        <v>240.54499999999999</v>
      </c>
      <c r="L102">
        <f>_xlfn.XLOOKUP(A102,DFF!A:A,DFF!B:B,"",-1)</f>
        <v>0.4</v>
      </c>
      <c r="M102">
        <f>_xlfn.XLOOKUP(A102,'DGS2'!A:A,'DGS2'!B:B,"",-1)</f>
        <v>0.76</v>
      </c>
      <c r="N102">
        <f t="shared" si="11"/>
        <v>2.0000000000000018E-2</v>
      </c>
      <c r="O102">
        <f t="shared" si="12"/>
        <v>-1.3652410546832749E-3</v>
      </c>
      <c r="P102">
        <f t="shared" si="13"/>
        <v>0</v>
      </c>
      <c r="Q102">
        <f t="shared" si="14"/>
        <v>0</v>
      </c>
      <c r="R102" s="3">
        <v>45.74</v>
      </c>
    </row>
    <row r="103" spans="1:18">
      <c r="A103" s="1">
        <v>42607</v>
      </c>
      <c r="B103">
        <v>2172.4699999999998</v>
      </c>
      <c r="C103">
        <f t="shared" si="8"/>
        <v>-1.3652410546832749E-3</v>
      </c>
      <c r="D103">
        <f t="shared" si="15"/>
        <v>-4.6594949235788663E-3</v>
      </c>
      <c r="E103">
        <f>_xlfn.XLOOKUP(A103,VIX!A:A,VIX!B:B,"",-1)</f>
        <v>13.63</v>
      </c>
      <c r="F103">
        <f t="shared" si="9"/>
        <v>0.18000000000000149</v>
      </c>
      <c r="G103">
        <f>_xlfn.XLOOKUP(A103,'DGS10'!A:A,'DGS10'!B:B,"",-1)</f>
        <v>1.58</v>
      </c>
      <c r="H103">
        <f t="shared" si="10"/>
        <v>2.0000000000000018E-2</v>
      </c>
      <c r="I103" s="2">
        <f>_xlfn.XLOOKUP(A103,T10Y3M!A:A,T10Y3M!B:B,"",-1)</f>
        <v>1.25</v>
      </c>
      <c r="J103" s="2">
        <f>_xlfn.XLOOKUP(A103,BAMLC0A4CBBB!A:A,BAMLC0A4CBBB!B:B,"",-1)</f>
        <v>1.83</v>
      </c>
      <c r="K103" s="2">
        <f>_xlfn.XLOOKUP(A103,CPIAUCSL!A:A,CPIAUCSL!B:B,"",-1)</f>
        <v>240.54499999999999</v>
      </c>
      <c r="L103">
        <f>_xlfn.XLOOKUP(A103,DFF!A:A,DFF!B:B,"",-1)</f>
        <v>0.4</v>
      </c>
      <c r="M103">
        <f>_xlfn.XLOOKUP(A103,'DGS2'!A:A,'DGS2'!B:B,"",-1)</f>
        <v>0.78</v>
      </c>
      <c r="N103">
        <f t="shared" si="11"/>
        <v>2.0000000000000018E-2</v>
      </c>
      <c r="O103">
        <f t="shared" si="12"/>
        <v>-1.5788480393283955E-3</v>
      </c>
      <c r="P103">
        <f t="shared" si="13"/>
        <v>0</v>
      </c>
      <c r="Q103">
        <f t="shared" si="14"/>
        <v>0</v>
      </c>
      <c r="R103" s="3">
        <v>46.58</v>
      </c>
    </row>
    <row r="104" spans="1:18">
      <c r="A104" s="1">
        <v>42608</v>
      </c>
      <c r="B104">
        <v>2169.04</v>
      </c>
      <c r="C104">
        <f t="shared" si="8"/>
        <v>-1.5788480393283955E-3</v>
      </c>
      <c r="D104">
        <f t="shared" si="15"/>
        <v>-8.1668114682884596E-3</v>
      </c>
      <c r="E104">
        <f>_xlfn.XLOOKUP(A104,VIX!A:A,VIX!B:B,"",-1)</f>
        <v>13.65</v>
      </c>
      <c r="F104">
        <f t="shared" si="9"/>
        <v>1.9999999999999574E-2</v>
      </c>
      <c r="G104">
        <f>_xlfn.XLOOKUP(A104,'DGS10'!A:A,'DGS10'!B:B,"",-1)</f>
        <v>1.62</v>
      </c>
      <c r="H104">
        <f t="shared" si="10"/>
        <v>4.0000000000000036E-2</v>
      </c>
      <c r="I104" s="2">
        <f>_xlfn.XLOOKUP(A104,T10Y3M!A:A,T10Y3M!B:B,"",-1)</f>
        <v>1.28</v>
      </c>
      <c r="J104" s="2">
        <f>_xlfn.XLOOKUP(A104,BAMLC0A4CBBB!A:A,BAMLC0A4CBBB!B:B,"",-1)</f>
        <v>1.82</v>
      </c>
      <c r="K104" s="2">
        <f>_xlfn.XLOOKUP(A104,CPIAUCSL!A:A,CPIAUCSL!B:B,"",-1)</f>
        <v>240.54499999999999</v>
      </c>
      <c r="L104">
        <f>_xlfn.XLOOKUP(A104,DFF!A:A,DFF!B:B,"",-1)</f>
        <v>0.4</v>
      </c>
      <c r="M104">
        <f>_xlfn.XLOOKUP(A104,'DGS2'!A:A,'DGS2'!B:B,"",-1)</f>
        <v>0.84</v>
      </c>
      <c r="N104">
        <f t="shared" si="11"/>
        <v>5.9999999999999942E-2</v>
      </c>
      <c r="O104">
        <f t="shared" si="12"/>
        <v>5.2281193523402436E-3</v>
      </c>
      <c r="P104">
        <f t="shared" si="13"/>
        <v>1</v>
      </c>
      <c r="Q104">
        <f t="shared" si="14"/>
        <v>1</v>
      </c>
      <c r="R104" s="3">
        <v>46.79</v>
      </c>
    </row>
    <row r="105" spans="1:18">
      <c r="A105" s="1">
        <v>42611</v>
      </c>
      <c r="B105">
        <v>2180.38</v>
      </c>
      <c r="C105">
        <f t="shared" si="8"/>
        <v>5.2281193523402436E-3</v>
      </c>
      <c r="D105">
        <f t="shared" si="15"/>
        <v>2.2708049865773905E-3</v>
      </c>
      <c r="E105">
        <f>_xlfn.XLOOKUP(A105,VIX!A:A,VIX!B:B,"",-1)</f>
        <v>12.94</v>
      </c>
      <c r="F105">
        <f t="shared" si="9"/>
        <v>-0.71000000000000085</v>
      </c>
      <c r="G105">
        <f>_xlfn.XLOOKUP(A105,'DGS10'!A:A,'DGS10'!B:B,"",-1)</f>
        <v>1.57</v>
      </c>
      <c r="H105">
        <f t="shared" si="10"/>
        <v>-5.0000000000000044E-2</v>
      </c>
      <c r="I105" s="2">
        <f>_xlfn.XLOOKUP(A105,T10Y3M!A:A,T10Y3M!B:B,"",-1)</f>
        <v>1.24</v>
      </c>
      <c r="J105" s="2">
        <f>_xlfn.XLOOKUP(A105,BAMLC0A4CBBB!A:A,BAMLC0A4CBBB!B:B,"",-1)</f>
        <v>1.82</v>
      </c>
      <c r="K105" s="2">
        <f>_xlfn.XLOOKUP(A105,CPIAUCSL!A:A,CPIAUCSL!B:B,"",-1)</f>
        <v>240.54499999999999</v>
      </c>
      <c r="L105">
        <f>_xlfn.XLOOKUP(A105,DFF!A:A,DFF!B:B,"",-1)</f>
        <v>0.4</v>
      </c>
      <c r="M105">
        <f>_xlfn.XLOOKUP(A105,'DGS2'!A:A,'DGS2'!B:B,"",-1)</f>
        <v>0.81</v>
      </c>
      <c r="N105">
        <f t="shared" si="11"/>
        <v>-2.9999999999999916E-2</v>
      </c>
      <c r="O105">
        <f t="shared" si="12"/>
        <v>-1.9537878718389745E-3</v>
      </c>
      <c r="P105">
        <f t="shared" si="13"/>
        <v>0</v>
      </c>
      <c r="Q105">
        <f t="shared" si="14"/>
        <v>0</v>
      </c>
      <c r="R105" s="3">
        <v>48.22</v>
      </c>
    </row>
    <row r="106" spans="1:18">
      <c r="A106" s="1">
        <v>42612</v>
      </c>
      <c r="B106">
        <v>2176.12</v>
      </c>
      <c r="C106">
        <f t="shared" si="8"/>
        <v>-1.9537878718389745E-3</v>
      </c>
      <c r="D106">
        <f t="shared" si="15"/>
        <v>1.680115260509929E-3</v>
      </c>
      <c r="E106">
        <f>_xlfn.XLOOKUP(A106,VIX!A:A,VIX!B:B,"",-1)</f>
        <v>13.12</v>
      </c>
      <c r="F106">
        <f t="shared" si="9"/>
        <v>0.17999999999999972</v>
      </c>
      <c r="G106">
        <f>_xlfn.XLOOKUP(A106,'DGS10'!A:A,'DGS10'!B:B,"",-1)</f>
        <v>1.57</v>
      </c>
      <c r="H106">
        <f t="shared" si="10"/>
        <v>0</v>
      </c>
      <c r="I106" s="2">
        <f>_xlfn.XLOOKUP(A106,T10Y3M!A:A,T10Y3M!B:B,"",-1)</f>
        <v>1.24</v>
      </c>
      <c r="J106" s="2">
        <f>_xlfn.XLOOKUP(A106,BAMLC0A4CBBB!A:A,BAMLC0A4CBBB!B:B,"",-1)</f>
        <v>1.81</v>
      </c>
      <c r="K106" s="2">
        <f>_xlfn.XLOOKUP(A106,CPIAUCSL!A:A,CPIAUCSL!B:B,"",-1)</f>
        <v>240.54499999999999</v>
      </c>
      <c r="L106">
        <f>_xlfn.XLOOKUP(A106,DFF!A:A,DFF!B:B,"",-1)</f>
        <v>0.4</v>
      </c>
      <c r="M106">
        <f>_xlfn.XLOOKUP(A106,'DGS2'!A:A,'DGS2'!B:B,"",-1)</f>
        <v>0.8</v>
      </c>
      <c r="N106">
        <f t="shared" si="11"/>
        <v>-1.0000000000000009E-2</v>
      </c>
      <c r="O106">
        <f t="shared" si="12"/>
        <v>-2.3757880999210057E-3</v>
      </c>
      <c r="P106">
        <f t="shared" si="13"/>
        <v>0</v>
      </c>
      <c r="Q106">
        <f t="shared" si="14"/>
        <v>0</v>
      </c>
      <c r="R106" s="3">
        <v>48.52</v>
      </c>
    </row>
    <row r="107" spans="1:18">
      <c r="A107" s="1">
        <v>42613</v>
      </c>
      <c r="B107">
        <v>2170.9499999999998</v>
      </c>
      <c r="C107">
        <f t="shared" si="8"/>
        <v>-2.3757880999210057E-3</v>
      </c>
      <c r="D107">
        <f t="shared" si="15"/>
        <v>8.805738944417385E-4</v>
      </c>
      <c r="E107">
        <f>_xlfn.XLOOKUP(A107,VIX!A:A,VIX!B:B,"",-1)</f>
        <v>13.42</v>
      </c>
      <c r="F107">
        <f t="shared" si="9"/>
        <v>0.30000000000000071</v>
      </c>
      <c r="G107">
        <f>_xlfn.XLOOKUP(A107,'DGS10'!A:A,'DGS10'!B:B,"",-1)</f>
        <v>1.58</v>
      </c>
      <c r="H107">
        <f t="shared" si="10"/>
        <v>1.0000000000000009E-2</v>
      </c>
      <c r="I107" s="2">
        <f>_xlfn.XLOOKUP(A107,T10Y3M!A:A,T10Y3M!B:B,"",-1)</f>
        <v>1.25</v>
      </c>
      <c r="J107" s="2">
        <f>_xlfn.XLOOKUP(A107,BAMLC0A4CBBB!A:A,BAMLC0A4CBBB!B:B,"",-1)</f>
        <v>1.83</v>
      </c>
      <c r="K107" s="2">
        <f>_xlfn.XLOOKUP(A107,CPIAUCSL!A:A,CPIAUCSL!B:B,"",-1)</f>
        <v>240.54499999999999</v>
      </c>
      <c r="L107">
        <f>_xlfn.XLOOKUP(A107,DFF!A:A,DFF!B:B,"",-1)</f>
        <v>0.3</v>
      </c>
      <c r="M107">
        <f>_xlfn.XLOOKUP(A107,'DGS2'!A:A,'DGS2'!B:B,"",-1)</f>
        <v>0.8</v>
      </c>
      <c r="N107">
        <f t="shared" si="11"/>
        <v>0</v>
      </c>
      <c r="O107">
        <f t="shared" si="12"/>
        <v>-4.1456505216475037E-5</v>
      </c>
      <c r="P107">
        <f t="shared" si="13"/>
        <v>0</v>
      </c>
      <c r="Q107">
        <f t="shared" si="14"/>
        <v>0</v>
      </c>
      <c r="R107" s="3">
        <v>47.05</v>
      </c>
    </row>
    <row r="108" spans="1:18">
      <c r="A108" s="1">
        <v>42614</v>
      </c>
      <c r="B108">
        <v>2170.86</v>
      </c>
      <c r="C108">
        <f t="shared" si="8"/>
        <v>-4.1456505216475037E-5</v>
      </c>
      <c r="D108">
        <f t="shared" si="15"/>
        <v>-4.3662113943441216E-3</v>
      </c>
      <c r="E108">
        <f>_xlfn.XLOOKUP(A108,VIX!A:A,VIX!B:B,"",-1)</f>
        <v>13.48</v>
      </c>
      <c r="F108">
        <f t="shared" si="9"/>
        <v>6.0000000000000497E-2</v>
      </c>
      <c r="G108">
        <f>_xlfn.XLOOKUP(A108,'DGS10'!A:A,'DGS10'!B:B,"",-1)</f>
        <v>1.57</v>
      </c>
      <c r="H108">
        <f t="shared" si="10"/>
        <v>-1.0000000000000009E-2</v>
      </c>
      <c r="I108" s="2">
        <f>_xlfn.XLOOKUP(A108,T10Y3M!A:A,T10Y3M!B:B,"",-1)</f>
        <v>1.24</v>
      </c>
      <c r="J108" s="2">
        <f>_xlfn.XLOOKUP(A108,BAMLC0A4CBBB!A:A,BAMLC0A4CBBB!B:B,"",-1)</f>
        <v>1.83</v>
      </c>
      <c r="K108" s="2">
        <f>_xlfn.XLOOKUP(A108,CPIAUCSL!A:A,CPIAUCSL!B:B,"",-1)</f>
        <v>241.17599999999999</v>
      </c>
      <c r="L108">
        <f>_xlfn.XLOOKUP(A108,DFF!A:A,DFF!B:B,"",-1)</f>
        <v>0.4</v>
      </c>
      <c r="M108">
        <f>_xlfn.XLOOKUP(A108,'DGS2'!A:A,'DGS2'!B:B,"",-1)</f>
        <v>0.78</v>
      </c>
      <c r="N108">
        <f t="shared" si="11"/>
        <v>-2.0000000000000018E-2</v>
      </c>
      <c r="O108">
        <f t="shared" si="12"/>
        <v>4.2011000248749486E-3</v>
      </c>
      <c r="P108">
        <f t="shared" si="13"/>
        <v>1</v>
      </c>
      <c r="Q108">
        <f t="shared" si="14"/>
        <v>1</v>
      </c>
      <c r="R108" s="3">
        <v>48.1</v>
      </c>
    </row>
    <row r="109" spans="1:18">
      <c r="A109" s="1">
        <v>42615</v>
      </c>
      <c r="B109">
        <v>2179.98</v>
      </c>
      <c r="C109">
        <f t="shared" si="8"/>
        <v>4.2011000248749486E-3</v>
      </c>
      <c r="D109">
        <f t="shared" si="15"/>
        <v>1.7737992390125523E-3</v>
      </c>
      <c r="E109">
        <f>_xlfn.XLOOKUP(A109,VIX!A:A,VIX!B:B,"",-1)</f>
        <v>11.98</v>
      </c>
      <c r="F109">
        <f t="shared" si="9"/>
        <v>-1.5</v>
      </c>
      <c r="G109">
        <f>_xlfn.XLOOKUP(A109,'DGS10'!A:A,'DGS10'!B:B,"",-1)</f>
        <v>1.6</v>
      </c>
      <c r="H109">
        <f t="shared" si="10"/>
        <v>3.0000000000000027E-2</v>
      </c>
      <c r="I109" s="2">
        <f>_xlfn.XLOOKUP(A109,T10Y3M!A:A,T10Y3M!B:B,"",-1)</f>
        <v>1.27</v>
      </c>
      <c r="J109" s="2">
        <f>_xlfn.XLOOKUP(A109,BAMLC0A4CBBB!A:A,BAMLC0A4CBBB!B:B,"",-1)</f>
        <v>1.83</v>
      </c>
      <c r="K109" s="2">
        <f>_xlfn.XLOOKUP(A109,CPIAUCSL!A:A,CPIAUCSL!B:B,"",-1)</f>
        <v>241.17599999999999</v>
      </c>
      <c r="L109">
        <f>_xlfn.XLOOKUP(A109,DFF!A:A,DFF!B:B,"",-1)</f>
        <v>0.4</v>
      </c>
      <c r="M109">
        <f>_xlfn.XLOOKUP(A109,'DGS2'!A:A,'DGS2'!B:B,"",-1)</f>
        <v>0.8</v>
      </c>
      <c r="N109">
        <f t="shared" si="11"/>
        <v>2.0000000000000018E-2</v>
      </c>
      <c r="O109">
        <f t="shared" si="12"/>
        <v>2.9816787309975279E-3</v>
      </c>
      <c r="P109">
        <f t="shared" si="13"/>
        <v>1</v>
      </c>
      <c r="Q109">
        <f t="shared" si="14"/>
        <v>0</v>
      </c>
      <c r="R109" s="3">
        <v>46.77</v>
      </c>
    </row>
    <row r="110" spans="1:18">
      <c r="A110" s="1">
        <v>42619</v>
      </c>
      <c r="B110">
        <v>2186.48</v>
      </c>
      <c r="C110">
        <f t="shared" si="8"/>
        <v>2.9816787309975279E-3</v>
      </c>
      <c r="D110">
        <f t="shared" si="15"/>
        <v>7.153550289044075E-3</v>
      </c>
      <c r="E110">
        <f>_xlfn.XLOOKUP(A110,VIX!A:A,VIX!B:B,"",-1)</f>
        <v>12.02</v>
      </c>
      <c r="F110">
        <f t="shared" si="9"/>
        <v>3.9999999999999147E-2</v>
      </c>
      <c r="G110">
        <f>_xlfn.XLOOKUP(A110,'DGS10'!A:A,'DGS10'!B:B,"",-1)</f>
        <v>1.55</v>
      </c>
      <c r="H110">
        <f t="shared" si="10"/>
        <v>-5.0000000000000044E-2</v>
      </c>
      <c r="I110" s="2">
        <f>_xlfn.XLOOKUP(A110,T10Y3M!A:A,T10Y3M!B:B,"",-1)</f>
        <v>1.23</v>
      </c>
      <c r="J110" s="2">
        <f>_xlfn.XLOOKUP(A110,BAMLC0A4CBBB!A:A,BAMLC0A4CBBB!B:B,"",-1)</f>
        <v>1.83</v>
      </c>
      <c r="K110" s="2">
        <f>_xlfn.XLOOKUP(A110,CPIAUCSL!A:A,CPIAUCSL!B:B,"",-1)</f>
        <v>241.17599999999999</v>
      </c>
      <c r="L110">
        <f>_xlfn.XLOOKUP(A110,DFF!A:A,DFF!B:B,"",-1)</f>
        <v>0.4</v>
      </c>
      <c r="M110">
        <f>_xlfn.XLOOKUP(A110,'DGS2'!A:A,'DGS2'!B:B,"",-1)</f>
        <v>0.74</v>
      </c>
      <c r="N110">
        <f t="shared" si="11"/>
        <v>-6.0000000000000053E-2</v>
      </c>
      <c r="O110">
        <f t="shared" si="12"/>
        <v>-1.4635395704520882E-4</v>
      </c>
      <c r="P110">
        <f t="shared" si="13"/>
        <v>0</v>
      </c>
      <c r="Q110">
        <f t="shared" si="14"/>
        <v>0</v>
      </c>
      <c r="R110" s="3">
        <v>47.33</v>
      </c>
    </row>
    <row r="111" spans="1:18">
      <c r="A111" s="1">
        <v>42620</v>
      </c>
      <c r="B111">
        <v>2186.16</v>
      </c>
      <c r="C111">
        <f t="shared" si="8"/>
        <v>-1.4635395704520882E-4</v>
      </c>
      <c r="D111">
        <f t="shared" si="15"/>
        <v>7.0478980680466208E-3</v>
      </c>
      <c r="E111">
        <f>_xlfn.XLOOKUP(A111,VIX!A:A,VIX!B:B,"",-1)</f>
        <v>11.94</v>
      </c>
      <c r="F111">
        <f t="shared" si="9"/>
        <v>-8.0000000000000071E-2</v>
      </c>
      <c r="G111">
        <f>_xlfn.XLOOKUP(A111,'DGS10'!A:A,'DGS10'!B:B,"",-1)</f>
        <v>1.54</v>
      </c>
      <c r="H111">
        <f t="shared" si="10"/>
        <v>-1.0000000000000009E-2</v>
      </c>
      <c r="I111" s="2">
        <f>_xlfn.XLOOKUP(A111,T10Y3M!A:A,T10Y3M!B:B,"",-1)</f>
        <v>1.2</v>
      </c>
      <c r="J111" s="2">
        <f>_xlfn.XLOOKUP(A111,BAMLC0A4CBBB!A:A,BAMLC0A4CBBB!B:B,"",-1)</f>
        <v>1.83</v>
      </c>
      <c r="K111" s="2">
        <f>_xlfn.XLOOKUP(A111,CPIAUCSL!A:A,CPIAUCSL!B:B,"",-1)</f>
        <v>241.17599999999999</v>
      </c>
      <c r="L111">
        <f>_xlfn.XLOOKUP(A111,DFF!A:A,DFF!B:B,"",-1)</f>
        <v>0.4</v>
      </c>
      <c r="M111">
        <f>_xlfn.XLOOKUP(A111,'DGS2'!A:A,'DGS2'!B:B,"",-1)</f>
        <v>0.74</v>
      </c>
      <c r="N111">
        <f t="shared" si="11"/>
        <v>0</v>
      </c>
      <c r="O111">
        <f t="shared" si="12"/>
        <v>-2.2230760786033921E-3</v>
      </c>
      <c r="P111">
        <f t="shared" si="13"/>
        <v>0</v>
      </c>
      <c r="Q111">
        <f t="shared" si="14"/>
        <v>0</v>
      </c>
      <c r="R111" s="3">
        <v>47.64</v>
      </c>
    </row>
    <row r="112" spans="1:18">
      <c r="A112" s="1">
        <v>42621</v>
      </c>
      <c r="B112">
        <v>2181.3000000000002</v>
      </c>
      <c r="C112">
        <f t="shared" si="8"/>
        <v>-2.2230760786033921E-3</v>
      </c>
      <c r="D112">
        <f t="shared" si="15"/>
        <v>6.0551014229504041E-4</v>
      </c>
      <c r="E112">
        <f>_xlfn.XLOOKUP(A112,VIX!A:A,VIX!B:B,"",-1)</f>
        <v>12.51</v>
      </c>
      <c r="F112">
        <f t="shared" si="9"/>
        <v>0.57000000000000028</v>
      </c>
      <c r="G112">
        <f>_xlfn.XLOOKUP(A112,'DGS10'!A:A,'DGS10'!B:B,"",-1)</f>
        <v>1.61</v>
      </c>
      <c r="H112">
        <f t="shared" si="10"/>
        <v>7.0000000000000062E-2</v>
      </c>
      <c r="I112" s="2">
        <f>_xlfn.XLOOKUP(A112,T10Y3M!A:A,T10Y3M!B:B,"",-1)</f>
        <v>1.26</v>
      </c>
      <c r="J112" s="2">
        <f>_xlfn.XLOOKUP(A112,BAMLC0A4CBBB!A:A,BAMLC0A4CBBB!B:B,"",-1)</f>
        <v>1.82</v>
      </c>
      <c r="K112" s="2">
        <f>_xlfn.XLOOKUP(A112,CPIAUCSL!A:A,CPIAUCSL!B:B,"",-1)</f>
        <v>241.17599999999999</v>
      </c>
      <c r="L112">
        <f>_xlfn.XLOOKUP(A112,DFF!A:A,DFF!B:B,"",-1)</f>
        <v>0.4</v>
      </c>
      <c r="M112">
        <f>_xlfn.XLOOKUP(A112,'DGS2'!A:A,'DGS2'!B:B,"",-1)</f>
        <v>0.78</v>
      </c>
      <c r="N112">
        <f t="shared" si="11"/>
        <v>4.0000000000000036E-2</v>
      </c>
      <c r="O112">
        <f t="shared" si="12"/>
        <v>-2.4522073992573334E-2</v>
      </c>
      <c r="P112">
        <f t="shared" si="13"/>
        <v>0</v>
      </c>
      <c r="Q112">
        <f t="shared" si="14"/>
        <v>-1</v>
      </c>
      <c r="R112" s="3">
        <v>46.98</v>
      </c>
    </row>
    <row r="113" spans="1:18">
      <c r="A113" s="1">
        <v>42622</v>
      </c>
      <c r="B113">
        <v>2127.81</v>
      </c>
      <c r="C113">
        <f t="shared" si="8"/>
        <v>-2.4522073992573334E-2</v>
      </c>
      <c r="D113">
        <f t="shared" si="15"/>
        <v>-2.683308331199008E-2</v>
      </c>
      <c r="E113">
        <f>_xlfn.XLOOKUP(A113,VIX!A:A,VIX!B:B,"",-1)</f>
        <v>17.5</v>
      </c>
      <c r="F113">
        <f t="shared" si="9"/>
        <v>4.99</v>
      </c>
      <c r="G113">
        <f>_xlfn.XLOOKUP(A113,'DGS10'!A:A,'DGS10'!B:B,"",-1)</f>
        <v>1.67</v>
      </c>
      <c r="H113">
        <f t="shared" si="10"/>
        <v>5.9999999999999831E-2</v>
      </c>
      <c r="I113" s="2">
        <f>_xlfn.XLOOKUP(A113,T10Y3M!A:A,T10Y3M!B:B,"",-1)</f>
        <v>1.32</v>
      </c>
      <c r="J113" s="2">
        <f>_xlfn.XLOOKUP(A113,BAMLC0A4CBBB!A:A,BAMLC0A4CBBB!B:B,"",-1)</f>
        <v>1.83</v>
      </c>
      <c r="K113" s="2">
        <f>_xlfn.XLOOKUP(A113,CPIAUCSL!A:A,CPIAUCSL!B:B,"",-1)</f>
        <v>241.17599999999999</v>
      </c>
      <c r="L113">
        <f>_xlfn.XLOOKUP(A113,DFF!A:A,DFF!B:B,"",-1)</f>
        <v>0.4</v>
      </c>
      <c r="M113">
        <f>_xlfn.XLOOKUP(A113,'DGS2'!A:A,'DGS2'!B:B,"",-1)</f>
        <v>0.79</v>
      </c>
      <c r="N113">
        <f t="shared" si="11"/>
        <v>1.0000000000000009E-2</v>
      </c>
      <c r="O113">
        <f t="shared" si="12"/>
        <v>1.4677062331693191E-2</v>
      </c>
      <c r="P113">
        <f t="shared" si="13"/>
        <v>1</v>
      </c>
      <c r="Q113">
        <f t="shared" si="14"/>
        <v>1</v>
      </c>
      <c r="R113" s="3">
        <v>46.35</v>
      </c>
    </row>
    <row r="114" spans="1:18">
      <c r="A114" s="1">
        <v>42625</v>
      </c>
      <c r="B114">
        <v>2159.04</v>
      </c>
      <c r="C114">
        <f t="shared" si="8"/>
        <v>1.4677062331693191E-2</v>
      </c>
      <c r="D114">
        <f t="shared" si="15"/>
        <v>-1.2405313426281706E-2</v>
      </c>
      <c r="E114">
        <f>_xlfn.XLOOKUP(A114,VIX!A:A,VIX!B:B,"",-1)</f>
        <v>15.16</v>
      </c>
      <c r="F114">
        <f t="shared" si="9"/>
        <v>-2.34</v>
      </c>
      <c r="G114">
        <f>_xlfn.XLOOKUP(A114,'DGS10'!A:A,'DGS10'!B:B,"",-1)</f>
        <v>1.68</v>
      </c>
      <c r="H114">
        <f t="shared" si="10"/>
        <v>1.0000000000000009E-2</v>
      </c>
      <c r="I114" s="2">
        <f>_xlfn.XLOOKUP(A114,T10Y3M!A:A,T10Y3M!B:B,"",-1)</f>
        <v>1.31</v>
      </c>
      <c r="J114" s="2">
        <f>_xlfn.XLOOKUP(A114,BAMLC0A4CBBB!A:A,BAMLC0A4CBBB!B:B,"",-1)</f>
        <v>1.84</v>
      </c>
      <c r="K114" s="2">
        <f>_xlfn.XLOOKUP(A114,CPIAUCSL!A:A,CPIAUCSL!B:B,"",-1)</f>
        <v>241.17599999999999</v>
      </c>
      <c r="L114">
        <f>_xlfn.XLOOKUP(A114,DFF!A:A,DFF!B:B,"",-1)</f>
        <v>0.4</v>
      </c>
      <c r="M114">
        <f>_xlfn.XLOOKUP(A114,'DGS2'!A:A,'DGS2'!B:B,"",-1)</f>
        <v>0.79</v>
      </c>
      <c r="N114">
        <f t="shared" si="11"/>
        <v>0</v>
      </c>
      <c r="O114">
        <f t="shared" si="12"/>
        <v>-1.4830665480954464E-2</v>
      </c>
      <c r="P114">
        <f t="shared" si="13"/>
        <v>0</v>
      </c>
      <c r="Q114">
        <f t="shared" si="14"/>
        <v>-1</v>
      </c>
      <c r="R114" s="3">
        <v>44.7</v>
      </c>
    </row>
    <row r="115" spans="1:18">
      <c r="A115" s="1">
        <v>42626</v>
      </c>
      <c r="B115">
        <v>2127.02</v>
      </c>
      <c r="C115">
        <f t="shared" si="8"/>
        <v>-1.4830665480954464E-2</v>
      </c>
      <c r="D115">
        <f t="shared" si="15"/>
        <v>-2.4884243341126933E-2</v>
      </c>
      <c r="E115">
        <f>_xlfn.XLOOKUP(A115,VIX!A:A,VIX!B:B,"",-1)</f>
        <v>17.850000000000001</v>
      </c>
      <c r="F115">
        <f t="shared" si="9"/>
        <v>2.6900000000000013</v>
      </c>
      <c r="G115">
        <f>_xlfn.XLOOKUP(A115,'DGS10'!A:A,'DGS10'!B:B,"",-1)</f>
        <v>1.73</v>
      </c>
      <c r="H115">
        <f t="shared" si="10"/>
        <v>5.0000000000000044E-2</v>
      </c>
      <c r="I115" s="2">
        <f>_xlfn.XLOOKUP(A115,T10Y3M!A:A,T10Y3M!B:B,"",-1)</f>
        <v>1.37</v>
      </c>
      <c r="J115" s="2">
        <f>_xlfn.XLOOKUP(A115,BAMLC0A4CBBB!A:A,BAMLC0A4CBBB!B:B,"",-1)</f>
        <v>1.85</v>
      </c>
      <c r="K115" s="2">
        <f>_xlfn.XLOOKUP(A115,CPIAUCSL!A:A,CPIAUCSL!B:B,"",-1)</f>
        <v>241.17599999999999</v>
      </c>
      <c r="L115">
        <f>_xlfn.XLOOKUP(A115,DFF!A:A,DFF!B:B,"",-1)</f>
        <v>0.4</v>
      </c>
      <c r="M115">
        <f>_xlfn.XLOOKUP(A115,'DGS2'!A:A,'DGS2'!B:B,"",-1)</f>
        <v>0.8</v>
      </c>
      <c r="N115">
        <f t="shared" si="11"/>
        <v>1.0000000000000009E-2</v>
      </c>
      <c r="O115">
        <f t="shared" si="12"/>
        <v>-5.8767665560266469E-4</v>
      </c>
      <c r="P115">
        <f t="shared" si="13"/>
        <v>0</v>
      </c>
      <c r="Q115">
        <f t="shared" si="14"/>
        <v>0</v>
      </c>
      <c r="R115" s="3">
        <v>43.16</v>
      </c>
    </row>
    <row r="116" spans="1:18">
      <c r="A116" s="1">
        <v>42627</v>
      </c>
      <c r="B116">
        <v>2125.77</v>
      </c>
      <c r="C116">
        <f t="shared" si="8"/>
        <v>-5.8767665560266469E-4</v>
      </c>
      <c r="D116">
        <f t="shared" si="15"/>
        <v>-9.5873221763220773E-4</v>
      </c>
      <c r="E116">
        <f>_xlfn.XLOOKUP(A116,VIX!A:A,VIX!B:B,"",-1)</f>
        <v>18.14</v>
      </c>
      <c r="F116">
        <f t="shared" si="9"/>
        <v>0.28999999999999915</v>
      </c>
      <c r="G116">
        <f>_xlfn.XLOOKUP(A116,'DGS10'!A:A,'DGS10'!B:B,"",-1)</f>
        <v>1.7</v>
      </c>
      <c r="H116">
        <f t="shared" si="10"/>
        <v>-3.0000000000000027E-2</v>
      </c>
      <c r="I116" s="2">
        <f>_xlfn.XLOOKUP(A116,T10Y3M!A:A,T10Y3M!B:B,"",-1)</f>
        <v>1.37</v>
      </c>
      <c r="J116" s="2">
        <f>_xlfn.XLOOKUP(A116,BAMLC0A4CBBB!A:A,BAMLC0A4CBBB!B:B,"",-1)</f>
        <v>1.85</v>
      </c>
      <c r="K116" s="2">
        <f>_xlfn.XLOOKUP(A116,CPIAUCSL!A:A,CPIAUCSL!B:B,"",-1)</f>
        <v>241.17599999999999</v>
      </c>
      <c r="L116">
        <f>_xlfn.XLOOKUP(A116,DFF!A:A,DFF!B:B,"",-1)</f>
        <v>0.4</v>
      </c>
      <c r="M116">
        <f>_xlfn.XLOOKUP(A116,'DGS2'!A:A,'DGS2'!B:B,"",-1)</f>
        <v>0.77</v>
      </c>
      <c r="N116">
        <f t="shared" si="11"/>
        <v>-3.0000000000000027E-2</v>
      </c>
      <c r="O116">
        <f t="shared" si="12"/>
        <v>1.010927804983619E-2</v>
      </c>
      <c r="P116">
        <f t="shared" si="13"/>
        <v>1</v>
      </c>
      <c r="Q116">
        <f t="shared" si="14"/>
        <v>1</v>
      </c>
      <c r="R116" s="3">
        <v>44.44</v>
      </c>
    </row>
    <row r="117" spans="1:18">
      <c r="A117" s="1">
        <v>42628</v>
      </c>
      <c r="B117">
        <v>2147.2600000000002</v>
      </c>
      <c r="C117">
        <f t="shared" si="8"/>
        <v>1.010927804983619E-2</v>
      </c>
      <c r="D117">
        <f t="shared" si="15"/>
        <v>-5.4561286497701866E-3</v>
      </c>
      <c r="E117">
        <f>_xlfn.XLOOKUP(A117,VIX!A:A,VIX!B:B,"",-1)</f>
        <v>16.3</v>
      </c>
      <c r="F117">
        <f t="shared" si="9"/>
        <v>-1.8399999999999999</v>
      </c>
      <c r="G117">
        <f>_xlfn.XLOOKUP(A117,'DGS10'!A:A,'DGS10'!B:B,"",-1)</f>
        <v>1.71</v>
      </c>
      <c r="H117">
        <f t="shared" si="10"/>
        <v>1.0000000000000009E-2</v>
      </c>
      <c r="I117" s="2">
        <f>_xlfn.XLOOKUP(A117,T10Y3M!A:A,T10Y3M!B:B,"",-1)</f>
        <v>1.42</v>
      </c>
      <c r="J117" s="2">
        <f>_xlfn.XLOOKUP(A117,BAMLC0A4CBBB!A:A,BAMLC0A4CBBB!B:B,"",-1)</f>
        <v>1.86</v>
      </c>
      <c r="K117" s="2">
        <f>_xlfn.XLOOKUP(A117,CPIAUCSL!A:A,CPIAUCSL!B:B,"",-1)</f>
        <v>241.17599999999999</v>
      </c>
      <c r="L117">
        <f>_xlfn.XLOOKUP(A117,DFF!A:A,DFF!B:B,"",-1)</f>
        <v>0.4</v>
      </c>
      <c r="M117">
        <f>_xlfn.XLOOKUP(A117,'DGS2'!A:A,'DGS2'!B:B,"",-1)</f>
        <v>0.74</v>
      </c>
      <c r="N117">
        <f t="shared" si="11"/>
        <v>-3.0000000000000027E-2</v>
      </c>
      <c r="O117">
        <f t="shared" si="12"/>
        <v>-3.7722492851356426E-3</v>
      </c>
      <c r="P117">
        <f t="shared" si="13"/>
        <v>0</v>
      </c>
      <c r="Q117">
        <f t="shared" si="14"/>
        <v>-1</v>
      </c>
      <c r="R117" s="3">
        <v>45.17</v>
      </c>
    </row>
    <row r="118" spans="1:18">
      <c r="A118" s="1">
        <v>42629</v>
      </c>
      <c r="B118">
        <v>2139.16</v>
      </c>
      <c r="C118">
        <f t="shared" si="8"/>
        <v>-3.7722492851356426E-3</v>
      </c>
      <c r="D118">
        <f t="shared" si="15"/>
        <v>5.7075156792130155E-3</v>
      </c>
      <c r="E118">
        <f>_xlfn.XLOOKUP(A118,VIX!A:A,VIX!B:B,"",-1)</f>
        <v>15.37</v>
      </c>
      <c r="F118">
        <f t="shared" si="9"/>
        <v>-0.93000000000000149</v>
      </c>
      <c r="G118">
        <f>_xlfn.XLOOKUP(A118,'DGS10'!A:A,'DGS10'!B:B,"",-1)</f>
        <v>1.7</v>
      </c>
      <c r="H118">
        <f t="shared" si="10"/>
        <v>-1.0000000000000009E-2</v>
      </c>
      <c r="I118" s="2">
        <f>_xlfn.XLOOKUP(A118,T10Y3M!A:A,T10Y3M!B:B,"",-1)</f>
        <v>1.4</v>
      </c>
      <c r="J118" s="2">
        <f>_xlfn.XLOOKUP(A118,BAMLC0A4CBBB!A:A,BAMLC0A4CBBB!B:B,"",-1)</f>
        <v>1.85</v>
      </c>
      <c r="K118" s="2">
        <f>_xlfn.XLOOKUP(A118,CPIAUCSL!A:A,CPIAUCSL!B:B,"",-1)</f>
        <v>241.17599999999999</v>
      </c>
      <c r="L118">
        <f>_xlfn.XLOOKUP(A118,DFF!A:A,DFF!B:B,"",-1)</f>
        <v>0.4</v>
      </c>
      <c r="M118">
        <f>_xlfn.XLOOKUP(A118,'DGS2'!A:A,'DGS2'!B:B,"",-1)</f>
        <v>0.77</v>
      </c>
      <c r="N118">
        <f t="shared" si="11"/>
        <v>3.0000000000000027E-2</v>
      </c>
      <c r="O118">
        <f t="shared" si="12"/>
        <v>-1.8698928551330596E-5</v>
      </c>
      <c r="P118">
        <f t="shared" si="13"/>
        <v>0</v>
      </c>
      <c r="Q118">
        <f t="shared" si="14"/>
        <v>0</v>
      </c>
      <c r="R118" s="3">
        <v>44.83</v>
      </c>
    </row>
    <row r="119" spans="1:18">
      <c r="A119" s="1">
        <v>42632</v>
      </c>
      <c r="B119">
        <v>2139.12</v>
      </c>
      <c r="C119">
        <f t="shared" si="8"/>
        <v>-1.8698928551330596E-5</v>
      </c>
      <c r="D119">
        <f t="shared" si="15"/>
        <v>6.2800773366826768E-3</v>
      </c>
      <c r="E119">
        <f>_xlfn.XLOOKUP(A119,VIX!A:A,VIX!B:B,"",-1)</f>
        <v>15.53</v>
      </c>
      <c r="F119">
        <f t="shared" si="9"/>
        <v>0.16000000000000014</v>
      </c>
      <c r="G119">
        <f>_xlfn.XLOOKUP(A119,'DGS10'!A:A,'DGS10'!B:B,"",-1)</f>
        <v>1.7</v>
      </c>
      <c r="H119">
        <f t="shared" si="10"/>
        <v>0</v>
      </c>
      <c r="I119" s="2">
        <f>_xlfn.XLOOKUP(A119,T10Y3M!A:A,T10Y3M!B:B,"",-1)</f>
        <v>1.4</v>
      </c>
      <c r="J119" s="2">
        <f>_xlfn.XLOOKUP(A119,BAMLC0A4CBBB!A:A,BAMLC0A4CBBB!B:B,"",-1)</f>
        <v>1.85</v>
      </c>
      <c r="K119" s="2">
        <f>_xlfn.XLOOKUP(A119,CPIAUCSL!A:A,CPIAUCSL!B:B,"",-1)</f>
        <v>241.17599999999999</v>
      </c>
      <c r="L119">
        <f>_xlfn.XLOOKUP(A119,DFF!A:A,DFF!B:B,"",-1)</f>
        <v>0.4</v>
      </c>
      <c r="M119">
        <f>_xlfn.XLOOKUP(A119,'DGS2'!A:A,'DGS2'!B:B,"",-1)</f>
        <v>0.79</v>
      </c>
      <c r="N119">
        <f t="shared" si="11"/>
        <v>2.0000000000000018E-2</v>
      </c>
      <c r="O119">
        <f t="shared" si="12"/>
        <v>2.9918845132592686E-4</v>
      </c>
      <c r="P119">
        <f t="shared" si="13"/>
        <v>1</v>
      </c>
      <c r="Q119">
        <f t="shared" si="14"/>
        <v>0</v>
      </c>
      <c r="R119" s="3">
        <v>45.5</v>
      </c>
    </row>
    <row r="120" spans="1:18">
      <c r="A120" s="1">
        <v>42633</v>
      </c>
      <c r="B120">
        <v>2139.7600000000002</v>
      </c>
      <c r="C120">
        <f t="shared" si="8"/>
        <v>2.9918845132592686E-4</v>
      </c>
      <c r="D120">
        <f t="shared" si="15"/>
        <v>-3.4928234121625046E-3</v>
      </c>
      <c r="E120">
        <f>_xlfn.XLOOKUP(A120,VIX!A:A,VIX!B:B,"",-1)</f>
        <v>15.92</v>
      </c>
      <c r="F120">
        <f t="shared" si="9"/>
        <v>0.39000000000000057</v>
      </c>
      <c r="G120">
        <f>_xlfn.XLOOKUP(A120,'DGS10'!A:A,'DGS10'!B:B,"",-1)</f>
        <v>1.69</v>
      </c>
      <c r="H120">
        <f t="shared" si="10"/>
        <v>-1.0000000000000009E-2</v>
      </c>
      <c r="I120" s="2">
        <f>_xlfn.XLOOKUP(A120,T10Y3M!A:A,T10Y3M!B:B,"",-1)</f>
        <v>1.39</v>
      </c>
      <c r="J120" s="2">
        <f>_xlfn.XLOOKUP(A120,BAMLC0A4CBBB!A:A,BAMLC0A4CBBB!B:B,"",-1)</f>
        <v>1.84</v>
      </c>
      <c r="K120" s="2">
        <f>_xlfn.XLOOKUP(A120,CPIAUCSL!A:A,CPIAUCSL!B:B,"",-1)</f>
        <v>241.17599999999999</v>
      </c>
      <c r="L120">
        <f>_xlfn.XLOOKUP(A120,DFF!A:A,DFF!B:B,"",-1)</f>
        <v>0.4</v>
      </c>
      <c r="M120">
        <f>_xlfn.XLOOKUP(A120,'DGS2'!A:A,'DGS2'!B:B,"",-1)</f>
        <v>0.79</v>
      </c>
      <c r="N120">
        <f t="shared" si="11"/>
        <v>0</v>
      </c>
      <c r="O120">
        <f t="shared" si="12"/>
        <v>1.0917112199498868E-2</v>
      </c>
      <c r="P120">
        <f t="shared" si="13"/>
        <v>1</v>
      </c>
      <c r="Q120">
        <f t="shared" si="14"/>
        <v>1</v>
      </c>
      <c r="R120" s="3">
        <v>47.62</v>
      </c>
    </row>
    <row r="121" spans="1:18">
      <c r="A121" s="1">
        <v>42634</v>
      </c>
      <c r="B121">
        <v>2163.12</v>
      </c>
      <c r="C121">
        <f t="shared" si="8"/>
        <v>1.0917112199498868E-2</v>
      </c>
      <c r="D121">
        <f t="shared" si="15"/>
        <v>1.1200658202284997E-2</v>
      </c>
      <c r="E121">
        <f>_xlfn.XLOOKUP(A121,VIX!A:A,VIX!B:B,"",-1)</f>
        <v>13.3</v>
      </c>
      <c r="F121">
        <f t="shared" si="9"/>
        <v>-2.6199999999999992</v>
      </c>
      <c r="G121">
        <f>_xlfn.XLOOKUP(A121,'DGS10'!A:A,'DGS10'!B:B,"",-1)</f>
        <v>1.66</v>
      </c>
      <c r="H121">
        <f t="shared" si="10"/>
        <v>-3.0000000000000027E-2</v>
      </c>
      <c r="I121" s="2">
        <f>_xlfn.XLOOKUP(A121,T10Y3M!A:A,T10Y3M!B:B,"",-1)</f>
        <v>1.44</v>
      </c>
      <c r="J121" s="2">
        <f>_xlfn.XLOOKUP(A121,BAMLC0A4CBBB!A:A,BAMLC0A4CBBB!B:B,"",-1)</f>
        <v>1.85</v>
      </c>
      <c r="K121" s="2">
        <f>_xlfn.XLOOKUP(A121,CPIAUCSL!A:A,CPIAUCSL!B:B,"",-1)</f>
        <v>241.17599999999999</v>
      </c>
      <c r="L121">
        <f>_xlfn.XLOOKUP(A121,DFF!A:A,DFF!B:B,"",-1)</f>
        <v>0.4</v>
      </c>
      <c r="M121">
        <f>_xlfn.XLOOKUP(A121,'DGS2'!A:A,'DGS2'!B:B,"",-1)</f>
        <v>0.79</v>
      </c>
      <c r="N121">
        <f t="shared" si="11"/>
        <v>0</v>
      </c>
      <c r="O121">
        <f t="shared" si="12"/>
        <v>6.4998705573431348E-3</v>
      </c>
      <c r="P121">
        <f t="shared" si="13"/>
        <v>1</v>
      </c>
      <c r="Q121">
        <f t="shared" si="14"/>
        <v>1</v>
      </c>
      <c r="R121" s="3">
        <v>45.88</v>
      </c>
    </row>
    <row r="122" spans="1:18">
      <c r="A122" s="1">
        <v>42635</v>
      </c>
      <c r="B122">
        <v>2177.1799999999998</v>
      </c>
      <c r="C122">
        <f t="shared" si="8"/>
        <v>6.4998705573431348E-3</v>
      </c>
      <c r="D122">
        <f t="shared" si="15"/>
        <v>1.7792363214779838E-2</v>
      </c>
      <c r="E122">
        <f>_xlfn.XLOOKUP(A122,VIX!A:A,VIX!B:B,"",-1)</f>
        <v>12.02</v>
      </c>
      <c r="F122">
        <f t="shared" si="9"/>
        <v>-1.2800000000000011</v>
      </c>
      <c r="G122">
        <f>_xlfn.XLOOKUP(A122,'DGS10'!A:A,'DGS10'!B:B,"",-1)</f>
        <v>1.63</v>
      </c>
      <c r="H122">
        <f t="shared" si="10"/>
        <v>-3.0000000000000027E-2</v>
      </c>
      <c r="I122" s="2">
        <f>_xlfn.XLOOKUP(A122,T10Y3M!A:A,T10Y3M!B:B,"",-1)</f>
        <v>1.45</v>
      </c>
      <c r="J122" s="2">
        <f>_xlfn.XLOOKUP(A122,BAMLC0A4CBBB!A:A,BAMLC0A4CBBB!B:B,"",-1)</f>
        <v>1.83</v>
      </c>
      <c r="K122" s="2">
        <f>_xlfn.XLOOKUP(A122,CPIAUCSL!A:A,CPIAUCSL!B:B,"",-1)</f>
        <v>241.17599999999999</v>
      </c>
      <c r="L122">
        <f>_xlfn.XLOOKUP(A122,DFF!A:A,DFF!B:B,"",-1)</f>
        <v>0.4</v>
      </c>
      <c r="M122">
        <f>_xlfn.XLOOKUP(A122,'DGS2'!A:A,'DGS2'!B:B,"",-1)</f>
        <v>0.79</v>
      </c>
      <c r="N122">
        <f t="shared" si="11"/>
        <v>0</v>
      </c>
      <c r="O122">
        <f t="shared" si="12"/>
        <v>-5.7367787688660243E-3</v>
      </c>
      <c r="P122">
        <f t="shared" si="13"/>
        <v>0</v>
      </c>
      <c r="Q122">
        <f t="shared" si="14"/>
        <v>-1</v>
      </c>
      <c r="R122" s="3">
        <v>46.29</v>
      </c>
    </row>
    <row r="123" spans="1:18">
      <c r="A123" s="1">
        <v>42636</v>
      </c>
      <c r="B123">
        <v>2164.69</v>
      </c>
      <c r="C123">
        <f t="shared" si="8"/>
        <v>-5.7367787688660243E-3</v>
      </c>
      <c r="D123">
        <f t="shared" si="15"/>
        <v>1.1650839346468711E-2</v>
      </c>
      <c r="E123">
        <f>_xlfn.XLOOKUP(A123,VIX!A:A,VIX!B:B,"",-1)</f>
        <v>12.29</v>
      </c>
      <c r="F123">
        <f t="shared" si="9"/>
        <v>0.26999999999999957</v>
      </c>
      <c r="G123">
        <f>_xlfn.XLOOKUP(A123,'DGS10'!A:A,'DGS10'!B:B,"",-1)</f>
        <v>1.62</v>
      </c>
      <c r="H123">
        <f t="shared" si="10"/>
        <v>-9.9999999999997868E-3</v>
      </c>
      <c r="I123" s="2">
        <f>_xlfn.XLOOKUP(A123,T10Y3M!A:A,T10Y3M!B:B,"",-1)</f>
        <v>1.44</v>
      </c>
      <c r="J123" s="2">
        <f>_xlfn.XLOOKUP(A123,BAMLC0A4CBBB!A:A,BAMLC0A4CBBB!B:B,"",-1)</f>
        <v>1.83</v>
      </c>
      <c r="K123" s="2">
        <f>_xlfn.XLOOKUP(A123,CPIAUCSL!A:A,CPIAUCSL!B:B,"",-1)</f>
        <v>241.17599999999999</v>
      </c>
      <c r="L123">
        <f>_xlfn.XLOOKUP(A123,DFF!A:A,DFF!B:B,"",-1)</f>
        <v>0.4</v>
      </c>
      <c r="M123">
        <f>_xlfn.XLOOKUP(A123,'DGS2'!A:A,'DGS2'!B:B,"",-1)</f>
        <v>0.77</v>
      </c>
      <c r="N123">
        <f t="shared" si="11"/>
        <v>-2.0000000000000018E-2</v>
      </c>
      <c r="O123">
        <f t="shared" si="12"/>
        <v>-8.58783474770064E-3</v>
      </c>
      <c r="P123">
        <f t="shared" si="13"/>
        <v>0</v>
      </c>
      <c r="Q123">
        <f t="shared" si="14"/>
        <v>-1</v>
      </c>
      <c r="R123" s="3">
        <v>44.9</v>
      </c>
    </row>
    <row r="124" spans="1:18">
      <c r="A124" s="1">
        <v>42639</v>
      </c>
      <c r="B124">
        <v>2146.1</v>
      </c>
      <c r="C124">
        <f t="shared" si="8"/>
        <v>-8.58783474770064E-3</v>
      </c>
      <c r="D124">
        <f t="shared" si="15"/>
        <v>-7.8682643588889878E-3</v>
      </c>
      <c r="E124">
        <f>_xlfn.XLOOKUP(A124,VIX!A:A,VIX!B:B,"",-1)</f>
        <v>14.5</v>
      </c>
      <c r="F124">
        <f t="shared" si="9"/>
        <v>2.2100000000000009</v>
      </c>
      <c r="G124">
        <f>_xlfn.XLOOKUP(A124,'DGS10'!A:A,'DGS10'!B:B,"",-1)</f>
        <v>1.59</v>
      </c>
      <c r="H124">
        <f t="shared" si="10"/>
        <v>-3.0000000000000027E-2</v>
      </c>
      <c r="I124" s="2">
        <f>_xlfn.XLOOKUP(A124,T10Y3M!A:A,T10Y3M!B:B,"",-1)</f>
        <v>1.34</v>
      </c>
      <c r="J124" s="2">
        <f>_xlfn.XLOOKUP(A124,BAMLC0A4CBBB!A:A,BAMLC0A4CBBB!B:B,"",-1)</f>
        <v>1.84</v>
      </c>
      <c r="K124" s="2">
        <f>_xlfn.XLOOKUP(A124,CPIAUCSL!A:A,CPIAUCSL!B:B,"",-1)</f>
        <v>241.17599999999999</v>
      </c>
      <c r="L124">
        <f>_xlfn.XLOOKUP(A124,DFF!A:A,DFF!B:B,"",-1)</f>
        <v>0.4</v>
      </c>
      <c r="M124">
        <f>_xlfn.XLOOKUP(A124,'DGS2'!A:A,'DGS2'!B:B,"",-1)</f>
        <v>0.76</v>
      </c>
      <c r="N124">
        <f t="shared" si="11"/>
        <v>-1.0000000000000009E-2</v>
      </c>
      <c r="O124">
        <f t="shared" si="12"/>
        <v>6.4442477051396274E-3</v>
      </c>
      <c r="P124">
        <f t="shared" si="13"/>
        <v>1</v>
      </c>
      <c r="Q124">
        <f t="shared" si="14"/>
        <v>1</v>
      </c>
      <c r="R124" s="3">
        <v>43.58</v>
      </c>
    </row>
    <row r="125" spans="1:18">
      <c r="A125" s="1">
        <v>42640</v>
      </c>
      <c r="B125">
        <v>2159.9299999999998</v>
      </c>
      <c r="C125">
        <f t="shared" si="8"/>
        <v>6.4442477051396274E-3</v>
      </c>
      <c r="D125">
        <f t="shared" si="15"/>
        <v>-7.9230931755757128E-3</v>
      </c>
      <c r="E125">
        <f>_xlfn.XLOOKUP(A125,VIX!A:A,VIX!B:B,"",-1)</f>
        <v>13.1</v>
      </c>
      <c r="F125">
        <f t="shared" si="9"/>
        <v>-1.4000000000000004</v>
      </c>
      <c r="G125">
        <f>_xlfn.XLOOKUP(A125,'DGS10'!A:A,'DGS10'!B:B,"",-1)</f>
        <v>1.56</v>
      </c>
      <c r="H125">
        <f t="shared" si="10"/>
        <v>-3.0000000000000027E-2</v>
      </c>
      <c r="I125" s="2">
        <f>_xlfn.XLOOKUP(A125,T10Y3M!A:A,T10Y3M!B:B,"",-1)</f>
        <v>1.3</v>
      </c>
      <c r="J125" s="2">
        <f>_xlfn.XLOOKUP(A125,BAMLC0A4CBBB!A:A,BAMLC0A4CBBB!B:B,"",-1)</f>
        <v>1.85</v>
      </c>
      <c r="K125" s="2">
        <f>_xlfn.XLOOKUP(A125,CPIAUCSL!A:A,CPIAUCSL!B:B,"",-1)</f>
        <v>241.17599999999999</v>
      </c>
      <c r="L125">
        <f>_xlfn.XLOOKUP(A125,DFF!A:A,DFF!B:B,"",-1)</f>
        <v>0.4</v>
      </c>
      <c r="M125">
        <f>_xlfn.XLOOKUP(A125,'DGS2'!A:A,'DGS2'!B:B,"",-1)</f>
        <v>0.75</v>
      </c>
      <c r="N125">
        <f t="shared" si="11"/>
        <v>-1.0000000000000009E-2</v>
      </c>
      <c r="O125">
        <f t="shared" si="12"/>
        <v>5.2964679410907323E-3</v>
      </c>
      <c r="P125">
        <f t="shared" si="13"/>
        <v>1</v>
      </c>
      <c r="Q125">
        <f t="shared" si="14"/>
        <v>1</v>
      </c>
      <c r="R125" s="3">
        <v>43.91</v>
      </c>
    </row>
    <row r="126" spans="1:18">
      <c r="A126" s="1">
        <v>42641</v>
      </c>
      <c r="B126">
        <v>2171.37</v>
      </c>
      <c r="C126">
        <f t="shared" si="8"/>
        <v>5.2964679410907323E-3</v>
      </c>
      <c r="D126">
        <f t="shared" si="15"/>
        <v>3.0858922062741989E-3</v>
      </c>
      <c r="E126">
        <f>_xlfn.XLOOKUP(A126,VIX!A:A,VIX!B:B,"",-1)</f>
        <v>12.39</v>
      </c>
      <c r="F126">
        <f t="shared" si="9"/>
        <v>-0.70999999999999908</v>
      </c>
      <c r="G126">
        <f>_xlfn.XLOOKUP(A126,'DGS10'!A:A,'DGS10'!B:B,"",-1)</f>
        <v>1.57</v>
      </c>
      <c r="H126">
        <f t="shared" si="10"/>
        <v>1.0000000000000009E-2</v>
      </c>
      <c r="I126" s="2">
        <f>_xlfn.XLOOKUP(A126,T10Y3M!A:A,T10Y3M!B:B,"",-1)</f>
        <v>1.3</v>
      </c>
      <c r="J126" s="2">
        <f>_xlfn.XLOOKUP(A126,BAMLC0A4CBBB!A:A,BAMLC0A4CBBB!B:B,"",-1)</f>
        <v>1.85</v>
      </c>
      <c r="K126" s="2">
        <f>_xlfn.XLOOKUP(A126,CPIAUCSL!A:A,CPIAUCSL!B:B,"",-1)</f>
        <v>241.17599999999999</v>
      </c>
      <c r="L126">
        <f>_xlfn.XLOOKUP(A126,DFF!A:A,DFF!B:B,"",-1)</f>
        <v>0.4</v>
      </c>
      <c r="M126">
        <f>_xlfn.XLOOKUP(A126,'DGS2'!A:A,'DGS2'!B:B,"",-1)</f>
        <v>0.75</v>
      </c>
      <c r="N126">
        <f t="shared" si="11"/>
        <v>0</v>
      </c>
      <c r="O126">
        <f t="shared" si="12"/>
        <v>-9.3213040614910092E-3</v>
      </c>
      <c r="P126">
        <f t="shared" si="13"/>
        <v>0</v>
      </c>
      <c r="Q126">
        <f t="shared" si="14"/>
        <v>-1</v>
      </c>
      <c r="R126" s="3">
        <v>43.03</v>
      </c>
    </row>
    <row r="127" spans="1:18">
      <c r="A127" s="1">
        <v>42642</v>
      </c>
      <c r="B127">
        <v>2151.13</v>
      </c>
      <c r="C127">
        <f t="shared" si="8"/>
        <v>-9.3213040614910092E-3</v>
      </c>
      <c r="D127">
        <f t="shared" si="15"/>
        <v>2.3437864032431754E-3</v>
      </c>
      <c r="E127">
        <f>_xlfn.XLOOKUP(A127,VIX!A:A,VIX!B:B,"",-1)</f>
        <v>14.02</v>
      </c>
      <c r="F127">
        <f t="shared" si="9"/>
        <v>1.629999999999999</v>
      </c>
      <c r="G127">
        <f>_xlfn.XLOOKUP(A127,'DGS10'!A:A,'DGS10'!B:B,"",-1)</f>
        <v>1.56</v>
      </c>
      <c r="H127">
        <f t="shared" si="10"/>
        <v>-1.0000000000000009E-2</v>
      </c>
      <c r="I127" s="2">
        <f>_xlfn.XLOOKUP(A127,T10Y3M!A:A,T10Y3M!B:B,"",-1)</f>
        <v>1.3</v>
      </c>
      <c r="J127" s="2">
        <f>_xlfn.XLOOKUP(A127,BAMLC0A4CBBB!A:A,BAMLC0A4CBBB!B:B,"",-1)</f>
        <v>1.85</v>
      </c>
      <c r="K127" s="2">
        <f>_xlfn.XLOOKUP(A127,CPIAUCSL!A:A,CPIAUCSL!B:B,"",-1)</f>
        <v>241.17599999999999</v>
      </c>
      <c r="L127">
        <f>_xlfn.XLOOKUP(A127,DFF!A:A,DFF!B:B,"",-1)</f>
        <v>0.4</v>
      </c>
      <c r="M127">
        <f>_xlfn.XLOOKUP(A127,'DGS2'!A:A,'DGS2'!B:B,"",-1)</f>
        <v>0.73</v>
      </c>
      <c r="N127">
        <f t="shared" si="11"/>
        <v>-2.0000000000000018E-2</v>
      </c>
      <c r="O127">
        <f t="shared" si="12"/>
        <v>7.9679052405015049E-3</v>
      </c>
      <c r="P127">
        <f t="shared" si="13"/>
        <v>1</v>
      </c>
      <c r="Q127">
        <f t="shared" si="14"/>
        <v>1</v>
      </c>
      <c r="R127" s="3">
        <v>43.3</v>
      </c>
    </row>
    <row r="128" spans="1:18">
      <c r="A128" s="1">
        <v>42643</v>
      </c>
      <c r="B128">
        <v>2168.27</v>
      </c>
      <c r="C128">
        <f t="shared" si="8"/>
        <v>7.9679052405015049E-3</v>
      </c>
      <c r="D128">
        <f t="shared" si="15"/>
        <v>3.8612362437673298E-3</v>
      </c>
      <c r="E128">
        <f>_xlfn.XLOOKUP(A128,VIX!A:A,VIX!B:B,"",-1)</f>
        <v>13.29</v>
      </c>
      <c r="F128">
        <f t="shared" si="9"/>
        <v>-0.73000000000000043</v>
      </c>
      <c r="G128">
        <f>_xlfn.XLOOKUP(A128,'DGS10'!A:A,'DGS10'!B:B,"",-1)</f>
        <v>1.6</v>
      </c>
      <c r="H128">
        <f t="shared" si="10"/>
        <v>4.0000000000000036E-2</v>
      </c>
      <c r="I128" s="2">
        <f>_xlfn.XLOOKUP(A128,T10Y3M!A:A,T10Y3M!B:B,"",-1)</f>
        <v>1.31</v>
      </c>
      <c r="J128" s="2">
        <f>_xlfn.XLOOKUP(A128,BAMLC0A4CBBB!A:A,BAMLC0A4CBBB!B:B,"",-1)</f>
        <v>1.85</v>
      </c>
      <c r="K128" s="2">
        <f>_xlfn.XLOOKUP(A128,CPIAUCSL!A:A,CPIAUCSL!B:B,"",-1)</f>
        <v>241.17599999999999</v>
      </c>
      <c r="L128">
        <f>_xlfn.XLOOKUP(A128,DFF!A:A,DFF!B:B,"",-1)</f>
        <v>0.28999999999999998</v>
      </c>
      <c r="M128">
        <f>_xlfn.XLOOKUP(A128,'DGS2'!A:A,'DGS2'!B:B,"",-1)</f>
        <v>0.77</v>
      </c>
      <c r="N128">
        <f t="shared" si="11"/>
        <v>4.0000000000000036E-2</v>
      </c>
      <c r="O128">
        <f t="shared" si="12"/>
        <v>-3.2606640316935609E-3</v>
      </c>
      <c r="P128">
        <f t="shared" si="13"/>
        <v>0</v>
      </c>
      <c r="Q128">
        <f t="shared" si="14"/>
        <v>-1</v>
      </c>
      <c r="R128" s="3">
        <v>43.44</v>
      </c>
    </row>
    <row r="129" spans="1:18">
      <c r="A129" s="1">
        <v>42646</v>
      </c>
      <c r="B129">
        <v>2161.1999999999998</v>
      </c>
      <c r="C129">
        <f t="shared" si="8"/>
        <v>-3.2606640316935609E-3</v>
      </c>
      <c r="D129">
        <f t="shared" si="15"/>
        <v>-4.6836789676564239E-3</v>
      </c>
      <c r="E129">
        <f>_xlfn.XLOOKUP(A129,VIX!A:A,VIX!B:B,"",-1)</f>
        <v>13.57</v>
      </c>
      <c r="F129">
        <f t="shared" si="9"/>
        <v>0.28000000000000114</v>
      </c>
      <c r="G129">
        <f>_xlfn.XLOOKUP(A129,'DGS10'!A:A,'DGS10'!B:B,"",-1)</f>
        <v>1.63</v>
      </c>
      <c r="H129">
        <f t="shared" si="10"/>
        <v>2.9999999999999805E-2</v>
      </c>
      <c r="I129" s="2">
        <f>_xlfn.XLOOKUP(A129,T10Y3M!A:A,T10Y3M!B:B,"",-1)</f>
        <v>1.31</v>
      </c>
      <c r="J129" s="2">
        <f>_xlfn.XLOOKUP(A129,BAMLC0A4CBBB!A:A,BAMLC0A4CBBB!B:B,"",-1)</f>
        <v>1.84</v>
      </c>
      <c r="K129" s="2">
        <f>_xlfn.XLOOKUP(A129,CPIAUCSL!A:A,CPIAUCSL!B:B,"",-1)</f>
        <v>241.74100000000001</v>
      </c>
      <c r="L129">
        <f>_xlfn.XLOOKUP(A129,DFF!A:A,DFF!B:B,"",-1)</f>
        <v>0.4</v>
      </c>
      <c r="M129">
        <f>_xlfn.XLOOKUP(A129,'DGS2'!A:A,'DGS2'!B:B,"",-1)</f>
        <v>0.8</v>
      </c>
      <c r="N129">
        <f t="shared" si="11"/>
        <v>3.0000000000000027E-2</v>
      </c>
      <c r="O129">
        <f t="shared" si="12"/>
        <v>-4.9555802332037491E-3</v>
      </c>
      <c r="P129">
        <f t="shared" si="13"/>
        <v>0</v>
      </c>
      <c r="Q129">
        <f t="shared" si="14"/>
        <v>-1</v>
      </c>
      <c r="R129" s="3">
        <v>45.34</v>
      </c>
    </row>
    <row r="130" spans="1:18">
      <c r="A130" s="1">
        <v>42647</v>
      </c>
      <c r="B130">
        <v>2150.4899999999998</v>
      </c>
      <c r="C130">
        <f t="shared" si="8"/>
        <v>-4.9555802332037491E-3</v>
      </c>
      <c r="D130">
        <f t="shared" si="15"/>
        <v>-2.9751804865363329E-4</v>
      </c>
      <c r="E130">
        <f>_xlfn.XLOOKUP(A130,VIX!A:A,VIX!B:B,"",-1)</f>
        <v>13.63</v>
      </c>
      <c r="F130">
        <f t="shared" si="9"/>
        <v>6.0000000000000497E-2</v>
      </c>
      <c r="G130">
        <f>_xlfn.XLOOKUP(A130,'DGS10'!A:A,'DGS10'!B:B,"",-1)</f>
        <v>1.69</v>
      </c>
      <c r="H130">
        <f t="shared" si="10"/>
        <v>6.0000000000000053E-2</v>
      </c>
      <c r="I130" s="2">
        <f>_xlfn.XLOOKUP(A130,T10Y3M!A:A,T10Y3M!B:B,"",-1)</f>
        <v>1.36</v>
      </c>
      <c r="J130" s="2">
        <f>_xlfn.XLOOKUP(A130,BAMLC0A4CBBB!A:A,BAMLC0A4CBBB!B:B,"",-1)</f>
        <v>1.83</v>
      </c>
      <c r="K130" s="2">
        <f>_xlfn.XLOOKUP(A130,CPIAUCSL!A:A,CPIAUCSL!B:B,"",-1)</f>
        <v>241.74100000000001</v>
      </c>
      <c r="L130">
        <f>_xlfn.XLOOKUP(A130,DFF!A:A,DFF!B:B,"",-1)</f>
        <v>0.4</v>
      </c>
      <c r="M130">
        <f>_xlfn.XLOOKUP(A130,'DGS2'!A:A,'DGS2'!B:B,"",-1)</f>
        <v>0.82</v>
      </c>
      <c r="N130">
        <f t="shared" si="11"/>
        <v>1.9999999999999907E-2</v>
      </c>
      <c r="O130">
        <f t="shared" si="12"/>
        <v>4.2966951717982038E-3</v>
      </c>
      <c r="P130">
        <f t="shared" si="13"/>
        <v>1</v>
      </c>
      <c r="Q130">
        <f t="shared" si="14"/>
        <v>1</v>
      </c>
      <c r="R130" s="3">
        <v>46.32</v>
      </c>
    </row>
    <row r="131" spans="1:18">
      <c r="A131" s="1">
        <v>42648</v>
      </c>
      <c r="B131">
        <v>2159.73</v>
      </c>
      <c r="C131">
        <f t="shared" si="8"/>
        <v>4.2966951717982038E-3</v>
      </c>
      <c r="D131">
        <f t="shared" si="15"/>
        <v>-3.9386238798673201E-3</v>
      </c>
      <c r="E131">
        <f>_xlfn.XLOOKUP(A131,VIX!A:A,VIX!B:B,"",-1)</f>
        <v>12.99</v>
      </c>
      <c r="F131">
        <f t="shared" si="9"/>
        <v>-0.64000000000000057</v>
      </c>
      <c r="G131">
        <f>_xlfn.XLOOKUP(A131,'DGS10'!A:A,'DGS10'!B:B,"",-1)</f>
        <v>1.72</v>
      </c>
      <c r="H131">
        <f t="shared" si="10"/>
        <v>3.0000000000000027E-2</v>
      </c>
      <c r="I131" s="2">
        <f>_xlfn.XLOOKUP(A131,T10Y3M!A:A,T10Y3M!B:B,"",-1)</f>
        <v>1.4</v>
      </c>
      <c r="J131" s="2">
        <f>_xlfn.XLOOKUP(A131,BAMLC0A4CBBB!A:A,BAMLC0A4CBBB!B:B,"",-1)</f>
        <v>1.81</v>
      </c>
      <c r="K131" s="2">
        <f>_xlfn.XLOOKUP(A131,CPIAUCSL!A:A,CPIAUCSL!B:B,"",-1)</f>
        <v>241.74100000000001</v>
      </c>
      <c r="L131">
        <f>_xlfn.XLOOKUP(A131,DFF!A:A,DFF!B:B,"",-1)</f>
        <v>0.4</v>
      </c>
      <c r="M131">
        <f>_xlfn.XLOOKUP(A131,'DGS2'!A:A,'DGS2'!B:B,"",-1)</f>
        <v>0.85</v>
      </c>
      <c r="N131">
        <f t="shared" si="11"/>
        <v>3.0000000000000027E-2</v>
      </c>
      <c r="O131">
        <f t="shared" si="12"/>
        <v>4.8154167419078853E-4</v>
      </c>
      <c r="P131">
        <f t="shared" si="13"/>
        <v>1</v>
      </c>
      <c r="Q131">
        <f t="shared" si="14"/>
        <v>0</v>
      </c>
      <c r="R131" s="3">
        <v>44.48</v>
      </c>
    </row>
    <row r="132" spans="1:18">
      <c r="A132" s="1">
        <v>42649</v>
      </c>
      <c r="B132">
        <v>2160.77</v>
      </c>
      <c r="C132">
        <f t="shared" ref="C132:C195" si="16">IF(OR(B132="",B131=""),"",(B132/B131)-1)</f>
        <v>4.8154167419078853E-4</v>
      </c>
      <c r="D132">
        <f t="shared" si="15"/>
        <v>-1.9896353877468798E-4</v>
      </c>
      <c r="E132">
        <f>_xlfn.XLOOKUP(A132,VIX!A:A,VIX!B:B,"",-1)</f>
        <v>12.84</v>
      </c>
      <c r="F132">
        <f t="shared" ref="F132:F195" si="17">IF(OR(E132="",E131=""),"",E132-E131)</f>
        <v>-0.15000000000000036</v>
      </c>
      <c r="G132">
        <f>_xlfn.XLOOKUP(A132,'DGS10'!A:A,'DGS10'!B:B,"",-1)</f>
        <v>1.75</v>
      </c>
      <c r="H132">
        <f t="shared" ref="H132:H195" si="18">IF(OR(G132="",G131=""),"",G132-G131)</f>
        <v>3.0000000000000027E-2</v>
      </c>
      <c r="I132" s="2">
        <f>_xlfn.XLOOKUP(A132,T10Y3M!A:A,T10Y3M!B:B,"",-1)</f>
        <v>1.42</v>
      </c>
      <c r="J132" s="2">
        <f>_xlfn.XLOOKUP(A132,BAMLC0A4CBBB!A:A,BAMLC0A4CBBB!B:B,"",-1)</f>
        <v>1.79</v>
      </c>
      <c r="K132" s="2">
        <f>_xlfn.XLOOKUP(A132,CPIAUCSL!A:A,CPIAUCSL!B:B,"",-1)</f>
        <v>241.74100000000001</v>
      </c>
      <c r="L132">
        <f>_xlfn.XLOOKUP(A132,DFF!A:A,DFF!B:B,"",-1)</f>
        <v>0.4</v>
      </c>
      <c r="M132">
        <f>_xlfn.XLOOKUP(A132,'DGS2'!A:A,'DGS2'!B:B,"",-1)</f>
        <v>0.86</v>
      </c>
      <c r="N132">
        <f t="shared" ref="N132:N195" si="19">IF(OR(M132="",M131=""),"",M132-M131)</f>
        <v>1.0000000000000009E-2</v>
      </c>
      <c r="O132">
        <f t="shared" ref="O132:O195" si="20">IF(OR(B133="",B132=""),"",(B133/B132)-1)</f>
        <v>-3.2534698278855467E-3</v>
      </c>
      <c r="P132">
        <f t="shared" ref="P132:P195" si="21">IF(O132="","",IF(O132&gt;0,1,0))</f>
        <v>0</v>
      </c>
      <c r="Q132">
        <f t="shared" ref="Q132:Q195" si="22">IF(O132="","",IF(O132&gt;0.003,1,IF(O132&lt;-0.003,-1,0)))</f>
        <v>-1</v>
      </c>
      <c r="R132" s="3">
        <v>45.93</v>
      </c>
    </row>
    <row r="133" spans="1:18">
      <c r="A133" s="1">
        <v>42650</v>
      </c>
      <c r="B133">
        <v>2153.7399999999998</v>
      </c>
      <c r="C133">
        <f t="shared" si="16"/>
        <v>-3.2534698278855467E-3</v>
      </c>
      <c r="D133">
        <f t="shared" si="15"/>
        <v>1.5112834749289039E-3</v>
      </c>
      <c r="E133">
        <f>_xlfn.XLOOKUP(A133,VIX!A:A,VIX!B:B,"",-1)</f>
        <v>13.48</v>
      </c>
      <c r="F133">
        <f t="shared" si="17"/>
        <v>0.64000000000000057</v>
      </c>
      <c r="G133">
        <f>_xlfn.XLOOKUP(A133,'DGS10'!A:A,'DGS10'!B:B,"",-1)</f>
        <v>1.73</v>
      </c>
      <c r="H133">
        <f t="shared" si="18"/>
        <v>-2.0000000000000018E-2</v>
      </c>
      <c r="I133" s="2">
        <f>_xlfn.XLOOKUP(A133,T10Y3M!A:A,T10Y3M!B:B,"",-1)</f>
        <v>1.4</v>
      </c>
      <c r="J133" s="2">
        <f>_xlfn.XLOOKUP(A133,BAMLC0A4CBBB!A:A,BAMLC0A4CBBB!B:B,"",-1)</f>
        <v>1.79</v>
      </c>
      <c r="K133" s="2">
        <f>_xlfn.XLOOKUP(A133,CPIAUCSL!A:A,CPIAUCSL!B:B,"",-1)</f>
        <v>241.74100000000001</v>
      </c>
      <c r="L133">
        <f>_xlfn.XLOOKUP(A133,DFF!A:A,DFF!B:B,"",-1)</f>
        <v>0.4</v>
      </c>
      <c r="M133">
        <f>_xlfn.XLOOKUP(A133,'DGS2'!A:A,'DGS2'!B:B,"",-1)</f>
        <v>0.83</v>
      </c>
      <c r="N133">
        <f t="shared" si="19"/>
        <v>-3.0000000000000027E-2</v>
      </c>
      <c r="O133">
        <f t="shared" si="20"/>
        <v>4.605941292820992E-3</v>
      </c>
      <c r="P133">
        <f t="shared" si="21"/>
        <v>1</v>
      </c>
      <c r="Q133">
        <f t="shared" si="22"/>
        <v>1</v>
      </c>
      <c r="R133" s="3">
        <v>44.67</v>
      </c>
    </row>
    <row r="134" spans="1:18">
      <c r="A134" s="1">
        <v>42653</v>
      </c>
      <c r="B134">
        <v>2163.66</v>
      </c>
      <c r="C134">
        <f t="shared" si="16"/>
        <v>4.605941292820992E-3</v>
      </c>
      <c r="D134">
        <f t="shared" ref="D134:D197" si="23">IF(OR(B134="",B131=""),"",(B134/B131)-1)</f>
        <v>1.8196719034322406E-3</v>
      </c>
      <c r="E134">
        <f>_xlfn.XLOOKUP(A134,VIX!A:A,VIX!B:B,"",-1)</f>
        <v>13.38</v>
      </c>
      <c r="F134">
        <f t="shared" si="17"/>
        <v>-9.9999999999999645E-2</v>
      </c>
      <c r="G134">
        <f>_xlfn.XLOOKUP(A134,'DGS10'!A:A,'DGS10'!B:B,"",-1)</f>
        <v>0</v>
      </c>
      <c r="H134">
        <f t="shared" si="18"/>
        <v>-1.73</v>
      </c>
      <c r="I134" s="2">
        <f>_xlfn.XLOOKUP(A134,T10Y3M!A:A,T10Y3M!B:B,"",-1)</f>
        <v>0</v>
      </c>
      <c r="J134" s="2">
        <f>_xlfn.XLOOKUP(A134,BAMLC0A4CBBB!A:A,BAMLC0A4CBBB!B:B,"",-1)</f>
        <v>1.78</v>
      </c>
      <c r="K134" s="2">
        <f>_xlfn.XLOOKUP(A134,CPIAUCSL!A:A,CPIAUCSL!B:B,"",-1)</f>
        <v>241.74100000000001</v>
      </c>
      <c r="L134">
        <f>_xlfn.XLOOKUP(A134,DFF!A:A,DFF!B:B,"",-1)</f>
        <v>0.4</v>
      </c>
      <c r="M134">
        <f>_xlfn.XLOOKUP(A134,'DGS2'!A:A,'DGS2'!B:B,"",-1)</f>
        <v>0</v>
      </c>
      <c r="N134">
        <f t="shared" si="19"/>
        <v>-0.83</v>
      </c>
      <c r="O134">
        <f t="shared" si="20"/>
        <v>-1.2446502685264704E-2</v>
      </c>
      <c r="P134">
        <f t="shared" si="21"/>
        <v>0</v>
      </c>
      <c r="Q134">
        <f t="shared" si="22"/>
        <v>-1</v>
      </c>
      <c r="R134" s="3">
        <v>47.05</v>
      </c>
    </row>
    <row r="135" spans="1:18">
      <c r="A135" s="1">
        <v>42654</v>
      </c>
      <c r="B135">
        <v>2136.73</v>
      </c>
      <c r="C135">
        <f t="shared" si="16"/>
        <v>-1.2446502685264704E-2</v>
      </c>
      <c r="D135">
        <f t="shared" si="23"/>
        <v>-1.1125663536609598E-2</v>
      </c>
      <c r="E135">
        <f>_xlfn.XLOOKUP(A135,VIX!A:A,VIX!B:B,"",-1)</f>
        <v>15.36</v>
      </c>
      <c r="F135">
        <f t="shared" si="17"/>
        <v>1.9799999999999986</v>
      </c>
      <c r="G135">
        <f>_xlfn.XLOOKUP(A135,'DGS10'!A:A,'DGS10'!B:B,"",-1)</f>
        <v>1.77</v>
      </c>
      <c r="H135">
        <f t="shared" si="18"/>
        <v>1.77</v>
      </c>
      <c r="I135" s="2">
        <f>_xlfn.XLOOKUP(A135,T10Y3M!A:A,T10Y3M!B:B,"",-1)</f>
        <v>1.42</v>
      </c>
      <c r="J135" s="2">
        <f>_xlfn.XLOOKUP(A135,BAMLC0A4CBBB!A:A,BAMLC0A4CBBB!B:B,"",-1)</f>
        <v>1.77</v>
      </c>
      <c r="K135" s="2">
        <f>_xlfn.XLOOKUP(A135,CPIAUCSL!A:A,CPIAUCSL!B:B,"",-1)</f>
        <v>241.74100000000001</v>
      </c>
      <c r="L135">
        <f>_xlfn.XLOOKUP(A135,DFF!A:A,DFF!B:B,"",-1)</f>
        <v>0.41</v>
      </c>
      <c r="M135">
        <f>_xlfn.XLOOKUP(A135,'DGS2'!A:A,'DGS2'!B:B,"",-1)</f>
        <v>0.87</v>
      </c>
      <c r="N135">
        <f t="shared" si="19"/>
        <v>0.87</v>
      </c>
      <c r="O135">
        <f t="shared" si="20"/>
        <v>1.1466118788989732E-3</v>
      </c>
      <c r="P135">
        <f t="shared" si="21"/>
        <v>1</v>
      </c>
      <c r="Q135">
        <f t="shared" si="22"/>
        <v>0</v>
      </c>
      <c r="R135" s="3">
        <v>47.83</v>
      </c>
    </row>
    <row r="136" spans="1:18">
      <c r="A136" s="1">
        <v>42655</v>
      </c>
      <c r="B136">
        <v>2139.1799999999998</v>
      </c>
      <c r="C136">
        <f t="shared" si="16"/>
        <v>1.1466118788989732E-3</v>
      </c>
      <c r="D136">
        <f t="shared" si="23"/>
        <v>-6.7603331878499651E-3</v>
      </c>
      <c r="E136">
        <f>_xlfn.XLOOKUP(A136,VIX!A:A,VIX!B:B,"",-1)</f>
        <v>15.91</v>
      </c>
      <c r="F136">
        <f t="shared" si="17"/>
        <v>0.55000000000000071</v>
      </c>
      <c r="G136">
        <f>_xlfn.XLOOKUP(A136,'DGS10'!A:A,'DGS10'!B:B,"",-1)</f>
        <v>1.79</v>
      </c>
      <c r="H136">
        <f t="shared" si="18"/>
        <v>2.0000000000000018E-2</v>
      </c>
      <c r="I136" s="2">
        <f>_xlfn.XLOOKUP(A136,T10Y3M!A:A,T10Y3M!B:B,"",-1)</f>
        <v>1.42</v>
      </c>
      <c r="J136" s="2">
        <f>_xlfn.XLOOKUP(A136,BAMLC0A4CBBB!A:A,BAMLC0A4CBBB!B:B,"",-1)</f>
        <v>1.77</v>
      </c>
      <c r="K136" s="2">
        <f>_xlfn.XLOOKUP(A136,CPIAUCSL!A:A,CPIAUCSL!B:B,"",-1)</f>
        <v>241.74100000000001</v>
      </c>
      <c r="L136">
        <f>_xlfn.XLOOKUP(A136,DFF!A:A,DFF!B:B,"",-1)</f>
        <v>0.41</v>
      </c>
      <c r="M136">
        <f>_xlfn.XLOOKUP(A136,'DGS2'!A:A,'DGS2'!B:B,"",-1)</f>
        <v>0.87</v>
      </c>
      <c r="N136">
        <f t="shared" si="19"/>
        <v>0</v>
      </c>
      <c r="O136">
        <f t="shared" si="20"/>
        <v>-3.0993184304264343E-3</v>
      </c>
      <c r="P136">
        <f t="shared" si="21"/>
        <v>0</v>
      </c>
      <c r="Q136">
        <f t="shared" si="22"/>
        <v>-1</v>
      </c>
      <c r="R136" s="3">
        <v>48.24</v>
      </c>
    </row>
    <row r="137" spans="1:18">
      <c r="A137" s="1">
        <v>42656</v>
      </c>
      <c r="B137">
        <v>2132.5500000000002</v>
      </c>
      <c r="C137">
        <f t="shared" si="16"/>
        <v>-3.0993184304264343E-3</v>
      </c>
      <c r="D137">
        <f t="shared" si="23"/>
        <v>-1.4378414353456548E-2</v>
      </c>
      <c r="E137">
        <f>_xlfn.XLOOKUP(A137,VIX!A:A,VIX!B:B,"",-1)</f>
        <v>16.690000000000001</v>
      </c>
      <c r="F137">
        <f t="shared" si="17"/>
        <v>0.78000000000000114</v>
      </c>
      <c r="G137">
        <f>_xlfn.XLOOKUP(A137,'DGS10'!A:A,'DGS10'!B:B,"",-1)</f>
        <v>1.75</v>
      </c>
      <c r="H137">
        <f t="shared" si="18"/>
        <v>-4.0000000000000036E-2</v>
      </c>
      <c r="I137" s="2">
        <f>_xlfn.XLOOKUP(A137,T10Y3M!A:A,T10Y3M!B:B,"",-1)</f>
        <v>1.45</v>
      </c>
      <c r="J137" s="2">
        <f>_xlfn.XLOOKUP(A137,BAMLC0A4CBBB!A:A,BAMLC0A4CBBB!B:B,"",-1)</f>
        <v>1.77</v>
      </c>
      <c r="K137" s="2">
        <f>_xlfn.XLOOKUP(A137,CPIAUCSL!A:A,CPIAUCSL!B:B,"",-1)</f>
        <v>241.74100000000001</v>
      </c>
      <c r="L137">
        <f>_xlfn.XLOOKUP(A137,DFF!A:A,DFF!B:B,"",-1)</f>
        <v>0.41</v>
      </c>
      <c r="M137">
        <f>_xlfn.XLOOKUP(A137,'DGS2'!A:A,'DGS2'!B:B,"",-1)</f>
        <v>0.85</v>
      </c>
      <c r="N137">
        <f t="shared" si="19"/>
        <v>-2.0000000000000018E-2</v>
      </c>
      <c r="O137">
        <f t="shared" si="20"/>
        <v>2.0163653841631657E-4</v>
      </c>
      <c r="P137">
        <f t="shared" si="21"/>
        <v>1</v>
      </c>
      <c r="Q137">
        <f t="shared" si="22"/>
        <v>0</v>
      </c>
      <c r="R137" s="3">
        <v>48.81</v>
      </c>
    </row>
    <row r="138" spans="1:18">
      <c r="A138" s="1">
        <v>42657</v>
      </c>
      <c r="B138">
        <v>2132.98</v>
      </c>
      <c r="C138">
        <f t="shared" si="16"/>
        <v>2.0163653841631657E-4</v>
      </c>
      <c r="D138">
        <f t="shared" si="23"/>
        <v>-1.7550181819883104E-3</v>
      </c>
      <c r="E138">
        <f>_xlfn.XLOOKUP(A138,VIX!A:A,VIX!B:B,"",-1)</f>
        <v>16.12</v>
      </c>
      <c r="F138">
        <f t="shared" si="17"/>
        <v>-0.57000000000000028</v>
      </c>
      <c r="G138">
        <f>_xlfn.XLOOKUP(A138,'DGS10'!A:A,'DGS10'!B:B,"",-1)</f>
        <v>1.8</v>
      </c>
      <c r="H138">
        <f t="shared" si="18"/>
        <v>5.0000000000000044E-2</v>
      </c>
      <c r="I138" s="2">
        <f>_xlfn.XLOOKUP(A138,T10Y3M!A:A,T10Y3M!B:B,"",-1)</f>
        <v>1.48</v>
      </c>
      <c r="J138" s="2">
        <f>_xlfn.XLOOKUP(A138,BAMLC0A4CBBB!A:A,BAMLC0A4CBBB!B:B,"",-1)</f>
        <v>1.76</v>
      </c>
      <c r="K138" s="2">
        <f>_xlfn.XLOOKUP(A138,CPIAUCSL!A:A,CPIAUCSL!B:B,"",-1)</f>
        <v>241.74100000000001</v>
      </c>
      <c r="L138">
        <f>_xlfn.XLOOKUP(A138,DFF!A:A,DFF!B:B,"",-1)</f>
        <v>0.41</v>
      </c>
      <c r="M138">
        <f>_xlfn.XLOOKUP(A138,'DGS2'!A:A,'DGS2'!B:B,"",-1)</f>
        <v>0.84</v>
      </c>
      <c r="N138">
        <f t="shared" si="19"/>
        <v>-1.0000000000000009E-2</v>
      </c>
      <c r="O138">
        <f t="shared" si="20"/>
        <v>-3.0380031692749387E-3</v>
      </c>
      <c r="P138">
        <f t="shared" si="21"/>
        <v>0</v>
      </c>
      <c r="Q138">
        <f t="shared" si="22"/>
        <v>-1</v>
      </c>
      <c r="R138" s="3">
        <v>48.69</v>
      </c>
    </row>
    <row r="139" spans="1:18">
      <c r="A139" s="1">
        <v>42660</v>
      </c>
      <c r="B139">
        <v>2126.5</v>
      </c>
      <c r="C139">
        <f t="shared" si="16"/>
        <v>-3.0380031692749387E-3</v>
      </c>
      <c r="D139">
        <f t="shared" si="23"/>
        <v>-5.9275049317961681E-3</v>
      </c>
      <c r="E139">
        <f>_xlfn.XLOOKUP(A139,VIX!A:A,VIX!B:B,"",-1)</f>
        <v>16.21</v>
      </c>
      <c r="F139">
        <f t="shared" si="17"/>
        <v>8.9999999999999858E-2</v>
      </c>
      <c r="G139">
        <f>_xlfn.XLOOKUP(A139,'DGS10'!A:A,'DGS10'!B:B,"",-1)</f>
        <v>1.77</v>
      </c>
      <c r="H139">
        <f t="shared" si="18"/>
        <v>-3.0000000000000027E-2</v>
      </c>
      <c r="I139" s="2">
        <f>_xlfn.XLOOKUP(A139,T10Y3M!A:A,T10Y3M!B:B,"",-1)</f>
        <v>1.43</v>
      </c>
      <c r="J139" s="2">
        <f>_xlfn.XLOOKUP(A139,BAMLC0A4CBBB!A:A,BAMLC0A4CBBB!B:B,"",-1)</f>
        <v>1.76</v>
      </c>
      <c r="K139" s="2">
        <f>_xlfn.XLOOKUP(A139,CPIAUCSL!A:A,CPIAUCSL!B:B,"",-1)</f>
        <v>241.74100000000001</v>
      </c>
      <c r="L139">
        <f>_xlfn.XLOOKUP(A139,DFF!A:A,DFF!B:B,"",-1)</f>
        <v>0.41</v>
      </c>
      <c r="M139">
        <f>_xlfn.XLOOKUP(A139,'DGS2'!A:A,'DGS2'!B:B,"",-1)</f>
        <v>0.81</v>
      </c>
      <c r="N139">
        <f t="shared" si="19"/>
        <v>-2.9999999999999916E-2</v>
      </c>
      <c r="O139">
        <f t="shared" si="20"/>
        <v>6.1603573947801582E-3</v>
      </c>
      <c r="P139">
        <f t="shared" si="21"/>
        <v>1</v>
      </c>
      <c r="Q139">
        <f t="shared" si="22"/>
        <v>1</v>
      </c>
      <c r="R139" s="3">
        <v>49.83</v>
      </c>
    </row>
    <row r="140" spans="1:18">
      <c r="A140" s="1">
        <v>42661</v>
      </c>
      <c r="B140">
        <v>2139.6</v>
      </c>
      <c r="C140">
        <f t="shared" si="16"/>
        <v>6.1603573947801582E-3</v>
      </c>
      <c r="D140">
        <f t="shared" si="23"/>
        <v>3.3059013856648889E-3</v>
      </c>
      <c r="E140">
        <f>_xlfn.XLOOKUP(A140,VIX!A:A,VIX!B:B,"",-1)</f>
        <v>15.28</v>
      </c>
      <c r="F140">
        <f t="shared" si="17"/>
        <v>-0.93000000000000149</v>
      </c>
      <c r="G140">
        <f>_xlfn.XLOOKUP(A140,'DGS10'!A:A,'DGS10'!B:B,"",-1)</f>
        <v>1.75</v>
      </c>
      <c r="H140">
        <f t="shared" si="18"/>
        <v>-2.0000000000000018E-2</v>
      </c>
      <c r="I140" s="2">
        <f>_xlfn.XLOOKUP(A140,T10Y3M!A:A,T10Y3M!B:B,"",-1)</f>
        <v>1.41</v>
      </c>
      <c r="J140" s="2">
        <f>_xlfn.XLOOKUP(A140,BAMLC0A4CBBB!A:A,BAMLC0A4CBBB!B:B,"",-1)</f>
        <v>1.76</v>
      </c>
      <c r="K140" s="2">
        <f>_xlfn.XLOOKUP(A140,CPIAUCSL!A:A,CPIAUCSL!B:B,"",-1)</f>
        <v>241.74100000000001</v>
      </c>
      <c r="L140">
        <f>_xlfn.XLOOKUP(A140,DFF!A:A,DFF!B:B,"",-1)</f>
        <v>0.41</v>
      </c>
      <c r="M140">
        <f>_xlfn.XLOOKUP(A140,'DGS2'!A:A,'DGS2'!B:B,"",-1)</f>
        <v>0.82</v>
      </c>
      <c r="N140">
        <f t="shared" si="19"/>
        <v>9.9999999999998979E-3</v>
      </c>
      <c r="O140">
        <f t="shared" si="20"/>
        <v>2.1919985043934442E-3</v>
      </c>
      <c r="P140">
        <f t="shared" si="21"/>
        <v>1</v>
      </c>
      <c r="Q140">
        <f t="shared" si="22"/>
        <v>0</v>
      </c>
      <c r="R140" s="3">
        <v>50.44</v>
      </c>
    </row>
    <row r="141" spans="1:18">
      <c r="A141" s="1">
        <v>42662</v>
      </c>
      <c r="B141">
        <v>2144.29</v>
      </c>
      <c r="C141">
        <f t="shared" si="16"/>
        <v>2.1919985043934442E-3</v>
      </c>
      <c r="D141">
        <f t="shared" si="23"/>
        <v>5.3024407167436838E-3</v>
      </c>
      <c r="E141">
        <f>_xlfn.XLOOKUP(A141,VIX!A:A,VIX!B:B,"",-1)</f>
        <v>14.41</v>
      </c>
      <c r="F141">
        <f t="shared" si="17"/>
        <v>-0.86999999999999922</v>
      </c>
      <c r="G141">
        <f>_xlfn.XLOOKUP(A141,'DGS10'!A:A,'DGS10'!B:B,"",-1)</f>
        <v>1.76</v>
      </c>
      <c r="H141">
        <f t="shared" si="18"/>
        <v>1.0000000000000009E-2</v>
      </c>
      <c r="I141" s="2">
        <f>_xlfn.XLOOKUP(A141,T10Y3M!A:A,T10Y3M!B:B,"",-1)</f>
        <v>1.41</v>
      </c>
      <c r="J141" s="2">
        <f>_xlfn.XLOOKUP(A141,BAMLC0A4CBBB!A:A,BAMLC0A4CBBB!B:B,"",-1)</f>
        <v>1.75</v>
      </c>
      <c r="K141" s="2">
        <f>_xlfn.XLOOKUP(A141,CPIAUCSL!A:A,CPIAUCSL!B:B,"",-1)</f>
        <v>241.74100000000001</v>
      </c>
      <c r="L141">
        <f>_xlfn.XLOOKUP(A141,DFF!A:A,DFF!B:B,"",-1)</f>
        <v>0.41</v>
      </c>
      <c r="M141">
        <f>_xlfn.XLOOKUP(A141,'DGS2'!A:A,'DGS2'!B:B,"",-1)</f>
        <v>0.81</v>
      </c>
      <c r="N141">
        <f t="shared" si="19"/>
        <v>-9.9999999999998979E-3</v>
      </c>
      <c r="O141">
        <f t="shared" si="20"/>
        <v>-1.3757467506726462E-3</v>
      </c>
      <c r="P141">
        <f t="shared" si="21"/>
        <v>0</v>
      </c>
      <c r="Q141">
        <f t="shared" si="22"/>
        <v>0</v>
      </c>
      <c r="R141" s="3">
        <v>49.81</v>
      </c>
    </row>
    <row r="142" spans="1:18">
      <c r="A142" s="1">
        <v>42663</v>
      </c>
      <c r="B142">
        <v>2141.34</v>
      </c>
      <c r="C142">
        <f t="shared" si="16"/>
        <v>-1.3757467506726462E-3</v>
      </c>
      <c r="D142">
        <f t="shared" si="23"/>
        <v>6.9786033388197222E-3</v>
      </c>
      <c r="E142">
        <f>_xlfn.XLOOKUP(A142,VIX!A:A,VIX!B:B,"",-1)</f>
        <v>13.75</v>
      </c>
      <c r="F142">
        <f t="shared" si="17"/>
        <v>-0.66000000000000014</v>
      </c>
      <c r="G142">
        <f>_xlfn.XLOOKUP(A142,'DGS10'!A:A,'DGS10'!B:B,"",-1)</f>
        <v>1.76</v>
      </c>
      <c r="H142">
        <f t="shared" si="18"/>
        <v>0</v>
      </c>
      <c r="I142" s="2">
        <f>_xlfn.XLOOKUP(A142,T10Y3M!A:A,T10Y3M!B:B,"",-1)</f>
        <v>1.41</v>
      </c>
      <c r="J142" s="2">
        <f>_xlfn.XLOOKUP(A142,BAMLC0A4CBBB!A:A,BAMLC0A4CBBB!B:B,"",-1)</f>
        <v>1.74</v>
      </c>
      <c r="K142" s="2">
        <f>_xlfn.XLOOKUP(A142,CPIAUCSL!A:A,CPIAUCSL!B:B,"",-1)</f>
        <v>241.74100000000001</v>
      </c>
      <c r="L142">
        <f>_xlfn.XLOOKUP(A142,DFF!A:A,DFF!B:B,"",-1)</f>
        <v>0.41</v>
      </c>
      <c r="M142">
        <f>_xlfn.XLOOKUP(A142,'DGS2'!A:A,'DGS2'!B:B,"",-1)</f>
        <v>0.84</v>
      </c>
      <c r="N142">
        <f t="shared" si="19"/>
        <v>2.9999999999999916E-2</v>
      </c>
      <c r="O142">
        <f t="shared" si="20"/>
        <v>-8.4059514136147762E-5</v>
      </c>
      <c r="P142">
        <f t="shared" si="21"/>
        <v>0</v>
      </c>
      <c r="Q142">
        <f t="shared" si="22"/>
        <v>0</v>
      </c>
      <c r="R142" s="3">
        <v>51.35</v>
      </c>
    </row>
    <row r="143" spans="1:18">
      <c r="A143" s="1">
        <v>42664</v>
      </c>
      <c r="B143">
        <v>2141.16</v>
      </c>
      <c r="C143">
        <f t="shared" si="16"/>
        <v>-8.4059514136147762E-5</v>
      </c>
      <c r="D143">
        <f t="shared" si="23"/>
        <v>7.2910824453176204E-4</v>
      </c>
      <c r="E143">
        <f>_xlfn.XLOOKUP(A143,VIX!A:A,VIX!B:B,"",-1)</f>
        <v>13.34</v>
      </c>
      <c r="F143">
        <f t="shared" si="17"/>
        <v>-0.41000000000000014</v>
      </c>
      <c r="G143">
        <f>_xlfn.XLOOKUP(A143,'DGS10'!A:A,'DGS10'!B:B,"",-1)</f>
        <v>1.74</v>
      </c>
      <c r="H143">
        <f t="shared" si="18"/>
        <v>-2.0000000000000018E-2</v>
      </c>
      <c r="I143" s="2">
        <f>_xlfn.XLOOKUP(A143,T10Y3M!A:A,T10Y3M!B:B,"",-1)</f>
        <v>1.4</v>
      </c>
      <c r="J143" s="2">
        <f>_xlfn.XLOOKUP(A143,BAMLC0A4CBBB!A:A,BAMLC0A4CBBB!B:B,"",-1)</f>
        <v>1.75</v>
      </c>
      <c r="K143" s="2">
        <f>_xlfn.XLOOKUP(A143,CPIAUCSL!A:A,CPIAUCSL!B:B,"",-1)</f>
        <v>241.74100000000001</v>
      </c>
      <c r="L143">
        <f>_xlfn.XLOOKUP(A143,DFF!A:A,DFF!B:B,"",-1)</f>
        <v>0.41</v>
      </c>
      <c r="M143">
        <f>_xlfn.XLOOKUP(A143,'DGS2'!A:A,'DGS2'!B:B,"",-1)</f>
        <v>0.84</v>
      </c>
      <c r="N143">
        <f t="shared" si="19"/>
        <v>0</v>
      </c>
      <c r="O143">
        <f t="shared" si="20"/>
        <v>4.7497618113545581E-3</v>
      </c>
      <c r="P143">
        <f t="shared" si="21"/>
        <v>1</v>
      </c>
      <c r="Q143">
        <f t="shared" si="22"/>
        <v>1</v>
      </c>
      <c r="R143" s="3">
        <v>50.79</v>
      </c>
    </row>
    <row r="144" spans="1:18">
      <c r="A144" s="1">
        <v>42667</v>
      </c>
      <c r="B144">
        <v>2151.33</v>
      </c>
      <c r="C144">
        <f t="shared" si="16"/>
        <v>4.7497618113545581E-3</v>
      </c>
      <c r="D144">
        <f t="shared" si="23"/>
        <v>3.2831380083850892E-3</v>
      </c>
      <c r="E144">
        <f>_xlfn.XLOOKUP(A144,VIX!A:A,VIX!B:B,"",-1)</f>
        <v>13.02</v>
      </c>
      <c r="F144">
        <f t="shared" si="17"/>
        <v>-0.32000000000000028</v>
      </c>
      <c r="G144">
        <f>_xlfn.XLOOKUP(A144,'DGS10'!A:A,'DGS10'!B:B,"",-1)</f>
        <v>1.77</v>
      </c>
      <c r="H144">
        <f t="shared" si="18"/>
        <v>3.0000000000000027E-2</v>
      </c>
      <c r="I144" s="2">
        <f>_xlfn.XLOOKUP(A144,T10Y3M!A:A,T10Y3M!B:B,"",-1)</f>
        <v>1.44</v>
      </c>
      <c r="J144" s="2">
        <f>_xlfn.XLOOKUP(A144,BAMLC0A4CBBB!A:A,BAMLC0A4CBBB!B:B,"",-1)</f>
        <v>1.74</v>
      </c>
      <c r="K144" s="2">
        <f>_xlfn.XLOOKUP(A144,CPIAUCSL!A:A,CPIAUCSL!B:B,"",-1)</f>
        <v>241.74100000000001</v>
      </c>
      <c r="L144">
        <f>_xlfn.XLOOKUP(A144,DFF!A:A,DFF!B:B,"",-1)</f>
        <v>0.41</v>
      </c>
      <c r="M144">
        <f>_xlfn.XLOOKUP(A144,'DGS2'!A:A,'DGS2'!B:B,"",-1)</f>
        <v>0.84</v>
      </c>
      <c r="N144">
        <f t="shared" si="19"/>
        <v>0</v>
      </c>
      <c r="O144">
        <f t="shared" si="20"/>
        <v>-3.7976507555791406E-3</v>
      </c>
      <c r="P144">
        <f t="shared" si="21"/>
        <v>0</v>
      </c>
      <c r="Q144">
        <f t="shared" si="22"/>
        <v>-1</v>
      </c>
      <c r="R144" s="3">
        <v>50.18</v>
      </c>
    </row>
    <row r="145" spans="1:18">
      <c r="A145" s="1">
        <v>42668</v>
      </c>
      <c r="B145">
        <v>2143.16</v>
      </c>
      <c r="C145">
        <f t="shared" si="16"/>
        <v>-3.7976507555791406E-3</v>
      </c>
      <c r="D145">
        <f t="shared" si="23"/>
        <v>8.4993508737496448E-4</v>
      </c>
      <c r="E145">
        <f>_xlfn.XLOOKUP(A145,VIX!A:A,VIX!B:B,"",-1)</f>
        <v>13.46</v>
      </c>
      <c r="F145">
        <f t="shared" si="17"/>
        <v>0.44000000000000128</v>
      </c>
      <c r="G145">
        <f>_xlfn.XLOOKUP(A145,'DGS10'!A:A,'DGS10'!B:B,"",-1)</f>
        <v>1.77</v>
      </c>
      <c r="H145">
        <f t="shared" si="18"/>
        <v>0</v>
      </c>
      <c r="I145" s="2">
        <f>_xlfn.XLOOKUP(A145,T10Y3M!A:A,T10Y3M!B:B,"",-1)</f>
        <v>1.43</v>
      </c>
      <c r="J145" s="2">
        <f>_xlfn.XLOOKUP(A145,BAMLC0A4CBBB!A:A,BAMLC0A4CBBB!B:B,"",-1)</f>
        <v>1.75</v>
      </c>
      <c r="K145" s="2">
        <f>_xlfn.XLOOKUP(A145,CPIAUCSL!A:A,CPIAUCSL!B:B,"",-1)</f>
        <v>241.74100000000001</v>
      </c>
      <c r="L145">
        <f>_xlfn.XLOOKUP(A145,DFF!A:A,DFF!B:B,"",-1)</f>
        <v>0.41</v>
      </c>
      <c r="M145">
        <f>_xlfn.XLOOKUP(A145,'DGS2'!A:A,'DGS2'!B:B,"",-1)</f>
        <v>0.86</v>
      </c>
      <c r="N145">
        <f t="shared" si="19"/>
        <v>2.0000000000000018E-2</v>
      </c>
      <c r="O145">
        <f t="shared" si="20"/>
        <v>-1.7404206872095873E-3</v>
      </c>
      <c r="P145">
        <f t="shared" si="21"/>
        <v>0</v>
      </c>
      <c r="Q145">
        <f t="shared" si="22"/>
        <v>0</v>
      </c>
      <c r="R145" s="3">
        <v>50.44</v>
      </c>
    </row>
    <row r="146" spans="1:18">
      <c r="A146" s="1">
        <v>42669</v>
      </c>
      <c r="B146">
        <v>2139.4299999999998</v>
      </c>
      <c r="C146">
        <f t="shared" si="16"/>
        <v>-1.7404206872095873E-3</v>
      </c>
      <c r="D146">
        <f t="shared" si="23"/>
        <v>-8.0797324814585458E-4</v>
      </c>
      <c r="E146">
        <f>_xlfn.XLOOKUP(A146,VIX!A:A,VIX!B:B,"",-1)</f>
        <v>14.24</v>
      </c>
      <c r="F146">
        <f t="shared" si="17"/>
        <v>0.77999999999999936</v>
      </c>
      <c r="G146">
        <f>_xlfn.XLOOKUP(A146,'DGS10'!A:A,'DGS10'!B:B,"",-1)</f>
        <v>1.79</v>
      </c>
      <c r="H146">
        <f t="shared" si="18"/>
        <v>2.0000000000000018E-2</v>
      </c>
      <c r="I146" s="2">
        <f>_xlfn.XLOOKUP(A146,T10Y3M!A:A,T10Y3M!B:B,"",-1)</f>
        <v>1.46</v>
      </c>
      <c r="J146" s="2">
        <f>_xlfn.XLOOKUP(A146,BAMLC0A4CBBB!A:A,BAMLC0A4CBBB!B:B,"",-1)</f>
        <v>1.76</v>
      </c>
      <c r="K146" s="2">
        <f>_xlfn.XLOOKUP(A146,CPIAUCSL!A:A,CPIAUCSL!B:B,"",-1)</f>
        <v>241.74100000000001</v>
      </c>
      <c r="L146">
        <f>_xlfn.XLOOKUP(A146,DFF!A:A,DFF!B:B,"",-1)</f>
        <v>0.41</v>
      </c>
      <c r="M146">
        <f>_xlfn.XLOOKUP(A146,'DGS2'!A:A,'DGS2'!B:B,"",-1)</f>
        <v>0.86</v>
      </c>
      <c r="N146">
        <f t="shared" si="19"/>
        <v>0</v>
      </c>
      <c r="O146">
        <f t="shared" si="20"/>
        <v>-2.9867768517781723E-3</v>
      </c>
      <c r="P146">
        <f t="shared" si="21"/>
        <v>0</v>
      </c>
      <c r="Q146">
        <f t="shared" si="22"/>
        <v>0</v>
      </c>
      <c r="R146" s="3">
        <v>50.35</v>
      </c>
    </row>
    <row r="147" spans="1:18">
      <c r="A147" s="1">
        <v>42670</v>
      </c>
      <c r="B147">
        <v>2133.04</v>
      </c>
      <c r="C147">
        <f t="shared" si="16"/>
        <v>-2.9867768517781723E-3</v>
      </c>
      <c r="D147">
        <f t="shared" si="23"/>
        <v>-8.5017175421715496E-3</v>
      </c>
      <c r="E147">
        <f>_xlfn.XLOOKUP(A147,VIX!A:A,VIX!B:B,"",-1)</f>
        <v>15.36</v>
      </c>
      <c r="F147">
        <f t="shared" si="17"/>
        <v>1.1199999999999992</v>
      </c>
      <c r="G147">
        <f>_xlfn.XLOOKUP(A147,'DGS10'!A:A,'DGS10'!B:B,"",-1)</f>
        <v>1.85</v>
      </c>
      <c r="H147">
        <f t="shared" si="18"/>
        <v>6.0000000000000053E-2</v>
      </c>
      <c r="I147" s="2">
        <f>_xlfn.XLOOKUP(A147,T10Y3M!A:A,T10Y3M!B:B,"",-1)</f>
        <v>1.55</v>
      </c>
      <c r="J147" s="2">
        <f>_xlfn.XLOOKUP(A147,BAMLC0A4CBBB!A:A,BAMLC0A4CBBB!B:B,"",-1)</f>
        <v>1.75</v>
      </c>
      <c r="K147" s="2">
        <f>_xlfn.XLOOKUP(A147,CPIAUCSL!A:A,CPIAUCSL!B:B,"",-1)</f>
        <v>241.74100000000001</v>
      </c>
      <c r="L147">
        <f>_xlfn.XLOOKUP(A147,DFF!A:A,DFF!B:B,"",-1)</f>
        <v>0.41</v>
      </c>
      <c r="M147">
        <f>_xlfn.XLOOKUP(A147,'DGS2'!A:A,'DGS2'!B:B,"",-1)</f>
        <v>0.87</v>
      </c>
      <c r="N147">
        <f t="shared" si="19"/>
        <v>1.0000000000000009E-2</v>
      </c>
      <c r="O147">
        <f t="shared" si="20"/>
        <v>-3.1082398829839208E-3</v>
      </c>
      <c r="P147">
        <f t="shared" si="21"/>
        <v>0</v>
      </c>
      <c r="Q147">
        <f t="shared" si="22"/>
        <v>-1</v>
      </c>
      <c r="R147" s="3">
        <v>49.94</v>
      </c>
    </row>
    <row r="148" spans="1:18">
      <c r="A148" s="1">
        <v>42671</v>
      </c>
      <c r="B148">
        <v>2126.41</v>
      </c>
      <c r="C148">
        <f t="shared" si="16"/>
        <v>-3.1082398829839208E-3</v>
      </c>
      <c r="D148">
        <f t="shared" si="23"/>
        <v>-7.815562067227777E-3</v>
      </c>
      <c r="E148">
        <f>_xlfn.XLOOKUP(A148,VIX!A:A,VIX!B:B,"",-1)</f>
        <v>16.190000000000001</v>
      </c>
      <c r="F148">
        <f t="shared" si="17"/>
        <v>0.83000000000000185</v>
      </c>
      <c r="G148">
        <f>_xlfn.XLOOKUP(A148,'DGS10'!A:A,'DGS10'!B:B,"",-1)</f>
        <v>1.86</v>
      </c>
      <c r="H148">
        <f t="shared" si="18"/>
        <v>1.0000000000000009E-2</v>
      </c>
      <c r="I148" s="2">
        <f>_xlfn.XLOOKUP(A148,T10Y3M!A:A,T10Y3M!B:B,"",-1)</f>
        <v>1.56</v>
      </c>
      <c r="J148" s="2">
        <f>_xlfn.XLOOKUP(A148,BAMLC0A4CBBB!A:A,BAMLC0A4CBBB!B:B,"",-1)</f>
        <v>1.76</v>
      </c>
      <c r="K148" s="2">
        <f>_xlfn.XLOOKUP(A148,CPIAUCSL!A:A,CPIAUCSL!B:B,"",-1)</f>
        <v>241.74100000000001</v>
      </c>
      <c r="L148">
        <f>_xlfn.XLOOKUP(A148,DFF!A:A,DFF!B:B,"",-1)</f>
        <v>0.41</v>
      </c>
      <c r="M148">
        <f>_xlfn.XLOOKUP(A148,'DGS2'!A:A,'DGS2'!B:B,"",-1)</f>
        <v>0.86</v>
      </c>
      <c r="N148">
        <f t="shared" si="19"/>
        <v>-1.0000000000000009E-2</v>
      </c>
      <c r="O148">
        <f t="shared" si="20"/>
        <v>-1.2227181023405365E-4</v>
      </c>
      <c r="P148">
        <f t="shared" si="21"/>
        <v>0</v>
      </c>
      <c r="Q148">
        <f t="shared" si="22"/>
        <v>0</v>
      </c>
      <c r="R148" s="3">
        <v>50.29</v>
      </c>
    </row>
    <row r="149" spans="1:18">
      <c r="A149" s="1">
        <v>42674</v>
      </c>
      <c r="B149">
        <v>2126.15</v>
      </c>
      <c r="C149">
        <f t="shared" si="16"/>
        <v>-1.2227181023405365E-4</v>
      </c>
      <c r="D149">
        <f t="shared" si="23"/>
        <v>-6.2072608124592588E-3</v>
      </c>
      <c r="E149">
        <f>_xlfn.XLOOKUP(A149,VIX!A:A,VIX!B:B,"",-1)</f>
        <v>17.059999999999999</v>
      </c>
      <c r="F149">
        <f t="shared" si="17"/>
        <v>0.86999999999999744</v>
      </c>
      <c r="G149">
        <f>_xlfn.XLOOKUP(A149,'DGS10'!A:A,'DGS10'!B:B,"",-1)</f>
        <v>1.84</v>
      </c>
      <c r="H149">
        <f t="shared" si="18"/>
        <v>-2.0000000000000018E-2</v>
      </c>
      <c r="I149" s="2">
        <f>_xlfn.XLOOKUP(A149,T10Y3M!A:A,T10Y3M!B:B,"",-1)</f>
        <v>1.5</v>
      </c>
      <c r="J149" s="2">
        <f>_xlfn.XLOOKUP(A149,BAMLC0A4CBBB!A:A,BAMLC0A4CBBB!B:B,"",-1)</f>
        <v>1.78</v>
      </c>
      <c r="K149" s="2">
        <f>_xlfn.XLOOKUP(A149,CPIAUCSL!A:A,CPIAUCSL!B:B,"",-1)</f>
        <v>241.74100000000001</v>
      </c>
      <c r="L149">
        <f>_xlfn.XLOOKUP(A149,DFF!A:A,DFF!B:B,"",-1)</f>
        <v>0.31</v>
      </c>
      <c r="M149">
        <f>_xlfn.XLOOKUP(A149,'DGS2'!A:A,'DGS2'!B:B,"",-1)</f>
        <v>0.86</v>
      </c>
      <c r="N149">
        <f t="shared" si="19"/>
        <v>0</v>
      </c>
      <c r="O149">
        <f t="shared" si="20"/>
        <v>-6.7869153164171747E-3</v>
      </c>
      <c r="P149">
        <f t="shared" si="21"/>
        <v>0</v>
      </c>
      <c r="Q149">
        <f t="shared" si="22"/>
        <v>-1</v>
      </c>
      <c r="R149" s="3">
        <v>51.6</v>
      </c>
    </row>
    <row r="150" spans="1:18">
      <c r="A150" s="1">
        <v>42675</v>
      </c>
      <c r="B150">
        <v>2111.7199999999998</v>
      </c>
      <c r="C150">
        <f t="shared" si="16"/>
        <v>-6.7869153164171747E-3</v>
      </c>
      <c r="D150">
        <f t="shared" si="23"/>
        <v>-9.9951243295953729E-3</v>
      </c>
      <c r="E150">
        <f>_xlfn.XLOOKUP(A150,VIX!A:A,VIX!B:B,"",-1)</f>
        <v>18.559999999999999</v>
      </c>
      <c r="F150">
        <f t="shared" si="17"/>
        <v>1.5</v>
      </c>
      <c r="G150">
        <f>_xlfn.XLOOKUP(A150,'DGS10'!A:A,'DGS10'!B:B,"",-1)</f>
        <v>1.83</v>
      </c>
      <c r="H150">
        <f t="shared" si="18"/>
        <v>-1.0000000000000009E-2</v>
      </c>
      <c r="I150" s="2">
        <f>_xlfn.XLOOKUP(A150,T10Y3M!A:A,T10Y3M!B:B,"",-1)</f>
        <v>1.48</v>
      </c>
      <c r="J150" s="2">
        <f>_xlfn.XLOOKUP(A150,BAMLC0A4CBBB!A:A,BAMLC0A4CBBB!B:B,"",-1)</f>
        <v>1.8</v>
      </c>
      <c r="K150" s="2">
        <f>_xlfn.XLOOKUP(A150,CPIAUCSL!A:A,CPIAUCSL!B:B,"",-1)</f>
        <v>242.02600000000001</v>
      </c>
      <c r="L150">
        <f>_xlfn.XLOOKUP(A150,DFF!A:A,DFF!B:B,"",-1)</f>
        <v>0.41</v>
      </c>
      <c r="M150">
        <f>_xlfn.XLOOKUP(A150,'DGS2'!A:A,'DGS2'!B:B,"",-1)</f>
        <v>0.83</v>
      </c>
      <c r="N150">
        <f t="shared" si="19"/>
        <v>-3.0000000000000027E-2</v>
      </c>
      <c r="O150">
        <f t="shared" si="20"/>
        <v>-6.5254863334153201E-3</v>
      </c>
      <c r="P150">
        <f t="shared" si="21"/>
        <v>0</v>
      </c>
      <c r="Q150">
        <f t="shared" si="22"/>
        <v>-1</v>
      </c>
      <c r="R150" s="3">
        <v>50.43</v>
      </c>
    </row>
    <row r="151" spans="1:18">
      <c r="A151" s="1">
        <v>42676</v>
      </c>
      <c r="B151">
        <v>2097.94</v>
      </c>
      <c r="C151">
        <f t="shared" si="16"/>
        <v>-6.5254863334153201E-3</v>
      </c>
      <c r="D151">
        <f t="shared" si="23"/>
        <v>-1.3388763220639421E-2</v>
      </c>
      <c r="E151">
        <f>_xlfn.XLOOKUP(A151,VIX!A:A,VIX!B:B,"",-1)</f>
        <v>19.32</v>
      </c>
      <c r="F151">
        <f t="shared" si="17"/>
        <v>0.76000000000000156</v>
      </c>
      <c r="G151">
        <f>_xlfn.XLOOKUP(A151,'DGS10'!A:A,'DGS10'!B:B,"",-1)</f>
        <v>1.81</v>
      </c>
      <c r="H151">
        <f t="shared" si="18"/>
        <v>-2.0000000000000018E-2</v>
      </c>
      <c r="I151" s="2">
        <f>_xlfn.XLOOKUP(A151,T10Y3M!A:A,T10Y3M!B:B,"",-1)</f>
        <v>1.44</v>
      </c>
      <c r="J151" s="2">
        <f>_xlfn.XLOOKUP(A151,BAMLC0A4CBBB!A:A,BAMLC0A4CBBB!B:B,"",-1)</f>
        <v>1.81</v>
      </c>
      <c r="K151" s="2">
        <f>_xlfn.XLOOKUP(A151,CPIAUCSL!A:A,CPIAUCSL!B:B,"",-1)</f>
        <v>242.02600000000001</v>
      </c>
      <c r="L151">
        <f>_xlfn.XLOOKUP(A151,DFF!A:A,DFF!B:B,"",-1)</f>
        <v>0.41</v>
      </c>
      <c r="M151">
        <f>_xlfn.XLOOKUP(A151,'DGS2'!A:A,'DGS2'!B:B,"",-1)</f>
        <v>0.81</v>
      </c>
      <c r="N151">
        <f t="shared" si="19"/>
        <v>-1.9999999999999907E-2</v>
      </c>
      <c r="O151">
        <f t="shared" si="20"/>
        <v>-4.4233867508127744E-3</v>
      </c>
      <c r="P151">
        <f t="shared" si="21"/>
        <v>0</v>
      </c>
      <c r="Q151">
        <f t="shared" si="22"/>
        <v>-1</v>
      </c>
      <c r="R151" s="3">
        <v>50.85</v>
      </c>
    </row>
    <row r="152" spans="1:18">
      <c r="A152" s="1">
        <v>42677</v>
      </c>
      <c r="B152">
        <v>2088.66</v>
      </c>
      <c r="C152">
        <f t="shared" si="16"/>
        <v>-4.4233867508127744E-3</v>
      </c>
      <c r="D152">
        <f t="shared" si="23"/>
        <v>-1.7632810479034977E-2</v>
      </c>
      <c r="E152">
        <f>_xlfn.XLOOKUP(A152,VIX!A:A,VIX!B:B,"",-1)</f>
        <v>22.08</v>
      </c>
      <c r="F152">
        <f t="shared" si="17"/>
        <v>2.759999999999998</v>
      </c>
      <c r="G152">
        <f>_xlfn.XLOOKUP(A152,'DGS10'!A:A,'DGS10'!B:B,"",-1)</f>
        <v>1.82</v>
      </c>
      <c r="H152">
        <f t="shared" si="18"/>
        <v>1.0000000000000009E-2</v>
      </c>
      <c r="I152" s="2">
        <f>_xlfn.XLOOKUP(A152,T10Y3M!A:A,T10Y3M!B:B,"",-1)</f>
        <v>1.44</v>
      </c>
      <c r="J152" s="2">
        <f>_xlfn.XLOOKUP(A152,BAMLC0A4CBBB!A:A,BAMLC0A4CBBB!B:B,"",-1)</f>
        <v>1.82</v>
      </c>
      <c r="K152" s="2">
        <f>_xlfn.XLOOKUP(A152,CPIAUCSL!A:A,CPIAUCSL!B:B,"",-1)</f>
        <v>242.02600000000001</v>
      </c>
      <c r="L152">
        <f>_xlfn.XLOOKUP(A152,DFF!A:A,DFF!B:B,"",-1)</f>
        <v>0.41</v>
      </c>
      <c r="M152">
        <f>_xlfn.XLOOKUP(A152,'DGS2'!A:A,'DGS2'!B:B,"",-1)</f>
        <v>0.81</v>
      </c>
      <c r="N152">
        <f t="shared" si="19"/>
        <v>0</v>
      </c>
      <c r="O152">
        <f t="shared" si="20"/>
        <v>-1.6661400132141901E-3</v>
      </c>
      <c r="P152">
        <f t="shared" si="21"/>
        <v>0</v>
      </c>
      <c r="Q152">
        <f t="shared" si="22"/>
        <v>0</v>
      </c>
      <c r="R152" s="3">
        <v>50.52</v>
      </c>
    </row>
    <row r="153" spans="1:18">
      <c r="A153" s="1">
        <v>42678</v>
      </c>
      <c r="B153">
        <v>2085.1799999999998</v>
      </c>
      <c r="C153">
        <f t="shared" si="16"/>
        <v>-1.6661400132141901E-3</v>
      </c>
      <c r="D153">
        <f t="shared" si="23"/>
        <v>-1.2567954084821809E-2</v>
      </c>
      <c r="E153">
        <f>_xlfn.XLOOKUP(A153,VIX!A:A,VIX!B:B,"",-1)</f>
        <v>22.51</v>
      </c>
      <c r="F153">
        <f t="shared" si="17"/>
        <v>0.43000000000000327</v>
      </c>
      <c r="G153">
        <f>_xlfn.XLOOKUP(A153,'DGS10'!A:A,'DGS10'!B:B,"",-1)</f>
        <v>1.79</v>
      </c>
      <c r="H153">
        <f t="shared" si="18"/>
        <v>-3.0000000000000027E-2</v>
      </c>
      <c r="I153" s="2">
        <f>_xlfn.XLOOKUP(A153,T10Y3M!A:A,T10Y3M!B:B,"",-1)</f>
        <v>1.41</v>
      </c>
      <c r="J153" s="2">
        <f>_xlfn.XLOOKUP(A153,BAMLC0A4CBBB!A:A,BAMLC0A4CBBB!B:B,"",-1)</f>
        <v>1.83</v>
      </c>
      <c r="K153" s="2">
        <f>_xlfn.XLOOKUP(A153,CPIAUCSL!A:A,CPIAUCSL!B:B,"",-1)</f>
        <v>242.02600000000001</v>
      </c>
      <c r="L153">
        <f>_xlfn.XLOOKUP(A153,DFF!A:A,DFF!B:B,"",-1)</f>
        <v>0.41</v>
      </c>
      <c r="M153">
        <f>_xlfn.XLOOKUP(A153,'DGS2'!A:A,'DGS2'!B:B,"",-1)</f>
        <v>0.8</v>
      </c>
      <c r="N153">
        <f t="shared" si="19"/>
        <v>-1.0000000000000009E-2</v>
      </c>
      <c r="O153">
        <f t="shared" si="20"/>
        <v>2.2223501088635134E-2</v>
      </c>
      <c r="P153">
        <f t="shared" si="21"/>
        <v>1</v>
      </c>
      <c r="Q153">
        <f t="shared" si="22"/>
        <v>1</v>
      </c>
      <c r="R153" s="3">
        <v>49.96</v>
      </c>
    </row>
    <row r="154" spans="1:18">
      <c r="A154" s="1">
        <v>42681</v>
      </c>
      <c r="B154">
        <v>2131.52</v>
      </c>
      <c r="C154">
        <f t="shared" si="16"/>
        <v>2.2223501088635134E-2</v>
      </c>
      <c r="D154">
        <f t="shared" si="23"/>
        <v>1.6006177488393281E-2</v>
      </c>
      <c r="E154">
        <f>_xlfn.XLOOKUP(A154,VIX!A:A,VIX!B:B,"",-1)</f>
        <v>18.71</v>
      </c>
      <c r="F154">
        <f t="shared" si="17"/>
        <v>-3.8000000000000007</v>
      </c>
      <c r="G154">
        <f>_xlfn.XLOOKUP(A154,'DGS10'!A:A,'DGS10'!B:B,"",-1)</f>
        <v>1.83</v>
      </c>
      <c r="H154">
        <f t="shared" si="18"/>
        <v>4.0000000000000036E-2</v>
      </c>
      <c r="I154" s="2">
        <f>_xlfn.XLOOKUP(A154,T10Y3M!A:A,T10Y3M!B:B,"",-1)</f>
        <v>1.42</v>
      </c>
      <c r="J154" s="2">
        <f>_xlfn.XLOOKUP(A154,BAMLC0A4CBBB!A:A,BAMLC0A4CBBB!B:B,"",-1)</f>
        <v>1.81</v>
      </c>
      <c r="K154" s="2">
        <f>_xlfn.XLOOKUP(A154,CPIAUCSL!A:A,CPIAUCSL!B:B,"",-1)</f>
        <v>242.02600000000001</v>
      </c>
      <c r="L154">
        <f>_xlfn.XLOOKUP(A154,DFF!A:A,DFF!B:B,"",-1)</f>
        <v>0.41</v>
      </c>
      <c r="M154">
        <f>_xlfn.XLOOKUP(A154,'DGS2'!A:A,'DGS2'!B:B,"",-1)</f>
        <v>0.82</v>
      </c>
      <c r="N154">
        <f t="shared" si="19"/>
        <v>1.9999999999999907E-2</v>
      </c>
      <c r="O154">
        <f t="shared" si="20"/>
        <v>3.771956162738288E-3</v>
      </c>
      <c r="P154">
        <f t="shared" si="21"/>
        <v>1</v>
      </c>
      <c r="Q154">
        <f t="shared" si="22"/>
        <v>1</v>
      </c>
      <c r="R154" s="3">
        <v>49.18</v>
      </c>
    </row>
    <row r="155" spans="1:18">
      <c r="A155" s="1">
        <v>42682</v>
      </c>
      <c r="B155">
        <v>2139.56</v>
      </c>
      <c r="C155">
        <f t="shared" si="16"/>
        <v>3.771956162738288E-3</v>
      </c>
      <c r="D155">
        <f t="shared" si="23"/>
        <v>2.4369691572587282E-2</v>
      </c>
      <c r="E155">
        <f>_xlfn.XLOOKUP(A155,VIX!A:A,VIX!B:B,"",-1)</f>
        <v>18.739999999999998</v>
      </c>
      <c r="F155">
        <f t="shared" si="17"/>
        <v>2.9999999999997584E-2</v>
      </c>
      <c r="G155">
        <f>_xlfn.XLOOKUP(A155,'DGS10'!A:A,'DGS10'!B:B,"",-1)</f>
        <v>1.88</v>
      </c>
      <c r="H155">
        <f t="shared" si="18"/>
        <v>4.9999999999999822E-2</v>
      </c>
      <c r="I155" s="2">
        <f>_xlfn.XLOOKUP(A155,T10Y3M!A:A,T10Y3M!B:B,"",-1)</f>
        <v>1.45</v>
      </c>
      <c r="J155" s="2">
        <f>_xlfn.XLOOKUP(A155,BAMLC0A4CBBB!A:A,BAMLC0A4CBBB!B:B,"",-1)</f>
        <v>1.8</v>
      </c>
      <c r="K155" s="2">
        <f>_xlfn.XLOOKUP(A155,CPIAUCSL!A:A,CPIAUCSL!B:B,"",-1)</f>
        <v>242.02600000000001</v>
      </c>
      <c r="L155">
        <f>_xlfn.XLOOKUP(A155,DFF!A:A,DFF!B:B,"",-1)</f>
        <v>0.41</v>
      </c>
      <c r="M155">
        <f>_xlfn.XLOOKUP(A155,'DGS2'!A:A,'DGS2'!B:B,"",-1)</f>
        <v>0.87</v>
      </c>
      <c r="N155">
        <f t="shared" si="19"/>
        <v>5.0000000000000044E-2</v>
      </c>
      <c r="O155">
        <f t="shared" si="20"/>
        <v>1.1077043878180648E-2</v>
      </c>
      <c r="P155">
        <f t="shared" si="21"/>
        <v>1</v>
      </c>
      <c r="Q155">
        <f t="shared" si="22"/>
        <v>1</v>
      </c>
      <c r="R155" s="3">
        <v>49.72</v>
      </c>
    </row>
    <row r="156" spans="1:18">
      <c r="A156" s="1">
        <v>42683</v>
      </c>
      <c r="B156">
        <v>2163.2600000000002</v>
      </c>
      <c r="C156">
        <f t="shared" si="16"/>
        <v>1.1077043878180648E-2</v>
      </c>
      <c r="D156">
        <f t="shared" si="23"/>
        <v>3.7445208567126187E-2</v>
      </c>
      <c r="E156">
        <f>_xlfn.XLOOKUP(A156,VIX!A:A,VIX!B:B,"",-1)</f>
        <v>14.38</v>
      </c>
      <c r="F156">
        <f t="shared" si="17"/>
        <v>-4.3599999999999977</v>
      </c>
      <c r="G156">
        <f>_xlfn.XLOOKUP(A156,'DGS10'!A:A,'DGS10'!B:B,"",-1)</f>
        <v>2.0699999999999998</v>
      </c>
      <c r="H156">
        <f t="shared" si="18"/>
        <v>0.18999999999999995</v>
      </c>
      <c r="I156" s="2">
        <f>_xlfn.XLOOKUP(A156,T10Y3M!A:A,T10Y3M!B:B,"",-1)</f>
        <v>1.62</v>
      </c>
      <c r="J156" s="2">
        <f>_xlfn.XLOOKUP(A156,BAMLC0A4CBBB!A:A,BAMLC0A4CBBB!B:B,"",-1)</f>
        <v>1.78</v>
      </c>
      <c r="K156" s="2">
        <f>_xlfn.XLOOKUP(A156,CPIAUCSL!A:A,CPIAUCSL!B:B,"",-1)</f>
        <v>242.02600000000001</v>
      </c>
      <c r="L156">
        <f>_xlfn.XLOOKUP(A156,DFF!A:A,DFF!B:B,"",-1)</f>
        <v>0.41</v>
      </c>
      <c r="M156">
        <f>_xlfn.XLOOKUP(A156,'DGS2'!A:A,'DGS2'!B:B,"",-1)</f>
        <v>0.9</v>
      </c>
      <c r="N156">
        <f t="shared" si="19"/>
        <v>3.0000000000000027E-2</v>
      </c>
      <c r="O156">
        <f t="shared" si="20"/>
        <v>1.9507595018628532E-3</v>
      </c>
      <c r="P156">
        <f t="shared" si="21"/>
        <v>1</v>
      </c>
      <c r="Q156">
        <f t="shared" si="22"/>
        <v>0</v>
      </c>
      <c r="R156" s="3">
        <v>48.7</v>
      </c>
    </row>
    <row r="157" spans="1:18">
      <c r="A157" s="1">
        <v>42684</v>
      </c>
      <c r="B157">
        <v>2167.48</v>
      </c>
      <c r="C157">
        <f t="shared" si="16"/>
        <v>1.9507595018628532E-3</v>
      </c>
      <c r="D157">
        <f t="shared" si="23"/>
        <v>1.6870590001501373E-2</v>
      </c>
      <c r="E157">
        <f>_xlfn.XLOOKUP(A157,VIX!A:A,VIX!B:B,"",-1)</f>
        <v>14.74</v>
      </c>
      <c r="F157">
        <f t="shared" si="17"/>
        <v>0.35999999999999943</v>
      </c>
      <c r="G157">
        <f>_xlfn.XLOOKUP(A157,'DGS10'!A:A,'DGS10'!B:B,"",-1)</f>
        <v>2.15</v>
      </c>
      <c r="H157">
        <f t="shared" si="18"/>
        <v>8.0000000000000071E-2</v>
      </c>
      <c r="I157" s="2">
        <f>_xlfn.XLOOKUP(A157,T10Y3M!A:A,T10Y3M!B:B,"",-1)</f>
        <v>1.67</v>
      </c>
      <c r="J157" s="2">
        <f>_xlfn.XLOOKUP(A157,BAMLC0A4CBBB!A:A,BAMLC0A4CBBB!B:B,"",-1)</f>
        <v>1.77</v>
      </c>
      <c r="K157" s="2">
        <f>_xlfn.XLOOKUP(A157,CPIAUCSL!A:A,CPIAUCSL!B:B,"",-1)</f>
        <v>242.02600000000001</v>
      </c>
      <c r="L157">
        <f>_xlfn.XLOOKUP(A157,DFF!A:A,DFF!B:B,"",-1)</f>
        <v>0.41</v>
      </c>
      <c r="M157">
        <f>_xlfn.XLOOKUP(A157,'DGS2'!A:A,'DGS2'!B:B,"",-1)</f>
        <v>0.92</v>
      </c>
      <c r="N157">
        <f t="shared" si="19"/>
        <v>2.0000000000000018E-2</v>
      </c>
      <c r="O157">
        <f t="shared" si="20"/>
        <v>-1.3979367745031723E-3</v>
      </c>
      <c r="P157">
        <f t="shared" si="21"/>
        <v>0</v>
      </c>
      <c r="Q157">
        <f t="shared" si="22"/>
        <v>0</v>
      </c>
      <c r="R157" s="3">
        <v>46.86</v>
      </c>
    </row>
    <row r="158" spans="1:18">
      <c r="A158" s="1">
        <v>42685</v>
      </c>
      <c r="B158">
        <v>2164.4499999999998</v>
      </c>
      <c r="C158">
        <f t="shared" si="16"/>
        <v>-1.3979367745031723E-3</v>
      </c>
      <c r="D158">
        <f t="shared" si="23"/>
        <v>1.163323300117769E-2</v>
      </c>
      <c r="E158">
        <f>_xlfn.XLOOKUP(A158,VIX!A:A,VIX!B:B,"",-1)</f>
        <v>14.17</v>
      </c>
      <c r="F158">
        <f t="shared" si="17"/>
        <v>-0.57000000000000028</v>
      </c>
      <c r="G158">
        <f>_xlfn.XLOOKUP(A158,'DGS10'!A:A,'DGS10'!B:B,"",-1)</f>
        <v>0</v>
      </c>
      <c r="H158">
        <f t="shared" si="18"/>
        <v>-2.15</v>
      </c>
      <c r="I158" s="2">
        <f>_xlfn.XLOOKUP(A158,T10Y3M!A:A,T10Y3M!B:B,"",-1)</f>
        <v>0</v>
      </c>
      <c r="J158" s="2">
        <f>_xlfn.XLOOKUP(A158,BAMLC0A4CBBB!A:A,BAMLC0A4CBBB!B:B,"",-1)</f>
        <v>1.77</v>
      </c>
      <c r="K158" s="2">
        <f>_xlfn.XLOOKUP(A158,CPIAUCSL!A:A,CPIAUCSL!B:B,"",-1)</f>
        <v>242.02600000000001</v>
      </c>
      <c r="L158">
        <f>_xlfn.XLOOKUP(A158,DFF!A:A,DFF!B:B,"",-1)</f>
        <v>0.41</v>
      </c>
      <c r="M158">
        <f>_xlfn.XLOOKUP(A158,'DGS2'!A:A,'DGS2'!B:B,"",-1)</f>
        <v>0</v>
      </c>
      <c r="N158">
        <f t="shared" si="19"/>
        <v>-0.92</v>
      </c>
      <c r="O158">
        <f t="shared" si="20"/>
        <v>-1.1550278361704969E-4</v>
      </c>
      <c r="P158">
        <f t="shared" si="21"/>
        <v>0</v>
      </c>
      <c r="Q158">
        <f t="shared" si="22"/>
        <v>0</v>
      </c>
      <c r="R158" s="3">
        <v>46.67</v>
      </c>
    </row>
    <row r="159" spans="1:18">
      <c r="A159" s="1">
        <v>42688</v>
      </c>
      <c r="B159">
        <v>2164.1999999999998</v>
      </c>
      <c r="C159">
        <f t="shared" si="16"/>
        <v>-1.1550278361704969E-4</v>
      </c>
      <c r="D159">
        <f t="shared" si="23"/>
        <v>4.3452936771326556E-4</v>
      </c>
      <c r="E159">
        <f>_xlfn.XLOOKUP(A159,VIX!A:A,VIX!B:B,"",-1)</f>
        <v>14.48</v>
      </c>
      <c r="F159">
        <f t="shared" si="17"/>
        <v>0.3100000000000005</v>
      </c>
      <c r="G159">
        <f>_xlfn.XLOOKUP(A159,'DGS10'!A:A,'DGS10'!B:B,"",-1)</f>
        <v>2.23</v>
      </c>
      <c r="H159">
        <f t="shared" si="18"/>
        <v>2.23</v>
      </c>
      <c r="I159" s="2">
        <f>_xlfn.XLOOKUP(A159,T10Y3M!A:A,T10Y3M!B:B,"",-1)</f>
        <v>1.68</v>
      </c>
      <c r="J159" s="2">
        <f>_xlfn.XLOOKUP(A159,BAMLC0A4CBBB!A:A,BAMLC0A4CBBB!B:B,"",-1)</f>
        <v>1.78</v>
      </c>
      <c r="K159" s="2">
        <f>_xlfn.XLOOKUP(A159,CPIAUCSL!A:A,CPIAUCSL!B:B,"",-1)</f>
        <v>242.02600000000001</v>
      </c>
      <c r="L159">
        <f>_xlfn.XLOOKUP(A159,DFF!A:A,DFF!B:B,"",-1)</f>
        <v>0.41</v>
      </c>
      <c r="M159">
        <f>_xlfn.XLOOKUP(A159,'DGS2'!A:A,'DGS2'!B:B,"",-1)</f>
        <v>1</v>
      </c>
      <c r="N159">
        <f t="shared" si="19"/>
        <v>1</v>
      </c>
      <c r="O159">
        <f t="shared" si="20"/>
        <v>7.4808243230755078E-3</v>
      </c>
      <c r="P159">
        <f t="shared" si="21"/>
        <v>1</v>
      </c>
      <c r="Q159">
        <f t="shared" si="22"/>
        <v>1</v>
      </c>
      <c r="R159" s="3">
        <v>45.34</v>
      </c>
    </row>
    <row r="160" spans="1:18">
      <c r="A160" s="1">
        <v>42689</v>
      </c>
      <c r="B160">
        <v>2180.39</v>
      </c>
      <c r="C160">
        <f t="shared" si="16"/>
        <v>7.4808243230755078E-3</v>
      </c>
      <c r="D160">
        <f t="shared" si="23"/>
        <v>5.9562256629819288E-3</v>
      </c>
      <c r="E160">
        <f>_xlfn.XLOOKUP(A160,VIX!A:A,VIX!B:B,"",-1)</f>
        <v>13.37</v>
      </c>
      <c r="F160">
        <f t="shared" si="17"/>
        <v>-1.1100000000000012</v>
      </c>
      <c r="G160">
        <f>_xlfn.XLOOKUP(A160,'DGS10'!A:A,'DGS10'!B:B,"",-1)</f>
        <v>2.23</v>
      </c>
      <c r="H160">
        <f t="shared" si="18"/>
        <v>0</v>
      </c>
      <c r="I160" s="2">
        <f>_xlfn.XLOOKUP(A160,T10Y3M!A:A,T10Y3M!B:B,"",-1)</f>
        <v>1.72</v>
      </c>
      <c r="J160" s="2">
        <f>_xlfn.XLOOKUP(A160,BAMLC0A4CBBB!A:A,BAMLC0A4CBBB!B:B,"",-1)</f>
        <v>1.76</v>
      </c>
      <c r="K160" s="2">
        <f>_xlfn.XLOOKUP(A160,CPIAUCSL!A:A,CPIAUCSL!B:B,"",-1)</f>
        <v>242.02600000000001</v>
      </c>
      <c r="L160">
        <f>_xlfn.XLOOKUP(A160,DFF!A:A,DFF!B:B,"",-1)</f>
        <v>0.41</v>
      </c>
      <c r="M160">
        <f>_xlfn.XLOOKUP(A160,'DGS2'!A:A,'DGS2'!B:B,"",-1)</f>
        <v>1.02</v>
      </c>
      <c r="N160">
        <f t="shared" si="19"/>
        <v>2.0000000000000018E-2</v>
      </c>
      <c r="O160">
        <f t="shared" si="20"/>
        <v>-1.5822857378724464E-3</v>
      </c>
      <c r="P160">
        <f t="shared" si="21"/>
        <v>0</v>
      </c>
      <c r="Q160">
        <f t="shared" si="22"/>
        <v>0</v>
      </c>
      <c r="R160" s="3">
        <v>44.66</v>
      </c>
    </row>
    <row r="161" spans="1:18">
      <c r="A161" s="1">
        <v>42690</v>
      </c>
      <c r="B161">
        <v>2176.94</v>
      </c>
      <c r="C161">
        <f t="shared" si="16"/>
        <v>-1.5822857378724464E-3</v>
      </c>
      <c r="D161">
        <f t="shared" si="23"/>
        <v>5.7705190695096498E-3</v>
      </c>
      <c r="E161">
        <f>_xlfn.XLOOKUP(A161,VIX!A:A,VIX!B:B,"",-1)</f>
        <v>13.72</v>
      </c>
      <c r="F161">
        <f t="shared" si="17"/>
        <v>0.35000000000000142</v>
      </c>
      <c r="G161">
        <f>_xlfn.XLOOKUP(A161,'DGS10'!A:A,'DGS10'!B:B,"",-1)</f>
        <v>2.2200000000000002</v>
      </c>
      <c r="H161">
        <f t="shared" si="18"/>
        <v>-9.9999999999997868E-3</v>
      </c>
      <c r="I161" s="2">
        <f>_xlfn.XLOOKUP(A161,T10Y3M!A:A,T10Y3M!B:B,"",-1)</f>
        <v>1.75</v>
      </c>
      <c r="J161" s="2">
        <f>_xlfn.XLOOKUP(A161,BAMLC0A4CBBB!A:A,BAMLC0A4CBBB!B:B,"",-1)</f>
        <v>1.77</v>
      </c>
      <c r="K161" s="2">
        <f>_xlfn.XLOOKUP(A161,CPIAUCSL!A:A,CPIAUCSL!B:B,"",-1)</f>
        <v>242.02600000000001</v>
      </c>
      <c r="L161">
        <f>_xlfn.XLOOKUP(A161,DFF!A:A,DFF!B:B,"",-1)</f>
        <v>0.41</v>
      </c>
      <c r="M161">
        <f>_xlfn.XLOOKUP(A161,'DGS2'!A:A,'DGS2'!B:B,"",-1)</f>
        <v>1</v>
      </c>
      <c r="N161">
        <f t="shared" si="19"/>
        <v>-2.0000000000000018E-2</v>
      </c>
      <c r="O161">
        <f t="shared" si="20"/>
        <v>4.6762887355644711E-3</v>
      </c>
      <c r="P161">
        <f t="shared" si="21"/>
        <v>1</v>
      </c>
      <c r="Q161">
        <f t="shared" si="22"/>
        <v>1</v>
      </c>
      <c r="R161" s="3">
        <v>44.07</v>
      </c>
    </row>
    <row r="162" spans="1:18">
      <c r="A162" s="1">
        <v>42691</v>
      </c>
      <c r="B162">
        <v>2187.12</v>
      </c>
      <c r="C162">
        <f t="shared" si="16"/>
        <v>4.6762887355644711E-3</v>
      </c>
      <c r="D162">
        <f t="shared" si="23"/>
        <v>1.0590518436373708E-2</v>
      </c>
      <c r="E162">
        <f>_xlfn.XLOOKUP(A162,VIX!A:A,VIX!B:B,"",-1)</f>
        <v>13.35</v>
      </c>
      <c r="F162">
        <f t="shared" si="17"/>
        <v>-0.37000000000000099</v>
      </c>
      <c r="G162">
        <f>_xlfn.XLOOKUP(A162,'DGS10'!A:A,'DGS10'!B:B,"",-1)</f>
        <v>2.29</v>
      </c>
      <c r="H162">
        <f t="shared" si="18"/>
        <v>6.999999999999984E-2</v>
      </c>
      <c r="I162" s="2">
        <f>_xlfn.XLOOKUP(A162,T10Y3M!A:A,T10Y3M!B:B,"",-1)</f>
        <v>1.85</v>
      </c>
      <c r="J162" s="2">
        <f>_xlfn.XLOOKUP(A162,BAMLC0A4CBBB!A:A,BAMLC0A4CBBB!B:B,"",-1)</f>
        <v>1.77</v>
      </c>
      <c r="K162" s="2">
        <f>_xlfn.XLOOKUP(A162,CPIAUCSL!A:A,CPIAUCSL!B:B,"",-1)</f>
        <v>242.02600000000001</v>
      </c>
      <c r="L162">
        <f>_xlfn.XLOOKUP(A162,DFF!A:A,DFF!B:B,"",-1)</f>
        <v>0.41</v>
      </c>
      <c r="M162">
        <f>_xlfn.XLOOKUP(A162,'DGS2'!A:A,'DGS2'!B:B,"",-1)</f>
        <v>1.04</v>
      </c>
      <c r="N162">
        <f t="shared" si="19"/>
        <v>4.0000000000000036E-2</v>
      </c>
      <c r="O162">
        <f t="shared" si="20"/>
        <v>-2.3867003182266311E-3</v>
      </c>
      <c r="P162">
        <f t="shared" si="21"/>
        <v>0</v>
      </c>
      <c r="Q162">
        <f t="shared" si="22"/>
        <v>0</v>
      </c>
      <c r="R162" s="3">
        <v>44.89</v>
      </c>
    </row>
    <row r="163" spans="1:18">
      <c r="A163" s="1">
        <v>42692</v>
      </c>
      <c r="B163">
        <v>2181.9</v>
      </c>
      <c r="C163">
        <f t="shared" si="16"/>
        <v>-2.3867003182266311E-3</v>
      </c>
      <c r="D163">
        <f t="shared" si="23"/>
        <v>6.9253665628643546E-4</v>
      </c>
      <c r="E163">
        <f>_xlfn.XLOOKUP(A163,VIX!A:A,VIX!B:B,"",-1)</f>
        <v>12.85</v>
      </c>
      <c r="F163">
        <f t="shared" si="17"/>
        <v>-0.5</v>
      </c>
      <c r="G163">
        <f>_xlfn.XLOOKUP(A163,'DGS10'!A:A,'DGS10'!B:B,"",-1)</f>
        <v>2.34</v>
      </c>
      <c r="H163">
        <f t="shared" si="18"/>
        <v>4.9999999999999822E-2</v>
      </c>
      <c r="I163" s="2">
        <f>_xlfn.XLOOKUP(A163,T10Y3M!A:A,T10Y3M!B:B,"",-1)</f>
        <v>1.9</v>
      </c>
      <c r="J163" s="2">
        <f>_xlfn.XLOOKUP(A163,BAMLC0A4CBBB!A:A,BAMLC0A4CBBB!B:B,"",-1)</f>
        <v>1.77</v>
      </c>
      <c r="K163" s="2">
        <f>_xlfn.XLOOKUP(A163,CPIAUCSL!A:A,CPIAUCSL!B:B,"",-1)</f>
        <v>242.02600000000001</v>
      </c>
      <c r="L163">
        <f>_xlfn.XLOOKUP(A163,DFF!A:A,DFF!B:B,"",-1)</f>
        <v>0.41</v>
      </c>
      <c r="M163">
        <f>_xlfn.XLOOKUP(A163,'DGS2'!A:A,'DGS2'!B:B,"",-1)</f>
        <v>1.07</v>
      </c>
      <c r="N163">
        <f t="shared" si="19"/>
        <v>3.0000000000000027E-2</v>
      </c>
      <c r="O163">
        <f t="shared" si="20"/>
        <v>7.4613868646591364E-3</v>
      </c>
      <c r="P163">
        <f t="shared" si="21"/>
        <v>1</v>
      </c>
      <c r="Q163">
        <f t="shared" si="22"/>
        <v>1</v>
      </c>
      <c r="R163" s="3">
        <v>44.98</v>
      </c>
    </row>
    <row r="164" spans="1:18">
      <c r="A164" s="1">
        <v>42695</v>
      </c>
      <c r="B164">
        <v>2198.1799999999998</v>
      </c>
      <c r="C164">
        <f t="shared" si="16"/>
        <v>7.4613868646591364E-3</v>
      </c>
      <c r="D164">
        <f t="shared" si="23"/>
        <v>9.7568146113351517E-3</v>
      </c>
      <c r="E164">
        <f>_xlfn.XLOOKUP(A164,VIX!A:A,VIX!B:B,"",-1)</f>
        <v>12.42</v>
      </c>
      <c r="F164">
        <f t="shared" si="17"/>
        <v>-0.42999999999999972</v>
      </c>
      <c r="G164">
        <f>_xlfn.XLOOKUP(A164,'DGS10'!A:A,'DGS10'!B:B,"",-1)</f>
        <v>2.33</v>
      </c>
      <c r="H164">
        <f t="shared" si="18"/>
        <v>-9.9999999999997868E-3</v>
      </c>
      <c r="I164" s="2">
        <f>_xlfn.XLOOKUP(A164,T10Y3M!A:A,T10Y3M!B:B,"",-1)</f>
        <v>1.87</v>
      </c>
      <c r="J164" s="2">
        <f>_xlfn.XLOOKUP(A164,BAMLC0A4CBBB!A:A,BAMLC0A4CBBB!B:B,"",-1)</f>
        <v>1.77</v>
      </c>
      <c r="K164" s="2">
        <f>_xlfn.XLOOKUP(A164,CPIAUCSL!A:A,CPIAUCSL!B:B,"",-1)</f>
        <v>242.02600000000001</v>
      </c>
      <c r="L164">
        <f>_xlfn.XLOOKUP(A164,DFF!A:A,DFF!B:B,"",-1)</f>
        <v>0.41</v>
      </c>
      <c r="M164">
        <f>_xlfn.XLOOKUP(A164,'DGS2'!A:A,'DGS2'!B:B,"",-1)</f>
        <v>1.08</v>
      </c>
      <c r="N164">
        <f t="shared" si="19"/>
        <v>1.0000000000000009E-2</v>
      </c>
      <c r="O164">
        <f t="shared" si="20"/>
        <v>2.1654277629676866E-3</v>
      </c>
      <c r="P164">
        <f t="shared" si="21"/>
        <v>1</v>
      </c>
      <c r="Q164">
        <f t="shared" si="22"/>
        <v>0</v>
      </c>
      <c r="R164" s="3">
        <v>45.27</v>
      </c>
    </row>
    <row r="165" spans="1:18">
      <c r="A165" s="1">
        <v>42696</v>
      </c>
      <c r="B165">
        <v>2202.94</v>
      </c>
      <c r="C165">
        <f t="shared" si="16"/>
        <v>2.1654277629676866E-3</v>
      </c>
      <c r="D165">
        <f t="shared" si="23"/>
        <v>7.2332565199897392E-3</v>
      </c>
      <c r="E165">
        <f>_xlfn.XLOOKUP(A165,VIX!A:A,VIX!B:B,"",-1)</f>
        <v>12.41</v>
      </c>
      <c r="F165">
        <f t="shared" si="17"/>
        <v>-9.9999999999997868E-3</v>
      </c>
      <c r="G165">
        <f>_xlfn.XLOOKUP(A165,'DGS10'!A:A,'DGS10'!B:B,"",-1)</f>
        <v>2.31</v>
      </c>
      <c r="H165">
        <f t="shared" si="18"/>
        <v>-2.0000000000000018E-2</v>
      </c>
      <c r="I165" s="2">
        <f>_xlfn.XLOOKUP(A165,T10Y3M!A:A,T10Y3M!B:B,"",-1)</f>
        <v>1.82</v>
      </c>
      <c r="J165" s="2">
        <f>_xlfn.XLOOKUP(A165,BAMLC0A4CBBB!A:A,BAMLC0A4CBBB!B:B,"",-1)</f>
        <v>1.78</v>
      </c>
      <c r="K165" s="2">
        <f>_xlfn.XLOOKUP(A165,CPIAUCSL!A:A,CPIAUCSL!B:B,"",-1)</f>
        <v>242.02600000000001</v>
      </c>
      <c r="L165">
        <f>_xlfn.XLOOKUP(A165,DFF!A:A,DFF!B:B,"",-1)</f>
        <v>0.41</v>
      </c>
      <c r="M165">
        <f>_xlfn.XLOOKUP(A165,'DGS2'!A:A,'DGS2'!B:B,"",-1)</f>
        <v>1.07</v>
      </c>
      <c r="N165">
        <f t="shared" si="19"/>
        <v>-1.0000000000000009E-2</v>
      </c>
      <c r="O165">
        <f t="shared" si="20"/>
        <v>8.080111124224576E-4</v>
      </c>
      <c r="P165">
        <f t="shared" si="21"/>
        <v>1</v>
      </c>
      <c r="Q165">
        <f t="shared" si="22"/>
        <v>0</v>
      </c>
      <c r="R165" s="3">
        <v>44.66</v>
      </c>
    </row>
    <row r="166" spans="1:18">
      <c r="A166" s="1">
        <v>42697</v>
      </c>
      <c r="B166">
        <v>2204.7199999999998</v>
      </c>
      <c r="C166">
        <f t="shared" si="16"/>
        <v>8.080111124224576E-4</v>
      </c>
      <c r="D166">
        <f t="shared" si="23"/>
        <v>1.045877446262411E-2</v>
      </c>
      <c r="E166">
        <f>_xlfn.XLOOKUP(A166,VIX!A:A,VIX!B:B,"",-1)</f>
        <v>12.43</v>
      </c>
      <c r="F166">
        <f t="shared" si="17"/>
        <v>1.9999999999999574E-2</v>
      </c>
      <c r="G166">
        <f>_xlfn.XLOOKUP(A166,'DGS10'!A:A,'DGS10'!B:B,"",-1)</f>
        <v>2.36</v>
      </c>
      <c r="H166">
        <f t="shared" si="18"/>
        <v>4.9999999999999822E-2</v>
      </c>
      <c r="I166" s="2">
        <f>_xlfn.XLOOKUP(A166,T10Y3M!A:A,T10Y3M!B:B,"",-1)</f>
        <v>1.85</v>
      </c>
      <c r="J166" s="2">
        <f>_xlfn.XLOOKUP(A166,BAMLC0A4CBBB!A:A,BAMLC0A4CBBB!B:B,"",-1)</f>
        <v>1.77</v>
      </c>
      <c r="K166" s="2">
        <f>_xlfn.XLOOKUP(A166,CPIAUCSL!A:A,CPIAUCSL!B:B,"",-1)</f>
        <v>242.02600000000001</v>
      </c>
      <c r="L166">
        <f>_xlfn.XLOOKUP(A166,DFF!A:A,DFF!B:B,"",-1)</f>
        <v>0.41</v>
      </c>
      <c r="M166">
        <f>_xlfn.XLOOKUP(A166,'DGS2'!A:A,'DGS2'!B:B,"",-1)</f>
        <v>1.1200000000000001</v>
      </c>
      <c r="N166">
        <f t="shared" si="19"/>
        <v>5.0000000000000044E-2</v>
      </c>
      <c r="O166">
        <f t="shared" si="20"/>
        <v>3.9143292572298982E-3</v>
      </c>
      <c r="P166">
        <f t="shared" si="21"/>
        <v>1</v>
      </c>
      <c r="Q166">
        <f t="shared" si="22"/>
        <v>1</v>
      </c>
      <c r="R166" s="3">
        <v>43.41</v>
      </c>
    </row>
    <row r="167" spans="1:18">
      <c r="A167" s="1">
        <v>42699</v>
      </c>
      <c r="B167">
        <v>2213.35</v>
      </c>
      <c r="C167">
        <f t="shared" si="16"/>
        <v>3.9143292572298982E-3</v>
      </c>
      <c r="D167">
        <f t="shared" si="23"/>
        <v>6.9011636899616313E-3</v>
      </c>
      <c r="E167">
        <f>_xlfn.XLOOKUP(A167,VIX!A:A,VIX!B:B,"",-1)</f>
        <v>12.34</v>
      </c>
      <c r="F167">
        <f t="shared" si="17"/>
        <v>-8.9999999999999858E-2</v>
      </c>
      <c r="G167">
        <f>_xlfn.XLOOKUP(A167,'DGS10'!A:A,'DGS10'!B:B,"",-1)</f>
        <v>2.36</v>
      </c>
      <c r="H167">
        <f t="shared" si="18"/>
        <v>0</v>
      </c>
      <c r="I167" s="2">
        <f>_xlfn.XLOOKUP(A167,T10Y3M!A:A,T10Y3M!B:B,"",-1)</f>
        <v>1.87</v>
      </c>
      <c r="J167" s="2">
        <f>_xlfn.XLOOKUP(A167,BAMLC0A4CBBB!A:A,BAMLC0A4CBBB!B:B,"",-1)</f>
        <v>1.77</v>
      </c>
      <c r="K167" s="2">
        <f>_xlfn.XLOOKUP(A167,CPIAUCSL!A:A,CPIAUCSL!B:B,"",-1)</f>
        <v>242.02600000000001</v>
      </c>
      <c r="L167">
        <f>_xlfn.XLOOKUP(A167,DFF!A:A,DFF!B:B,"",-1)</f>
        <v>0.41</v>
      </c>
      <c r="M167">
        <f>_xlfn.XLOOKUP(A167,'DGS2'!A:A,'DGS2'!B:B,"",-1)</f>
        <v>1.1200000000000001</v>
      </c>
      <c r="N167">
        <f t="shared" si="19"/>
        <v>0</v>
      </c>
      <c r="O167">
        <f t="shared" si="20"/>
        <v>-5.2544785054330356E-3</v>
      </c>
      <c r="P167">
        <f t="shared" si="21"/>
        <v>0</v>
      </c>
      <c r="Q167">
        <f t="shared" si="22"/>
        <v>-1</v>
      </c>
      <c r="R167" s="3">
        <v>43.32</v>
      </c>
    </row>
    <row r="168" spans="1:18">
      <c r="A168" s="1">
        <v>42702</v>
      </c>
      <c r="B168">
        <v>2201.7199999999998</v>
      </c>
      <c r="C168">
        <f t="shared" si="16"/>
        <v>-5.2544785054330356E-3</v>
      </c>
      <c r="D168">
        <f t="shared" si="23"/>
        <v>-5.5380536918858692E-4</v>
      </c>
      <c r="E168">
        <f>_xlfn.XLOOKUP(A168,VIX!A:A,VIX!B:B,"",-1)</f>
        <v>13.15</v>
      </c>
      <c r="F168">
        <f t="shared" si="17"/>
        <v>0.8100000000000005</v>
      </c>
      <c r="G168">
        <f>_xlfn.XLOOKUP(A168,'DGS10'!A:A,'DGS10'!B:B,"",-1)</f>
        <v>2.3199999999999998</v>
      </c>
      <c r="H168">
        <f t="shared" si="18"/>
        <v>-4.0000000000000036E-2</v>
      </c>
      <c r="I168" s="2">
        <f>_xlfn.XLOOKUP(A168,T10Y3M!A:A,T10Y3M!B:B,"",-1)</f>
        <v>1.84</v>
      </c>
      <c r="J168" s="2">
        <f>_xlfn.XLOOKUP(A168,BAMLC0A4CBBB!A:A,BAMLC0A4CBBB!B:B,"",-1)</f>
        <v>1.77</v>
      </c>
      <c r="K168" s="2">
        <f>_xlfn.XLOOKUP(A168,CPIAUCSL!A:A,CPIAUCSL!B:B,"",-1)</f>
        <v>242.02600000000001</v>
      </c>
      <c r="L168">
        <f>_xlfn.XLOOKUP(A168,DFF!A:A,DFF!B:B,"",-1)</f>
        <v>0.41</v>
      </c>
      <c r="M168">
        <f>_xlfn.XLOOKUP(A168,'DGS2'!A:A,'DGS2'!B:B,"",-1)</f>
        <v>1.1100000000000001</v>
      </c>
      <c r="N168">
        <f t="shared" si="19"/>
        <v>-1.0000000000000009E-2</v>
      </c>
      <c r="O168">
        <f t="shared" si="20"/>
        <v>1.33531965917566E-3</v>
      </c>
      <c r="P168">
        <f t="shared" si="21"/>
        <v>1</v>
      </c>
      <c r="Q168">
        <f t="shared" si="22"/>
        <v>0</v>
      </c>
      <c r="R168" s="3">
        <v>45.81</v>
      </c>
    </row>
    <row r="169" spans="1:18">
      <c r="A169" s="1">
        <v>42703</v>
      </c>
      <c r="B169">
        <v>2204.66</v>
      </c>
      <c r="C169">
        <f t="shared" si="16"/>
        <v>1.33531965917566E-3</v>
      </c>
      <c r="D169">
        <f t="shared" si="23"/>
        <v>-2.7214340142966975E-5</v>
      </c>
      <c r="E169">
        <f>_xlfn.XLOOKUP(A169,VIX!A:A,VIX!B:B,"",-1)</f>
        <v>12.9</v>
      </c>
      <c r="F169">
        <f t="shared" si="17"/>
        <v>-0.25</v>
      </c>
      <c r="G169">
        <f>_xlfn.XLOOKUP(A169,'DGS10'!A:A,'DGS10'!B:B,"",-1)</f>
        <v>2.2999999999999998</v>
      </c>
      <c r="H169">
        <f t="shared" si="18"/>
        <v>-2.0000000000000018E-2</v>
      </c>
      <c r="I169" s="2">
        <f>_xlfn.XLOOKUP(A169,T10Y3M!A:A,T10Y3M!B:B,"",-1)</f>
        <v>1.82</v>
      </c>
      <c r="J169" s="2">
        <f>_xlfn.XLOOKUP(A169,BAMLC0A4CBBB!A:A,BAMLC0A4CBBB!B:B,"",-1)</f>
        <v>1.77</v>
      </c>
      <c r="K169" s="2">
        <f>_xlfn.XLOOKUP(A169,CPIAUCSL!A:A,CPIAUCSL!B:B,"",-1)</f>
        <v>242.02600000000001</v>
      </c>
      <c r="L169">
        <f>_xlfn.XLOOKUP(A169,DFF!A:A,DFF!B:B,"",-1)</f>
        <v>0.41</v>
      </c>
      <c r="M169">
        <f>_xlfn.XLOOKUP(A169,'DGS2'!A:A,'DGS2'!B:B,"",-1)</f>
        <v>1.0900000000000001</v>
      </c>
      <c r="N169">
        <f t="shared" si="19"/>
        <v>-2.0000000000000018E-2</v>
      </c>
      <c r="O169">
        <f t="shared" si="20"/>
        <v>-2.6534703763845258E-3</v>
      </c>
      <c r="P169">
        <f t="shared" si="21"/>
        <v>0</v>
      </c>
      <c r="Q169">
        <f t="shared" si="22"/>
        <v>0</v>
      </c>
      <c r="R169" s="3">
        <v>45.57</v>
      </c>
    </row>
    <row r="170" spans="1:18">
      <c r="A170" s="1">
        <v>42704</v>
      </c>
      <c r="B170">
        <v>2198.81</v>
      </c>
      <c r="C170">
        <f t="shared" si="16"/>
        <v>-2.6534703763845258E-3</v>
      </c>
      <c r="D170">
        <f t="shared" si="23"/>
        <v>-6.5692276413581441E-3</v>
      </c>
      <c r="E170">
        <f>_xlfn.XLOOKUP(A170,VIX!A:A,VIX!B:B,"",-1)</f>
        <v>13.33</v>
      </c>
      <c r="F170">
        <f t="shared" si="17"/>
        <v>0.42999999999999972</v>
      </c>
      <c r="G170">
        <f>_xlfn.XLOOKUP(A170,'DGS10'!A:A,'DGS10'!B:B,"",-1)</f>
        <v>2.37</v>
      </c>
      <c r="H170">
        <f t="shared" si="18"/>
        <v>7.0000000000000284E-2</v>
      </c>
      <c r="I170" s="2">
        <f>_xlfn.XLOOKUP(A170,T10Y3M!A:A,T10Y3M!B:B,"",-1)</f>
        <v>1.89</v>
      </c>
      <c r="J170" s="2">
        <f>_xlfn.XLOOKUP(A170,BAMLC0A4CBBB!A:A,BAMLC0A4CBBB!B:B,"",-1)</f>
        <v>1.75</v>
      </c>
      <c r="K170" s="2">
        <f>_xlfn.XLOOKUP(A170,CPIAUCSL!A:A,CPIAUCSL!B:B,"",-1)</f>
        <v>242.02600000000001</v>
      </c>
      <c r="L170">
        <f>_xlfn.XLOOKUP(A170,DFF!A:A,DFF!B:B,"",-1)</f>
        <v>0.31</v>
      </c>
      <c r="M170">
        <f>_xlfn.XLOOKUP(A170,'DGS2'!A:A,'DGS2'!B:B,"",-1)</f>
        <v>1.1100000000000001</v>
      </c>
      <c r="N170">
        <f t="shared" si="19"/>
        <v>2.0000000000000018E-2</v>
      </c>
      <c r="O170">
        <f t="shared" si="20"/>
        <v>-3.5155379500729778E-3</v>
      </c>
      <c r="P170">
        <f t="shared" si="21"/>
        <v>0</v>
      </c>
      <c r="Q170">
        <f t="shared" si="22"/>
        <v>-1</v>
      </c>
      <c r="R170" s="3">
        <v>45.42</v>
      </c>
    </row>
    <row r="171" spans="1:18">
      <c r="A171" s="1">
        <v>42705</v>
      </c>
      <c r="B171">
        <v>2191.08</v>
      </c>
      <c r="C171">
        <f t="shared" si="16"/>
        <v>-3.5155379500729778E-3</v>
      </c>
      <c r="D171">
        <f t="shared" si="23"/>
        <v>-4.8325854332067486E-3</v>
      </c>
      <c r="E171">
        <f>_xlfn.XLOOKUP(A171,VIX!A:A,VIX!B:B,"",-1)</f>
        <v>14.07</v>
      </c>
      <c r="F171">
        <f t="shared" si="17"/>
        <v>0.74000000000000021</v>
      </c>
      <c r="G171">
        <f>_xlfn.XLOOKUP(A171,'DGS10'!A:A,'DGS10'!B:B,"",-1)</f>
        <v>2.4500000000000002</v>
      </c>
      <c r="H171">
        <f t="shared" si="18"/>
        <v>8.0000000000000071E-2</v>
      </c>
      <c r="I171" s="2">
        <f>_xlfn.XLOOKUP(A171,T10Y3M!A:A,T10Y3M!B:B,"",-1)</f>
        <v>1.97</v>
      </c>
      <c r="J171" s="2">
        <f>_xlfn.XLOOKUP(A171,BAMLC0A4CBBB!A:A,BAMLC0A4CBBB!B:B,"",-1)</f>
        <v>1.74</v>
      </c>
      <c r="K171" s="2">
        <f>_xlfn.XLOOKUP(A171,CPIAUCSL!A:A,CPIAUCSL!B:B,"",-1)</f>
        <v>242.637</v>
      </c>
      <c r="L171">
        <f>_xlfn.XLOOKUP(A171,DFF!A:A,DFF!B:B,"",-1)</f>
        <v>0.41</v>
      </c>
      <c r="M171">
        <f>_xlfn.XLOOKUP(A171,'DGS2'!A:A,'DGS2'!B:B,"",-1)</f>
        <v>1.1399999999999999</v>
      </c>
      <c r="N171">
        <f t="shared" si="19"/>
        <v>2.9999999999999805E-2</v>
      </c>
      <c r="O171">
        <f t="shared" si="20"/>
        <v>3.9706446136156259E-4</v>
      </c>
      <c r="P171">
        <f t="shared" si="21"/>
        <v>1</v>
      </c>
      <c r="Q171">
        <f t="shared" si="22"/>
        <v>0</v>
      </c>
      <c r="R171" s="3">
        <v>45.69</v>
      </c>
    </row>
    <row r="172" spans="1:18">
      <c r="A172" s="1">
        <v>42706</v>
      </c>
      <c r="B172">
        <v>2191.9499999999998</v>
      </c>
      <c r="C172">
        <f t="shared" si="16"/>
        <v>3.9706446136156259E-4</v>
      </c>
      <c r="D172">
        <f t="shared" si="23"/>
        <v>-5.7650612792902178E-3</v>
      </c>
      <c r="E172">
        <f>_xlfn.XLOOKUP(A172,VIX!A:A,VIX!B:B,"",-1)</f>
        <v>14.12</v>
      </c>
      <c r="F172">
        <f t="shared" si="17"/>
        <v>4.9999999999998934E-2</v>
      </c>
      <c r="G172">
        <f>_xlfn.XLOOKUP(A172,'DGS10'!A:A,'DGS10'!B:B,"",-1)</f>
        <v>2.4</v>
      </c>
      <c r="H172">
        <f t="shared" si="18"/>
        <v>-5.0000000000000266E-2</v>
      </c>
      <c r="I172" s="2">
        <f>_xlfn.XLOOKUP(A172,T10Y3M!A:A,T10Y3M!B:B,"",-1)</f>
        <v>1.91</v>
      </c>
      <c r="J172" s="2">
        <f>_xlfn.XLOOKUP(A172,BAMLC0A4CBBB!A:A,BAMLC0A4CBBB!B:B,"",-1)</f>
        <v>1.74</v>
      </c>
      <c r="K172" s="2">
        <f>_xlfn.XLOOKUP(A172,CPIAUCSL!A:A,CPIAUCSL!B:B,"",-1)</f>
        <v>242.637</v>
      </c>
      <c r="L172">
        <f>_xlfn.XLOOKUP(A172,DFF!A:A,DFF!B:B,"",-1)</f>
        <v>0.41</v>
      </c>
      <c r="M172">
        <f>_xlfn.XLOOKUP(A172,'DGS2'!A:A,'DGS2'!B:B,"",-1)</f>
        <v>1.1100000000000001</v>
      </c>
      <c r="N172">
        <f t="shared" si="19"/>
        <v>-2.9999999999999805E-2</v>
      </c>
      <c r="O172">
        <f t="shared" si="20"/>
        <v>5.8213006683547341E-3</v>
      </c>
      <c r="P172">
        <f t="shared" si="21"/>
        <v>1</v>
      </c>
      <c r="Q172">
        <f t="shared" si="22"/>
        <v>1</v>
      </c>
      <c r="R172" s="3">
        <v>47.49</v>
      </c>
    </row>
    <row r="173" spans="1:18">
      <c r="A173" s="1">
        <v>42709</v>
      </c>
      <c r="B173">
        <v>2204.71</v>
      </c>
      <c r="C173">
        <f t="shared" si="16"/>
        <v>5.8213006683547341E-3</v>
      </c>
      <c r="D173">
        <f t="shared" si="23"/>
        <v>2.6832695867311518E-3</v>
      </c>
      <c r="E173">
        <f>_xlfn.XLOOKUP(A173,VIX!A:A,VIX!B:B,"",-1)</f>
        <v>12.14</v>
      </c>
      <c r="F173">
        <f t="shared" si="17"/>
        <v>-1.9799999999999986</v>
      </c>
      <c r="G173">
        <f>_xlfn.XLOOKUP(A173,'DGS10'!A:A,'DGS10'!B:B,"",-1)</f>
        <v>2.39</v>
      </c>
      <c r="H173">
        <f t="shared" si="18"/>
        <v>-9.9999999999997868E-3</v>
      </c>
      <c r="I173" s="2">
        <f>_xlfn.XLOOKUP(A173,T10Y3M!A:A,T10Y3M!B:B,"",-1)</f>
        <v>1.9</v>
      </c>
      <c r="J173" s="2">
        <f>_xlfn.XLOOKUP(A173,BAMLC0A4CBBB!A:A,BAMLC0A4CBBB!B:B,"",-1)</f>
        <v>1.73</v>
      </c>
      <c r="K173" s="2">
        <f>_xlfn.XLOOKUP(A173,CPIAUCSL!A:A,CPIAUCSL!B:B,"",-1)</f>
        <v>242.637</v>
      </c>
      <c r="L173">
        <f>_xlfn.XLOOKUP(A173,DFF!A:A,DFF!B:B,"",-1)</f>
        <v>0.41</v>
      </c>
      <c r="M173">
        <f>_xlfn.XLOOKUP(A173,'DGS2'!A:A,'DGS2'!B:B,"",-1)</f>
        <v>1.1299999999999999</v>
      </c>
      <c r="N173">
        <f t="shared" si="19"/>
        <v>1.9999999999999796E-2</v>
      </c>
      <c r="O173">
        <f t="shared" si="20"/>
        <v>3.4108794353906458E-3</v>
      </c>
      <c r="P173">
        <f t="shared" si="21"/>
        <v>1</v>
      </c>
      <c r="Q173">
        <f t="shared" si="22"/>
        <v>1</v>
      </c>
      <c r="R173" s="3">
        <v>48.03</v>
      </c>
    </row>
    <row r="174" spans="1:18">
      <c r="A174" s="1">
        <v>42710</v>
      </c>
      <c r="B174">
        <v>2212.23</v>
      </c>
      <c r="C174">
        <f t="shared" si="16"/>
        <v>3.4108794353906458E-3</v>
      </c>
      <c r="D174">
        <f t="shared" si="23"/>
        <v>9.6527739744782792E-3</v>
      </c>
      <c r="E174">
        <f>_xlfn.XLOOKUP(A174,VIX!A:A,VIX!B:B,"",-1)</f>
        <v>11.79</v>
      </c>
      <c r="F174">
        <f t="shared" si="17"/>
        <v>-0.35000000000000142</v>
      </c>
      <c r="G174">
        <f>_xlfn.XLOOKUP(A174,'DGS10'!A:A,'DGS10'!B:B,"",-1)</f>
        <v>2.39</v>
      </c>
      <c r="H174">
        <f t="shared" si="18"/>
        <v>0</v>
      </c>
      <c r="I174" s="2">
        <f>_xlfn.XLOOKUP(A174,T10Y3M!A:A,T10Y3M!B:B,"",-1)</f>
        <v>1.9</v>
      </c>
      <c r="J174" s="2">
        <f>_xlfn.XLOOKUP(A174,BAMLC0A4CBBB!A:A,BAMLC0A4CBBB!B:B,"",-1)</f>
        <v>1.72</v>
      </c>
      <c r="K174" s="2">
        <f>_xlfn.XLOOKUP(A174,CPIAUCSL!A:A,CPIAUCSL!B:B,"",-1)</f>
        <v>242.637</v>
      </c>
      <c r="L174">
        <f>_xlfn.XLOOKUP(A174,DFF!A:A,DFF!B:B,"",-1)</f>
        <v>0.41</v>
      </c>
      <c r="M174">
        <f>_xlfn.XLOOKUP(A174,'DGS2'!A:A,'DGS2'!B:B,"",-1)</f>
        <v>1.1200000000000001</v>
      </c>
      <c r="N174">
        <f t="shared" si="19"/>
        <v>-9.9999999999997868E-3</v>
      </c>
      <c r="O174">
        <f t="shared" si="20"/>
        <v>1.3163188276083426E-2</v>
      </c>
      <c r="P174">
        <f t="shared" si="21"/>
        <v>1</v>
      </c>
      <c r="Q174">
        <f t="shared" si="22"/>
        <v>1</v>
      </c>
      <c r="R174" s="3">
        <v>47.96</v>
      </c>
    </row>
    <row r="175" spans="1:18">
      <c r="A175" s="1">
        <v>42711</v>
      </c>
      <c r="B175">
        <v>2241.35</v>
      </c>
      <c r="C175">
        <f t="shared" si="16"/>
        <v>1.3163188276083426E-2</v>
      </c>
      <c r="D175">
        <f t="shared" si="23"/>
        <v>2.2537010424507953E-2</v>
      </c>
      <c r="E175">
        <f>_xlfn.XLOOKUP(A175,VIX!A:A,VIX!B:B,"",-1)</f>
        <v>12.22</v>
      </c>
      <c r="F175">
        <f t="shared" si="17"/>
        <v>0.43000000000000149</v>
      </c>
      <c r="G175">
        <f>_xlfn.XLOOKUP(A175,'DGS10'!A:A,'DGS10'!B:B,"",-1)</f>
        <v>2.34</v>
      </c>
      <c r="H175">
        <f t="shared" si="18"/>
        <v>-5.0000000000000266E-2</v>
      </c>
      <c r="I175" s="2">
        <f>_xlfn.XLOOKUP(A175,T10Y3M!A:A,T10Y3M!B:B,"",-1)</f>
        <v>1.82</v>
      </c>
      <c r="J175" s="2">
        <f>_xlfn.XLOOKUP(A175,BAMLC0A4CBBB!A:A,BAMLC0A4CBBB!B:B,"",-1)</f>
        <v>1.72</v>
      </c>
      <c r="K175" s="2">
        <f>_xlfn.XLOOKUP(A175,CPIAUCSL!A:A,CPIAUCSL!B:B,"",-1)</f>
        <v>242.637</v>
      </c>
      <c r="L175">
        <f>_xlfn.XLOOKUP(A175,DFF!A:A,DFF!B:B,"",-1)</f>
        <v>0.41</v>
      </c>
      <c r="M175">
        <f>_xlfn.XLOOKUP(A175,'DGS2'!A:A,'DGS2'!B:B,"",-1)</f>
        <v>1.1000000000000001</v>
      </c>
      <c r="N175">
        <f t="shared" si="19"/>
        <v>-2.0000000000000018E-2</v>
      </c>
      <c r="O175">
        <f t="shared" si="20"/>
        <v>2.159412853860454E-3</v>
      </c>
      <c r="P175">
        <f t="shared" si="21"/>
        <v>1</v>
      </c>
      <c r="Q175">
        <f t="shared" si="22"/>
        <v>0</v>
      </c>
      <c r="R175" s="3">
        <v>47.98</v>
      </c>
    </row>
    <row r="176" spans="1:18">
      <c r="A176" s="1">
        <v>42712</v>
      </c>
      <c r="B176">
        <v>2246.19</v>
      </c>
      <c r="C176">
        <f t="shared" si="16"/>
        <v>2.159412853860454E-3</v>
      </c>
      <c r="D176">
        <f t="shared" si="23"/>
        <v>1.8814265821808673E-2</v>
      </c>
      <c r="E176">
        <f>_xlfn.XLOOKUP(A176,VIX!A:A,VIX!B:B,"",-1)</f>
        <v>12.64</v>
      </c>
      <c r="F176">
        <f t="shared" si="17"/>
        <v>0.41999999999999993</v>
      </c>
      <c r="G176">
        <f>_xlfn.XLOOKUP(A176,'DGS10'!A:A,'DGS10'!B:B,"",-1)</f>
        <v>2.4</v>
      </c>
      <c r="H176">
        <f t="shared" si="18"/>
        <v>6.0000000000000053E-2</v>
      </c>
      <c r="I176" s="2">
        <f>_xlfn.XLOOKUP(A176,T10Y3M!A:A,T10Y3M!B:B,"",-1)</f>
        <v>1.89</v>
      </c>
      <c r="J176" s="2">
        <f>_xlfn.XLOOKUP(A176,BAMLC0A4CBBB!A:A,BAMLC0A4CBBB!B:B,"",-1)</f>
        <v>1.71</v>
      </c>
      <c r="K176" s="2">
        <f>_xlfn.XLOOKUP(A176,CPIAUCSL!A:A,CPIAUCSL!B:B,"",-1)</f>
        <v>242.637</v>
      </c>
      <c r="L176">
        <f>_xlfn.XLOOKUP(A176,DFF!A:A,DFF!B:B,"",-1)</f>
        <v>0.41</v>
      </c>
      <c r="M176">
        <f>_xlfn.XLOOKUP(A176,'DGS2'!A:A,'DGS2'!B:B,"",-1)</f>
        <v>1.1200000000000001</v>
      </c>
      <c r="N176">
        <f t="shared" si="19"/>
        <v>2.0000000000000018E-2</v>
      </c>
      <c r="O176">
        <f t="shared" si="20"/>
        <v>5.9389455032745619E-3</v>
      </c>
      <c r="P176">
        <f t="shared" si="21"/>
        <v>1</v>
      </c>
      <c r="Q176">
        <f t="shared" si="22"/>
        <v>1</v>
      </c>
      <c r="R176" s="3">
        <v>46.06</v>
      </c>
    </row>
    <row r="177" spans="1:18">
      <c r="A177" s="1">
        <v>42713</v>
      </c>
      <c r="B177">
        <v>2259.5300000000002</v>
      </c>
      <c r="C177">
        <f t="shared" si="16"/>
        <v>5.9389455032745619E-3</v>
      </c>
      <c r="D177">
        <f t="shared" si="23"/>
        <v>2.1381140297347168E-2</v>
      </c>
      <c r="E177">
        <f>_xlfn.XLOOKUP(A177,VIX!A:A,VIX!B:B,"",-1)</f>
        <v>11.75</v>
      </c>
      <c r="F177">
        <f t="shared" si="17"/>
        <v>-0.89000000000000057</v>
      </c>
      <c r="G177">
        <f>_xlfn.XLOOKUP(A177,'DGS10'!A:A,'DGS10'!B:B,"",-1)</f>
        <v>2.4700000000000002</v>
      </c>
      <c r="H177">
        <f t="shared" si="18"/>
        <v>7.0000000000000284E-2</v>
      </c>
      <c r="I177" s="2">
        <f>_xlfn.XLOOKUP(A177,T10Y3M!A:A,T10Y3M!B:B,"",-1)</f>
        <v>1.93</v>
      </c>
      <c r="J177" s="2">
        <f>_xlfn.XLOOKUP(A177,BAMLC0A4CBBB!A:A,BAMLC0A4CBBB!B:B,"",-1)</f>
        <v>1.7</v>
      </c>
      <c r="K177" s="2">
        <f>_xlfn.XLOOKUP(A177,CPIAUCSL!A:A,CPIAUCSL!B:B,"",-1)</f>
        <v>242.637</v>
      </c>
      <c r="L177">
        <f>_xlfn.XLOOKUP(A177,DFF!A:A,DFF!B:B,"",-1)</f>
        <v>0.41</v>
      </c>
      <c r="M177">
        <f>_xlfn.XLOOKUP(A177,'DGS2'!A:A,'DGS2'!B:B,"",-1)</f>
        <v>1.1499999999999999</v>
      </c>
      <c r="N177">
        <f t="shared" si="19"/>
        <v>2.9999999999999805E-2</v>
      </c>
      <c r="O177">
        <f t="shared" si="20"/>
        <v>-1.1374046815045835E-3</v>
      </c>
      <c r="P177">
        <f t="shared" si="21"/>
        <v>0</v>
      </c>
      <c r="Q177">
        <f t="shared" si="22"/>
        <v>0</v>
      </c>
      <c r="R177" s="3">
        <v>47.08</v>
      </c>
    </row>
    <row r="178" spans="1:18">
      <c r="A178" s="1">
        <v>42716</v>
      </c>
      <c r="B178">
        <v>2256.96</v>
      </c>
      <c r="C178">
        <f t="shared" si="16"/>
        <v>-1.1374046815045835E-3</v>
      </c>
      <c r="D178">
        <f t="shared" si="23"/>
        <v>6.9645526133803592E-3</v>
      </c>
      <c r="E178">
        <f>_xlfn.XLOOKUP(A178,VIX!A:A,VIX!B:B,"",-1)</f>
        <v>12.64</v>
      </c>
      <c r="F178">
        <f t="shared" si="17"/>
        <v>0.89000000000000057</v>
      </c>
      <c r="G178">
        <f>_xlfn.XLOOKUP(A178,'DGS10'!A:A,'DGS10'!B:B,"",-1)</f>
        <v>2.4900000000000002</v>
      </c>
      <c r="H178">
        <f t="shared" si="18"/>
        <v>2.0000000000000018E-2</v>
      </c>
      <c r="I178" s="2">
        <f>_xlfn.XLOOKUP(A178,T10Y3M!A:A,T10Y3M!B:B,"",-1)</f>
        <v>1.98</v>
      </c>
      <c r="J178" s="2">
        <f>_xlfn.XLOOKUP(A178,BAMLC0A4CBBB!A:A,BAMLC0A4CBBB!B:B,"",-1)</f>
        <v>1.7</v>
      </c>
      <c r="K178" s="2">
        <f>_xlfn.XLOOKUP(A178,CPIAUCSL!A:A,CPIAUCSL!B:B,"",-1)</f>
        <v>242.637</v>
      </c>
      <c r="L178">
        <f>_xlfn.XLOOKUP(A178,DFF!A:A,DFF!B:B,"",-1)</f>
        <v>0.41</v>
      </c>
      <c r="M178">
        <f>_xlfn.XLOOKUP(A178,'DGS2'!A:A,'DGS2'!B:B,"",-1)</f>
        <v>1.1499999999999999</v>
      </c>
      <c r="N178">
        <f t="shared" si="19"/>
        <v>0</v>
      </c>
      <c r="O178">
        <f t="shared" si="20"/>
        <v>6.5397703105061211E-3</v>
      </c>
      <c r="P178">
        <f t="shared" si="21"/>
        <v>1</v>
      </c>
      <c r="Q178">
        <f t="shared" si="22"/>
        <v>1</v>
      </c>
      <c r="R178" s="3">
        <v>45.23</v>
      </c>
    </row>
    <row r="179" spans="1:18">
      <c r="A179" s="1">
        <v>42717</v>
      </c>
      <c r="B179">
        <v>2271.7199999999998</v>
      </c>
      <c r="C179">
        <f t="shared" si="16"/>
        <v>6.5397703105061211E-3</v>
      </c>
      <c r="D179">
        <f t="shared" si="23"/>
        <v>1.1365912945921597E-2</v>
      </c>
      <c r="E179">
        <f>_xlfn.XLOOKUP(A179,VIX!A:A,VIX!B:B,"",-1)</f>
        <v>12.72</v>
      </c>
      <c r="F179">
        <f t="shared" si="17"/>
        <v>8.0000000000000071E-2</v>
      </c>
      <c r="G179">
        <f>_xlfn.XLOOKUP(A179,'DGS10'!A:A,'DGS10'!B:B,"",-1)</f>
        <v>2.48</v>
      </c>
      <c r="H179">
        <f t="shared" si="18"/>
        <v>-1.0000000000000231E-2</v>
      </c>
      <c r="I179" s="2">
        <f>_xlfn.XLOOKUP(A179,T10Y3M!A:A,T10Y3M!B:B,"",-1)</f>
        <v>1.94</v>
      </c>
      <c r="J179" s="2">
        <f>_xlfn.XLOOKUP(A179,BAMLC0A4CBBB!A:A,BAMLC0A4CBBB!B:B,"",-1)</f>
        <v>1.68</v>
      </c>
      <c r="K179" s="2">
        <f>_xlfn.XLOOKUP(A179,CPIAUCSL!A:A,CPIAUCSL!B:B,"",-1)</f>
        <v>242.637</v>
      </c>
      <c r="L179">
        <f>_xlfn.XLOOKUP(A179,DFF!A:A,DFF!B:B,"",-1)</f>
        <v>0.41</v>
      </c>
      <c r="M179">
        <f>_xlfn.XLOOKUP(A179,'DGS2'!A:A,'DGS2'!B:B,"",-1)</f>
        <v>1.17</v>
      </c>
      <c r="N179">
        <f t="shared" si="19"/>
        <v>2.0000000000000018E-2</v>
      </c>
      <c r="O179">
        <f t="shared" si="20"/>
        <v>-8.1171975419503939E-3</v>
      </c>
      <c r="P179">
        <f t="shared" si="21"/>
        <v>0</v>
      </c>
      <c r="Q179">
        <f t="shared" si="22"/>
        <v>-1</v>
      </c>
      <c r="R179" s="3">
        <v>49.44</v>
      </c>
    </row>
    <row r="180" spans="1:18">
      <c r="A180" s="1">
        <v>42718</v>
      </c>
      <c r="B180">
        <v>2253.2800000000002</v>
      </c>
      <c r="C180">
        <f t="shared" si="16"/>
        <v>-8.1171975419503939E-3</v>
      </c>
      <c r="D180">
        <f t="shared" si="23"/>
        <v>-2.7660619686394883E-3</v>
      </c>
      <c r="E180">
        <f>_xlfn.XLOOKUP(A180,VIX!A:A,VIX!B:B,"",-1)</f>
        <v>13.19</v>
      </c>
      <c r="F180">
        <f t="shared" si="17"/>
        <v>0.46999999999999886</v>
      </c>
      <c r="G180">
        <f>_xlfn.XLOOKUP(A180,'DGS10'!A:A,'DGS10'!B:B,"",-1)</f>
        <v>2.54</v>
      </c>
      <c r="H180">
        <f t="shared" si="18"/>
        <v>6.0000000000000053E-2</v>
      </c>
      <c r="I180" s="2">
        <f>_xlfn.XLOOKUP(A180,T10Y3M!A:A,T10Y3M!B:B,"",-1)</f>
        <v>1.99</v>
      </c>
      <c r="J180" s="2">
        <f>_xlfn.XLOOKUP(A180,BAMLC0A4CBBB!A:A,BAMLC0A4CBBB!B:B,"",-1)</f>
        <v>1.66</v>
      </c>
      <c r="K180" s="2">
        <f>_xlfn.XLOOKUP(A180,CPIAUCSL!A:A,CPIAUCSL!B:B,"",-1)</f>
        <v>242.637</v>
      </c>
      <c r="L180">
        <f>_xlfn.XLOOKUP(A180,DFF!A:A,DFF!B:B,"",-1)</f>
        <v>0.41</v>
      </c>
      <c r="M180">
        <f>_xlfn.XLOOKUP(A180,'DGS2'!A:A,'DGS2'!B:B,"",-1)</f>
        <v>1.27</v>
      </c>
      <c r="N180">
        <f t="shared" si="19"/>
        <v>0.10000000000000009</v>
      </c>
      <c r="O180">
        <f t="shared" si="20"/>
        <v>3.8832280053966439E-3</v>
      </c>
      <c r="P180">
        <f t="shared" si="21"/>
        <v>1</v>
      </c>
      <c r="Q180">
        <f t="shared" si="22"/>
        <v>1</v>
      </c>
      <c r="R180" s="3">
        <v>51.06</v>
      </c>
    </row>
    <row r="181" spans="1:18">
      <c r="A181" s="1">
        <v>42719</v>
      </c>
      <c r="B181">
        <v>2262.0300000000002</v>
      </c>
      <c r="C181">
        <f t="shared" si="16"/>
        <v>3.8832280053966439E-3</v>
      </c>
      <c r="D181">
        <f t="shared" si="23"/>
        <v>2.2463845172266961E-3</v>
      </c>
      <c r="E181">
        <f>_xlfn.XLOOKUP(A181,VIX!A:A,VIX!B:B,"",-1)</f>
        <v>12.79</v>
      </c>
      <c r="F181">
        <f t="shared" si="17"/>
        <v>-0.40000000000000036</v>
      </c>
      <c r="G181">
        <f>_xlfn.XLOOKUP(A181,'DGS10'!A:A,'DGS10'!B:B,"",-1)</f>
        <v>2.6</v>
      </c>
      <c r="H181">
        <f t="shared" si="18"/>
        <v>6.0000000000000053E-2</v>
      </c>
      <c r="I181" s="2">
        <f>_xlfn.XLOOKUP(A181,T10Y3M!A:A,T10Y3M!B:B,"",-1)</f>
        <v>2.09</v>
      </c>
      <c r="J181" s="2">
        <f>_xlfn.XLOOKUP(A181,BAMLC0A4CBBB!A:A,BAMLC0A4CBBB!B:B,"",-1)</f>
        <v>1.66</v>
      </c>
      <c r="K181" s="2">
        <f>_xlfn.XLOOKUP(A181,CPIAUCSL!A:A,CPIAUCSL!B:B,"",-1)</f>
        <v>242.637</v>
      </c>
      <c r="L181">
        <f>_xlfn.XLOOKUP(A181,DFF!A:A,DFF!B:B,"",-1)</f>
        <v>0.66</v>
      </c>
      <c r="M181">
        <f>_xlfn.XLOOKUP(A181,'DGS2'!A:A,'DGS2'!B:B,"",-1)</f>
        <v>1.29</v>
      </c>
      <c r="N181">
        <f t="shared" si="19"/>
        <v>2.0000000000000018E-2</v>
      </c>
      <c r="O181">
        <f t="shared" si="20"/>
        <v>-1.7506399119374683E-3</v>
      </c>
      <c r="P181">
        <f t="shared" si="21"/>
        <v>0</v>
      </c>
      <c r="Q181">
        <f t="shared" si="22"/>
        <v>0</v>
      </c>
      <c r="R181" s="3">
        <v>51.68</v>
      </c>
    </row>
    <row r="182" spans="1:18">
      <c r="A182" s="1">
        <v>42720</v>
      </c>
      <c r="B182">
        <v>2258.0700000000002</v>
      </c>
      <c r="C182">
        <f t="shared" si="16"/>
        <v>-1.7506399119374683E-3</v>
      </c>
      <c r="D182">
        <f t="shared" si="23"/>
        <v>-6.0086630394589058E-3</v>
      </c>
      <c r="E182">
        <f>_xlfn.XLOOKUP(A182,VIX!A:A,VIX!B:B,"",-1)</f>
        <v>12.2</v>
      </c>
      <c r="F182">
        <f t="shared" si="17"/>
        <v>-0.58999999999999986</v>
      </c>
      <c r="G182">
        <f>_xlfn.XLOOKUP(A182,'DGS10'!A:A,'DGS10'!B:B,"",-1)</f>
        <v>2.6</v>
      </c>
      <c r="H182">
        <f t="shared" si="18"/>
        <v>0</v>
      </c>
      <c r="I182" s="2">
        <f>_xlfn.XLOOKUP(A182,T10Y3M!A:A,T10Y3M!B:B,"",-1)</f>
        <v>2.09</v>
      </c>
      <c r="J182" s="2">
        <f>_xlfn.XLOOKUP(A182,BAMLC0A4CBBB!A:A,BAMLC0A4CBBB!B:B,"",-1)</f>
        <v>1.66</v>
      </c>
      <c r="K182" s="2">
        <f>_xlfn.XLOOKUP(A182,CPIAUCSL!A:A,CPIAUCSL!B:B,"",-1)</f>
        <v>242.637</v>
      </c>
      <c r="L182">
        <f>_xlfn.XLOOKUP(A182,DFF!A:A,DFF!B:B,"",-1)</f>
        <v>0.66</v>
      </c>
      <c r="M182">
        <f>_xlfn.XLOOKUP(A182,'DGS2'!A:A,'DGS2'!B:B,"",-1)</f>
        <v>1.28</v>
      </c>
      <c r="N182">
        <f t="shared" si="19"/>
        <v>-1.0000000000000009E-2</v>
      </c>
      <c r="O182">
        <f t="shared" si="20"/>
        <v>1.975138060378967E-3</v>
      </c>
      <c r="P182">
        <f t="shared" si="21"/>
        <v>1</v>
      </c>
      <c r="Q182">
        <f t="shared" si="22"/>
        <v>0</v>
      </c>
      <c r="R182" s="3">
        <v>51.79</v>
      </c>
    </row>
    <row r="183" spans="1:18">
      <c r="A183" s="1">
        <v>42723</v>
      </c>
      <c r="B183">
        <v>2262.5300000000002</v>
      </c>
      <c r="C183">
        <f t="shared" si="16"/>
        <v>1.975138060378967E-3</v>
      </c>
      <c r="D183">
        <f t="shared" si="23"/>
        <v>4.1051267485621157E-3</v>
      </c>
      <c r="E183">
        <f>_xlfn.XLOOKUP(A183,VIX!A:A,VIX!B:B,"",-1)</f>
        <v>11.71</v>
      </c>
      <c r="F183">
        <f t="shared" si="17"/>
        <v>-0.48999999999999844</v>
      </c>
      <c r="G183">
        <f>_xlfn.XLOOKUP(A183,'DGS10'!A:A,'DGS10'!B:B,"",-1)</f>
        <v>2.54</v>
      </c>
      <c r="H183">
        <f t="shared" si="18"/>
        <v>-6.0000000000000053E-2</v>
      </c>
      <c r="I183" s="2">
        <f>_xlfn.XLOOKUP(A183,T10Y3M!A:A,T10Y3M!B:B,"",-1)</f>
        <v>2.02</v>
      </c>
      <c r="J183" s="2">
        <f>_xlfn.XLOOKUP(A183,BAMLC0A4CBBB!A:A,BAMLC0A4CBBB!B:B,"",-1)</f>
        <v>1.66</v>
      </c>
      <c r="K183" s="2">
        <f>_xlfn.XLOOKUP(A183,CPIAUCSL!A:A,CPIAUCSL!B:B,"",-1)</f>
        <v>242.637</v>
      </c>
      <c r="L183">
        <f>_xlfn.XLOOKUP(A183,DFF!A:A,DFF!B:B,"",-1)</f>
        <v>0.66</v>
      </c>
      <c r="M183">
        <f>_xlfn.XLOOKUP(A183,'DGS2'!A:A,'DGS2'!B:B,"",-1)</f>
        <v>1.24</v>
      </c>
      <c r="N183">
        <f t="shared" si="19"/>
        <v>-4.0000000000000036E-2</v>
      </c>
      <c r="O183">
        <f t="shared" si="20"/>
        <v>3.6375208284531446E-3</v>
      </c>
      <c r="P183">
        <f t="shared" si="21"/>
        <v>1</v>
      </c>
      <c r="Q183">
        <f t="shared" si="22"/>
        <v>1</v>
      </c>
      <c r="R183" s="3">
        <v>50.93</v>
      </c>
    </row>
    <row r="184" spans="1:18">
      <c r="A184" s="1">
        <v>42724</v>
      </c>
      <c r="B184">
        <v>2270.7600000000002</v>
      </c>
      <c r="C184">
        <f t="shared" si="16"/>
        <v>3.6375208284531446E-3</v>
      </c>
      <c r="D184">
        <f t="shared" si="23"/>
        <v>3.8593652604077544E-3</v>
      </c>
      <c r="E184">
        <f>_xlfn.XLOOKUP(A184,VIX!A:A,VIX!B:B,"",-1)</f>
        <v>11.45</v>
      </c>
      <c r="F184">
        <f t="shared" si="17"/>
        <v>-0.26000000000000156</v>
      </c>
      <c r="G184">
        <f>_xlfn.XLOOKUP(A184,'DGS10'!A:A,'DGS10'!B:B,"",-1)</f>
        <v>2.57</v>
      </c>
      <c r="H184">
        <f t="shared" si="18"/>
        <v>2.9999999999999805E-2</v>
      </c>
      <c r="I184" s="2">
        <f>_xlfn.XLOOKUP(A184,T10Y3M!A:A,T10Y3M!B:B,"",-1)</f>
        <v>2.0499999999999998</v>
      </c>
      <c r="J184" s="2">
        <f>_xlfn.XLOOKUP(A184,BAMLC0A4CBBB!A:A,BAMLC0A4CBBB!B:B,"",-1)</f>
        <v>1.65</v>
      </c>
      <c r="K184" s="2">
        <f>_xlfn.XLOOKUP(A184,CPIAUCSL!A:A,CPIAUCSL!B:B,"",-1)</f>
        <v>242.637</v>
      </c>
      <c r="L184">
        <f>_xlfn.XLOOKUP(A184,DFF!A:A,DFF!B:B,"",-1)</f>
        <v>0.66</v>
      </c>
      <c r="M184">
        <f>_xlfn.XLOOKUP(A184,'DGS2'!A:A,'DGS2'!B:B,"",-1)</f>
        <v>1.25</v>
      </c>
      <c r="N184">
        <f t="shared" si="19"/>
        <v>1.0000000000000009E-2</v>
      </c>
      <c r="O184">
        <f t="shared" si="20"/>
        <v>-2.4573270623052812E-3</v>
      </c>
      <c r="P184">
        <f t="shared" si="21"/>
        <v>0</v>
      </c>
      <c r="Q184">
        <f t="shared" si="22"/>
        <v>0</v>
      </c>
      <c r="R184" s="3">
        <v>49.77</v>
      </c>
    </row>
    <row r="185" spans="1:18">
      <c r="A185" s="1">
        <v>42725</v>
      </c>
      <c r="B185">
        <v>2265.1799999999998</v>
      </c>
      <c r="C185">
        <f t="shared" si="16"/>
        <v>-2.4573270623052812E-3</v>
      </c>
      <c r="D185">
        <f t="shared" si="23"/>
        <v>3.1487066388551366E-3</v>
      </c>
      <c r="E185">
        <f>_xlfn.XLOOKUP(A185,VIX!A:A,VIX!B:B,"",-1)</f>
        <v>11.27</v>
      </c>
      <c r="F185">
        <f t="shared" si="17"/>
        <v>-0.17999999999999972</v>
      </c>
      <c r="G185">
        <f>_xlfn.XLOOKUP(A185,'DGS10'!A:A,'DGS10'!B:B,"",-1)</f>
        <v>2.5499999999999998</v>
      </c>
      <c r="H185">
        <f t="shared" si="18"/>
        <v>-2.0000000000000018E-2</v>
      </c>
      <c r="I185" s="2">
        <f>_xlfn.XLOOKUP(A185,T10Y3M!A:A,T10Y3M!B:B,"",-1)</f>
        <v>2.0299999999999998</v>
      </c>
      <c r="J185" s="2">
        <f>_xlfn.XLOOKUP(A185,BAMLC0A4CBBB!A:A,BAMLC0A4CBBB!B:B,"",-1)</f>
        <v>1.65</v>
      </c>
      <c r="K185" s="2">
        <f>_xlfn.XLOOKUP(A185,CPIAUCSL!A:A,CPIAUCSL!B:B,"",-1)</f>
        <v>242.637</v>
      </c>
      <c r="L185">
        <f>_xlfn.XLOOKUP(A185,DFF!A:A,DFF!B:B,"",-1)</f>
        <v>0.66</v>
      </c>
      <c r="M185">
        <f>_xlfn.XLOOKUP(A185,'DGS2'!A:A,'DGS2'!B:B,"",-1)</f>
        <v>1.21</v>
      </c>
      <c r="N185">
        <f t="shared" si="19"/>
        <v>-4.0000000000000036E-2</v>
      </c>
      <c r="O185">
        <f t="shared" si="20"/>
        <v>-1.8629866059208799E-3</v>
      </c>
      <c r="P185">
        <f t="shared" si="21"/>
        <v>0</v>
      </c>
      <c r="Q185">
        <f t="shared" si="22"/>
        <v>0</v>
      </c>
      <c r="R185" s="3">
        <v>50.84</v>
      </c>
    </row>
    <row r="186" spans="1:18">
      <c r="A186" s="1">
        <v>42726</v>
      </c>
      <c r="B186">
        <v>2260.96</v>
      </c>
      <c r="C186">
        <f t="shared" si="16"/>
        <v>-1.8629866059208799E-3</v>
      </c>
      <c r="D186">
        <f t="shared" si="23"/>
        <v>-6.9391345087144174E-4</v>
      </c>
      <c r="E186">
        <f>_xlfn.XLOOKUP(A186,VIX!A:A,VIX!B:B,"",-1)</f>
        <v>11.43</v>
      </c>
      <c r="F186">
        <f t="shared" si="17"/>
        <v>0.16000000000000014</v>
      </c>
      <c r="G186">
        <f>_xlfn.XLOOKUP(A186,'DGS10'!A:A,'DGS10'!B:B,"",-1)</f>
        <v>2.5499999999999998</v>
      </c>
      <c r="H186">
        <f t="shared" si="18"/>
        <v>0</v>
      </c>
      <c r="I186" s="2">
        <f>_xlfn.XLOOKUP(A186,T10Y3M!A:A,T10Y3M!B:B,"",-1)</f>
        <v>2.04</v>
      </c>
      <c r="J186" s="2">
        <f>_xlfn.XLOOKUP(A186,BAMLC0A4CBBB!A:A,BAMLC0A4CBBB!B:B,"",-1)</f>
        <v>1.64</v>
      </c>
      <c r="K186" s="2">
        <f>_xlfn.XLOOKUP(A186,CPIAUCSL!A:A,CPIAUCSL!B:B,"",-1)</f>
        <v>242.637</v>
      </c>
      <c r="L186">
        <f>_xlfn.XLOOKUP(A186,DFF!A:A,DFF!B:B,"",-1)</f>
        <v>0.66</v>
      </c>
      <c r="M186">
        <f>_xlfn.XLOOKUP(A186,'DGS2'!A:A,'DGS2'!B:B,"",-1)</f>
        <v>1.22</v>
      </c>
      <c r="N186">
        <f t="shared" si="19"/>
        <v>1.0000000000000009E-2</v>
      </c>
      <c r="O186">
        <f t="shared" si="20"/>
        <v>1.2516807020026555E-3</v>
      </c>
      <c r="P186">
        <f t="shared" si="21"/>
        <v>1</v>
      </c>
      <c r="Q186">
        <f t="shared" si="22"/>
        <v>0</v>
      </c>
      <c r="R186" s="3">
        <v>51.5</v>
      </c>
    </row>
    <row r="187" spans="1:18">
      <c r="A187" s="1">
        <v>42727</v>
      </c>
      <c r="B187">
        <v>2263.79</v>
      </c>
      <c r="C187">
        <f t="shared" si="16"/>
        <v>1.2516807020026555E-3</v>
      </c>
      <c r="D187">
        <f t="shared" si="23"/>
        <v>-3.0694569219117396E-3</v>
      </c>
      <c r="E187">
        <f>_xlfn.XLOOKUP(A187,VIX!A:A,VIX!B:B,"",-1)</f>
        <v>11.44</v>
      </c>
      <c r="F187">
        <f t="shared" si="17"/>
        <v>9.9999999999997868E-3</v>
      </c>
      <c r="G187">
        <f>_xlfn.XLOOKUP(A187,'DGS10'!A:A,'DGS10'!B:B,"",-1)</f>
        <v>2.5499999999999998</v>
      </c>
      <c r="H187">
        <f t="shared" si="18"/>
        <v>0</v>
      </c>
      <c r="I187" s="2">
        <f>_xlfn.XLOOKUP(A187,T10Y3M!A:A,T10Y3M!B:B,"",-1)</f>
        <v>2.0299999999999998</v>
      </c>
      <c r="J187" s="2">
        <f>_xlfn.XLOOKUP(A187,BAMLC0A4CBBB!A:A,BAMLC0A4CBBB!B:B,"",-1)</f>
        <v>1.64</v>
      </c>
      <c r="K187" s="2">
        <f>_xlfn.XLOOKUP(A187,CPIAUCSL!A:A,CPIAUCSL!B:B,"",-1)</f>
        <v>242.637</v>
      </c>
      <c r="L187">
        <f>_xlfn.XLOOKUP(A187,DFF!A:A,DFF!B:B,"",-1)</f>
        <v>0.66</v>
      </c>
      <c r="M187">
        <f>_xlfn.XLOOKUP(A187,'DGS2'!A:A,'DGS2'!B:B,"",-1)</f>
        <v>1.22</v>
      </c>
      <c r="N187">
        <f t="shared" si="19"/>
        <v>0</v>
      </c>
      <c r="O187">
        <f t="shared" si="20"/>
        <v>2.248441772426002E-3</v>
      </c>
      <c r="P187">
        <f t="shared" si="21"/>
        <v>1</v>
      </c>
      <c r="Q187">
        <f t="shared" si="22"/>
        <v>0</v>
      </c>
      <c r="R187" s="3">
        <v>52.83</v>
      </c>
    </row>
    <row r="188" spans="1:18">
      <c r="A188" s="1">
        <v>42731</v>
      </c>
      <c r="B188">
        <v>2268.88</v>
      </c>
      <c r="C188">
        <f t="shared" si="16"/>
        <v>2.248441772426002E-3</v>
      </c>
      <c r="D188">
        <f t="shared" si="23"/>
        <v>1.6334242753337502E-3</v>
      </c>
      <c r="E188">
        <f>_xlfn.XLOOKUP(A188,VIX!A:A,VIX!B:B,"",-1)</f>
        <v>11.99</v>
      </c>
      <c r="F188">
        <f t="shared" si="17"/>
        <v>0.55000000000000071</v>
      </c>
      <c r="G188">
        <f>_xlfn.XLOOKUP(A188,'DGS10'!A:A,'DGS10'!B:B,"",-1)</f>
        <v>2.57</v>
      </c>
      <c r="H188">
        <f t="shared" si="18"/>
        <v>2.0000000000000018E-2</v>
      </c>
      <c r="I188" s="2">
        <f>_xlfn.XLOOKUP(A188,T10Y3M!A:A,T10Y3M!B:B,"",-1)</f>
        <v>2.06</v>
      </c>
      <c r="J188" s="2">
        <f>_xlfn.XLOOKUP(A188,BAMLC0A4CBBB!A:A,BAMLC0A4CBBB!B:B,"",-1)</f>
        <v>1.64</v>
      </c>
      <c r="K188" s="2">
        <f>_xlfn.XLOOKUP(A188,CPIAUCSL!A:A,CPIAUCSL!B:B,"",-1)</f>
        <v>242.637</v>
      </c>
      <c r="L188">
        <f>_xlfn.XLOOKUP(A188,DFF!A:A,DFF!B:B,"",-1)</f>
        <v>0.66</v>
      </c>
      <c r="M188">
        <f>_xlfn.XLOOKUP(A188,'DGS2'!A:A,'DGS2'!B:B,"",-1)</f>
        <v>1.28</v>
      </c>
      <c r="N188">
        <f t="shared" si="19"/>
        <v>6.0000000000000053E-2</v>
      </c>
      <c r="O188">
        <f t="shared" si="20"/>
        <v>-8.3565459610027704E-3</v>
      </c>
      <c r="P188">
        <f t="shared" si="21"/>
        <v>0</v>
      </c>
      <c r="Q188">
        <f t="shared" si="22"/>
        <v>-1</v>
      </c>
      <c r="R188" s="3">
        <v>52.98</v>
      </c>
    </row>
    <row r="189" spans="1:18">
      <c r="A189" s="1">
        <v>42732</v>
      </c>
      <c r="B189">
        <v>2249.92</v>
      </c>
      <c r="C189">
        <f t="shared" si="16"/>
        <v>-8.3565459610027704E-3</v>
      </c>
      <c r="D189">
        <f t="shared" si="23"/>
        <v>-4.8828816078125836E-3</v>
      </c>
      <c r="E189">
        <f>_xlfn.XLOOKUP(A189,VIX!A:A,VIX!B:B,"",-1)</f>
        <v>12.95</v>
      </c>
      <c r="F189">
        <f t="shared" si="17"/>
        <v>0.95999999999999908</v>
      </c>
      <c r="G189">
        <f>_xlfn.XLOOKUP(A189,'DGS10'!A:A,'DGS10'!B:B,"",-1)</f>
        <v>2.5099999999999998</v>
      </c>
      <c r="H189">
        <f t="shared" si="18"/>
        <v>-6.0000000000000053E-2</v>
      </c>
      <c r="I189" s="2">
        <f>_xlfn.XLOOKUP(A189,T10Y3M!A:A,T10Y3M!B:B,"",-1)</f>
        <v>1.98</v>
      </c>
      <c r="J189" s="2">
        <f>_xlfn.XLOOKUP(A189,BAMLC0A4CBBB!A:A,BAMLC0A4CBBB!B:B,"",-1)</f>
        <v>1.64</v>
      </c>
      <c r="K189" s="2">
        <f>_xlfn.XLOOKUP(A189,CPIAUCSL!A:A,CPIAUCSL!B:B,"",-1)</f>
        <v>242.637</v>
      </c>
      <c r="L189">
        <f>_xlfn.XLOOKUP(A189,DFF!A:A,DFF!B:B,"",-1)</f>
        <v>0.66</v>
      </c>
      <c r="M189">
        <f>_xlfn.XLOOKUP(A189,'DGS2'!A:A,'DGS2'!B:B,"",-1)</f>
        <v>1.26</v>
      </c>
      <c r="N189">
        <f t="shared" si="19"/>
        <v>-2.0000000000000018E-2</v>
      </c>
      <c r="O189">
        <f t="shared" si="20"/>
        <v>-2.9334376333378653E-4</v>
      </c>
      <c r="P189">
        <f t="shared" si="21"/>
        <v>0</v>
      </c>
      <c r="Q189">
        <f t="shared" si="22"/>
        <v>0</v>
      </c>
      <c r="R189" s="3">
        <v>51.04</v>
      </c>
    </row>
    <row r="190" spans="1:18">
      <c r="A190" s="1">
        <v>42733</v>
      </c>
      <c r="B190">
        <v>2249.2600000000002</v>
      </c>
      <c r="C190">
        <f t="shared" si="16"/>
        <v>-2.9334376333378653E-4</v>
      </c>
      <c r="D190">
        <f t="shared" si="23"/>
        <v>-6.4184398729563163E-3</v>
      </c>
      <c r="E190">
        <f>_xlfn.XLOOKUP(A190,VIX!A:A,VIX!B:B,"",-1)</f>
        <v>13.37</v>
      </c>
      <c r="F190">
        <f t="shared" si="17"/>
        <v>0.41999999999999993</v>
      </c>
      <c r="G190">
        <f>_xlfn.XLOOKUP(A190,'DGS10'!A:A,'DGS10'!B:B,"",-1)</f>
        <v>2.4900000000000002</v>
      </c>
      <c r="H190">
        <f t="shared" si="18"/>
        <v>-1.9999999999999574E-2</v>
      </c>
      <c r="I190" s="2">
        <f>_xlfn.XLOOKUP(A190,T10Y3M!A:A,T10Y3M!B:B,"",-1)</f>
        <v>2.02</v>
      </c>
      <c r="J190" s="2">
        <f>_xlfn.XLOOKUP(A190,BAMLC0A4CBBB!A:A,BAMLC0A4CBBB!B:B,"",-1)</f>
        <v>1.63</v>
      </c>
      <c r="K190" s="2">
        <f>_xlfn.XLOOKUP(A190,CPIAUCSL!A:A,CPIAUCSL!B:B,"",-1)</f>
        <v>242.637</v>
      </c>
      <c r="L190">
        <f>_xlfn.XLOOKUP(A190,DFF!A:A,DFF!B:B,"",-1)</f>
        <v>0.66</v>
      </c>
      <c r="M190">
        <f>_xlfn.XLOOKUP(A190,'DGS2'!A:A,'DGS2'!B:B,"",-1)</f>
        <v>1.22</v>
      </c>
      <c r="N190">
        <f t="shared" si="19"/>
        <v>-4.0000000000000036E-2</v>
      </c>
      <c r="O190">
        <f t="shared" si="20"/>
        <v>-4.6370806398550179E-3</v>
      </c>
      <c r="P190">
        <f t="shared" si="21"/>
        <v>0</v>
      </c>
      <c r="Q190">
        <f t="shared" si="22"/>
        <v>-1</v>
      </c>
      <c r="R190" s="3">
        <v>50.9</v>
      </c>
    </row>
    <row r="191" spans="1:18">
      <c r="A191" s="1">
        <v>42734</v>
      </c>
      <c r="B191">
        <v>2238.83</v>
      </c>
      <c r="C191">
        <f t="shared" si="16"/>
        <v>-4.6370806398550179E-3</v>
      </c>
      <c r="D191">
        <f t="shared" si="23"/>
        <v>-1.3244420154437497E-2</v>
      </c>
      <c r="E191">
        <f>_xlfn.XLOOKUP(A191,VIX!A:A,VIX!B:B,"",-1)</f>
        <v>14.04</v>
      </c>
      <c r="F191">
        <f t="shared" si="17"/>
        <v>0.66999999999999993</v>
      </c>
      <c r="G191">
        <f>_xlfn.XLOOKUP(A191,'DGS10'!A:A,'DGS10'!B:B,"",-1)</f>
        <v>2.4500000000000002</v>
      </c>
      <c r="H191">
        <f t="shared" si="18"/>
        <v>-4.0000000000000036E-2</v>
      </c>
      <c r="I191" s="2">
        <f>_xlfn.XLOOKUP(A191,T10Y3M!A:A,T10Y3M!B:B,"",-1)</f>
        <v>1.94</v>
      </c>
      <c r="J191" s="2">
        <f>_xlfn.XLOOKUP(A191,BAMLC0A4CBBB!A:A,BAMLC0A4CBBB!B:B,"",-1)</f>
        <v>1.64</v>
      </c>
      <c r="K191" s="2">
        <f>_xlfn.XLOOKUP(A191,CPIAUCSL!A:A,CPIAUCSL!B:B,"",-1)</f>
        <v>242.637</v>
      </c>
      <c r="L191">
        <f>_xlfn.XLOOKUP(A191,DFF!A:A,DFF!B:B,"",-1)</f>
        <v>0.55000000000000004</v>
      </c>
      <c r="M191">
        <f>_xlfn.XLOOKUP(A191,'DGS2'!A:A,'DGS2'!B:B,"",-1)</f>
        <v>1.2</v>
      </c>
      <c r="N191">
        <f t="shared" si="19"/>
        <v>-2.0000000000000018E-2</v>
      </c>
      <c r="O191">
        <f t="shared" si="20"/>
        <v>8.4865755774221618E-3</v>
      </c>
      <c r="P191">
        <f t="shared" si="21"/>
        <v>1</v>
      </c>
      <c r="Q191">
        <f t="shared" si="22"/>
        <v>1</v>
      </c>
      <c r="R191" s="3">
        <v>51.9</v>
      </c>
    </row>
    <row r="192" spans="1:18">
      <c r="A192" s="1">
        <v>42738</v>
      </c>
      <c r="B192">
        <v>2257.83</v>
      </c>
      <c r="C192">
        <f t="shared" si="16"/>
        <v>8.4865755774221618E-3</v>
      </c>
      <c r="D192">
        <f t="shared" si="23"/>
        <v>3.5156805575309313E-3</v>
      </c>
      <c r="E192">
        <f>_xlfn.XLOOKUP(A192,VIX!A:A,VIX!B:B,"",-1)</f>
        <v>12.85</v>
      </c>
      <c r="F192">
        <f t="shared" si="17"/>
        <v>-1.1899999999999995</v>
      </c>
      <c r="G192">
        <f>_xlfn.XLOOKUP(A192,'DGS10'!A:A,'DGS10'!B:B,"",-1)</f>
        <v>2.4500000000000002</v>
      </c>
      <c r="H192">
        <f t="shared" si="18"/>
        <v>0</v>
      </c>
      <c r="I192" s="2">
        <f>_xlfn.XLOOKUP(A192,T10Y3M!A:A,T10Y3M!B:B,"",-1)</f>
        <v>1.92</v>
      </c>
      <c r="J192" s="2">
        <f>_xlfn.XLOOKUP(A192,BAMLC0A4CBBB!A:A,BAMLC0A4CBBB!B:B,"",-1)</f>
        <v>1.64</v>
      </c>
      <c r="K192" s="2">
        <f>_xlfn.XLOOKUP(A192,CPIAUCSL!A:A,CPIAUCSL!B:B,"",-1)</f>
        <v>243.61799999999999</v>
      </c>
      <c r="L192">
        <f>_xlfn.XLOOKUP(A192,DFF!A:A,DFF!B:B,"",-1)</f>
        <v>0.66</v>
      </c>
      <c r="M192">
        <f>_xlfn.XLOOKUP(A192,'DGS2'!A:A,'DGS2'!B:B,"",-1)</f>
        <v>1.22</v>
      </c>
      <c r="N192">
        <f t="shared" si="19"/>
        <v>2.0000000000000018E-2</v>
      </c>
      <c r="O192">
        <f t="shared" si="20"/>
        <v>5.7223085883348901E-3</v>
      </c>
      <c r="P192">
        <f t="shared" si="21"/>
        <v>1</v>
      </c>
      <c r="Q192">
        <f t="shared" si="22"/>
        <v>1</v>
      </c>
      <c r="R192" s="3">
        <v>52.12</v>
      </c>
    </row>
    <row r="193" spans="1:18">
      <c r="A193" s="1">
        <v>42739</v>
      </c>
      <c r="B193">
        <v>2270.75</v>
      </c>
      <c r="C193">
        <f t="shared" si="16"/>
        <v>5.7223085883348901E-3</v>
      </c>
      <c r="D193">
        <f t="shared" si="23"/>
        <v>9.5542533988954848E-3</v>
      </c>
      <c r="E193">
        <f>_xlfn.XLOOKUP(A193,VIX!A:A,VIX!B:B,"",-1)</f>
        <v>11.85</v>
      </c>
      <c r="F193">
        <f t="shared" si="17"/>
        <v>-1</v>
      </c>
      <c r="G193">
        <f>_xlfn.XLOOKUP(A193,'DGS10'!A:A,'DGS10'!B:B,"",-1)</f>
        <v>2.46</v>
      </c>
      <c r="H193">
        <f t="shared" si="18"/>
        <v>9.9999999999997868E-3</v>
      </c>
      <c r="I193" s="2">
        <f>_xlfn.XLOOKUP(A193,T10Y3M!A:A,T10Y3M!B:B,"",-1)</f>
        <v>1.93</v>
      </c>
      <c r="J193" s="2">
        <f>_xlfn.XLOOKUP(A193,BAMLC0A4CBBB!A:A,BAMLC0A4CBBB!B:B,"",-1)</f>
        <v>1.63</v>
      </c>
      <c r="K193" s="2">
        <f>_xlfn.XLOOKUP(A193,CPIAUCSL!A:A,CPIAUCSL!B:B,"",-1)</f>
        <v>243.61799999999999</v>
      </c>
      <c r="L193">
        <f>_xlfn.XLOOKUP(A193,DFF!A:A,DFF!B:B,"",-1)</f>
        <v>0.66</v>
      </c>
      <c r="M193">
        <f>_xlfn.XLOOKUP(A193,'DGS2'!A:A,'DGS2'!B:B,"",-1)</f>
        <v>1.24</v>
      </c>
      <c r="N193">
        <f t="shared" si="19"/>
        <v>2.0000000000000018E-2</v>
      </c>
      <c r="O193">
        <f t="shared" si="20"/>
        <v>-7.7067048332046806E-4</v>
      </c>
      <c r="P193">
        <f t="shared" si="21"/>
        <v>0</v>
      </c>
      <c r="Q193">
        <f t="shared" si="22"/>
        <v>0</v>
      </c>
      <c r="R193" s="3">
        <v>52.23</v>
      </c>
    </row>
    <row r="194" spans="1:18">
      <c r="A194" s="1">
        <v>42740</v>
      </c>
      <c r="B194">
        <v>2269</v>
      </c>
      <c r="C194">
        <f t="shared" si="16"/>
        <v>-7.7067048332046806E-4</v>
      </c>
      <c r="D194">
        <f t="shared" si="23"/>
        <v>1.3475788693201318E-2</v>
      </c>
      <c r="E194">
        <f>_xlfn.XLOOKUP(A194,VIX!A:A,VIX!B:B,"",-1)</f>
        <v>11.67</v>
      </c>
      <c r="F194">
        <f t="shared" si="17"/>
        <v>-0.17999999999999972</v>
      </c>
      <c r="G194">
        <f>_xlfn.XLOOKUP(A194,'DGS10'!A:A,'DGS10'!B:B,"",-1)</f>
        <v>2.37</v>
      </c>
      <c r="H194">
        <f t="shared" si="18"/>
        <v>-8.9999999999999858E-2</v>
      </c>
      <c r="I194" s="2">
        <f>_xlfn.XLOOKUP(A194,T10Y3M!A:A,T10Y3M!B:B,"",-1)</f>
        <v>1.85</v>
      </c>
      <c r="J194" s="2">
        <f>_xlfn.XLOOKUP(A194,BAMLC0A4CBBB!A:A,BAMLC0A4CBBB!B:B,"",-1)</f>
        <v>1.64</v>
      </c>
      <c r="K194" s="2">
        <f>_xlfn.XLOOKUP(A194,CPIAUCSL!A:A,CPIAUCSL!B:B,"",-1)</f>
        <v>243.61799999999999</v>
      </c>
      <c r="L194">
        <f>_xlfn.XLOOKUP(A194,DFF!A:A,DFF!B:B,"",-1)</f>
        <v>0.66</v>
      </c>
      <c r="M194">
        <f>_xlfn.XLOOKUP(A194,'DGS2'!A:A,'DGS2'!B:B,"",-1)</f>
        <v>1.17</v>
      </c>
      <c r="N194">
        <f t="shared" si="19"/>
        <v>-7.0000000000000062E-2</v>
      </c>
      <c r="O194">
        <f t="shared" si="20"/>
        <v>3.51696782723665E-3</v>
      </c>
      <c r="P194">
        <f t="shared" si="21"/>
        <v>1</v>
      </c>
      <c r="Q194">
        <f t="shared" si="22"/>
        <v>1</v>
      </c>
      <c r="R194" s="3">
        <v>52.49</v>
      </c>
    </row>
    <row r="195" spans="1:18">
      <c r="A195" s="1">
        <v>42741</v>
      </c>
      <c r="B195">
        <v>2276.98</v>
      </c>
      <c r="C195">
        <f t="shared" si="16"/>
        <v>3.51696782723665E-3</v>
      </c>
      <c r="D195">
        <f t="shared" si="23"/>
        <v>8.4815951599546135E-3</v>
      </c>
      <c r="E195">
        <f>_xlfn.XLOOKUP(A195,VIX!A:A,VIX!B:B,"",-1)</f>
        <v>11.32</v>
      </c>
      <c r="F195">
        <f t="shared" si="17"/>
        <v>-0.34999999999999964</v>
      </c>
      <c r="G195">
        <f>_xlfn.XLOOKUP(A195,'DGS10'!A:A,'DGS10'!B:B,"",-1)</f>
        <v>2.42</v>
      </c>
      <c r="H195">
        <f t="shared" si="18"/>
        <v>4.9999999999999822E-2</v>
      </c>
      <c r="I195" s="2">
        <f>_xlfn.XLOOKUP(A195,T10Y3M!A:A,T10Y3M!B:B,"",-1)</f>
        <v>1.89</v>
      </c>
      <c r="J195" s="2">
        <f>_xlfn.XLOOKUP(A195,BAMLC0A4CBBB!A:A,BAMLC0A4CBBB!B:B,"",-1)</f>
        <v>1.63</v>
      </c>
      <c r="K195" s="2">
        <f>_xlfn.XLOOKUP(A195,CPIAUCSL!A:A,CPIAUCSL!B:B,"",-1)</f>
        <v>243.61799999999999</v>
      </c>
      <c r="L195">
        <f>_xlfn.XLOOKUP(A195,DFF!A:A,DFF!B:B,"",-1)</f>
        <v>0.66</v>
      </c>
      <c r="M195">
        <f>_xlfn.XLOOKUP(A195,'DGS2'!A:A,'DGS2'!B:B,"",-1)</f>
        <v>1.22</v>
      </c>
      <c r="N195">
        <f t="shared" si="19"/>
        <v>5.0000000000000044E-2</v>
      </c>
      <c r="O195">
        <f t="shared" si="20"/>
        <v>-3.5485599346501973E-3</v>
      </c>
      <c r="P195">
        <f t="shared" si="21"/>
        <v>0</v>
      </c>
      <c r="Q195">
        <f t="shared" si="22"/>
        <v>-1</v>
      </c>
      <c r="R195" s="3">
        <v>52.95</v>
      </c>
    </row>
    <row r="196" spans="1:18">
      <c r="A196" s="1">
        <v>42744</v>
      </c>
      <c r="B196">
        <v>2268.9</v>
      </c>
      <c r="C196">
        <f t="shared" ref="C196:C259" si="24">IF(OR(B196="",B195=""),"",(B196/B195)-1)</f>
        <v>-3.5485599346501973E-3</v>
      </c>
      <c r="D196">
        <f t="shared" si="23"/>
        <v>-8.1470879665301865E-4</v>
      </c>
      <c r="E196">
        <f>_xlfn.XLOOKUP(A196,VIX!A:A,VIX!B:B,"",-1)</f>
        <v>11.56</v>
      </c>
      <c r="F196">
        <f t="shared" ref="F196:F259" si="25">IF(OR(E196="",E195=""),"",E196-E195)</f>
        <v>0.24000000000000021</v>
      </c>
      <c r="G196">
        <f>_xlfn.XLOOKUP(A196,'DGS10'!A:A,'DGS10'!B:B,"",-1)</f>
        <v>2.38</v>
      </c>
      <c r="H196">
        <f t="shared" ref="H196:H259" si="26">IF(OR(G196="",G195=""),"",G196-G195)</f>
        <v>-4.0000000000000036E-2</v>
      </c>
      <c r="I196" s="2">
        <f>_xlfn.XLOOKUP(A196,T10Y3M!A:A,T10Y3M!B:B,"",-1)</f>
        <v>1.88</v>
      </c>
      <c r="J196" s="2">
        <f>_xlfn.XLOOKUP(A196,BAMLC0A4CBBB!A:A,BAMLC0A4CBBB!B:B,"",-1)</f>
        <v>1.63</v>
      </c>
      <c r="K196" s="2">
        <f>_xlfn.XLOOKUP(A196,CPIAUCSL!A:A,CPIAUCSL!B:B,"",-1)</f>
        <v>243.61799999999999</v>
      </c>
      <c r="L196">
        <f>_xlfn.XLOOKUP(A196,DFF!A:A,DFF!B:B,"",-1)</f>
        <v>0.66</v>
      </c>
      <c r="M196">
        <f>_xlfn.XLOOKUP(A196,'DGS2'!A:A,'DGS2'!B:B,"",-1)</f>
        <v>1.21</v>
      </c>
      <c r="N196">
        <f t="shared" ref="N196:N259" si="27">IF(OR(M196="",M195=""),"",M196-M195)</f>
        <v>-1.0000000000000009E-2</v>
      </c>
      <c r="O196">
        <f t="shared" ref="O196:O259" si="28">IF(OR(B197="",B196=""),"",(B197/B196)-1)</f>
        <v>0</v>
      </c>
      <c r="P196">
        <f t="shared" ref="P196:P259" si="29">IF(O196="","",IF(O196&gt;0,1,0))</f>
        <v>0</v>
      </c>
      <c r="Q196">
        <f t="shared" ref="Q196:Q259" si="30">IF(O196="","",IF(O196&gt;0.003,1,IF(O196&lt;-0.003,-1,0)))</f>
        <v>0</v>
      </c>
      <c r="R196" s="3">
        <v>53.02</v>
      </c>
    </row>
    <row r="197" spans="1:18">
      <c r="A197" s="1">
        <v>42745</v>
      </c>
      <c r="B197">
        <v>2268.9</v>
      </c>
      <c r="C197">
        <f t="shared" si="24"/>
        <v>0</v>
      </c>
      <c r="D197">
        <f t="shared" si="23"/>
        <v>-4.4072278536755327E-5</v>
      </c>
      <c r="E197">
        <f>_xlfn.XLOOKUP(A197,VIX!A:A,VIX!B:B,"",-1)</f>
        <v>11.49</v>
      </c>
      <c r="F197">
        <f t="shared" si="25"/>
        <v>-7.0000000000000284E-2</v>
      </c>
      <c r="G197">
        <f>_xlfn.XLOOKUP(A197,'DGS10'!A:A,'DGS10'!B:B,"",-1)</f>
        <v>2.38</v>
      </c>
      <c r="H197">
        <f t="shared" si="26"/>
        <v>0</v>
      </c>
      <c r="I197" s="2">
        <f>_xlfn.XLOOKUP(A197,T10Y3M!A:A,T10Y3M!B:B,"",-1)</f>
        <v>1.86</v>
      </c>
      <c r="J197" s="2">
        <f>_xlfn.XLOOKUP(A197,BAMLC0A4CBBB!A:A,BAMLC0A4CBBB!B:B,"",-1)</f>
        <v>1.63</v>
      </c>
      <c r="K197" s="2">
        <f>_xlfn.XLOOKUP(A197,CPIAUCSL!A:A,CPIAUCSL!B:B,"",-1)</f>
        <v>243.61799999999999</v>
      </c>
      <c r="L197">
        <f>_xlfn.XLOOKUP(A197,DFF!A:A,DFF!B:B,"",-1)</f>
        <v>0.66</v>
      </c>
      <c r="M197">
        <f>_xlfn.XLOOKUP(A197,'DGS2'!A:A,'DGS2'!B:B,"",-1)</f>
        <v>1.19</v>
      </c>
      <c r="N197">
        <f t="shared" si="27"/>
        <v>-2.0000000000000018E-2</v>
      </c>
      <c r="O197">
        <f t="shared" si="28"/>
        <v>2.829564987438804E-3</v>
      </c>
      <c r="P197">
        <f t="shared" si="29"/>
        <v>1</v>
      </c>
      <c r="Q197">
        <f t="shared" si="30"/>
        <v>0</v>
      </c>
      <c r="R197" s="3">
        <v>53.9</v>
      </c>
    </row>
    <row r="198" spans="1:18">
      <c r="A198" s="1">
        <v>42746</v>
      </c>
      <c r="B198">
        <v>2275.3200000000002</v>
      </c>
      <c r="C198">
        <f t="shared" si="24"/>
        <v>2.829564987438804E-3</v>
      </c>
      <c r="D198">
        <f t="shared" ref="D198:D261" si="31">IF(OR(B198="",B195=""),"",(B198/B195)-1)</f>
        <v>-7.290358281583087E-4</v>
      </c>
      <c r="E198">
        <f>_xlfn.XLOOKUP(A198,VIX!A:A,VIX!B:B,"",-1)</f>
        <v>11.26</v>
      </c>
      <c r="F198">
        <f t="shared" si="25"/>
        <v>-0.23000000000000043</v>
      </c>
      <c r="G198">
        <f>_xlfn.XLOOKUP(A198,'DGS10'!A:A,'DGS10'!B:B,"",-1)</f>
        <v>2.38</v>
      </c>
      <c r="H198">
        <f t="shared" si="26"/>
        <v>0</v>
      </c>
      <c r="I198" s="2">
        <f>_xlfn.XLOOKUP(A198,T10Y3M!A:A,T10Y3M!B:B,"",-1)</f>
        <v>1.86</v>
      </c>
      <c r="J198" s="2">
        <f>_xlfn.XLOOKUP(A198,BAMLC0A4CBBB!A:A,BAMLC0A4CBBB!B:B,"",-1)</f>
        <v>1.64</v>
      </c>
      <c r="K198" s="2">
        <f>_xlfn.XLOOKUP(A198,CPIAUCSL!A:A,CPIAUCSL!B:B,"",-1)</f>
        <v>243.61799999999999</v>
      </c>
      <c r="L198">
        <f>_xlfn.XLOOKUP(A198,DFF!A:A,DFF!B:B,"",-1)</f>
        <v>0.66</v>
      </c>
      <c r="M198">
        <f>_xlfn.XLOOKUP(A198,'DGS2'!A:A,'DGS2'!B:B,"",-1)</f>
        <v>1.2</v>
      </c>
      <c r="N198">
        <f t="shared" si="27"/>
        <v>1.0000000000000009E-2</v>
      </c>
      <c r="O198">
        <f t="shared" si="28"/>
        <v>-2.144753265474808E-3</v>
      </c>
      <c r="P198">
        <f t="shared" si="29"/>
        <v>0</v>
      </c>
      <c r="Q198">
        <f t="shared" si="30"/>
        <v>0</v>
      </c>
      <c r="R198" s="3">
        <v>54.06</v>
      </c>
    </row>
    <row r="199" spans="1:18">
      <c r="A199" s="1">
        <v>42747</v>
      </c>
      <c r="B199">
        <v>2270.44</v>
      </c>
      <c r="C199">
        <f t="shared" si="24"/>
        <v>-2.144753265474808E-3</v>
      </c>
      <c r="D199">
        <f t="shared" si="31"/>
        <v>6.7874300321735248E-4</v>
      </c>
      <c r="E199">
        <f>_xlfn.XLOOKUP(A199,VIX!A:A,VIX!B:B,"",-1)</f>
        <v>11.54</v>
      </c>
      <c r="F199">
        <f t="shared" si="25"/>
        <v>0.27999999999999936</v>
      </c>
      <c r="G199">
        <f>_xlfn.XLOOKUP(A199,'DGS10'!A:A,'DGS10'!B:B,"",-1)</f>
        <v>2.36</v>
      </c>
      <c r="H199">
        <f t="shared" si="26"/>
        <v>-2.0000000000000018E-2</v>
      </c>
      <c r="I199" s="2">
        <f>_xlfn.XLOOKUP(A199,T10Y3M!A:A,T10Y3M!B:B,"",-1)</f>
        <v>1.84</v>
      </c>
      <c r="J199" s="2">
        <f>_xlfn.XLOOKUP(A199,BAMLC0A4CBBB!A:A,BAMLC0A4CBBB!B:B,"",-1)</f>
        <v>1.64</v>
      </c>
      <c r="K199" s="2">
        <f>_xlfn.XLOOKUP(A199,CPIAUCSL!A:A,CPIAUCSL!B:B,"",-1)</f>
        <v>243.61799999999999</v>
      </c>
      <c r="L199">
        <f>_xlfn.XLOOKUP(A199,DFF!A:A,DFF!B:B,"",-1)</f>
        <v>0.66</v>
      </c>
      <c r="M199">
        <f>_xlfn.XLOOKUP(A199,'DGS2'!A:A,'DGS2'!B:B,"",-1)</f>
        <v>1.18</v>
      </c>
      <c r="N199">
        <f t="shared" si="27"/>
        <v>-2.0000000000000018E-2</v>
      </c>
      <c r="O199">
        <f t="shared" si="28"/>
        <v>1.8498617008155804E-3</v>
      </c>
      <c r="P199">
        <f t="shared" si="29"/>
        <v>1</v>
      </c>
      <c r="Q199">
        <f t="shared" si="30"/>
        <v>0</v>
      </c>
      <c r="R199" s="3">
        <v>53.77</v>
      </c>
    </row>
    <row r="200" spans="1:18">
      <c r="A200" s="1">
        <v>42748</v>
      </c>
      <c r="B200">
        <v>2274.64</v>
      </c>
      <c r="C200">
        <f t="shared" si="24"/>
        <v>1.8498617008155804E-3</v>
      </c>
      <c r="D200">
        <f t="shared" si="31"/>
        <v>2.5298602847194651E-3</v>
      </c>
      <c r="E200">
        <f>_xlfn.XLOOKUP(A200,VIX!A:A,VIX!B:B,"",-1)</f>
        <v>11.23</v>
      </c>
      <c r="F200">
        <f t="shared" si="25"/>
        <v>-0.30999999999999872</v>
      </c>
      <c r="G200">
        <f>_xlfn.XLOOKUP(A200,'DGS10'!A:A,'DGS10'!B:B,"",-1)</f>
        <v>2.4</v>
      </c>
      <c r="H200">
        <f t="shared" si="26"/>
        <v>4.0000000000000036E-2</v>
      </c>
      <c r="I200" s="2">
        <f>_xlfn.XLOOKUP(A200,T10Y3M!A:A,T10Y3M!B:B,"",-1)</f>
        <v>1.87</v>
      </c>
      <c r="J200" s="2">
        <f>_xlfn.XLOOKUP(A200,BAMLC0A4CBBB!A:A,BAMLC0A4CBBB!B:B,"",-1)</f>
        <v>1.63</v>
      </c>
      <c r="K200" s="2">
        <f>_xlfn.XLOOKUP(A200,CPIAUCSL!A:A,CPIAUCSL!B:B,"",-1)</f>
        <v>243.61799999999999</v>
      </c>
      <c r="L200">
        <f>_xlfn.XLOOKUP(A200,DFF!A:A,DFF!B:B,"",-1)</f>
        <v>0.66</v>
      </c>
      <c r="M200">
        <f>_xlfn.XLOOKUP(A200,'DGS2'!A:A,'DGS2'!B:B,"",-1)</f>
        <v>1.21</v>
      </c>
      <c r="N200">
        <f t="shared" si="27"/>
        <v>3.0000000000000027E-2</v>
      </c>
      <c r="O200">
        <f t="shared" si="28"/>
        <v>-2.9675025498540064E-3</v>
      </c>
      <c r="P200">
        <f t="shared" si="29"/>
        <v>0</v>
      </c>
      <c r="Q200">
        <f t="shared" si="30"/>
        <v>0</v>
      </c>
      <c r="R200" s="3">
        <v>53.72</v>
      </c>
    </row>
    <row r="201" spans="1:18">
      <c r="A201" s="1">
        <v>42752</v>
      </c>
      <c r="B201">
        <v>2267.89</v>
      </c>
      <c r="C201">
        <f t="shared" si="24"/>
        <v>-2.9675025498540064E-3</v>
      </c>
      <c r="D201">
        <f t="shared" si="31"/>
        <v>-3.2654747464093692E-3</v>
      </c>
      <c r="E201">
        <f>_xlfn.XLOOKUP(A201,VIX!A:A,VIX!B:B,"",-1)</f>
        <v>11.87</v>
      </c>
      <c r="F201">
        <f t="shared" si="25"/>
        <v>0.63999999999999879</v>
      </c>
      <c r="G201">
        <f>_xlfn.XLOOKUP(A201,'DGS10'!A:A,'DGS10'!B:B,"",-1)</f>
        <v>2.33</v>
      </c>
      <c r="H201">
        <f t="shared" si="26"/>
        <v>-6.999999999999984E-2</v>
      </c>
      <c r="I201" s="2">
        <f>_xlfn.XLOOKUP(A201,T10Y3M!A:A,T10Y3M!B:B,"",-1)</f>
        <v>1.78</v>
      </c>
      <c r="J201" s="2">
        <f>_xlfn.XLOOKUP(A201,BAMLC0A4CBBB!A:A,BAMLC0A4CBBB!B:B,"",-1)</f>
        <v>1.63</v>
      </c>
      <c r="K201" s="2">
        <f>_xlfn.XLOOKUP(A201,CPIAUCSL!A:A,CPIAUCSL!B:B,"",-1)</f>
        <v>243.61799999999999</v>
      </c>
      <c r="L201">
        <f>_xlfn.XLOOKUP(A201,DFF!A:A,DFF!B:B,"",-1)</f>
        <v>0.66</v>
      </c>
      <c r="M201">
        <f>_xlfn.XLOOKUP(A201,'DGS2'!A:A,'DGS2'!B:B,"",-1)</f>
        <v>1.17</v>
      </c>
      <c r="N201">
        <f t="shared" si="27"/>
        <v>-4.0000000000000036E-2</v>
      </c>
      <c r="O201">
        <f t="shared" si="28"/>
        <v>1.7637539739581154E-3</v>
      </c>
      <c r="P201">
        <f t="shared" si="29"/>
        <v>1</v>
      </c>
      <c r="Q201">
        <f t="shared" si="30"/>
        <v>0</v>
      </c>
      <c r="R201" s="3">
        <v>52.33</v>
      </c>
    </row>
    <row r="202" spans="1:18">
      <c r="A202" s="1">
        <v>42753</v>
      </c>
      <c r="B202">
        <v>2271.89</v>
      </c>
      <c r="C202">
        <f t="shared" si="24"/>
        <v>1.7637539739581154E-3</v>
      </c>
      <c r="D202">
        <f t="shared" si="31"/>
        <v>6.3864273004332617E-4</v>
      </c>
      <c r="E202">
        <f>_xlfn.XLOOKUP(A202,VIX!A:A,VIX!B:B,"",-1)</f>
        <v>12.48</v>
      </c>
      <c r="F202">
        <f t="shared" si="25"/>
        <v>0.61000000000000121</v>
      </c>
      <c r="G202">
        <f>_xlfn.XLOOKUP(A202,'DGS10'!A:A,'DGS10'!B:B,"",-1)</f>
        <v>2.42</v>
      </c>
      <c r="H202">
        <f t="shared" si="26"/>
        <v>8.9999999999999858E-2</v>
      </c>
      <c r="I202" s="2">
        <f>_xlfn.XLOOKUP(A202,T10Y3M!A:A,T10Y3M!B:B,"",-1)</f>
        <v>1.89</v>
      </c>
      <c r="J202" s="2">
        <f>_xlfn.XLOOKUP(A202,BAMLC0A4CBBB!A:A,BAMLC0A4CBBB!B:B,"",-1)</f>
        <v>1.63</v>
      </c>
      <c r="K202" s="2">
        <f>_xlfn.XLOOKUP(A202,CPIAUCSL!A:A,CPIAUCSL!B:B,"",-1)</f>
        <v>243.61799999999999</v>
      </c>
      <c r="L202">
        <f>_xlfn.XLOOKUP(A202,DFF!A:A,DFF!B:B,"",-1)</f>
        <v>0.66</v>
      </c>
      <c r="M202">
        <f>_xlfn.XLOOKUP(A202,'DGS2'!A:A,'DGS2'!B:B,"",-1)</f>
        <v>1.23</v>
      </c>
      <c r="N202">
        <f t="shared" si="27"/>
        <v>6.0000000000000053E-2</v>
      </c>
      <c r="O202">
        <f t="shared" si="28"/>
        <v>-3.6093296770529637E-3</v>
      </c>
      <c r="P202">
        <f t="shared" si="29"/>
        <v>0</v>
      </c>
      <c r="Q202">
        <f t="shared" si="30"/>
        <v>-1</v>
      </c>
      <c r="R202" s="3">
        <v>53.26</v>
      </c>
    </row>
    <row r="203" spans="1:18">
      <c r="A203" s="1">
        <v>42754</v>
      </c>
      <c r="B203">
        <v>2263.69</v>
      </c>
      <c r="C203">
        <f t="shared" si="24"/>
        <v>-3.6093296770529637E-3</v>
      </c>
      <c r="D203">
        <f t="shared" si="31"/>
        <v>-4.8139485808742499E-3</v>
      </c>
      <c r="E203">
        <f>_xlfn.XLOOKUP(A203,VIX!A:A,VIX!B:B,"",-1)</f>
        <v>12.78</v>
      </c>
      <c r="F203">
        <f t="shared" si="25"/>
        <v>0.29999999999999893</v>
      </c>
      <c r="G203">
        <f>_xlfn.XLOOKUP(A203,'DGS10'!A:A,'DGS10'!B:B,"",-1)</f>
        <v>2.4700000000000002</v>
      </c>
      <c r="H203">
        <f t="shared" si="26"/>
        <v>5.0000000000000266E-2</v>
      </c>
      <c r="I203" s="2">
        <f>_xlfn.XLOOKUP(A203,T10Y3M!A:A,T10Y3M!B:B,"",-1)</f>
        <v>1.95</v>
      </c>
      <c r="J203" s="2">
        <f>_xlfn.XLOOKUP(A203,BAMLC0A4CBBB!A:A,BAMLC0A4CBBB!B:B,"",-1)</f>
        <v>1.62</v>
      </c>
      <c r="K203" s="2">
        <f>_xlfn.XLOOKUP(A203,CPIAUCSL!A:A,CPIAUCSL!B:B,"",-1)</f>
        <v>243.61799999999999</v>
      </c>
      <c r="L203">
        <f>_xlfn.XLOOKUP(A203,DFF!A:A,DFF!B:B,"",-1)</f>
        <v>0.66</v>
      </c>
      <c r="M203">
        <f>_xlfn.XLOOKUP(A203,'DGS2'!A:A,'DGS2'!B:B,"",-1)</f>
        <v>1.25</v>
      </c>
      <c r="N203">
        <f t="shared" si="27"/>
        <v>2.0000000000000018E-2</v>
      </c>
      <c r="O203">
        <f t="shared" si="28"/>
        <v>3.3661852992237229E-3</v>
      </c>
      <c r="P203">
        <f t="shared" si="29"/>
        <v>1</v>
      </c>
      <c r="Q203">
        <f t="shared" si="30"/>
        <v>1</v>
      </c>
      <c r="R203" s="3">
        <v>53.76</v>
      </c>
    </row>
    <row r="204" spans="1:18">
      <c r="A204" s="1">
        <v>42755</v>
      </c>
      <c r="B204">
        <v>2271.31</v>
      </c>
      <c r="C204">
        <f t="shared" si="24"/>
        <v>3.3661852992237229E-3</v>
      </c>
      <c r="D204">
        <f t="shared" si="31"/>
        <v>1.508009647734232E-3</v>
      </c>
      <c r="E204">
        <f>_xlfn.XLOOKUP(A204,VIX!A:A,VIX!B:B,"",-1)</f>
        <v>11.54</v>
      </c>
      <c r="F204">
        <f t="shared" si="25"/>
        <v>-1.2400000000000002</v>
      </c>
      <c r="G204">
        <f>_xlfn.XLOOKUP(A204,'DGS10'!A:A,'DGS10'!B:B,"",-1)</f>
        <v>2.48</v>
      </c>
      <c r="H204">
        <f t="shared" si="26"/>
        <v>9.9999999999997868E-3</v>
      </c>
      <c r="I204" s="2">
        <f>_xlfn.XLOOKUP(A204,T10Y3M!A:A,T10Y3M!B:B,"",-1)</f>
        <v>1.98</v>
      </c>
      <c r="J204" s="2">
        <f>_xlfn.XLOOKUP(A204,BAMLC0A4CBBB!A:A,BAMLC0A4CBBB!B:B,"",-1)</f>
        <v>1.62</v>
      </c>
      <c r="K204" s="2">
        <f>_xlfn.XLOOKUP(A204,CPIAUCSL!A:A,CPIAUCSL!B:B,"",-1)</f>
        <v>243.61799999999999</v>
      </c>
      <c r="L204">
        <f>_xlfn.XLOOKUP(A204,DFF!A:A,DFF!B:B,"",-1)</f>
        <v>0.66</v>
      </c>
      <c r="M204">
        <f>_xlfn.XLOOKUP(A204,'DGS2'!A:A,'DGS2'!B:B,"",-1)</f>
        <v>1.2</v>
      </c>
      <c r="N204">
        <f t="shared" si="27"/>
        <v>-5.0000000000000044E-2</v>
      </c>
      <c r="O204">
        <f t="shared" si="28"/>
        <v>-2.6900775323491777E-3</v>
      </c>
      <c r="P204">
        <f t="shared" si="29"/>
        <v>0</v>
      </c>
      <c r="Q204">
        <f t="shared" si="30"/>
        <v>0</v>
      </c>
      <c r="R204" s="3">
        <v>53.99</v>
      </c>
    </row>
    <row r="205" spans="1:18">
      <c r="A205" s="1">
        <v>42758</v>
      </c>
      <c r="B205">
        <v>2265.1999999999998</v>
      </c>
      <c r="C205">
        <f t="shared" si="24"/>
        <v>-2.6900775323491777E-3</v>
      </c>
      <c r="D205">
        <f t="shared" si="31"/>
        <v>-2.9446848218883659E-3</v>
      </c>
      <c r="E205">
        <f>_xlfn.XLOOKUP(A205,VIX!A:A,VIX!B:B,"",-1)</f>
        <v>11.77</v>
      </c>
      <c r="F205">
        <f t="shared" si="25"/>
        <v>0.23000000000000043</v>
      </c>
      <c r="G205">
        <f>_xlfn.XLOOKUP(A205,'DGS10'!A:A,'DGS10'!B:B,"",-1)</f>
        <v>2.41</v>
      </c>
      <c r="H205">
        <f t="shared" si="26"/>
        <v>-6.999999999999984E-2</v>
      </c>
      <c r="I205" s="2">
        <f>_xlfn.XLOOKUP(A205,T10Y3M!A:A,T10Y3M!B:B,"",-1)</f>
        <v>1.9</v>
      </c>
      <c r="J205" s="2">
        <f>_xlfn.XLOOKUP(A205,BAMLC0A4CBBB!A:A,BAMLC0A4CBBB!B:B,"",-1)</f>
        <v>1.62</v>
      </c>
      <c r="K205" s="2">
        <f>_xlfn.XLOOKUP(A205,CPIAUCSL!A:A,CPIAUCSL!B:B,"",-1)</f>
        <v>243.61799999999999</v>
      </c>
      <c r="L205">
        <f>_xlfn.XLOOKUP(A205,DFF!A:A,DFF!B:B,"",-1)</f>
        <v>0.66</v>
      </c>
      <c r="M205">
        <f>_xlfn.XLOOKUP(A205,'DGS2'!A:A,'DGS2'!B:B,"",-1)</f>
        <v>1.1599999999999999</v>
      </c>
      <c r="N205">
        <f t="shared" si="27"/>
        <v>-4.0000000000000036E-2</v>
      </c>
      <c r="O205">
        <f t="shared" si="28"/>
        <v>6.5645417623170221E-3</v>
      </c>
      <c r="P205">
        <f t="shared" si="29"/>
        <v>1</v>
      </c>
      <c r="Q205">
        <f t="shared" si="30"/>
        <v>1</v>
      </c>
      <c r="R205" s="3">
        <v>51.96</v>
      </c>
    </row>
    <row r="206" spans="1:18">
      <c r="A206" s="1">
        <v>42759</v>
      </c>
      <c r="B206">
        <v>2280.0700000000002</v>
      </c>
      <c r="C206">
        <f t="shared" si="24"/>
        <v>6.5645417623170221E-3</v>
      </c>
      <c r="D206">
        <f t="shared" si="31"/>
        <v>7.2359731235285274E-3</v>
      </c>
      <c r="E206">
        <f>_xlfn.XLOOKUP(A206,VIX!A:A,VIX!B:B,"",-1)</f>
        <v>11.07</v>
      </c>
      <c r="F206">
        <f t="shared" si="25"/>
        <v>-0.69999999999999929</v>
      </c>
      <c r="G206">
        <f>_xlfn.XLOOKUP(A206,'DGS10'!A:A,'DGS10'!B:B,"",-1)</f>
        <v>2.4700000000000002</v>
      </c>
      <c r="H206">
        <f t="shared" si="26"/>
        <v>6.0000000000000053E-2</v>
      </c>
      <c r="I206" s="2">
        <f>_xlfn.XLOOKUP(A206,T10Y3M!A:A,T10Y3M!B:B,"",-1)</f>
        <v>1.96</v>
      </c>
      <c r="J206" s="2">
        <f>_xlfn.XLOOKUP(A206,BAMLC0A4CBBB!A:A,BAMLC0A4CBBB!B:B,"",-1)</f>
        <v>1.61</v>
      </c>
      <c r="K206" s="2">
        <f>_xlfn.XLOOKUP(A206,CPIAUCSL!A:A,CPIAUCSL!B:B,"",-1)</f>
        <v>243.61799999999999</v>
      </c>
      <c r="L206">
        <f>_xlfn.XLOOKUP(A206,DFF!A:A,DFF!B:B,"",-1)</f>
        <v>0.66</v>
      </c>
      <c r="M206">
        <f>_xlfn.XLOOKUP(A206,'DGS2'!A:A,'DGS2'!B:B,"",-1)</f>
        <v>1.21</v>
      </c>
      <c r="N206">
        <f t="shared" si="27"/>
        <v>5.0000000000000044E-2</v>
      </c>
      <c r="O206">
        <f t="shared" si="28"/>
        <v>8.0260693750628942E-3</v>
      </c>
      <c r="P206">
        <f t="shared" si="29"/>
        <v>1</v>
      </c>
      <c r="Q206">
        <f t="shared" si="30"/>
        <v>1</v>
      </c>
      <c r="R206" s="3">
        <v>50.82</v>
      </c>
    </row>
    <row r="207" spans="1:18">
      <c r="A207" s="1">
        <v>42760</v>
      </c>
      <c r="B207">
        <v>2298.37</v>
      </c>
      <c r="C207">
        <f t="shared" si="24"/>
        <v>8.0260693750628942E-3</v>
      </c>
      <c r="D207">
        <f t="shared" si="31"/>
        <v>1.1913829464053727E-2</v>
      </c>
      <c r="E207">
        <f>_xlfn.XLOOKUP(A207,VIX!A:A,VIX!B:B,"",-1)</f>
        <v>10.81</v>
      </c>
      <c r="F207">
        <f t="shared" si="25"/>
        <v>-0.25999999999999979</v>
      </c>
      <c r="G207">
        <f>_xlfn.XLOOKUP(A207,'DGS10'!A:A,'DGS10'!B:B,"",-1)</f>
        <v>2.5299999999999998</v>
      </c>
      <c r="H207">
        <f t="shared" si="26"/>
        <v>5.9999999999999609E-2</v>
      </c>
      <c r="I207" s="2">
        <f>_xlfn.XLOOKUP(A207,T10Y3M!A:A,T10Y3M!B:B,"",-1)</f>
        <v>2.0299999999999998</v>
      </c>
      <c r="J207" s="2">
        <f>_xlfn.XLOOKUP(A207,BAMLC0A4CBBB!A:A,BAMLC0A4CBBB!B:B,"",-1)</f>
        <v>1.6</v>
      </c>
      <c r="K207" s="2">
        <f>_xlfn.XLOOKUP(A207,CPIAUCSL!A:A,CPIAUCSL!B:B,"",-1)</f>
        <v>243.61799999999999</v>
      </c>
      <c r="L207">
        <f>_xlfn.XLOOKUP(A207,DFF!A:A,DFF!B:B,"",-1)</f>
        <v>0.66</v>
      </c>
      <c r="M207">
        <f>_xlfn.XLOOKUP(A207,'DGS2'!A:A,'DGS2'!B:B,"",-1)</f>
        <v>1.23</v>
      </c>
      <c r="N207">
        <f t="shared" si="27"/>
        <v>2.0000000000000018E-2</v>
      </c>
      <c r="O207">
        <f t="shared" si="28"/>
        <v>-7.3530371524166416E-4</v>
      </c>
      <c r="P207">
        <f t="shared" si="29"/>
        <v>0</v>
      </c>
      <c r="Q207">
        <f t="shared" si="30"/>
        <v>0</v>
      </c>
      <c r="R207" s="3">
        <v>52.25</v>
      </c>
    </row>
    <row r="208" spans="1:18">
      <c r="A208" s="1">
        <v>42761</v>
      </c>
      <c r="B208">
        <v>2296.6799999999998</v>
      </c>
      <c r="C208">
        <f t="shared" si="24"/>
        <v>-7.3530371524166416E-4</v>
      </c>
      <c r="D208">
        <f t="shared" si="31"/>
        <v>1.3897227617870378E-2</v>
      </c>
      <c r="E208">
        <f>_xlfn.XLOOKUP(A208,VIX!A:A,VIX!B:B,"",-1)</f>
        <v>10.63</v>
      </c>
      <c r="F208">
        <f t="shared" si="25"/>
        <v>-0.17999999999999972</v>
      </c>
      <c r="G208">
        <f>_xlfn.XLOOKUP(A208,'DGS10'!A:A,'DGS10'!B:B,"",-1)</f>
        <v>2.5099999999999998</v>
      </c>
      <c r="H208">
        <f t="shared" si="26"/>
        <v>-2.0000000000000018E-2</v>
      </c>
      <c r="I208" s="2">
        <f>_xlfn.XLOOKUP(A208,T10Y3M!A:A,T10Y3M!B:B,"",-1)</f>
        <v>2</v>
      </c>
      <c r="J208" s="2">
        <f>_xlfn.XLOOKUP(A208,BAMLC0A4CBBB!A:A,BAMLC0A4CBBB!B:B,"",-1)</f>
        <v>1.6</v>
      </c>
      <c r="K208" s="2">
        <f>_xlfn.XLOOKUP(A208,CPIAUCSL!A:A,CPIAUCSL!B:B,"",-1)</f>
        <v>243.61799999999999</v>
      </c>
      <c r="L208">
        <f>_xlfn.XLOOKUP(A208,DFF!A:A,DFF!B:B,"",-1)</f>
        <v>0.66</v>
      </c>
      <c r="M208">
        <f>_xlfn.XLOOKUP(A208,'DGS2'!A:A,'DGS2'!B:B,"",-1)</f>
        <v>1.21</v>
      </c>
      <c r="N208">
        <f t="shared" si="27"/>
        <v>-2.0000000000000018E-2</v>
      </c>
      <c r="O208">
        <f t="shared" si="28"/>
        <v>-8.6646811919810496E-4</v>
      </c>
      <c r="P208">
        <f t="shared" si="29"/>
        <v>0</v>
      </c>
      <c r="Q208">
        <f t="shared" si="30"/>
        <v>0</v>
      </c>
      <c r="R208" s="3">
        <v>53.01</v>
      </c>
    </row>
    <row r="209" spans="1:18">
      <c r="A209" s="1">
        <v>42762</v>
      </c>
      <c r="B209">
        <v>2294.69</v>
      </c>
      <c r="C209">
        <f t="shared" si="24"/>
        <v>-8.6646811919810496E-4</v>
      </c>
      <c r="D209">
        <f t="shared" si="31"/>
        <v>6.4120838395311797E-3</v>
      </c>
      <c r="E209">
        <f>_xlfn.XLOOKUP(A209,VIX!A:A,VIX!B:B,"",-1)</f>
        <v>10.58</v>
      </c>
      <c r="F209">
        <f t="shared" si="25"/>
        <v>-5.0000000000000711E-2</v>
      </c>
      <c r="G209">
        <f>_xlfn.XLOOKUP(A209,'DGS10'!A:A,'DGS10'!B:B,"",-1)</f>
        <v>2.4900000000000002</v>
      </c>
      <c r="H209">
        <f t="shared" si="26"/>
        <v>-1.9999999999999574E-2</v>
      </c>
      <c r="I209" s="2">
        <f>_xlfn.XLOOKUP(A209,T10Y3M!A:A,T10Y3M!B:B,"",-1)</f>
        <v>1.97</v>
      </c>
      <c r="J209" s="2">
        <f>_xlfn.XLOOKUP(A209,BAMLC0A4CBBB!A:A,BAMLC0A4CBBB!B:B,"",-1)</f>
        <v>1.6</v>
      </c>
      <c r="K209" s="2">
        <f>_xlfn.XLOOKUP(A209,CPIAUCSL!A:A,CPIAUCSL!B:B,"",-1)</f>
        <v>243.61799999999999</v>
      </c>
      <c r="L209">
        <f>_xlfn.XLOOKUP(A209,DFF!A:A,DFF!B:B,"",-1)</f>
        <v>0.66</v>
      </c>
      <c r="M209">
        <f>_xlfn.XLOOKUP(A209,'DGS2'!A:A,'DGS2'!B:B,"",-1)</f>
        <v>1.22</v>
      </c>
      <c r="N209">
        <f t="shared" si="27"/>
        <v>1.0000000000000009E-2</v>
      </c>
      <c r="O209">
        <f t="shared" si="28"/>
        <v>-6.0095263412487387E-3</v>
      </c>
      <c r="P209">
        <f t="shared" si="29"/>
        <v>0</v>
      </c>
      <c r="Q209">
        <f t="shared" si="30"/>
        <v>-1</v>
      </c>
      <c r="R209" s="3">
        <v>52.37</v>
      </c>
    </row>
    <row r="210" spans="1:18">
      <c r="A210" s="1">
        <v>42765</v>
      </c>
      <c r="B210">
        <v>2280.9</v>
      </c>
      <c r="C210">
        <f t="shared" si="24"/>
        <v>-6.0095263412487387E-3</v>
      </c>
      <c r="D210">
        <f t="shared" si="31"/>
        <v>-7.6010389972023251E-3</v>
      </c>
      <c r="E210">
        <f>_xlfn.XLOOKUP(A210,VIX!A:A,VIX!B:B,"",-1)</f>
        <v>11.88</v>
      </c>
      <c r="F210">
        <f t="shared" si="25"/>
        <v>1.3000000000000007</v>
      </c>
      <c r="G210">
        <f>_xlfn.XLOOKUP(A210,'DGS10'!A:A,'DGS10'!B:B,"",-1)</f>
        <v>2.4900000000000002</v>
      </c>
      <c r="H210">
        <f t="shared" si="26"/>
        <v>0</v>
      </c>
      <c r="I210" s="2">
        <f>_xlfn.XLOOKUP(A210,T10Y3M!A:A,T10Y3M!B:B,"",-1)</f>
        <v>1.98</v>
      </c>
      <c r="J210" s="2">
        <f>_xlfn.XLOOKUP(A210,BAMLC0A4CBBB!A:A,BAMLC0A4CBBB!B:B,"",-1)</f>
        <v>1.59</v>
      </c>
      <c r="K210" s="2">
        <f>_xlfn.XLOOKUP(A210,CPIAUCSL!A:A,CPIAUCSL!B:B,"",-1)</f>
        <v>243.61799999999999</v>
      </c>
      <c r="L210">
        <f>_xlfn.XLOOKUP(A210,DFF!A:A,DFF!B:B,"",-1)</f>
        <v>0.66</v>
      </c>
      <c r="M210">
        <f>_xlfn.XLOOKUP(A210,'DGS2'!A:A,'DGS2'!B:B,"",-1)</f>
        <v>1.22</v>
      </c>
      <c r="N210">
        <f t="shared" si="27"/>
        <v>0</v>
      </c>
      <c r="O210">
        <f t="shared" si="28"/>
        <v>-8.8999956157664872E-4</v>
      </c>
      <c r="P210">
        <f t="shared" si="29"/>
        <v>0</v>
      </c>
      <c r="Q210">
        <f t="shared" si="30"/>
        <v>0</v>
      </c>
      <c r="R210" s="3">
        <v>52.64</v>
      </c>
    </row>
    <row r="211" spans="1:18">
      <c r="A211" s="1">
        <v>42766</v>
      </c>
      <c r="B211">
        <v>2278.87</v>
      </c>
      <c r="C211">
        <f t="shared" si="24"/>
        <v>-8.8999956157664872E-4</v>
      </c>
      <c r="D211">
        <f t="shared" si="31"/>
        <v>-7.75467196126578E-3</v>
      </c>
      <c r="E211">
        <f>_xlfn.XLOOKUP(A211,VIX!A:A,VIX!B:B,"",-1)</f>
        <v>11.99</v>
      </c>
      <c r="F211">
        <f t="shared" si="25"/>
        <v>0.10999999999999943</v>
      </c>
      <c r="G211">
        <f>_xlfn.XLOOKUP(A211,'DGS10'!A:A,'DGS10'!B:B,"",-1)</f>
        <v>2.4500000000000002</v>
      </c>
      <c r="H211">
        <f t="shared" si="26"/>
        <v>-4.0000000000000036E-2</v>
      </c>
      <c r="I211" s="2">
        <f>_xlfn.XLOOKUP(A211,T10Y3M!A:A,T10Y3M!B:B,"",-1)</f>
        <v>1.93</v>
      </c>
      <c r="J211" s="2">
        <f>_xlfn.XLOOKUP(A211,BAMLC0A4CBBB!A:A,BAMLC0A4CBBB!B:B,"",-1)</f>
        <v>1.61</v>
      </c>
      <c r="K211" s="2">
        <f>_xlfn.XLOOKUP(A211,CPIAUCSL!A:A,CPIAUCSL!B:B,"",-1)</f>
        <v>243.61799999999999</v>
      </c>
      <c r="L211">
        <f>_xlfn.XLOOKUP(A211,DFF!A:A,DFF!B:B,"",-1)</f>
        <v>0.56000000000000005</v>
      </c>
      <c r="M211">
        <f>_xlfn.XLOOKUP(A211,'DGS2'!A:A,'DGS2'!B:B,"",-1)</f>
        <v>1.19</v>
      </c>
      <c r="N211">
        <f t="shared" si="27"/>
        <v>-3.0000000000000027E-2</v>
      </c>
      <c r="O211">
        <f t="shared" si="28"/>
        <v>2.9839350204285964E-4</v>
      </c>
      <c r="P211">
        <f t="shared" si="29"/>
        <v>1</v>
      </c>
      <c r="Q211">
        <f t="shared" si="30"/>
        <v>0</v>
      </c>
      <c r="R211" s="3">
        <v>52.48</v>
      </c>
    </row>
    <row r="212" spans="1:18">
      <c r="A212" s="1">
        <v>42767</v>
      </c>
      <c r="B212">
        <v>2279.5500000000002</v>
      </c>
      <c r="C212">
        <f t="shared" si="24"/>
        <v>2.9839350204285964E-4</v>
      </c>
      <c r="D212">
        <f t="shared" si="31"/>
        <v>-6.5978411027196593E-3</v>
      </c>
      <c r="E212">
        <f>_xlfn.XLOOKUP(A212,VIX!A:A,VIX!B:B,"",-1)</f>
        <v>11.81</v>
      </c>
      <c r="F212">
        <f t="shared" si="25"/>
        <v>-0.17999999999999972</v>
      </c>
      <c r="G212">
        <f>_xlfn.XLOOKUP(A212,'DGS10'!A:A,'DGS10'!B:B,"",-1)</f>
        <v>2.48</v>
      </c>
      <c r="H212">
        <f t="shared" si="26"/>
        <v>2.9999999999999805E-2</v>
      </c>
      <c r="I212" s="2">
        <f>_xlfn.XLOOKUP(A212,T10Y3M!A:A,T10Y3M!B:B,"",-1)</f>
        <v>1.97</v>
      </c>
      <c r="J212" s="2">
        <f>_xlfn.XLOOKUP(A212,BAMLC0A4CBBB!A:A,BAMLC0A4CBBB!B:B,"",-1)</f>
        <v>1.61</v>
      </c>
      <c r="K212" s="2">
        <f>_xlfn.XLOOKUP(A212,CPIAUCSL!A:A,CPIAUCSL!B:B,"",-1)</f>
        <v>244.006</v>
      </c>
      <c r="L212">
        <f>_xlfn.XLOOKUP(A212,DFF!A:A,DFF!B:B,"",-1)</f>
        <v>0.66</v>
      </c>
      <c r="M212">
        <f>_xlfn.XLOOKUP(A212,'DGS2'!A:A,'DGS2'!B:B,"",-1)</f>
        <v>1.22</v>
      </c>
      <c r="N212">
        <f t="shared" si="27"/>
        <v>3.0000000000000027E-2</v>
      </c>
      <c r="O212">
        <f t="shared" si="28"/>
        <v>5.7028799543767938E-4</v>
      </c>
      <c r="P212">
        <f t="shared" si="29"/>
        <v>1</v>
      </c>
      <c r="Q212">
        <f t="shared" si="30"/>
        <v>0</v>
      </c>
      <c r="R212" s="3">
        <v>51.08</v>
      </c>
    </row>
    <row r="213" spans="1:18">
      <c r="A213" s="1">
        <v>42768</v>
      </c>
      <c r="B213">
        <v>2280.85</v>
      </c>
      <c r="C213">
        <f t="shared" si="24"/>
        <v>5.7028799543767938E-4</v>
      </c>
      <c r="D213">
        <f t="shared" si="31"/>
        <v>-2.1921171467487177E-5</v>
      </c>
      <c r="E213">
        <f>_xlfn.XLOOKUP(A213,VIX!A:A,VIX!B:B,"",-1)</f>
        <v>11.93</v>
      </c>
      <c r="F213">
        <f t="shared" si="25"/>
        <v>0.11999999999999922</v>
      </c>
      <c r="G213">
        <f>_xlfn.XLOOKUP(A213,'DGS10'!A:A,'DGS10'!B:B,"",-1)</f>
        <v>2.48</v>
      </c>
      <c r="H213">
        <f t="shared" si="26"/>
        <v>0</v>
      </c>
      <c r="I213" s="2">
        <f>_xlfn.XLOOKUP(A213,T10Y3M!A:A,T10Y3M!B:B,"",-1)</f>
        <v>1.96</v>
      </c>
      <c r="J213" s="2">
        <f>_xlfn.XLOOKUP(A213,BAMLC0A4CBBB!A:A,BAMLC0A4CBBB!B:B,"",-1)</f>
        <v>1.61</v>
      </c>
      <c r="K213" s="2">
        <f>_xlfn.XLOOKUP(A213,CPIAUCSL!A:A,CPIAUCSL!B:B,"",-1)</f>
        <v>244.006</v>
      </c>
      <c r="L213">
        <f>_xlfn.XLOOKUP(A213,DFF!A:A,DFF!B:B,"",-1)</f>
        <v>0.66</v>
      </c>
      <c r="M213">
        <f>_xlfn.XLOOKUP(A213,'DGS2'!A:A,'DGS2'!B:B,"",-1)</f>
        <v>1.21</v>
      </c>
      <c r="N213">
        <f t="shared" si="27"/>
        <v>-1.0000000000000009E-2</v>
      </c>
      <c r="O213">
        <f t="shared" si="28"/>
        <v>7.2648354780016078E-3</v>
      </c>
      <c r="P213">
        <f t="shared" si="29"/>
        <v>1</v>
      </c>
      <c r="Q213">
        <f t="shared" si="30"/>
        <v>1</v>
      </c>
      <c r="R213" s="3">
        <v>51.37</v>
      </c>
    </row>
    <row r="214" spans="1:18">
      <c r="A214" s="1">
        <v>42769</v>
      </c>
      <c r="B214">
        <v>2297.42</v>
      </c>
      <c r="C214">
        <f t="shared" si="24"/>
        <v>7.2648354780016078E-3</v>
      </c>
      <c r="D214">
        <f t="shared" si="31"/>
        <v>8.1399992101349739E-3</v>
      </c>
      <c r="E214">
        <f>_xlfn.XLOOKUP(A214,VIX!A:A,VIX!B:B,"",-1)</f>
        <v>10.97</v>
      </c>
      <c r="F214">
        <f t="shared" si="25"/>
        <v>-0.95999999999999908</v>
      </c>
      <c r="G214">
        <f>_xlfn.XLOOKUP(A214,'DGS10'!A:A,'DGS10'!B:B,"",-1)</f>
        <v>2.4900000000000002</v>
      </c>
      <c r="H214">
        <f t="shared" si="26"/>
        <v>1.0000000000000231E-2</v>
      </c>
      <c r="I214" s="2">
        <f>_xlfn.XLOOKUP(A214,T10Y3M!A:A,T10Y3M!B:B,"",-1)</f>
        <v>1.98</v>
      </c>
      <c r="J214" s="2">
        <f>_xlfn.XLOOKUP(A214,BAMLC0A4CBBB!A:A,BAMLC0A4CBBB!B:B,"",-1)</f>
        <v>1.6</v>
      </c>
      <c r="K214" s="2">
        <f>_xlfn.XLOOKUP(A214,CPIAUCSL!A:A,CPIAUCSL!B:B,"",-1)</f>
        <v>244.006</v>
      </c>
      <c r="L214">
        <f>_xlfn.XLOOKUP(A214,DFF!A:A,DFF!B:B,"",-1)</f>
        <v>0.66</v>
      </c>
      <c r="M214">
        <f>_xlfn.XLOOKUP(A214,'DGS2'!A:A,'DGS2'!B:B,"",-1)</f>
        <v>1.21</v>
      </c>
      <c r="N214">
        <f t="shared" si="27"/>
        <v>0</v>
      </c>
      <c r="O214">
        <f t="shared" si="28"/>
        <v>-2.1154164236404371E-3</v>
      </c>
      <c r="P214">
        <f t="shared" si="29"/>
        <v>0</v>
      </c>
      <c r="Q214">
        <f t="shared" si="30"/>
        <v>0</v>
      </c>
      <c r="R214" s="3">
        <v>52.42</v>
      </c>
    </row>
    <row r="215" spans="1:18">
      <c r="A215" s="1">
        <v>42772</v>
      </c>
      <c r="B215">
        <v>2292.56</v>
      </c>
      <c r="C215">
        <f t="shared" si="24"/>
        <v>-2.1154164236404371E-3</v>
      </c>
      <c r="D215">
        <f t="shared" si="31"/>
        <v>5.7072667851110204E-3</v>
      </c>
      <c r="E215">
        <f>_xlfn.XLOOKUP(A215,VIX!A:A,VIX!B:B,"",-1)</f>
        <v>11.37</v>
      </c>
      <c r="F215">
        <f t="shared" si="25"/>
        <v>0.39999999999999858</v>
      </c>
      <c r="G215">
        <f>_xlfn.XLOOKUP(A215,'DGS10'!A:A,'DGS10'!B:B,"",-1)</f>
        <v>2.42</v>
      </c>
      <c r="H215">
        <f t="shared" si="26"/>
        <v>-7.0000000000000284E-2</v>
      </c>
      <c r="I215" s="2">
        <f>_xlfn.XLOOKUP(A215,T10Y3M!A:A,T10Y3M!B:B,"",-1)</f>
        <v>1.89</v>
      </c>
      <c r="J215" s="2">
        <f>_xlfn.XLOOKUP(A215,BAMLC0A4CBBB!A:A,BAMLC0A4CBBB!B:B,"",-1)</f>
        <v>1.61</v>
      </c>
      <c r="K215" s="2">
        <f>_xlfn.XLOOKUP(A215,CPIAUCSL!A:A,CPIAUCSL!B:B,"",-1)</f>
        <v>244.006</v>
      </c>
      <c r="L215">
        <f>_xlfn.XLOOKUP(A215,DFF!A:A,DFF!B:B,"",-1)</f>
        <v>0.66</v>
      </c>
      <c r="M215">
        <f>_xlfn.XLOOKUP(A215,'DGS2'!A:A,'DGS2'!B:B,"",-1)</f>
        <v>1.1599999999999999</v>
      </c>
      <c r="N215">
        <f t="shared" si="27"/>
        <v>-5.0000000000000044E-2</v>
      </c>
      <c r="O215">
        <f t="shared" si="28"/>
        <v>2.2682067208701362E-4</v>
      </c>
      <c r="P215">
        <f t="shared" si="29"/>
        <v>1</v>
      </c>
      <c r="Q215">
        <f t="shared" si="30"/>
        <v>0</v>
      </c>
      <c r="R215" s="3">
        <v>52.75</v>
      </c>
    </row>
    <row r="216" spans="1:18">
      <c r="A216" s="1">
        <v>42773</v>
      </c>
      <c r="B216">
        <v>2293.08</v>
      </c>
      <c r="C216">
        <f t="shared" si="24"/>
        <v>2.2682067208701362E-4</v>
      </c>
      <c r="D216">
        <f t="shared" si="31"/>
        <v>5.3620360830393121E-3</v>
      </c>
      <c r="E216">
        <f>_xlfn.XLOOKUP(A216,VIX!A:A,VIX!B:B,"",-1)</f>
        <v>11.29</v>
      </c>
      <c r="F216">
        <f t="shared" si="25"/>
        <v>-8.0000000000000071E-2</v>
      </c>
      <c r="G216">
        <f>_xlfn.XLOOKUP(A216,'DGS10'!A:A,'DGS10'!B:B,"",-1)</f>
        <v>2.4</v>
      </c>
      <c r="H216">
        <f t="shared" si="26"/>
        <v>-2.0000000000000018E-2</v>
      </c>
      <c r="I216" s="2">
        <f>_xlfn.XLOOKUP(A216,T10Y3M!A:A,T10Y3M!B:B,"",-1)</f>
        <v>1.87</v>
      </c>
      <c r="J216" s="2">
        <f>_xlfn.XLOOKUP(A216,BAMLC0A4CBBB!A:A,BAMLC0A4CBBB!B:B,"",-1)</f>
        <v>1.61</v>
      </c>
      <c r="K216" s="2">
        <f>_xlfn.XLOOKUP(A216,CPIAUCSL!A:A,CPIAUCSL!B:B,"",-1)</f>
        <v>244.006</v>
      </c>
      <c r="L216">
        <f>_xlfn.XLOOKUP(A216,DFF!A:A,DFF!B:B,"",-1)</f>
        <v>0.66</v>
      </c>
      <c r="M216">
        <f>_xlfn.XLOOKUP(A216,'DGS2'!A:A,'DGS2'!B:B,"",-1)</f>
        <v>1.1599999999999999</v>
      </c>
      <c r="N216">
        <f t="shared" si="27"/>
        <v>0</v>
      </c>
      <c r="O216">
        <f t="shared" si="28"/>
        <v>6.9339054895611874E-4</v>
      </c>
      <c r="P216">
        <f t="shared" si="29"/>
        <v>1</v>
      </c>
      <c r="Q216">
        <f t="shared" si="30"/>
        <v>0</v>
      </c>
      <c r="R216" s="3">
        <v>53.18</v>
      </c>
    </row>
    <row r="217" spans="1:18">
      <c r="A217" s="1">
        <v>42774</v>
      </c>
      <c r="B217">
        <v>2294.67</v>
      </c>
      <c r="C217">
        <f t="shared" si="24"/>
        <v>6.9339054895611874E-4</v>
      </c>
      <c r="D217">
        <f t="shared" si="31"/>
        <v>-1.1969948899199778E-3</v>
      </c>
      <c r="E217">
        <f>_xlfn.XLOOKUP(A217,VIX!A:A,VIX!B:B,"",-1)</f>
        <v>11.45</v>
      </c>
      <c r="F217">
        <f t="shared" si="25"/>
        <v>0.16000000000000014</v>
      </c>
      <c r="G217">
        <f>_xlfn.XLOOKUP(A217,'DGS10'!A:A,'DGS10'!B:B,"",-1)</f>
        <v>2.34</v>
      </c>
      <c r="H217">
        <f t="shared" si="26"/>
        <v>-6.0000000000000053E-2</v>
      </c>
      <c r="I217" s="2">
        <f>_xlfn.XLOOKUP(A217,T10Y3M!A:A,T10Y3M!B:B,"",-1)</f>
        <v>1.8</v>
      </c>
      <c r="J217" s="2">
        <f>_xlfn.XLOOKUP(A217,BAMLC0A4CBBB!A:A,BAMLC0A4CBBB!B:B,"",-1)</f>
        <v>1.62</v>
      </c>
      <c r="K217" s="2">
        <f>_xlfn.XLOOKUP(A217,CPIAUCSL!A:A,CPIAUCSL!B:B,"",-1)</f>
        <v>244.006</v>
      </c>
      <c r="L217">
        <f>_xlfn.XLOOKUP(A217,DFF!A:A,DFF!B:B,"",-1)</f>
        <v>0.66</v>
      </c>
      <c r="M217">
        <f>_xlfn.XLOOKUP(A217,'DGS2'!A:A,'DGS2'!B:B,"",-1)</f>
        <v>1.1499999999999999</v>
      </c>
      <c r="N217">
        <f t="shared" si="27"/>
        <v>-1.0000000000000009E-2</v>
      </c>
      <c r="O217">
        <f t="shared" si="28"/>
        <v>5.7524611382027135E-3</v>
      </c>
      <c r="P217">
        <f t="shared" si="29"/>
        <v>1</v>
      </c>
      <c r="Q217">
        <f t="shared" si="30"/>
        <v>1</v>
      </c>
      <c r="R217" s="3">
        <v>52.75</v>
      </c>
    </row>
    <row r="218" spans="1:18">
      <c r="A218" s="1">
        <v>42775</v>
      </c>
      <c r="B218">
        <v>2307.87</v>
      </c>
      <c r="C218">
        <f t="shared" si="24"/>
        <v>5.7524611382027135E-3</v>
      </c>
      <c r="D218">
        <f t="shared" si="31"/>
        <v>6.6781240185642687E-3</v>
      </c>
      <c r="E218">
        <f>_xlfn.XLOOKUP(A218,VIX!A:A,VIX!B:B,"",-1)</f>
        <v>10.88</v>
      </c>
      <c r="F218">
        <f t="shared" si="25"/>
        <v>-0.56999999999999851</v>
      </c>
      <c r="G218">
        <f>_xlfn.XLOOKUP(A218,'DGS10'!A:A,'DGS10'!B:B,"",-1)</f>
        <v>2.4</v>
      </c>
      <c r="H218">
        <f t="shared" si="26"/>
        <v>6.0000000000000053E-2</v>
      </c>
      <c r="I218" s="2">
        <f>_xlfn.XLOOKUP(A218,T10Y3M!A:A,T10Y3M!B:B,"",-1)</f>
        <v>1.86</v>
      </c>
      <c r="J218" s="2">
        <f>_xlfn.XLOOKUP(A218,BAMLC0A4CBBB!A:A,BAMLC0A4CBBB!B:B,"",-1)</f>
        <v>1.61</v>
      </c>
      <c r="K218" s="2">
        <f>_xlfn.XLOOKUP(A218,CPIAUCSL!A:A,CPIAUCSL!B:B,"",-1)</f>
        <v>244.006</v>
      </c>
      <c r="L218">
        <f>_xlfn.XLOOKUP(A218,DFF!A:A,DFF!B:B,"",-1)</f>
        <v>0.66</v>
      </c>
      <c r="M218">
        <f>_xlfn.XLOOKUP(A218,'DGS2'!A:A,'DGS2'!B:B,"",-1)</f>
        <v>1.2</v>
      </c>
      <c r="N218">
        <f t="shared" si="27"/>
        <v>5.0000000000000044E-2</v>
      </c>
      <c r="O218">
        <f t="shared" si="28"/>
        <v>3.5660587468098193E-3</v>
      </c>
      <c r="P218">
        <f t="shared" si="29"/>
        <v>1</v>
      </c>
      <c r="Q218">
        <f t="shared" si="30"/>
        <v>1</v>
      </c>
      <c r="R218" s="3">
        <v>53.78</v>
      </c>
    </row>
    <row r="219" spans="1:18">
      <c r="A219" s="1">
        <v>42776</v>
      </c>
      <c r="B219">
        <v>2316.1</v>
      </c>
      <c r="C219">
        <f t="shared" si="24"/>
        <v>3.5660587468098193E-3</v>
      </c>
      <c r="D219">
        <f t="shared" si="31"/>
        <v>1.0038899645891108E-2</v>
      </c>
      <c r="E219">
        <f>_xlfn.XLOOKUP(A219,VIX!A:A,VIX!B:B,"",-1)</f>
        <v>10.85</v>
      </c>
      <c r="F219">
        <f t="shared" si="25"/>
        <v>-3.0000000000001137E-2</v>
      </c>
      <c r="G219">
        <f>_xlfn.XLOOKUP(A219,'DGS10'!A:A,'DGS10'!B:B,"",-1)</f>
        <v>2.41</v>
      </c>
      <c r="H219">
        <f t="shared" si="26"/>
        <v>1.0000000000000231E-2</v>
      </c>
      <c r="I219" s="2">
        <f>_xlfn.XLOOKUP(A219,T10Y3M!A:A,T10Y3M!B:B,"",-1)</f>
        <v>1.86</v>
      </c>
      <c r="J219" s="2">
        <f>_xlfn.XLOOKUP(A219,BAMLC0A4CBBB!A:A,BAMLC0A4CBBB!B:B,"",-1)</f>
        <v>1.6</v>
      </c>
      <c r="K219" s="2">
        <f>_xlfn.XLOOKUP(A219,CPIAUCSL!A:A,CPIAUCSL!B:B,"",-1)</f>
        <v>244.006</v>
      </c>
      <c r="L219">
        <f>_xlfn.XLOOKUP(A219,DFF!A:A,DFF!B:B,"",-1)</f>
        <v>0.66</v>
      </c>
      <c r="M219">
        <f>_xlfn.XLOOKUP(A219,'DGS2'!A:A,'DGS2'!B:B,"",-1)</f>
        <v>1.2</v>
      </c>
      <c r="N219">
        <f t="shared" si="27"/>
        <v>0</v>
      </c>
      <c r="O219">
        <f t="shared" si="28"/>
        <v>5.2458874832692626E-3</v>
      </c>
      <c r="P219">
        <f t="shared" si="29"/>
        <v>1</v>
      </c>
      <c r="Q219">
        <f t="shared" si="30"/>
        <v>1</v>
      </c>
      <c r="R219" s="3">
        <v>53.17</v>
      </c>
    </row>
    <row r="220" spans="1:18">
      <c r="A220" s="1">
        <v>42779</v>
      </c>
      <c r="B220">
        <v>2328.25</v>
      </c>
      <c r="C220">
        <f t="shared" si="24"/>
        <v>5.2458874832692626E-3</v>
      </c>
      <c r="D220">
        <f t="shared" si="31"/>
        <v>1.4633912501579749E-2</v>
      </c>
      <c r="E220">
        <f>_xlfn.XLOOKUP(A220,VIX!A:A,VIX!B:B,"",-1)</f>
        <v>11.07</v>
      </c>
      <c r="F220">
        <f t="shared" si="25"/>
        <v>0.22000000000000064</v>
      </c>
      <c r="G220">
        <f>_xlfn.XLOOKUP(A220,'DGS10'!A:A,'DGS10'!B:B,"",-1)</f>
        <v>2.4300000000000002</v>
      </c>
      <c r="H220">
        <f t="shared" si="26"/>
        <v>2.0000000000000018E-2</v>
      </c>
      <c r="I220" s="2">
        <f>_xlfn.XLOOKUP(A220,T10Y3M!A:A,T10Y3M!B:B,"",-1)</f>
        <v>1.91</v>
      </c>
      <c r="J220" s="2">
        <f>_xlfn.XLOOKUP(A220,BAMLC0A4CBBB!A:A,BAMLC0A4CBBB!B:B,"",-1)</f>
        <v>1.59</v>
      </c>
      <c r="K220" s="2">
        <f>_xlfn.XLOOKUP(A220,CPIAUCSL!A:A,CPIAUCSL!B:B,"",-1)</f>
        <v>244.006</v>
      </c>
      <c r="L220">
        <f>_xlfn.XLOOKUP(A220,DFF!A:A,DFF!B:B,"",-1)</f>
        <v>0.66</v>
      </c>
      <c r="M220">
        <f>_xlfn.XLOOKUP(A220,'DGS2'!A:A,'DGS2'!B:B,"",-1)</f>
        <v>1.2</v>
      </c>
      <c r="N220">
        <f t="shared" si="27"/>
        <v>0</v>
      </c>
      <c r="O220">
        <f t="shared" si="28"/>
        <v>4.0073016213895141E-3</v>
      </c>
      <c r="P220">
        <f t="shared" si="29"/>
        <v>1</v>
      </c>
      <c r="Q220">
        <f t="shared" si="30"/>
        <v>1</v>
      </c>
      <c r="R220" s="3">
        <v>52.63</v>
      </c>
    </row>
    <row r="221" spans="1:18">
      <c r="A221" s="1">
        <v>42780</v>
      </c>
      <c r="B221">
        <v>2337.58</v>
      </c>
      <c r="C221">
        <f t="shared" si="24"/>
        <v>4.0073016213895141E-3</v>
      </c>
      <c r="D221">
        <f t="shared" si="31"/>
        <v>1.2873342085992778E-2</v>
      </c>
      <c r="E221">
        <f>_xlfn.XLOOKUP(A221,VIX!A:A,VIX!B:B,"",-1)</f>
        <v>10.74</v>
      </c>
      <c r="F221">
        <f t="shared" si="25"/>
        <v>-0.33000000000000007</v>
      </c>
      <c r="G221">
        <f>_xlfn.XLOOKUP(A221,'DGS10'!A:A,'DGS10'!B:B,"",-1)</f>
        <v>2.4700000000000002</v>
      </c>
      <c r="H221">
        <f t="shared" si="26"/>
        <v>4.0000000000000036E-2</v>
      </c>
      <c r="I221" s="2">
        <f>_xlfn.XLOOKUP(A221,T10Y3M!A:A,T10Y3M!B:B,"",-1)</f>
        <v>1.93</v>
      </c>
      <c r="J221" s="2">
        <f>_xlfn.XLOOKUP(A221,BAMLC0A4CBBB!A:A,BAMLC0A4CBBB!B:B,"",-1)</f>
        <v>1.57</v>
      </c>
      <c r="K221" s="2">
        <f>_xlfn.XLOOKUP(A221,CPIAUCSL!A:A,CPIAUCSL!B:B,"",-1)</f>
        <v>244.006</v>
      </c>
      <c r="L221">
        <f>_xlfn.XLOOKUP(A221,DFF!A:A,DFF!B:B,"",-1)</f>
        <v>0.66</v>
      </c>
      <c r="M221">
        <f>_xlfn.XLOOKUP(A221,'DGS2'!A:A,'DGS2'!B:B,"",-1)</f>
        <v>1.25</v>
      </c>
      <c r="N221">
        <f t="shared" si="27"/>
        <v>5.0000000000000044E-2</v>
      </c>
      <c r="O221">
        <f t="shared" si="28"/>
        <v>4.9923425080640182E-3</v>
      </c>
      <c r="P221">
        <f t="shared" si="29"/>
        <v>1</v>
      </c>
      <c r="Q221">
        <f t="shared" si="30"/>
        <v>1</v>
      </c>
      <c r="R221" s="3">
        <v>52.81</v>
      </c>
    </row>
    <row r="222" spans="1:18">
      <c r="A222" s="1">
        <v>42781</v>
      </c>
      <c r="B222">
        <v>2349.25</v>
      </c>
      <c r="C222">
        <f t="shared" si="24"/>
        <v>4.9923425080640182E-3</v>
      </c>
      <c r="D222">
        <f t="shared" si="31"/>
        <v>1.4312853503734679E-2</v>
      </c>
      <c r="E222">
        <f>_xlfn.XLOOKUP(A222,VIX!A:A,VIX!B:B,"",-1)</f>
        <v>11.97</v>
      </c>
      <c r="F222">
        <f t="shared" si="25"/>
        <v>1.2300000000000004</v>
      </c>
      <c r="G222">
        <f>_xlfn.XLOOKUP(A222,'DGS10'!A:A,'DGS10'!B:B,"",-1)</f>
        <v>2.5099999999999998</v>
      </c>
      <c r="H222">
        <f t="shared" si="26"/>
        <v>3.9999999999999591E-2</v>
      </c>
      <c r="I222" s="2">
        <f>_xlfn.XLOOKUP(A222,T10Y3M!A:A,T10Y3M!B:B,"",-1)</f>
        <v>1.97</v>
      </c>
      <c r="J222" s="2">
        <f>_xlfn.XLOOKUP(A222,BAMLC0A4CBBB!A:A,BAMLC0A4CBBB!B:B,"",-1)</f>
        <v>1.56</v>
      </c>
      <c r="K222" s="2">
        <f>_xlfn.XLOOKUP(A222,CPIAUCSL!A:A,CPIAUCSL!B:B,"",-1)</f>
        <v>244.006</v>
      </c>
      <c r="L222">
        <f>_xlfn.XLOOKUP(A222,DFF!A:A,DFF!B:B,"",-1)</f>
        <v>0.66</v>
      </c>
      <c r="M222">
        <f>_xlfn.XLOOKUP(A222,'DGS2'!A:A,'DGS2'!B:B,"",-1)</f>
        <v>1.27</v>
      </c>
      <c r="N222">
        <f t="shared" si="27"/>
        <v>2.0000000000000018E-2</v>
      </c>
      <c r="O222">
        <f t="shared" si="28"/>
        <v>-8.641055656061214E-4</v>
      </c>
      <c r="P222">
        <f t="shared" si="29"/>
        <v>0</v>
      </c>
      <c r="Q222">
        <f t="shared" si="30"/>
        <v>0</v>
      </c>
      <c r="R222" s="3">
        <v>53.88</v>
      </c>
    </row>
    <row r="223" spans="1:18">
      <c r="A223" s="1">
        <v>42782</v>
      </c>
      <c r="B223">
        <v>2347.2199999999998</v>
      </c>
      <c r="C223">
        <f t="shared" si="24"/>
        <v>-8.641055656061214E-4</v>
      </c>
      <c r="D223">
        <f t="shared" si="31"/>
        <v>8.1477504563511882E-3</v>
      </c>
      <c r="E223">
        <f>_xlfn.XLOOKUP(A223,VIX!A:A,VIX!B:B,"",-1)</f>
        <v>11.76</v>
      </c>
      <c r="F223">
        <f t="shared" si="25"/>
        <v>-0.21000000000000085</v>
      </c>
      <c r="G223">
        <f>_xlfn.XLOOKUP(A223,'DGS10'!A:A,'DGS10'!B:B,"",-1)</f>
        <v>2.4500000000000002</v>
      </c>
      <c r="H223">
        <f t="shared" si="26"/>
        <v>-5.9999999999999609E-2</v>
      </c>
      <c r="I223" s="2">
        <f>_xlfn.XLOOKUP(A223,T10Y3M!A:A,T10Y3M!B:B,"",-1)</f>
        <v>1.92</v>
      </c>
      <c r="J223" s="2">
        <f>_xlfn.XLOOKUP(A223,BAMLC0A4CBBB!A:A,BAMLC0A4CBBB!B:B,"",-1)</f>
        <v>1.56</v>
      </c>
      <c r="K223" s="2">
        <f>_xlfn.XLOOKUP(A223,CPIAUCSL!A:A,CPIAUCSL!B:B,"",-1)</f>
        <v>244.006</v>
      </c>
      <c r="L223">
        <f>_xlfn.XLOOKUP(A223,DFF!A:A,DFF!B:B,"",-1)</f>
        <v>0.66</v>
      </c>
      <c r="M223">
        <f>_xlfn.XLOOKUP(A223,'DGS2'!A:A,'DGS2'!B:B,"",-1)</f>
        <v>1.22</v>
      </c>
      <c r="N223">
        <f t="shared" si="27"/>
        <v>-5.0000000000000044E-2</v>
      </c>
      <c r="O223">
        <f t="shared" si="28"/>
        <v>1.6785814708464297E-3</v>
      </c>
      <c r="P223">
        <f t="shared" si="29"/>
        <v>1</v>
      </c>
      <c r="Q223">
        <f t="shared" si="30"/>
        <v>0</v>
      </c>
      <c r="R223" s="3">
        <v>53.54</v>
      </c>
    </row>
    <row r="224" spans="1:18">
      <c r="A224" s="1">
        <v>42783</v>
      </c>
      <c r="B224">
        <v>2351.16</v>
      </c>
      <c r="C224">
        <f t="shared" si="24"/>
        <v>1.6785814708464297E-3</v>
      </c>
      <c r="D224">
        <f t="shared" si="31"/>
        <v>5.8094268431454488E-3</v>
      </c>
      <c r="E224">
        <f>_xlfn.XLOOKUP(A224,VIX!A:A,VIX!B:B,"",-1)</f>
        <v>11.49</v>
      </c>
      <c r="F224">
        <f t="shared" si="25"/>
        <v>-0.26999999999999957</v>
      </c>
      <c r="G224">
        <f>_xlfn.XLOOKUP(A224,'DGS10'!A:A,'DGS10'!B:B,"",-1)</f>
        <v>2.42</v>
      </c>
      <c r="H224">
        <f t="shared" si="26"/>
        <v>-3.0000000000000249E-2</v>
      </c>
      <c r="I224" s="2">
        <f>_xlfn.XLOOKUP(A224,T10Y3M!A:A,T10Y3M!B:B,"",-1)</f>
        <v>1.89</v>
      </c>
      <c r="J224" s="2">
        <f>_xlfn.XLOOKUP(A224,BAMLC0A4CBBB!A:A,BAMLC0A4CBBB!B:B,"",-1)</f>
        <v>1.57</v>
      </c>
      <c r="K224" s="2">
        <f>_xlfn.XLOOKUP(A224,CPIAUCSL!A:A,CPIAUCSL!B:B,"",-1)</f>
        <v>244.006</v>
      </c>
      <c r="L224">
        <f>_xlfn.XLOOKUP(A224,DFF!A:A,DFF!B:B,"",-1)</f>
        <v>0.66</v>
      </c>
      <c r="M224">
        <f>_xlfn.XLOOKUP(A224,'DGS2'!A:A,'DGS2'!B:B,"",-1)</f>
        <v>1.21</v>
      </c>
      <c r="N224">
        <f t="shared" si="27"/>
        <v>-1.0000000000000009E-2</v>
      </c>
      <c r="O224">
        <f t="shared" si="28"/>
        <v>6.0480783953453798E-3</v>
      </c>
      <c r="P224">
        <f t="shared" si="29"/>
        <v>1</v>
      </c>
      <c r="Q224">
        <f t="shared" si="30"/>
        <v>1</v>
      </c>
      <c r="R224" s="3">
        <v>53.83</v>
      </c>
    </row>
    <row r="225" spans="1:18">
      <c r="A225" s="1">
        <v>42787</v>
      </c>
      <c r="B225">
        <v>2365.38</v>
      </c>
      <c r="C225">
        <f t="shared" si="24"/>
        <v>6.0480783953453798E-3</v>
      </c>
      <c r="D225">
        <f t="shared" si="31"/>
        <v>6.8660210705544511E-3</v>
      </c>
      <c r="E225">
        <f>_xlfn.XLOOKUP(A225,VIX!A:A,VIX!B:B,"",-1)</f>
        <v>11.57</v>
      </c>
      <c r="F225">
        <f t="shared" si="25"/>
        <v>8.0000000000000071E-2</v>
      </c>
      <c r="G225">
        <f>_xlfn.XLOOKUP(A225,'DGS10'!A:A,'DGS10'!B:B,"",-1)</f>
        <v>2.4300000000000002</v>
      </c>
      <c r="H225">
        <f t="shared" si="26"/>
        <v>1.0000000000000231E-2</v>
      </c>
      <c r="I225" s="2">
        <f>_xlfn.XLOOKUP(A225,T10Y3M!A:A,T10Y3M!B:B,"",-1)</f>
        <v>1.9</v>
      </c>
      <c r="J225" s="2">
        <f>_xlfn.XLOOKUP(A225,BAMLC0A4CBBB!A:A,BAMLC0A4CBBB!B:B,"",-1)</f>
        <v>1.56</v>
      </c>
      <c r="K225" s="2">
        <f>_xlfn.XLOOKUP(A225,CPIAUCSL!A:A,CPIAUCSL!B:B,"",-1)</f>
        <v>244.006</v>
      </c>
      <c r="L225">
        <f>_xlfn.XLOOKUP(A225,DFF!A:A,DFF!B:B,"",-1)</f>
        <v>0.66</v>
      </c>
      <c r="M225">
        <f>_xlfn.XLOOKUP(A225,'DGS2'!A:A,'DGS2'!B:B,"",-1)</f>
        <v>1.22</v>
      </c>
      <c r="N225">
        <f t="shared" si="27"/>
        <v>1.0000000000000009E-2</v>
      </c>
      <c r="O225">
        <f t="shared" si="28"/>
        <v>-1.0822785345272479E-3</v>
      </c>
      <c r="P225">
        <f t="shared" si="29"/>
        <v>0</v>
      </c>
      <c r="Q225">
        <f t="shared" si="30"/>
        <v>0</v>
      </c>
      <c r="R225" s="3">
        <v>53.01</v>
      </c>
    </row>
    <row r="226" spans="1:18">
      <c r="A226" s="1">
        <v>42788</v>
      </c>
      <c r="B226">
        <v>2362.8200000000002</v>
      </c>
      <c r="C226">
        <f t="shared" si="24"/>
        <v>-1.0822785345272479E-3</v>
      </c>
      <c r="D226">
        <f t="shared" si="31"/>
        <v>6.646160138376711E-3</v>
      </c>
      <c r="E226">
        <f>_xlfn.XLOOKUP(A226,VIX!A:A,VIX!B:B,"",-1)</f>
        <v>11.74</v>
      </c>
      <c r="F226">
        <f t="shared" si="25"/>
        <v>0.16999999999999993</v>
      </c>
      <c r="G226">
        <f>_xlfn.XLOOKUP(A226,'DGS10'!A:A,'DGS10'!B:B,"",-1)</f>
        <v>2.42</v>
      </c>
      <c r="H226">
        <f t="shared" si="26"/>
        <v>-1.0000000000000231E-2</v>
      </c>
      <c r="I226" s="2">
        <f>_xlfn.XLOOKUP(A226,T10Y3M!A:A,T10Y3M!B:B,"",-1)</f>
        <v>1.9</v>
      </c>
      <c r="J226" s="2">
        <f>_xlfn.XLOOKUP(A226,BAMLC0A4CBBB!A:A,BAMLC0A4CBBB!B:B,"",-1)</f>
        <v>1.56</v>
      </c>
      <c r="K226" s="2">
        <f>_xlfn.XLOOKUP(A226,CPIAUCSL!A:A,CPIAUCSL!B:B,"",-1)</f>
        <v>244.006</v>
      </c>
      <c r="L226">
        <f>_xlfn.XLOOKUP(A226,DFF!A:A,DFF!B:B,"",-1)</f>
        <v>0.66</v>
      </c>
      <c r="M226">
        <f>_xlfn.XLOOKUP(A226,'DGS2'!A:A,'DGS2'!B:B,"",-1)</f>
        <v>1.22</v>
      </c>
      <c r="N226">
        <f t="shared" si="27"/>
        <v>0</v>
      </c>
      <c r="O226">
        <f t="shared" si="28"/>
        <v>4.1899086684549225E-4</v>
      </c>
      <c r="P226">
        <f t="shared" si="29"/>
        <v>1</v>
      </c>
      <c r="Q226">
        <f t="shared" si="30"/>
        <v>0</v>
      </c>
      <c r="R226" s="3">
        <v>52.17</v>
      </c>
    </row>
    <row r="227" spans="1:18">
      <c r="A227" s="1">
        <v>42789</v>
      </c>
      <c r="B227">
        <v>2363.81</v>
      </c>
      <c r="C227">
        <f t="shared" si="24"/>
        <v>4.1899086684549225E-4</v>
      </c>
      <c r="D227">
        <f t="shared" si="31"/>
        <v>5.3803229044386836E-3</v>
      </c>
      <c r="E227">
        <f>_xlfn.XLOOKUP(A227,VIX!A:A,VIX!B:B,"",-1)</f>
        <v>11.71</v>
      </c>
      <c r="F227">
        <f t="shared" si="25"/>
        <v>-2.9999999999999361E-2</v>
      </c>
      <c r="G227">
        <f>_xlfn.XLOOKUP(A227,'DGS10'!A:A,'DGS10'!B:B,"",-1)</f>
        <v>2.38</v>
      </c>
      <c r="H227">
        <f t="shared" si="26"/>
        <v>-4.0000000000000036E-2</v>
      </c>
      <c r="I227" s="2">
        <f>_xlfn.XLOOKUP(A227,T10Y3M!A:A,T10Y3M!B:B,"",-1)</f>
        <v>1.87</v>
      </c>
      <c r="J227" s="2">
        <f>_xlfn.XLOOKUP(A227,BAMLC0A4CBBB!A:A,BAMLC0A4CBBB!B:B,"",-1)</f>
        <v>1.55</v>
      </c>
      <c r="K227" s="2">
        <f>_xlfn.XLOOKUP(A227,CPIAUCSL!A:A,CPIAUCSL!B:B,"",-1)</f>
        <v>244.006</v>
      </c>
      <c r="L227">
        <f>_xlfn.XLOOKUP(A227,DFF!A:A,DFF!B:B,"",-1)</f>
        <v>0.66</v>
      </c>
      <c r="M227">
        <f>_xlfn.XLOOKUP(A227,'DGS2'!A:A,'DGS2'!B:B,"",-1)</f>
        <v>1.18</v>
      </c>
      <c r="N227">
        <f t="shared" si="27"/>
        <v>-4.0000000000000036E-2</v>
      </c>
      <c r="O227">
        <f t="shared" si="28"/>
        <v>1.493351834538359E-3</v>
      </c>
      <c r="P227">
        <f t="shared" si="29"/>
        <v>1</v>
      </c>
      <c r="Q227">
        <f t="shared" si="30"/>
        <v>0</v>
      </c>
      <c r="R227" s="3">
        <v>52.34</v>
      </c>
    </row>
    <row r="228" spans="1:18">
      <c r="A228" s="1">
        <v>42790</v>
      </c>
      <c r="B228">
        <v>2367.34</v>
      </c>
      <c r="C228">
        <f t="shared" si="24"/>
        <v>1.493351834538359E-3</v>
      </c>
      <c r="D228">
        <f t="shared" si="31"/>
        <v>8.286195029973964E-4</v>
      </c>
      <c r="E228">
        <f>_xlfn.XLOOKUP(A228,VIX!A:A,VIX!B:B,"",-1)</f>
        <v>11.47</v>
      </c>
      <c r="F228">
        <f t="shared" si="25"/>
        <v>-0.24000000000000021</v>
      </c>
      <c r="G228">
        <f>_xlfn.XLOOKUP(A228,'DGS10'!A:A,'DGS10'!B:B,"",-1)</f>
        <v>2.31</v>
      </c>
      <c r="H228">
        <f t="shared" si="26"/>
        <v>-6.999999999999984E-2</v>
      </c>
      <c r="I228" s="2">
        <f>_xlfn.XLOOKUP(A228,T10Y3M!A:A,T10Y3M!B:B,"",-1)</f>
        <v>1.79</v>
      </c>
      <c r="J228" s="2">
        <f>_xlfn.XLOOKUP(A228,BAMLC0A4CBBB!A:A,BAMLC0A4CBBB!B:B,"",-1)</f>
        <v>1.56</v>
      </c>
      <c r="K228" s="2">
        <f>_xlfn.XLOOKUP(A228,CPIAUCSL!A:A,CPIAUCSL!B:B,"",-1)</f>
        <v>244.006</v>
      </c>
      <c r="L228">
        <f>_xlfn.XLOOKUP(A228,DFF!A:A,DFF!B:B,"",-1)</f>
        <v>0.66</v>
      </c>
      <c r="M228">
        <f>_xlfn.XLOOKUP(A228,'DGS2'!A:A,'DGS2'!B:B,"",-1)</f>
        <v>1.1200000000000001</v>
      </c>
      <c r="N228">
        <f t="shared" si="27"/>
        <v>-5.9999999999999831E-2</v>
      </c>
      <c r="O228">
        <f t="shared" si="28"/>
        <v>1.018020225231675E-3</v>
      </c>
      <c r="P228">
        <f t="shared" si="29"/>
        <v>1</v>
      </c>
      <c r="Q228">
        <f t="shared" si="30"/>
        <v>0</v>
      </c>
      <c r="R228" s="3">
        <v>53</v>
      </c>
    </row>
    <row r="229" spans="1:18">
      <c r="A229" s="1">
        <v>42793</v>
      </c>
      <c r="B229">
        <v>2369.75</v>
      </c>
      <c r="C229">
        <f t="shared" si="24"/>
        <v>1.018020225231675E-3</v>
      </c>
      <c r="D229">
        <f t="shared" si="31"/>
        <v>2.9329360679186678E-3</v>
      </c>
      <c r="E229">
        <f>_xlfn.XLOOKUP(A229,VIX!A:A,VIX!B:B,"",-1)</f>
        <v>12.09</v>
      </c>
      <c r="F229">
        <f t="shared" si="25"/>
        <v>0.61999999999999922</v>
      </c>
      <c r="G229">
        <f>_xlfn.XLOOKUP(A229,'DGS10'!A:A,'DGS10'!B:B,"",-1)</f>
        <v>2.36</v>
      </c>
      <c r="H229">
        <f t="shared" si="26"/>
        <v>4.9999999999999822E-2</v>
      </c>
      <c r="I229" s="2">
        <f>_xlfn.XLOOKUP(A229,T10Y3M!A:A,T10Y3M!B:B,"",-1)</f>
        <v>1.86</v>
      </c>
      <c r="J229" s="2">
        <f>_xlfn.XLOOKUP(A229,BAMLC0A4CBBB!A:A,BAMLC0A4CBBB!B:B,"",-1)</f>
        <v>1.54</v>
      </c>
      <c r="K229" s="2">
        <f>_xlfn.XLOOKUP(A229,CPIAUCSL!A:A,CPIAUCSL!B:B,"",-1)</f>
        <v>244.006</v>
      </c>
      <c r="L229">
        <f>_xlfn.XLOOKUP(A229,DFF!A:A,DFF!B:B,"",-1)</f>
        <v>0.66</v>
      </c>
      <c r="M229">
        <f>_xlfn.XLOOKUP(A229,'DGS2'!A:A,'DGS2'!B:B,"",-1)</f>
        <v>1.2</v>
      </c>
      <c r="N229">
        <f t="shared" si="27"/>
        <v>7.9999999999999849E-2</v>
      </c>
      <c r="O229">
        <f t="shared" si="28"/>
        <v>-2.5783310475788745E-3</v>
      </c>
      <c r="P229">
        <f t="shared" si="29"/>
        <v>0</v>
      </c>
      <c r="Q229">
        <f t="shared" si="30"/>
        <v>0</v>
      </c>
      <c r="R229" s="3">
        <v>53.86</v>
      </c>
    </row>
    <row r="230" spans="1:18">
      <c r="A230" s="1">
        <v>42794</v>
      </c>
      <c r="B230">
        <v>2363.64</v>
      </c>
      <c r="C230">
        <f t="shared" si="24"/>
        <v>-2.5783310475788745E-3</v>
      </c>
      <c r="D230">
        <f t="shared" si="31"/>
        <v>-7.1917793731390844E-5</v>
      </c>
      <c r="E230">
        <f>_xlfn.XLOOKUP(A230,VIX!A:A,VIX!B:B,"",-1)</f>
        <v>12.92</v>
      </c>
      <c r="F230">
        <f t="shared" si="25"/>
        <v>0.83000000000000007</v>
      </c>
      <c r="G230">
        <f>_xlfn.XLOOKUP(A230,'DGS10'!A:A,'DGS10'!B:B,"",-1)</f>
        <v>2.36</v>
      </c>
      <c r="H230">
        <f t="shared" si="26"/>
        <v>0</v>
      </c>
      <c r="I230" s="2">
        <f>_xlfn.XLOOKUP(A230,T10Y3M!A:A,T10Y3M!B:B,"",-1)</f>
        <v>1.83</v>
      </c>
      <c r="J230" s="2">
        <f>_xlfn.XLOOKUP(A230,BAMLC0A4CBBB!A:A,BAMLC0A4CBBB!B:B,"",-1)</f>
        <v>1.54</v>
      </c>
      <c r="K230" s="2">
        <f>_xlfn.XLOOKUP(A230,CPIAUCSL!A:A,CPIAUCSL!B:B,"",-1)</f>
        <v>244.006</v>
      </c>
      <c r="L230">
        <f>_xlfn.XLOOKUP(A230,DFF!A:A,DFF!B:B,"",-1)</f>
        <v>0.56999999999999995</v>
      </c>
      <c r="M230">
        <f>_xlfn.XLOOKUP(A230,'DGS2'!A:A,'DGS2'!B:B,"",-1)</f>
        <v>1.22</v>
      </c>
      <c r="N230">
        <f t="shared" si="27"/>
        <v>2.0000000000000018E-2</v>
      </c>
      <c r="O230">
        <f t="shared" si="28"/>
        <v>1.3673825117192173E-2</v>
      </c>
      <c r="P230">
        <f t="shared" si="29"/>
        <v>1</v>
      </c>
      <c r="Q230">
        <f t="shared" si="30"/>
        <v>1</v>
      </c>
      <c r="R230" s="3">
        <v>52.93</v>
      </c>
    </row>
    <row r="231" spans="1:18">
      <c r="A231" s="1">
        <v>42795</v>
      </c>
      <c r="B231">
        <v>2395.96</v>
      </c>
      <c r="C231">
        <f t="shared" si="24"/>
        <v>1.3673825117192173E-2</v>
      </c>
      <c r="D231">
        <f t="shared" si="31"/>
        <v>1.2089518193415305E-2</v>
      </c>
      <c r="E231">
        <f>_xlfn.XLOOKUP(A231,VIX!A:A,VIX!B:B,"",-1)</f>
        <v>12.54</v>
      </c>
      <c r="F231">
        <f t="shared" si="25"/>
        <v>-0.38000000000000078</v>
      </c>
      <c r="G231">
        <f>_xlfn.XLOOKUP(A231,'DGS10'!A:A,'DGS10'!B:B,"",-1)</f>
        <v>2.46</v>
      </c>
      <c r="H231">
        <f t="shared" si="26"/>
        <v>0.10000000000000009</v>
      </c>
      <c r="I231" s="2">
        <f>_xlfn.XLOOKUP(A231,T10Y3M!A:A,T10Y3M!B:B,"",-1)</f>
        <v>1.83</v>
      </c>
      <c r="J231" s="2">
        <f>_xlfn.XLOOKUP(A231,BAMLC0A4CBBB!A:A,BAMLC0A4CBBB!B:B,"",-1)</f>
        <v>1.52</v>
      </c>
      <c r="K231" s="2">
        <f>_xlfn.XLOOKUP(A231,CPIAUCSL!A:A,CPIAUCSL!B:B,"",-1)</f>
        <v>243.892</v>
      </c>
      <c r="L231">
        <f>_xlfn.XLOOKUP(A231,DFF!A:A,DFF!B:B,"",-1)</f>
        <v>0.66</v>
      </c>
      <c r="M231">
        <f>_xlfn.XLOOKUP(A231,'DGS2'!A:A,'DGS2'!B:B,"",-1)</f>
        <v>1.29</v>
      </c>
      <c r="N231">
        <f t="shared" si="27"/>
        <v>7.0000000000000062E-2</v>
      </c>
      <c r="O231">
        <f t="shared" si="28"/>
        <v>-5.8598641045760624E-3</v>
      </c>
      <c r="P231">
        <f t="shared" si="29"/>
        <v>0</v>
      </c>
      <c r="Q231">
        <f t="shared" si="30"/>
        <v>-1</v>
      </c>
      <c r="R231" s="3">
        <v>53.2</v>
      </c>
    </row>
    <row r="232" spans="1:18">
      <c r="A232" s="1">
        <v>42796</v>
      </c>
      <c r="B232">
        <v>2381.92</v>
      </c>
      <c r="C232">
        <f t="shared" si="24"/>
        <v>-5.8598641045760624E-3</v>
      </c>
      <c r="D232">
        <f t="shared" si="31"/>
        <v>5.1355628230826955E-3</v>
      </c>
      <c r="E232">
        <f>_xlfn.XLOOKUP(A232,VIX!A:A,VIX!B:B,"",-1)</f>
        <v>11.81</v>
      </c>
      <c r="F232">
        <f t="shared" si="25"/>
        <v>-0.72999999999999865</v>
      </c>
      <c r="G232">
        <f>_xlfn.XLOOKUP(A232,'DGS10'!A:A,'DGS10'!B:B,"",-1)</f>
        <v>2.4900000000000002</v>
      </c>
      <c r="H232">
        <f t="shared" si="26"/>
        <v>3.0000000000000249E-2</v>
      </c>
      <c r="I232" s="2">
        <f>_xlfn.XLOOKUP(A232,T10Y3M!A:A,T10Y3M!B:B,"",-1)</f>
        <v>1.82</v>
      </c>
      <c r="J232" s="2">
        <f>_xlfn.XLOOKUP(A232,BAMLC0A4CBBB!A:A,BAMLC0A4CBBB!B:B,"",-1)</f>
        <v>1.51</v>
      </c>
      <c r="K232" s="2">
        <f>_xlfn.XLOOKUP(A232,CPIAUCSL!A:A,CPIAUCSL!B:B,"",-1)</f>
        <v>243.892</v>
      </c>
      <c r="L232">
        <f>_xlfn.XLOOKUP(A232,DFF!A:A,DFF!B:B,"",-1)</f>
        <v>0.66</v>
      </c>
      <c r="M232">
        <f>_xlfn.XLOOKUP(A232,'DGS2'!A:A,'DGS2'!B:B,"",-1)</f>
        <v>1.32</v>
      </c>
      <c r="N232">
        <f t="shared" si="27"/>
        <v>3.0000000000000027E-2</v>
      </c>
      <c r="O232">
        <f t="shared" si="28"/>
        <v>5.0379525760724242E-4</v>
      </c>
      <c r="P232">
        <f t="shared" si="29"/>
        <v>1</v>
      </c>
      <c r="Q232">
        <f t="shared" si="30"/>
        <v>0</v>
      </c>
      <c r="R232" s="3">
        <v>53.11</v>
      </c>
    </row>
    <row r="233" spans="1:18">
      <c r="A233" s="1">
        <v>42797</v>
      </c>
      <c r="B233">
        <v>2383.12</v>
      </c>
      <c r="C233">
        <f t="shared" si="24"/>
        <v>5.0379525760724242E-4</v>
      </c>
      <c r="D233">
        <f t="shared" si="31"/>
        <v>8.2415257822681109E-3</v>
      </c>
      <c r="E233">
        <f>_xlfn.XLOOKUP(A233,VIX!A:A,VIX!B:B,"",-1)</f>
        <v>10.96</v>
      </c>
      <c r="F233">
        <f t="shared" si="25"/>
        <v>-0.84999999999999964</v>
      </c>
      <c r="G233">
        <f>_xlfn.XLOOKUP(A233,'DGS10'!A:A,'DGS10'!B:B,"",-1)</f>
        <v>2.4900000000000002</v>
      </c>
      <c r="H233">
        <f t="shared" si="26"/>
        <v>0</v>
      </c>
      <c r="I233" s="2">
        <f>_xlfn.XLOOKUP(A233,T10Y3M!A:A,T10Y3M!B:B,"",-1)</f>
        <v>1.78</v>
      </c>
      <c r="J233" s="2">
        <f>_xlfn.XLOOKUP(A233,BAMLC0A4CBBB!A:A,BAMLC0A4CBBB!B:B,"",-1)</f>
        <v>1.5</v>
      </c>
      <c r="K233" s="2">
        <f>_xlfn.XLOOKUP(A233,CPIAUCSL!A:A,CPIAUCSL!B:B,"",-1)</f>
        <v>243.892</v>
      </c>
      <c r="L233">
        <f>_xlfn.XLOOKUP(A233,DFF!A:A,DFF!B:B,"",-1)</f>
        <v>0.66</v>
      </c>
      <c r="M233">
        <f>_xlfn.XLOOKUP(A233,'DGS2'!A:A,'DGS2'!B:B,"",-1)</f>
        <v>1.32</v>
      </c>
      <c r="N233">
        <f t="shared" si="27"/>
        <v>0</v>
      </c>
      <c r="O233">
        <f t="shared" si="28"/>
        <v>-3.2772164221692712E-3</v>
      </c>
      <c r="P233">
        <f t="shared" si="29"/>
        <v>0</v>
      </c>
      <c r="Q233">
        <f t="shared" si="30"/>
        <v>-1</v>
      </c>
      <c r="R233" s="3">
        <v>53.36</v>
      </c>
    </row>
    <row r="234" spans="1:18">
      <c r="A234" s="1">
        <v>42800</v>
      </c>
      <c r="B234">
        <v>2375.31</v>
      </c>
      <c r="C234">
        <f t="shared" si="24"/>
        <v>-3.2772164221692712E-3</v>
      </c>
      <c r="D234">
        <f t="shared" si="31"/>
        <v>-8.6186747691948673E-3</v>
      </c>
      <c r="E234">
        <f>_xlfn.XLOOKUP(A234,VIX!A:A,VIX!B:B,"",-1)</f>
        <v>11.24</v>
      </c>
      <c r="F234">
        <f t="shared" si="25"/>
        <v>0.27999999999999936</v>
      </c>
      <c r="G234">
        <f>_xlfn.XLOOKUP(A234,'DGS10'!A:A,'DGS10'!B:B,"",-1)</f>
        <v>2.4900000000000002</v>
      </c>
      <c r="H234">
        <f t="shared" si="26"/>
        <v>0</v>
      </c>
      <c r="I234" s="2">
        <f>_xlfn.XLOOKUP(A234,T10Y3M!A:A,T10Y3M!B:B,"",-1)</f>
        <v>1.75</v>
      </c>
      <c r="J234" s="2">
        <f>_xlfn.XLOOKUP(A234,BAMLC0A4CBBB!A:A,BAMLC0A4CBBB!B:B,"",-1)</f>
        <v>1.5</v>
      </c>
      <c r="K234" s="2">
        <f>_xlfn.XLOOKUP(A234,CPIAUCSL!A:A,CPIAUCSL!B:B,"",-1)</f>
        <v>243.892</v>
      </c>
      <c r="L234">
        <f>_xlfn.XLOOKUP(A234,DFF!A:A,DFF!B:B,"",-1)</f>
        <v>0.66</v>
      </c>
      <c r="M234">
        <f>_xlfn.XLOOKUP(A234,'DGS2'!A:A,'DGS2'!B:B,"",-1)</f>
        <v>1.31</v>
      </c>
      <c r="N234">
        <f t="shared" si="27"/>
        <v>-1.0000000000000009E-2</v>
      </c>
      <c r="O234">
        <f t="shared" si="28"/>
        <v>-2.9133039476952893E-3</v>
      </c>
      <c r="P234">
        <f t="shared" si="29"/>
        <v>0</v>
      </c>
      <c r="Q234">
        <f t="shared" si="30"/>
        <v>0</v>
      </c>
      <c r="R234" s="3">
        <v>53.4</v>
      </c>
    </row>
    <row r="235" spans="1:18">
      <c r="A235" s="1">
        <v>42801</v>
      </c>
      <c r="B235">
        <v>2368.39</v>
      </c>
      <c r="C235">
        <f t="shared" si="24"/>
        <v>-2.9133039476952893E-3</v>
      </c>
      <c r="D235">
        <f t="shared" si="31"/>
        <v>-5.6802915295225409E-3</v>
      </c>
      <c r="E235">
        <f>_xlfn.XLOOKUP(A235,VIX!A:A,VIX!B:B,"",-1)</f>
        <v>11.45</v>
      </c>
      <c r="F235">
        <f t="shared" si="25"/>
        <v>0.20999999999999908</v>
      </c>
      <c r="G235">
        <f>_xlfn.XLOOKUP(A235,'DGS10'!A:A,'DGS10'!B:B,"",-1)</f>
        <v>2.52</v>
      </c>
      <c r="H235">
        <f t="shared" si="26"/>
        <v>2.9999999999999805E-2</v>
      </c>
      <c r="I235" s="2">
        <f>_xlfn.XLOOKUP(A235,T10Y3M!A:A,T10Y3M!B:B,"",-1)</f>
        <v>1.76</v>
      </c>
      <c r="J235" s="2">
        <f>_xlfn.XLOOKUP(A235,BAMLC0A4CBBB!A:A,BAMLC0A4CBBB!B:B,"",-1)</f>
        <v>1.51</v>
      </c>
      <c r="K235" s="2">
        <f>_xlfn.XLOOKUP(A235,CPIAUCSL!A:A,CPIAUCSL!B:B,"",-1)</f>
        <v>243.892</v>
      </c>
      <c r="L235">
        <f>_xlfn.XLOOKUP(A235,DFF!A:A,DFF!B:B,"",-1)</f>
        <v>0.66</v>
      </c>
      <c r="M235">
        <f>_xlfn.XLOOKUP(A235,'DGS2'!A:A,'DGS2'!B:B,"",-1)</f>
        <v>1.32</v>
      </c>
      <c r="N235">
        <f t="shared" si="27"/>
        <v>1.0000000000000009E-2</v>
      </c>
      <c r="O235">
        <f t="shared" si="28"/>
        <v>-2.2842521713062336E-3</v>
      </c>
      <c r="P235">
        <f t="shared" si="29"/>
        <v>0</v>
      </c>
      <c r="Q235">
        <f t="shared" si="30"/>
        <v>0</v>
      </c>
      <c r="R235" s="3">
        <v>53.69</v>
      </c>
    </row>
    <row r="236" spans="1:18">
      <c r="A236" s="1">
        <v>42802</v>
      </c>
      <c r="B236">
        <v>2362.98</v>
      </c>
      <c r="C236">
        <f t="shared" si="24"/>
        <v>-2.2842521713062336E-3</v>
      </c>
      <c r="D236">
        <f t="shared" si="31"/>
        <v>-8.4511061129947107E-3</v>
      </c>
      <c r="E236">
        <f>_xlfn.XLOOKUP(A236,VIX!A:A,VIX!B:B,"",-1)</f>
        <v>11.86</v>
      </c>
      <c r="F236">
        <f t="shared" si="25"/>
        <v>0.41000000000000014</v>
      </c>
      <c r="G236">
        <f>_xlfn.XLOOKUP(A236,'DGS10'!A:A,'DGS10'!B:B,"",-1)</f>
        <v>2.57</v>
      </c>
      <c r="H236">
        <f t="shared" si="26"/>
        <v>4.9999999999999822E-2</v>
      </c>
      <c r="I236" s="2">
        <f>_xlfn.XLOOKUP(A236,T10Y3M!A:A,T10Y3M!B:B,"",-1)</f>
        <v>1.84</v>
      </c>
      <c r="J236" s="2">
        <f>_xlfn.XLOOKUP(A236,BAMLC0A4CBBB!A:A,BAMLC0A4CBBB!B:B,"",-1)</f>
        <v>1.52</v>
      </c>
      <c r="K236" s="2">
        <f>_xlfn.XLOOKUP(A236,CPIAUCSL!A:A,CPIAUCSL!B:B,"",-1)</f>
        <v>243.892</v>
      </c>
      <c r="L236">
        <f>_xlfn.XLOOKUP(A236,DFF!A:A,DFF!B:B,"",-1)</f>
        <v>0.66</v>
      </c>
      <c r="M236">
        <f>_xlfn.XLOOKUP(A236,'DGS2'!A:A,'DGS2'!B:B,"",-1)</f>
        <v>1.36</v>
      </c>
      <c r="N236">
        <f t="shared" si="27"/>
        <v>4.0000000000000036E-2</v>
      </c>
      <c r="O236">
        <f t="shared" si="28"/>
        <v>7.9983749333467635E-4</v>
      </c>
      <c r="P236">
        <f t="shared" si="29"/>
        <v>1</v>
      </c>
      <c r="Q236">
        <f t="shared" si="30"/>
        <v>0</v>
      </c>
      <c r="R236" s="3">
        <v>54.06</v>
      </c>
    </row>
    <row r="237" spans="1:18">
      <c r="A237" s="1">
        <v>42803</v>
      </c>
      <c r="B237">
        <v>2364.87</v>
      </c>
      <c r="C237">
        <f t="shared" si="24"/>
        <v>7.9983749333467635E-4</v>
      </c>
      <c r="D237">
        <f t="shared" si="31"/>
        <v>-4.3952157823610172E-3</v>
      </c>
      <c r="E237">
        <f>_xlfn.XLOOKUP(A237,VIX!A:A,VIX!B:B,"",-1)</f>
        <v>12.3</v>
      </c>
      <c r="F237">
        <f t="shared" si="25"/>
        <v>0.44000000000000128</v>
      </c>
      <c r="G237">
        <f>_xlfn.XLOOKUP(A237,'DGS10'!A:A,'DGS10'!B:B,"",-1)</f>
        <v>2.6</v>
      </c>
      <c r="H237">
        <f t="shared" si="26"/>
        <v>3.0000000000000249E-2</v>
      </c>
      <c r="I237" s="2">
        <f>_xlfn.XLOOKUP(A237,T10Y3M!A:A,T10Y3M!B:B,"",-1)</f>
        <v>1.87</v>
      </c>
      <c r="J237" s="2">
        <f>_xlfn.XLOOKUP(A237,BAMLC0A4CBBB!A:A,BAMLC0A4CBBB!B:B,"",-1)</f>
        <v>1.54</v>
      </c>
      <c r="K237" s="2">
        <f>_xlfn.XLOOKUP(A237,CPIAUCSL!A:A,CPIAUCSL!B:B,"",-1)</f>
        <v>243.892</v>
      </c>
      <c r="L237">
        <f>_xlfn.XLOOKUP(A237,DFF!A:A,DFF!B:B,"",-1)</f>
        <v>0.66</v>
      </c>
      <c r="M237">
        <f>_xlfn.XLOOKUP(A237,'DGS2'!A:A,'DGS2'!B:B,"",-1)</f>
        <v>1.37</v>
      </c>
      <c r="N237">
        <f t="shared" si="27"/>
        <v>1.0000000000000009E-2</v>
      </c>
      <c r="O237">
        <f t="shared" si="28"/>
        <v>3.2686786165836423E-3</v>
      </c>
      <c r="P237">
        <f t="shared" si="29"/>
        <v>1</v>
      </c>
      <c r="Q237">
        <f t="shared" si="30"/>
        <v>1</v>
      </c>
      <c r="R237" s="3">
        <v>53.59</v>
      </c>
    </row>
    <row r="238" spans="1:18">
      <c r="A238" s="1">
        <v>42804</v>
      </c>
      <c r="B238">
        <v>2372.6</v>
      </c>
      <c r="C238">
        <f t="shared" si="24"/>
        <v>3.2686786165836423E-3</v>
      </c>
      <c r="D238">
        <f t="shared" si="31"/>
        <v>1.7775788615894683E-3</v>
      </c>
      <c r="E238">
        <f>_xlfn.XLOOKUP(A238,VIX!A:A,VIX!B:B,"",-1)</f>
        <v>11.66</v>
      </c>
      <c r="F238">
        <f t="shared" si="25"/>
        <v>-0.64000000000000057</v>
      </c>
      <c r="G238">
        <f>_xlfn.XLOOKUP(A238,'DGS10'!A:A,'DGS10'!B:B,"",-1)</f>
        <v>2.58</v>
      </c>
      <c r="H238">
        <f t="shared" si="26"/>
        <v>-2.0000000000000018E-2</v>
      </c>
      <c r="I238" s="2">
        <f>_xlfn.XLOOKUP(A238,T10Y3M!A:A,T10Y3M!B:B,"",-1)</f>
        <v>1.83</v>
      </c>
      <c r="J238" s="2">
        <f>_xlfn.XLOOKUP(A238,BAMLC0A4CBBB!A:A,BAMLC0A4CBBB!B:B,"",-1)</f>
        <v>1.54</v>
      </c>
      <c r="K238" s="2">
        <f>_xlfn.XLOOKUP(A238,CPIAUCSL!A:A,CPIAUCSL!B:B,"",-1)</f>
        <v>243.892</v>
      </c>
      <c r="L238">
        <f>_xlfn.XLOOKUP(A238,DFF!A:A,DFF!B:B,"",-1)</f>
        <v>0.66</v>
      </c>
      <c r="M238">
        <f>_xlfn.XLOOKUP(A238,'DGS2'!A:A,'DGS2'!B:B,"",-1)</f>
        <v>1.36</v>
      </c>
      <c r="N238">
        <f t="shared" si="27"/>
        <v>-1.0000000000000009E-2</v>
      </c>
      <c r="O238">
        <f t="shared" si="28"/>
        <v>3.6668633566550035E-4</v>
      </c>
      <c r="P238">
        <f t="shared" si="29"/>
        <v>1</v>
      </c>
      <c r="Q238">
        <f t="shared" si="30"/>
        <v>0</v>
      </c>
      <c r="R238" s="3">
        <v>54.45</v>
      </c>
    </row>
    <row r="239" spans="1:18">
      <c r="A239" s="1">
        <v>42807</v>
      </c>
      <c r="B239">
        <v>2373.4699999999998</v>
      </c>
      <c r="C239">
        <f t="shared" si="24"/>
        <v>3.6668633566550035E-4</v>
      </c>
      <c r="D239">
        <f t="shared" si="31"/>
        <v>4.4393096852279879E-3</v>
      </c>
      <c r="E239">
        <f>_xlfn.XLOOKUP(A239,VIX!A:A,VIX!B:B,"",-1)</f>
        <v>11.35</v>
      </c>
      <c r="F239">
        <f t="shared" si="25"/>
        <v>-0.3100000000000005</v>
      </c>
      <c r="G239">
        <f>_xlfn.XLOOKUP(A239,'DGS10'!A:A,'DGS10'!B:B,"",-1)</f>
        <v>2.62</v>
      </c>
      <c r="H239">
        <f t="shared" si="26"/>
        <v>4.0000000000000036E-2</v>
      </c>
      <c r="I239" s="2">
        <f>_xlfn.XLOOKUP(A239,T10Y3M!A:A,T10Y3M!B:B,"",-1)</f>
        <v>1.83</v>
      </c>
      <c r="J239" s="2">
        <f>_xlfn.XLOOKUP(A239,BAMLC0A4CBBB!A:A,BAMLC0A4CBBB!B:B,"",-1)</f>
        <v>1.54</v>
      </c>
      <c r="K239" s="2">
        <f>_xlfn.XLOOKUP(A239,CPIAUCSL!A:A,CPIAUCSL!B:B,"",-1)</f>
        <v>243.892</v>
      </c>
      <c r="L239">
        <f>_xlfn.XLOOKUP(A239,DFF!A:A,DFF!B:B,"",-1)</f>
        <v>0.66</v>
      </c>
      <c r="M239">
        <f>_xlfn.XLOOKUP(A239,'DGS2'!A:A,'DGS2'!B:B,"",-1)</f>
        <v>1.4</v>
      </c>
      <c r="N239">
        <f t="shared" si="27"/>
        <v>3.9999999999999813E-2</v>
      </c>
      <c r="O239">
        <f t="shared" si="28"/>
        <v>-3.3790189048102937E-3</v>
      </c>
      <c r="P239">
        <f t="shared" si="29"/>
        <v>0</v>
      </c>
      <c r="Q239">
        <f t="shared" si="30"/>
        <v>-1</v>
      </c>
      <c r="R239" s="3">
        <v>53.99</v>
      </c>
    </row>
    <row r="240" spans="1:18">
      <c r="A240" s="1">
        <v>42808</v>
      </c>
      <c r="B240">
        <v>2365.4499999999998</v>
      </c>
      <c r="C240">
        <f t="shared" si="24"/>
        <v>-3.3790189048102937E-3</v>
      </c>
      <c r="D240">
        <f t="shared" si="31"/>
        <v>2.4525661029994872E-4</v>
      </c>
      <c r="E240">
        <f>_xlfn.XLOOKUP(A240,VIX!A:A,VIX!B:B,"",-1)</f>
        <v>12.3</v>
      </c>
      <c r="F240">
        <f t="shared" si="25"/>
        <v>0.95000000000000107</v>
      </c>
      <c r="G240">
        <f>_xlfn.XLOOKUP(A240,'DGS10'!A:A,'DGS10'!B:B,"",-1)</f>
        <v>2.6</v>
      </c>
      <c r="H240">
        <f t="shared" si="26"/>
        <v>-2.0000000000000018E-2</v>
      </c>
      <c r="I240" s="2">
        <f>_xlfn.XLOOKUP(A240,T10Y3M!A:A,T10Y3M!B:B,"",-1)</f>
        <v>1.82</v>
      </c>
      <c r="J240" s="2">
        <f>_xlfn.XLOOKUP(A240,BAMLC0A4CBBB!A:A,BAMLC0A4CBBB!B:B,"",-1)</f>
        <v>1.55</v>
      </c>
      <c r="K240" s="2">
        <f>_xlfn.XLOOKUP(A240,CPIAUCSL!A:A,CPIAUCSL!B:B,"",-1)</f>
        <v>243.892</v>
      </c>
      <c r="L240">
        <f>_xlfn.XLOOKUP(A240,DFF!A:A,DFF!B:B,"",-1)</f>
        <v>0.66</v>
      </c>
      <c r="M240">
        <f>_xlfn.XLOOKUP(A240,'DGS2'!A:A,'DGS2'!B:B,"",-1)</f>
        <v>1.4</v>
      </c>
      <c r="N240">
        <f t="shared" si="27"/>
        <v>0</v>
      </c>
      <c r="O240">
        <f t="shared" si="28"/>
        <v>8.374727853051489E-3</v>
      </c>
      <c r="P240">
        <f t="shared" si="29"/>
        <v>1</v>
      </c>
      <c r="Q240">
        <f t="shared" si="30"/>
        <v>1</v>
      </c>
      <c r="R240" s="3">
        <v>54.05</v>
      </c>
    </row>
    <row r="241" spans="1:18">
      <c r="A241" s="1">
        <v>42809</v>
      </c>
      <c r="B241">
        <v>2385.2600000000002</v>
      </c>
      <c r="C241">
        <f t="shared" si="24"/>
        <v>8.374727853051489E-3</v>
      </c>
      <c r="D241">
        <f t="shared" si="31"/>
        <v>5.3359184017534034E-3</v>
      </c>
      <c r="E241">
        <f>_xlfn.XLOOKUP(A241,VIX!A:A,VIX!B:B,"",-1)</f>
        <v>11.63</v>
      </c>
      <c r="F241">
        <f t="shared" si="25"/>
        <v>-0.66999999999999993</v>
      </c>
      <c r="G241">
        <f>_xlfn.XLOOKUP(A241,'DGS10'!A:A,'DGS10'!B:B,"",-1)</f>
        <v>2.5099999999999998</v>
      </c>
      <c r="H241">
        <f t="shared" si="26"/>
        <v>-9.0000000000000302E-2</v>
      </c>
      <c r="I241" s="2">
        <f>_xlfn.XLOOKUP(A241,T10Y3M!A:A,T10Y3M!B:B,"",-1)</f>
        <v>1.78</v>
      </c>
      <c r="J241" s="2">
        <f>_xlfn.XLOOKUP(A241,BAMLC0A4CBBB!A:A,BAMLC0A4CBBB!B:B,"",-1)</f>
        <v>1.56</v>
      </c>
      <c r="K241" s="2">
        <f>_xlfn.XLOOKUP(A241,CPIAUCSL!A:A,CPIAUCSL!B:B,"",-1)</f>
        <v>243.892</v>
      </c>
      <c r="L241">
        <f>_xlfn.XLOOKUP(A241,DFF!A:A,DFF!B:B,"",-1)</f>
        <v>0.66</v>
      </c>
      <c r="M241">
        <f>_xlfn.XLOOKUP(A241,'DGS2'!A:A,'DGS2'!B:B,"",-1)</f>
        <v>1.33</v>
      </c>
      <c r="N241">
        <f t="shared" si="27"/>
        <v>-6.999999999999984E-2</v>
      </c>
      <c r="O241">
        <f t="shared" si="28"/>
        <v>-1.6266570520614421E-3</v>
      </c>
      <c r="P241">
        <f t="shared" si="29"/>
        <v>0</v>
      </c>
      <c r="Q241">
        <f t="shared" si="30"/>
        <v>0</v>
      </c>
      <c r="R241" s="3">
        <v>54.01</v>
      </c>
    </row>
    <row r="242" spans="1:18">
      <c r="A242" s="1">
        <v>42810</v>
      </c>
      <c r="B242">
        <v>2381.38</v>
      </c>
      <c r="C242">
        <f t="shared" si="24"/>
        <v>-1.6266570520614421E-3</v>
      </c>
      <c r="D242">
        <f t="shared" si="31"/>
        <v>3.3326732589837871E-3</v>
      </c>
      <c r="E242">
        <f>_xlfn.XLOOKUP(A242,VIX!A:A,VIX!B:B,"",-1)</f>
        <v>11.21</v>
      </c>
      <c r="F242">
        <f t="shared" si="25"/>
        <v>-0.41999999999999993</v>
      </c>
      <c r="G242">
        <f>_xlfn.XLOOKUP(A242,'DGS10'!A:A,'DGS10'!B:B,"",-1)</f>
        <v>2.5299999999999998</v>
      </c>
      <c r="H242">
        <f t="shared" si="26"/>
        <v>2.0000000000000018E-2</v>
      </c>
      <c r="I242" s="2">
        <f>_xlfn.XLOOKUP(A242,T10Y3M!A:A,T10Y3M!B:B,"",-1)</f>
        <v>1.8</v>
      </c>
      <c r="J242" s="2">
        <f>_xlfn.XLOOKUP(A242,BAMLC0A4CBBB!A:A,BAMLC0A4CBBB!B:B,"",-1)</f>
        <v>1.55</v>
      </c>
      <c r="K242" s="2">
        <f>_xlfn.XLOOKUP(A242,CPIAUCSL!A:A,CPIAUCSL!B:B,"",-1)</f>
        <v>243.892</v>
      </c>
      <c r="L242">
        <f>_xlfn.XLOOKUP(A242,DFF!A:A,DFF!B:B,"",-1)</f>
        <v>0.91</v>
      </c>
      <c r="M242">
        <f>_xlfn.XLOOKUP(A242,'DGS2'!A:A,'DGS2'!B:B,"",-1)</f>
        <v>1.35</v>
      </c>
      <c r="N242">
        <f t="shared" si="27"/>
        <v>2.0000000000000018E-2</v>
      </c>
      <c r="O242">
        <f t="shared" si="28"/>
        <v>-1.3143639402364293E-3</v>
      </c>
      <c r="P242">
        <f t="shared" si="29"/>
        <v>0</v>
      </c>
      <c r="Q242">
        <f t="shared" si="30"/>
        <v>0</v>
      </c>
      <c r="R242" s="3">
        <v>53.83</v>
      </c>
    </row>
    <row r="243" spans="1:18">
      <c r="A243" s="1">
        <v>42811</v>
      </c>
      <c r="B243">
        <v>2378.25</v>
      </c>
      <c r="C243">
        <f t="shared" si="24"/>
        <v>-1.3143639402364293E-3</v>
      </c>
      <c r="D243">
        <f t="shared" si="31"/>
        <v>5.411232535035726E-3</v>
      </c>
      <c r="E243">
        <f>_xlfn.XLOOKUP(A243,VIX!A:A,VIX!B:B,"",-1)</f>
        <v>11.28</v>
      </c>
      <c r="F243">
        <f t="shared" si="25"/>
        <v>6.9999999999998508E-2</v>
      </c>
      <c r="G243">
        <f>_xlfn.XLOOKUP(A243,'DGS10'!A:A,'DGS10'!B:B,"",-1)</f>
        <v>2.5</v>
      </c>
      <c r="H243">
        <f t="shared" si="26"/>
        <v>-2.9999999999999805E-2</v>
      </c>
      <c r="I243" s="2">
        <f>_xlfn.XLOOKUP(A243,T10Y3M!A:A,T10Y3M!B:B,"",-1)</f>
        <v>1.77</v>
      </c>
      <c r="J243" s="2">
        <f>_xlfn.XLOOKUP(A243,BAMLC0A4CBBB!A:A,BAMLC0A4CBBB!B:B,"",-1)</f>
        <v>1.55</v>
      </c>
      <c r="K243" s="2">
        <f>_xlfn.XLOOKUP(A243,CPIAUCSL!A:A,CPIAUCSL!B:B,"",-1)</f>
        <v>243.892</v>
      </c>
      <c r="L243">
        <f>_xlfn.XLOOKUP(A243,DFF!A:A,DFF!B:B,"",-1)</f>
        <v>0.91</v>
      </c>
      <c r="M243">
        <f>_xlfn.XLOOKUP(A243,'DGS2'!A:A,'DGS2'!B:B,"",-1)</f>
        <v>1.33</v>
      </c>
      <c r="N243">
        <f t="shared" si="27"/>
        <v>-2.0000000000000018E-2</v>
      </c>
      <c r="O243">
        <f t="shared" si="28"/>
        <v>-2.00988121517931E-3</v>
      </c>
      <c r="P243">
        <f t="shared" si="29"/>
        <v>0</v>
      </c>
      <c r="Q243">
        <f t="shared" si="30"/>
        <v>0</v>
      </c>
      <c r="R243" s="3">
        <v>52.61</v>
      </c>
    </row>
    <row r="244" spans="1:18">
      <c r="A244" s="1">
        <v>42814</v>
      </c>
      <c r="B244">
        <v>2373.4699999999998</v>
      </c>
      <c r="C244">
        <f t="shared" si="24"/>
        <v>-2.00988121517931E-3</v>
      </c>
      <c r="D244">
        <f t="shared" si="31"/>
        <v>-4.9428573824239486E-3</v>
      </c>
      <c r="E244">
        <f>_xlfn.XLOOKUP(A244,VIX!A:A,VIX!B:B,"",-1)</f>
        <v>11.34</v>
      </c>
      <c r="F244">
        <f t="shared" si="25"/>
        <v>6.0000000000000497E-2</v>
      </c>
      <c r="G244">
        <f>_xlfn.XLOOKUP(A244,'DGS10'!A:A,'DGS10'!B:B,"",-1)</f>
        <v>2.4700000000000002</v>
      </c>
      <c r="H244">
        <f t="shared" si="26"/>
        <v>-2.9999999999999805E-2</v>
      </c>
      <c r="I244" s="2">
        <f>_xlfn.XLOOKUP(A244,T10Y3M!A:A,T10Y3M!B:B,"",-1)</f>
        <v>1.71</v>
      </c>
      <c r="J244" s="2">
        <f>_xlfn.XLOOKUP(A244,BAMLC0A4CBBB!A:A,BAMLC0A4CBBB!B:B,"",-1)</f>
        <v>1.55</v>
      </c>
      <c r="K244" s="2">
        <f>_xlfn.XLOOKUP(A244,CPIAUCSL!A:A,CPIAUCSL!B:B,"",-1)</f>
        <v>243.892</v>
      </c>
      <c r="L244">
        <f>_xlfn.XLOOKUP(A244,DFF!A:A,DFF!B:B,"",-1)</f>
        <v>0.91</v>
      </c>
      <c r="M244">
        <f>_xlfn.XLOOKUP(A244,'DGS2'!A:A,'DGS2'!B:B,"",-1)</f>
        <v>1.3</v>
      </c>
      <c r="N244">
        <f t="shared" si="27"/>
        <v>-3.0000000000000027E-2</v>
      </c>
      <c r="O244">
        <f t="shared" si="28"/>
        <v>-1.2407993359932812E-2</v>
      </c>
      <c r="P244">
        <f t="shared" si="29"/>
        <v>0</v>
      </c>
      <c r="Q244">
        <f t="shared" si="30"/>
        <v>-1</v>
      </c>
      <c r="R244" s="3">
        <v>53.33</v>
      </c>
    </row>
    <row r="245" spans="1:18">
      <c r="A245" s="1">
        <v>42815</v>
      </c>
      <c r="B245">
        <v>2344.02</v>
      </c>
      <c r="C245">
        <f t="shared" si="24"/>
        <v>-1.2407993359932812E-2</v>
      </c>
      <c r="D245">
        <f t="shared" si="31"/>
        <v>-1.5688382366527032E-2</v>
      </c>
      <c r="E245">
        <f>_xlfn.XLOOKUP(A245,VIX!A:A,VIX!B:B,"",-1)</f>
        <v>12.47</v>
      </c>
      <c r="F245">
        <f t="shared" si="25"/>
        <v>1.1300000000000008</v>
      </c>
      <c r="G245">
        <f>_xlfn.XLOOKUP(A245,'DGS10'!A:A,'DGS10'!B:B,"",-1)</f>
        <v>2.4300000000000002</v>
      </c>
      <c r="H245">
        <f t="shared" si="26"/>
        <v>-4.0000000000000036E-2</v>
      </c>
      <c r="I245" s="2">
        <f>_xlfn.XLOOKUP(A245,T10Y3M!A:A,T10Y3M!B:B,"",-1)</f>
        <v>1.66</v>
      </c>
      <c r="J245" s="2">
        <f>_xlfn.XLOOKUP(A245,BAMLC0A4CBBB!A:A,BAMLC0A4CBBB!B:B,"",-1)</f>
        <v>1.55</v>
      </c>
      <c r="K245" s="2">
        <f>_xlfn.XLOOKUP(A245,CPIAUCSL!A:A,CPIAUCSL!B:B,"",-1)</f>
        <v>243.892</v>
      </c>
      <c r="L245">
        <f>_xlfn.XLOOKUP(A245,DFF!A:A,DFF!B:B,"",-1)</f>
        <v>0.91</v>
      </c>
      <c r="M245">
        <f>_xlfn.XLOOKUP(A245,'DGS2'!A:A,'DGS2'!B:B,"",-1)</f>
        <v>1.27</v>
      </c>
      <c r="N245">
        <f t="shared" si="27"/>
        <v>-3.0000000000000027E-2</v>
      </c>
      <c r="O245">
        <f t="shared" si="28"/>
        <v>1.8899156150544716E-3</v>
      </c>
      <c r="P245">
        <f t="shared" si="29"/>
        <v>1</v>
      </c>
      <c r="Q245">
        <f t="shared" si="30"/>
        <v>0</v>
      </c>
      <c r="R245" s="3">
        <v>53.2</v>
      </c>
    </row>
    <row r="246" spans="1:18">
      <c r="A246" s="1">
        <v>42816</v>
      </c>
      <c r="B246">
        <v>2348.4499999999998</v>
      </c>
      <c r="C246">
        <f t="shared" si="24"/>
        <v>1.8899156150544716E-3</v>
      </c>
      <c r="D246">
        <f t="shared" si="31"/>
        <v>-1.2530221801745012E-2</v>
      </c>
      <c r="E246">
        <f>_xlfn.XLOOKUP(A246,VIX!A:A,VIX!B:B,"",-1)</f>
        <v>12.81</v>
      </c>
      <c r="F246">
        <f t="shared" si="25"/>
        <v>0.33999999999999986</v>
      </c>
      <c r="G246">
        <f>_xlfn.XLOOKUP(A246,'DGS10'!A:A,'DGS10'!B:B,"",-1)</f>
        <v>2.4</v>
      </c>
      <c r="H246">
        <f t="shared" si="26"/>
        <v>-3.0000000000000249E-2</v>
      </c>
      <c r="I246" s="2">
        <f>_xlfn.XLOOKUP(A246,T10Y3M!A:A,T10Y3M!B:B,"",-1)</f>
        <v>1.63</v>
      </c>
      <c r="J246" s="2">
        <f>_xlfn.XLOOKUP(A246,BAMLC0A4CBBB!A:A,BAMLC0A4CBBB!B:B,"",-1)</f>
        <v>1.56</v>
      </c>
      <c r="K246" s="2">
        <f>_xlfn.XLOOKUP(A246,CPIAUCSL!A:A,CPIAUCSL!B:B,"",-1)</f>
        <v>243.892</v>
      </c>
      <c r="L246">
        <f>_xlfn.XLOOKUP(A246,DFF!A:A,DFF!B:B,"",-1)</f>
        <v>0.91</v>
      </c>
      <c r="M246">
        <f>_xlfn.XLOOKUP(A246,'DGS2'!A:A,'DGS2'!B:B,"",-1)</f>
        <v>1.27</v>
      </c>
      <c r="N246">
        <f t="shared" si="27"/>
        <v>0</v>
      </c>
      <c r="O246">
        <f t="shared" si="28"/>
        <v>-1.0602737976110888E-3</v>
      </c>
      <c r="P246">
        <f t="shared" si="29"/>
        <v>0</v>
      </c>
      <c r="Q246">
        <f t="shared" si="30"/>
        <v>0</v>
      </c>
      <c r="R246" s="3">
        <v>53.14</v>
      </c>
    </row>
    <row r="247" spans="1:18">
      <c r="A247" s="1">
        <v>42817</v>
      </c>
      <c r="B247">
        <v>2345.96</v>
      </c>
      <c r="C247">
        <f t="shared" si="24"/>
        <v>-1.0602737976110888E-3</v>
      </c>
      <c r="D247">
        <f t="shared" si="31"/>
        <v>-1.1590624697173202E-2</v>
      </c>
      <c r="E247">
        <f>_xlfn.XLOOKUP(A247,VIX!A:A,VIX!B:B,"",-1)</f>
        <v>13.12</v>
      </c>
      <c r="F247">
        <f t="shared" si="25"/>
        <v>0.30999999999999872</v>
      </c>
      <c r="G247">
        <f>_xlfn.XLOOKUP(A247,'DGS10'!A:A,'DGS10'!B:B,"",-1)</f>
        <v>2.41</v>
      </c>
      <c r="H247">
        <f t="shared" si="26"/>
        <v>1.0000000000000231E-2</v>
      </c>
      <c r="I247" s="2">
        <f>_xlfn.XLOOKUP(A247,T10Y3M!A:A,T10Y3M!B:B,"",-1)</f>
        <v>1.65</v>
      </c>
      <c r="J247" s="2">
        <f>_xlfn.XLOOKUP(A247,BAMLC0A4CBBB!A:A,BAMLC0A4CBBB!B:B,"",-1)</f>
        <v>1.56</v>
      </c>
      <c r="K247" s="2">
        <f>_xlfn.XLOOKUP(A247,CPIAUCSL!A:A,CPIAUCSL!B:B,"",-1)</f>
        <v>243.892</v>
      </c>
      <c r="L247">
        <f>_xlfn.XLOOKUP(A247,DFF!A:A,DFF!B:B,"",-1)</f>
        <v>0.91</v>
      </c>
      <c r="M247">
        <f>_xlfn.XLOOKUP(A247,'DGS2'!A:A,'DGS2'!B:B,"",-1)</f>
        <v>1.26</v>
      </c>
      <c r="N247">
        <f t="shared" si="27"/>
        <v>-1.0000000000000009E-2</v>
      </c>
      <c r="O247">
        <f t="shared" si="28"/>
        <v>-8.440041603438031E-4</v>
      </c>
      <c r="P247">
        <f t="shared" si="29"/>
        <v>0</v>
      </c>
      <c r="Q247">
        <f t="shared" si="30"/>
        <v>0</v>
      </c>
      <c r="R247" s="3">
        <v>50.28</v>
      </c>
    </row>
    <row r="248" spans="1:18">
      <c r="A248" s="1">
        <v>42818</v>
      </c>
      <c r="B248">
        <v>2343.98</v>
      </c>
      <c r="C248">
        <f t="shared" si="24"/>
        <v>-8.440041603438031E-4</v>
      </c>
      <c r="D248">
        <f t="shared" si="31"/>
        <v>-1.706470081308531E-5</v>
      </c>
      <c r="E248">
        <f>_xlfn.XLOOKUP(A248,VIX!A:A,VIX!B:B,"",-1)</f>
        <v>12.96</v>
      </c>
      <c r="F248">
        <f t="shared" si="25"/>
        <v>-0.15999999999999837</v>
      </c>
      <c r="G248">
        <f>_xlfn.XLOOKUP(A248,'DGS10'!A:A,'DGS10'!B:B,"",-1)</f>
        <v>2.4</v>
      </c>
      <c r="H248">
        <f t="shared" si="26"/>
        <v>-1.0000000000000231E-2</v>
      </c>
      <c r="I248" s="2">
        <f>_xlfn.XLOOKUP(A248,T10Y3M!A:A,T10Y3M!B:B,"",-1)</f>
        <v>1.62</v>
      </c>
      <c r="J248" s="2">
        <f>_xlfn.XLOOKUP(A248,BAMLC0A4CBBB!A:A,BAMLC0A4CBBB!B:B,"",-1)</f>
        <v>1.56</v>
      </c>
      <c r="K248" s="2">
        <f>_xlfn.XLOOKUP(A248,CPIAUCSL!A:A,CPIAUCSL!B:B,"",-1)</f>
        <v>243.892</v>
      </c>
      <c r="L248">
        <f>_xlfn.XLOOKUP(A248,DFF!A:A,DFF!B:B,"",-1)</f>
        <v>0.91</v>
      </c>
      <c r="M248">
        <f>_xlfn.XLOOKUP(A248,'DGS2'!A:A,'DGS2'!B:B,"",-1)</f>
        <v>1.26</v>
      </c>
      <c r="N248">
        <f t="shared" si="27"/>
        <v>0</v>
      </c>
      <c r="O248">
        <f t="shared" si="28"/>
        <v>-1.0196332733214408E-3</v>
      </c>
      <c r="P248">
        <f t="shared" si="29"/>
        <v>0</v>
      </c>
      <c r="Q248">
        <f t="shared" si="30"/>
        <v>0</v>
      </c>
      <c r="R248" s="3">
        <v>49.28</v>
      </c>
    </row>
    <row r="249" spans="1:18">
      <c r="A249" s="1">
        <v>42821</v>
      </c>
      <c r="B249">
        <v>2341.59</v>
      </c>
      <c r="C249">
        <f t="shared" si="24"/>
        <v>-1.0196332733214408E-3</v>
      </c>
      <c r="D249">
        <f t="shared" si="31"/>
        <v>-2.9210756030572105E-3</v>
      </c>
      <c r="E249">
        <f>_xlfn.XLOOKUP(A249,VIX!A:A,VIX!B:B,"",-1)</f>
        <v>12.5</v>
      </c>
      <c r="F249">
        <f t="shared" si="25"/>
        <v>-0.46000000000000085</v>
      </c>
      <c r="G249">
        <f>_xlfn.XLOOKUP(A249,'DGS10'!A:A,'DGS10'!B:B,"",-1)</f>
        <v>2.38</v>
      </c>
      <c r="H249">
        <f t="shared" si="26"/>
        <v>-2.0000000000000018E-2</v>
      </c>
      <c r="I249" s="2">
        <f>_xlfn.XLOOKUP(A249,T10Y3M!A:A,T10Y3M!B:B,"",-1)</f>
        <v>1.6</v>
      </c>
      <c r="J249" s="2">
        <f>_xlfn.XLOOKUP(A249,BAMLC0A4CBBB!A:A,BAMLC0A4CBBB!B:B,"",-1)</f>
        <v>1.56</v>
      </c>
      <c r="K249" s="2">
        <f>_xlfn.XLOOKUP(A249,CPIAUCSL!A:A,CPIAUCSL!B:B,"",-1)</f>
        <v>243.892</v>
      </c>
      <c r="L249">
        <f>_xlfn.XLOOKUP(A249,DFF!A:A,DFF!B:B,"",-1)</f>
        <v>0.91</v>
      </c>
      <c r="M249">
        <f>_xlfn.XLOOKUP(A249,'DGS2'!A:A,'DGS2'!B:B,"",-1)</f>
        <v>1.27</v>
      </c>
      <c r="N249">
        <f t="shared" si="27"/>
        <v>1.0000000000000009E-2</v>
      </c>
      <c r="O249">
        <f t="shared" si="28"/>
        <v>7.251482966702083E-3</v>
      </c>
      <c r="P249">
        <f t="shared" si="29"/>
        <v>1</v>
      </c>
      <c r="Q249">
        <f t="shared" si="30"/>
        <v>1</v>
      </c>
      <c r="R249" s="3">
        <v>48.49</v>
      </c>
    </row>
    <row r="250" spans="1:18">
      <c r="A250" s="1">
        <v>42822</v>
      </c>
      <c r="B250">
        <v>2358.5700000000002</v>
      </c>
      <c r="C250">
        <f t="shared" si="24"/>
        <v>7.251482966702083E-3</v>
      </c>
      <c r="D250">
        <f t="shared" si="31"/>
        <v>5.3751982130982867E-3</v>
      </c>
      <c r="E250">
        <f>_xlfn.XLOOKUP(A250,VIX!A:A,VIX!B:B,"",-1)</f>
        <v>11.53</v>
      </c>
      <c r="F250">
        <f t="shared" si="25"/>
        <v>-0.97000000000000064</v>
      </c>
      <c r="G250">
        <f>_xlfn.XLOOKUP(A250,'DGS10'!A:A,'DGS10'!B:B,"",-1)</f>
        <v>2.42</v>
      </c>
      <c r="H250">
        <f t="shared" si="26"/>
        <v>4.0000000000000036E-2</v>
      </c>
      <c r="I250" s="2">
        <f>_xlfn.XLOOKUP(A250,T10Y3M!A:A,T10Y3M!B:B,"",-1)</f>
        <v>1.64</v>
      </c>
      <c r="J250" s="2">
        <f>_xlfn.XLOOKUP(A250,BAMLC0A4CBBB!A:A,BAMLC0A4CBBB!B:B,"",-1)</f>
        <v>1.55</v>
      </c>
      <c r="K250" s="2">
        <f>_xlfn.XLOOKUP(A250,CPIAUCSL!A:A,CPIAUCSL!B:B,"",-1)</f>
        <v>243.892</v>
      </c>
      <c r="L250">
        <f>_xlfn.XLOOKUP(A250,DFF!A:A,DFF!B:B,"",-1)</f>
        <v>0.91</v>
      </c>
      <c r="M250">
        <f>_xlfn.XLOOKUP(A250,'DGS2'!A:A,'DGS2'!B:B,"",-1)</f>
        <v>1.3</v>
      </c>
      <c r="N250">
        <f t="shared" si="27"/>
        <v>3.0000000000000027E-2</v>
      </c>
      <c r="O250">
        <f t="shared" si="28"/>
        <v>1.0854034436120763E-3</v>
      </c>
      <c r="P250">
        <f t="shared" si="29"/>
        <v>1</v>
      </c>
      <c r="Q250">
        <f t="shared" si="30"/>
        <v>0</v>
      </c>
      <c r="R250" s="3">
        <v>48.4</v>
      </c>
    </row>
    <row r="251" spans="1:18">
      <c r="A251" s="1">
        <v>42823</v>
      </c>
      <c r="B251">
        <v>2361.13</v>
      </c>
      <c r="C251">
        <f t="shared" si="24"/>
        <v>1.0854034436120763E-3</v>
      </c>
      <c r="D251">
        <f t="shared" si="31"/>
        <v>7.3166153294823566E-3</v>
      </c>
      <c r="E251">
        <f>_xlfn.XLOOKUP(A251,VIX!A:A,VIX!B:B,"",-1)</f>
        <v>11.42</v>
      </c>
      <c r="F251">
        <f t="shared" si="25"/>
        <v>-0.10999999999999943</v>
      </c>
      <c r="G251">
        <f>_xlfn.XLOOKUP(A251,'DGS10'!A:A,'DGS10'!B:B,"",-1)</f>
        <v>2.39</v>
      </c>
      <c r="H251">
        <f t="shared" si="26"/>
        <v>-2.9999999999999805E-2</v>
      </c>
      <c r="I251" s="2">
        <f>_xlfn.XLOOKUP(A251,T10Y3M!A:A,T10Y3M!B:B,"",-1)</f>
        <v>1.61</v>
      </c>
      <c r="J251" s="2">
        <f>_xlfn.XLOOKUP(A251,BAMLC0A4CBBB!A:A,BAMLC0A4CBBB!B:B,"",-1)</f>
        <v>1.55</v>
      </c>
      <c r="K251" s="2">
        <f>_xlfn.XLOOKUP(A251,CPIAUCSL!A:A,CPIAUCSL!B:B,"",-1)</f>
        <v>243.892</v>
      </c>
      <c r="L251">
        <f>_xlfn.XLOOKUP(A251,DFF!A:A,DFF!B:B,"",-1)</f>
        <v>0.91</v>
      </c>
      <c r="M251">
        <f>_xlfn.XLOOKUP(A251,'DGS2'!A:A,'DGS2'!B:B,"",-1)</f>
        <v>1.26</v>
      </c>
      <c r="N251">
        <f t="shared" si="27"/>
        <v>-4.0000000000000036E-2</v>
      </c>
      <c r="O251">
        <f t="shared" si="28"/>
        <v>2.9350353432466836E-3</v>
      </c>
      <c r="P251">
        <f t="shared" si="29"/>
        <v>1</v>
      </c>
      <c r="Q251">
        <f t="shared" si="30"/>
        <v>0</v>
      </c>
      <c r="R251" s="3">
        <v>47.72</v>
      </c>
    </row>
    <row r="252" spans="1:18">
      <c r="A252" s="1">
        <v>42824</v>
      </c>
      <c r="B252">
        <v>2368.06</v>
      </c>
      <c r="C252">
        <f t="shared" si="24"/>
        <v>2.9350353432466836E-3</v>
      </c>
      <c r="D252">
        <f t="shared" si="31"/>
        <v>1.1304284695441869E-2</v>
      </c>
      <c r="E252">
        <f>_xlfn.XLOOKUP(A252,VIX!A:A,VIX!B:B,"",-1)</f>
        <v>11.54</v>
      </c>
      <c r="F252">
        <f t="shared" si="25"/>
        <v>0.11999999999999922</v>
      </c>
      <c r="G252">
        <f>_xlfn.XLOOKUP(A252,'DGS10'!A:A,'DGS10'!B:B,"",-1)</f>
        <v>2.42</v>
      </c>
      <c r="H252">
        <f t="shared" si="26"/>
        <v>2.9999999999999805E-2</v>
      </c>
      <c r="I252" s="2">
        <f>_xlfn.XLOOKUP(A252,T10Y3M!A:A,T10Y3M!B:B,"",-1)</f>
        <v>1.64</v>
      </c>
      <c r="J252" s="2">
        <f>_xlfn.XLOOKUP(A252,BAMLC0A4CBBB!A:A,BAMLC0A4CBBB!B:B,"",-1)</f>
        <v>1.54</v>
      </c>
      <c r="K252" s="2">
        <f>_xlfn.XLOOKUP(A252,CPIAUCSL!A:A,CPIAUCSL!B:B,"",-1)</f>
        <v>243.892</v>
      </c>
      <c r="L252">
        <f>_xlfn.XLOOKUP(A252,DFF!A:A,DFF!B:B,"",-1)</f>
        <v>0.91</v>
      </c>
      <c r="M252">
        <f>_xlfn.XLOOKUP(A252,'DGS2'!A:A,'DGS2'!B:B,"",-1)</f>
        <v>1.28</v>
      </c>
      <c r="N252">
        <f t="shared" si="27"/>
        <v>2.0000000000000018E-2</v>
      </c>
      <c r="O252">
        <f t="shared" si="28"/>
        <v>-2.255010430479043E-3</v>
      </c>
      <c r="P252">
        <f t="shared" si="29"/>
        <v>0</v>
      </c>
      <c r="Q252">
        <f t="shared" si="30"/>
        <v>0</v>
      </c>
      <c r="R252" s="3">
        <v>48.86</v>
      </c>
    </row>
    <row r="253" spans="1:18">
      <c r="A253" s="1">
        <v>42825</v>
      </c>
      <c r="B253">
        <v>2362.7199999999998</v>
      </c>
      <c r="C253">
        <f t="shared" si="24"/>
        <v>-2.255010430479043E-3</v>
      </c>
      <c r="D253">
        <f t="shared" si="31"/>
        <v>1.7595407386676865E-3</v>
      </c>
      <c r="E253">
        <f>_xlfn.XLOOKUP(A253,VIX!A:A,VIX!B:B,"",-1)</f>
        <v>12.37</v>
      </c>
      <c r="F253">
        <f t="shared" si="25"/>
        <v>0.83000000000000007</v>
      </c>
      <c r="G253">
        <f>_xlfn.XLOOKUP(A253,'DGS10'!A:A,'DGS10'!B:B,"",-1)</f>
        <v>2.4</v>
      </c>
      <c r="H253">
        <f t="shared" si="26"/>
        <v>-2.0000000000000018E-2</v>
      </c>
      <c r="I253" s="2">
        <f>_xlfn.XLOOKUP(A253,T10Y3M!A:A,T10Y3M!B:B,"",-1)</f>
        <v>1.64</v>
      </c>
      <c r="J253" s="2">
        <f>_xlfn.XLOOKUP(A253,BAMLC0A4CBBB!A:A,BAMLC0A4CBBB!B:B,"",-1)</f>
        <v>1.57</v>
      </c>
      <c r="K253" s="2">
        <f>_xlfn.XLOOKUP(A253,CPIAUCSL!A:A,CPIAUCSL!B:B,"",-1)</f>
        <v>243.892</v>
      </c>
      <c r="L253">
        <f>_xlfn.XLOOKUP(A253,DFF!A:A,DFF!B:B,"",-1)</f>
        <v>0.82</v>
      </c>
      <c r="M253">
        <f>_xlfn.XLOOKUP(A253,'DGS2'!A:A,'DGS2'!B:B,"",-1)</f>
        <v>1.27</v>
      </c>
      <c r="N253">
        <f t="shared" si="27"/>
        <v>-1.0000000000000009E-2</v>
      </c>
      <c r="O253">
        <f t="shared" si="28"/>
        <v>-1.6421751202002621E-3</v>
      </c>
      <c r="P253">
        <f t="shared" si="29"/>
        <v>0</v>
      </c>
      <c r="Q253">
        <f t="shared" si="30"/>
        <v>0</v>
      </c>
      <c r="R253" s="3">
        <v>48.75</v>
      </c>
    </row>
    <row r="254" spans="1:18">
      <c r="A254" s="1">
        <v>42828</v>
      </c>
      <c r="B254">
        <v>2358.84</v>
      </c>
      <c r="C254">
        <f t="shared" si="24"/>
        <v>-1.6421751202002621E-3</v>
      </c>
      <c r="D254">
        <f t="shared" si="31"/>
        <v>-9.6987459394437536E-4</v>
      </c>
      <c r="E254">
        <f>_xlfn.XLOOKUP(A254,VIX!A:A,VIX!B:B,"",-1)</f>
        <v>12.38</v>
      </c>
      <c r="F254">
        <f t="shared" si="25"/>
        <v>1.0000000000001563E-2</v>
      </c>
      <c r="G254">
        <f>_xlfn.XLOOKUP(A254,'DGS10'!A:A,'DGS10'!B:B,"",-1)</f>
        <v>2.35</v>
      </c>
      <c r="H254">
        <f t="shared" si="26"/>
        <v>-4.9999999999999822E-2</v>
      </c>
      <c r="I254" s="2">
        <f>_xlfn.XLOOKUP(A254,T10Y3M!A:A,T10Y3M!B:B,"",-1)</f>
        <v>1.56</v>
      </c>
      <c r="J254" s="2">
        <f>_xlfn.XLOOKUP(A254,BAMLC0A4CBBB!A:A,BAMLC0A4CBBB!B:B,"",-1)</f>
        <v>1.57</v>
      </c>
      <c r="K254" s="2">
        <f>_xlfn.XLOOKUP(A254,CPIAUCSL!A:A,CPIAUCSL!B:B,"",-1)</f>
        <v>244.19300000000001</v>
      </c>
      <c r="L254">
        <f>_xlfn.XLOOKUP(A254,DFF!A:A,DFF!B:B,"",-1)</f>
        <v>0.91</v>
      </c>
      <c r="M254">
        <f>_xlfn.XLOOKUP(A254,'DGS2'!A:A,'DGS2'!B:B,"",-1)</f>
        <v>1.24</v>
      </c>
      <c r="N254">
        <f t="shared" si="27"/>
        <v>-3.0000000000000027E-2</v>
      </c>
      <c r="O254">
        <f t="shared" si="28"/>
        <v>5.5959709009489877E-4</v>
      </c>
      <c r="P254">
        <f t="shared" si="29"/>
        <v>1</v>
      </c>
      <c r="Q254">
        <f t="shared" si="30"/>
        <v>0</v>
      </c>
      <c r="R254" s="3">
        <v>48.78</v>
      </c>
    </row>
    <row r="255" spans="1:18">
      <c r="A255" s="1">
        <v>42829</v>
      </c>
      <c r="B255">
        <v>2360.16</v>
      </c>
      <c r="C255">
        <f t="shared" si="24"/>
        <v>5.5959709009489877E-4</v>
      </c>
      <c r="D255">
        <f t="shared" si="31"/>
        <v>-3.3360641199969843E-3</v>
      </c>
      <c r="E255">
        <f>_xlfn.XLOOKUP(A255,VIX!A:A,VIX!B:B,"",-1)</f>
        <v>11.79</v>
      </c>
      <c r="F255">
        <f t="shared" si="25"/>
        <v>-0.59000000000000163</v>
      </c>
      <c r="G255">
        <f>_xlfn.XLOOKUP(A255,'DGS10'!A:A,'DGS10'!B:B,"",-1)</f>
        <v>2.36</v>
      </c>
      <c r="H255">
        <f t="shared" si="26"/>
        <v>9.9999999999997868E-3</v>
      </c>
      <c r="I255" s="2">
        <f>_xlfn.XLOOKUP(A255,T10Y3M!A:A,T10Y3M!B:B,"",-1)</f>
        <v>1.57</v>
      </c>
      <c r="J255" s="2">
        <f>_xlfn.XLOOKUP(A255,BAMLC0A4CBBB!A:A,BAMLC0A4CBBB!B:B,"",-1)</f>
        <v>1.58</v>
      </c>
      <c r="K255" s="2">
        <f>_xlfn.XLOOKUP(A255,CPIAUCSL!A:A,CPIAUCSL!B:B,"",-1)</f>
        <v>244.19300000000001</v>
      </c>
      <c r="L255">
        <f>_xlfn.XLOOKUP(A255,DFF!A:A,DFF!B:B,"",-1)</f>
        <v>0.91</v>
      </c>
      <c r="M255">
        <f>_xlfn.XLOOKUP(A255,'DGS2'!A:A,'DGS2'!B:B,"",-1)</f>
        <v>1.25</v>
      </c>
      <c r="N255">
        <f t="shared" si="27"/>
        <v>1.0000000000000009E-2</v>
      </c>
      <c r="O255">
        <f t="shared" si="28"/>
        <v>-3.0548776354145657E-3</v>
      </c>
      <c r="P255">
        <f t="shared" si="29"/>
        <v>0</v>
      </c>
      <c r="Q255">
        <f t="shared" si="30"/>
        <v>-1</v>
      </c>
      <c r="R255" s="3">
        <v>48.22</v>
      </c>
    </row>
    <row r="256" spans="1:18">
      <c r="A256" s="1">
        <v>42830</v>
      </c>
      <c r="B256">
        <v>2352.9499999999998</v>
      </c>
      <c r="C256">
        <f t="shared" si="24"/>
        <v>-3.0548776354145657E-3</v>
      </c>
      <c r="D256">
        <f t="shared" si="31"/>
        <v>-4.1350646712263739E-3</v>
      </c>
      <c r="E256">
        <f>_xlfn.XLOOKUP(A256,VIX!A:A,VIX!B:B,"",-1)</f>
        <v>12.89</v>
      </c>
      <c r="F256">
        <f t="shared" si="25"/>
        <v>1.1000000000000014</v>
      </c>
      <c r="G256">
        <f>_xlfn.XLOOKUP(A256,'DGS10'!A:A,'DGS10'!B:B,"",-1)</f>
        <v>2.34</v>
      </c>
      <c r="H256">
        <f t="shared" si="26"/>
        <v>-2.0000000000000018E-2</v>
      </c>
      <c r="I256" s="2">
        <f>_xlfn.XLOOKUP(A256,T10Y3M!A:A,T10Y3M!B:B,"",-1)</f>
        <v>1.54</v>
      </c>
      <c r="J256" s="2">
        <f>_xlfn.XLOOKUP(A256,BAMLC0A4CBBB!A:A,BAMLC0A4CBBB!B:B,"",-1)</f>
        <v>1.58</v>
      </c>
      <c r="K256" s="2">
        <f>_xlfn.XLOOKUP(A256,CPIAUCSL!A:A,CPIAUCSL!B:B,"",-1)</f>
        <v>244.19300000000001</v>
      </c>
      <c r="L256">
        <f>_xlfn.XLOOKUP(A256,DFF!A:A,DFF!B:B,"",-1)</f>
        <v>0.91</v>
      </c>
      <c r="M256">
        <f>_xlfn.XLOOKUP(A256,'DGS2'!A:A,'DGS2'!B:B,"",-1)</f>
        <v>1.24</v>
      </c>
      <c r="N256">
        <f t="shared" si="27"/>
        <v>-1.0000000000000009E-2</v>
      </c>
      <c r="O256">
        <f t="shared" si="28"/>
        <v>1.9294927644020188E-3</v>
      </c>
      <c r="P256">
        <f t="shared" si="29"/>
        <v>1</v>
      </c>
      <c r="Q256">
        <f t="shared" si="30"/>
        <v>0</v>
      </c>
      <c r="R256" s="3">
        <v>47.34</v>
      </c>
    </row>
    <row r="257" spans="1:18">
      <c r="A257" s="1">
        <v>42831</v>
      </c>
      <c r="B257">
        <v>2357.4899999999998</v>
      </c>
      <c r="C257">
        <f t="shared" si="24"/>
        <v>1.9294927644020188E-3</v>
      </c>
      <c r="D257">
        <f t="shared" si="31"/>
        <v>-5.7231520577927242E-4</v>
      </c>
      <c r="E257">
        <f>_xlfn.XLOOKUP(A257,VIX!A:A,VIX!B:B,"",-1)</f>
        <v>12.39</v>
      </c>
      <c r="F257">
        <f t="shared" si="25"/>
        <v>-0.5</v>
      </c>
      <c r="G257">
        <f>_xlfn.XLOOKUP(A257,'DGS10'!A:A,'DGS10'!B:B,"",-1)</f>
        <v>2.34</v>
      </c>
      <c r="H257">
        <f t="shared" si="26"/>
        <v>0</v>
      </c>
      <c r="I257" s="2">
        <f>_xlfn.XLOOKUP(A257,T10Y3M!A:A,T10Y3M!B:B,"",-1)</f>
        <v>1.55</v>
      </c>
      <c r="J257" s="2">
        <f>_xlfn.XLOOKUP(A257,BAMLC0A4CBBB!A:A,BAMLC0A4CBBB!B:B,"",-1)</f>
        <v>1.58</v>
      </c>
      <c r="K257" s="2">
        <f>_xlfn.XLOOKUP(A257,CPIAUCSL!A:A,CPIAUCSL!B:B,"",-1)</f>
        <v>244.19300000000001</v>
      </c>
      <c r="L257">
        <f>_xlfn.XLOOKUP(A257,DFF!A:A,DFF!B:B,"",-1)</f>
        <v>0.91</v>
      </c>
      <c r="M257">
        <f>_xlfn.XLOOKUP(A257,'DGS2'!A:A,'DGS2'!B:B,"",-1)</f>
        <v>1.24</v>
      </c>
      <c r="N257">
        <f t="shared" si="27"/>
        <v>0</v>
      </c>
      <c r="O257">
        <f t="shared" si="28"/>
        <v>-8.2715091050222789E-4</v>
      </c>
      <c r="P257">
        <f t="shared" si="29"/>
        <v>0</v>
      </c>
      <c r="Q257">
        <f t="shared" si="30"/>
        <v>0</v>
      </c>
      <c r="R257" s="3">
        <v>48.04</v>
      </c>
    </row>
    <row r="258" spans="1:18">
      <c r="A258" s="1">
        <v>42832</v>
      </c>
      <c r="B258">
        <v>2355.54</v>
      </c>
      <c r="C258">
        <f t="shared" si="24"/>
        <v>-8.2715091050222789E-4</v>
      </c>
      <c r="D258">
        <f t="shared" si="31"/>
        <v>-1.9574944071587552E-3</v>
      </c>
      <c r="E258">
        <f>_xlfn.XLOOKUP(A258,VIX!A:A,VIX!B:B,"",-1)</f>
        <v>12.87</v>
      </c>
      <c r="F258">
        <f t="shared" si="25"/>
        <v>0.47999999999999865</v>
      </c>
      <c r="G258">
        <f>_xlfn.XLOOKUP(A258,'DGS10'!A:A,'DGS10'!B:B,"",-1)</f>
        <v>2.38</v>
      </c>
      <c r="H258">
        <f t="shared" si="26"/>
        <v>4.0000000000000036E-2</v>
      </c>
      <c r="I258" s="2">
        <f>_xlfn.XLOOKUP(A258,T10Y3M!A:A,T10Y3M!B:B,"",-1)</f>
        <v>1.56</v>
      </c>
      <c r="J258" s="2">
        <f>_xlfn.XLOOKUP(A258,BAMLC0A4CBBB!A:A,BAMLC0A4CBBB!B:B,"",-1)</f>
        <v>1.57</v>
      </c>
      <c r="K258" s="2">
        <f>_xlfn.XLOOKUP(A258,CPIAUCSL!A:A,CPIAUCSL!B:B,"",-1)</f>
        <v>244.19300000000001</v>
      </c>
      <c r="L258">
        <f>_xlfn.XLOOKUP(A258,DFF!A:A,DFF!B:B,"",-1)</f>
        <v>0.91</v>
      </c>
      <c r="M258">
        <f>_xlfn.XLOOKUP(A258,'DGS2'!A:A,'DGS2'!B:B,"",-1)</f>
        <v>1.29</v>
      </c>
      <c r="N258">
        <f t="shared" si="27"/>
        <v>5.0000000000000044E-2</v>
      </c>
      <c r="O258">
        <f t="shared" si="28"/>
        <v>6.8774039073837834E-4</v>
      </c>
      <c r="P258">
        <f t="shared" si="29"/>
        <v>1</v>
      </c>
      <c r="Q258">
        <f t="shared" si="30"/>
        <v>0</v>
      </c>
      <c r="R258" s="3">
        <v>47.7</v>
      </c>
    </row>
    <row r="259" spans="1:18">
      <c r="A259" s="1">
        <v>42835</v>
      </c>
      <c r="B259">
        <v>2357.16</v>
      </c>
      <c r="C259">
        <f t="shared" si="24"/>
        <v>6.8774039073837834E-4</v>
      </c>
      <c r="D259">
        <f t="shared" si="31"/>
        <v>1.7892432903376942E-3</v>
      </c>
      <c r="E259">
        <f>_xlfn.XLOOKUP(A259,VIX!A:A,VIX!B:B,"",-1)</f>
        <v>14.05</v>
      </c>
      <c r="F259">
        <f t="shared" si="25"/>
        <v>1.1800000000000015</v>
      </c>
      <c r="G259">
        <f>_xlfn.XLOOKUP(A259,'DGS10'!A:A,'DGS10'!B:B,"",-1)</f>
        <v>2.37</v>
      </c>
      <c r="H259">
        <f t="shared" si="26"/>
        <v>-9.9999999999997868E-3</v>
      </c>
      <c r="I259" s="2">
        <f>_xlfn.XLOOKUP(A259,T10Y3M!A:A,T10Y3M!B:B,"",-1)</f>
        <v>1.55</v>
      </c>
      <c r="J259" s="2">
        <f>_xlfn.XLOOKUP(A259,BAMLC0A4CBBB!A:A,BAMLC0A4CBBB!B:B,"",-1)</f>
        <v>1.56</v>
      </c>
      <c r="K259" s="2">
        <f>_xlfn.XLOOKUP(A259,CPIAUCSL!A:A,CPIAUCSL!B:B,"",-1)</f>
        <v>244.19300000000001</v>
      </c>
      <c r="L259">
        <f>_xlfn.XLOOKUP(A259,DFF!A:A,DFF!B:B,"",-1)</f>
        <v>0.91</v>
      </c>
      <c r="M259">
        <f>_xlfn.XLOOKUP(A259,'DGS2'!A:A,'DGS2'!B:B,"",-1)</f>
        <v>1.29</v>
      </c>
      <c r="N259">
        <f t="shared" si="27"/>
        <v>0</v>
      </c>
      <c r="O259">
        <f t="shared" si="28"/>
        <v>-1.4339289653649834E-3</v>
      </c>
      <c r="P259">
        <f t="shared" si="29"/>
        <v>0</v>
      </c>
      <c r="Q259">
        <f t="shared" si="30"/>
        <v>0</v>
      </c>
      <c r="R259" s="3">
        <v>47.97</v>
      </c>
    </row>
    <row r="260" spans="1:18">
      <c r="A260" s="1">
        <v>42836</v>
      </c>
      <c r="B260">
        <v>2353.7800000000002</v>
      </c>
      <c r="C260">
        <f t="shared" ref="C260:C323" si="32">IF(OR(B260="",B259=""),"",(B260/B259)-1)</f>
        <v>-1.4339289653649834E-3</v>
      </c>
      <c r="D260">
        <f t="shared" si="31"/>
        <v>-1.5737076297246411E-3</v>
      </c>
      <c r="E260">
        <f>_xlfn.XLOOKUP(A260,VIX!A:A,VIX!B:B,"",-1)</f>
        <v>15.07</v>
      </c>
      <c r="F260">
        <f t="shared" ref="F260:F323" si="33">IF(OR(E260="",E259=""),"",E260-E259)</f>
        <v>1.0199999999999996</v>
      </c>
      <c r="G260">
        <f>_xlfn.XLOOKUP(A260,'DGS10'!A:A,'DGS10'!B:B,"",-1)</f>
        <v>2.3199999999999998</v>
      </c>
      <c r="H260">
        <f t="shared" ref="H260:H323" si="34">IF(OR(G260="",G259=""),"",G260-G259)</f>
        <v>-5.0000000000000266E-2</v>
      </c>
      <c r="I260" s="2">
        <f>_xlfn.XLOOKUP(A260,T10Y3M!A:A,T10Y3M!B:B,"",-1)</f>
        <v>1.5</v>
      </c>
      <c r="J260" s="2">
        <f>_xlfn.XLOOKUP(A260,BAMLC0A4CBBB!A:A,BAMLC0A4CBBB!B:B,"",-1)</f>
        <v>1.57</v>
      </c>
      <c r="K260" s="2">
        <f>_xlfn.XLOOKUP(A260,CPIAUCSL!A:A,CPIAUCSL!B:B,"",-1)</f>
        <v>244.19300000000001</v>
      </c>
      <c r="L260">
        <f>_xlfn.XLOOKUP(A260,DFF!A:A,DFF!B:B,"",-1)</f>
        <v>0.91</v>
      </c>
      <c r="M260">
        <f>_xlfn.XLOOKUP(A260,'DGS2'!A:A,'DGS2'!B:B,"",-1)</f>
        <v>1.24</v>
      </c>
      <c r="N260">
        <f t="shared" ref="N260:N323" si="35">IF(OR(M260="",M259=""),"",M260-M259)</f>
        <v>-5.0000000000000044E-2</v>
      </c>
      <c r="O260">
        <f t="shared" ref="O260:O323" si="36">IF(OR(B261="",B260=""),"",(B261/B260)-1)</f>
        <v>-3.7599095922304926E-3</v>
      </c>
      <c r="P260">
        <f t="shared" ref="P260:P323" si="37">IF(O260="","",IF(O260&gt;0,1,0))</f>
        <v>0</v>
      </c>
      <c r="Q260">
        <f t="shared" ref="Q260:Q323" si="38">IF(O260="","",IF(O260&gt;0.003,1,IF(O260&lt;-0.003,-1,0)))</f>
        <v>-1</v>
      </c>
      <c r="R260" s="3">
        <v>47.73</v>
      </c>
    </row>
    <row r="261" spans="1:18">
      <c r="A261" s="1">
        <v>42837</v>
      </c>
      <c r="B261">
        <v>2344.9299999999998</v>
      </c>
      <c r="C261">
        <f t="shared" si="32"/>
        <v>-3.7599095922304926E-3</v>
      </c>
      <c r="D261">
        <f t="shared" si="31"/>
        <v>-4.5042750282313637E-3</v>
      </c>
      <c r="E261">
        <f>_xlfn.XLOOKUP(A261,VIX!A:A,VIX!B:B,"",-1)</f>
        <v>15.77</v>
      </c>
      <c r="F261">
        <f t="shared" si="33"/>
        <v>0.69999999999999929</v>
      </c>
      <c r="G261">
        <f>_xlfn.XLOOKUP(A261,'DGS10'!A:A,'DGS10'!B:B,"",-1)</f>
        <v>2.2799999999999998</v>
      </c>
      <c r="H261">
        <f t="shared" si="34"/>
        <v>-4.0000000000000036E-2</v>
      </c>
      <c r="I261" s="2">
        <f>_xlfn.XLOOKUP(A261,T10Y3M!A:A,T10Y3M!B:B,"",-1)</f>
        <v>1.47</v>
      </c>
      <c r="J261" s="2">
        <f>_xlfn.XLOOKUP(A261,BAMLC0A4CBBB!A:A,BAMLC0A4CBBB!B:B,"",-1)</f>
        <v>1.57</v>
      </c>
      <c r="K261" s="2">
        <f>_xlfn.XLOOKUP(A261,CPIAUCSL!A:A,CPIAUCSL!B:B,"",-1)</f>
        <v>244.19300000000001</v>
      </c>
      <c r="L261">
        <f>_xlfn.XLOOKUP(A261,DFF!A:A,DFF!B:B,"",-1)</f>
        <v>0.91</v>
      </c>
      <c r="M261">
        <f>_xlfn.XLOOKUP(A261,'DGS2'!A:A,'DGS2'!B:B,"",-1)</f>
        <v>1.24</v>
      </c>
      <c r="N261">
        <f t="shared" si="35"/>
        <v>0</v>
      </c>
      <c r="O261">
        <f t="shared" si="36"/>
        <v>-6.8147023578528643E-3</v>
      </c>
      <c r="P261">
        <f t="shared" si="37"/>
        <v>0</v>
      </c>
      <c r="Q261">
        <f t="shared" si="38"/>
        <v>-1</v>
      </c>
      <c r="R261" s="3">
        <v>48.37</v>
      </c>
    </row>
    <row r="262" spans="1:18">
      <c r="A262" s="1">
        <v>42838</v>
      </c>
      <c r="B262">
        <v>2328.9499999999998</v>
      </c>
      <c r="C262">
        <f t="shared" si="32"/>
        <v>-6.8147023578528643E-3</v>
      </c>
      <c r="D262">
        <f t="shared" ref="D262:D325" si="39">IF(OR(B262="",B259=""),"",(B262/B259)-1)</f>
        <v>-1.1967791749393331E-2</v>
      </c>
      <c r="E262">
        <f>_xlfn.XLOOKUP(A262,VIX!A:A,VIX!B:B,"",-1)</f>
        <v>15.96</v>
      </c>
      <c r="F262">
        <f t="shared" si="33"/>
        <v>0.19000000000000128</v>
      </c>
      <c r="G262">
        <f>_xlfn.XLOOKUP(A262,'DGS10'!A:A,'DGS10'!B:B,"",-1)</f>
        <v>2.2400000000000002</v>
      </c>
      <c r="H262">
        <f t="shared" si="34"/>
        <v>-3.9999999999999591E-2</v>
      </c>
      <c r="I262" s="2">
        <f>_xlfn.XLOOKUP(A262,T10Y3M!A:A,T10Y3M!B:B,"",-1)</f>
        <v>1.43</v>
      </c>
      <c r="J262" s="2">
        <f>_xlfn.XLOOKUP(A262,BAMLC0A4CBBB!A:A,BAMLC0A4CBBB!B:B,"",-1)</f>
        <v>1.58</v>
      </c>
      <c r="K262" s="2">
        <f>_xlfn.XLOOKUP(A262,CPIAUCSL!A:A,CPIAUCSL!B:B,"",-1)</f>
        <v>244.19300000000001</v>
      </c>
      <c r="L262">
        <f>_xlfn.XLOOKUP(A262,DFF!A:A,DFF!B:B,"",-1)</f>
        <v>0.91</v>
      </c>
      <c r="M262">
        <f>_xlfn.XLOOKUP(A262,'DGS2'!A:A,'DGS2'!B:B,"",-1)</f>
        <v>1.21</v>
      </c>
      <c r="N262">
        <f t="shared" si="35"/>
        <v>-3.0000000000000027E-2</v>
      </c>
      <c r="O262">
        <f t="shared" si="36"/>
        <v>8.6133236007643887E-3</v>
      </c>
      <c r="P262">
        <f t="shared" si="37"/>
        <v>1</v>
      </c>
      <c r="Q262">
        <f t="shared" si="38"/>
        <v>1</v>
      </c>
      <c r="R262" s="3">
        <v>49.51</v>
      </c>
    </row>
    <row r="263" spans="1:18">
      <c r="A263" s="1">
        <v>42842</v>
      </c>
      <c r="B263">
        <v>2349.0100000000002</v>
      </c>
      <c r="C263">
        <f t="shared" si="32"/>
        <v>8.6133236007643887E-3</v>
      </c>
      <c r="D263">
        <f t="shared" si="39"/>
        <v>-2.0265275429309781E-3</v>
      </c>
      <c r="E263">
        <f>_xlfn.XLOOKUP(A263,VIX!A:A,VIX!B:B,"",-1)</f>
        <v>14.66</v>
      </c>
      <c r="F263">
        <f t="shared" si="33"/>
        <v>-1.3000000000000007</v>
      </c>
      <c r="G263">
        <f>_xlfn.XLOOKUP(A263,'DGS10'!A:A,'DGS10'!B:B,"",-1)</f>
        <v>2.2599999999999998</v>
      </c>
      <c r="H263">
        <f t="shared" si="34"/>
        <v>1.9999999999999574E-2</v>
      </c>
      <c r="I263" s="2">
        <f>_xlfn.XLOOKUP(A263,T10Y3M!A:A,T10Y3M!B:B,"",-1)</f>
        <v>1.43</v>
      </c>
      <c r="J263" s="2">
        <f>_xlfn.XLOOKUP(A263,BAMLC0A4CBBB!A:A,BAMLC0A4CBBB!B:B,"",-1)</f>
        <v>1.58</v>
      </c>
      <c r="K263" s="2">
        <f>_xlfn.XLOOKUP(A263,CPIAUCSL!A:A,CPIAUCSL!B:B,"",-1)</f>
        <v>244.19300000000001</v>
      </c>
      <c r="L263">
        <f>_xlfn.XLOOKUP(A263,DFF!A:A,DFF!B:B,"",-1)</f>
        <v>0.91</v>
      </c>
      <c r="M263">
        <f>_xlfn.XLOOKUP(A263,'DGS2'!A:A,'DGS2'!B:B,"",-1)</f>
        <v>1.21</v>
      </c>
      <c r="N263">
        <f t="shared" si="35"/>
        <v>0</v>
      </c>
      <c r="O263">
        <f t="shared" si="36"/>
        <v>-2.9033507733046138E-3</v>
      </c>
      <c r="P263">
        <f t="shared" si="37"/>
        <v>0</v>
      </c>
      <c r="Q263">
        <f t="shared" si="38"/>
        <v>0</v>
      </c>
      <c r="R263" s="3">
        <v>50.35</v>
      </c>
    </row>
    <row r="264" spans="1:18">
      <c r="A264" s="1">
        <v>42843</v>
      </c>
      <c r="B264">
        <v>2342.19</v>
      </c>
      <c r="C264">
        <f t="shared" si="32"/>
        <v>-2.9033507733046138E-3</v>
      </c>
      <c r="D264">
        <f t="shared" si="39"/>
        <v>-1.168478376753157E-3</v>
      </c>
      <c r="E264">
        <f>_xlfn.XLOOKUP(A264,VIX!A:A,VIX!B:B,"",-1)</f>
        <v>14.42</v>
      </c>
      <c r="F264">
        <f t="shared" si="33"/>
        <v>-0.24000000000000021</v>
      </c>
      <c r="G264">
        <f>_xlfn.XLOOKUP(A264,'DGS10'!A:A,'DGS10'!B:B,"",-1)</f>
        <v>2.1800000000000002</v>
      </c>
      <c r="H264">
        <f t="shared" si="34"/>
        <v>-7.9999999999999627E-2</v>
      </c>
      <c r="I264" s="2">
        <f>_xlfn.XLOOKUP(A264,T10Y3M!A:A,T10Y3M!B:B,"",-1)</f>
        <v>1.36</v>
      </c>
      <c r="J264" s="2">
        <f>_xlfn.XLOOKUP(A264,BAMLC0A4CBBB!A:A,BAMLC0A4CBBB!B:B,"",-1)</f>
        <v>1.59</v>
      </c>
      <c r="K264" s="2">
        <f>_xlfn.XLOOKUP(A264,CPIAUCSL!A:A,CPIAUCSL!B:B,"",-1)</f>
        <v>244.19300000000001</v>
      </c>
      <c r="L264">
        <f>_xlfn.XLOOKUP(A264,DFF!A:A,DFF!B:B,"",-1)</f>
        <v>0.91</v>
      </c>
      <c r="M264">
        <f>_xlfn.XLOOKUP(A264,'DGS2'!A:A,'DGS2'!B:B,"",-1)</f>
        <v>1.18</v>
      </c>
      <c r="N264">
        <f t="shared" si="35"/>
        <v>-3.0000000000000027E-2</v>
      </c>
      <c r="O264">
        <f t="shared" si="36"/>
        <v>-1.7163423974997372E-3</v>
      </c>
      <c r="P264">
        <f t="shared" si="37"/>
        <v>0</v>
      </c>
      <c r="Q264">
        <f t="shared" si="38"/>
        <v>0</v>
      </c>
      <c r="R264" s="3">
        <v>50.6</v>
      </c>
    </row>
    <row r="265" spans="1:18">
      <c r="A265" s="1">
        <v>42844</v>
      </c>
      <c r="B265">
        <v>2338.17</v>
      </c>
      <c r="C265">
        <f t="shared" si="32"/>
        <v>-1.7163423974997372E-3</v>
      </c>
      <c r="D265">
        <f t="shared" si="39"/>
        <v>3.9588655832027975E-3</v>
      </c>
      <c r="E265">
        <f>_xlfn.XLOOKUP(A265,VIX!A:A,VIX!B:B,"",-1)</f>
        <v>14.93</v>
      </c>
      <c r="F265">
        <f t="shared" si="33"/>
        <v>0.50999999999999979</v>
      </c>
      <c r="G265">
        <f>_xlfn.XLOOKUP(A265,'DGS10'!A:A,'DGS10'!B:B,"",-1)</f>
        <v>2.21</v>
      </c>
      <c r="H265">
        <f t="shared" si="34"/>
        <v>2.9999999999999805E-2</v>
      </c>
      <c r="I265" s="2">
        <f>_xlfn.XLOOKUP(A265,T10Y3M!A:A,T10Y3M!B:B,"",-1)</f>
        <v>1.4</v>
      </c>
      <c r="J265" s="2">
        <f>_xlfn.XLOOKUP(A265,BAMLC0A4CBBB!A:A,BAMLC0A4CBBB!B:B,"",-1)</f>
        <v>1.59</v>
      </c>
      <c r="K265" s="2">
        <f>_xlfn.XLOOKUP(A265,CPIAUCSL!A:A,CPIAUCSL!B:B,"",-1)</f>
        <v>244.19300000000001</v>
      </c>
      <c r="L265">
        <f>_xlfn.XLOOKUP(A265,DFF!A:A,DFF!B:B,"",-1)</f>
        <v>0.91</v>
      </c>
      <c r="M265">
        <f>_xlfn.XLOOKUP(A265,'DGS2'!A:A,'DGS2'!B:B,"",-1)</f>
        <v>1.19</v>
      </c>
      <c r="N265">
        <f t="shared" si="35"/>
        <v>1.0000000000000009E-2</v>
      </c>
      <c r="O265">
        <f t="shared" si="36"/>
        <v>7.5571921631019112E-3</v>
      </c>
      <c r="P265">
        <f t="shared" si="37"/>
        <v>1</v>
      </c>
      <c r="Q265">
        <f t="shared" si="38"/>
        <v>1</v>
      </c>
      <c r="R265" s="3">
        <v>50.24</v>
      </c>
    </row>
    <row r="266" spans="1:18">
      <c r="A266" s="1">
        <v>42845</v>
      </c>
      <c r="B266">
        <v>2355.84</v>
      </c>
      <c r="C266">
        <f t="shared" si="32"/>
        <v>7.5571921631019112E-3</v>
      </c>
      <c r="D266">
        <f t="shared" si="39"/>
        <v>2.9076078858751853E-3</v>
      </c>
      <c r="E266">
        <f>_xlfn.XLOOKUP(A266,VIX!A:A,VIX!B:B,"",-1)</f>
        <v>14.15</v>
      </c>
      <c r="F266">
        <f t="shared" si="33"/>
        <v>-0.77999999999999936</v>
      </c>
      <c r="G266">
        <f>_xlfn.XLOOKUP(A266,'DGS10'!A:A,'DGS10'!B:B,"",-1)</f>
        <v>2.2400000000000002</v>
      </c>
      <c r="H266">
        <f t="shared" si="34"/>
        <v>3.0000000000000249E-2</v>
      </c>
      <c r="I266" s="2">
        <f>_xlfn.XLOOKUP(A266,T10Y3M!A:A,T10Y3M!B:B,"",-1)</f>
        <v>1.45</v>
      </c>
      <c r="J266" s="2">
        <f>_xlfn.XLOOKUP(A266,BAMLC0A4CBBB!A:A,BAMLC0A4CBBB!B:B,"",-1)</f>
        <v>1.58</v>
      </c>
      <c r="K266" s="2">
        <f>_xlfn.XLOOKUP(A266,CPIAUCSL!A:A,CPIAUCSL!B:B,"",-1)</f>
        <v>244.19300000000001</v>
      </c>
      <c r="L266">
        <f>_xlfn.XLOOKUP(A266,DFF!A:A,DFF!B:B,"",-1)</f>
        <v>0.91</v>
      </c>
      <c r="M266">
        <f>_xlfn.XLOOKUP(A266,'DGS2'!A:A,'DGS2'!B:B,"",-1)</f>
        <v>1.21</v>
      </c>
      <c r="N266">
        <f t="shared" si="35"/>
        <v>2.0000000000000018E-2</v>
      </c>
      <c r="O266">
        <f t="shared" si="36"/>
        <v>-3.0350108666123976E-3</v>
      </c>
      <c r="P266">
        <f t="shared" si="37"/>
        <v>0</v>
      </c>
      <c r="Q266">
        <f t="shared" si="38"/>
        <v>-1</v>
      </c>
      <c r="R266" s="3">
        <v>51.03</v>
      </c>
    </row>
    <row r="267" spans="1:18">
      <c r="A267" s="1">
        <v>42846</v>
      </c>
      <c r="B267">
        <v>2348.69</v>
      </c>
      <c r="C267">
        <f t="shared" si="32"/>
        <v>-3.0350108666123976E-3</v>
      </c>
      <c r="D267">
        <f t="shared" si="39"/>
        <v>2.7751804934696978E-3</v>
      </c>
      <c r="E267">
        <f>_xlfn.XLOOKUP(A267,VIX!A:A,VIX!B:B,"",-1)</f>
        <v>14.63</v>
      </c>
      <c r="F267">
        <f t="shared" si="33"/>
        <v>0.48000000000000043</v>
      </c>
      <c r="G267">
        <f>_xlfn.XLOOKUP(A267,'DGS10'!A:A,'DGS10'!B:B,"",-1)</f>
        <v>2.2400000000000002</v>
      </c>
      <c r="H267">
        <f t="shared" si="34"/>
        <v>0</v>
      </c>
      <c r="I267" s="2">
        <f>_xlfn.XLOOKUP(A267,T10Y3M!A:A,T10Y3M!B:B,"",-1)</f>
        <v>1.45</v>
      </c>
      <c r="J267" s="2">
        <f>_xlfn.XLOOKUP(A267,BAMLC0A4CBBB!A:A,BAMLC0A4CBBB!B:B,"",-1)</f>
        <v>1.58</v>
      </c>
      <c r="K267" s="2">
        <f>_xlfn.XLOOKUP(A267,CPIAUCSL!A:A,CPIAUCSL!B:B,"",-1)</f>
        <v>244.19300000000001</v>
      </c>
      <c r="L267">
        <f>_xlfn.XLOOKUP(A267,DFF!A:A,DFF!B:B,"",-1)</f>
        <v>0.91</v>
      </c>
      <c r="M267">
        <f>_xlfn.XLOOKUP(A267,'DGS2'!A:A,'DGS2'!B:B,"",-1)</f>
        <v>1.2</v>
      </c>
      <c r="N267">
        <f t="shared" si="35"/>
        <v>-1.0000000000000009E-2</v>
      </c>
      <c r="O267">
        <f t="shared" si="36"/>
        <v>1.0840085324159476E-2</v>
      </c>
      <c r="P267">
        <f t="shared" si="37"/>
        <v>1</v>
      </c>
      <c r="Q267">
        <f t="shared" si="38"/>
        <v>1</v>
      </c>
      <c r="R267" s="3">
        <v>51.15</v>
      </c>
    </row>
    <row r="268" spans="1:18">
      <c r="A268" s="1">
        <v>42849</v>
      </c>
      <c r="B268">
        <v>2374.15</v>
      </c>
      <c r="C268">
        <f t="shared" si="32"/>
        <v>1.0840085324159476E-2</v>
      </c>
      <c r="D268">
        <f t="shared" si="39"/>
        <v>1.538810266148305E-2</v>
      </c>
      <c r="E268">
        <f>_xlfn.XLOOKUP(A268,VIX!A:A,VIX!B:B,"",-1)</f>
        <v>10.84</v>
      </c>
      <c r="F268">
        <f t="shared" si="33"/>
        <v>-3.7900000000000009</v>
      </c>
      <c r="G268">
        <f>_xlfn.XLOOKUP(A268,'DGS10'!A:A,'DGS10'!B:B,"",-1)</f>
        <v>2.2799999999999998</v>
      </c>
      <c r="H268">
        <f t="shared" si="34"/>
        <v>3.9999999999999591E-2</v>
      </c>
      <c r="I268" s="2">
        <f>_xlfn.XLOOKUP(A268,T10Y3M!A:A,T10Y3M!B:B,"",-1)</f>
        <v>1.47</v>
      </c>
      <c r="J268" s="2">
        <f>_xlfn.XLOOKUP(A268,BAMLC0A4CBBB!A:A,BAMLC0A4CBBB!B:B,"",-1)</f>
        <v>1.56</v>
      </c>
      <c r="K268" s="2">
        <f>_xlfn.XLOOKUP(A268,CPIAUCSL!A:A,CPIAUCSL!B:B,"",-1)</f>
        <v>244.19300000000001</v>
      </c>
      <c r="L268">
        <f>_xlfn.XLOOKUP(A268,DFF!A:A,DFF!B:B,"",-1)</f>
        <v>0.91</v>
      </c>
      <c r="M268">
        <f>_xlfn.XLOOKUP(A268,'DGS2'!A:A,'DGS2'!B:B,"",-1)</f>
        <v>1.25</v>
      </c>
      <c r="N268">
        <f t="shared" si="35"/>
        <v>5.0000000000000044E-2</v>
      </c>
      <c r="O268">
        <f t="shared" si="36"/>
        <v>6.0906008466188322E-3</v>
      </c>
      <c r="P268">
        <f t="shared" si="37"/>
        <v>1</v>
      </c>
      <c r="Q268">
        <f t="shared" si="38"/>
        <v>1</v>
      </c>
      <c r="R268" s="3">
        <v>51.7</v>
      </c>
    </row>
    <row r="269" spans="1:18">
      <c r="A269" s="1">
        <v>42850</v>
      </c>
      <c r="B269">
        <v>2388.61</v>
      </c>
      <c r="C269">
        <f t="shared" si="32"/>
        <v>6.0906008466188322E-3</v>
      </c>
      <c r="D269">
        <f t="shared" si="39"/>
        <v>1.3910112741102987E-2</v>
      </c>
      <c r="E269">
        <f>_xlfn.XLOOKUP(A269,VIX!A:A,VIX!B:B,"",-1)</f>
        <v>10.76</v>
      </c>
      <c r="F269">
        <f t="shared" si="33"/>
        <v>-8.0000000000000071E-2</v>
      </c>
      <c r="G269">
        <f>_xlfn.XLOOKUP(A269,'DGS10'!A:A,'DGS10'!B:B,"",-1)</f>
        <v>2.35</v>
      </c>
      <c r="H269">
        <f t="shared" si="34"/>
        <v>7.0000000000000284E-2</v>
      </c>
      <c r="I269" s="2">
        <f>_xlfn.XLOOKUP(A269,T10Y3M!A:A,T10Y3M!B:B,"",-1)</f>
        <v>1.53</v>
      </c>
      <c r="J269" s="2">
        <f>_xlfn.XLOOKUP(A269,BAMLC0A4CBBB!A:A,BAMLC0A4CBBB!B:B,"",-1)</f>
        <v>1.56</v>
      </c>
      <c r="K269" s="2">
        <f>_xlfn.XLOOKUP(A269,CPIAUCSL!A:A,CPIAUCSL!B:B,"",-1)</f>
        <v>244.19300000000001</v>
      </c>
      <c r="L269">
        <f>_xlfn.XLOOKUP(A269,DFF!A:A,DFF!B:B,"",-1)</f>
        <v>0.91</v>
      </c>
      <c r="M269">
        <f>_xlfn.XLOOKUP(A269,'DGS2'!A:A,'DGS2'!B:B,"",-1)</f>
        <v>1.29</v>
      </c>
      <c r="N269">
        <f t="shared" si="35"/>
        <v>4.0000000000000036E-2</v>
      </c>
      <c r="O269">
        <f t="shared" si="36"/>
        <v>-4.856380907726221E-4</v>
      </c>
      <c r="P269">
        <f t="shared" si="37"/>
        <v>0</v>
      </c>
      <c r="Q269">
        <f t="shared" si="38"/>
        <v>0</v>
      </c>
      <c r="R269" s="3">
        <v>52.24</v>
      </c>
    </row>
    <row r="270" spans="1:18">
      <c r="A270" s="1">
        <v>42851</v>
      </c>
      <c r="B270">
        <v>2387.4499999999998</v>
      </c>
      <c r="C270">
        <f t="shared" si="32"/>
        <v>-4.856380907726221E-4</v>
      </c>
      <c r="D270">
        <f t="shared" si="39"/>
        <v>1.6502816463645598E-2</v>
      </c>
      <c r="E270">
        <f>_xlfn.XLOOKUP(A270,VIX!A:A,VIX!B:B,"",-1)</f>
        <v>10.85</v>
      </c>
      <c r="F270">
        <f t="shared" si="33"/>
        <v>8.9999999999999858E-2</v>
      </c>
      <c r="G270">
        <f>_xlfn.XLOOKUP(A270,'DGS10'!A:A,'DGS10'!B:B,"",-1)</f>
        <v>2.3199999999999998</v>
      </c>
      <c r="H270">
        <f t="shared" si="34"/>
        <v>-3.0000000000000249E-2</v>
      </c>
      <c r="I270" s="2">
        <f>_xlfn.XLOOKUP(A270,T10Y3M!A:A,T10Y3M!B:B,"",-1)</f>
        <v>1.49</v>
      </c>
      <c r="J270" s="2">
        <f>_xlfn.XLOOKUP(A270,BAMLC0A4CBBB!A:A,BAMLC0A4CBBB!B:B,"",-1)</f>
        <v>1.55</v>
      </c>
      <c r="K270" s="2">
        <f>_xlfn.XLOOKUP(A270,CPIAUCSL!A:A,CPIAUCSL!B:B,"",-1)</f>
        <v>244.19300000000001</v>
      </c>
      <c r="L270">
        <f>_xlfn.XLOOKUP(A270,DFF!A:A,DFF!B:B,"",-1)</f>
        <v>0.91</v>
      </c>
      <c r="M270">
        <f>_xlfn.XLOOKUP(A270,'DGS2'!A:A,'DGS2'!B:B,"",-1)</f>
        <v>1.28</v>
      </c>
      <c r="N270">
        <f t="shared" si="35"/>
        <v>-1.0000000000000009E-2</v>
      </c>
      <c r="O270">
        <f t="shared" si="36"/>
        <v>5.5289116002432692E-4</v>
      </c>
      <c r="P270">
        <f t="shared" si="37"/>
        <v>1</v>
      </c>
      <c r="Q270">
        <f t="shared" si="38"/>
        <v>0</v>
      </c>
      <c r="R270" s="3">
        <v>53.08</v>
      </c>
    </row>
    <row r="271" spans="1:18">
      <c r="A271" s="1">
        <v>42852</v>
      </c>
      <c r="B271">
        <v>2388.77</v>
      </c>
      <c r="C271">
        <f t="shared" si="32"/>
        <v>5.5289116002432692E-4</v>
      </c>
      <c r="D271">
        <f t="shared" si="39"/>
        <v>6.1579933871069858E-3</v>
      </c>
      <c r="E271">
        <f>_xlfn.XLOOKUP(A271,VIX!A:A,VIX!B:B,"",-1)</f>
        <v>10.36</v>
      </c>
      <c r="F271">
        <f t="shared" si="33"/>
        <v>-0.49000000000000021</v>
      </c>
      <c r="G271">
        <f>_xlfn.XLOOKUP(A271,'DGS10'!A:A,'DGS10'!B:B,"",-1)</f>
        <v>2.2999999999999998</v>
      </c>
      <c r="H271">
        <f t="shared" si="34"/>
        <v>-2.0000000000000018E-2</v>
      </c>
      <c r="I271" s="2">
        <f>_xlfn.XLOOKUP(A271,T10Y3M!A:A,T10Y3M!B:B,"",-1)</f>
        <v>1.49</v>
      </c>
      <c r="J271" s="2">
        <f>_xlfn.XLOOKUP(A271,BAMLC0A4CBBB!A:A,BAMLC0A4CBBB!B:B,"",-1)</f>
        <v>1.55</v>
      </c>
      <c r="K271" s="2">
        <f>_xlfn.XLOOKUP(A271,CPIAUCSL!A:A,CPIAUCSL!B:B,"",-1)</f>
        <v>244.19300000000001</v>
      </c>
      <c r="L271">
        <f>_xlfn.XLOOKUP(A271,DFF!A:A,DFF!B:B,"",-1)</f>
        <v>0.91</v>
      </c>
      <c r="M271">
        <f>_xlfn.XLOOKUP(A271,'DGS2'!A:A,'DGS2'!B:B,"",-1)</f>
        <v>1.25</v>
      </c>
      <c r="N271">
        <f t="shared" si="35"/>
        <v>-3.0000000000000027E-2</v>
      </c>
      <c r="O271">
        <f t="shared" si="36"/>
        <v>-1.9131184668260692E-3</v>
      </c>
      <c r="P271">
        <f t="shared" si="37"/>
        <v>0</v>
      </c>
      <c r="Q271">
        <f t="shared" si="38"/>
        <v>0</v>
      </c>
      <c r="R271" s="3">
        <v>53.4</v>
      </c>
    </row>
    <row r="272" spans="1:18">
      <c r="A272" s="1">
        <v>42853</v>
      </c>
      <c r="B272">
        <v>2384.1999999999998</v>
      </c>
      <c r="C272">
        <f t="shared" si="32"/>
        <v>-1.9131184668260692E-3</v>
      </c>
      <c r="D272">
        <f t="shared" si="39"/>
        <v>-1.8462620519885675E-3</v>
      </c>
      <c r="E272">
        <f>_xlfn.XLOOKUP(A272,VIX!A:A,VIX!B:B,"",-1)</f>
        <v>10.82</v>
      </c>
      <c r="F272">
        <f t="shared" si="33"/>
        <v>0.46000000000000085</v>
      </c>
      <c r="G272">
        <f>_xlfn.XLOOKUP(A272,'DGS10'!A:A,'DGS10'!B:B,"",-1)</f>
        <v>2.29</v>
      </c>
      <c r="H272">
        <f t="shared" si="34"/>
        <v>-9.9999999999997868E-3</v>
      </c>
      <c r="I272" s="2">
        <f>_xlfn.XLOOKUP(A272,T10Y3M!A:A,T10Y3M!B:B,"",-1)</f>
        <v>1.49</v>
      </c>
      <c r="J272" s="2">
        <f>_xlfn.XLOOKUP(A272,BAMLC0A4CBBB!A:A,BAMLC0A4CBBB!B:B,"",-1)</f>
        <v>1.55</v>
      </c>
      <c r="K272" s="2">
        <f>_xlfn.XLOOKUP(A272,CPIAUCSL!A:A,CPIAUCSL!B:B,"",-1)</f>
        <v>244.19300000000001</v>
      </c>
      <c r="L272">
        <f>_xlfn.XLOOKUP(A272,DFF!A:A,DFF!B:B,"",-1)</f>
        <v>0.83</v>
      </c>
      <c r="M272">
        <f>_xlfn.XLOOKUP(A272,'DGS2'!A:A,'DGS2'!B:B,"",-1)</f>
        <v>1.28</v>
      </c>
      <c r="N272">
        <f t="shared" si="35"/>
        <v>3.0000000000000027E-2</v>
      </c>
      <c r="O272">
        <f t="shared" si="36"/>
        <v>1.7322372284205301E-3</v>
      </c>
      <c r="P272">
        <f t="shared" si="37"/>
        <v>1</v>
      </c>
      <c r="Q272">
        <f t="shared" si="38"/>
        <v>0</v>
      </c>
      <c r="R272" s="3">
        <v>53.11</v>
      </c>
    </row>
    <row r="273" spans="1:18">
      <c r="A273" s="1">
        <v>42856</v>
      </c>
      <c r="B273">
        <v>2388.33</v>
      </c>
      <c r="C273">
        <f t="shared" si="32"/>
        <v>1.7322372284205301E-3</v>
      </c>
      <c r="D273">
        <f t="shared" si="39"/>
        <v>3.6859410668288461E-4</v>
      </c>
      <c r="E273">
        <f>_xlfn.XLOOKUP(A273,VIX!A:A,VIX!B:B,"",-1)</f>
        <v>10.11</v>
      </c>
      <c r="F273">
        <f t="shared" si="33"/>
        <v>-0.71000000000000085</v>
      </c>
      <c r="G273">
        <f>_xlfn.XLOOKUP(A273,'DGS10'!A:A,'DGS10'!B:B,"",-1)</f>
        <v>2.33</v>
      </c>
      <c r="H273">
        <f t="shared" si="34"/>
        <v>4.0000000000000036E-2</v>
      </c>
      <c r="I273" s="2">
        <f>_xlfn.XLOOKUP(A273,T10Y3M!A:A,T10Y3M!B:B,"",-1)</f>
        <v>1.5</v>
      </c>
      <c r="J273" s="2">
        <f>_xlfn.XLOOKUP(A273,BAMLC0A4CBBB!A:A,BAMLC0A4CBBB!B:B,"",-1)</f>
        <v>1.55</v>
      </c>
      <c r="K273" s="2">
        <f>_xlfn.XLOOKUP(A273,CPIAUCSL!A:A,CPIAUCSL!B:B,"",-1)</f>
        <v>244.00399999999999</v>
      </c>
      <c r="L273">
        <f>_xlfn.XLOOKUP(A273,DFF!A:A,DFF!B:B,"",-1)</f>
        <v>0.91</v>
      </c>
      <c r="M273">
        <f>_xlfn.XLOOKUP(A273,'DGS2'!A:A,'DGS2'!B:B,"",-1)</f>
        <v>1.28</v>
      </c>
      <c r="N273">
        <f t="shared" si="35"/>
        <v>0</v>
      </c>
      <c r="O273">
        <f t="shared" si="36"/>
        <v>1.1891154069998411E-3</v>
      </c>
      <c r="P273">
        <f t="shared" si="37"/>
        <v>1</v>
      </c>
      <c r="Q273">
        <f t="shared" si="38"/>
        <v>0</v>
      </c>
      <c r="R273" s="3">
        <v>53.18</v>
      </c>
    </row>
    <row r="274" spans="1:18">
      <c r="A274" s="1">
        <v>42857</v>
      </c>
      <c r="B274">
        <v>2391.17</v>
      </c>
      <c r="C274">
        <f t="shared" si="32"/>
        <v>1.1891154069998411E-3</v>
      </c>
      <c r="D274">
        <f t="shared" si="39"/>
        <v>1.0047011641975967E-3</v>
      </c>
      <c r="E274">
        <f>_xlfn.XLOOKUP(A274,VIX!A:A,VIX!B:B,"",-1)</f>
        <v>10.59</v>
      </c>
      <c r="F274">
        <f t="shared" si="33"/>
        <v>0.48000000000000043</v>
      </c>
      <c r="G274">
        <f>_xlfn.XLOOKUP(A274,'DGS10'!A:A,'DGS10'!B:B,"",-1)</f>
        <v>2.29</v>
      </c>
      <c r="H274">
        <f t="shared" si="34"/>
        <v>-4.0000000000000036E-2</v>
      </c>
      <c r="I274" s="2">
        <f>_xlfn.XLOOKUP(A274,T10Y3M!A:A,T10Y3M!B:B,"",-1)</f>
        <v>1.47</v>
      </c>
      <c r="J274" s="2">
        <f>_xlfn.XLOOKUP(A274,BAMLC0A4CBBB!A:A,BAMLC0A4CBBB!B:B,"",-1)</f>
        <v>1.54</v>
      </c>
      <c r="K274" s="2">
        <f>_xlfn.XLOOKUP(A274,CPIAUCSL!A:A,CPIAUCSL!B:B,"",-1)</f>
        <v>244.00399999999999</v>
      </c>
      <c r="L274">
        <f>_xlfn.XLOOKUP(A274,DFF!A:A,DFF!B:B,"",-1)</f>
        <v>0.91</v>
      </c>
      <c r="M274">
        <f>_xlfn.XLOOKUP(A274,'DGS2'!A:A,'DGS2'!B:B,"",-1)</f>
        <v>1.27</v>
      </c>
      <c r="N274">
        <f t="shared" si="35"/>
        <v>-1.0000000000000009E-2</v>
      </c>
      <c r="O274">
        <f t="shared" si="36"/>
        <v>-1.2713441536987835E-3</v>
      </c>
      <c r="P274">
        <f t="shared" si="37"/>
        <v>0</v>
      </c>
      <c r="Q274">
        <f t="shared" si="38"/>
        <v>0</v>
      </c>
      <c r="R274" s="3">
        <v>52.65</v>
      </c>
    </row>
    <row r="275" spans="1:18">
      <c r="A275" s="1">
        <v>42858</v>
      </c>
      <c r="B275">
        <v>2388.13</v>
      </c>
      <c r="C275">
        <f t="shared" si="32"/>
        <v>-1.2713441536987835E-3</v>
      </c>
      <c r="D275">
        <f t="shared" si="39"/>
        <v>1.6483516483518645E-3</v>
      </c>
      <c r="E275">
        <f>_xlfn.XLOOKUP(A275,VIX!A:A,VIX!B:B,"",-1)</f>
        <v>10.68</v>
      </c>
      <c r="F275">
        <f t="shared" si="33"/>
        <v>8.9999999999999858E-2</v>
      </c>
      <c r="G275">
        <f>_xlfn.XLOOKUP(A275,'DGS10'!A:A,'DGS10'!B:B,"",-1)</f>
        <v>2.33</v>
      </c>
      <c r="H275">
        <f t="shared" si="34"/>
        <v>4.0000000000000036E-2</v>
      </c>
      <c r="I275" s="2">
        <f>_xlfn.XLOOKUP(A275,T10Y3M!A:A,T10Y3M!B:B,"",-1)</f>
        <v>1.48</v>
      </c>
      <c r="J275" s="2">
        <f>_xlfn.XLOOKUP(A275,BAMLC0A4CBBB!A:A,BAMLC0A4CBBB!B:B,"",-1)</f>
        <v>1.54</v>
      </c>
      <c r="K275" s="2">
        <f>_xlfn.XLOOKUP(A275,CPIAUCSL!A:A,CPIAUCSL!B:B,"",-1)</f>
        <v>244.00399999999999</v>
      </c>
      <c r="L275">
        <f>_xlfn.XLOOKUP(A275,DFF!A:A,DFF!B:B,"",-1)</f>
        <v>0.91</v>
      </c>
      <c r="M275">
        <f>_xlfn.XLOOKUP(A275,'DGS2'!A:A,'DGS2'!B:B,"",-1)</f>
        <v>1.3</v>
      </c>
      <c r="N275">
        <f t="shared" si="35"/>
        <v>3.0000000000000027E-2</v>
      </c>
      <c r="O275">
        <f t="shared" si="36"/>
        <v>5.8204536603945201E-4</v>
      </c>
      <c r="P275">
        <f t="shared" si="37"/>
        <v>1</v>
      </c>
      <c r="Q275">
        <f t="shared" si="38"/>
        <v>0</v>
      </c>
      <c r="R275" s="3">
        <v>52.41</v>
      </c>
    </row>
    <row r="276" spans="1:18">
      <c r="A276" s="1">
        <v>42859</v>
      </c>
      <c r="B276">
        <v>2389.52</v>
      </c>
      <c r="C276">
        <f t="shared" si="32"/>
        <v>5.8204536603945201E-4</v>
      </c>
      <c r="D276">
        <f t="shared" si="39"/>
        <v>4.9825610363729567E-4</v>
      </c>
      <c r="E276">
        <f>_xlfn.XLOOKUP(A276,VIX!A:A,VIX!B:B,"",-1)</f>
        <v>10.46</v>
      </c>
      <c r="F276">
        <f t="shared" si="33"/>
        <v>-0.21999999999999886</v>
      </c>
      <c r="G276">
        <f>_xlfn.XLOOKUP(A276,'DGS10'!A:A,'DGS10'!B:B,"",-1)</f>
        <v>2.36</v>
      </c>
      <c r="H276">
        <f t="shared" si="34"/>
        <v>2.9999999999999805E-2</v>
      </c>
      <c r="I276" s="2">
        <f>_xlfn.XLOOKUP(A276,T10Y3M!A:A,T10Y3M!B:B,"",-1)</f>
        <v>1.5</v>
      </c>
      <c r="J276" s="2">
        <f>_xlfn.XLOOKUP(A276,BAMLC0A4CBBB!A:A,BAMLC0A4CBBB!B:B,"",-1)</f>
        <v>1.53</v>
      </c>
      <c r="K276" s="2">
        <f>_xlfn.XLOOKUP(A276,CPIAUCSL!A:A,CPIAUCSL!B:B,"",-1)</f>
        <v>244.00399999999999</v>
      </c>
      <c r="L276">
        <f>_xlfn.XLOOKUP(A276,DFF!A:A,DFF!B:B,"",-1)</f>
        <v>0.91</v>
      </c>
      <c r="M276">
        <f>_xlfn.XLOOKUP(A276,'DGS2'!A:A,'DGS2'!B:B,"",-1)</f>
        <v>1.32</v>
      </c>
      <c r="N276">
        <f t="shared" si="35"/>
        <v>2.0000000000000018E-2</v>
      </c>
      <c r="O276">
        <f t="shared" si="36"/>
        <v>4.0886872677357022E-3</v>
      </c>
      <c r="P276">
        <f t="shared" si="37"/>
        <v>1</v>
      </c>
      <c r="Q276">
        <f t="shared" si="38"/>
        <v>1</v>
      </c>
      <c r="R276" s="3">
        <v>50.44</v>
      </c>
    </row>
    <row r="277" spans="1:18">
      <c r="A277" s="1">
        <v>42860</v>
      </c>
      <c r="B277">
        <v>2399.29</v>
      </c>
      <c r="C277">
        <f t="shared" si="32"/>
        <v>4.0886872677357022E-3</v>
      </c>
      <c r="D277">
        <f t="shared" si="39"/>
        <v>3.3958271473797375E-3</v>
      </c>
      <c r="E277">
        <f>_xlfn.XLOOKUP(A277,VIX!A:A,VIX!B:B,"",-1)</f>
        <v>10.57</v>
      </c>
      <c r="F277">
        <f t="shared" si="33"/>
        <v>0.10999999999999943</v>
      </c>
      <c r="G277">
        <f>_xlfn.XLOOKUP(A277,'DGS10'!A:A,'DGS10'!B:B,"",-1)</f>
        <v>2.36</v>
      </c>
      <c r="H277">
        <f t="shared" si="34"/>
        <v>0</v>
      </c>
      <c r="I277" s="2">
        <f>_xlfn.XLOOKUP(A277,T10Y3M!A:A,T10Y3M!B:B,"",-1)</f>
        <v>1.46</v>
      </c>
      <c r="J277" s="2">
        <f>_xlfn.XLOOKUP(A277,BAMLC0A4CBBB!A:A,BAMLC0A4CBBB!B:B,"",-1)</f>
        <v>1.53</v>
      </c>
      <c r="K277" s="2">
        <f>_xlfn.XLOOKUP(A277,CPIAUCSL!A:A,CPIAUCSL!B:B,"",-1)</f>
        <v>244.00399999999999</v>
      </c>
      <c r="L277">
        <f>_xlfn.XLOOKUP(A277,DFF!A:A,DFF!B:B,"",-1)</f>
        <v>0.91</v>
      </c>
      <c r="M277">
        <f>_xlfn.XLOOKUP(A277,'DGS2'!A:A,'DGS2'!B:B,"",-1)</f>
        <v>1.32</v>
      </c>
      <c r="N277">
        <f t="shared" si="35"/>
        <v>0</v>
      </c>
      <c r="O277">
        <f t="shared" si="36"/>
        <v>3.7511097032982832E-5</v>
      </c>
      <c r="P277">
        <f t="shared" si="37"/>
        <v>1</v>
      </c>
      <c r="Q277">
        <f t="shared" si="38"/>
        <v>0</v>
      </c>
      <c r="R277" s="3">
        <v>50.27</v>
      </c>
    </row>
    <row r="278" spans="1:18">
      <c r="A278" s="1">
        <v>42863</v>
      </c>
      <c r="B278">
        <v>2399.38</v>
      </c>
      <c r="C278">
        <f t="shared" si="32"/>
        <v>3.7511097032982832E-5</v>
      </c>
      <c r="D278">
        <f t="shared" si="39"/>
        <v>4.7107988258596745E-3</v>
      </c>
      <c r="E278">
        <f>_xlfn.XLOOKUP(A278,VIX!A:A,VIX!B:B,"",-1)</f>
        <v>9.77</v>
      </c>
      <c r="F278">
        <f t="shared" si="33"/>
        <v>-0.80000000000000071</v>
      </c>
      <c r="G278">
        <f>_xlfn.XLOOKUP(A278,'DGS10'!A:A,'DGS10'!B:B,"",-1)</f>
        <v>2.39</v>
      </c>
      <c r="H278">
        <f t="shared" si="34"/>
        <v>3.0000000000000249E-2</v>
      </c>
      <c r="I278" s="2">
        <f>_xlfn.XLOOKUP(A278,T10Y3M!A:A,T10Y3M!B:B,"",-1)</f>
        <v>1.48</v>
      </c>
      <c r="J278" s="2">
        <f>_xlfn.XLOOKUP(A278,BAMLC0A4CBBB!A:A,BAMLC0A4CBBB!B:B,"",-1)</f>
        <v>1.52</v>
      </c>
      <c r="K278" s="2">
        <f>_xlfn.XLOOKUP(A278,CPIAUCSL!A:A,CPIAUCSL!B:B,"",-1)</f>
        <v>244.00399999999999</v>
      </c>
      <c r="L278">
        <f>_xlfn.XLOOKUP(A278,DFF!A:A,DFF!B:B,"",-1)</f>
        <v>0.91</v>
      </c>
      <c r="M278">
        <f>_xlfn.XLOOKUP(A278,'DGS2'!A:A,'DGS2'!B:B,"",-1)</f>
        <v>1.33</v>
      </c>
      <c r="N278">
        <f t="shared" si="35"/>
        <v>1.0000000000000009E-2</v>
      </c>
      <c r="O278">
        <f t="shared" si="36"/>
        <v>-1.0252648600889147E-3</v>
      </c>
      <c r="P278">
        <f t="shared" si="37"/>
        <v>0</v>
      </c>
      <c r="Q278">
        <f t="shared" si="38"/>
        <v>0</v>
      </c>
      <c r="R278" s="3">
        <v>49.62</v>
      </c>
    </row>
    <row r="279" spans="1:18">
      <c r="A279" s="1">
        <v>42864</v>
      </c>
      <c r="B279">
        <v>2396.92</v>
      </c>
      <c r="C279">
        <f t="shared" si="32"/>
        <v>-1.0252648600889147E-3</v>
      </c>
      <c r="D279">
        <f t="shared" si="39"/>
        <v>3.0968562723894255E-3</v>
      </c>
      <c r="E279">
        <f>_xlfn.XLOOKUP(A279,VIX!A:A,VIX!B:B,"",-1)</f>
        <v>9.9600000000000009</v>
      </c>
      <c r="F279">
        <f t="shared" si="33"/>
        <v>0.19000000000000128</v>
      </c>
      <c r="G279">
        <f>_xlfn.XLOOKUP(A279,'DGS10'!A:A,'DGS10'!B:B,"",-1)</f>
        <v>2.42</v>
      </c>
      <c r="H279">
        <f t="shared" si="34"/>
        <v>2.9999999999999805E-2</v>
      </c>
      <c r="I279" s="2">
        <f>_xlfn.XLOOKUP(A279,T10Y3M!A:A,T10Y3M!B:B,"",-1)</f>
        <v>1.51</v>
      </c>
      <c r="J279" s="2">
        <f>_xlfn.XLOOKUP(A279,BAMLC0A4CBBB!A:A,BAMLC0A4CBBB!B:B,"",-1)</f>
        <v>1.51</v>
      </c>
      <c r="K279" s="2">
        <f>_xlfn.XLOOKUP(A279,CPIAUCSL!A:A,CPIAUCSL!B:B,"",-1)</f>
        <v>244.00399999999999</v>
      </c>
      <c r="L279">
        <f>_xlfn.XLOOKUP(A279,DFF!A:A,DFF!B:B,"",-1)</f>
        <v>0.91</v>
      </c>
      <c r="M279">
        <f>_xlfn.XLOOKUP(A279,'DGS2'!A:A,'DGS2'!B:B,"",-1)</f>
        <v>1.37</v>
      </c>
      <c r="N279">
        <f t="shared" si="35"/>
        <v>4.0000000000000036E-2</v>
      </c>
      <c r="O279">
        <f t="shared" si="36"/>
        <v>1.1306176259533451E-3</v>
      </c>
      <c r="P279">
        <f t="shared" si="37"/>
        <v>1</v>
      </c>
      <c r="Q279">
        <f t="shared" si="38"/>
        <v>0</v>
      </c>
      <c r="R279" s="3">
        <v>49.23</v>
      </c>
    </row>
    <row r="280" spans="1:18">
      <c r="A280" s="1">
        <v>42865</v>
      </c>
      <c r="B280">
        <v>2399.63</v>
      </c>
      <c r="C280">
        <f t="shared" si="32"/>
        <v>1.1306176259533451E-3</v>
      </c>
      <c r="D280">
        <f t="shared" si="39"/>
        <v>1.4170858879092307E-4</v>
      </c>
      <c r="E280">
        <f>_xlfn.XLOOKUP(A280,VIX!A:A,VIX!B:B,"",-1)</f>
        <v>10.210000000000001</v>
      </c>
      <c r="F280">
        <f t="shared" si="33"/>
        <v>0.25</v>
      </c>
      <c r="G280">
        <f>_xlfn.XLOOKUP(A280,'DGS10'!A:A,'DGS10'!B:B,"",-1)</f>
        <v>2.41</v>
      </c>
      <c r="H280">
        <f t="shared" si="34"/>
        <v>-9.9999999999997868E-3</v>
      </c>
      <c r="I280" s="2">
        <f>_xlfn.XLOOKUP(A280,T10Y3M!A:A,T10Y3M!B:B,"",-1)</f>
        <v>1.51</v>
      </c>
      <c r="J280" s="2">
        <f>_xlfn.XLOOKUP(A280,BAMLC0A4CBBB!A:A,BAMLC0A4CBBB!B:B,"",-1)</f>
        <v>1.5</v>
      </c>
      <c r="K280" s="2">
        <f>_xlfn.XLOOKUP(A280,CPIAUCSL!A:A,CPIAUCSL!B:B,"",-1)</f>
        <v>244.00399999999999</v>
      </c>
      <c r="L280">
        <f>_xlfn.XLOOKUP(A280,DFF!A:A,DFF!B:B,"",-1)</f>
        <v>0.91</v>
      </c>
      <c r="M280">
        <f>_xlfn.XLOOKUP(A280,'DGS2'!A:A,'DGS2'!B:B,"",-1)</f>
        <v>1.35</v>
      </c>
      <c r="N280">
        <f t="shared" si="35"/>
        <v>-2.0000000000000018E-2</v>
      </c>
      <c r="O280">
        <f t="shared" si="36"/>
        <v>-2.162833436821554E-3</v>
      </c>
      <c r="P280">
        <f t="shared" si="37"/>
        <v>0</v>
      </c>
      <c r="Q280">
        <f t="shared" si="38"/>
        <v>0</v>
      </c>
      <c r="R280" s="3">
        <v>49.56</v>
      </c>
    </row>
    <row r="281" spans="1:18">
      <c r="A281" s="1">
        <v>42866</v>
      </c>
      <c r="B281">
        <v>2394.44</v>
      </c>
      <c r="C281">
        <f t="shared" si="32"/>
        <v>-2.162833436821554E-3</v>
      </c>
      <c r="D281">
        <f t="shared" si="39"/>
        <v>-2.0588652068451729E-3</v>
      </c>
      <c r="E281">
        <f>_xlfn.XLOOKUP(A281,VIX!A:A,VIX!B:B,"",-1)</f>
        <v>10.6</v>
      </c>
      <c r="F281">
        <f t="shared" si="33"/>
        <v>0.38999999999999879</v>
      </c>
      <c r="G281">
        <f>_xlfn.XLOOKUP(A281,'DGS10'!A:A,'DGS10'!B:B,"",-1)</f>
        <v>2.39</v>
      </c>
      <c r="H281">
        <f t="shared" si="34"/>
        <v>-2.0000000000000018E-2</v>
      </c>
      <c r="I281" s="2">
        <f>_xlfn.XLOOKUP(A281,T10Y3M!A:A,T10Y3M!B:B,"",-1)</f>
        <v>1.5</v>
      </c>
      <c r="J281" s="2">
        <f>_xlfn.XLOOKUP(A281,BAMLC0A4CBBB!A:A,BAMLC0A4CBBB!B:B,"",-1)</f>
        <v>1.49</v>
      </c>
      <c r="K281" s="2">
        <f>_xlfn.XLOOKUP(A281,CPIAUCSL!A:A,CPIAUCSL!B:B,"",-1)</f>
        <v>244.00399999999999</v>
      </c>
      <c r="L281">
        <f>_xlfn.XLOOKUP(A281,DFF!A:A,DFF!B:B,"",-1)</f>
        <v>0.91</v>
      </c>
      <c r="M281">
        <f>_xlfn.XLOOKUP(A281,'DGS2'!A:A,'DGS2'!B:B,"",-1)</f>
        <v>1.35</v>
      </c>
      <c r="N281">
        <f t="shared" si="35"/>
        <v>0</v>
      </c>
      <c r="O281">
        <f t="shared" si="36"/>
        <v>-1.4784250179582514E-3</v>
      </c>
      <c r="P281">
        <f t="shared" si="37"/>
        <v>0</v>
      </c>
      <c r="Q281">
        <f t="shared" si="38"/>
        <v>0</v>
      </c>
      <c r="R281" s="3">
        <v>49.62</v>
      </c>
    </row>
    <row r="282" spans="1:18">
      <c r="A282" s="1">
        <v>42867</v>
      </c>
      <c r="B282">
        <v>2390.9</v>
      </c>
      <c r="C282">
        <f t="shared" si="32"/>
        <v>-1.4784250179582514E-3</v>
      </c>
      <c r="D282">
        <f t="shared" si="39"/>
        <v>-2.5115564975051186E-3</v>
      </c>
      <c r="E282">
        <f>_xlfn.XLOOKUP(A282,VIX!A:A,VIX!B:B,"",-1)</f>
        <v>10.4</v>
      </c>
      <c r="F282">
        <f t="shared" si="33"/>
        <v>-0.19999999999999929</v>
      </c>
      <c r="G282">
        <f>_xlfn.XLOOKUP(A282,'DGS10'!A:A,'DGS10'!B:B,"",-1)</f>
        <v>2.33</v>
      </c>
      <c r="H282">
        <f t="shared" si="34"/>
        <v>-6.0000000000000053E-2</v>
      </c>
      <c r="I282" s="2">
        <f>_xlfn.XLOOKUP(A282,T10Y3M!A:A,T10Y3M!B:B,"",-1)</f>
        <v>1.45</v>
      </c>
      <c r="J282" s="2">
        <f>_xlfn.XLOOKUP(A282,BAMLC0A4CBBB!A:A,BAMLC0A4CBBB!B:B,"",-1)</f>
        <v>1.49</v>
      </c>
      <c r="K282" s="2">
        <f>_xlfn.XLOOKUP(A282,CPIAUCSL!A:A,CPIAUCSL!B:B,"",-1)</f>
        <v>244.00399999999999</v>
      </c>
      <c r="L282">
        <f>_xlfn.XLOOKUP(A282,DFF!A:A,DFF!B:B,"",-1)</f>
        <v>0.91</v>
      </c>
      <c r="M282">
        <f>_xlfn.XLOOKUP(A282,'DGS2'!A:A,'DGS2'!B:B,"",-1)</f>
        <v>1.29</v>
      </c>
      <c r="N282">
        <f t="shared" si="35"/>
        <v>-6.0000000000000053E-2</v>
      </c>
      <c r="O282">
        <f t="shared" si="36"/>
        <v>4.7764440168973632E-3</v>
      </c>
      <c r="P282">
        <f t="shared" si="37"/>
        <v>1</v>
      </c>
      <c r="Q282">
        <f t="shared" si="38"/>
        <v>1</v>
      </c>
      <c r="R282" s="3">
        <v>48.97</v>
      </c>
    </row>
    <row r="283" spans="1:18">
      <c r="A283" s="1">
        <v>42870</v>
      </c>
      <c r="B283">
        <v>2402.3200000000002</v>
      </c>
      <c r="C283">
        <f t="shared" si="32"/>
        <v>4.7764440168973632E-3</v>
      </c>
      <c r="D283">
        <f t="shared" si="39"/>
        <v>1.121006155115678E-3</v>
      </c>
      <c r="E283">
        <f>_xlfn.XLOOKUP(A283,VIX!A:A,VIX!B:B,"",-1)</f>
        <v>10.42</v>
      </c>
      <c r="F283">
        <f t="shared" si="33"/>
        <v>1.9999999999999574E-2</v>
      </c>
      <c r="G283">
        <f>_xlfn.XLOOKUP(A283,'DGS10'!A:A,'DGS10'!B:B,"",-1)</f>
        <v>2.34</v>
      </c>
      <c r="H283">
        <f t="shared" si="34"/>
        <v>9.9999999999997868E-3</v>
      </c>
      <c r="I283" s="2">
        <f>_xlfn.XLOOKUP(A283,T10Y3M!A:A,T10Y3M!B:B,"",-1)</f>
        <v>1.44</v>
      </c>
      <c r="J283" s="2">
        <f>_xlfn.XLOOKUP(A283,BAMLC0A4CBBB!A:A,BAMLC0A4CBBB!B:B,"",-1)</f>
        <v>1.48</v>
      </c>
      <c r="K283" s="2">
        <f>_xlfn.XLOOKUP(A283,CPIAUCSL!A:A,CPIAUCSL!B:B,"",-1)</f>
        <v>244.00399999999999</v>
      </c>
      <c r="L283">
        <f>_xlfn.XLOOKUP(A283,DFF!A:A,DFF!B:B,"",-1)</f>
        <v>0.91</v>
      </c>
      <c r="M283">
        <f>_xlfn.XLOOKUP(A283,'DGS2'!A:A,'DGS2'!B:B,"",-1)</f>
        <v>1.31</v>
      </c>
      <c r="N283">
        <f t="shared" si="35"/>
        <v>2.0000000000000018E-2</v>
      </c>
      <c r="O283">
        <f t="shared" si="36"/>
        <v>-6.8683605847685847E-4</v>
      </c>
      <c r="P283">
        <f t="shared" si="37"/>
        <v>0</v>
      </c>
      <c r="Q283">
        <f t="shared" si="38"/>
        <v>0</v>
      </c>
      <c r="R283" s="3">
        <v>49.33</v>
      </c>
    </row>
    <row r="284" spans="1:18">
      <c r="A284" s="1">
        <v>42871</v>
      </c>
      <c r="B284">
        <v>2400.67</v>
      </c>
      <c r="C284">
        <f t="shared" si="32"/>
        <v>-6.8683605847685847E-4</v>
      </c>
      <c r="D284">
        <f t="shared" si="39"/>
        <v>2.6018609779321356E-3</v>
      </c>
      <c r="E284">
        <f>_xlfn.XLOOKUP(A284,VIX!A:A,VIX!B:B,"",-1)</f>
        <v>10.65</v>
      </c>
      <c r="F284">
        <f t="shared" si="33"/>
        <v>0.23000000000000043</v>
      </c>
      <c r="G284">
        <f>_xlfn.XLOOKUP(A284,'DGS10'!A:A,'DGS10'!B:B,"",-1)</f>
        <v>2.33</v>
      </c>
      <c r="H284">
        <f t="shared" si="34"/>
        <v>-9.9999999999997868E-3</v>
      </c>
      <c r="I284" s="2">
        <f>_xlfn.XLOOKUP(A284,T10Y3M!A:A,T10Y3M!B:B,"",-1)</f>
        <v>1.43</v>
      </c>
      <c r="J284" s="2">
        <f>_xlfn.XLOOKUP(A284,BAMLC0A4CBBB!A:A,BAMLC0A4CBBB!B:B,"",-1)</f>
        <v>1.48</v>
      </c>
      <c r="K284" s="2">
        <f>_xlfn.XLOOKUP(A284,CPIAUCSL!A:A,CPIAUCSL!B:B,"",-1)</f>
        <v>244.00399999999999</v>
      </c>
      <c r="L284">
        <f>_xlfn.XLOOKUP(A284,DFF!A:A,DFF!B:B,"",-1)</f>
        <v>0.91</v>
      </c>
      <c r="M284">
        <f>_xlfn.XLOOKUP(A284,'DGS2'!A:A,'DGS2'!B:B,"",-1)</f>
        <v>1.29</v>
      </c>
      <c r="N284">
        <f t="shared" si="35"/>
        <v>-2.0000000000000018E-2</v>
      </c>
      <c r="O284">
        <f t="shared" si="36"/>
        <v>-1.817825856948263E-2</v>
      </c>
      <c r="P284">
        <f t="shared" si="37"/>
        <v>0</v>
      </c>
      <c r="Q284">
        <f t="shared" si="38"/>
        <v>-1</v>
      </c>
      <c r="R284" s="3">
        <v>48.84</v>
      </c>
    </row>
    <row r="285" spans="1:18">
      <c r="A285" s="1">
        <v>42872</v>
      </c>
      <c r="B285">
        <v>2357.0300000000002</v>
      </c>
      <c r="C285">
        <f t="shared" si="32"/>
        <v>-1.817825856948263E-2</v>
      </c>
      <c r="D285">
        <f t="shared" si="39"/>
        <v>-1.4166213559747343E-2</v>
      </c>
      <c r="E285">
        <f>_xlfn.XLOOKUP(A285,VIX!A:A,VIX!B:B,"",-1)</f>
        <v>15.59</v>
      </c>
      <c r="F285">
        <f t="shared" si="33"/>
        <v>4.9399999999999995</v>
      </c>
      <c r="G285">
        <f>_xlfn.XLOOKUP(A285,'DGS10'!A:A,'DGS10'!B:B,"",-1)</f>
        <v>2.2200000000000002</v>
      </c>
      <c r="H285">
        <f t="shared" si="34"/>
        <v>-0.10999999999999988</v>
      </c>
      <c r="I285" s="2">
        <f>_xlfn.XLOOKUP(A285,T10Y3M!A:A,T10Y3M!B:B,"",-1)</f>
        <v>1.32</v>
      </c>
      <c r="J285" s="2">
        <f>_xlfn.XLOOKUP(A285,BAMLC0A4CBBB!A:A,BAMLC0A4CBBB!B:B,"",-1)</f>
        <v>1.49</v>
      </c>
      <c r="K285" s="2">
        <f>_xlfn.XLOOKUP(A285,CPIAUCSL!A:A,CPIAUCSL!B:B,"",-1)</f>
        <v>244.00399999999999</v>
      </c>
      <c r="L285">
        <f>_xlfn.XLOOKUP(A285,DFF!A:A,DFF!B:B,"",-1)</f>
        <v>0.91</v>
      </c>
      <c r="M285">
        <f>_xlfn.XLOOKUP(A285,'DGS2'!A:A,'DGS2'!B:B,"",-1)</f>
        <v>1.26</v>
      </c>
      <c r="N285">
        <f t="shared" si="35"/>
        <v>-3.0000000000000027E-2</v>
      </c>
      <c r="O285">
        <f t="shared" si="36"/>
        <v>3.6868431882495223E-3</v>
      </c>
      <c r="P285">
        <f t="shared" si="37"/>
        <v>1</v>
      </c>
      <c r="Q285">
        <f t="shared" si="38"/>
        <v>1</v>
      </c>
      <c r="R285" s="3">
        <v>47.66</v>
      </c>
    </row>
    <row r="286" spans="1:18">
      <c r="A286" s="1">
        <v>42873</v>
      </c>
      <c r="B286">
        <v>2365.7199999999998</v>
      </c>
      <c r="C286">
        <f t="shared" si="32"/>
        <v>3.6868431882495223E-3</v>
      </c>
      <c r="D286">
        <f t="shared" si="39"/>
        <v>-1.5235272569849245E-2</v>
      </c>
      <c r="E286">
        <f>_xlfn.XLOOKUP(A286,VIX!A:A,VIX!B:B,"",-1)</f>
        <v>14.66</v>
      </c>
      <c r="F286">
        <f t="shared" si="33"/>
        <v>-0.92999999999999972</v>
      </c>
      <c r="G286">
        <f>_xlfn.XLOOKUP(A286,'DGS10'!A:A,'DGS10'!B:B,"",-1)</f>
        <v>2.23</v>
      </c>
      <c r="H286">
        <f t="shared" si="34"/>
        <v>9.9999999999997868E-3</v>
      </c>
      <c r="I286" s="2">
        <f>_xlfn.XLOOKUP(A286,T10Y3M!A:A,T10Y3M!B:B,"",-1)</f>
        <v>1.3</v>
      </c>
      <c r="J286" s="2">
        <f>_xlfn.XLOOKUP(A286,BAMLC0A4CBBB!A:A,BAMLC0A4CBBB!B:B,"",-1)</f>
        <v>1.5</v>
      </c>
      <c r="K286" s="2">
        <f>_xlfn.XLOOKUP(A286,CPIAUCSL!A:A,CPIAUCSL!B:B,"",-1)</f>
        <v>244.00399999999999</v>
      </c>
      <c r="L286">
        <f>_xlfn.XLOOKUP(A286,DFF!A:A,DFF!B:B,"",-1)</f>
        <v>0.91</v>
      </c>
      <c r="M286">
        <f>_xlfn.XLOOKUP(A286,'DGS2'!A:A,'DGS2'!B:B,"",-1)</f>
        <v>1.27</v>
      </c>
      <c r="N286">
        <f t="shared" si="35"/>
        <v>1.0000000000000009E-2</v>
      </c>
      <c r="O286">
        <f t="shared" si="36"/>
        <v>6.7674957306866901E-3</v>
      </c>
      <c r="P286">
        <f t="shared" si="37"/>
        <v>1</v>
      </c>
      <c r="Q286">
        <f t="shared" si="38"/>
        <v>1</v>
      </c>
      <c r="R286" s="3">
        <v>47.82</v>
      </c>
    </row>
    <row r="287" spans="1:18">
      <c r="A287" s="1">
        <v>42874</v>
      </c>
      <c r="B287">
        <v>2381.73</v>
      </c>
      <c r="C287">
        <f t="shared" si="32"/>
        <v>6.7674957306866901E-3</v>
      </c>
      <c r="D287">
        <f t="shared" si="39"/>
        <v>-7.8894641912465868E-3</v>
      </c>
      <c r="E287">
        <f>_xlfn.XLOOKUP(A287,VIX!A:A,VIX!B:B,"",-1)</f>
        <v>12.04</v>
      </c>
      <c r="F287">
        <f t="shared" si="33"/>
        <v>-2.620000000000001</v>
      </c>
      <c r="G287">
        <f>_xlfn.XLOOKUP(A287,'DGS10'!A:A,'DGS10'!B:B,"",-1)</f>
        <v>2.23</v>
      </c>
      <c r="H287">
        <f t="shared" si="34"/>
        <v>0</v>
      </c>
      <c r="I287" s="2">
        <f>_xlfn.XLOOKUP(A287,T10Y3M!A:A,T10Y3M!B:B,"",-1)</f>
        <v>1.31</v>
      </c>
      <c r="J287" s="2">
        <f>_xlfn.XLOOKUP(A287,BAMLC0A4CBBB!A:A,BAMLC0A4CBBB!B:B,"",-1)</f>
        <v>1.49</v>
      </c>
      <c r="K287" s="2">
        <f>_xlfn.XLOOKUP(A287,CPIAUCSL!A:A,CPIAUCSL!B:B,"",-1)</f>
        <v>244.00399999999999</v>
      </c>
      <c r="L287">
        <f>_xlfn.XLOOKUP(A287,DFF!A:A,DFF!B:B,"",-1)</f>
        <v>0.91</v>
      </c>
      <c r="M287">
        <f>_xlfn.XLOOKUP(A287,'DGS2'!A:A,'DGS2'!B:B,"",-1)</f>
        <v>1.28</v>
      </c>
      <c r="N287">
        <f t="shared" si="35"/>
        <v>1.0000000000000009E-2</v>
      </c>
      <c r="O287">
        <f t="shared" si="36"/>
        <v>5.160114706536767E-3</v>
      </c>
      <c r="P287">
        <f t="shared" si="37"/>
        <v>1</v>
      </c>
      <c r="Q287">
        <f t="shared" si="38"/>
        <v>1</v>
      </c>
      <c r="R287" s="3">
        <v>45.52</v>
      </c>
    </row>
    <row r="288" spans="1:18">
      <c r="A288" s="1">
        <v>42877</v>
      </c>
      <c r="B288">
        <v>2394.02</v>
      </c>
      <c r="C288">
        <f t="shared" si="32"/>
        <v>5.160114706536767E-3</v>
      </c>
      <c r="D288">
        <f t="shared" si="39"/>
        <v>1.5693478657462956E-2</v>
      </c>
      <c r="E288">
        <f>_xlfn.XLOOKUP(A288,VIX!A:A,VIX!B:B,"",-1)</f>
        <v>10.93</v>
      </c>
      <c r="F288">
        <f t="shared" si="33"/>
        <v>-1.1099999999999994</v>
      </c>
      <c r="G288">
        <f>_xlfn.XLOOKUP(A288,'DGS10'!A:A,'DGS10'!B:B,"",-1)</f>
        <v>2.25</v>
      </c>
      <c r="H288">
        <f t="shared" si="34"/>
        <v>2.0000000000000018E-2</v>
      </c>
      <c r="I288" s="2">
        <f>_xlfn.XLOOKUP(A288,T10Y3M!A:A,T10Y3M!B:B,"",-1)</f>
        <v>1.32</v>
      </c>
      <c r="J288" s="2">
        <f>_xlfn.XLOOKUP(A288,BAMLC0A4CBBB!A:A,BAMLC0A4CBBB!B:B,"",-1)</f>
        <v>1.49</v>
      </c>
      <c r="K288" s="2">
        <f>_xlfn.XLOOKUP(A288,CPIAUCSL!A:A,CPIAUCSL!B:B,"",-1)</f>
        <v>244.00399999999999</v>
      </c>
      <c r="L288">
        <f>_xlfn.XLOOKUP(A288,DFF!A:A,DFF!B:B,"",-1)</f>
        <v>0.91</v>
      </c>
      <c r="M288">
        <f>_xlfn.XLOOKUP(A288,'DGS2'!A:A,'DGS2'!B:B,"",-1)</f>
        <v>1.29</v>
      </c>
      <c r="N288">
        <f t="shared" si="35"/>
        <v>1.0000000000000009E-2</v>
      </c>
      <c r="O288">
        <f t="shared" si="36"/>
        <v>1.8379127993919386E-3</v>
      </c>
      <c r="P288">
        <f t="shared" si="37"/>
        <v>1</v>
      </c>
      <c r="Q288">
        <f t="shared" si="38"/>
        <v>0</v>
      </c>
      <c r="R288" s="3">
        <v>46.22</v>
      </c>
    </row>
    <row r="289" spans="1:18">
      <c r="A289" s="1">
        <v>42878</v>
      </c>
      <c r="B289">
        <v>2398.42</v>
      </c>
      <c r="C289">
        <f t="shared" si="32"/>
        <v>1.8379127993919386E-3</v>
      </c>
      <c r="D289">
        <f t="shared" si="39"/>
        <v>1.3822430380603157E-2</v>
      </c>
      <c r="E289">
        <f>_xlfn.XLOOKUP(A289,VIX!A:A,VIX!B:B,"",-1)</f>
        <v>10.72</v>
      </c>
      <c r="F289">
        <f t="shared" si="33"/>
        <v>-0.20999999999999908</v>
      </c>
      <c r="G289">
        <f>_xlfn.XLOOKUP(A289,'DGS10'!A:A,'DGS10'!B:B,"",-1)</f>
        <v>2.29</v>
      </c>
      <c r="H289">
        <f t="shared" si="34"/>
        <v>4.0000000000000036E-2</v>
      </c>
      <c r="I289" s="2">
        <f>_xlfn.XLOOKUP(A289,T10Y3M!A:A,T10Y3M!B:B,"",-1)</f>
        <v>1.37</v>
      </c>
      <c r="J289" s="2">
        <f>_xlfn.XLOOKUP(A289,BAMLC0A4CBBB!A:A,BAMLC0A4CBBB!B:B,"",-1)</f>
        <v>1.48</v>
      </c>
      <c r="K289" s="2">
        <f>_xlfn.XLOOKUP(A289,CPIAUCSL!A:A,CPIAUCSL!B:B,"",-1)</f>
        <v>244.00399999999999</v>
      </c>
      <c r="L289">
        <f>_xlfn.XLOOKUP(A289,DFF!A:A,DFF!B:B,"",-1)</f>
        <v>0.91</v>
      </c>
      <c r="M289">
        <f>_xlfn.XLOOKUP(A289,'DGS2'!A:A,'DGS2'!B:B,"",-1)</f>
        <v>1.31</v>
      </c>
      <c r="N289">
        <f t="shared" si="35"/>
        <v>2.0000000000000018E-2</v>
      </c>
      <c r="O289">
        <f t="shared" si="36"/>
        <v>2.4891386829661855E-3</v>
      </c>
      <c r="P289">
        <f t="shared" si="37"/>
        <v>1</v>
      </c>
      <c r="Q289">
        <f t="shared" si="38"/>
        <v>0</v>
      </c>
      <c r="R289" s="3">
        <v>46.43</v>
      </c>
    </row>
    <row r="290" spans="1:18">
      <c r="A290" s="1">
        <v>42879</v>
      </c>
      <c r="B290">
        <v>2404.39</v>
      </c>
      <c r="C290">
        <f t="shared" si="32"/>
        <v>2.4891386829661855E-3</v>
      </c>
      <c r="D290">
        <f t="shared" si="39"/>
        <v>9.5140926973249496E-3</v>
      </c>
      <c r="E290">
        <f>_xlfn.XLOOKUP(A290,VIX!A:A,VIX!B:B,"",-1)</f>
        <v>10.02</v>
      </c>
      <c r="F290">
        <f t="shared" si="33"/>
        <v>-0.70000000000000107</v>
      </c>
      <c r="G290">
        <f>_xlfn.XLOOKUP(A290,'DGS10'!A:A,'DGS10'!B:B,"",-1)</f>
        <v>2.2599999999999998</v>
      </c>
      <c r="H290">
        <f t="shared" si="34"/>
        <v>-3.0000000000000249E-2</v>
      </c>
      <c r="I290" s="2">
        <f>_xlfn.XLOOKUP(A290,T10Y3M!A:A,T10Y3M!B:B,"",-1)</f>
        <v>1.33</v>
      </c>
      <c r="J290" s="2">
        <f>_xlfn.XLOOKUP(A290,BAMLC0A4CBBB!A:A,BAMLC0A4CBBB!B:B,"",-1)</f>
        <v>1.49</v>
      </c>
      <c r="K290" s="2">
        <f>_xlfn.XLOOKUP(A290,CPIAUCSL!A:A,CPIAUCSL!B:B,"",-1)</f>
        <v>244.00399999999999</v>
      </c>
      <c r="L290">
        <f>_xlfn.XLOOKUP(A290,DFF!A:A,DFF!B:B,"",-1)</f>
        <v>0.91</v>
      </c>
      <c r="M290">
        <f>_xlfn.XLOOKUP(A290,'DGS2'!A:A,'DGS2'!B:B,"",-1)</f>
        <v>1.29</v>
      </c>
      <c r="N290">
        <f t="shared" si="35"/>
        <v>-2.0000000000000018E-2</v>
      </c>
      <c r="O290">
        <f t="shared" si="36"/>
        <v>4.4418750701842313E-3</v>
      </c>
      <c r="P290">
        <f t="shared" si="37"/>
        <v>1</v>
      </c>
      <c r="Q290">
        <f t="shared" si="38"/>
        <v>1</v>
      </c>
      <c r="R290" s="3">
        <v>45.88</v>
      </c>
    </row>
    <row r="291" spans="1:18">
      <c r="A291" s="1">
        <v>42880</v>
      </c>
      <c r="B291">
        <v>2415.0700000000002</v>
      </c>
      <c r="C291">
        <f t="shared" si="32"/>
        <v>4.4418750701842313E-3</v>
      </c>
      <c r="D291">
        <f t="shared" si="39"/>
        <v>8.7927419152722397E-3</v>
      </c>
      <c r="E291">
        <f>_xlfn.XLOOKUP(A291,VIX!A:A,VIX!B:B,"",-1)</f>
        <v>9.99</v>
      </c>
      <c r="F291">
        <f t="shared" si="33"/>
        <v>-2.9999999999999361E-2</v>
      </c>
      <c r="G291">
        <f>_xlfn.XLOOKUP(A291,'DGS10'!A:A,'DGS10'!B:B,"",-1)</f>
        <v>2.25</v>
      </c>
      <c r="H291">
        <f t="shared" si="34"/>
        <v>-9.9999999999997868E-3</v>
      </c>
      <c r="I291" s="2">
        <f>_xlfn.XLOOKUP(A291,T10Y3M!A:A,T10Y3M!B:B,"",-1)</f>
        <v>1.31</v>
      </c>
      <c r="J291" s="2">
        <f>_xlfn.XLOOKUP(A291,BAMLC0A4CBBB!A:A,BAMLC0A4CBBB!B:B,"",-1)</f>
        <v>1.49</v>
      </c>
      <c r="K291" s="2">
        <f>_xlfn.XLOOKUP(A291,CPIAUCSL!A:A,CPIAUCSL!B:B,"",-1)</f>
        <v>244.00399999999999</v>
      </c>
      <c r="L291">
        <f>_xlfn.XLOOKUP(A291,DFF!A:A,DFF!B:B,"",-1)</f>
        <v>0.91</v>
      </c>
      <c r="M291">
        <f>_xlfn.XLOOKUP(A291,'DGS2'!A:A,'DGS2'!B:B,"",-1)</f>
        <v>1.3</v>
      </c>
      <c r="N291">
        <f t="shared" si="35"/>
        <v>1.0000000000000009E-2</v>
      </c>
      <c r="O291">
        <f t="shared" si="36"/>
        <v>3.1055000476176708E-4</v>
      </c>
      <c r="P291">
        <f t="shared" si="37"/>
        <v>1</v>
      </c>
      <c r="Q291">
        <f t="shared" si="38"/>
        <v>0</v>
      </c>
      <c r="R291" s="3">
        <v>47.33</v>
      </c>
    </row>
    <row r="292" spans="1:18">
      <c r="A292" s="1">
        <v>42881</v>
      </c>
      <c r="B292">
        <v>2415.8200000000002</v>
      </c>
      <c r="C292">
        <f t="shared" si="32"/>
        <v>3.1055000476176708E-4</v>
      </c>
      <c r="D292">
        <f t="shared" si="39"/>
        <v>7.2547760609067424E-3</v>
      </c>
      <c r="E292">
        <f>_xlfn.XLOOKUP(A292,VIX!A:A,VIX!B:B,"",-1)</f>
        <v>9.81</v>
      </c>
      <c r="F292">
        <f t="shared" si="33"/>
        <v>-0.17999999999999972</v>
      </c>
      <c r="G292">
        <f>_xlfn.XLOOKUP(A292,'DGS10'!A:A,'DGS10'!B:B,"",-1)</f>
        <v>2.25</v>
      </c>
      <c r="H292">
        <f t="shared" si="34"/>
        <v>0</v>
      </c>
      <c r="I292" s="2">
        <f>_xlfn.XLOOKUP(A292,T10Y3M!A:A,T10Y3M!B:B,"",-1)</f>
        <v>1.31</v>
      </c>
      <c r="J292" s="2">
        <f>_xlfn.XLOOKUP(A292,BAMLC0A4CBBB!A:A,BAMLC0A4CBBB!B:B,"",-1)</f>
        <v>1.48</v>
      </c>
      <c r="K292" s="2">
        <f>_xlfn.XLOOKUP(A292,CPIAUCSL!A:A,CPIAUCSL!B:B,"",-1)</f>
        <v>244.00399999999999</v>
      </c>
      <c r="L292">
        <f>_xlfn.XLOOKUP(A292,DFF!A:A,DFF!B:B,"",-1)</f>
        <v>0.91</v>
      </c>
      <c r="M292">
        <f>_xlfn.XLOOKUP(A292,'DGS2'!A:A,'DGS2'!B:B,"",-1)</f>
        <v>1.3</v>
      </c>
      <c r="N292">
        <f t="shared" si="35"/>
        <v>0</v>
      </c>
      <c r="O292">
        <f t="shared" si="36"/>
        <v>-1.2045599423798903E-3</v>
      </c>
      <c r="P292">
        <f t="shared" si="37"/>
        <v>0</v>
      </c>
      <c r="Q292">
        <f t="shared" si="38"/>
        <v>0</v>
      </c>
      <c r="R292" s="3">
        <v>47.83</v>
      </c>
    </row>
    <row r="293" spans="1:18">
      <c r="A293" s="1">
        <v>42885</v>
      </c>
      <c r="B293">
        <v>2412.91</v>
      </c>
      <c r="C293">
        <f t="shared" si="32"/>
        <v>-1.2045599423798903E-3</v>
      </c>
      <c r="D293">
        <f t="shared" si="39"/>
        <v>3.5435183144165716E-3</v>
      </c>
      <c r="E293">
        <f>_xlfn.XLOOKUP(A293,VIX!A:A,VIX!B:B,"",-1)</f>
        <v>10.38</v>
      </c>
      <c r="F293">
        <f t="shared" si="33"/>
        <v>0.57000000000000028</v>
      </c>
      <c r="G293">
        <f>_xlfn.XLOOKUP(A293,'DGS10'!A:A,'DGS10'!B:B,"",-1)</f>
        <v>2.21</v>
      </c>
      <c r="H293">
        <f t="shared" si="34"/>
        <v>-4.0000000000000036E-2</v>
      </c>
      <c r="I293" s="2">
        <f>_xlfn.XLOOKUP(A293,T10Y3M!A:A,T10Y3M!B:B,"",-1)</f>
        <v>1.28</v>
      </c>
      <c r="J293" s="2">
        <f>_xlfn.XLOOKUP(A293,BAMLC0A4CBBB!A:A,BAMLC0A4CBBB!B:B,"",-1)</f>
        <v>1.48</v>
      </c>
      <c r="K293" s="2">
        <f>_xlfn.XLOOKUP(A293,CPIAUCSL!A:A,CPIAUCSL!B:B,"",-1)</f>
        <v>244.00399999999999</v>
      </c>
      <c r="L293">
        <f>_xlfn.XLOOKUP(A293,DFF!A:A,DFF!B:B,"",-1)</f>
        <v>0.91</v>
      </c>
      <c r="M293">
        <f>_xlfn.XLOOKUP(A293,'DGS2'!A:A,'DGS2'!B:B,"",-1)</f>
        <v>1.28</v>
      </c>
      <c r="N293">
        <f t="shared" si="35"/>
        <v>-2.0000000000000018E-2</v>
      </c>
      <c r="O293">
        <f t="shared" si="36"/>
        <v>-4.6002544645251664E-4</v>
      </c>
      <c r="P293">
        <f t="shared" si="37"/>
        <v>0</v>
      </c>
      <c r="Q293">
        <f t="shared" si="38"/>
        <v>0</v>
      </c>
      <c r="R293" s="3">
        <v>47.84</v>
      </c>
    </row>
    <row r="294" spans="1:18">
      <c r="A294" s="1">
        <v>42886</v>
      </c>
      <c r="B294">
        <v>2411.8000000000002</v>
      </c>
      <c r="C294">
        <f t="shared" si="32"/>
        <v>-4.6002544645251664E-4</v>
      </c>
      <c r="D294">
        <f t="shared" si="39"/>
        <v>-1.3539980207613045E-3</v>
      </c>
      <c r="E294">
        <f>_xlfn.XLOOKUP(A294,VIX!A:A,VIX!B:B,"",-1)</f>
        <v>10.41</v>
      </c>
      <c r="F294">
        <f t="shared" si="33"/>
        <v>2.9999999999999361E-2</v>
      </c>
      <c r="G294">
        <f>_xlfn.XLOOKUP(A294,'DGS10'!A:A,'DGS10'!B:B,"",-1)</f>
        <v>2.21</v>
      </c>
      <c r="H294">
        <f t="shared" si="34"/>
        <v>0</v>
      </c>
      <c r="I294" s="2">
        <f>_xlfn.XLOOKUP(A294,T10Y3M!A:A,T10Y3M!B:B,"",-1)</f>
        <v>1.23</v>
      </c>
      <c r="J294" s="2">
        <f>_xlfn.XLOOKUP(A294,BAMLC0A4CBBB!A:A,BAMLC0A4CBBB!B:B,"",-1)</f>
        <v>1.51</v>
      </c>
      <c r="K294" s="2">
        <f>_xlfn.XLOOKUP(A294,CPIAUCSL!A:A,CPIAUCSL!B:B,"",-1)</f>
        <v>244.00399999999999</v>
      </c>
      <c r="L294">
        <f>_xlfn.XLOOKUP(A294,DFF!A:A,DFF!B:B,"",-1)</f>
        <v>0.83</v>
      </c>
      <c r="M294">
        <f>_xlfn.XLOOKUP(A294,'DGS2'!A:A,'DGS2'!B:B,"",-1)</f>
        <v>1.28</v>
      </c>
      <c r="N294">
        <f t="shared" si="35"/>
        <v>0</v>
      </c>
      <c r="O294">
        <f t="shared" si="36"/>
        <v>7.5711087154821666E-3</v>
      </c>
      <c r="P294">
        <f t="shared" si="37"/>
        <v>1</v>
      </c>
      <c r="Q294">
        <f t="shared" si="38"/>
        <v>1</v>
      </c>
      <c r="R294" s="3">
        <v>48.85</v>
      </c>
    </row>
    <row r="295" spans="1:18">
      <c r="A295" s="1">
        <v>42887</v>
      </c>
      <c r="B295">
        <v>2430.06</v>
      </c>
      <c r="C295">
        <f t="shared" si="32"/>
        <v>7.5711087154821666E-3</v>
      </c>
      <c r="D295">
        <f t="shared" si="39"/>
        <v>5.8944788932948633E-3</v>
      </c>
      <c r="E295">
        <f>_xlfn.XLOOKUP(A295,VIX!A:A,VIX!B:B,"",-1)</f>
        <v>9.89</v>
      </c>
      <c r="F295">
        <f t="shared" si="33"/>
        <v>-0.51999999999999957</v>
      </c>
      <c r="G295">
        <f>_xlfn.XLOOKUP(A295,'DGS10'!A:A,'DGS10'!B:B,"",-1)</f>
        <v>2.21</v>
      </c>
      <c r="H295">
        <f t="shared" si="34"/>
        <v>0</v>
      </c>
      <c r="I295" s="2">
        <f>_xlfn.XLOOKUP(A295,T10Y3M!A:A,T10Y3M!B:B,"",-1)</f>
        <v>1.23</v>
      </c>
      <c r="J295" s="2">
        <f>_xlfn.XLOOKUP(A295,BAMLC0A4CBBB!A:A,BAMLC0A4CBBB!B:B,"",-1)</f>
        <v>1.51</v>
      </c>
      <c r="K295" s="2">
        <f>_xlfn.XLOOKUP(A295,CPIAUCSL!A:A,CPIAUCSL!B:B,"",-1)</f>
        <v>244.16300000000001</v>
      </c>
      <c r="L295">
        <f>_xlfn.XLOOKUP(A295,DFF!A:A,DFF!B:B,"",-1)</f>
        <v>0.91</v>
      </c>
      <c r="M295">
        <f>_xlfn.XLOOKUP(A295,'DGS2'!A:A,'DGS2'!B:B,"",-1)</f>
        <v>1.28</v>
      </c>
      <c r="N295">
        <f t="shared" si="35"/>
        <v>0</v>
      </c>
      <c r="O295">
        <f t="shared" si="36"/>
        <v>3.7077273812169409E-3</v>
      </c>
      <c r="P295">
        <f t="shared" si="37"/>
        <v>1</v>
      </c>
      <c r="Q295">
        <f t="shared" si="38"/>
        <v>1</v>
      </c>
      <c r="R295" s="3">
        <v>48.66</v>
      </c>
    </row>
    <row r="296" spans="1:18">
      <c r="A296" s="1">
        <v>42888</v>
      </c>
      <c r="B296">
        <v>2439.0700000000002</v>
      </c>
      <c r="C296">
        <f t="shared" si="32"/>
        <v>3.7077273812169409E-3</v>
      </c>
      <c r="D296">
        <f t="shared" si="39"/>
        <v>1.0841680792072816E-2</v>
      </c>
      <c r="E296">
        <f>_xlfn.XLOOKUP(A296,VIX!A:A,VIX!B:B,"",-1)</f>
        <v>9.75</v>
      </c>
      <c r="F296">
        <f t="shared" si="33"/>
        <v>-0.14000000000000057</v>
      </c>
      <c r="G296">
        <f>_xlfn.XLOOKUP(A296,'DGS10'!A:A,'DGS10'!B:B,"",-1)</f>
        <v>2.15</v>
      </c>
      <c r="H296">
        <f t="shared" si="34"/>
        <v>-6.0000000000000053E-2</v>
      </c>
      <c r="I296" s="2">
        <f>_xlfn.XLOOKUP(A296,T10Y3M!A:A,T10Y3M!B:B,"",-1)</f>
        <v>1.17</v>
      </c>
      <c r="J296" s="2">
        <f>_xlfn.XLOOKUP(A296,BAMLC0A4CBBB!A:A,BAMLC0A4CBBB!B:B,"",-1)</f>
        <v>1.51</v>
      </c>
      <c r="K296" s="2">
        <f>_xlfn.XLOOKUP(A296,CPIAUCSL!A:A,CPIAUCSL!B:B,"",-1)</f>
        <v>244.16300000000001</v>
      </c>
      <c r="L296">
        <f>_xlfn.XLOOKUP(A296,DFF!A:A,DFF!B:B,"",-1)</f>
        <v>0.91</v>
      </c>
      <c r="M296">
        <f>_xlfn.XLOOKUP(A296,'DGS2'!A:A,'DGS2'!B:B,"",-1)</f>
        <v>1.28</v>
      </c>
      <c r="N296">
        <f t="shared" si="35"/>
        <v>0</v>
      </c>
      <c r="O296">
        <f t="shared" si="36"/>
        <v>-1.2176772294358873E-3</v>
      </c>
      <c r="P296">
        <f t="shared" si="37"/>
        <v>0</v>
      </c>
      <c r="Q296">
        <f t="shared" si="38"/>
        <v>0</v>
      </c>
      <c r="R296" s="3">
        <v>49.07</v>
      </c>
    </row>
    <row r="297" spans="1:18">
      <c r="A297" s="1">
        <v>42891</v>
      </c>
      <c r="B297">
        <v>2436.1</v>
      </c>
      <c r="C297">
        <f t="shared" si="32"/>
        <v>-1.2176772294358873E-3</v>
      </c>
      <c r="D297">
        <f t="shared" si="39"/>
        <v>1.0075462310307648E-2</v>
      </c>
      <c r="E297">
        <f>_xlfn.XLOOKUP(A297,VIX!A:A,VIX!B:B,"",-1)</f>
        <v>10.07</v>
      </c>
      <c r="F297">
        <f t="shared" si="33"/>
        <v>0.32000000000000028</v>
      </c>
      <c r="G297">
        <f>_xlfn.XLOOKUP(A297,'DGS10'!A:A,'DGS10'!B:B,"",-1)</f>
        <v>2.1800000000000002</v>
      </c>
      <c r="H297">
        <f t="shared" si="34"/>
        <v>3.0000000000000249E-2</v>
      </c>
      <c r="I297" s="2">
        <f>_xlfn.XLOOKUP(A297,T10Y3M!A:A,T10Y3M!B:B,"",-1)</f>
        <v>1.22</v>
      </c>
      <c r="J297" s="2">
        <f>_xlfn.XLOOKUP(A297,BAMLC0A4CBBB!A:A,BAMLC0A4CBBB!B:B,"",-1)</f>
        <v>1.5</v>
      </c>
      <c r="K297" s="2">
        <f>_xlfn.XLOOKUP(A297,CPIAUCSL!A:A,CPIAUCSL!B:B,"",-1)</f>
        <v>244.16300000000001</v>
      </c>
      <c r="L297">
        <f>_xlfn.XLOOKUP(A297,DFF!A:A,DFF!B:B,"",-1)</f>
        <v>0.91</v>
      </c>
      <c r="M297">
        <f>_xlfn.XLOOKUP(A297,'DGS2'!A:A,'DGS2'!B:B,"",-1)</f>
        <v>1.32</v>
      </c>
      <c r="N297">
        <f t="shared" si="35"/>
        <v>4.0000000000000036E-2</v>
      </c>
      <c r="O297">
        <f t="shared" si="36"/>
        <v>-2.7790320594393014E-3</v>
      </c>
      <c r="P297">
        <f t="shared" si="37"/>
        <v>0</v>
      </c>
      <c r="Q297">
        <f t="shared" si="38"/>
        <v>0</v>
      </c>
      <c r="R297" s="3">
        <v>49.35</v>
      </c>
    </row>
    <row r="298" spans="1:18">
      <c r="A298" s="1">
        <v>42892</v>
      </c>
      <c r="B298">
        <v>2429.33</v>
      </c>
      <c r="C298">
        <f t="shared" si="32"/>
        <v>-2.7790320594393014E-3</v>
      </c>
      <c r="D298">
        <f t="shared" si="39"/>
        <v>-3.0040410524845296E-4</v>
      </c>
      <c r="E298">
        <f>_xlfn.XLOOKUP(A298,VIX!A:A,VIX!B:B,"",-1)</f>
        <v>10.45</v>
      </c>
      <c r="F298">
        <f t="shared" si="33"/>
        <v>0.37999999999999901</v>
      </c>
      <c r="G298">
        <f>_xlfn.XLOOKUP(A298,'DGS10'!A:A,'DGS10'!B:B,"",-1)</f>
        <v>2.14</v>
      </c>
      <c r="H298">
        <f t="shared" si="34"/>
        <v>-4.0000000000000036E-2</v>
      </c>
      <c r="I298" s="2">
        <f>_xlfn.XLOOKUP(A298,T10Y3M!A:A,T10Y3M!B:B,"",-1)</f>
        <v>1.17</v>
      </c>
      <c r="J298" s="2">
        <f>_xlfn.XLOOKUP(A298,BAMLC0A4CBBB!A:A,BAMLC0A4CBBB!B:B,"",-1)</f>
        <v>1.5</v>
      </c>
      <c r="K298" s="2">
        <f>_xlfn.XLOOKUP(A298,CPIAUCSL!A:A,CPIAUCSL!B:B,"",-1)</f>
        <v>244.16300000000001</v>
      </c>
      <c r="L298">
        <f>_xlfn.XLOOKUP(A298,DFF!A:A,DFF!B:B,"",-1)</f>
        <v>0.91</v>
      </c>
      <c r="M298">
        <f>_xlfn.XLOOKUP(A298,'DGS2'!A:A,'DGS2'!B:B,"",-1)</f>
        <v>1.3</v>
      </c>
      <c r="N298">
        <f t="shared" si="35"/>
        <v>-2.0000000000000018E-2</v>
      </c>
      <c r="O298">
        <f t="shared" si="36"/>
        <v>1.568333655781684E-3</v>
      </c>
      <c r="P298">
        <f t="shared" si="37"/>
        <v>1</v>
      </c>
      <c r="Q298">
        <f t="shared" si="38"/>
        <v>0</v>
      </c>
      <c r="R298" s="3">
        <v>50.33</v>
      </c>
    </row>
    <row r="299" spans="1:18">
      <c r="A299" s="1">
        <v>42893</v>
      </c>
      <c r="B299">
        <v>2433.14</v>
      </c>
      <c r="C299">
        <f t="shared" si="32"/>
        <v>1.568333655781684E-3</v>
      </c>
      <c r="D299">
        <f t="shared" si="39"/>
        <v>-2.4312545355402726E-3</v>
      </c>
      <c r="E299">
        <f>_xlfn.XLOOKUP(A299,VIX!A:A,VIX!B:B,"",-1)</f>
        <v>10.39</v>
      </c>
      <c r="F299">
        <f t="shared" si="33"/>
        <v>-5.9999999999998721E-2</v>
      </c>
      <c r="G299">
        <f>_xlfn.XLOOKUP(A299,'DGS10'!A:A,'DGS10'!B:B,"",-1)</f>
        <v>2.1800000000000002</v>
      </c>
      <c r="H299">
        <f t="shared" si="34"/>
        <v>4.0000000000000036E-2</v>
      </c>
      <c r="I299" s="2">
        <f>_xlfn.XLOOKUP(A299,T10Y3M!A:A,T10Y3M!B:B,"",-1)</f>
        <v>1.18</v>
      </c>
      <c r="J299" s="2">
        <f>_xlfn.XLOOKUP(A299,BAMLC0A4CBBB!A:A,BAMLC0A4CBBB!B:B,"",-1)</f>
        <v>1.5</v>
      </c>
      <c r="K299" s="2">
        <f>_xlfn.XLOOKUP(A299,CPIAUCSL!A:A,CPIAUCSL!B:B,"",-1)</f>
        <v>244.16300000000001</v>
      </c>
      <c r="L299">
        <f>_xlfn.XLOOKUP(A299,DFF!A:A,DFF!B:B,"",-1)</f>
        <v>0.91</v>
      </c>
      <c r="M299">
        <f>_xlfn.XLOOKUP(A299,'DGS2'!A:A,'DGS2'!B:B,"",-1)</f>
        <v>1.32</v>
      </c>
      <c r="N299">
        <f t="shared" si="35"/>
        <v>2.0000000000000018E-2</v>
      </c>
      <c r="O299">
        <f t="shared" si="36"/>
        <v>2.6714451285170249E-4</v>
      </c>
      <c r="P299">
        <f t="shared" si="37"/>
        <v>1</v>
      </c>
      <c r="Q299">
        <f t="shared" si="38"/>
        <v>0</v>
      </c>
      <c r="R299" s="3">
        <v>50.73</v>
      </c>
    </row>
    <row r="300" spans="1:18">
      <c r="A300" s="1">
        <v>42894</v>
      </c>
      <c r="B300">
        <v>2433.79</v>
      </c>
      <c r="C300">
        <f t="shared" si="32"/>
        <v>2.6714451285170249E-4</v>
      </c>
      <c r="D300">
        <f t="shared" si="39"/>
        <v>-9.4823693608636628E-4</v>
      </c>
      <c r="E300">
        <f>_xlfn.XLOOKUP(A300,VIX!A:A,VIX!B:B,"",-1)</f>
        <v>10.16</v>
      </c>
      <c r="F300">
        <f t="shared" si="33"/>
        <v>-0.23000000000000043</v>
      </c>
      <c r="G300">
        <f>_xlfn.XLOOKUP(A300,'DGS10'!A:A,'DGS10'!B:B,"",-1)</f>
        <v>2.19</v>
      </c>
      <c r="H300">
        <f t="shared" si="34"/>
        <v>9.9999999999997868E-3</v>
      </c>
      <c r="I300" s="2">
        <f>_xlfn.XLOOKUP(A300,T10Y3M!A:A,T10Y3M!B:B,"",-1)</f>
        <v>1.18</v>
      </c>
      <c r="J300" s="2">
        <f>_xlfn.XLOOKUP(A300,BAMLC0A4CBBB!A:A,BAMLC0A4CBBB!B:B,"",-1)</f>
        <v>1.5</v>
      </c>
      <c r="K300" s="2">
        <f>_xlfn.XLOOKUP(A300,CPIAUCSL!A:A,CPIAUCSL!B:B,"",-1)</f>
        <v>244.16300000000001</v>
      </c>
      <c r="L300">
        <f>_xlfn.XLOOKUP(A300,DFF!A:A,DFF!B:B,"",-1)</f>
        <v>0.91</v>
      </c>
      <c r="M300">
        <f>_xlfn.XLOOKUP(A300,'DGS2'!A:A,'DGS2'!B:B,"",-1)</f>
        <v>1.33</v>
      </c>
      <c r="N300">
        <f t="shared" si="35"/>
        <v>1.0000000000000009E-2</v>
      </c>
      <c r="O300">
        <f t="shared" si="36"/>
        <v>-8.2998122270205865E-4</v>
      </c>
      <c r="P300">
        <f t="shared" si="37"/>
        <v>0</v>
      </c>
      <c r="Q300">
        <f t="shared" si="38"/>
        <v>0</v>
      </c>
      <c r="R300" s="3">
        <v>51.47</v>
      </c>
    </row>
    <row r="301" spans="1:18">
      <c r="A301" s="1">
        <v>42895</v>
      </c>
      <c r="B301">
        <v>2431.77</v>
      </c>
      <c r="C301">
        <f t="shared" si="32"/>
        <v>-8.2998122270205865E-4</v>
      </c>
      <c r="D301">
        <f t="shared" si="39"/>
        <v>1.0043921575084713E-3</v>
      </c>
      <c r="E301">
        <f>_xlfn.XLOOKUP(A301,VIX!A:A,VIX!B:B,"",-1)</f>
        <v>10.7</v>
      </c>
      <c r="F301">
        <f t="shared" si="33"/>
        <v>0.53999999999999915</v>
      </c>
      <c r="G301">
        <f>_xlfn.XLOOKUP(A301,'DGS10'!A:A,'DGS10'!B:B,"",-1)</f>
        <v>2.21</v>
      </c>
      <c r="H301">
        <f t="shared" si="34"/>
        <v>2.0000000000000018E-2</v>
      </c>
      <c r="I301" s="2">
        <f>_xlfn.XLOOKUP(A301,T10Y3M!A:A,T10Y3M!B:B,"",-1)</f>
        <v>1.2</v>
      </c>
      <c r="J301" s="2">
        <f>_xlfn.XLOOKUP(A301,BAMLC0A4CBBB!A:A,BAMLC0A4CBBB!B:B,"",-1)</f>
        <v>1.5</v>
      </c>
      <c r="K301" s="2">
        <f>_xlfn.XLOOKUP(A301,CPIAUCSL!A:A,CPIAUCSL!B:B,"",-1)</f>
        <v>244.16300000000001</v>
      </c>
      <c r="L301">
        <f>_xlfn.XLOOKUP(A301,DFF!A:A,DFF!B:B,"",-1)</f>
        <v>0.91</v>
      </c>
      <c r="M301">
        <f>_xlfn.XLOOKUP(A301,'DGS2'!A:A,'DGS2'!B:B,"",-1)</f>
        <v>1.35</v>
      </c>
      <c r="N301">
        <f t="shared" si="35"/>
        <v>2.0000000000000018E-2</v>
      </c>
      <c r="O301">
        <f t="shared" si="36"/>
        <v>-9.78710980068076E-4</v>
      </c>
      <c r="P301">
        <f t="shared" si="37"/>
        <v>0</v>
      </c>
      <c r="Q301">
        <f t="shared" si="38"/>
        <v>0</v>
      </c>
      <c r="R301" s="3">
        <v>51.36</v>
      </c>
    </row>
    <row r="302" spans="1:18">
      <c r="A302" s="1">
        <v>42898</v>
      </c>
      <c r="B302">
        <v>2429.39</v>
      </c>
      <c r="C302">
        <f t="shared" si="32"/>
        <v>-9.78710980068076E-4</v>
      </c>
      <c r="D302">
        <f t="shared" si="39"/>
        <v>-1.5412183433751725E-3</v>
      </c>
      <c r="E302">
        <f>_xlfn.XLOOKUP(A302,VIX!A:A,VIX!B:B,"",-1)</f>
        <v>11.46</v>
      </c>
      <c r="F302">
        <f t="shared" si="33"/>
        <v>0.76000000000000156</v>
      </c>
      <c r="G302">
        <f>_xlfn.XLOOKUP(A302,'DGS10'!A:A,'DGS10'!B:B,"",-1)</f>
        <v>2.21</v>
      </c>
      <c r="H302">
        <f t="shared" si="34"/>
        <v>0</v>
      </c>
      <c r="I302" s="2">
        <f>_xlfn.XLOOKUP(A302,T10Y3M!A:A,T10Y3M!B:B,"",-1)</f>
        <v>1.23</v>
      </c>
      <c r="J302" s="2">
        <f>_xlfn.XLOOKUP(A302,BAMLC0A4CBBB!A:A,BAMLC0A4CBBB!B:B,"",-1)</f>
        <v>1.49</v>
      </c>
      <c r="K302" s="2">
        <f>_xlfn.XLOOKUP(A302,CPIAUCSL!A:A,CPIAUCSL!B:B,"",-1)</f>
        <v>244.16300000000001</v>
      </c>
      <c r="L302">
        <f>_xlfn.XLOOKUP(A302,DFF!A:A,DFF!B:B,"",-1)</f>
        <v>0.91</v>
      </c>
      <c r="M302">
        <f>_xlfn.XLOOKUP(A302,'DGS2'!A:A,'DGS2'!B:B,"",-1)</f>
        <v>1.35</v>
      </c>
      <c r="N302">
        <f t="shared" si="35"/>
        <v>0</v>
      </c>
      <c r="O302">
        <f t="shared" si="36"/>
        <v>4.5114205623633108E-3</v>
      </c>
      <c r="P302">
        <f t="shared" si="37"/>
        <v>1</v>
      </c>
      <c r="Q302">
        <f t="shared" si="38"/>
        <v>1</v>
      </c>
      <c r="R302" s="3">
        <v>48.9</v>
      </c>
    </row>
    <row r="303" spans="1:18">
      <c r="A303" s="1">
        <v>42899</v>
      </c>
      <c r="B303">
        <v>2440.35</v>
      </c>
      <c r="C303">
        <f t="shared" si="32"/>
        <v>4.5114205623633108E-3</v>
      </c>
      <c r="D303">
        <f t="shared" si="39"/>
        <v>2.6953845648145514E-3</v>
      </c>
      <c r="E303">
        <f>_xlfn.XLOOKUP(A303,VIX!A:A,VIX!B:B,"",-1)</f>
        <v>10.42</v>
      </c>
      <c r="F303">
        <f t="shared" si="33"/>
        <v>-1.0400000000000009</v>
      </c>
      <c r="G303">
        <f>_xlfn.XLOOKUP(A303,'DGS10'!A:A,'DGS10'!B:B,"",-1)</f>
        <v>2.21</v>
      </c>
      <c r="H303">
        <f t="shared" si="34"/>
        <v>0</v>
      </c>
      <c r="I303" s="2">
        <f>_xlfn.XLOOKUP(A303,T10Y3M!A:A,T10Y3M!B:B,"",-1)</f>
        <v>1.21</v>
      </c>
      <c r="J303" s="2">
        <f>_xlfn.XLOOKUP(A303,BAMLC0A4CBBB!A:A,BAMLC0A4CBBB!B:B,"",-1)</f>
        <v>1.49</v>
      </c>
      <c r="K303" s="2">
        <f>_xlfn.XLOOKUP(A303,CPIAUCSL!A:A,CPIAUCSL!B:B,"",-1)</f>
        <v>244.16300000000001</v>
      </c>
      <c r="L303">
        <f>_xlfn.XLOOKUP(A303,DFF!A:A,DFF!B:B,"",-1)</f>
        <v>0.91</v>
      </c>
      <c r="M303">
        <f>_xlfn.XLOOKUP(A303,'DGS2'!A:A,'DGS2'!B:B,"",-1)</f>
        <v>1.38</v>
      </c>
      <c r="N303">
        <f t="shared" si="35"/>
        <v>2.9999999999999805E-2</v>
      </c>
      <c r="O303">
        <f t="shared" si="36"/>
        <v>-9.9575880508939729E-4</v>
      </c>
      <c r="P303">
        <f t="shared" si="37"/>
        <v>0</v>
      </c>
      <c r="Q303">
        <f t="shared" si="38"/>
        <v>0</v>
      </c>
      <c r="R303" s="3">
        <v>49.8</v>
      </c>
    </row>
    <row r="304" spans="1:18">
      <c r="A304" s="1">
        <v>42900</v>
      </c>
      <c r="B304">
        <v>2437.92</v>
      </c>
      <c r="C304">
        <f t="shared" si="32"/>
        <v>-9.9575880508939729E-4</v>
      </c>
      <c r="D304">
        <f t="shared" si="39"/>
        <v>2.5290220703437782E-3</v>
      </c>
      <c r="E304">
        <f>_xlfn.XLOOKUP(A304,VIX!A:A,VIX!B:B,"",-1)</f>
        <v>10.64</v>
      </c>
      <c r="F304">
        <f t="shared" si="33"/>
        <v>0.22000000000000064</v>
      </c>
      <c r="G304">
        <f>_xlfn.XLOOKUP(A304,'DGS10'!A:A,'DGS10'!B:B,"",-1)</f>
        <v>2.15</v>
      </c>
      <c r="H304">
        <f t="shared" si="34"/>
        <v>-6.0000000000000053E-2</v>
      </c>
      <c r="I304" s="2">
        <f>_xlfn.XLOOKUP(A304,T10Y3M!A:A,T10Y3M!B:B,"",-1)</f>
        <v>1.1399999999999999</v>
      </c>
      <c r="J304" s="2">
        <f>_xlfn.XLOOKUP(A304,BAMLC0A4CBBB!A:A,BAMLC0A4CBBB!B:B,"",-1)</f>
        <v>1.48</v>
      </c>
      <c r="K304" s="2">
        <f>_xlfn.XLOOKUP(A304,CPIAUCSL!A:A,CPIAUCSL!B:B,"",-1)</f>
        <v>244.16300000000001</v>
      </c>
      <c r="L304">
        <f>_xlfn.XLOOKUP(A304,DFF!A:A,DFF!B:B,"",-1)</f>
        <v>0.91</v>
      </c>
      <c r="M304">
        <f>_xlfn.XLOOKUP(A304,'DGS2'!A:A,'DGS2'!B:B,"",-1)</f>
        <v>1.35</v>
      </c>
      <c r="N304">
        <f t="shared" si="35"/>
        <v>-2.9999999999999805E-2</v>
      </c>
      <c r="O304">
        <f t="shared" si="36"/>
        <v>-2.2396140972632539E-3</v>
      </c>
      <c r="P304">
        <f t="shared" si="37"/>
        <v>0</v>
      </c>
      <c r="Q304">
        <f t="shared" si="38"/>
        <v>0</v>
      </c>
      <c r="R304" s="3">
        <v>49.99</v>
      </c>
    </row>
    <row r="305" spans="1:18">
      <c r="A305" s="1">
        <v>42901</v>
      </c>
      <c r="B305">
        <v>2432.46</v>
      </c>
      <c r="C305">
        <f t="shared" si="32"/>
        <v>-2.2396140972632539E-3</v>
      </c>
      <c r="D305">
        <f t="shared" si="39"/>
        <v>1.2636917086181754E-3</v>
      </c>
      <c r="E305">
        <f>_xlfn.XLOOKUP(A305,VIX!A:A,VIX!B:B,"",-1)</f>
        <v>10.9</v>
      </c>
      <c r="F305">
        <f t="shared" si="33"/>
        <v>0.25999999999999979</v>
      </c>
      <c r="G305">
        <f>_xlfn.XLOOKUP(A305,'DGS10'!A:A,'DGS10'!B:B,"",-1)</f>
        <v>2.16</v>
      </c>
      <c r="H305">
        <f t="shared" si="34"/>
        <v>1.0000000000000231E-2</v>
      </c>
      <c r="I305" s="2">
        <f>_xlfn.XLOOKUP(A305,T10Y3M!A:A,T10Y3M!B:B,"",-1)</f>
        <v>1.1399999999999999</v>
      </c>
      <c r="J305" s="2">
        <f>_xlfn.XLOOKUP(A305,BAMLC0A4CBBB!A:A,BAMLC0A4CBBB!B:B,"",-1)</f>
        <v>1.48</v>
      </c>
      <c r="K305" s="2">
        <f>_xlfn.XLOOKUP(A305,CPIAUCSL!A:A,CPIAUCSL!B:B,"",-1)</f>
        <v>244.16300000000001</v>
      </c>
      <c r="L305">
        <f>_xlfn.XLOOKUP(A305,DFF!A:A,DFF!B:B,"",-1)</f>
        <v>1.1599999999999999</v>
      </c>
      <c r="M305">
        <f>_xlfn.XLOOKUP(A305,'DGS2'!A:A,'DGS2'!B:B,"",-1)</f>
        <v>1.35</v>
      </c>
      <c r="N305">
        <f t="shared" si="35"/>
        <v>0</v>
      </c>
      <c r="O305">
        <f t="shared" si="36"/>
        <v>2.8366345181418673E-4</v>
      </c>
      <c r="P305">
        <f t="shared" si="37"/>
        <v>1</v>
      </c>
      <c r="Q305">
        <f t="shared" si="38"/>
        <v>0</v>
      </c>
      <c r="R305" s="3">
        <v>49.66</v>
      </c>
    </row>
    <row r="306" spans="1:18">
      <c r="A306" s="1">
        <v>42902</v>
      </c>
      <c r="B306">
        <v>2433.15</v>
      </c>
      <c r="C306">
        <f t="shared" si="32"/>
        <v>2.8366345181418673E-4</v>
      </c>
      <c r="D306">
        <f t="shared" si="39"/>
        <v>-2.9503964595242183E-3</v>
      </c>
      <c r="E306">
        <f>_xlfn.XLOOKUP(A306,VIX!A:A,VIX!B:B,"",-1)</f>
        <v>10.38</v>
      </c>
      <c r="F306">
        <f t="shared" si="33"/>
        <v>-0.51999999999999957</v>
      </c>
      <c r="G306">
        <f>_xlfn.XLOOKUP(A306,'DGS10'!A:A,'DGS10'!B:B,"",-1)</f>
        <v>2.16</v>
      </c>
      <c r="H306">
        <f t="shared" si="34"/>
        <v>0</v>
      </c>
      <c r="I306" s="2">
        <f>_xlfn.XLOOKUP(A306,T10Y3M!A:A,T10Y3M!B:B,"",-1)</f>
        <v>1.1299999999999999</v>
      </c>
      <c r="J306" s="2">
        <f>_xlfn.XLOOKUP(A306,BAMLC0A4CBBB!A:A,BAMLC0A4CBBB!B:B,"",-1)</f>
        <v>1.49</v>
      </c>
      <c r="K306" s="2">
        <f>_xlfn.XLOOKUP(A306,CPIAUCSL!A:A,CPIAUCSL!B:B,"",-1)</f>
        <v>244.16300000000001</v>
      </c>
      <c r="L306">
        <f>_xlfn.XLOOKUP(A306,DFF!A:A,DFF!B:B,"",-1)</f>
        <v>1.1599999999999999</v>
      </c>
      <c r="M306">
        <f>_xlfn.XLOOKUP(A306,'DGS2'!A:A,'DGS2'!B:B,"",-1)</f>
        <v>1.32</v>
      </c>
      <c r="N306">
        <f t="shared" si="35"/>
        <v>-3.0000000000000027E-2</v>
      </c>
      <c r="O306">
        <f t="shared" si="36"/>
        <v>8.3472042414154402E-3</v>
      </c>
      <c r="P306">
        <f t="shared" si="37"/>
        <v>1</v>
      </c>
      <c r="Q306">
        <f t="shared" si="38"/>
        <v>1</v>
      </c>
      <c r="R306" s="3">
        <v>48.32</v>
      </c>
    </row>
    <row r="307" spans="1:18">
      <c r="A307" s="1">
        <v>42905</v>
      </c>
      <c r="B307">
        <v>2453.46</v>
      </c>
      <c r="C307">
        <f t="shared" si="32"/>
        <v>8.3472042414154402E-3</v>
      </c>
      <c r="D307">
        <f t="shared" si="39"/>
        <v>6.3742862768261244E-3</v>
      </c>
      <c r="E307">
        <f>_xlfn.XLOOKUP(A307,VIX!A:A,VIX!B:B,"",-1)</f>
        <v>10.37</v>
      </c>
      <c r="F307">
        <f t="shared" si="33"/>
        <v>-1.0000000000001563E-2</v>
      </c>
      <c r="G307">
        <f>_xlfn.XLOOKUP(A307,'DGS10'!A:A,'DGS10'!B:B,"",-1)</f>
        <v>2.19</v>
      </c>
      <c r="H307">
        <f t="shared" si="34"/>
        <v>2.9999999999999805E-2</v>
      </c>
      <c r="I307" s="2">
        <f>_xlfn.XLOOKUP(A307,T10Y3M!A:A,T10Y3M!B:B,"",-1)</f>
        <v>1.17</v>
      </c>
      <c r="J307" s="2">
        <f>_xlfn.XLOOKUP(A307,BAMLC0A4CBBB!A:A,BAMLC0A4CBBB!B:B,"",-1)</f>
        <v>1.48</v>
      </c>
      <c r="K307" s="2">
        <f>_xlfn.XLOOKUP(A307,CPIAUCSL!A:A,CPIAUCSL!B:B,"",-1)</f>
        <v>244.16300000000001</v>
      </c>
      <c r="L307">
        <f>_xlfn.XLOOKUP(A307,DFF!A:A,DFF!B:B,"",-1)</f>
        <v>1.1599999999999999</v>
      </c>
      <c r="M307">
        <f>_xlfn.XLOOKUP(A307,'DGS2'!A:A,'DGS2'!B:B,"",-1)</f>
        <v>1.36</v>
      </c>
      <c r="N307">
        <f t="shared" si="35"/>
        <v>4.0000000000000036E-2</v>
      </c>
      <c r="O307">
        <f t="shared" si="36"/>
        <v>-6.6966651178335113E-3</v>
      </c>
      <c r="P307">
        <f t="shared" si="37"/>
        <v>0</v>
      </c>
      <c r="Q307">
        <f t="shared" si="38"/>
        <v>-1</v>
      </c>
      <c r="R307" s="3">
        <v>48.36</v>
      </c>
    </row>
    <row r="308" spans="1:18">
      <c r="A308" s="1">
        <v>42906</v>
      </c>
      <c r="B308">
        <v>2437.0300000000002</v>
      </c>
      <c r="C308">
        <f t="shared" si="32"/>
        <v>-6.6966651178335113E-3</v>
      </c>
      <c r="D308">
        <f t="shared" si="39"/>
        <v>1.8787564852043026E-3</v>
      </c>
      <c r="E308">
        <f>_xlfn.XLOOKUP(A308,VIX!A:A,VIX!B:B,"",-1)</f>
        <v>10.86</v>
      </c>
      <c r="F308">
        <f t="shared" si="33"/>
        <v>0.49000000000000021</v>
      </c>
      <c r="G308">
        <f>_xlfn.XLOOKUP(A308,'DGS10'!A:A,'DGS10'!B:B,"",-1)</f>
        <v>2.16</v>
      </c>
      <c r="H308">
        <f t="shared" si="34"/>
        <v>-2.9999999999999805E-2</v>
      </c>
      <c r="I308" s="2">
        <f>_xlfn.XLOOKUP(A308,T10Y3M!A:A,T10Y3M!B:B,"",-1)</f>
        <v>1.1499999999999999</v>
      </c>
      <c r="J308" s="2">
        <f>_xlfn.XLOOKUP(A308,BAMLC0A4CBBB!A:A,BAMLC0A4CBBB!B:B,"",-1)</f>
        <v>1.48</v>
      </c>
      <c r="K308" s="2">
        <f>_xlfn.XLOOKUP(A308,CPIAUCSL!A:A,CPIAUCSL!B:B,"",-1)</f>
        <v>244.16300000000001</v>
      </c>
      <c r="L308">
        <f>_xlfn.XLOOKUP(A308,DFF!A:A,DFF!B:B,"",-1)</f>
        <v>1.1599999999999999</v>
      </c>
      <c r="M308">
        <f>_xlfn.XLOOKUP(A308,'DGS2'!A:A,'DGS2'!B:B,"",-1)</f>
        <v>1.36</v>
      </c>
      <c r="N308">
        <f t="shared" si="35"/>
        <v>0</v>
      </c>
      <c r="O308">
        <f t="shared" si="36"/>
        <v>-5.826764545369123E-4</v>
      </c>
      <c r="P308">
        <f t="shared" si="37"/>
        <v>0</v>
      </c>
      <c r="Q308">
        <f t="shared" si="38"/>
        <v>0</v>
      </c>
      <c r="R308" s="3">
        <v>47.66</v>
      </c>
    </row>
    <row r="309" spans="1:18">
      <c r="A309" s="1">
        <v>42907</v>
      </c>
      <c r="B309">
        <v>2435.61</v>
      </c>
      <c r="C309">
        <f t="shared" si="32"/>
        <v>-5.826764545369123E-4</v>
      </c>
      <c r="D309">
        <f t="shared" si="39"/>
        <v>1.0110350779852784E-3</v>
      </c>
      <c r="E309">
        <f>_xlfn.XLOOKUP(A309,VIX!A:A,VIX!B:B,"",-1)</f>
        <v>10.75</v>
      </c>
      <c r="F309">
        <f t="shared" si="33"/>
        <v>-0.10999999999999943</v>
      </c>
      <c r="G309">
        <f>_xlfn.XLOOKUP(A309,'DGS10'!A:A,'DGS10'!B:B,"",-1)</f>
        <v>2.16</v>
      </c>
      <c r="H309">
        <f t="shared" si="34"/>
        <v>0</v>
      </c>
      <c r="I309" s="2">
        <f>_xlfn.XLOOKUP(A309,T10Y3M!A:A,T10Y3M!B:B,"",-1)</f>
        <v>1.17</v>
      </c>
      <c r="J309" s="2">
        <f>_xlfn.XLOOKUP(A309,BAMLC0A4CBBB!A:A,BAMLC0A4CBBB!B:B,"",-1)</f>
        <v>1.49</v>
      </c>
      <c r="K309" s="2">
        <f>_xlfn.XLOOKUP(A309,CPIAUCSL!A:A,CPIAUCSL!B:B,"",-1)</f>
        <v>244.16300000000001</v>
      </c>
      <c r="L309">
        <f>_xlfn.XLOOKUP(A309,DFF!A:A,DFF!B:B,"",-1)</f>
        <v>1.1599999999999999</v>
      </c>
      <c r="M309">
        <f>_xlfn.XLOOKUP(A309,'DGS2'!A:A,'DGS2'!B:B,"",-1)</f>
        <v>1.36</v>
      </c>
      <c r="N309">
        <f t="shared" si="35"/>
        <v>0</v>
      </c>
      <c r="O309">
        <f t="shared" si="36"/>
        <v>-4.5573798760889517E-4</v>
      </c>
      <c r="P309">
        <f t="shared" si="37"/>
        <v>0</v>
      </c>
      <c r="Q309">
        <f t="shared" si="38"/>
        <v>0</v>
      </c>
      <c r="R309" s="3">
        <v>47.4</v>
      </c>
    </row>
    <row r="310" spans="1:18">
      <c r="A310" s="1">
        <v>42908</v>
      </c>
      <c r="B310">
        <v>2434.5</v>
      </c>
      <c r="C310">
        <f t="shared" si="32"/>
        <v>-4.5573798760889517E-4</v>
      </c>
      <c r="D310">
        <f t="shared" si="39"/>
        <v>-7.7278618766966067E-3</v>
      </c>
      <c r="E310">
        <f>_xlfn.XLOOKUP(A310,VIX!A:A,VIX!B:B,"",-1)</f>
        <v>10.48</v>
      </c>
      <c r="F310">
        <f t="shared" si="33"/>
        <v>-0.26999999999999957</v>
      </c>
      <c r="G310">
        <f>_xlfn.XLOOKUP(A310,'DGS10'!A:A,'DGS10'!B:B,"",-1)</f>
        <v>2.15</v>
      </c>
      <c r="H310">
        <f t="shared" si="34"/>
        <v>-1.0000000000000231E-2</v>
      </c>
      <c r="I310" s="2">
        <f>_xlfn.XLOOKUP(A310,T10Y3M!A:A,T10Y3M!B:B,"",-1)</f>
        <v>1.19</v>
      </c>
      <c r="J310" s="2">
        <f>_xlfn.XLOOKUP(A310,BAMLC0A4CBBB!A:A,BAMLC0A4CBBB!B:B,"",-1)</f>
        <v>1.49</v>
      </c>
      <c r="K310" s="2">
        <f>_xlfn.XLOOKUP(A310,CPIAUCSL!A:A,CPIAUCSL!B:B,"",-1)</f>
        <v>244.16300000000001</v>
      </c>
      <c r="L310">
        <f>_xlfn.XLOOKUP(A310,DFF!A:A,DFF!B:B,"",-1)</f>
        <v>1.1599999999999999</v>
      </c>
      <c r="M310">
        <f>_xlfn.XLOOKUP(A310,'DGS2'!A:A,'DGS2'!B:B,"",-1)</f>
        <v>1.34</v>
      </c>
      <c r="N310">
        <f t="shared" si="35"/>
        <v>-2.0000000000000018E-2</v>
      </c>
      <c r="O310">
        <f t="shared" si="36"/>
        <v>1.5608954610804027E-3</v>
      </c>
      <c r="P310">
        <f t="shared" si="37"/>
        <v>1</v>
      </c>
      <c r="Q310">
        <f t="shared" si="38"/>
        <v>0</v>
      </c>
      <c r="R310" s="3">
        <v>48.19</v>
      </c>
    </row>
    <row r="311" spans="1:18">
      <c r="A311" s="1">
        <v>42909</v>
      </c>
      <c r="B311">
        <v>2438.3000000000002</v>
      </c>
      <c r="C311">
        <f t="shared" si="32"/>
        <v>1.5608954610804027E-3</v>
      </c>
      <c r="D311">
        <f t="shared" si="39"/>
        <v>5.2112612483234955E-4</v>
      </c>
      <c r="E311">
        <f>_xlfn.XLOOKUP(A311,VIX!A:A,VIX!B:B,"",-1)</f>
        <v>10.02</v>
      </c>
      <c r="F311">
        <f t="shared" si="33"/>
        <v>-0.46000000000000085</v>
      </c>
      <c r="G311">
        <f>_xlfn.XLOOKUP(A311,'DGS10'!A:A,'DGS10'!B:B,"",-1)</f>
        <v>2.15</v>
      </c>
      <c r="H311">
        <f t="shared" si="34"/>
        <v>0</v>
      </c>
      <c r="I311" s="2">
        <f>_xlfn.XLOOKUP(A311,T10Y3M!A:A,T10Y3M!B:B,"",-1)</f>
        <v>1.18</v>
      </c>
      <c r="J311" s="2">
        <f>_xlfn.XLOOKUP(A311,BAMLC0A4CBBB!A:A,BAMLC0A4CBBB!B:B,"",-1)</f>
        <v>1.49</v>
      </c>
      <c r="K311" s="2">
        <f>_xlfn.XLOOKUP(A311,CPIAUCSL!A:A,CPIAUCSL!B:B,"",-1)</f>
        <v>244.16300000000001</v>
      </c>
      <c r="L311">
        <f>_xlfn.XLOOKUP(A311,DFF!A:A,DFF!B:B,"",-1)</f>
        <v>1.1599999999999999</v>
      </c>
      <c r="M311">
        <f>_xlfn.XLOOKUP(A311,'DGS2'!A:A,'DGS2'!B:B,"",-1)</f>
        <v>1.34</v>
      </c>
      <c r="N311">
        <f t="shared" si="35"/>
        <v>0</v>
      </c>
      <c r="O311">
        <f t="shared" si="36"/>
        <v>3.1579379075585834E-4</v>
      </c>
      <c r="P311">
        <f t="shared" si="37"/>
        <v>1</v>
      </c>
      <c r="Q311">
        <f t="shared" si="38"/>
        <v>0</v>
      </c>
      <c r="R311" s="3">
        <v>45.72</v>
      </c>
    </row>
    <row r="312" spans="1:18">
      <c r="A312" s="1">
        <v>42912</v>
      </c>
      <c r="B312">
        <v>2439.0700000000002</v>
      </c>
      <c r="C312">
        <f t="shared" si="32"/>
        <v>3.1579379075585834E-4</v>
      </c>
      <c r="D312">
        <f t="shared" si="39"/>
        <v>1.4205886820961577E-3</v>
      </c>
      <c r="E312">
        <f>_xlfn.XLOOKUP(A312,VIX!A:A,VIX!B:B,"",-1)</f>
        <v>9.9</v>
      </c>
      <c r="F312">
        <f t="shared" si="33"/>
        <v>-0.11999999999999922</v>
      </c>
      <c r="G312">
        <f>_xlfn.XLOOKUP(A312,'DGS10'!A:A,'DGS10'!B:B,"",-1)</f>
        <v>2.14</v>
      </c>
      <c r="H312">
        <f t="shared" si="34"/>
        <v>-9.9999999999997868E-3</v>
      </c>
      <c r="I312" s="2">
        <f>_xlfn.XLOOKUP(A312,T10Y3M!A:A,T10Y3M!B:B,"",-1)</f>
        <v>1.1499999999999999</v>
      </c>
      <c r="J312" s="2">
        <f>_xlfn.XLOOKUP(A312,BAMLC0A4CBBB!A:A,BAMLC0A4CBBB!B:B,"",-1)</f>
        <v>1.49</v>
      </c>
      <c r="K312" s="2">
        <f>_xlfn.XLOOKUP(A312,CPIAUCSL!A:A,CPIAUCSL!B:B,"",-1)</f>
        <v>244.16300000000001</v>
      </c>
      <c r="L312">
        <f>_xlfn.XLOOKUP(A312,DFF!A:A,DFF!B:B,"",-1)</f>
        <v>1.1599999999999999</v>
      </c>
      <c r="M312">
        <f>_xlfn.XLOOKUP(A312,'DGS2'!A:A,'DGS2'!B:B,"",-1)</f>
        <v>1.36</v>
      </c>
      <c r="N312">
        <f t="shared" si="35"/>
        <v>2.0000000000000018E-2</v>
      </c>
      <c r="O312">
        <f t="shared" si="36"/>
        <v>-8.0727490395929857E-3</v>
      </c>
      <c r="P312">
        <f t="shared" si="37"/>
        <v>0</v>
      </c>
      <c r="Q312">
        <f t="shared" si="38"/>
        <v>-1</v>
      </c>
      <c r="R312" s="3">
        <v>45.64</v>
      </c>
    </row>
    <row r="313" spans="1:18">
      <c r="A313" s="1">
        <v>42913</v>
      </c>
      <c r="B313">
        <v>2419.38</v>
      </c>
      <c r="C313">
        <f t="shared" si="32"/>
        <v>-8.0727490395929857E-3</v>
      </c>
      <c r="D313">
        <f t="shared" si="39"/>
        <v>-6.2107208872458353E-3</v>
      </c>
      <c r="E313">
        <f>_xlfn.XLOOKUP(A313,VIX!A:A,VIX!B:B,"",-1)</f>
        <v>11.06</v>
      </c>
      <c r="F313">
        <f t="shared" si="33"/>
        <v>1.1600000000000001</v>
      </c>
      <c r="G313">
        <f>_xlfn.XLOOKUP(A313,'DGS10'!A:A,'DGS10'!B:B,"",-1)</f>
        <v>2.21</v>
      </c>
      <c r="H313">
        <f t="shared" si="34"/>
        <v>6.999999999999984E-2</v>
      </c>
      <c r="I313" s="2">
        <f>_xlfn.XLOOKUP(A313,T10Y3M!A:A,T10Y3M!B:B,"",-1)</f>
        <v>1.21</v>
      </c>
      <c r="J313" s="2">
        <f>_xlfn.XLOOKUP(A313,BAMLC0A4CBBB!A:A,BAMLC0A4CBBB!B:B,"",-1)</f>
        <v>1.48</v>
      </c>
      <c r="K313" s="2">
        <f>_xlfn.XLOOKUP(A313,CPIAUCSL!A:A,CPIAUCSL!B:B,"",-1)</f>
        <v>244.16300000000001</v>
      </c>
      <c r="L313">
        <f>_xlfn.XLOOKUP(A313,DFF!A:A,DFF!B:B,"",-1)</f>
        <v>1.1599999999999999</v>
      </c>
      <c r="M313">
        <f>_xlfn.XLOOKUP(A313,'DGS2'!A:A,'DGS2'!B:B,"",-1)</f>
        <v>1.38</v>
      </c>
      <c r="N313">
        <f t="shared" si="35"/>
        <v>1.9999999999999796E-2</v>
      </c>
      <c r="O313">
        <f t="shared" si="36"/>
        <v>8.8080417296994007E-3</v>
      </c>
      <c r="P313">
        <f t="shared" si="37"/>
        <v>1</v>
      </c>
      <c r="Q313">
        <f t="shared" si="38"/>
        <v>1</v>
      </c>
      <c r="R313" s="3">
        <v>45.83</v>
      </c>
    </row>
    <row r="314" spans="1:18">
      <c r="A314" s="1">
        <v>42914</v>
      </c>
      <c r="B314">
        <v>2440.69</v>
      </c>
      <c r="C314">
        <f t="shared" si="32"/>
        <v>8.8080417296994007E-3</v>
      </c>
      <c r="D314">
        <f t="shared" si="39"/>
        <v>9.8019111676173054E-4</v>
      </c>
      <c r="E314">
        <f>_xlfn.XLOOKUP(A314,VIX!A:A,VIX!B:B,"",-1)</f>
        <v>10.029999999999999</v>
      </c>
      <c r="F314">
        <f t="shared" si="33"/>
        <v>-1.0300000000000011</v>
      </c>
      <c r="G314">
        <f>_xlfn.XLOOKUP(A314,'DGS10'!A:A,'DGS10'!B:B,"",-1)</f>
        <v>2.2200000000000002</v>
      </c>
      <c r="H314">
        <f t="shared" si="34"/>
        <v>1.0000000000000231E-2</v>
      </c>
      <c r="I314" s="2">
        <f>_xlfn.XLOOKUP(A314,T10Y3M!A:A,T10Y3M!B:B,"",-1)</f>
        <v>1.2</v>
      </c>
      <c r="J314" s="2">
        <f>_xlfn.XLOOKUP(A314,BAMLC0A4CBBB!A:A,BAMLC0A4CBBB!B:B,"",-1)</f>
        <v>1.47</v>
      </c>
      <c r="K314" s="2">
        <f>_xlfn.XLOOKUP(A314,CPIAUCSL!A:A,CPIAUCSL!B:B,"",-1)</f>
        <v>244.16300000000001</v>
      </c>
      <c r="L314">
        <f>_xlfn.XLOOKUP(A314,DFF!A:A,DFF!B:B,"",-1)</f>
        <v>1.1599999999999999</v>
      </c>
      <c r="M314">
        <f>_xlfn.XLOOKUP(A314,'DGS2'!A:A,'DGS2'!B:B,"",-1)</f>
        <v>1.34</v>
      </c>
      <c r="N314">
        <f t="shared" si="35"/>
        <v>-3.9999999999999813E-2</v>
      </c>
      <c r="O314">
        <f t="shared" si="36"/>
        <v>-8.6000270415333979E-3</v>
      </c>
      <c r="P314">
        <f t="shared" si="37"/>
        <v>0</v>
      </c>
      <c r="Q314">
        <f t="shared" si="38"/>
        <v>-1</v>
      </c>
      <c r="R314" s="3">
        <v>46.08</v>
      </c>
    </row>
    <row r="315" spans="1:18">
      <c r="A315" s="1">
        <v>42915</v>
      </c>
      <c r="B315">
        <v>2419.6999999999998</v>
      </c>
      <c r="C315">
        <f t="shared" si="32"/>
        <v>-8.6000270415333979E-3</v>
      </c>
      <c r="D315">
        <f t="shared" si="39"/>
        <v>-7.9415514929872533E-3</v>
      </c>
      <c r="E315">
        <f>_xlfn.XLOOKUP(A315,VIX!A:A,VIX!B:B,"",-1)</f>
        <v>11.44</v>
      </c>
      <c r="F315">
        <f t="shared" si="33"/>
        <v>1.4100000000000001</v>
      </c>
      <c r="G315">
        <f>_xlfn.XLOOKUP(A315,'DGS10'!A:A,'DGS10'!B:B,"",-1)</f>
        <v>2.27</v>
      </c>
      <c r="H315">
        <f t="shared" si="34"/>
        <v>4.9999999999999822E-2</v>
      </c>
      <c r="I315" s="2">
        <f>_xlfn.XLOOKUP(A315,T10Y3M!A:A,T10Y3M!B:B,"",-1)</f>
        <v>1.23</v>
      </c>
      <c r="J315" s="2">
        <f>_xlfn.XLOOKUP(A315,BAMLC0A4CBBB!A:A,BAMLC0A4CBBB!B:B,"",-1)</f>
        <v>1.46</v>
      </c>
      <c r="K315" s="2">
        <f>_xlfn.XLOOKUP(A315,CPIAUCSL!A:A,CPIAUCSL!B:B,"",-1)</f>
        <v>244.16300000000001</v>
      </c>
      <c r="L315">
        <f>_xlfn.XLOOKUP(A315,DFF!A:A,DFF!B:B,"",-1)</f>
        <v>1.1599999999999999</v>
      </c>
      <c r="M315">
        <f>_xlfn.XLOOKUP(A315,'DGS2'!A:A,'DGS2'!B:B,"",-1)</f>
        <v>1.38</v>
      </c>
      <c r="N315">
        <f t="shared" si="35"/>
        <v>3.9999999999999813E-2</v>
      </c>
      <c r="O315">
        <f t="shared" si="36"/>
        <v>1.5332479232963436E-3</v>
      </c>
      <c r="P315">
        <f t="shared" si="37"/>
        <v>1</v>
      </c>
      <c r="Q315">
        <f t="shared" si="38"/>
        <v>0</v>
      </c>
      <c r="R315" s="3">
        <v>46.46</v>
      </c>
    </row>
    <row r="316" spans="1:18">
      <c r="A316" s="1">
        <v>42916</v>
      </c>
      <c r="B316">
        <v>2423.41</v>
      </c>
      <c r="C316">
        <f t="shared" si="32"/>
        <v>1.5332479232963436E-3</v>
      </c>
      <c r="D316">
        <f t="shared" si="39"/>
        <v>1.6657160098867418E-3</v>
      </c>
      <c r="E316">
        <f>_xlfn.XLOOKUP(A316,VIX!A:A,VIX!B:B,"",-1)</f>
        <v>11.18</v>
      </c>
      <c r="F316">
        <f t="shared" si="33"/>
        <v>-0.25999999999999979</v>
      </c>
      <c r="G316">
        <f>_xlfn.XLOOKUP(A316,'DGS10'!A:A,'DGS10'!B:B,"",-1)</f>
        <v>2.31</v>
      </c>
      <c r="H316">
        <f t="shared" si="34"/>
        <v>4.0000000000000036E-2</v>
      </c>
      <c r="I316" s="2">
        <f>_xlfn.XLOOKUP(A316,T10Y3M!A:A,T10Y3M!B:B,"",-1)</f>
        <v>1.28</v>
      </c>
      <c r="J316" s="2">
        <f>_xlfn.XLOOKUP(A316,BAMLC0A4CBBB!A:A,BAMLC0A4CBBB!B:B,"",-1)</f>
        <v>1.46</v>
      </c>
      <c r="K316" s="2">
        <f>_xlfn.XLOOKUP(A316,CPIAUCSL!A:A,CPIAUCSL!B:B,"",-1)</f>
        <v>244.16300000000001</v>
      </c>
      <c r="L316">
        <f>_xlfn.XLOOKUP(A316,DFF!A:A,DFF!B:B,"",-1)</f>
        <v>1.06</v>
      </c>
      <c r="M316">
        <f>_xlfn.XLOOKUP(A316,'DGS2'!A:A,'DGS2'!B:B,"",-1)</f>
        <v>1.38</v>
      </c>
      <c r="N316">
        <f t="shared" si="35"/>
        <v>0</v>
      </c>
      <c r="O316">
        <f t="shared" si="36"/>
        <v>2.3107934687074394E-3</v>
      </c>
      <c r="P316">
        <f t="shared" si="37"/>
        <v>1</v>
      </c>
      <c r="Q316">
        <f t="shared" si="38"/>
        <v>0</v>
      </c>
      <c r="R316" s="3">
        <v>44.73</v>
      </c>
    </row>
    <row r="317" spans="1:18">
      <c r="A317" s="1">
        <v>42919</v>
      </c>
      <c r="B317">
        <v>2429.0100000000002</v>
      </c>
      <c r="C317">
        <f t="shared" si="32"/>
        <v>2.3107934687074394E-3</v>
      </c>
      <c r="D317">
        <f t="shared" si="39"/>
        <v>-4.785531960224243E-3</v>
      </c>
      <c r="E317">
        <f>_xlfn.XLOOKUP(A317,VIX!A:A,VIX!B:B,"",-1)</f>
        <v>11.22</v>
      </c>
      <c r="F317">
        <f t="shared" si="33"/>
        <v>4.0000000000000924E-2</v>
      </c>
      <c r="G317">
        <f>_xlfn.XLOOKUP(A317,'DGS10'!A:A,'DGS10'!B:B,"",-1)</f>
        <v>2.35</v>
      </c>
      <c r="H317">
        <f t="shared" si="34"/>
        <v>4.0000000000000036E-2</v>
      </c>
      <c r="I317" s="2">
        <f>_xlfn.XLOOKUP(A317,T10Y3M!A:A,T10Y3M!B:B,"",-1)</f>
        <v>1.29</v>
      </c>
      <c r="J317" s="2">
        <f>_xlfn.XLOOKUP(A317,BAMLC0A4CBBB!A:A,BAMLC0A4CBBB!B:B,"",-1)</f>
        <v>1.45</v>
      </c>
      <c r="K317" s="2">
        <f>_xlfn.XLOOKUP(A317,CPIAUCSL!A:A,CPIAUCSL!B:B,"",-1)</f>
        <v>244.24299999999999</v>
      </c>
      <c r="L317">
        <f>_xlfn.XLOOKUP(A317,DFF!A:A,DFF!B:B,"",-1)</f>
        <v>1.1599999999999999</v>
      </c>
      <c r="M317">
        <f>_xlfn.XLOOKUP(A317,'DGS2'!A:A,'DGS2'!B:B,"",-1)</f>
        <v>1.41</v>
      </c>
      <c r="N317">
        <f t="shared" si="35"/>
        <v>3.0000000000000027E-2</v>
      </c>
      <c r="O317">
        <f t="shared" si="36"/>
        <v>1.4532669688471778E-3</v>
      </c>
      <c r="P317">
        <f t="shared" si="37"/>
        <v>1</v>
      </c>
      <c r="Q317">
        <f t="shared" si="38"/>
        <v>0</v>
      </c>
      <c r="R317" s="3">
        <v>44.46</v>
      </c>
    </row>
    <row r="318" spans="1:18">
      <c r="A318" s="1">
        <v>42921</v>
      </c>
      <c r="B318">
        <v>2432.54</v>
      </c>
      <c r="C318">
        <f t="shared" si="32"/>
        <v>1.4532669688471778E-3</v>
      </c>
      <c r="D318">
        <f t="shared" si="39"/>
        <v>5.3064429474729558E-3</v>
      </c>
      <c r="E318">
        <f>_xlfn.XLOOKUP(A318,VIX!A:A,VIX!B:B,"",-1)</f>
        <v>11.07</v>
      </c>
      <c r="F318">
        <f t="shared" si="33"/>
        <v>-0.15000000000000036</v>
      </c>
      <c r="G318">
        <f>_xlfn.XLOOKUP(A318,'DGS10'!A:A,'DGS10'!B:B,"",-1)</f>
        <v>2.33</v>
      </c>
      <c r="H318">
        <f t="shared" si="34"/>
        <v>-2.0000000000000018E-2</v>
      </c>
      <c r="I318" s="2">
        <f>_xlfn.XLOOKUP(A318,T10Y3M!A:A,T10Y3M!B:B,"",-1)</f>
        <v>1.28</v>
      </c>
      <c r="J318" s="2">
        <f>_xlfn.XLOOKUP(A318,BAMLC0A4CBBB!A:A,BAMLC0A4CBBB!B:B,"",-1)</f>
        <v>1.45</v>
      </c>
      <c r="K318" s="2">
        <f>_xlfn.XLOOKUP(A318,CPIAUCSL!A:A,CPIAUCSL!B:B,"",-1)</f>
        <v>244.24299999999999</v>
      </c>
      <c r="L318">
        <f>_xlfn.XLOOKUP(A318,DFF!A:A,DFF!B:B,"",-1)</f>
        <v>1.1599999999999999</v>
      </c>
      <c r="M318">
        <f>_xlfn.XLOOKUP(A318,'DGS2'!A:A,'DGS2'!B:B,"",-1)</f>
        <v>1.41</v>
      </c>
      <c r="N318">
        <f t="shared" si="35"/>
        <v>0</v>
      </c>
      <c r="O318">
        <f t="shared" si="36"/>
        <v>-9.36880791271677E-3</v>
      </c>
      <c r="P318">
        <f t="shared" si="37"/>
        <v>0</v>
      </c>
      <c r="Q318">
        <f t="shared" si="38"/>
        <v>-1</v>
      </c>
      <c r="R318" s="3">
        <v>44.74</v>
      </c>
    </row>
    <row r="319" spans="1:18">
      <c r="A319" s="1">
        <v>42922</v>
      </c>
      <c r="B319">
        <v>2409.75</v>
      </c>
      <c r="C319">
        <f t="shared" si="32"/>
        <v>-9.36880791271677E-3</v>
      </c>
      <c r="D319">
        <f t="shared" si="39"/>
        <v>-5.6366854968824542E-3</v>
      </c>
      <c r="E319">
        <f>_xlfn.XLOOKUP(A319,VIX!A:A,VIX!B:B,"",-1)</f>
        <v>12.54</v>
      </c>
      <c r="F319">
        <f t="shared" si="33"/>
        <v>1.4699999999999989</v>
      </c>
      <c r="G319">
        <f>_xlfn.XLOOKUP(A319,'DGS10'!A:A,'DGS10'!B:B,"",-1)</f>
        <v>2.37</v>
      </c>
      <c r="H319">
        <f t="shared" si="34"/>
        <v>4.0000000000000036E-2</v>
      </c>
      <c r="I319" s="2">
        <f>_xlfn.XLOOKUP(A319,T10Y3M!A:A,T10Y3M!B:B,"",-1)</f>
        <v>1.33</v>
      </c>
      <c r="J319" s="2">
        <f>_xlfn.XLOOKUP(A319,BAMLC0A4CBBB!A:A,BAMLC0A4CBBB!B:B,"",-1)</f>
        <v>1.44</v>
      </c>
      <c r="K319" s="2">
        <f>_xlfn.XLOOKUP(A319,CPIAUCSL!A:A,CPIAUCSL!B:B,"",-1)</f>
        <v>244.24299999999999</v>
      </c>
      <c r="L319">
        <f>_xlfn.XLOOKUP(A319,DFF!A:A,DFF!B:B,"",-1)</f>
        <v>1.1599999999999999</v>
      </c>
      <c r="M319">
        <f>_xlfn.XLOOKUP(A319,'DGS2'!A:A,'DGS2'!B:B,"",-1)</f>
        <v>1.4</v>
      </c>
      <c r="N319">
        <f t="shared" si="35"/>
        <v>-1.0000000000000009E-2</v>
      </c>
      <c r="O319">
        <f t="shared" si="36"/>
        <v>6.4031538541342581E-3</v>
      </c>
      <c r="P319">
        <f t="shared" si="37"/>
        <v>1</v>
      </c>
      <c r="Q319">
        <f t="shared" si="38"/>
        <v>1</v>
      </c>
      <c r="R319" s="3">
        <v>44.2</v>
      </c>
    </row>
    <row r="320" spans="1:18">
      <c r="A320" s="1">
        <v>42923</v>
      </c>
      <c r="B320">
        <v>2425.1799999999998</v>
      </c>
      <c r="C320">
        <f t="shared" si="32"/>
        <v>6.4031538541342581E-3</v>
      </c>
      <c r="D320">
        <f t="shared" si="39"/>
        <v>-1.576774076681553E-3</v>
      </c>
      <c r="E320">
        <f>_xlfn.XLOOKUP(A320,VIX!A:A,VIX!B:B,"",-1)</f>
        <v>11.19</v>
      </c>
      <c r="F320">
        <f t="shared" si="33"/>
        <v>-1.3499999999999996</v>
      </c>
      <c r="G320">
        <f>_xlfn.XLOOKUP(A320,'DGS10'!A:A,'DGS10'!B:B,"",-1)</f>
        <v>2.39</v>
      </c>
      <c r="H320">
        <f t="shared" si="34"/>
        <v>2.0000000000000018E-2</v>
      </c>
      <c r="I320" s="2">
        <f>_xlfn.XLOOKUP(A320,T10Y3M!A:A,T10Y3M!B:B,"",-1)</f>
        <v>1.34</v>
      </c>
      <c r="J320" s="2">
        <f>_xlfn.XLOOKUP(A320,BAMLC0A4CBBB!A:A,BAMLC0A4CBBB!B:B,"",-1)</f>
        <v>1.43</v>
      </c>
      <c r="K320" s="2">
        <f>_xlfn.XLOOKUP(A320,CPIAUCSL!A:A,CPIAUCSL!B:B,"",-1)</f>
        <v>244.24299999999999</v>
      </c>
      <c r="L320">
        <f>_xlfn.XLOOKUP(A320,DFF!A:A,DFF!B:B,"",-1)</f>
        <v>1.1599999999999999</v>
      </c>
      <c r="M320">
        <f>_xlfn.XLOOKUP(A320,'DGS2'!A:A,'DGS2'!B:B,"",-1)</f>
        <v>1.4</v>
      </c>
      <c r="N320">
        <f t="shared" si="35"/>
        <v>0</v>
      </c>
      <c r="O320">
        <f t="shared" si="36"/>
        <v>9.2776618642731457E-4</v>
      </c>
      <c r="P320">
        <f t="shared" si="37"/>
        <v>1</v>
      </c>
      <c r="Q320">
        <f t="shared" si="38"/>
        <v>0</v>
      </c>
      <c r="R320" s="3">
        <v>43.23</v>
      </c>
    </row>
    <row r="321" spans="1:18">
      <c r="A321" s="1">
        <v>42926</v>
      </c>
      <c r="B321">
        <v>2427.4299999999998</v>
      </c>
      <c r="C321">
        <f t="shared" si="32"/>
        <v>9.2776618642731457E-4</v>
      </c>
      <c r="D321">
        <f t="shared" si="39"/>
        <v>-2.1006848808242662E-3</v>
      </c>
      <c r="E321">
        <f>_xlfn.XLOOKUP(A321,VIX!A:A,VIX!B:B,"",-1)</f>
        <v>11.11</v>
      </c>
      <c r="F321">
        <f t="shared" si="33"/>
        <v>-8.0000000000000071E-2</v>
      </c>
      <c r="G321">
        <f>_xlfn.XLOOKUP(A321,'DGS10'!A:A,'DGS10'!B:B,"",-1)</f>
        <v>2.38</v>
      </c>
      <c r="H321">
        <f t="shared" si="34"/>
        <v>-1.0000000000000231E-2</v>
      </c>
      <c r="I321" s="2">
        <f>_xlfn.XLOOKUP(A321,T10Y3M!A:A,T10Y3M!B:B,"",-1)</f>
        <v>1.34</v>
      </c>
      <c r="J321" s="2">
        <f>_xlfn.XLOOKUP(A321,BAMLC0A4CBBB!A:A,BAMLC0A4CBBB!B:B,"",-1)</f>
        <v>1.43</v>
      </c>
      <c r="K321" s="2">
        <f>_xlfn.XLOOKUP(A321,CPIAUCSL!A:A,CPIAUCSL!B:B,"",-1)</f>
        <v>244.24299999999999</v>
      </c>
      <c r="L321">
        <f>_xlfn.XLOOKUP(A321,DFF!A:A,DFF!B:B,"",-1)</f>
        <v>1.1599999999999999</v>
      </c>
      <c r="M321">
        <f>_xlfn.XLOOKUP(A321,'DGS2'!A:A,'DGS2'!B:B,"",-1)</f>
        <v>1.4</v>
      </c>
      <c r="N321">
        <f t="shared" si="35"/>
        <v>0</v>
      </c>
      <c r="O321">
        <f t="shared" si="36"/>
        <v>-7.8272081996166865E-4</v>
      </c>
      <c r="P321">
        <f t="shared" si="37"/>
        <v>0</v>
      </c>
      <c r="Q321">
        <f t="shared" si="38"/>
        <v>0</v>
      </c>
      <c r="R321" s="3">
        <v>42.53</v>
      </c>
    </row>
    <row r="322" spans="1:18">
      <c r="A322" s="1">
        <v>42927</v>
      </c>
      <c r="B322">
        <v>2425.5300000000002</v>
      </c>
      <c r="C322">
        <f t="shared" si="32"/>
        <v>-7.8272081996166865E-4</v>
      </c>
      <c r="D322">
        <f t="shared" si="39"/>
        <v>6.5483971366324667E-3</v>
      </c>
      <c r="E322">
        <f>_xlfn.XLOOKUP(A322,VIX!A:A,VIX!B:B,"",-1)</f>
        <v>10.89</v>
      </c>
      <c r="F322">
        <f t="shared" si="33"/>
        <v>-0.21999999999999886</v>
      </c>
      <c r="G322">
        <f>_xlfn.XLOOKUP(A322,'DGS10'!A:A,'DGS10'!B:B,"",-1)</f>
        <v>2.37</v>
      </c>
      <c r="H322">
        <f t="shared" si="34"/>
        <v>-9.9999999999997868E-3</v>
      </c>
      <c r="I322" s="2">
        <f>_xlfn.XLOOKUP(A322,T10Y3M!A:A,T10Y3M!B:B,"",-1)</f>
        <v>1.32</v>
      </c>
      <c r="J322" s="2">
        <f>_xlfn.XLOOKUP(A322,BAMLC0A4CBBB!A:A,BAMLC0A4CBBB!B:B,"",-1)</f>
        <v>1.43</v>
      </c>
      <c r="K322" s="2">
        <f>_xlfn.XLOOKUP(A322,CPIAUCSL!A:A,CPIAUCSL!B:B,"",-1)</f>
        <v>244.24299999999999</v>
      </c>
      <c r="L322">
        <f>_xlfn.XLOOKUP(A322,DFF!A:A,DFF!B:B,"",-1)</f>
        <v>1.1599999999999999</v>
      </c>
      <c r="M322">
        <f>_xlfn.XLOOKUP(A322,'DGS2'!A:A,'DGS2'!B:B,"",-1)</f>
        <v>1.37</v>
      </c>
      <c r="N322">
        <f t="shared" si="35"/>
        <v>-2.9999999999999805E-2</v>
      </c>
      <c r="O322">
        <f t="shared" si="36"/>
        <v>7.3056198026821839E-3</v>
      </c>
      <c r="P322">
        <f t="shared" si="37"/>
        <v>1</v>
      </c>
      <c r="Q322">
        <f t="shared" si="38"/>
        <v>1</v>
      </c>
      <c r="R322" s="3">
        <v>42.74</v>
      </c>
    </row>
    <row r="323" spans="1:18">
      <c r="A323" s="1">
        <v>42928</v>
      </c>
      <c r="B323">
        <v>2443.25</v>
      </c>
      <c r="C323">
        <f t="shared" si="32"/>
        <v>7.3056198026821839E-3</v>
      </c>
      <c r="D323">
        <f t="shared" si="39"/>
        <v>7.4509933283304353E-3</v>
      </c>
      <c r="E323">
        <f>_xlfn.XLOOKUP(A323,VIX!A:A,VIX!B:B,"",-1)</f>
        <v>10.3</v>
      </c>
      <c r="F323">
        <f t="shared" si="33"/>
        <v>-0.58999999999999986</v>
      </c>
      <c r="G323">
        <f>_xlfn.XLOOKUP(A323,'DGS10'!A:A,'DGS10'!B:B,"",-1)</f>
        <v>2.33</v>
      </c>
      <c r="H323">
        <f t="shared" si="34"/>
        <v>-4.0000000000000036E-2</v>
      </c>
      <c r="I323" s="2">
        <f>_xlfn.XLOOKUP(A323,T10Y3M!A:A,T10Y3M!B:B,"",-1)</f>
        <v>1.28</v>
      </c>
      <c r="J323" s="2">
        <f>_xlfn.XLOOKUP(A323,BAMLC0A4CBBB!A:A,BAMLC0A4CBBB!B:B,"",-1)</f>
        <v>1.43</v>
      </c>
      <c r="K323" s="2">
        <f>_xlfn.XLOOKUP(A323,CPIAUCSL!A:A,CPIAUCSL!B:B,"",-1)</f>
        <v>244.24299999999999</v>
      </c>
      <c r="L323">
        <f>_xlfn.XLOOKUP(A323,DFF!A:A,DFF!B:B,"",-1)</f>
        <v>1.1599999999999999</v>
      </c>
      <c r="M323">
        <f>_xlfn.XLOOKUP(A323,'DGS2'!A:A,'DGS2'!B:B,"",-1)</f>
        <v>1.35</v>
      </c>
      <c r="N323">
        <f t="shared" si="35"/>
        <v>-2.0000000000000018E-2</v>
      </c>
      <c r="O323">
        <f t="shared" si="36"/>
        <v>1.8745523380743201E-3</v>
      </c>
      <c r="P323">
        <f t="shared" si="37"/>
        <v>1</v>
      </c>
      <c r="Q323">
        <f t="shared" si="38"/>
        <v>0</v>
      </c>
      <c r="R323" s="3">
        <v>43.01</v>
      </c>
    </row>
    <row r="324" spans="1:18">
      <c r="A324" s="1">
        <v>42929</v>
      </c>
      <c r="B324">
        <v>2447.83</v>
      </c>
      <c r="C324">
        <f t="shared" ref="C324:C387" si="40">IF(OR(B324="",B323=""),"",(B324/B323)-1)</f>
        <v>1.8745523380743201E-3</v>
      </c>
      <c r="D324">
        <f t="shared" si="39"/>
        <v>8.4039498564325577E-3</v>
      </c>
      <c r="E324">
        <f>_xlfn.XLOOKUP(A324,VIX!A:A,VIX!B:B,"",-1)</f>
        <v>9.9</v>
      </c>
      <c r="F324">
        <f t="shared" ref="F324:F387" si="41">IF(OR(E324="",E323=""),"",E324-E323)</f>
        <v>-0.40000000000000036</v>
      </c>
      <c r="G324">
        <f>_xlfn.XLOOKUP(A324,'DGS10'!A:A,'DGS10'!B:B,"",-1)</f>
        <v>2.35</v>
      </c>
      <c r="H324">
        <f t="shared" ref="H324:H387" si="42">IF(OR(G324="",G323=""),"",G324-G323)</f>
        <v>2.0000000000000018E-2</v>
      </c>
      <c r="I324" s="2">
        <f>_xlfn.XLOOKUP(A324,T10Y3M!A:A,T10Y3M!B:B,"",-1)</f>
        <v>1.3</v>
      </c>
      <c r="J324" s="2">
        <f>_xlfn.XLOOKUP(A324,BAMLC0A4CBBB!A:A,BAMLC0A4CBBB!B:B,"",-1)</f>
        <v>1.42</v>
      </c>
      <c r="K324" s="2">
        <f>_xlfn.XLOOKUP(A324,CPIAUCSL!A:A,CPIAUCSL!B:B,"",-1)</f>
        <v>244.24299999999999</v>
      </c>
      <c r="L324">
        <f>_xlfn.XLOOKUP(A324,DFF!A:A,DFF!B:B,"",-1)</f>
        <v>1.1599999999999999</v>
      </c>
      <c r="M324">
        <f>_xlfn.XLOOKUP(A324,'DGS2'!A:A,'DGS2'!B:B,"",-1)</f>
        <v>1.37</v>
      </c>
      <c r="N324">
        <f t="shared" ref="N324:N387" si="43">IF(OR(M324="",M323=""),"",M324-M323)</f>
        <v>2.0000000000000018E-2</v>
      </c>
      <c r="O324">
        <f t="shared" ref="O324:O387" si="44">IF(OR(B325="",B324=""),"",(B325/B324)-1)</f>
        <v>4.6735271648765675E-3</v>
      </c>
      <c r="P324">
        <f t="shared" ref="P324:P387" si="45">IF(O324="","",IF(O324&gt;0,1,0))</f>
        <v>1</v>
      </c>
      <c r="Q324">
        <f t="shared" ref="Q324:Q387" si="46">IF(O324="","",IF(O324&gt;0.003,1,IF(O324&lt;-0.003,-1,0)))</f>
        <v>1</v>
      </c>
      <c r="R324" s="3">
        <v>43.38</v>
      </c>
    </row>
    <row r="325" spans="1:18">
      <c r="A325" s="1">
        <v>42930</v>
      </c>
      <c r="B325">
        <v>2459.27</v>
      </c>
      <c r="C325">
        <f t="shared" si="40"/>
        <v>4.6735271648765675E-3</v>
      </c>
      <c r="D325">
        <f t="shared" si="39"/>
        <v>1.3910361859057474E-2</v>
      </c>
      <c r="E325">
        <f>_xlfn.XLOOKUP(A325,VIX!A:A,VIX!B:B,"",-1)</f>
        <v>9.51</v>
      </c>
      <c r="F325">
        <f t="shared" si="41"/>
        <v>-0.39000000000000057</v>
      </c>
      <c r="G325">
        <f>_xlfn.XLOOKUP(A325,'DGS10'!A:A,'DGS10'!B:B,"",-1)</f>
        <v>2.33</v>
      </c>
      <c r="H325">
        <f t="shared" si="42"/>
        <v>-2.0000000000000018E-2</v>
      </c>
      <c r="I325" s="2">
        <f>_xlfn.XLOOKUP(A325,T10Y3M!A:A,T10Y3M!B:B,"",-1)</f>
        <v>1.29</v>
      </c>
      <c r="J325" s="2">
        <f>_xlfn.XLOOKUP(A325,BAMLC0A4CBBB!A:A,BAMLC0A4CBBB!B:B,"",-1)</f>
        <v>1.42</v>
      </c>
      <c r="K325" s="2">
        <f>_xlfn.XLOOKUP(A325,CPIAUCSL!A:A,CPIAUCSL!B:B,"",-1)</f>
        <v>244.24299999999999</v>
      </c>
      <c r="L325">
        <f>_xlfn.XLOOKUP(A325,DFF!A:A,DFF!B:B,"",-1)</f>
        <v>1.1599999999999999</v>
      </c>
      <c r="M325">
        <f>_xlfn.XLOOKUP(A325,'DGS2'!A:A,'DGS2'!B:B,"",-1)</f>
        <v>1.35</v>
      </c>
      <c r="N325">
        <f t="shared" si="43"/>
        <v>-2.0000000000000018E-2</v>
      </c>
      <c r="O325">
        <f t="shared" si="44"/>
        <v>-5.2861214913435539E-5</v>
      </c>
      <c r="P325">
        <f t="shared" si="45"/>
        <v>0</v>
      </c>
      <c r="Q325">
        <f t="shared" si="46"/>
        <v>0</v>
      </c>
      <c r="R325" s="3">
        <v>44.24</v>
      </c>
    </row>
    <row r="326" spans="1:18">
      <c r="A326" s="1">
        <v>42933</v>
      </c>
      <c r="B326">
        <v>2459.14</v>
      </c>
      <c r="C326">
        <f t="shared" si="40"/>
        <v>-5.2861214913435539E-5</v>
      </c>
      <c r="D326">
        <f t="shared" ref="D326:D389" si="47">IF(OR(B326="",B323=""),"",(B326/B323)-1)</f>
        <v>6.5036324567686599E-3</v>
      </c>
      <c r="E326">
        <f>_xlfn.XLOOKUP(A326,VIX!A:A,VIX!B:B,"",-1)</f>
        <v>9.82</v>
      </c>
      <c r="F326">
        <f t="shared" si="41"/>
        <v>0.3100000000000005</v>
      </c>
      <c r="G326">
        <f>_xlfn.XLOOKUP(A326,'DGS10'!A:A,'DGS10'!B:B,"",-1)</f>
        <v>2.31</v>
      </c>
      <c r="H326">
        <f t="shared" si="42"/>
        <v>-2.0000000000000018E-2</v>
      </c>
      <c r="I326" s="2">
        <f>_xlfn.XLOOKUP(A326,T10Y3M!A:A,T10Y3M!B:B,"",-1)</f>
        <v>1.24</v>
      </c>
      <c r="J326" s="2">
        <f>_xlfn.XLOOKUP(A326,BAMLC0A4CBBB!A:A,BAMLC0A4CBBB!B:B,"",-1)</f>
        <v>1.41</v>
      </c>
      <c r="K326" s="2">
        <f>_xlfn.XLOOKUP(A326,CPIAUCSL!A:A,CPIAUCSL!B:B,"",-1)</f>
        <v>244.24299999999999</v>
      </c>
      <c r="L326">
        <f>_xlfn.XLOOKUP(A326,DFF!A:A,DFF!B:B,"",-1)</f>
        <v>1.1599999999999999</v>
      </c>
      <c r="M326">
        <f>_xlfn.XLOOKUP(A326,'DGS2'!A:A,'DGS2'!B:B,"",-1)</f>
        <v>1.36</v>
      </c>
      <c r="N326">
        <f t="shared" si="43"/>
        <v>1.0000000000000009E-2</v>
      </c>
      <c r="O326">
        <f t="shared" si="44"/>
        <v>5.9776995209714912E-4</v>
      </c>
      <c r="P326">
        <f t="shared" si="45"/>
        <v>1</v>
      </c>
      <c r="Q326">
        <f t="shared" si="46"/>
        <v>0</v>
      </c>
      <c r="R326" s="3">
        <v>44.74</v>
      </c>
    </row>
    <row r="327" spans="1:18">
      <c r="A327" s="1">
        <v>42934</v>
      </c>
      <c r="B327">
        <v>2460.61</v>
      </c>
      <c r="C327">
        <f t="shared" si="40"/>
        <v>5.9776995209714912E-4</v>
      </c>
      <c r="D327">
        <f t="shared" si="47"/>
        <v>5.2209508013221217E-3</v>
      </c>
      <c r="E327">
        <f>_xlfn.XLOOKUP(A327,VIX!A:A,VIX!B:B,"",-1)</f>
        <v>9.89</v>
      </c>
      <c r="F327">
        <f t="shared" si="41"/>
        <v>7.0000000000000284E-2</v>
      </c>
      <c r="G327">
        <f>_xlfn.XLOOKUP(A327,'DGS10'!A:A,'DGS10'!B:B,"",-1)</f>
        <v>2.27</v>
      </c>
      <c r="H327">
        <f t="shared" si="42"/>
        <v>-4.0000000000000036E-2</v>
      </c>
      <c r="I327" s="2">
        <f>_xlfn.XLOOKUP(A327,T10Y3M!A:A,T10Y3M!B:B,"",-1)</f>
        <v>1.2</v>
      </c>
      <c r="J327" s="2">
        <f>_xlfn.XLOOKUP(A327,BAMLC0A4CBBB!A:A,BAMLC0A4CBBB!B:B,"",-1)</f>
        <v>1.41</v>
      </c>
      <c r="K327" s="2">
        <f>_xlfn.XLOOKUP(A327,CPIAUCSL!A:A,CPIAUCSL!B:B,"",-1)</f>
        <v>244.24299999999999</v>
      </c>
      <c r="L327">
        <f>_xlfn.XLOOKUP(A327,DFF!A:A,DFF!B:B,"",-1)</f>
        <v>1.1599999999999999</v>
      </c>
      <c r="M327">
        <f>_xlfn.XLOOKUP(A327,'DGS2'!A:A,'DGS2'!B:B,"",-1)</f>
        <v>1.36</v>
      </c>
      <c r="N327">
        <f t="shared" si="43"/>
        <v>0</v>
      </c>
      <c r="O327">
        <f t="shared" si="44"/>
        <v>5.3726514969865136E-3</v>
      </c>
      <c r="P327">
        <f t="shared" si="45"/>
        <v>1</v>
      </c>
      <c r="Q327">
        <f t="shared" si="46"/>
        <v>1</v>
      </c>
      <c r="R327" s="3">
        <v>44.93</v>
      </c>
    </row>
    <row r="328" spans="1:18">
      <c r="A328" s="1">
        <v>42935</v>
      </c>
      <c r="B328">
        <v>2473.83</v>
      </c>
      <c r="C328">
        <f t="shared" si="40"/>
        <v>5.3726514969865136E-3</v>
      </c>
      <c r="D328">
        <f t="shared" si="47"/>
        <v>5.9204560702972309E-3</v>
      </c>
      <c r="E328">
        <f>_xlfn.XLOOKUP(A328,VIX!A:A,VIX!B:B,"",-1)</f>
        <v>9.7899999999999991</v>
      </c>
      <c r="F328">
        <f t="shared" si="41"/>
        <v>-0.10000000000000142</v>
      </c>
      <c r="G328">
        <f>_xlfn.XLOOKUP(A328,'DGS10'!A:A,'DGS10'!B:B,"",-1)</f>
        <v>2.27</v>
      </c>
      <c r="H328">
        <f t="shared" si="42"/>
        <v>0</v>
      </c>
      <c r="I328" s="2">
        <f>_xlfn.XLOOKUP(A328,T10Y3M!A:A,T10Y3M!B:B,"",-1)</f>
        <v>1.1599999999999999</v>
      </c>
      <c r="J328" s="2">
        <f>_xlfn.XLOOKUP(A328,BAMLC0A4CBBB!A:A,BAMLC0A4CBBB!B:B,"",-1)</f>
        <v>1.4</v>
      </c>
      <c r="K328" s="2">
        <f>_xlfn.XLOOKUP(A328,CPIAUCSL!A:A,CPIAUCSL!B:B,"",-1)</f>
        <v>244.24299999999999</v>
      </c>
      <c r="L328">
        <f>_xlfn.XLOOKUP(A328,DFF!A:A,DFF!B:B,"",-1)</f>
        <v>1.1599999999999999</v>
      </c>
      <c r="M328">
        <f>_xlfn.XLOOKUP(A328,'DGS2'!A:A,'DGS2'!B:B,"",-1)</f>
        <v>1.37</v>
      </c>
      <c r="N328">
        <f t="shared" si="43"/>
        <v>1.0000000000000009E-2</v>
      </c>
      <c r="O328">
        <f t="shared" si="44"/>
        <v>-1.5360796821128897E-4</v>
      </c>
      <c r="P328">
        <f t="shared" si="45"/>
        <v>0</v>
      </c>
      <c r="Q328">
        <f t="shared" si="46"/>
        <v>0</v>
      </c>
      <c r="R328" s="3">
        <v>46.04</v>
      </c>
    </row>
    <row r="329" spans="1:18">
      <c r="A329" s="1">
        <v>42936</v>
      </c>
      <c r="B329">
        <v>2473.4499999999998</v>
      </c>
      <c r="C329">
        <f t="shared" si="40"/>
        <v>-1.5360796821128897E-4</v>
      </c>
      <c r="D329">
        <f t="shared" si="47"/>
        <v>5.8191074928632958E-3</v>
      </c>
      <c r="E329">
        <f>_xlfn.XLOOKUP(A329,VIX!A:A,VIX!B:B,"",-1)</f>
        <v>9.58</v>
      </c>
      <c r="F329">
        <f t="shared" si="41"/>
        <v>-0.20999999999999908</v>
      </c>
      <c r="G329">
        <f>_xlfn.XLOOKUP(A329,'DGS10'!A:A,'DGS10'!B:B,"",-1)</f>
        <v>2.27</v>
      </c>
      <c r="H329">
        <f t="shared" si="42"/>
        <v>0</v>
      </c>
      <c r="I329" s="2">
        <f>_xlfn.XLOOKUP(A329,T10Y3M!A:A,T10Y3M!B:B,"",-1)</f>
        <v>1.1200000000000001</v>
      </c>
      <c r="J329" s="2">
        <f>_xlfn.XLOOKUP(A329,BAMLC0A4CBBB!A:A,BAMLC0A4CBBB!B:B,"",-1)</f>
        <v>1.4</v>
      </c>
      <c r="K329" s="2">
        <f>_xlfn.XLOOKUP(A329,CPIAUCSL!A:A,CPIAUCSL!B:B,"",-1)</f>
        <v>244.24299999999999</v>
      </c>
      <c r="L329">
        <f>_xlfn.XLOOKUP(A329,DFF!A:A,DFF!B:B,"",-1)</f>
        <v>1.1599999999999999</v>
      </c>
      <c r="M329">
        <f>_xlfn.XLOOKUP(A329,'DGS2'!A:A,'DGS2'!B:B,"",-1)</f>
        <v>1.37</v>
      </c>
      <c r="N329">
        <f t="shared" si="43"/>
        <v>0</v>
      </c>
      <c r="O329">
        <f t="shared" si="44"/>
        <v>-3.6790717418988539E-4</v>
      </c>
      <c r="P329">
        <f t="shared" si="45"/>
        <v>0</v>
      </c>
      <c r="Q329">
        <f t="shared" si="46"/>
        <v>0</v>
      </c>
      <c r="R329" s="3">
        <v>47.07</v>
      </c>
    </row>
    <row r="330" spans="1:18">
      <c r="A330" s="1">
        <v>42937</v>
      </c>
      <c r="B330">
        <v>2472.54</v>
      </c>
      <c r="C330">
        <f t="shared" si="40"/>
        <v>-3.6790717418988539E-4</v>
      </c>
      <c r="D330">
        <f t="shared" si="47"/>
        <v>4.8483912525754125E-3</v>
      </c>
      <c r="E330">
        <f>_xlfn.XLOOKUP(A330,VIX!A:A,VIX!B:B,"",-1)</f>
        <v>9.36</v>
      </c>
      <c r="F330">
        <f t="shared" si="41"/>
        <v>-0.22000000000000064</v>
      </c>
      <c r="G330">
        <f>_xlfn.XLOOKUP(A330,'DGS10'!A:A,'DGS10'!B:B,"",-1)</f>
        <v>2.2400000000000002</v>
      </c>
      <c r="H330">
        <f t="shared" si="42"/>
        <v>-2.9999999999999805E-2</v>
      </c>
      <c r="I330" s="2">
        <f>_xlfn.XLOOKUP(A330,T10Y3M!A:A,T10Y3M!B:B,"",-1)</f>
        <v>1.08</v>
      </c>
      <c r="J330" s="2">
        <f>_xlfn.XLOOKUP(A330,BAMLC0A4CBBB!A:A,BAMLC0A4CBBB!B:B,"",-1)</f>
        <v>1.4</v>
      </c>
      <c r="K330" s="2">
        <f>_xlfn.XLOOKUP(A330,CPIAUCSL!A:A,CPIAUCSL!B:B,"",-1)</f>
        <v>244.24299999999999</v>
      </c>
      <c r="L330">
        <f>_xlfn.XLOOKUP(A330,DFF!A:A,DFF!B:B,"",-1)</f>
        <v>1.1599999999999999</v>
      </c>
      <c r="M330">
        <f>_xlfn.XLOOKUP(A330,'DGS2'!A:A,'DGS2'!B:B,"",-1)</f>
        <v>1.36</v>
      </c>
      <c r="N330">
        <f t="shared" si="43"/>
        <v>-1.0000000000000009E-2</v>
      </c>
      <c r="O330">
        <f t="shared" si="44"/>
        <v>-1.0636834995592093E-3</v>
      </c>
      <c r="P330">
        <f t="shared" si="45"/>
        <v>0</v>
      </c>
      <c r="Q330">
        <f t="shared" si="46"/>
        <v>0</v>
      </c>
      <c r="R330" s="3">
        <v>47.08</v>
      </c>
    </row>
    <row r="331" spans="1:18">
      <c r="A331" s="1">
        <v>42940</v>
      </c>
      <c r="B331">
        <v>2469.91</v>
      </c>
      <c r="C331">
        <f t="shared" si="40"/>
        <v>-1.0636834995592093E-3</v>
      </c>
      <c r="D331">
        <f t="shared" si="47"/>
        <v>-1.5845874615475486E-3</v>
      </c>
      <c r="E331">
        <f>_xlfn.XLOOKUP(A331,VIX!A:A,VIX!B:B,"",-1)</f>
        <v>9.43</v>
      </c>
      <c r="F331">
        <f t="shared" si="41"/>
        <v>7.0000000000000284E-2</v>
      </c>
      <c r="G331">
        <f>_xlfn.XLOOKUP(A331,'DGS10'!A:A,'DGS10'!B:B,"",-1)</f>
        <v>2.2599999999999998</v>
      </c>
      <c r="H331">
        <f t="shared" si="42"/>
        <v>1.9999999999999574E-2</v>
      </c>
      <c r="I331" s="2">
        <f>_xlfn.XLOOKUP(A331,T10Y3M!A:A,T10Y3M!B:B,"",-1)</f>
        <v>1.0900000000000001</v>
      </c>
      <c r="J331" s="2">
        <f>_xlfn.XLOOKUP(A331,BAMLC0A4CBBB!A:A,BAMLC0A4CBBB!B:B,"",-1)</f>
        <v>1.39</v>
      </c>
      <c r="K331" s="2">
        <f>_xlfn.XLOOKUP(A331,CPIAUCSL!A:A,CPIAUCSL!B:B,"",-1)</f>
        <v>244.24299999999999</v>
      </c>
      <c r="L331">
        <f>_xlfn.XLOOKUP(A331,DFF!A:A,DFF!B:B,"",-1)</f>
        <v>1.1599999999999999</v>
      </c>
      <c r="M331">
        <f>_xlfn.XLOOKUP(A331,'DGS2'!A:A,'DGS2'!B:B,"",-1)</f>
        <v>1.37</v>
      </c>
      <c r="N331">
        <f t="shared" si="43"/>
        <v>1.0000000000000009E-2</v>
      </c>
      <c r="O331">
        <f t="shared" si="44"/>
        <v>2.9231834358338649E-3</v>
      </c>
      <c r="P331">
        <f t="shared" si="45"/>
        <v>1</v>
      </c>
      <c r="Q331">
        <f t="shared" si="46"/>
        <v>0</v>
      </c>
      <c r="R331" s="3">
        <v>45.13</v>
      </c>
    </row>
    <row r="332" spans="1:18">
      <c r="A332" s="1">
        <v>42941</v>
      </c>
      <c r="B332">
        <v>2477.13</v>
      </c>
      <c r="C332">
        <f t="shared" si="40"/>
        <v>2.9231834358338649E-3</v>
      </c>
      <c r="D332">
        <f t="shared" si="47"/>
        <v>1.4878004406801981E-3</v>
      </c>
      <c r="E332">
        <f>_xlfn.XLOOKUP(A332,VIX!A:A,VIX!B:B,"",-1)</f>
        <v>9.43</v>
      </c>
      <c r="F332">
        <f t="shared" si="41"/>
        <v>0</v>
      </c>
      <c r="G332">
        <f>_xlfn.XLOOKUP(A332,'DGS10'!A:A,'DGS10'!B:B,"",-1)</f>
        <v>2.33</v>
      </c>
      <c r="H332">
        <f t="shared" si="42"/>
        <v>7.0000000000000284E-2</v>
      </c>
      <c r="I332" s="2">
        <f>_xlfn.XLOOKUP(A332,T10Y3M!A:A,T10Y3M!B:B,"",-1)</f>
        <v>1.1499999999999999</v>
      </c>
      <c r="J332" s="2">
        <f>_xlfn.XLOOKUP(A332,BAMLC0A4CBBB!A:A,BAMLC0A4CBBB!B:B,"",-1)</f>
        <v>1.38</v>
      </c>
      <c r="K332" s="2">
        <f>_xlfn.XLOOKUP(A332,CPIAUCSL!A:A,CPIAUCSL!B:B,"",-1)</f>
        <v>244.24299999999999</v>
      </c>
      <c r="L332">
        <f>_xlfn.XLOOKUP(A332,DFF!A:A,DFF!B:B,"",-1)</f>
        <v>1.1599999999999999</v>
      </c>
      <c r="M332">
        <f>_xlfn.XLOOKUP(A332,'DGS2'!A:A,'DGS2'!B:B,"",-1)</f>
        <v>1.4</v>
      </c>
      <c r="N332">
        <f t="shared" si="43"/>
        <v>2.9999999999999805E-2</v>
      </c>
      <c r="O332">
        <f t="shared" si="44"/>
        <v>2.8258508838852059E-4</v>
      </c>
      <c r="P332">
        <f t="shared" si="45"/>
        <v>1</v>
      </c>
      <c r="Q332">
        <f t="shared" si="46"/>
        <v>0</v>
      </c>
      <c r="R332" s="3">
        <v>45.52</v>
      </c>
    </row>
    <row r="333" spans="1:18">
      <c r="A333" s="1">
        <v>42942</v>
      </c>
      <c r="B333">
        <v>2477.83</v>
      </c>
      <c r="C333">
        <f t="shared" si="40"/>
        <v>2.8258508838852059E-4</v>
      </c>
      <c r="D333">
        <f t="shared" si="47"/>
        <v>2.1395002709763133E-3</v>
      </c>
      <c r="E333">
        <f>_xlfn.XLOOKUP(A333,VIX!A:A,VIX!B:B,"",-1)</f>
        <v>9.6</v>
      </c>
      <c r="F333">
        <f t="shared" si="41"/>
        <v>0.16999999999999993</v>
      </c>
      <c r="G333">
        <f>_xlfn.XLOOKUP(A333,'DGS10'!A:A,'DGS10'!B:B,"",-1)</f>
        <v>2.29</v>
      </c>
      <c r="H333">
        <f t="shared" si="42"/>
        <v>-4.0000000000000036E-2</v>
      </c>
      <c r="I333" s="2">
        <f>_xlfn.XLOOKUP(A333,T10Y3M!A:A,T10Y3M!B:B,"",-1)</f>
        <v>1.1599999999999999</v>
      </c>
      <c r="J333" s="2">
        <f>_xlfn.XLOOKUP(A333,BAMLC0A4CBBB!A:A,BAMLC0A4CBBB!B:B,"",-1)</f>
        <v>1.38</v>
      </c>
      <c r="K333" s="2">
        <f>_xlfn.XLOOKUP(A333,CPIAUCSL!A:A,CPIAUCSL!B:B,"",-1)</f>
        <v>244.24299999999999</v>
      </c>
      <c r="L333">
        <f>_xlfn.XLOOKUP(A333,DFF!A:A,DFF!B:B,"",-1)</f>
        <v>1.1599999999999999</v>
      </c>
      <c r="M333">
        <f>_xlfn.XLOOKUP(A333,'DGS2'!A:A,'DGS2'!B:B,"",-1)</f>
        <v>1.36</v>
      </c>
      <c r="N333">
        <f t="shared" si="43"/>
        <v>-3.9999999999999813E-2</v>
      </c>
      <c r="O333">
        <f t="shared" si="44"/>
        <v>-9.7262524063390643E-4</v>
      </c>
      <c r="P333">
        <f t="shared" si="45"/>
        <v>0</v>
      </c>
      <c r="Q333">
        <f t="shared" si="46"/>
        <v>0</v>
      </c>
      <c r="R333" s="3">
        <v>44.23</v>
      </c>
    </row>
    <row r="334" spans="1:18">
      <c r="A334" s="1">
        <v>42943</v>
      </c>
      <c r="B334">
        <v>2475.42</v>
      </c>
      <c r="C334">
        <f t="shared" si="40"/>
        <v>-9.7262524063390643E-4</v>
      </c>
      <c r="D334">
        <f t="shared" si="47"/>
        <v>2.2308505168204817E-3</v>
      </c>
      <c r="E334">
        <f>_xlfn.XLOOKUP(A334,VIX!A:A,VIX!B:B,"",-1)</f>
        <v>10.11</v>
      </c>
      <c r="F334">
        <f t="shared" si="41"/>
        <v>0.50999999999999979</v>
      </c>
      <c r="G334">
        <f>_xlfn.XLOOKUP(A334,'DGS10'!A:A,'DGS10'!B:B,"",-1)</f>
        <v>2.3199999999999998</v>
      </c>
      <c r="H334">
        <f t="shared" si="42"/>
        <v>2.9999999999999805E-2</v>
      </c>
      <c r="I334" s="2">
        <f>_xlfn.XLOOKUP(A334,T10Y3M!A:A,T10Y3M!B:B,"",-1)</f>
        <v>1.21</v>
      </c>
      <c r="J334" s="2">
        <f>_xlfn.XLOOKUP(A334,BAMLC0A4CBBB!A:A,BAMLC0A4CBBB!B:B,"",-1)</f>
        <v>1.37</v>
      </c>
      <c r="K334" s="2">
        <f>_xlfn.XLOOKUP(A334,CPIAUCSL!A:A,CPIAUCSL!B:B,"",-1)</f>
        <v>244.24299999999999</v>
      </c>
      <c r="L334">
        <f>_xlfn.XLOOKUP(A334,DFF!A:A,DFF!B:B,"",-1)</f>
        <v>1.1599999999999999</v>
      </c>
      <c r="M334">
        <f>_xlfn.XLOOKUP(A334,'DGS2'!A:A,'DGS2'!B:B,"",-1)</f>
        <v>1.36</v>
      </c>
      <c r="N334">
        <f t="shared" si="43"/>
        <v>0</v>
      </c>
      <c r="O334">
        <f t="shared" si="44"/>
        <v>-1.3411865461215866E-3</v>
      </c>
      <c r="P334">
        <f t="shared" si="45"/>
        <v>0</v>
      </c>
      <c r="Q334">
        <f t="shared" si="46"/>
        <v>0</v>
      </c>
      <c r="R334" s="3">
        <v>44.4</v>
      </c>
    </row>
    <row r="335" spans="1:18">
      <c r="A335" s="1">
        <v>42944</v>
      </c>
      <c r="B335">
        <v>2472.1</v>
      </c>
      <c r="C335">
        <f t="shared" si="40"/>
        <v>-1.3411865461215866E-3</v>
      </c>
      <c r="D335">
        <f t="shared" si="47"/>
        <v>-2.0305757065637309E-3</v>
      </c>
      <c r="E335">
        <f>_xlfn.XLOOKUP(A335,VIX!A:A,VIX!B:B,"",-1)</f>
        <v>10.29</v>
      </c>
      <c r="F335">
        <f t="shared" si="41"/>
        <v>0.17999999999999972</v>
      </c>
      <c r="G335">
        <f>_xlfn.XLOOKUP(A335,'DGS10'!A:A,'DGS10'!B:B,"",-1)</f>
        <v>2.2999999999999998</v>
      </c>
      <c r="H335">
        <f t="shared" si="42"/>
        <v>-2.0000000000000018E-2</v>
      </c>
      <c r="I335" s="2">
        <f>_xlfn.XLOOKUP(A335,T10Y3M!A:A,T10Y3M!B:B,"",-1)</f>
        <v>1.22</v>
      </c>
      <c r="J335" s="2">
        <f>_xlfn.XLOOKUP(A335,BAMLC0A4CBBB!A:A,BAMLC0A4CBBB!B:B,"",-1)</f>
        <v>1.37</v>
      </c>
      <c r="K335" s="2">
        <f>_xlfn.XLOOKUP(A335,CPIAUCSL!A:A,CPIAUCSL!B:B,"",-1)</f>
        <v>244.24299999999999</v>
      </c>
      <c r="L335">
        <f>_xlfn.XLOOKUP(A335,DFF!A:A,DFF!B:B,"",-1)</f>
        <v>1.1599999999999999</v>
      </c>
      <c r="M335">
        <f>_xlfn.XLOOKUP(A335,'DGS2'!A:A,'DGS2'!B:B,"",-1)</f>
        <v>1.34</v>
      </c>
      <c r="N335">
        <f t="shared" si="43"/>
        <v>-2.0000000000000018E-2</v>
      </c>
      <c r="O335">
        <f t="shared" si="44"/>
        <v>-7.2812588487514152E-4</v>
      </c>
      <c r="P335">
        <f t="shared" si="45"/>
        <v>0</v>
      </c>
      <c r="Q335">
        <f t="shared" si="46"/>
        <v>0</v>
      </c>
      <c r="R335" s="3">
        <v>45.04</v>
      </c>
    </row>
    <row r="336" spans="1:18">
      <c r="A336" s="1">
        <v>42947</v>
      </c>
      <c r="B336">
        <v>2470.3000000000002</v>
      </c>
      <c r="C336">
        <f t="shared" si="40"/>
        <v>-7.2812588487514152E-4</v>
      </c>
      <c r="D336">
        <f t="shared" si="47"/>
        <v>-3.0389494033083997E-3</v>
      </c>
      <c r="E336">
        <f>_xlfn.XLOOKUP(A336,VIX!A:A,VIX!B:B,"",-1)</f>
        <v>10.26</v>
      </c>
      <c r="F336">
        <f t="shared" si="41"/>
        <v>-2.9999999999999361E-2</v>
      </c>
      <c r="G336">
        <f>_xlfn.XLOOKUP(A336,'DGS10'!A:A,'DGS10'!B:B,"",-1)</f>
        <v>2.2999999999999998</v>
      </c>
      <c r="H336">
        <f t="shared" si="42"/>
        <v>0</v>
      </c>
      <c r="I336" s="2">
        <f>_xlfn.XLOOKUP(A336,T10Y3M!A:A,T10Y3M!B:B,"",-1)</f>
        <v>1.23</v>
      </c>
      <c r="J336" s="2">
        <f>_xlfn.XLOOKUP(A336,BAMLC0A4CBBB!A:A,BAMLC0A4CBBB!B:B,"",-1)</f>
        <v>1.39</v>
      </c>
      <c r="K336" s="2">
        <f>_xlfn.XLOOKUP(A336,CPIAUCSL!A:A,CPIAUCSL!B:B,"",-1)</f>
        <v>244.24299999999999</v>
      </c>
      <c r="L336">
        <f>_xlfn.XLOOKUP(A336,DFF!A:A,DFF!B:B,"",-1)</f>
        <v>1.07</v>
      </c>
      <c r="M336">
        <f>_xlfn.XLOOKUP(A336,'DGS2'!A:A,'DGS2'!B:B,"",-1)</f>
        <v>1.34</v>
      </c>
      <c r="N336">
        <f t="shared" si="43"/>
        <v>0</v>
      </c>
      <c r="O336">
        <f t="shared" si="44"/>
        <v>2.4490952515887621E-3</v>
      </c>
      <c r="P336">
        <f t="shared" si="45"/>
        <v>1</v>
      </c>
      <c r="Q336">
        <f t="shared" si="46"/>
        <v>0</v>
      </c>
      <c r="R336" s="3">
        <v>45.49</v>
      </c>
    </row>
    <row r="337" spans="1:18">
      <c r="A337" s="1">
        <v>42948</v>
      </c>
      <c r="B337">
        <v>2476.35</v>
      </c>
      <c r="C337">
        <f t="shared" si="40"/>
        <v>2.4490952515887621E-3</v>
      </c>
      <c r="D337">
        <f t="shared" si="47"/>
        <v>3.7569382165436593E-4</v>
      </c>
      <c r="E337">
        <f>_xlfn.XLOOKUP(A337,VIX!A:A,VIX!B:B,"",-1)</f>
        <v>10.09</v>
      </c>
      <c r="F337">
        <f t="shared" si="41"/>
        <v>-0.16999999999999993</v>
      </c>
      <c r="G337">
        <f>_xlfn.XLOOKUP(A337,'DGS10'!A:A,'DGS10'!B:B,"",-1)</f>
        <v>2.2599999999999998</v>
      </c>
      <c r="H337">
        <f t="shared" si="42"/>
        <v>-4.0000000000000036E-2</v>
      </c>
      <c r="I337" s="2">
        <f>_xlfn.XLOOKUP(A337,T10Y3M!A:A,T10Y3M!B:B,"",-1)</f>
        <v>1.18</v>
      </c>
      <c r="J337" s="2">
        <f>_xlfn.XLOOKUP(A337,BAMLC0A4CBBB!A:A,BAMLC0A4CBBB!B:B,"",-1)</f>
        <v>1.39</v>
      </c>
      <c r="K337" s="2">
        <f>_xlfn.XLOOKUP(A337,CPIAUCSL!A:A,CPIAUCSL!B:B,"",-1)</f>
        <v>245.18299999999999</v>
      </c>
      <c r="L337">
        <f>_xlfn.XLOOKUP(A337,DFF!A:A,DFF!B:B,"",-1)</f>
        <v>1.1599999999999999</v>
      </c>
      <c r="M337">
        <f>_xlfn.XLOOKUP(A337,'DGS2'!A:A,'DGS2'!B:B,"",-1)</f>
        <v>1.34</v>
      </c>
      <c r="N337">
        <f t="shared" si="43"/>
        <v>0</v>
      </c>
      <c r="O337">
        <f t="shared" si="44"/>
        <v>4.9266056898278343E-4</v>
      </c>
      <c r="P337">
        <f t="shared" si="45"/>
        <v>1</v>
      </c>
      <c r="Q337">
        <f t="shared" si="46"/>
        <v>0</v>
      </c>
      <c r="R337" s="3">
        <v>46.08</v>
      </c>
    </row>
    <row r="338" spans="1:18">
      <c r="A338" s="1">
        <v>42949</v>
      </c>
      <c r="B338">
        <v>2477.5700000000002</v>
      </c>
      <c r="C338">
        <f t="shared" si="40"/>
        <v>4.9266056898278343E-4</v>
      </c>
      <c r="D338">
        <f t="shared" si="47"/>
        <v>2.212693661259868E-3</v>
      </c>
      <c r="E338">
        <f>_xlfn.XLOOKUP(A338,VIX!A:A,VIX!B:B,"",-1)</f>
        <v>10.28</v>
      </c>
      <c r="F338">
        <f t="shared" si="41"/>
        <v>0.1899999999999995</v>
      </c>
      <c r="G338">
        <f>_xlfn.XLOOKUP(A338,'DGS10'!A:A,'DGS10'!B:B,"",-1)</f>
        <v>2.27</v>
      </c>
      <c r="H338">
        <f t="shared" si="42"/>
        <v>1.0000000000000231E-2</v>
      </c>
      <c r="I338" s="2">
        <f>_xlfn.XLOOKUP(A338,T10Y3M!A:A,T10Y3M!B:B,"",-1)</f>
        <v>1.19</v>
      </c>
      <c r="J338" s="2">
        <f>_xlfn.XLOOKUP(A338,BAMLC0A4CBBB!A:A,BAMLC0A4CBBB!B:B,"",-1)</f>
        <v>1.39</v>
      </c>
      <c r="K338" s="2">
        <f>_xlfn.XLOOKUP(A338,CPIAUCSL!A:A,CPIAUCSL!B:B,"",-1)</f>
        <v>245.18299999999999</v>
      </c>
      <c r="L338">
        <f>_xlfn.XLOOKUP(A338,DFF!A:A,DFF!B:B,"",-1)</f>
        <v>1.1599999999999999</v>
      </c>
      <c r="M338">
        <f>_xlfn.XLOOKUP(A338,'DGS2'!A:A,'DGS2'!B:B,"",-1)</f>
        <v>1.36</v>
      </c>
      <c r="N338">
        <f t="shared" si="43"/>
        <v>2.0000000000000018E-2</v>
      </c>
      <c r="O338">
        <f t="shared" si="44"/>
        <v>-2.1835911800677232E-3</v>
      </c>
      <c r="P338">
        <f t="shared" si="45"/>
        <v>0</v>
      </c>
      <c r="Q338">
        <f t="shared" si="46"/>
        <v>0</v>
      </c>
      <c r="R338" s="3">
        <v>46.54</v>
      </c>
    </row>
    <row r="339" spans="1:18">
      <c r="A339" s="1">
        <v>42950</v>
      </c>
      <c r="B339">
        <v>2472.16</v>
      </c>
      <c r="C339">
        <f t="shared" si="40"/>
        <v>-2.1835911800677232E-3</v>
      </c>
      <c r="D339">
        <f t="shared" si="47"/>
        <v>7.5294498643874164E-4</v>
      </c>
      <c r="E339">
        <f>_xlfn.XLOOKUP(A339,VIX!A:A,VIX!B:B,"",-1)</f>
        <v>10.44</v>
      </c>
      <c r="F339">
        <f t="shared" si="41"/>
        <v>0.16000000000000014</v>
      </c>
      <c r="G339">
        <f>_xlfn.XLOOKUP(A339,'DGS10'!A:A,'DGS10'!B:B,"",-1)</f>
        <v>2.2400000000000002</v>
      </c>
      <c r="H339">
        <f t="shared" si="42"/>
        <v>-2.9999999999999805E-2</v>
      </c>
      <c r="I339" s="2">
        <f>_xlfn.XLOOKUP(A339,T10Y3M!A:A,T10Y3M!B:B,"",-1)</f>
        <v>1.1599999999999999</v>
      </c>
      <c r="J339" s="2">
        <f>_xlfn.XLOOKUP(A339,BAMLC0A4CBBB!A:A,BAMLC0A4CBBB!B:B,"",-1)</f>
        <v>1.4</v>
      </c>
      <c r="K339" s="2">
        <f>_xlfn.XLOOKUP(A339,CPIAUCSL!A:A,CPIAUCSL!B:B,"",-1)</f>
        <v>245.18299999999999</v>
      </c>
      <c r="L339">
        <f>_xlfn.XLOOKUP(A339,DFF!A:A,DFF!B:B,"",-1)</f>
        <v>1.1599999999999999</v>
      </c>
      <c r="M339">
        <f>_xlfn.XLOOKUP(A339,'DGS2'!A:A,'DGS2'!B:B,"",-1)</f>
        <v>1.34</v>
      </c>
      <c r="N339">
        <f t="shared" si="43"/>
        <v>-2.0000000000000018E-2</v>
      </c>
      <c r="O339">
        <f t="shared" si="44"/>
        <v>1.8890363083294837E-3</v>
      </c>
      <c r="P339">
        <f t="shared" si="45"/>
        <v>1</v>
      </c>
      <c r="Q339">
        <f t="shared" si="46"/>
        <v>0</v>
      </c>
      <c r="R339" s="3">
        <v>46.02</v>
      </c>
    </row>
    <row r="340" spans="1:18">
      <c r="A340" s="1">
        <v>42951</v>
      </c>
      <c r="B340">
        <v>2476.83</v>
      </c>
      <c r="C340">
        <f t="shared" si="40"/>
        <v>1.8890363083294837E-3</v>
      </c>
      <c r="D340">
        <f t="shared" si="47"/>
        <v>1.9383366648506595E-4</v>
      </c>
      <c r="E340">
        <f>_xlfn.XLOOKUP(A340,VIX!A:A,VIX!B:B,"",-1)</f>
        <v>10.029999999999999</v>
      </c>
      <c r="F340">
        <f t="shared" si="41"/>
        <v>-0.41000000000000014</v>
      </c>
      <c r="G340">
        <f>_xlfn.XLOOKUP(A340,'DGS10'!A:A,'DGS10'!B:B,"",-1)</f>
        <v>2.27</v>
      </c>
      <c r="H340">
        <f t="shared" si="42"/>
        <v>2.9999999999999805E-2</v>
      </c>
      <c r="I340" s="2">
        <f>_xlfn.XLOOKUP(A340,T10Y3M!A:A,T10Y3M!B:B,"",-1)</f>
        <v>1.19</v>
      </c>
      <c r="J340" s="2">
        <f>_xlfn.XLOOKUP(A340,BAMLC0A4CBBB!A:A,BAMLC0A4CBBB!B:B,"",-1)</f>
        <v>1.4</v>
      </c>
      <c r="K340" s="2">
        <f>_xlfn.XLOOKUP(A340,CPIAUCSL!A:A,CPIAUCSL!B:B,"",-1)</f>
        <v>245.18299999999999</v>
      </c>
      <c r="L340">
        <f>_xlfn.XLOOKUP(A340,DFF!A:A,DFF!B:B,"",-1)</f>
        <v>1.1599999999999999</v>
      </c>
      <c r="M340">
        <f>_xlfn.XLOOKUP(A340,'DGS2'!A:A,'DGS2'!B:B,"",-1)</f>
        <v>1.36</v>
      </c>
      <c r="N340">
        <f t="shared" si="43"/>
        <v>2.0000000000000018E-2</v>
      </c>
      <c r="O340">
        <f t="shared" si="44"/>
        <v>1.647266869345021E-3</v>
      </c>
      <c r="P340">
        <f t="shared" si="45"/>
        <v>1</v>
      </c>
      <c r="Q340">
        <f t="shared" si="46"/>
        <v>0</v>
      </c>
      <c r="R340" s="3">
        <v>46.4</v>
      </c>
    </row>
    <row r="341" spans="1:18">
      <c r="A341" s="1">
        <v>42954</v>
      </c>
      <c r="B341">
        <v>2480.91</v>
      </c>
      <c r="C341">
        <f t="shared" si="40"/>
        <v>1.647266869345021E-3</v>
      </c>
      <c r="D341">
        <f t="shared" si="47"/>
        <v>1.3480951093207683E-3</v>
      </c>
      <c r="E341">
        <f>_xlfn.XLOOKUP(A341,VIX!A:A,VIX!B:B,"",-1)</f>
        <v>9.93</v>
      </c>
      <c r="F341">
        <f t="shared" si="41"/>
        <v>-9.9999999999999645E-2</v>
      </c>
      <c r="G341">
        <f>_xlfn.XLOOKUP(A341,'DGS10'!A:A,'DGS10'!B:B,"",-1)</f>
        <v>2.2599999999999998</v>
      </c>
      <c r="H341">
        <f t="shared" si="42"/>
        <v>-1.0000000000000231E-2</v>
      </c>
      <c r="I341" s="2">
        <f>_xlfn.XLOOKUP(A341,T10Y3M!A:A,T10Y3M!B:B,"",-1)</f>
        <v>1.24</v>
      </c>
      <c r="J341" s="2">
        <f>_xlfn.XLOOKUP(A341,BAMLC0A4CBBB!A:A,BAMLC0A4CBBB!B:B,"",-1)</f>
        <v>1.41</v>
      </c>
      <c r="K341" s="2">
        <f>_xlfn.XLOOKUP(A341,CPIAUCSL!A:A,CPIAUCSL!B:B,"",-1)</f>
        <v>245.18299999999999</v>
      </c>
      <c r="L341">
        <f>_xlfn.XLOOKUP(A341,DFF!A:A,DFF!B:B,"",-1)</f>
        <v>1.1599999999999999</v>
      </c>
      <c r="M341">
        <f>_xlfn.XLOOKUP(A341,'DGS2'!A:A,'DGS2'!B:B,"",-1)</f>
        <v>1.36</v>
      </c>
      <c r="N341">
        <f t="shared" si="43"/>
        <v>0</v>
      </c>
      <c r="O341">
        <f t="shared" si="44"/>
        <v>-2.4144366381689819E-3</v>
      </c>
      <c r="P341">
        <f t="shared" si="45"/>
        <v>0</v>
      </c>
      <c r="Q341">
        <f t="shared" si="46"/>
        <v>0</v>
      </c>
      <c r="R341" s="3">
        <v>47.12</v>
      </c>
    </row>
    <row r="342" spans="1:18">
      <c r="A342" s="1">
        <v>42955</v>
      </c>
      <c r="B342">
        <v>2474.92</v>
      </c>
      <c r="C342">
        <f t="shared" si="40"/>
        <v>-2.4144366381689819E-3</v>
      </c>
      <c r="D342">
        <f t="shared" si="47"/>
        <v>1.1164325933596952E-3</v>
      </c>
      <c r="E342">
        <f>_xlfn.XLOOKUP(A342,VIX!A:A,VIX!B:B,"",-1)</f>
        <v>10.96</v>
      </c>
      <c r="F342">
        <f t="shared" si="41"/>
        <v>1.0300000000000011</v>
      </c>
      <c r="G342">
        <f>_xlfn.XLOOKUP(A342,'DGS10'!A:A,'DGS10'!B:B,"",-1)</f>
        <v>2.29</v>
      </c>
      <c r="H342">
        <f t="shared" si="42"/>
        <v>3.0000000000000249E-2</v>
      </c>
      <c r="I342" s="2">
        <f>_xlfn.XLOOKUP(A342,T10Y3M!A:A,T10Y3M!B:B,"",-1)</f>
        <v>1.23</v>
      </c>
      <c r="J342" s="2">
        <f>_xlfn.XLOOKUP(A342,BAMLC0A4CBBB!A:A,BAMLC0A4CBBB!B:B,"",-1)</f>
        <v>1.41</v>
      </c>
      <c r="K342" s="2">
        <f>_xlfn.XLOOKUP(A342,CPIAUCSL!A:A,CPIAUCSL!B:B,"",-1)</f>
        <v>245.18299999999999</v>
      </c>
      <c r="L342">
        <f>_xlfn.XLOOKUP(A342,DFF!A:A,DFF!B:B,"",-1)</f>
        <v>1.1599999999999999</v>
      </c>
      <c r="M342">
        <f>_xlfn.XLOOKUP(A342,'DGS2'!A:A,'DGS2'!B:B,"",-1)</f>
        <v>1.36</v>
      </c>
      <c r="N342">
        <f t="shared" si="43"/>
        <v>0</v>
      </c>
      <c r="O342">
        <f t="shared" si="44"/>
        <v>-3.6364811791900209E-4</v>
      </c>
      <c r="P342">
        <f t="shared" si="45"/>
        <v>0</v>
      </c>
      <c r="Q342">
        <f t="shared" si="46"/>
        <v>0</v>
      </c>
      <c r="R342" s="3">
        <v>46.79</v>
      </c>
    </row>
    <row r="343" spans="1:18">
      <c r="A343" s="1">
        <v>42956</v>
      </c>
      <c r="B343">
        <v>2474.02</v>
      </c>
      <c r="C343">
        <f t="shared" si="40"/>
        <v>-3.6364811791900209E-4</v>
      </c>
      <c r="D343">
        <f t="shared" si="47"/>
        <v>-1.1345146820734842E-3</v>
      </c>
      <c r="E343">
        <f>_xlfn.XLOOKUP(A343,VIX!A:A,VIX!B:B,"",-1)</f>
        <v>11.11</v>
      </c>
      <c r="F343">
        <f t="shared" si="41"/>
        <v>0.14999999999999858</v>
      </c>
      <c r="G343">
        <f>_xlfn.XLOOKUP(A343,'DGS10'!A:A,'DGS10'!B:B,"",-1)</f>
        <v>2.2400000000000002</v>
      </c>
      <c r="H343">
        <f t="shared" si="42"/>
        <v>-4.9999999999999822E-2</v>
      </c>
      <c r="I343" s="2">
        <f>_xlfn.XLOOKUP(A343,T10Y3M!A:A,T10Y3M!B:B,"",-1)</f>
        <v>1.18</v>
      </c>
      <c r="J343" s="2">
        <f>_xlfn.XLOOKUP(A343,BAMLC0A4CBBB!A:A,BAMLC0A4CBBB!B:B,"",-1)</f>
        <v>1.44</v>
      </c>
      <c r="K343" s="2">
        <f>_xlfn.XLOOKUP(A343,CPIAUCSL!A:A,CPIAUCSL!B:B,"",-1)</f>
        <v>245.18299999999999</v>
      </c>
      <c r="L343">
        <f>_xlfn.XLOOKUP(A343,DFF!A:A,DFF!B:B,"",-1)</f>
        <v>1.1599999999999999</v>
      </c>
      <c r="M343">
        <f>_xlfn.XLOOKUP(A343,'DGS2'!A:A,'DGS2'!B:B,"",-1)</f>
        <v>1.33</v>
      </c>
      <c r="N343">
        <f t="shared" si="43"/>
        <v>-3.0000000000000027E-2</v>
      </c>
      <c r="O343">
        <f t="shared" si="44"/>
        <v>-1.447441815345063E-2</v>
      </c>
      <c r="P343">
        <f t="shared" si="45"/>
        <v>0</v>
      </c>
      <c r="Q343">
        <f t="shared" si="46"/>
        <v>-1</v>
      </c>
      <c r="R343" s="3">
        <v>45.77</v>
      </c>
    </row>
    <row r="344" spans="1:18">
      <c r="A344" s="1">
        <v>42957</v>
      </c>
      <c r="B344">
        <v>2438.21</v>
      </c>
      <c r="C344">
        <f t="shared" si="40"/>
        <v>-1.447441815345063E-2</v>
      </c>
      <c r="D344">
        <f t="shared" si="47"/>
        <v>-1.7211426452390377E-2</v>
      </c>
      <c r="E344">
        <f>_xlfn.XLOOKUP(A344,VIX!A:A,VIX!B:B,"",-1)</f>
        <v>16.04</v>
      </c>
      <c r="F344">
        <f t="shared" si="41"/>
        <v>4.93</v>
      </c>
      <c r="G344">
        <f>_xlfn.XLOOKUP(A344,'DGS10'!A:A,'DGS10'!B:B,"",-1)</f>
        <v>2.2000000000000002</v>
      </c>
      <c r="H344">
        <f t="shared" si="42"/>
        <v>-4.0000000000000036E-2</v>
      </c>
      <c r="I344" s="2">
        <f>_xlfn.XLOOKUP(A344,T10Y3M!A:A,T10Y3M!B:B,"",-1)</f>
        <v>1.1499999999999999</v>
      </c>
      <c r="J344" s="2">
        <f>_xlfn.XLOOKUP(A344,BAMLC0A4CBBB!A:A,BAMLC0A4CBBB!B:B,"",-1)</f>
        <v>1.46</v>
      </c>
      <c r="K344" s="2">
        <f>_xlfn.XLOOKUP(A344,CPIAUCSL!A:A,CPIAUCSL!B:B,"",-1)</f>
        <v>245.18299999999999</v>
      </c>
      <c r="L344">
        <f>_xlfn.XLOOKUP(A344,DFF!A:A,DFF!B:B,"",-1)</f>
        <v>1.1599999999999999</v>
      </c>
      <c r="M344">
        <f>_xlfn.XLOOKUP(A344,'DGS2'!A:A,'DGS2'!B:B,"",-1)</f>
        <v>1.33</v>
      </c>
      <c r="N344">
        <f t="shared" si="43"/>
        <v>0</v>
      </c>
      <c r="O344">
        <f t="shared" si="44"/>
        <v>1.2755258980974293E-3</v>
      </c>
      <c r="P344">
        <f t="shared" si="45"/>
        <v>1</v>
      </c>
      <c r="Q344">
        <f t="shared" si="46"/>
        <v>0</v>
      </c>
      <c r="R344" s="3">
        <v>46.34</v>
      </c>
    </row>
    <row r="345" spans="1:18">
      <c r="A345" s="1">
        <v>42958</v>
      </c>
      <c r="B345">
        <v>2441.3200000000002</v>
      </c>
      <c r="C345">
        <f t="shared" si="40"/>
        <v>1.2755258980974293E-3</v>
      </c>
      <c r="D345">
        <f t="shared" si="47"/>
        <v>-1.3576196402307894E-2</v>
      </c>
      <c r="E345">
        <f>_xlfn.XLOOKUP(A345,VIX!A:A,VIX!B:B,"",-1)</f>
        <v>15.51</v>
      </c>
      <c r="F345">
        <f t="shared" si="41"/>
        <v>-0.52999999999999936</v>
      </c>
      <c r="G345">
        <f>_xlfn.XLOOKUP(A345,'DGS10'!A:A,'DGS10'!B:B,"",-1)</f>
        <v>2.19</v>
      </c>
      <c r="H345">
        <f t="shared" si="42"/>
        <v>-1.0000000000000231E-2</v>
      </c>
      <c r="I345" s="2">
        <f>_xlfn.XLOOKUP(A345,T10Y3M!A:A,T10Y3M!B:B,"",-1)</f>
        <v>1.1599999999999999</v>
      </c>
      <c r="J345" s="2">
        <f>_xlfn.XLOOKUP(A345,BAMLC0A4CBBB!A:A,BAMLC0A4CBBB!B:B,"",-1)</f>
        <v>1.48</v>
      </c>
      <c r="K345" s="2">
        <f>_xlfn.XLOOKUP(A345,CPIAUCSL!A:A,CPIAUCSL!B:B,"",-1)</f>
        <v>245.18299999999999</v>
      </c>
      <c r="L345">
        <f>_xlfn.XLOOKUP(A345,DFF!A:A,DFF!B:B,"",-1)</f>
        <v>1.1599999999999999</v>
      </c>
      <c r="M345">
        <f>_xlfn.XLOOKUP(A345,'DGS2'!A:A,'DGS2'!B:B,"",-1)</f>
        <v>1.3</v>
      </c>
      <c r="N345">
        <f t="shared" si="43"/>
        <v>-3.0000000000000027E-2</v>
      </c>
      <c r="O345">
        <f t="shared" si="44"/>
        <v>1.004374682548792E-2</v>
      </c>
      <c r="P345">
        <f t="shared" si="45"/>
        <v>1</v>
      </c>
      <c r="Q345">
        <f t="shared" si="46"/>
        <v>1</v>
      </c>
      <c r="R345" s="3">
        <v>47.89</v>
      </c>
    </row>
    <row r="346" spans="1:18">
      <c r="A346" s="1">
        <v>42961</v>
      </c>
      <c r="B346">
        <v>2465.84</v>
      </c>
      <c r="C346">
        <f t="shared" si="40"/>
        <v>1.004374682548792E-2</v>
      </c>
      <c r="D346">
        <f t="shared" si="47"/>
        <v>-3.3063596898973424E-3</v>
      </c>
      <c r="E346">
        <f>_xlfn.XLOOKUP(A346,VIX!A:A,VIX!B:B,"",-1)</f>
        <v>12.33</v>
      </c>
      <c r="F346">
        <f t="shared" si="41"/>
        <v>-3.1799999999999997</v>
      </c>
      <c r="G346">
        <f>_xlfn.XLOOKUP(A346,'DGS10'!A:A,'DGS10'!B:B,"",-1)</f>
        <v>2.2200000000000002</v>
      </c>
      <c r="H346">
        <f t="shared" si="42"/>
        <v>3.0000000000000249E-2</v>
      </c>
      <c r="I346" s="2">
        <f>_xlfn.XLOOKUP(A346,T10Y3M!A:A,T10Y3M!B:B,"",-1)</f>
        <v>1.2</v>
      </c>
      <c r="J346" s="2">
        <f>_xlfn.XLOOKUP(A346,BAMLC0A4CBBB!A:A,BAMLC0A4CBBB!B:B,"",-1)</f>
        <v>1.47</v>
      </c>
      <c r="K346" s="2">
        <f>_xlfn.XLOOKUP(A346,CPIAUCSL!A:A,CPIAUCSL!B:B,"",-1)</f>
        <v>245.18299999999999</v>
      </c>
      <c r="L346">
        <f>_xlfn.XLOOKUP(A346,DFF!A:A,DFF!B:B,"",-1)</f>
        <v>1.1599999999999999</v>
      </c>
      <c r="M346">
        <f>_xlfn.XLOOKUP(A346,'DGS2'!A:A,'DGS2'!B:B,"",-1)</f>
        <v>1.33</v>
      </c>
      <c r="N346">
        <f t="shared" si="43"/>
        <v>3.0000000000000027E-2</v>
      </c>
      <c r="O346">
        <f t="shared" si="44"/>
        <v>-4.9881581935573571E-4</v>
      </c>
      <c r="P346">
        <f t="shared" si="45"/>
        <v>0</v>
      </c>
      <c r="Q346">
        <f t="shared" si="46"/>
        <v>0</v>
      </c>
      <c r="R346" s="3">
        <v>48.75</v>
      </c>
    </row>
    <row r="347" spans="1:18">
      <c r="A347" s="1">
        <v>42962</v>
      </c>
      <c r="B347">
        <v>2464.61</v>
      </c>
      <c r="C347">
        <f t="shared" si="40"/>
        <v>-4.9881581935573571E-4</v>
      </c>
      <c r="D347">
        <f t="shared" si="47"/>
        <v>1.0827615340762264E-2</v>
      </c>
      <c r="E347">
        <f>_xlfn.XLOOKUP(A347,VIX!A:A,VIX!B:B,"",-1)</f>
        <v>12.04</v>
      </c>
      <c r="F347">
        <f t="shared" si="41"/>
        <v>-0.29000000000000092</v>
      </c>
      <c r="G347">
        <f>_xlfn.XLOOKUP(A347,'DGS10'!A:A,'DGS10'!B:B,"",-1)</f>
        <v>2.27</v>
      </c>
      <c r="H347">
        <f t="shared" si="42"/>
        <v>4.9999999999999822E-2</v>
      </c>
      <c r="I347" s="2">
        <f>_xlfn.XLOOKUP(A347,T10Y3M!A:A,T10Y3M!B:B,"",-1)</f>
        <v>1.23</v>
      </c>
      <c r="J347" s="2">
        <f>_xlfn.XLOOKUP(A347,BAMLC0A4CBBB!A:A,BAMLC0A4CBBB!B:B,"",-1)</f>
        <v>1.46</v>
      </c>
      <c r="K347" s="2">
        <f>_xlfn.XLOOKUP(A347,CPIAUCSL!A:A,CPIAUCSL!B:B,"",-1)</f>
        <v>245.18299999999999</v>
      </c>
      <c r="L347">
        <f>_xlfn.XLOOKUP(A347,DFF!A:A,DFF!B:B,"",-1)</f>
        <v>1.1599999999999999</v>
      </c>
      <c r="M347">
        <f>_xlfn.XLOOKUP(A347,'DGS2'!A:A,'DGS2'!B:B,"",-1)</f>
        <v>1.35</v>
      </c>
      <c r="N347">
        <f t="shared" si="43"/>
        <v>2.0000000000000018E-2</v>
      </c>
      <c r="O347">
        <f t="shared" si="44"/>
        <v>1.4201029777529683E-3</v>
      </c>
      <c r="P347">
        <f t="shared" si="45"/>
        <v>1</v>
      </c>
      <c r="Q347">
        <f t="shared" si="46"/>
        <v>0</v>
      </c>
      <c r="R347" s="3">
        <v>49.04</v>
      </c>
    </row>
    <row r="348" spans="1:18">
      <c r="A348" s="1">
        <v>42963</v>
      </c>
      <c r="B348">
        <v>2468.11</v>
      </c>
      <c r="C348">
        <f t="shared" si="40"/>
        <v>1.4201029777529683E-3</v>
      </c>
      <c r="D348">
        <f t="shared" si="47"/>
        <v>1.0973571674339988E-2</v>
      </c>
      <c r="E348">
        <f>_xlfn.XLOOKUP(A348,VIX!A:A,VIX!B:B,"",-1)</f>
        <v>11.74</v>
      </c>
      <c r="F348">
        <f t="shared" si="41"/>
        <v>-0.29999999999999893</v>
      </c>
      <c r="G348">
        <f>_xlfn.XLOOKUP(A348,'DGS10'!A:A,'DGS10'!B:B,"",-1)</f>
        <v>2.23</v>
      </c>
      <c r="H348">
        <f t="shared" si="42"/>
        <v>-4.0000000000000036E-2</v>
      </c>
      <c r="I348" s="2">
        <f>_xlfn.XLOOKUP(A348,T10Y3M!A:A,T10Y3M!B:B,"",-1)</f>
        <v>1.21</v>
      </c>
      <c r="J348" s="2">
        <f>_xlfn.XLOOKUP(A348,BAMLC0A4CBBB!A:A,BAMLC0A4CBBB!B:B,"",-1)</f>
        <v>1.46</v>
      </c>
      <c r="K348" s="2">
        <f>_xlfn.XLOOKUP(A348,CPIAUCSL!A:A,CPIAUCSL!B:B,"",-1)</f>
        <v>245.18299999999999</v>
      </c>
      <c r="L348">
        <f>_xlfn.XLOOKUP(A348,DFF!A:A,DFF!B:B,"",-1)</f>
        <v>1.1599999999999999</v>
      </c>
      <c r="M348">
        <f>_xlfn.XLOOKUP(A348,'DGS2'!A:A,'DGS2'!B:B,"",-1)</f>
        <v>1.33</v>
      </c>
      <c r="N348">
        <f t="shared" si="43"/>
        <v>-2.0000000000000018E-2</v>
      </c>
      <c r="O348">
        <f t="shared" si="44"/>
        <v>-1.5436913265616137E-2</v>
      </c>
      <c r="P348">
        <f t="shared" si="45"/>
        <v>0</v>
      </c>
      <c r="Q348">
        <f t="shared" si="46"/>
        <v>-1</v>
      </c>
      <c r="R348" s="3">
        <v>49.71</v>
      </c>
    </row>
    <row r="349" spans="1:18">
      <c r="A349" s="1">
        <v>42964</v>
      </c>
      <c r="B349">
        <v>2430.0100000000002</v>
      </c>
      <c r="C349">
        <f t="shared" si="40"/>
        <v>-1.5436913265616137E-2</v>
      </c>
      <c r="D349">
        <f t="shared" si="47"/>
        <v>-1.4530545371962411E-2</v>
      </c>
      <c r="E349">
        <f>_xlfn.XLOOKUP(A349,VIX!A:A,VIX!B:B,"",-1)</f>
        <v>15.55</v>
      </c>
      <c r="F349">
        <f t="shared" si="41"/>
        <v>3.8100000000000005</v>
      </c>
      <c r="G349">
        <f>_xlfn.XLOOKUP(A349,'DGS10'!A:A,'DGS10'!B:B,"",-1)</f>
        <v>2.19</v>
      </c>
      <c r="H349">
        <f t="shared" si="42"/>
        <v>-4.0000000000000036E-2</v>
      </c>
      <c r="I349" s="2">
        <f>_xlfn.XLOOKUP(A349,T10Y3M!A:A,T10Y3M!B:B,"",-1)</f>
        <v>1.19</v>
      </c>
      <c r="J349" s="2">
        <f>_xlfn.XLOOKUP(A349,BAMLC0A4CBBB!A:A,BAMLC0A4CBBB!B:B,"",-1)</f>
        <v>1.46</v>
      </c>
      <c r="K349" s="2">
        <f>_xlfn.XLOOKUP(A349,CPIAUCSL!A:A,CPIAUCSL!B:B,"",-1)</f>
        <v>245.18299999999999</v>
      </c>
      <c r="L349">
        <f>_xlfn.XLOOKUP(A349,DFF!A:A,DFF!B:B,"",-1)</f>
        <v>1.1599999999999999</v>
      </c>
      <c r="M349">
        <f>_xlfn.XLOOKUP(A349,'DGS2'!A:A,'DGS2'!B:B,"",-1)</f>
        <v>1.32</v>
      </c>
      <c r="N349">
        <f t="shared" si="43"/>
        <v>-1.0000000000000009E-2</v>
      </c>
      <c r="O349">
        <f t="shared" si="44"/>
        <v>-1.8353833934839914E-3</v>
      </c>
      <c r="P349">
        <f t="shared" si="45"/>
        <v>0</v>
      </c>
      <c r="Q349">
        <f t="shared" si="46"/>
        <v>0</v>
      </c>
      <c r="R349" s="3">
        <v>50.17</v>
      </c>
    </row>
    <row r="350" spans="1:18">
      <c r="A350" s="1">
        <v>42965</v>
      </c>
      <c r="B350">
        <v>2425.5500000000002</v>
      </c>
      <c r="C350">
        <f t="shared" si="40"/>
        <v>-1.8353833934839914E-3</v>
      </c>
      <c r="D350">
        <f t="shared" si="47"/>
        <v>-1.584834923172429E-2</v>
      </c>
      <c r="E350">
        <f>_xlfn.XLOOKUP(A350,VIX!A:A,VIX!B:B,"",-1)</f>
        <v>14.26</v>
      </c>
      <c r="F350">
        <f t="shared" si="41"/>
        <v>-1.2900000000000009</v>
      </c>
      <c r="G350">
        <f>_xlfn.XLOOKUP(A350,'DGS10'!A:A,'DGS10'!B:B,"",-1)</f>
        <v>2.19</v>
      </c>
      <c r="H350">
        <f t="shared" si="42"/>
        <v>0</v>
      </c>
      <c r="I350" s="2">
        <f>_xlfn.XLOOKUP(A350,T10Y3M!A:A,T10Y3M!B:B,"",-1)</f>
        <v>1.17</v>
      </c>
      <c r="J350" s="2">
        <f>_xlfn.XLOOKUP(A350,BAMLC0A4CBBB!A:A,BAMLC0A4CBBB!B:B,"",-1)</f>
        <v>1.47</v>
      </c>
      <c r="K350" s="2">
        <f>_xlfn.XLOOKUP(A350,CPIAUCSL!A:A,CPIAUCSL!B:B,"",-1)</f>
        <v>245.18299999999999</v>
      </c>
      <c r="L350">
        <f>_xlfn.XLOOKUP(A350,DFF!A:A,DFF!B:B,"",-1)</f>
        <v>1.1599999999999999</v>
      </c>
      <c r="M350">
        <f>_xlfn.XLOOKUP(A350,'DGS2'!A:A,'DGS2'!B:B,"",-1)</f>
        <v>1.33</v>
      </c>
      <c r="N350">
        <f t="shared" si="43"/>
        <v>1.0000000000000009E-2</v>
      </c>
      <c r="O350">
        <f t="shared" si="44"/>
        <v>1.1626229102676966E-3</v>
      </c>
      <c r="P350">
        <f t="shared" si="45"/>
        <v>1</v>
      </c>
      <c r="Q350">
        <f t="shared" si="46"/>
        <v>0</v>
      </c>
      <c r="R350" s="3">
        <v>49.16</v>
      </c>
    </row>
    <row r="351" spans="1:18">
      <c r="A351" s="1">
        <v>42968</v>
      </c>
      <c r="B351">
        <v>2428.37</v>
      </c>
      <c r="C351">
        <f t="shared" si="40"/>
        <v>1.1626229102676966E-3</v>
      </c>
      <c r="D351">
        <f t="shared" si="47"/>
        <v>-1.610138932219396E-2</v>
      </c>
      <c r="E351">
        <f>_xlfn.XLOOKUP(A351,VIX!A:A,VIX!B:B,"",-1)</f>
        <v>13.19</v>
      </c>
      <c r="F351">
        <f t="shared" si="41"/>
        <v>-1.0700000000000003</v>
      </c>
      <c r="G351">
        <f>_xlfn.XLOOKUP(A351,'DGS10'!A:A,'DGS10'!B:B,"",-1)</f>
        <v>2.1800000000000002</v>
      </c>
      <c r="H351">
        <f t="shared" si="42"/>
        <v>-9.9999999999997868E-3</v>
      </c>
      <c r="I351" s="2">
        <f>_xlfn.XLOOKUP(A351,T10Y3M!A:A,T10Y3M!B:B,"",-1)</f>
        <v>1.18</v>
      </c>
      <c r="J351" s="2">
        <f>_xlfn.XLOOKUP(A351,BAMLC0A4CBBB!A:A,BAMLC0A4CBBB!B:B,"",-1)</f>
        <v>1.47</v>
      </c>
      <c r="K351" s="2">
        <f>_xlfn.XLOOKUP(A351,CPIAUCSL!A:A,CPIAUCSL!B:B,"",-1)</f>
        <v>245.18299999999999</v>
      </c>
      <c r="L351">
        <f>_xlfn.XLOOKUP(A351,DFF!A:A,DFF!B:B,"",-1)</f>
        <v>1.1599999999999999</v>
      </c>
      <c r="M351">
        <f>_xlfn.XLOOKUP(A351,'DGS2'!A:A,'DGS2'!B:B,"",-1)</f>
        <v>1.32</v>
      </c>
      <c r="N351">
        <f t="shared" si="43"/>
        <v>-1.0000000000000009E-2</v>
      </c>
      <c r="O351">
        <f t="shared" si="44"/>
        <v>9.9408245036796128E-3</v>
      </c>
      <c r="P351">
        <f t="shared" si="45"/>
        <v>1</v>
      </c>
      <c r="Q351">
        <f t="shared" si="46"/>
        <v>1</v>
      </c>
      <c r="R351" s="3">
        <v>49.59</v>
      </c>
    </row>
    <row r="352" spans="1:18">
      <c r="A352" s="1">
        <v>42969</v>
      </c>
      <c r="B352">
        <v>2452.5100000000002</v>
      </c>
      <c r="C352">
        <f t="shared" si="40"/>
        <v>9.9408245036796128E-3</v>
      </c>
      <c r="D352">
        <f t="shared" si="47"/>
        <v>9.2592211554685111E-3</v>
      </c>
      <c r="E352">
        <f>_xlfn.XLOOKUP(A352,VIX!A:A,VIX!B:B,"",-1)</f>
        <v>11.35</v>
      </c>
      <c r="F352">
        <f t="shared" si="41"/>
        <v>-1.8399999999999999</v>
      </c>
      <c r="G352">
        <f>_xlfn.XLOOKUP(A352,'DGS10'!A:A,'DGS10'!B:B,"",-1)</f>
        <v>2.2200000000000002</v>
      </c>
      <c r="H352">
        <f t="shared" si="42"/>
        <v>4.0000000000000036E-2</v>
      </c>
      <c r="I352" s="2">
        <f>_xlfn.XLOOKUP(A352,T10Y3M!A:A,T10Y3M!B:B,"",-1)</f>
        <v>1.22</v>
      </c>
      <c r="J352" s="2">
        <f>_xlfn.XLOOKUP(A352,BAMLC0A4CBBB!A:A,BAMLC0A4CBBB!B:B,"",-1)</f>
        <v>1.47</v>
      </c>
      <c r="K352" s="2">
        <f>_xlfn.XLOOKUP(A352,CPIAUCSL!A:A,CPIAUCSL!B:B,"",-1)</f>
        <v>245.18299999999999</v>
      </c>
      <c r="L352">
        <f>_xlfn.XLOOKUP(A352,DFF!A:A,DFF!B:B,"",-1)</f>
        <v>1.1599999999999999</v>
      </c>
      <c r="M352">
        <f>_xlfn.XLOOKUP(A352,'DGS2'!A:A,'DGS2'!B:B,"",-1)</f>
        <v>1.33</v>
      </c>
      <c r="N352">
        <f t="shared" si="43"/>
        <v>1.0000000000000009E-2</v>
      </c>
      <c r="O352">
        <f t="shared" si="44"/>
        <v>-3.4536046743949278E-3</v>
      </c>
      <c r="P352">
        <f t="shared" si="45"/>
        <v>0</v>
      </c>
      <c r="Q352">
        <f t="shared" si="46"/>
        <v>-1</v>
      </c>
      <c r="R352" s="3">
        <v>49.03</v>
      </c>
    </row>
    <row r="353" spans="1:18">
      <c r="A353" s="1">
        <v>42970</v>
      </c>
      <c r="B353">
        <v>2444.04</v>
      </c>
      <c r="C353">
        <f t="shared" si="40"/>
        <v>-3.4536046743949278E-3</v>
      </c>
      <c r="D353">
        <f t="shared" si="47"/>
        <v>7.6230133371810727E-3</v>
      </c>
      <c r="E353">
        <f>_xlfn.XLOOKUP(A353,VIX!A:A,VIX!B:B,"",-1)</f>
        <v>12.25</v>
      </c>
      <c r="F353">
        <f t="shared" si="41"/>
        <v>0.90000000000000036</v>
      </c>
      <c r="G353">
        <f>_xlfn.XLOOKUP(A353,'DGS10'!A:A,'DGS10'!B:B,"",-1)</f>
        <v>2.17</v>
      </c>
      <c r="H353">
        <f t="shared" si="42"/>
        <v>-5.0000000000000266E-2</v>
      </c>
      <c r="I353" s="2">
        <f>_xlfn.XLOOKUP(A353,T10Y3M!A:A,T10Y3M!B:B,"",-1)</f>
        <v>1.17</v>
      </c>
      <c r="J353" s="2">
        <f>_xlfn.XLOOKUP(A353,BAMLC0A4CBBB!A:A,BAMLC0A4CBBB!B:B,"",-1)</f>
        <v>1.47</v>
      </c>
      <c r="K353" s="2">
        <f>_xlfn.XLOOKUP(A353,CPIAUCSL!A:A,CPIAUCSL!B:B,"",-1)</f>
        <v>245.18299999999999</v>
      </c>
      <c r="L353">
        <f>_xlfn.XLOOKUP(A353,DFF!A:A,DFF!B:B,"",-1)</f>
        <v>1.1599999999999999</v>
      </c>
      <c r="M353">
        <f>_xlfn.XLOOKUP(A353,'DGS2'!A:A,'DGS2'!B:B,"",-1)</f>
        <v>1.32</v>
      </c>
      <c r="N353">
        <f t="shared" si="43"/>
        <v>-1.0000000000000009E-2</v>
      </c>
      <c r="O353">
        <f t="shared" si="44"/>
        <v>-2.0744341336476069E-3</v>
      </c>
      <c r="P353">
        <f t="shared" si="45"/>
        <v>0</v>
      </c>
      <c r="Q353">
        <f t="shared" si="46"/>
        <v>0</v>
      </c>
      <c r="R353" s="3">
        <v>49.58</v>
      </c>
    </row>
    <row r="354" spans="1:18">
      <c r="A354" s="1">
        <v>42971</v>
      </c>
      <c r="B354">
        <v>2438.9699999999998</v>
      </c>
      <c r="C354">
        <f t="shared" si="40"/>
        <v>-2.0744341336476069E-3</v>
      </c>
      <c r="D354">
        <f t="shared" si="47"/>
        <v>4.3650679262221548E-3</v>
      </c>
      <c r="E354">
        <f>_xlfn.XLOOKUP(A354,VIX!A:A,VIX!B:B,"",-1)</f>
        <v>12.23</v>
      </c>
      <c r="F354">
        <f t="shared" si="41"/>
        <v>-1.9999999999999574E-2</v>
      </c>
      <c r="G354">
        <f>_xlfn.XLOOKUP(A354,'DGS10'!A:A,'DGS10'!B:B,"",-1)</f>
        <v>2.19</v>
      </c>
      <c r="H354">
        <f t="shared" si="42"/>
        <v>2.0000000000000018E-2</v>
      </c>
      <c r="I354" s="2">
        <f>_xlfn.XLOOKUP(A354,T10Y3M!A:A,T10Y3M!B:B,"",-1)</f>
        <v>1.17</v>
      </c>
      <c r="J354" s="2">
        <f>_xlfn.XLOOKUP(A354,BAMLC0A4CBBB!A:A,BAMLC0A4CBBB!B:B,"",-1)</f>
        <v>1.47</v>
      </c>
      <c r="K354" s="2">
        <f>_xlfn.XLOOKUP(A354,CPIAUCSL!A:A,CPIAUCSL!B:B,"",-1)</f>
        <v>245.18299999999999</v>
      </c>
      <c r="L354">
        <f>_xlfn.XLOOKUP(A354,DFF!A:A,DFF!B:B,"",-1)</f>
        <v>1.1599999999999999</v>
      </c>
      <c r="M354">
        <f>_xlfn.XLOOKUP(A354,'DGS2'!A:A,'DGS2'!B:B,"",-1)</f>
        <v>1.33</v>
      </c>
      <c r="N354">
        <f t="shared" si="43"/>
        <v>1.0000000000000009E-2</v>
      </c>
      <c r="O354">
        <f t="shared" si="44"/>
        <v>1.6728373042720346E-3</v>
      </c>
      <c r="P354">
        <f t="shared" si="45"/>
        <v>1</v>
      </c>
      <c r="Q354">
        <f t="shared" si="46"/>
        <v>0</v>
      </c>
      <c r="R354" s="3">
        <v>49.39</v>
      </c>
    </row>
    <row r="355" spans="1:18">
      <c r="A355" s="1">
        <v>42972</v>
      </c>
      <c r="B355">
        <v>2443.0500000000002</v>
      </c>
      <c r="C355">
        <f t="shared" si="40"/>
        <v>1.6728373042720346E-3</v>
      </c>
      <c r="D355">
        <f t="shared" si="47"/>
        <v>-3.8572727532202311E-3</v>
      </c>
      <c r="E355">
        <f>_xlfn.XLOOKUP(A355,VIX!A:A,VIX!B:B,"",-1)</f>
        <v>11.28</v>
      </c>
      <c r="F355">
        <f t="shared" si="41"/>
        <v>-0.95000000000000107</v>
      </c>
      <c r="G355">
        <f>_xlfn.XLOOKUP(A355,'DGS10'!A:A,'DGS10'!B:B,"",-1)</f>
        <v>2.17</v>
      </c>
      <c r="H355">
        <f t="shared" si="42"/>
        <v>-2.0000000000000018E-2</v>
      </c>
      <c r="I355" s="2">
        <f>_xlfn.XLOOKUP(A355,T10Y3M!A:A,T10Y3M!B:B,"",-1)</f>
        <v>1.1399999999999999</v>
      </c>
      <c r="J355" s="2">
        <f>_xlfn.XLOOKUP(A355,BAMLC0A4CBBB!A:A,BAMLC0A4CBBB!B:B,"",-1)</f>
        <v>1.47</v>
      </c>
      <c r="K355" s="2">
        <f>_xlfn.XLOOKUP(A355,CPIAUCSL!A:A,CPIAUCSL!B:B,"",-1)</f>
        <v>245.18299999999999</v>
      </c>
      <c r="L355">
        <f>_xlfn.XLOOKUP(A355,DFF!A:A,DFF!B:B,"",-1)</f>
        <v>1.1599999999999999</v>
      </c>
      <c r="M355">
        <f>_xlfn.XLOOKUP(A355,'DGS2'!A:A,'DGS2'!B:B,"",-1)</f>
        <v>1.35</v>
      </c>
      <c r="N355">
        <f t="shared" si="43"/>
        <v>2.0000000000000018E-2</v>
      </c>
      <c r="O355">
        <f t="shared" si="44"/>
        <v>4.8709604797259054E-4</v>
      </c>
      <c r="P355">
        <f t="shared" si="45"/>
        <v>1</v>
      </c>
      <c r="Q355">
        <f t="shared" si="46"/>
        <v>0</v>
      </c>
      <c r="R355" s="3">
        <v>49.17</v>
      </c>
    </row>
    <row r="356" spans="1:18">
      <c r="A356" s="1">
        <v>42975</v>
      </c>
      <c r="B356">
        <v>2444.2399999999998</v>
      </c>
      <c r="C356">
        <f t="shared" si="40"/>
        <v>4.8709604797259054E-4</v>
      </c>
      <c r="D356">
        <f t="shared" si="47"/>
        <v>8.1831721248315503E-5</v>
      </c>
      <c r="E356">
        <f>_xlfn.XLOOKUP(A356,VIX!A:A,VIX!B:B,"",-1)</f>
        <v>11.32</v>
      </c>
      <c r="F356">
        <f t="shared" si="41"/>
        <v>4.0000000000000924E-2</v>
      </c>
      <c r="G356">
        <f>_xlfn.XLOOKUP(A356,'DGS10'!A:A,'DGS10'!B:B,"",-1)</f>
        <v>2.16</v>
      </c>
      <c r="H356">
        <f t="shared" si="42"/>
        <v>-9.9999999999997868E-3</v>
      </c>
      <c r="I356" s="2">
        <f>_xlfn.XLOOKUP(A356,T10Y3M!A:A,T10Y3M!B:B,"",-1)</f>
        <v>1.18</v>
      </c>
      <c r="J356" s="2">
        <f>_xlfn.XLOOKUP(A356,BAMLC0A4CBBB!A:A,BAMLC0A4CBBB!B:B,"",-1)</f>
        <v>1.47</v>
      </c>
      <c r="K356" s="2">
        <f>_xlfn.XLOOKUP(A356,CPIAUCSL!A:A,CPIAUCSL!B:B,"",-1)</f>
        <v>245.18299999999999</v>
      </c>
      <c r="L356">
        <f>_xlfn.XLOOKUP(A356,DFF!A:A,DFF!B:B,"",-1)</f>
        <v>1.1599999999999999</v>
      </c>
      <c r="M356">
        <f>_xlfn.XLOOKUP(A356,'DGS2'!A:A,'DGS2'!B:B,"",-1)</f>
        <v>1.33</v>
      </c>
      <c r="N356">
        <f t="shared" si="43"/>
        <v>-2.0000000000000018E-2</v>
      </c>
      <c r="O356">
        <f t="shared" si="44"/>
        <v>8.4279776126749972E-4</v>
      </c>
      <c r="P356">
        <f t="shared" si="45"/>
        <v>1</v>
      </c>
      <c r="Q356">
        <f t="shared" si="46"/>
        <v>0</v>
      </c>
      <c r="R356" s="3">
        <v>49.56</v>
      </c>
    </row>
    <row r="357" spans="1:18">
      <c r="A357" s="1">
        <v>42976</v>
      </c>
      <c r="B357">
        <v>2446.3000000000002</v>
      </c>
      <c r="C357">
        <f t="shared" si="40"/>
        <v>8.4279776126749972E-4</v>
      </c>
      <c r="D357">
        <f t="shared" si="47"/>
        <v>3.0053670196847904E-3</v>
      </c>
      <c r="E357">
        <f>_xlfn.XLOOKUP(A357,VIX!A:A,VIX!B:B,"",-1)</f>
        <v>11.7</v>
      </c>
      <c r="F357">
        <f t="shared" si="41"/>
        <v>0.37999999999999901</v>
      </c>
      <c r="G357">
        <f>_xlfn.XLOOKUP(A357,'DGS10'!A:A,'DGS10'!B:B,"",-1)</f>
        <v>2.13</v>
      </c>
      <c r="H357">
        <f t="shared" si="42"/>
        <v>-3.0000000000000249E-2</v>
      </c>
      <c r="I357" s="2">
        <f>_xlfn.XLOOKUP(A357,T10Y3M!A:A,T10Y3M!B:B,"",-1)</f>
        <v>1.1000000000000001</v>
      </c>
      <c r="J357" s="2">
        <f>_xlfn.XLOOKUP(A357,BAMLC0A4CBBB!A:A,BAMLC0A4CBBB!B:B,"",-1)</f>
        <v>1.47</v>
      </c>
      <c r="K357" s="2">
        <f>_xlfn.XLOOKUP(A357,CPIAUCSL!A:A,CPIAUCSL!B:B,"",-1)</f>
        <v>245.18299999999999</v>
      </c>
      <c r="L357">
        <f>_xlfn.XLOOKUP(A357,DFF!A:A,DFF!B:B,"",-1)</f>
        <v>1.1599999999999999</v>
      </c>
      <c r="M357">
        <f>_xlfn.XLOOKUP(A357,'DGS2'!A:A,'DGS2'!B:B,"",-1)</f>
        <v>1.33</v>
      </c>
      <c r="N357">
        <f t="shared" si="43"/>
        <v>0</v>
      </c>
      <c r="O357">
        <f t="shared" si="44"/>
        <v>4.6151330580876948E-3</v>
      </c>
      <c r="P357">
        <f t="shared" si="45"/>
        <v>1</v>
      </c>
      <c r="Q357">
        <f t="shared" si="46"/>
        <v>1</v>
      </c>
      <c r="R357" s="3">
        <v>48.59</v>
      </c>
    </row>
    <row r="358" spans="1:18">
      <c r="A358" s="1">
        <v>42977</v>
      </c>
      <c r="B358">
        <v>2457.59</v>
      </c>
      <c r="C358">
        <f t="shared" si="40"/>
        <v>4.6151330580876948E-3</v>
      </c>
      <c r="D358">
        <f t="shared" si="47"/>
        <v>5.9515769222897585E-3</v>
      </c>
      <c r="E358">
        <f>_xlfn.XLOOKUP(A358,VIX!A:A,VIX!B:B,"",-1)</f>
        <v>11.22</v>
      </c>
      <c r="F358">
        <f t="shared" si="41"/>
        <v>-0.47999999999999865</v>
      </c>
      <c r="G358">
        <f>_xlfn.XLOOKUP(A358,'DGS10'!A:A,'DGS10'!B:B,"",-1)</f>
        <v>2.15</v>
      </c>
      <c r="H358">
        <f t="shared" si="42"/>
        <v>2.0000000000000018E-2</v>
      </c>
      <c r="I358" s="2">
        <f>_xlfn.XLOOKUP(A358,T10Y3M!A:A,T10Y3M!B:B,"",-1)</f>
        <v>1.1200000000000001</v>
      </c>
      <c r="J358" s="2">
        <f>_xlfn.XLOOKUP(A358,BAMLC0A4CBBB!A:A,BAMLC0A4CBBB!B:B,"",-1)</f>
        <v>1.47</v>
      </c>
      <c r="K358" s="2">
        <f>_xlfn.XLOOKUP(A358,CPIAUCSL!A:A,CPIAUCSL!B:B,"",-1)</f>
        <v>245.18299999999999</v>
      </c>
      <c r="L358">
        <f>_xlfn.XLOOKUP(A358,DFF!A:A,DFF!B:B,"",-1)</f>
        <v>1.1599999999999999</v>
      </c>
      <c r="M358">
        <f>_xlfn.XLOOKUP(A358,'DGS2'!A:A,'DGS2'!B:B,"",-1)</f>
        <v>1.33</v>
      </c>
      <c r="N358">
        <f t="shared" si="43"/>
        <v>0</v>
      </c>
      <c r="O358">
        <f t="shared" si="44"/>
        <v>5.721051924853171E-3</v>
      </c>
      <c r="P358">
        <f t="shared" si="45"/>
        <v>1</v>
      </c>
      <c r="Q358">
        <f t="shared" si="46"/>
        <v>1</v>
      </c>
      <c r="R358" s="3">
        <v>48.82</v>
      </c>
    </row>
    <row r="359" spans="1:18">
      <c r="A359" s="1">
        <v>42978</v>
      </c>
      <c r="B359">
        <v>2471.65</v>
      </c>
      <c r="C359">
        <f t="shared" si="40"/>
        <v>5.721051924853171E-3</v>
      </c>
      <c r="D359">
        <f t="shared" si="47"/>
        <v>1.1214119726377314E-2</v>
      </c>
      <c r="E359">
        <f>_xlfn.XLOOKUP(A359,VIX!A:A,VIX!B:B,"",-1)</f>
        <v>10.59</v>
      </c>
      <c r="F359">
        <f t="shared" si="41"/>
        <v>-0.63000000000000078</v>
      </c>
      <c r="G359">
        <f>_xlfn.XLOOKUP(A359,'DGS10'!A:A,'DGS10'!B:B,"",-1)</f>
        <v>2.12</v>
      </c>
      <c r="H359">
        <f t="shared" si="42"/>
        <v>-2.9999999999999805E-2</v>
      </c>
      <c r="I359" s="2">
        <f>_xlfn.XLOOKUP(A359,T10Y3M!A:A,T10Y3M!B:B,"",-1)</f>
        <v>1.1100000000000001</v>
      </c>
      <c r="J359" s="2">
        <f>_xlfn.XLOOKUP(A359,BAMLC0A4CBBB!A:A,BAMLC0A4CBBB!B:B,"",-1)</f>
        <v>1.48</v>
      </c>
      <c r="K359" s="2">
        <f>_xlfn.XLOOKUP(A359,CPIAUCSL!A:A,CPIAUCSL!B:B,"",-1)</f>
        <v>245.18299999999999</v>
      </c>
      <c r="L359">
        <f>_xlfn.XLOOKUP(A359,DFF!A:A,DFF!B:B,"",-1)</f>
        <v>1.07</v>
      </c>
      <c r="M359">
        <f>_xlfn.XLOOKUP(A359,'DGS2'!A:A,'DGS2'!B:B,"",-1)</f>
        <v>1.33</v>
      </c>
      <c r="N359">
        <f t="shared" si="43"/>
        <v>0</v>
      </c>
      <c r="O359">
        <f t="shared" si="44"/>
        <v>1.9824813383773066E-3</v>
      </c>
      <c r="P359">
        <f t="shared" si="45"/>
        <v>1</v>
      </c>
      <c r="Q359">
        <f t="shared" si="46"/>
        <v>0</v>
      </c>
      <c r="R359" s="3">
        <v>47.59</v>
      </c>
    </row>
    <row r="360" spans="1:18">
      <c r="A360" s="1">
        <v>42979</v>
      </c>
      <c r="B360">
        <v>2476.5500000000002</v>
      </c>
      <c r="C360">
        <f t="shared" si="40"/>
        <v>1.9824813383773066E-3</v>
      </c>
      <c r="D360">
        <f t="shared" si="47"/>
        <v>1.2365613375301399E-2</v>
      </c>
      <c r="E360">
        <f>_xlfn.XLOOKUP(A360,VIX!A:A,VIX!B:B,"",-1)</f>
        <v>10.130000000000001</v>
      </c>
      <c r="F360">
        <f t="shared" si="41"/>
        <v>-0.45999999999999908</v>
      </c>
      <c r="G360">
        <f>_xlfn.XLOOKUP(A360,'DGS10'!A:A,'DGS10'!B:B,"",-1)</f>
        <v>2.16</v>
      </c>
      <c r="H360">
        <f t="shared" si="42"/>
        <v>4.0000000000000036E-2</v>
      </c>
      <c r="I360" s="2">
        <f>_xlfn.XLOOKUP(A360,T10Y3M!A:A,T10Y3M!B:B,"",-1)</f>
        <v>1.1399999999999999</v>
      </c>
      <c r="J360" s="2">
        <f>_xlfn.XLOOKUP(A360,BAMLC0A4CBBB!A:A,BAMLC0A4CBBB!B:B,"",-1)</f>
        <v>1.47</v>
      </c>
      <c r="K360" s="2">
        <f>_xlfn.XLOOKUP(A360,CPIAUCSL!A:A,CPIAUCSL!B:B,"",-1)</f>
        <v>246.435</v>
      </c>
      <c r="L360">
        <f>_xlfn.XLOOKUP(A360,DFF!A:A,DFF!B:B,"",-1)</f>
        <v>1.1599999999999999</v>
      </c>
      <c r="M360">
        <f>_xlfn.XLOOKUP(A360,'DGS2'!A:A,'DGS2'!B:B,"",-1)</f>
        <v>1.35</v>
      </c>
      <c r="N360">
        <f t="shared" si="43"/>
        <v>2.0000000000000018E-2</v>
      </c>
      <c r="O360">
        <f t="shared" si="44"/>
        <v>-7.5508267549616592E-3</v>
      </c>
      <c r="P360">
        <f t="shared" si="45"/>
        <v>0</v>
      </c>
      <c r="Q360">
        <f t="shared" si="46"/>
        <v>-1</v>
      </c>
      <c r="R360" s="3">
        <v>47.55</v>
      </c>
    </row>
    <row r="361" spans="1:18">
      <c r="A361" s="1">
        <v>42983</v>
      </c>
      <c r="B361">
        <v>2457.85</v>
      </c>
      <c r="C361">
        <f t="shared" si="40"/>
        <v>-7.5508267549616592E-3</v>
      </c>
      <c r="D361">
        <f t="shared" si="47"/>
        <v>1.0579470131300006E-4</v>
      </c>
      <c r="E361">
        <f>_xlfn.XLOOKUP(A361,VIX!A:A,VIX!B:B,"",-1)</f>
        <v>12.23</v>
      </c>
      <c r="F361">
        <f t="shared" si="41"/>
        <v>2.0999999999999996</v>
      </c>
      <c r="G361">
        <f>_xlfn.XLOOKUP(A361,'DGS10'!A:A,'DGS10'!B:B,"",-1)</f>
        <v>2.0699999999999998</v>
      </c>
      <c r="H361">
        <f t="shared" si="42"/>
        <v>-9.0000000000000302E-2</v>
      </c>
      <c r="I361" s="2">
        <f>_xlfn.XLOOKUP(A361,T10Y3M!A:A,T10Y3M!B:B,"",-1)</f>
        <v>1.04</v>
      </c>
      <c r="J361" s="2">
        <f>_xlfn.XLOOKUP(A361,BAMLC0A4CBBB!A:A,BAMLC0A4CBBB!B:B,"",-1)</f>
        <v>1.48</v>
      </c>
      <c r="K361" s="2">
        <f>_xlfn.XLOOKUP(A361,CPIAUCSL!A:A,CPIAUCSL!B:B,"",-1)</f>
        <v>246.435</v>
      </c>
      <c r="L361">
        <f>_xlfn.XLOOKUP(A361,DFF!A:A,DFF!B:B,"",-1)</f>
        <v>1.1599999999999999</v>
      </c>
      <c r="M361">
        <f>_xlfn.XLOOKUP(A361,'DGS2'!A:A,'DGS2'!B:B,"",-1)</f>
        <v>1.3</v>
      </c>
      <c r="N361">
        <f t="shared" si="43"/>
        <v>-5.0000000000000044E-2</v>
      </c>
      <c r="O361">
        <f t="shared" si="44"/>
        <v>3.128750737433128E-3</v>
      </c>
      <c r="P361">
        <f t="shared" si="45"/>
        <v>1</v>
      </c>
      <c r="Q361">
        <f t="shared" si="46"/>
        <v>1</v>
      </c>
      <c r="R361" s="3">
        <v>46.78</v>
      </c>
    </row>
    <row r="362" spans="1:18">
      <c r="A362" s="1">
        <v>42984</v>
      </c>
      <c r="B362">
        <v>2465.54</v>
      </c>
      <c r="C362">
        <f t="shared" si="40"/>
        <v>3.128750737433128E-3</v>
      </c>
      <c r="D362">
        <f t="shared" si="47"/>
        <v>-2.472032852547934E-3</v>
      </c>
      <c r="E362">
        <f>_xlfn.XLOOKUP(A362,VIX!A:A,VIX!B:B,"",-1)</f>
        <v>11.63</v>
      </c>
      <c r="F362">
        <f t="shared" si="41"/>
        <v>-0.59999999999999964</v>
      </c>
      <c r="G362">
        <f>_xlfn.XLOOKUP(A362,'DGS10'!A:A,'DGS10'!B:B,"",-1)</f>
        <v>2.1</v>
      </c>
      <c r="H362">
        <f t="shared" si="42"/>
        <v>3.0000000000000249E-2</v>
      </c>
      <c r="I362" s="2">
        <f>_xlfn.XLOOKUP(A362,T10Y3M!A:A,T10Y3M!B:B,"",-1)</f>
        <v>1.03</v>
      </c>
      <c r="J362" s="2">
        <f>_xlfn.XLOOKUP(A362,BAMLC0A4CBBB!A:A,BAMLC0A4CBBB!B:B,"",-1)</f>
        <v>1.48</v>
      </c>
      <c r="K362" s="2">
        <f>_xlfn.XLOOKUP(A362,CPIAUCSL!A:A,CPIAUCSL!B:B,"",-1)</f>
        <v>246.435</v>
      </c>
      <c r="L362">
        <f>_xlfn.XLOOKUP(A362,DFF!A:A,DFF!B:B,"",-1)</f>
        <v>1.1599999999999999</v>
      </c>
      <c r="M362">
        <f>_xlfn.XLOOKUP(A362,'DGS2'!A:A,'DGS2'!B:B,"",-1)</f>
        <v>1.3</v>
      </c>
      <c r="N362">
        <f t="shared" si="43"/>
        <v>0</v>
      </c>
      <c r="O362">
        <f t="shared" si="44"/>
        <v>-1.7845989113951521E-4</v>
      </c>
      <c r="P362">
        <f t="shared" si="45"/>
        <v>0</v>
      </c>
      <c r="Q362">
        <f t="shared" si="46"/>
        <v>0</v>
      </c>
      <c r="R362" s="3">
        <v>47.09</v>
      </c>
    </row>
    <row r="363" spans="1:18">
      <c r="A363" s="1">
        <v>42985</v>
      </c>
      <c r="B363">
        <v>2465.1</v>
      </c>
      <c r="C363">
        <f t="shared" si="40"/>
        <v>-1.7845989113951521E-4</v>
      </c>
      <c r="D363">
        <f t="shared" si="47"/>
        <v>-4.6233671841877655E-3</v>
      </c>
      <c r="E363">
        <f>_xlfn.XLOOKUP(A363,VIX!A:A,VIX!B:B,"",-1)</f>
        <v>11.55</v>
      </c>
      <c r="F363">
        <f t="shared" si="41"/>
        <v>-8.0000000000000071E-2</v>
      </c>
      <c r="G363">
        <f>_xlfn.XLOOKUP(A363,'DGS10'!A:A,'DGS10'!B:B,"",-1)</f>
        <v>2.0499999999999998</v>
      </c>
      <c r="H363">
        <f t="shared" si="42"/>
        <v>-5.0000000000000266E-2</v>
      </c>
      <c r="I363" s="2">
        <f>_xlfn.XLOOKUP(A363,T10Y3M!A:A,T10Y3M!B:B,"",-1)</f>
        <v>1</v>
      </c>
      <c r="J363" s="2">
        <f>_xlfn.XLOOKUP(A363,BAMLC0A4CBBB!A:A,BAMLC0A4CBBB!B:B,"",-1)</f>
        <v>1.49</v>
      </c>
      <c r="K363" s="2">
        <f>_xlfn.XLOOKUP(A363,CPIAUCSL!A:A,CPIAUCSL!B:B,"",-1)</f>
        <v>246.435</v>
      </c>
      <c r="L363">
        <f>_xlfn.XLOOKUP(A363,DFF!A:A,DFF!B:B,"",-1)</f>
        <v>1.1599999999999999</v>
      </c>
      <c r="M363">
        <f>_xlfn.XLOOKUP(A363,'DGS2'!A:A,'DGS2'!B:B,"",-1)</f>
        <v>1.27</v>
      </c>
      <c r="N363">
        <f t="shared" si="43"/>
        <v>-3.0000000000000027E-2</v>
      </c>
      <c r="O363">
        <f t="shared" si="44"/>
        <v>-1.488783416494277E-3</v>
      </c>
      <c r="P363">
        <f t="shared" si="45"/>
        <v>0</v>
      </c>
      <c r="Q363">
        <f t="shared" si="46"/>
        <v>0</v>
      </c>
      <c r="R363" s="3">
        <v>48.51</v>
      </c>
    </row>
    <row r="364" spans="1:18">
      <c r="A364" s="1">
        <v>42986</v>
      </c>
      <c r="B364">
        <v>2461.4299999999998</v>
      </c>
      <c r="C364">
        <f t="shared" si="40"/>
        <v>-1.488783416494277E-3</v>
      </c>
      <c r="D364">
        <f t="shared" si="47"/>
        <v>1.4565575604694736E-3</v>
      </c>
      <c r="E364">
        <f>_xlfn.XLOOKUP(A364,VIX!A:A,VIX!B:B,"",-1)</f>
        <v>12.12</v>
      </c>
      <c r="F364">
        <f t="shared" si="41"/>
        <v>0.56999999999999851</v>
      </c>
      <c r="G364">
        <f>_xlfn.XLOOKUP(A364,'DGS10'!A:A,'DGS10'!B:B,"",-1)</f>
        <v>2.06</v>
      </c>
      <c r="H364">
        <f t="shared" si="42"/>
        <v>1.0000000000000231E-2</v>
      </c>
      <c r="I364" s="2">
        <f>_xlfn.XLOOKUP(A364,T10Y3M!A:A,T10Y3M!B:B,"",-1)</f>
        <v>1.02</v>
      </c>
      <c r="J364" s="2">
        <f>_xlfn.XLOOKUP(A364,BAMLC0A4CBBB!A:A,BAMLC0A4CBBB!B:B,"",-1)</f>
        <v>1.49</v>
      </c>
      <c r="K364" s="2">
        <f>_xlfn.XLOOKUP(A364,CPIAUCSL!A:A,CPIAUCSL!B:B,"",-1)</f>
        <v>246.435</v>
      </c>
      <c r="L364">
        <f>_xlfn.XLOOKUP(A364,DFF!A:A,DFF!B:B,"",-1)</f>
        <v>1.1599999999999999</v>
      </c>
      <c r="M364">
        <f>_xlfn.XLOOKUP(A364,'DGS2'!A:A,'DGS2'!B:B,"",-1)</f>
        <v>1.27</v>
      </c>
      <c r="N364">
        <f t="shared" si="43"/>
        <v>0</v>
      </c>
      <c r="O364">
        <f t="shared" si="44"/>
        <v>1.0839227603466339E-2</v>
      </c>
      <c r="P364">
        <f t="shared" si="45"/>
        <v>1</v>
      </c>
      <c r="Q364">
        <f t="shared" si="46"/>
        <v>1</v>
      </c>
      <c r="R364" s="3">
        <v>47.37</v>
      </c>
    </row>
    <row r="365" spans="1:18">
      <c r="A365" s="1">
        <v>42989</v>
      </c>
      <c r="B365">
        <v>2488.11</v>
      </c>
      <c r="C365">
        <f t="shared" si="40"/>
        <v>1.0839227603466339E-2</v>
      </c>
      <c r="D365">
        <f t="shared" si="47"/>
        <v>9.1541812341313644E-3</v>
      </c>
      <c r="E365">
        <f>_xlfn.XLOOKUP(A365,VIX!A:A,VIX!B:B,"",-1)</f>
        <v>10.73</v>
      </c>
      <c r="F365">
        <f t="shared" si="41"/>
        <v>-1.3899999999999988</v>
      </c>
      <c r="G365">
        <f>_xlfn.XLOOKUP(A365,'DGS10'!A:A,'DGS10'!B:B,"",-1)</f>
        <v>2.14</v>
      </c>
      <c r="H365">
        <f t="shared" si="42"/>
        <v>8.0000000000000071E-2</v>
      </c>
      <c r="I365" s="2">
        <f>_xlfn.XLOOKUP(A365,T10Y3M!A:A,T10Y3M!B:B,"",-1)</f>
        <v>1.0900000000000001</v>
      </c>
      <c r="J365" s="2">
        <f>_xlfn.XLOOKUP(A365,BAMLC0A4CBBB!A:A,BAMLC0A4CBBB!B:B,"",-1)</f>
        <v>1.49</v>
      </c>
      <c r="K365" s="2">
        <f>_xlfn.XLOOKUP(A365,CPIAUCSL!A:A,CPIAUCSL!B:B,"",-1)</f>
        <v>246.435</v>
      </c>
      <c r="L365">
        <f>_xlfn.XLOOKUP(A365,DFF!A:A,DFF!B:B,"",-1)</f>
        <v>1.1599999999999999</v>
      </c>
      <c r="M365">
        <f>_xlfn.XLOOKUP(A365,'DGS2'!A:A,'DGS2'!B:B,"",-1)</f>
        <v>1.32</v>
      </c>
      <c r="N365">
        <f t="shared" si="43"/>
        <v>5.0000000000000044E-2</v>
      </c>
      <c r="O365">
        <f t="shared" si="44"/>
        <v>3.363999180100441E-3</v>
      </c>
      <c r="P365">
        <f t="shared" si="45"/>
        <v>1</v>
      </c>
      <c r="Q365">
        <f t="shared" si="46"/>
        <v>1</v>
      </c>
      <c r="R365" s="3">
        <v>47.64</v>
      </c>
    </row>
    <row r="366" spans="1:18">
      <c r="A366" s="1">
        <v>42990</v>
      </c>
      <c r="B366">
        <v>2496.48</v>
      </c>
      <c r="C366">
        <f t="shared" si="40"/>
        <v>3.363999180100441E-3</v>
      </c>
      <c r="D366">
        <f t="shared" si="47"/>
        <v>1.2729706705610466E-2</v>
      </c>
      <c r="E366">
        <f>_xlfn.XLOOKUP(A366,VIX!A:A,VIX!B:B,"",-1)</f>
        <v>10.58</v>
      </c>
      <c r="F366">
        <f t="shared" si="41"/>
        <v>-0.15000000000000036</v>
      </c>
      <c r="G366">
        <f>_xlfn.XLOOKUP(A366,'DGS10'!A:A,'DGS10'!B:B,"",-1)</f>
        <v>2.17</v>
      </c>
      <c r="H366">
        <f t="shared" si="42"/>
        <v>2.9999999999999805E-2</v>
      </c>
      <c r="I366" s="2">
        <f>_xlfn.XLOOKUP(A366,T10Y3M!A:A,T10Y3M!B:B,"",-1)</f>
        <v>1.1399999999999999</v>
      </c>
      <c r="J366" s="2">
        <f>_xlfn.XLOOKUP(A366,BAMLC0A4CBBB!A:A,BAMLC0A4CBBB!B:B,"",-1)</f>
        <v>1.48</v>
      </c>
      <c r="K366" s="2">
        <f>_xlfn.XLOOKUP(A366,CPIAUCSL!A:A,CPIAUCSL!B:B,"",-1)</f>
        <v>246.435</v>
      </c>
      <c r="L366">
        <f>_xlfn.XLOOKUP(A366,DFF!A:A,DFF!B:B,"",-1)</f>
        <v>1.1599999999999999</v>
      </c>
      <c r="M366">
        <f>_xlfn.XLOOKUP(A366,'DGS2'!A:A,'DGS2'!B:B,"",-1)</f>
        <v>1.33</v>
      </c>
      <c r="N366">
        <f t="shared" si="43"/>
        <v>1.0000000000000009E-2</v>
      </c>
      <c r="O366">
        <f t="shared" si="44"/>
        <v>7.5706594885582845E-4</v>
      </c>
      <c r="P366">
        <f t="shared" si="45"/>
        <v>1</v>
      </c>
      <c r="Q366">
        <f t="shared" si="46"/>
        <v>0</v>
      </c>
      <c r="R366" s="3">
        <v>48.41</v>
      </c>
    </row>
    <row r="367" spans="1:18">
      <c r="A367" s="1">
        <v>42991</v>
      </c>
      <c r="B367">
        <v>2498.37</v>
      </c>
      <c r="C367">
        <f t="shared" si="40"/>
        <v>7.5706594885582845E-4</v>
      </c>
      <c r="D367">
        <f t="shared" si="47"/>
        <v>1.5007536269566968E-2</v>
      </c>
      <c r="E367">
        <f>_xlfn.XLOOKUP(A367,VIX!A:A,VIX!B:B,"",-1)</f>
        <v>10.5</v>
      </c>
      <c r="F367">
        <f t="shared" si="41"/>
        <v>-8.0000000000000071E-2</v>
      </c>
      <c r="G367">
        <f>_xlfn.XLOOKUP(A367,'DGS10'!A:A,'DGS10'!B:B,"",-1)</f>
        <v>2.2000000000000002</v>
      </c>
      <c r="H367">
        <f t="shared" si="42"/>
        <v>3.0000000000000249E-2</v>
      </c>
      <c r="I367" s="2">
        <f>_xlfn.XLOOKUP(A367,T10Y3M!A:A,T10Y3M!B:B,"",-1)</f>
        <v>1.1599999999999999</v>
      </c>
      <c r="J367" s="2">
        <f>_xlfn.XLOOKUP(A367,BAMLC0A4CBBB!A:A,BAMLC0A4CBBB!B:B,"",-1)</f>
        <v>1.47</v>
      </c>
      <c r="K367" s="2">
        <f>_xlfn.XLOOKUP(A367,CPIAUCSL!A:A,CPIAUCSL!B:B,"",-1)</f>
        <v>246.435</v>
      </c>
      <c r="L367">
        <f>_xlfn.XLOOKUP(A367,DFF!A:A,DFF!B:B,"",-1)</f>
        <v>1.1599999999999999</v>
      </c>
      <c r="M367">
        <f>_xlfn.XLOOKUP(A367,'DGS2'!A:A,'DGS2'!B:B,"",-1)</f>
        <v>1.35</v>
      </c>
      <c r="N367">
        <f t="shared" si="43"/>
        <v>2.0000000000000018E-2</v>
      </c>
      <c r="O367">
        <f t="shared" si="44"/>
        <v>-1.1007176679195263E-3</v>
      </c>
      <c r="P367">
        <f t="shared" si="45"/>
        <v>0</v>
      </c>
      <c r="Q367">
        <f t="shared" si="46"/>
        <v>0</v>
      </c>
      <c r="R367" s="3">
        <v>47.43</v>
      </c>
    </row>
    <row r="368" spans="1:18">
      <c r="A368" s="1">
        <v>42992</v>
      </c>
      <c r="B368">
        <v>2495.62</v>
      </c>
      <c r="C368">
        <f t="shared" si="40"/>
        <v>-1.1007176679195263E-3</v>
      </c>
      <c r="D368">
        <f t="shared" si="47"/>
        <v>3.0183552977962602E-3</v>
      </c>
      <c r="E368">
        <f>_xlfn.XLOOKUP(A368,VIX!A:A,VIX!B:B,"",-1)</f>
        <v>10.44</v>
      </c>
      <c r="F368">
        <f t="shared" si="41"/>
        <v>-6.0000000000000497E-2</v>
      </c>
      <c r="G368">
        <f>_xlfn.XLOOKUP(A368,'DGS10'!A:A,'DGS10'!B:B,"",-1)</f>
        <v>2.2000000000000002</v>
      </c>
      <c r="H368">
        <f t="shared" si="42"/>
        <v>0</v>
      </c>
      <c r="I368" s="2">
        <f>_xlfn.XLOOKUP(A368,T10Y3M!A:A,T10Y3M!B:B,"",-1)</f>
        <v>1.1499999999999999</v>
      </c>
      <c r="J368" s="2">
        <f>_xlfn.XLOOKUP(A368,BAMLC0A4CBBB!A:A,BAMLC0A4CBBB!B:B,"",-1)</f>
        <v>1.46</v>
      </c>
      <c r="K368" s="2">
        <f>_xlfn.XLOOKUP(A368,CPIAUCSL!A:A,CPIAUCSL!B:B,"",-1)</f>
        <v>246.435</v>
      </c>
      <c r="L368">
        <f>_xlfn.XLOOKUP(A368,DFF!A:A,DFF!B:B,"",-1)</f>
        <v>1.1599999999999999</v>
      </c>
      <c r="M368">
        <f>_xlfn.XLOOKUP(A368,'DGS2'!A:A,'DGS2'!B:B,"",-1)</f>
        <v>1.37</v>
      </c>
      <c r="N368">
        <f t="shared" si="43"/>
        <v>2.0000000000000018E-2</v>
      </c>
      <c r="O368">
        <f t="shared" si="44"/>
        <v>1.8472363580994688E-3</v>
      </c>
      <c r="P368">
        <f t="shared" si="45"/>
        <v>1</v>
      </c>
      <c r="Q368">
        <f t="shared" si="46"/>
        <v>0</v>
      </c>
      <c r="R368" s="3">
        <v>47.87</v>
      </c>
    </row>
    <row r="369" spans="1:18">
      <c r="A369" s="1">
        <v>42993</v>
      </c>
      <c r="B369">
        <v>2500.23</v>
      </c>
      <c r="C369">
        <f t="shared" si="40"/>
        <v>1.8472363580994688E-3</v>
      </c>
      <c r="D369">
        <f t="shared" si="47"/>
        <v>1.5021149778888798E-3</v>
      </c>
      <c r="E369">
        <f>_xlfn.XLOOKUP(A369,VIX!A:A,VIX!B:B,"",-1)</f>
        <v>10.17</v>
      </c>
      <c r="F369">
        <f t="shared" si="41"/>
        <v>-0.26999999999999957</v>
      </c>
      <c r="G369">
        <f>_xlfn.XLOOKUP(A369,'DGS10'!A:A,'DGS10'!B:B,"",-1)</f>
        <v>2.2000000000000002</v>
      </c>
      <c r="H369">
        <f t="shared" si="42"/>
        <v>0</v>
      </c>
      <c r="I369" s="2">
        <f>_xlfn.XLOOKUP(A369,T10Y3M!A:A,T10Y3M!B:B,"",-1)</f>
        <v>1.1499999999999999</v>
      </c>
      <c r="J369" s="2">
        <f>_xlfn.XLOOKUP(A369,BAMLC0A4CBBB!A:A,BAMLC0A4CBBB!B:B,"",-1)</f>
        <v>1.45</v>
      </c>
      <c r="K369" s="2">
        <f>_xlfn.XLOOKUP(A369,CPIAUCSL!A:A,CPIAUCSL!B:B,"",-1)</f>
        <v>246.435</v>
      </c>
      <c r="L369">
        <f>_xlfn.XLOOKUP(A369,DFF!A:A,DFF!B:B,"",-1)</f>
        <v>1.1599999999999999</v>
      </c>
      <c r="M369">
        <f>_xlfn.XLOOKUP(A369,'DGS2'!A:A,'DGS2'!B:B,"",-1)</f>
        <v>1.39</v>
      </c>
      <c r="N369">
        <f t="shared" si="43"/>
        <v>1.9999999999999796E-2</v>
      </c>
      <c r="O369">
        <f t="shared" si="44"/>
        <v>1.4558660603223306E-3</v>
      </c>
      <c r="P369">
        <f t="shared" si="45"/>
        <v>1</v>
      </c>
      <c r="Q369">
        <f t="shared" si="46"/>
        <v>0</v>
      </c>
      <c r="R369" s="3">
        <v>46.57</v>
      </c>
    </row>
    <row r="370" spans="1:18">
      <c r="A370" s="1">
        <v>42996</v>
      </c>
      <c r="B370">
        <v>2503.87</v>
      </c>
      <c r="C370">
        <f t="shared" si="40"/>
        <v>1.4558660603223306E-3</v>
      </c>
      <c r="D370">
        <f t="shared" si="47"/>
        <v>2.2014353358390526E-3</v>
      </c>
      <c r="E370">
        <f>_xlfn.XLOOKUP(A370,VIX!A:A,VIX!B:B,"",-1)</f>
        <v>10.15</v>
      </c>
      <c r="F370">
        <f t="shared" si="41"/>
        <v>-1.9999999999999574E-2</v>
      </c>
      <c r="G370">
        <f>_xlfn.XLOOKUP(A370,'DGS10'!A:A,'DGS10'!B:B,"",-1)</f>
        <v>2.23</v>
      </c>
      <c r="H370">
        <f t="shared" si="42"/>
        <v>2.9999999999999805E-2</v>
      </c>
      <c r="I370" s="2">
        <f>_xlfn.XLOOKUP(A370,T10Y3M!A:A,T10Y3M!B:B,"",-1)</f>
        <v>1.18</v>
      </c>
      <c r="J370" s="2">
        <f>_xlfn.XLOOKUP(A370,BAMLC0A4CBBB!A:A,BAMLC0A4CBBB!B:B,"",-1)</f>
        <v>1.43</v>
      </c>
      <c r="K370" s="2">
        <f>_xlfn.XLOOKUP(A370,CPIAUCSL!A:A,CPIAUCSL!B:B,"",-1)</f>
        <v>246.435</v>
      </c>
      <c r="L370">
        <f>_xlfn.XLOOKUP(A370,DFF!A:A,DFF!B:B,"",-1)</f>
        <v>1.1599999999999999</v>
      </c>
      <c r="M370">
        <f>_xlfn.XLOOKUP(A370,'DGS2'!A:A,'DGS2'!B:B,"",-1)</f>
        <v>1.4</v>
      </c>
      <c r="N370">
        <f t="shared" si="43"/>
        <v>1.0000000000000009E-2</v>
      </c>
      <c r="O370">
        <f t="shared" si="44"/>
        <v>1.1102812845715793E-3</v>
      </c>
      <c r="P370">
        <f t="shared" si="45"/>
        <v>1</v>
      </c>
      <c r="Q370">
        <f t="shared" si="46"/>
        <v>0</v>
      </c>
      <c r="R370" s="3">
        <v>46.44</v>
      </c>
    </row>
    <row r="371" spans="1:18">
      <c r="A371" s="1">
        <v>42997</v>
      </c>
      <c r="B371">
        <v>2506.65</v>
      </c>
      <c r="C371">
        <f t="shared" si="40"/>
        <v>1.1102812845715793E-3</v>
      </c>
      <c r="D371">
        <f t="shared" si="47"/>
        <v>4.4197433904200611E-3</v>
      </c>
      <c r="E371">
        <f>_xlfn.XLOOKUP(A371,VIX!A:A,VIX!B:B,"",-1)</f>
        <v>10.18</v>
      </c>
      <c r="F371">
        <f t="shared" si="41"/>
        <v>2.9999999999999361E-2</v>
      </c>
      <c r="G371">
        <f>_xlfn.XLOOKUP(A371,'DGS10'!A:A,'DGS10'!B:B,"",-1)</f>
        <v>2.2400000000000002</v>
      </c>
      <c r="H371">
        <f t="shared" si="42"/>
        <v>1.0000000000000231E-2</v>
      </c>
      <c r="I371" s="2">
        <f>_xlfn.XLOOKUP(A371,T10Y3M!A:A,T10Y3M!B:B,"",-1)</f>
        <v>1.2</v>
      </c>
      <c r="J371" s="2">
        <f>_xlfn.XLOOKUP(A371,BAMLC0A4CBBB!A:A,BAMLC0A4CBBB!B:B,"",-1)</f>
        <v>1.42</v>
      </c>
      <c r="K371" s="2">
        <f>_xlfn.XLOOKUP(A371,CPIAUCSL!A:A,CPIAUCSL!B:B,"",-1)</f>
        <v>246.435</v>
      </c>
      <c r="L371">
        <f>_xlfn.XLOOKUP(A371,DFF!A:A,DFF!B:B,"",-1)</f>
        <v>1.1599999999999999</v>
      </c>
      <c r="M371">
        <f>_xlfn.XLOOKUP(A371,'DGS2'!A:A,'DGS2'!B:B,"",-1)</f>
        <v>1.4</v>
      </c>
      <c r="N371">
        <f t="shared" si="43"/>
        <v>0</v>
      </c>
      <c r="O371">
        <f t="shared" si="44"/>
        <v>6.3431272814296058E-4</v>
      </c>
      <c r="P371">
        <f t="shared" si="45"/>
        <v>1</v>
      </c>
      <c r="Q371">
        <f t="shared" si="46"/>
        <v>0</v>
      </c>
      <c r="R371" s="3">
        <v>45.96</v>
      </c>
    </row>
    <row r="372" spans="1:18">
      <c r="A372" s="1">
        <v>42998</v>
      </c>
      <c r="B372">
        <v>2508.2399999999998</v>
      </c>
      <c r="C372">
        <f t="shared" si="40"/>
        <v>6.3431272814296058E-4</v>
      </c>
      <c r="D372">
        <f t="shared" si="47"/>
        <v>3.2037052591160631E-3</v>
      </c>
      <c r="E372">
        <f>_xlfn.XLOOKUP(A372,VIX!A:A,VIX!B:B,"",-1)</f>
        <v>9.7799999999999994</v>
      </c>
      <c r="F372">
        <f t="shared" si="41"/>
        <v>-0.40000000000000036</v>
      </c>
      <c r="G372">
        <f>_xlfn.XLOOKUP(A372,'DGS10'!A:A,'DGS10'!B:B,"",-1)</f>
        <v>2.2799999999999998</v>
      </c>
      <c r="H372">
        <f t="shared" si="42"/>
        <v>3.9999999999999591E-2</v>
      </c>
      <c r="I372" s="2">
        <f>_xlfn.XLOOKUP(A372,T10Y3M!A:A,T10Y3M!B:B,"",-1)</f>
        <v>1.24</v>
      </c>
      <c r="J372" s="2">
        <f>_xlfn.XLOOKUP(A372,BAMLC0A4CBBB!A:A,BAMLC0A4CBBB!B:B,"",-1)</f>
        <v>1.41</v>
      </c>
      <c r="K372" s="2">
        <f>_xlfn.XLOOKUP(A372,CPIAUCSL!A:A,CPIAUCSL!B:B,"",-1)</f>
        <v>246.435</v>
      </c>
      <c r="L372">
        <f>_xlfn.XLOOKUP(A372,DFF!A:A,DFF!B:B,"",-1)</f>
        <v>1.1599999999999999</v>
      </c>
      <c r="M372">
        <f>_xlfn.XLOOKUP(A372,'DGS2'!A:A,'DGS2'!B:B,"",-1)</f>
        <v>1.45</v>
      </c>
      <c r="N372">
        <f t="shared" si="43"/>
        <v>5.0000000000000044E-2</v>
      </c>
      <c r="O372">
        <f t="shared" si="44"/>
        <v>-3.0459605141452961E-3</v>
      </c>
      <c r="P372">
        <f t="shared" si="45"/>
        <v>0</v>
      </c>
      <c r="Q372">
        <f t="shared" si="46"/>
        <v>-1</v>
      </c>
      <c r="R372" s="3">
        <v>47.23</v>
      </c>
    </row>
    <row r="373" spans="1:18">
      <c r="A373" s="1">
        <v>42999</v>
      </c>
      <c r="B373">
        <v>2500.6</v>
      </c>
      <c r="C373">
        <f t="shared" si="40"/>
        <v>-3.0459605141452961E-3</v>
      </c>
      <c r="D373">
        <f t="shared" si="47"/>
        <v>-1.3059783455211527E-3</v>
      </c>
      <c r="E373">
        <f>_xlfn.XLOOKUP(A373,VIX!A:A,VIX!B:B,"",-1)</f>
        <v>9.67</v>
      </c>
      <c r="F373">
        <f t="shared" si="41"/>
        <v>-0.10999999999999943</v>
      </c>
      <c r="G373">
        <f>_xlfn.XLOOKUP(A373,'DGS10'!A:A,'DGS10'!B:B,"",-1)</f>
        <v>2.27</v>
      </c>
      <c r="H373">
        <f t="shared" si="42"/>
        <v>-9.9999999999997868E-3</v>
      </c>
      <c r="I373" s="2">
        <f>_xlfn.XLOOKUP(A373,T10Y3M!A:A,T10Y3M!B:B,"",-1)</f>
        <v>1.23</v>
      </c>
      <c r="J373" s="2">
        <f>_xlfn.XLOOKUP(A373,BAMLC0A4CBBB!A:A,BAMLC0A4CBBB!B:B,"",-1)</f>
        <v>1.41</v>
      </c>
      <c r="K373" s="2">
        <f>_xlfn.XLOOKUP(A373,CPIAUCSL!A:A,CPIAUCSL!B:B,"",-1)</f>
        <v>246.435</v>
      </c>
      <c r="L373">
        <f>_xlfn.XLOOKUP(A373,DFF!A:A,DFF!B:B,"",-1)</f>
        <v>1.1599999999999999</v>
      </c>
      <c r="M373">
        <f>_xlfn.XLOOKUP(A373,'DGS2'!A:A,'DGS2'!B:B,"",-1)</f>
        <v>1.45</v>
      </c>
      <c r="N373">
        <f t="shared" si="43"/>
        <v>0</v>
      </c>
      <c r="O373">
        <f t="shared" si="44"/>
        <v>6.4784451731569881E-4</v>
      </c>
      <c r="P373">
        <f t="shared" si="45"/>
        <v>1</v>
      </c>
      <c r="Q373">
        <f t="shared" si="46"/>
        <v>0</v>
      </c>
      <c r="R373" s="3">
        <v>47.29</v>
      </c>
    </row>
    <row r="374" spans="1:18">
      <c r="A374" s="1">
        <v>43000</v>
      </c>
      <c r="B374">
        <v>2502.2199999999998</v>
      </c>
      <c r="C374">
        <f t="shared" si="40"/>
        <v>6.4784451731569881E-4</v>
      </c>
      <c r="D374">
        <f t="shared" si="47"/>
        <v>-1.7672989847008491E-3</v>
      </c>
      <c r="E374">
        <f>_xlfn.XLOOKUP(A374,VIX!A:A,VIX!B:B,"",-1)</f>
        <v>9.59</v>
      </c>
      <c r="F374">
        <f t="shared" si="41"/>
        <v>-8.0000000000000071E-2</v>
      </c>
      <c r="G374">
        <f>_xlfn.XLOOKUP(A374,'DGS10'!A:A,'DGS10'!B:B,"",-1)</f>
        <v>2.2599999999999998</v>
      </c>
      <c r="H374">
        <f t="shared" si="42"/>
        <v>-1.0000000000000231E-2</v>
      </c>
      <c r="I374" s="2">
        <f>_xlfn.XLOOKUP(A374,T10Y3M!A:A,T10Y3M!B:B,"",-1)</f>
        <v>1.23</v>
      </c>
      <c r="J374" s="2">
        <f>_xlfn.XLOOKUP(A374,BAMLC0A4CBBB!A:A,BAMLC0A4CBBB!B:B,"",-1)</f>
        <v>1.41</v>
      </c>
      <c r="K374" s="2">
        <f>_xlfn.XLOOKUP(A374,CPIAUCSL!A:A,CPIAUCSL!B:B,"",-1)</f>
        <v>246.435</v>
      </c>
      <c r="L374">
        <f>_xlfn.XLOOKUP(A374,DFF!A:A,DFF!B:B,"",-1)</f>
        <v>1.1599999999999999</v>
      </c>
      <c r="M374">
        <f>_xlfn.XLOOKUP(A374,'DGS2'!A:A,'DGS2'!B:B,"",-1)</f>
        <v>1.46</v>
      </c>
      <c r="N374">
        <f t="shared" si="43"/>
        <v>1.0000000000000009E-2</v>
      </c>
      <c r="O374">
        <f t="shared" si="44"/>
        <v>-2.2220268401659249E-3</v>
      </c>
      <c r="P374">
        <f t="shared" si="45"/>
        <v>0</v>
      </c>
      <c r="Q374">
        <f t="shared" si="46"/>
        <v>0</v>
      </c>
      <c r="R374" s="3">
        <v>47.37</v>
      </c>
    </row>
    <row r="375" spans="1:18">
      <c r="A375" s="1">
        <v>43003</v>
      </c>
      <c r="B375">
        <v>2496.66</v>
      </c>
      <c r="C375">
        <f t="shared" si="40"/>
        <v>-2.2220268401659249E-3</v>
      </c>
      <c r="D375">
        <f t="shared" si="47"/>
        <v>-4.6167830829585421E-3</v>
      </c>
      <c r="E375">
        <f>_xlfn.XLOOKUP(A375,VIX!A:A,VIX!B:B,"",-1)</f>
        <v>10.210000000000001</v>
      </c>
      <c r="F375">
        <f t="shared" si="41"/>
        <v>0.62000000000000099</v>
      </c>
      <c r="G375">
        <f>_xlfn.XLOOKUP(A375,'DGS10'!A:A,'DGS10'!B:B,"",-1)</f>
        <v>2.2200000000000002</v>
      </c>
      <c r="H375">
        <f t="shared" si="42"/>
        <v>-3.9999999999999591E-2</v>
      </c>
      <c r="I375" s="2">
        <f>_xlfn.XLOOKUP(A375,T10Y3M!A:A,T10Y3M!B:B,"",-1)</f>
        <v>1.17</v>
      </c>
      <c r="J375" s="2">
        <f>_xlfn.XLOOKUP(A375,BAMLC0A4CBBB!A:A,BAMLC0A4CBBB!B:B,"",-1)</f>
        <v>1.41</v>
      </c>
      <c r="K375" s="2">
        <f>_xlfn.XLOOKUP(A375,CPIAUCSL!A:A,CPIAUCSL!B:B,"",-1)</f>
        <v>246.435</v>
      </c>
      <c r="L375">
        <f>_xlfn.XLOOKUP(A375,DFF!A:A,DFF!B:B,"",-1)</f>
        <v>1.1599999999999999</v>
      </c>
      <c r="M375">
        <f>_xlfn.XLOOKUP(A375,'DGS2'!A:A,'DGS2'!B:B,"",-1)</f>
        <v>1.44</v>
      </c>
      <c r="N375">
        <f t="shared" si="43"/>
        <v>-2.0000000000000018E-2</v>
      </c>
      <c r="O375">
        <f t="shared" si="44"/>
        <v>7.209632068461147E-5</v>
      </c>
      <c r="P375">
        <f t="shared" si="45"/>
        <v>1</v>
      </c>
      <c r="Q375">
        <f t="shared" si="46"/>
        <v>0</v>
      </c>
      <c r="R375" s="3">
        <v>48.66</v>
      </c>
    </row>
    <row r="376" spans="1:18">
      <c r="A376" s="1">
        <v>43004</v>
      </c>
      <c r="B376">
        <v>2496.84</v>
      </c>
      <c r="C376">
        <f t="shared" si="40"/>
        <v>7.209632068461147E-5</v>
      </c>
      <c r="D376">
        <f t="shared" si="47"/>
        <v>-1.5036391266095572E-3</v>
      </c>
      <c r="E376">
        <f>_xlfn.XLOOKUP(A376,VIX!A:A,VIX!B:B,"",-1)</f>
        <v>10.17</v>
      </c>
      <c r="F376">
        <f t="shared" si="41"/>
        <v>-4.0000000000000924E-2</v>
      </c>
      <c r="G376">
        <f>_xlfn.XLOOKUP(A376,'DGS10'!A:A,'DGS10'!B:B,"",-1)</f>
        <v>2.2400000000000002</v>
      </c>
      <c r="H376">
        <f t="shared" si="42"/>
        <v>2.0000000000000018E-2</v>
      </c>
      <c r="I376" s="2">
        <f>_xlfn.XLOOKUP(A376,T10Y3M!A:A,T10Y3M!B:B,"",-1)</f>
        <v>1.18</v>
      </c>
      <c r="J376" s="2">
        <f>_xlfn.XLOOKUP(A376,BAMLC0A4CBBB!A:A,BAMLC0A4CBBB!B:B,"",-1)</f>
        <v>1.4</v>
      </c>
      <c r="K376" s="2">
        <f>_xlfn.XLOOKUP(A376,CPIAUCSL!A:A,CPIAUCSL!B:B,"",-1)</f>
        <v>246.435</v>
      </c>
      <c r="L376">
        <f>_xlfn.XLOOKUP(A376,DFF!A:A,DFF!B:B,"",-1)</f>
        <v>1.1599999999999999</v>
      </c>
      <c r="M376">
        <f>_xlfn.XLOOKUP(A376,'DGS2'!A:A,'DGS2'!B:B,"",-1)</f>
        <v>1.45</v>
      </c>
      <c r="N376">
        <f t="shared" si="43"/>
        <v>1.0000000000000009E-2</v>
      </c>
      <c r="O376">
        <f t="shared" si="44"/>
        <v>4.0851636468495212E-3</v>
      </c>
      <c r="P376">
        <f t="shared" si="45"/>
        <v>1</v>
      </c>
      <c r="Q376">
        <f t="shared" si="46"/>
        <v>1</v>
      </c>
      <c r="R376" s="3">
        <v>49.16</v>
      </c>
    </row>
    <row r="377" spans="1:18">
      <c r="A377" s="1">
        <v>43005</v>
      </c>
      <c r="B377">
        <v>2507.04</v>
      </c>
      <c r="C377">
        <f t="shared" si="40"/>
        <v>4.0851636468495212E-3</v>
      </c>
      <c r="D377">
        <f t="shared" si="47"/>
        <v>1.9262894549640919E-3</v>
      </c>
      <c r="E377">
        <f>_xlfn.XLOOKUP(A377,VIX!A:A,VIX!B:B,"",-1)</f>
        <v>9.8699999999999992</v>
      </c>
      <c r="F377">
        <f t="shared" si="41"/>
        <v>-0.30000000000000071</v>
      </c>
      <c r="G377">
        <f>_xlfn.XLOOKUP(A377,'DGS10'!A:A,'DGS10'!B:B,"",-1)</f>
        <v>2.31</v>
      </c>
      <c r="H377">
        <f t="shared" si="42"/>
        <v>6.999999999999984E-2</v>
      </c>
      <c r="I377" s="2">
        <f>_xlfn.XLOOKUP(A377,T10Y3M!A:A,T10Y3M!B:B,"",-1)</f>
        <v>1.24</v>
      </c>
      <c r="J377" s="2">
        <f>_xlfn.XLOOKUP(A377,BAMLC0A4CBBB!A:A,BAMLC0A4CBBB!B:B,"",-1)</f>
        <v>1.39</v>
      </c>
      <c r="K377" s="2">
        <f>_xlfn.XLOOKUP(A377,CPIAUCSL!A:A,CPIAUCSL!B:B,"",-1)</f>
        <v>246.435</v>
      </c>
      <c r="L377">
        <f>_xlfn.XLOOKUP(A377,DFF!A:A,DFF!B:B,"",-1)</f>
        <v>1.1599999999999999</v>
      </c>
      <c r="M377">
        <f>_xlfn.XLOOKUP(A377,'DGS2'!A:A,'DGS2'!B:B,"",-1)</f>
        <v>1.47</v>
      </c>
      <c r="N377">
        <f t="shared" si="43"/>
        <v>2.0000000000000018E-2</v>
      </c>
      <c r="O377">
        <f t="shared" si="44"/>
        <v>1.2046078243665992E-3</v>
      </c>
      <c r="P377">
        <f t="shared" si="45"/>
        <v>1</v>
      </c>
      <c r="Q377">
        <f t="shared" si="46"/>
        <v>0</v>
      </c>
      <c r="R377" s="3">
        <v>49.09</v>
      </c>
    </row>
    <row r="378" spans="1:18">
      <c r="A378" s="1">
        <v>43006</v>
      </c>
      <c r="B378">
        <v>2510.06</v>
      </c>
      <c r="C378">
        <f t="shared" si="40"/>
        <v>1.2046078243665992E-3</v>
      </c>
      <c r="D378">
        <f t="shared" si="47"/>
        <v>5.3671705398412595E-3</v>
      </c>
      <c r="E378">
        <f>_xlfn.XLOOKUP(A378,VIX!A:A,VIX!B:B,"",-1)</f>
        <v>9.5500000000000007</v>
      </c>
      <c r="F378">
        <f t="shared" si="41"/>
        <v>-0.31999999999999851</v>
      </c>
      <c r="G378">
        <f>_xlfn.XLOOKUP(A378,'DGS10'!A:A,'DGS10'!B:B,"",-1)</f>
        <v>2.31</v>
      </c>
      <c r="H378">
        <f t="shared" si="42"/>
        <v>0</v>
      </c>
      <c r="I378" s="2">
        <f>_xlfn.XLOOKUP(A378,T10Y3M!A:A,T10Y3M!B:B,"",-1)</f>
        <v>1.25</v>
      </c>
      <c r="J378" s="2">
        <f>_xlfn.XLOOKUP(A378,BAMLC0A4CBBB!A:A,BAMLC0A4CBBB!B:B,"",-1)</f>
        <v>1.38</v>
      </c>
      <c r="K378" s="2">
        <f>_xlfn.XLOOKUP(A378,CPIAUCSL!A:A,CPIAUCSL!B:B,"",-1)</f>
        <v>246.435</v>
      </c>
      <c r="L378">
        <f>_xlfn.XLOOKUP(A378,DFF!A:A,DFF!B:B,"",-1)</f>
        <v>1.1599999999999999</v>
      </c>
      <c r="M378">
        <f>_xlfn.XLOOKUP(A378,'DGS2'!A:A,'DGS2'!B:B,"",-1)</f>
        <v>1.45</v>
      </c>
      <c r="N378">
        <f t="shared" si="43"/>
        <v>-2.0000000000000018E-2</v>
      </c>
      <c r="O378">
        <f t="shared" si="44"/>
        <v>3.7050907149631662E-3</v>
      </c>
      <c r="P378">
        <f t="shared" si="45"/>
        <v>1</v>
      </c>
      <c r="Q378">
        <f t="shared" si="46"/>
        <v>1</v>
      </c>
      <c r="R378" s="3">
        <v>47.48</v>
      </c>
    </row>
    <row r="379" spans="1:18">
      <c r="A379" s="1">
        <v>43007</v>
      </c>
      <c r="B379">
        <v>2519.36</v>
      </c>
      <c r="C379">
        <f t="shared" si="40"/>
        <v>3.7050907149631662E-3</v>
      </c>
      <c r="D379">
        <f t="shared" si="47"/>
        <v>9.0194005222601348E-3</v>
      </c>
      <c r="E379">
        <f>_xlfn.XLOOKUP(A379,VIX!A:A,VIX!B:B,"",-1)</f>
        <v>9.51</v>
      </c>
      <c r="F379">
        <f t="shared" si="41"/>
        <v>-4.0000000000000924E-2</v>
      </c>
      <c r="G379">
        <f>_xlfn.XLOOKUP(A379,'DGS10'!A:A,'DGS10'!B:B,"",-1)</f>
        <v>2.33</v>
      </c>
      <c r="H379">
        <f t="shared" si="42"/>
        <v>2.0000000000000018E-2</v>
      </c>
      <c r="I379" s="2">
        <f>_xlfn.XLOOKUP(A379,T10Y3M!A:A,T10Y3M!B:B,"",-1)</f>
        <v>1.27</v>
      </c>
      <c r="J379" s="2">
        <f>_xlfn.XLOOKUP(A379,BAMLC0A4CBBB!A:A,BAMLC0A4CBBB!B:B,"",-1)</f>
        <v>1.36</v>
      </c>
      <c r="K379" s="2">
        <f>_xlfn.XLOOKUP(A379,CPIAUCSL!A:A,CPIAUCSL!B:B,"",-1)</f>
        <v>246.435</v>
      </c>
      <c r="L379">
        <f>_xlfn.XLOOKUP(A379,DFF!A:A,DFF!B:B,"",-1)</f>
        <v>1.06</v>
      </c>
      <c r="M379">
        <f>_xlfn.XLOOKUP(A379,'DGS2'!A:A,'DGS2'!B:B,"",-1)</f>
        <v>1.47</v>
      </c>
      <c r="N379">
        <f t="shared" si="43"/>
        <v>2.0000000000000018E-2</v>
      </c>
      <c r="O379">
        <f t="shared" si="44"/>
        <v>3.8739997459671383E-3</v>
      </c>
      <c r="P379">
        <f t="shared" si="45"/>
        <v>1</v>
      </c>
      <c r="Q379">
        <f t="shared" si="46"/>
        <v>1</v>
      </c>
      <c r="R379" s="3">
        <v>48.07</v>
      </c>
    </row>
    <row r="380" spans="1:18">
      <c r="A380" s="1">
        <v>43010</v>
      </c>
      <c r="B380">
        <v>2529.12</v>
      </c>
      <c r="C380">
        <f t="shared" si="40"/>
        <v>3.8739997459671383E-3</v>
      </c>
      <c r="D380">
        <f t="shared" si="47"/>
        <v>8.8071989278193374E-3</v>
      </c>
      <c r="E380">
        <f>_xlfn.XLOOKUP(A380,VIX!A:A,VIX!B:B,"",-1)</f>
        <v>9.4499999999999993</v>
      </c>
      <c r="F380">
        <f t="shared" si="41"/>
        <v>-6.0000000000000497E-2</v>
      </c>
      <c r="G380">
        <f>_xlfn.XLOOKUP(A380,'DGS10'!A:A,'DGS10'!B:B,"",-1)</f>
        <v>2.34</v>
      </c>
      <c r="H380">
        <f t="shared" si="42"/>
        <v>9.9999999999997868E-3</v>
      </c>
      <c r="I380" s="2">
        <f>_xlfn.XLOOKUP(A380,T10Y3M!A:A,T10Y3M!B:B,"",-1)</f>
        <v>1.33</v>
      </c>
      <c r="J380" s="2">
        <f>_xlfn.XLOOKUP(A380,BAMLC0A4CBBB!A:A,BAMLC0A4CBBB!B:B,"",-1)</f>
        <v>1.36</v>
      </c>
      <c r="K380" s="2">
        <f>_xlfn.XLOOKUP(A380,CPIAUCSL!A:A,CPIAUCSL!B:B,"",-1)</f>
        <v>246.626</v>
      </c>
      <c r="L380">
        <f>_xlfn.XLOOKUP(A380,DFF!A:A,DFF!B:B,"",-1)</f>
        <v>1.1599999999999999</v>
      </c>
      <c r="M380">
        <f>_xlfn.XLOOKUP(A380,'DGS2'!A:A,'DGS2'!B:B,"",-1)</f>
        <v>1.49</v>
      </c>
      <c r="N380">
        <f t="shared" si="43"/>
        <v>2.0000000000000018E-2</v>
      </c>
      <c r="O380">
        <f t="shared" si="44"/>
        <v>2.1588536724235219E-3</v>
      </c>
      <c r="P380">
        <f t="shared" si="45"/>
        <v>1</v>
      </c>
      <c r="Q380">
        <f t="shared" si="46"/>
        <v>0</v>
      </c>
      <c r="R380" s="3">
        <v>48.23</v>
      </c>
    </row>
    <row r="381" spans="1:18">
      <c r="A381" s="1">
        <v>43011</v>
      </c>
      <c r="B381">
        <v>2534.58</v>
      </c>
      <c r="C381">
        <f t="shared" si="40"/>
        <v>2.1588536724235219E-3</v>
      </c>
      <c r="D381">
        <f t="shared" si="47"/>
        <v>9.7686907882679197E-3</v>
      </c>
      <c r="E381">
        <f>_xlfn.XLOOKUP(A381,VIX!A:A,VIX!B:B,"",-1)</f>
        <v>9.51</v>
      </c>
      <c r="F381">
        <f t="shared" si="41"/>
        <v>6.0000000000000497E-2</v>
      </c>
      <c r="G381">
        <f>_xlfn.XLOOKUP(A381,'DGS10'!A:A,'DGS10'!B:B,"",-1)</f>
        <v>2.33</v>
      </c>
      <c r="H381">
        <f t="shared" si="42"/>
        <v>-9.9999999999997868E-3</v>
      </c>
      <c r="I381" s="2">
        <f>_xlfn.XLOOKUP(A381,T10Y3M!A:A,T10Y3M!B:B,"",-1)</f>
        <v>1.26</v>
      </c>
      <c r="J381" s="2">
        <f>_xlfn.XLOOKUP(A381,BAMLC0A4CBBB!A:A,BAMLC0A4CBBB!B:B,"",-1)</f>
        <v>1.35</v>
      </c>
      <c r="K381" s="2">
        <f>_xlfn.XLOOKUP(A381,CPIAUCSL!A:A,CPIAUCSL!B:B,"",-1)</f>
        <v>246.626</v>
      </c>
      <c r="L381">
        <f>_xlfn.XLOOKUP(A381,DFF!A:A,DFF!B:B,"",-1)</f>
        <v>1.1599999999999999</v>
      </c>
      <c r="M381">
        <f>_xlfn.XLOOKUP(A381,'DGS2'!A:A,'DGS2'!B:B,"",-1)</f>
        <v>1.47</v>
      </c>
      <c r="N381">
        <f t="shared" si="43"/>
        <v>-2.0000000000000018E-2</v>
      </c>
      <c r="O381">
        <f t="shared" si="44"/>
        <v>1.2467548864110167E-3</v>
      </c>
      <c r="P381">
        <f t="shared" si="45"/>
        <v>1</v>
      </c>
      <c r="Q381">
        <f t="shared" si="46"/>
        <v>0</v>
      </c>
      <c r="R381" s="3">
        <v>49.3</v>
      </c>
    </row>
    <row r="382" spans="1:18">
      <c r="A382" s="1">
        <v>43012</v>
      </c>
      <c r="B382">
        <v>2537.7399999999998</v>
      </c>
      <c r="C382">
        <f t="shared" si="40"/>
        <v>1.2467548864110167E-3</v>
      </c>
      <c r="D382">
        <f t="shared" si="47"/>
        <v>7.2955036199668921E-3</v>
      </c>
      <c r="E382">
        <f>_xlfn.XLOOKUP(A382,VIX!A:A,VIX!B:B,"",-1)</f>
        <v>9.6300000000000008</v>
      </c>
      <c r="F382">
        <f t="shared" si="41"/>
        <v>0.12000000000000099</v>
      </c>
      <c r="G382">
        <f>_xlfn.XLOOKUP(A382,'DGS10'!A:A,'DGS10'!B:B,"",-1)</f>
        <v>2.33</v>
      </c>
      <c r="H382">
        <f t="shared" si="42"/>
        <v>0</v>
      </c>
      <c r="I382" s="2">
        <f>_xlfn.XLOOKUP(A382,T10Y3M!A:A,T10Y3M!B:B,"",-1)</f>
        <v>1.25</v>
      </c>
      <c r="J382" s="2">
        <f>_xlfn.XLOOKUP(A382,BAMLC0A4CBBB!A:A,BAMLC0A4CBBB!B:B,"",-1)</f>
        <v>1.34</v>
      </c>
      <c r="K382" s="2">
        <f>_xlfn.XLOOKUP(A382,CPIAUCSL!A:A,CPIAUCSL!B:B,"",-1)</f>
        <v>246.626</v>
      </c>
      <c r="L382">
        <f>_xlfn.XLOOKUP(A382,DFF!A:A,DFF!B:B,"",-1)</f>
        <v>1.1599999999999999</v>
      </c>
      <c r="M382">
        <f>_xlfn.XLOOKUP(A382,'DGS2'!A:A,'DGS2'!B:B,"",-1)</f>
        <v>1.47</v>
      </c>
      <c r="N382">
        <f t="shared" si="43"/>
        <v>0</v>
      </c>
      <c r="O382">
        <f t="shared" si="44"/>
        <v>5.6467565629261252E-3</v>
      </c>
      <c r="P382">
        <f t="shared" si="45"/>
        <v>1</v>
      </c>
      <c r="Q382">
        <f t="shared" si="46"/>
        <v>1</v>
      </c>
      <c r="R382" s="3">
        <v>49.89</v>
      </c>
    </row>
    <row r="383" spans="1:18">
      <c r="A383" s="1">
        <v>43013</v>
      </c>
      <c r="B383">
        <v>2552.0700000000002</v>
      </c>
      <c r="C383">
        <f t="shared" si="40"/>
        <v>5.6467565629261252E-3</v>
      </c>
      <c r="D383">
        <f t="shared" si="47"/>
        <v>9.0743025241981634E-3</v>
      </c>
      <c r="E383">
        <f>_xlfn.XLOOKUP(A383,VIX!A:A,VIX!B:B,"",-1)</f>
        <v>9.19</v>
      </c>
      <c r="F383">
        <f t="shared" si="41"/>
        <v>-0.44000000000000128</v>
      </c>
      <c r="G383">
        <f>_xlfn.XLOOKUP(A383,'DGS10'!A:A,'DGS10'!B:B,"",-1)</f>
        <v>2.35</v>
      </c>
      <c r="H383">
        <f t="shared" si="42"/>
        <v>2.0000000000000018E-2</v>
      </c>
      <c r="I383" s="2">
        <f>_xlfn.XLOOKUP(A383,T10Y3M!A:A,T10Y3M!B:B,"",-1)</f>
        <v>1.28</v>
      </c>
      <c r="J383" s="2">
        <f>_xlfn.XLOOKUP(A383,BAMLC0A4CBBB!A:A,BAMLC0A4CBBB!B:B,"",-1)</f>
        <v>1.33</v>
      </c>
      <c r="K383" s="2">
        <f>_xlfn.XLOOKUP(A383,CPIAUCSL!A:A,CPIAUCSL!B:B,"",-1)</f>
        <v>246.626</v>
      </c>
      <c r="L383">
        <f>_xlfn.XLOOKUP(A383,DFF!A:A,DFF!B:B,"",-1)</f>
        <v>1.1599999999999999</v>
      </c>
      <c r="M383">
        <f>_xlfn.XLOOKUP(A383,'DGS2'!A:A,'DGS2'!B:B,"",-1)</f>
        <v>1.49</v>
      </c>
      <c r="N383">
        <f t="shared" si="43"/>
        <v>2.0000000000000018E-2</v>
      </c>
      <c r="O383">
        <f t="shared" si="44"/>
        <v>-1.0736382622734686E-3</v>
      </c>
      <c r="P383">
        <f t="shared" si="45"/>
        <v>0</v>
      </c>
      <c r="Q383">
        <f t="shared" si="46"/>
        <v>0</v>
      </c>
      <c r="R383" s="3">
        <v>49.89</v>
      </c>
    </row>
    <row r="384" spans="1:18">
      <c r="A384" s="1">
        <v>43014</v>
      </c>
      <c r="B384">
        <v>2549.33</v>
      </c>
      <c r="C384">
        <f t="shared" si="40"/>
        <v>-1.0736382622734686E-3</v>
      </c>
      <c r="D384">
        <f t="shared" si="47"/>
        <v>5.8195046122040406E-3</v>
      </c>
      <c r="E384">
        <f>_xlfn.XLOOKUP(A384,VIX!A:A,VIX!B:B,"",-1)</f>
        <v>9.65</v>
      </c>
      <c r="F384">
        <f t="shared" si="41"/>
        <v>0.46000000000000085</v>
      </c>
      <c r="G384">
        <f>_xlfn.XLOOKUP(A384,'DGS10'!A:A,'DGS10'!B:B,"",-1)</f>
        <v>2.37</v>
      </c>
      <c r="H384">
        <f t="shared" si="42"/>
        <v>2.0000000000000018E-2</v>
      </c>
      <c r="I384" s="2">
        <f>_xlfn.XLOOKUP(A384,T10Y3M!A:A,T10Y3M!B:B,"",-1)</f>
        <v>1.3</v>
      </c>
      <c r="J384" s="2">
        <f>_xlfn.XLOOKUP(A384,BAMLC0A4CBBB!A:A,BAMLC0A4CBBB!B:B,"",-1)</f>
        <v>1.33</v>
      </c>
      <c r="K384" s="2">
        <f>_xlfn.XLOOKUP(A384,CPIAUCSL!A:A,CPIAUCSL!B:B,"",-1)</f>
        <v>246.626</v>
      </c>
      <c r="L384">
        <f>_xlfn.XLOOKUP(A384,DFF!A:A,DFF!B:B,"",-1)</f>
        <v>1.1599999999999999</v>
      </c>
      <c r="M384">
        <f>_xlfn.XLOOKUP(A384,'DGS2'!A:A,'DGS2'!B:B,"",-1)</f>
        <v>1.54</v>
      </c>
      <c r="N384">
        <f t="shared" si="43"/>
        <v>5.0000000000000044E-2</v>
      </c>
      <c r="O384">
        <f t="shared" si="44"/>
        <v>-1.8043956647432191E-3</v>
      </c>
      <c r="P384">
        <f t="shared" si="45"/>
        <v>0</v>
      </c>
      <c r="Q384">
        <f t="shared" si="46"/>
        <v>0</v>
      </c>
      <c r="R384" s="3">
        <v>49.91</v>
      </c>
    </row>
    <row r="385" spans="1:18">
      <c r="A385" s="1">
        <v>43017</v>
      </c>
      <c r="B385">
        <v>2544.73</v>
      </c>
      <c r="C385">
        <f t="shared" si="40"/>
        <v>-1.8043956647432191E-3</v>
      </c>
      <c r="D385">
        <f t="shared" si="47"/>
        <v>2.7544192864519257E-3</v>
      </c>
      <c r="E385">
        <f>_xlfn.XLOOKUP(A385,VIX!A:A,VIX!B:B,"",-1)</f>
        <v>10.33</v>
      </c>
      <c r="F385">
        <f t="shared" si="41"/>
        <v>0.67999999999999972</v>
      </c>
      <c r="G385">
        <f>_xlfn.XLOOKUP(A385,'DGS10'!A:A,'DGS10'!B:B,"",-1)</f>
        <v>0</v>
      </c>
      <c r="H385">
        <f t="shared" si="42"/>
        <v>-2.37</v>
      </c>
      <c r="I385" s="2">
        <f>_xlfn.XLOOKUP(A385,T10Y3M!A:A,T10Y3M!B:B,"",-1)</f>
        <v>0</v>
      </c>
      <c r="J385" s="2">
        <f>_xlfn.XLOOKUP(A385,BAMLC0A4CBBB!A:A,BAMLC0A4CBBB!B:B,"",-1)</f>
        <v>1.33</v>
      </c>
      <c r="K385" s="2">
        <f>_xlfn.XLOOKUP(A385,CPIAUCSL!A:A,CPIAUCSL!B:B,"",-1)</f>
        <v>246.626</v>
      </c>
      <c r="L385">
        <f>_xlfn.XLOOKUP(A385,DFF!A:A,DFF!B:B,"",-1)</f>
        <v>1.1599999999999999</v>
      </c>
      <c r="M385">
        <f>_xlfn.XLOOKUP(A385,'DGS2'!A:A,'DGS2'!B:B,"",-1)</f>
        <v>0</v>
      </c>
      <c r="N385">
        <f t="shared" si="43"/>
        <v>-1.54</v>
      </c>
      <c r="O385">
        <f t="shared" si="44"/>
        <v>2.3224467821731931E-3</v>
      </c>
      <c r="P385">
        <f t="shared" si="45"/>
        <v>1</v>
      </c>
      <c r="Q385">
        <f t="shared" si="46"/>
        <v>0</v>
      </c>
      <c r="R385" s="3">
        <v>49.48</v>
      </c>
    </row>
    <row r="386" spans="1:18">
      <c r="A386" s="1">
        <v>43018</v>
      </c>
      <c r="B386">
        <v>2550.64</v>
      </c>
      <c r="C386">
        <f t="shared" si="40"/>
        <v>2.3224467821731931E-3</v>
      </c>
      <c r="D386">
        <f t="shared" si="47"/>
        <v>-5.6032945804784795E-4</v>
      </c>
      <c r="E386">
        <f>_xlfn.XLOOKUP(A386,VIX!A:A,VIX!B:B,"",-1)</f>
        <v>10.08</v>
      </c>
      <c r="F386">
        <f t="shared" si="41"/>
        <v>-0.25</v>
      </c>
      <c r="G386">
        <f>_xlfn.XLOOKUP(A386,'DGS10'!A:A,'DGS10'!B:B,"",-1)</f>
        <v>2.35</v>
      </c>
      <c r="H386">
        <f t="shared" si="42"/>
        <v>2.35</v>
      </c>
      <c r="I386" s="2">
        <f>_xlfn.XLOOKUP(A386,T10Y3M!A:A,T10Y3M!B:B,"",-1)</f>
        <v>1.27</v>
      </c>
      <c r="J386" s="2">
        <f>_xlfn.XLOOKUP(A386,BAMLC0A4CBBB!A:A,BAMLC0A4CBBB!B:B,"",-1)</f>
        <v>1.33</v>
      </c>
      <c r="K386" s="2">
        <f>_xlfn.XLOOKUP(A386,CPIAUCSL!A:A,CPIAUCSL!B:B,"",-1)</f>
        <v>246.626</v>
      </c>
      <c r="L386">
        <f>_xlfn.XLOOKUP(A386,DFF!A:A,DFF!B:B,"",-1)</f>
        <v>1.1599999999999999</v>
      </c>
      <c r="M386">
        <f>_xlfn.XLOOKUP(A386,'DGS2'!A:A,'DGS2'!B:B,"",-1)</f>
        <v>1.51</v>
      </c>
      <c r="N386">
        <f t="shared" si="43"/>
        <v>1.51</v>
      </c>
      <c r="O386">
        <f t="shared" si="44"/>
        <v>1.8034689332873111E-3</v>
      </c>
      <c r="P386">
        <f t="shared" si="45"/>
        <v>1</v>
      </c>
      <c r="Q386">
        <f t="shared" si="46"/>
        <v>0</v>
      </c>
      <c r="R386" s="3">
        <v>50.41</v>
      </c>
    </row>
    <row r="387" spans="1:18">
      <c r="A387" s="1">
        <v>43019</v>
      </c>
      <c r="B387">
        <v>2555.2399999999998</v>
      </c>
      <c r="C387">
        <f t="shared" si="40"/>
        <v>1.8034689332873111E-3</v>
      </c>
      <c r="D387">
        <f t="shared" si="47"/>
        <v>2.3182561692678405E-3</v>
      </c>
      <c r="E387">
        <f>_xlfn.XLOOKUP(A387,VIX!A:A,VIX!B:B,"",-1)</f>
        <v>9.85</v>
      </c>
      <c r="F387">
        <f t="shared" si="41"/>
        <v>-0.23000000000000043</v>
      </c>
      <c r="G387">
        <f>_xlfn.XLOOKUP(A387,'DGS10'!A:A,'DGS10'!B:B,"",-1)</f>
        <v>2.35</v>
      </c>
      <c r="H387">
        <f t="shared" si="42"/>
        <v>0</v>
      </c>
      <c r="I387" s="2">
        <f>_xlfn.XLOOKUP(A387,T10Y3M!A:A,T10Y3M!B:B,"",-1)</f>
        <v>1.25</v>
      </c>
      <c r="J387" s="2">
        <f>_xlfn.XLOOKUP(A387,BAMLC0A4CBBB!A:A,BAMLC0A4CBBB!B:B,"",-1)</f>
        <v>1.33</v>
      </c>
      <c r="K387" s="2">
        <f>_xlfn.XLOOKUP(A387,CPIAUCSL!A:A,CPIAUCSL!B:B,"",-1)</f>
        <v>246.626</v>
      </c>
      <c r="L387">
        <f>_xlfn.XLOOKUP(A387,DFF!A:A,DFF!B:B,"",-1)</f>
        <v>1.1599999999999999</v>
      </c>
      <c r="M387">
        <f>_xlfn.XLOOKUP(A387,'DGS2'!A:A,'DGS2'!B:B,"",-1)</f>
        <v>1.51</v>
      </c>
      <c r="N387">
        <f t="shared" si="43"/>
        <v>0</v>
      </c>
      <c r="O387">
        <f t="shared" si="44"/>
        <v>-1.6867300136190755E-3</v>
      </c>
      <c r="P387">
        <f t="shared" si="45"/>
        <v>0</v>
      </c>
      <c r="Q387">
        <f t="shared" si="46"/>
        <v>0</v>
      </c>
      <c r="R387" s="3">
        <v>50.55</v>
      </c>
    </row>
    <row r="388" spans="1:18">
      <c r="A388" s="1">
        <v>43020</v>
      </c>
      <c r="B388">
        <v>2550.9299999999998</v>
      </c>
      <c r="C388">
        <f t="shared" ref="C388:C451" si="48">IF(OR(B388="",B387=""),"",(B388/B387)-1)</f>
        <v>-1.6867300136190755E-3</v>
      </c>
      <c r="D388">
        <f t="shared" si="47"/>
        <v>2.4364077917893301E-3</v>
      </c>
      <c r="E388">
        <f>_xlfn.XLOOKUP(A388,VIX!A:A,VIX!B:B,"",-1)</f>
        <v>9.91</v>
      </c>
      <c r="F388">
        <f t="shared" ref="F388:F451" si="49">IF(OR(E388="",E387=""),"",E388-E387)</f>
        <v>6.0000000000000497E-2</v>
      </c>
      <c r="G388">
        <f>_xlfn.XLOOKUP(A388,'DGS10'!A:A,'DGS10'!B:B,"",-1)</f>
        <v>2.33</v>
      </c>
      <c r="H388">
        <f t="shared" ref="H388:H451" si="50">IF(OR(G388="",G387=""),"",G388-G387)</f>
        <v>-2.0000000000000018E-2</v>
      </c>
      <c r="I388" s="2">
        <f>_xlfn.XLOOKUP(A388,T10Y3M!A:A,T10Y3M!B:B,"",-1)</f>
        <v>1.24</v>
      </c>
      <c r="J388" s="2">
        <f>_xlfn.XLOOKUP(A388,BAMLC0A4CBBB!A:A,BAMLC0A4CBBB!B:B,"",-1)</f>
        <v>1.33</v>
      </c>
      <c r="K388" s="2">
        <f>_xlfn.XLOOKUP(A388,CPIAUCSL!A:A,CPIAUCSL!B:B,"",-1)</f>
        <v>246.626</v>
      </c>
      <c r="L388">
        <f>_xlfn.XLOOKUP(A388,DFF!A:A,DFF!B:B,"",-1)</f>
        <v>1.1599999999999999</v>
      </c>
      <c r="M388">
        <f>_xlfn.XLOOKUP(A388,'DGS2'!A:A,'DGS2'!B:B,"",-1)</f>
        <v>1.51</v>
      </c>
      <c r="N388">
        <f t="shared" ref="N388:N451" si="51">IF(OR(M388="",M387=""),"",M388-M387)</f>
        <v>0</v>
      </c>
      <c r="O388">
        <f t="shared" ref="O388:O451" si="52">IF(OR(B389="",B388=""),"",(B389/B388)-1)</f>
        <v>8.7811112025826255E-4</v>
      </c>
      <c r="P388">
        <f t="shared" ref="P388:P451" si="53">IF(O388="","",IF(O388&gt;0,1,0))</f>
        <v>1</v>
      </c>
      <c r="Q388">
        <f t="shared" ref="Q388:Q451" si="54">IF(O388="","",IF(O388&gt;0.003,1,IF(O388&lt;-0.003,-1,0)))</f>
        <v>0</v>
      </c>
      <c r="R388" s="3">
        <v>50.66</v>
      </c>
    </row>
    <row r="389" spans="1:18">
      <c r="A389" s="1">
        <v>43021</v>
      </c>
      <c r="B389">
        <v>2553.17</v>
      </c>
      <c r="C389">
        <f t="shared" si="48"/>
        <v>8.7811112025826255E-4</v>
      </c>
      <c r="D389">
        <f t="shared" si="47"/>
        <v>9.9190791330805439E-4</v>
      </c>
      <c r="E389">
        <f>_xlfn.XLOOKUP(A389,VIX!A:A,VIX!B:B,"",-1)</f>
        <v>9.61</v>
      </c>
      <c r="F389">
        <f t="shared" si="49"/>
        <v>-0.30000000000000071</v>
      </c>
      <c r="G389">
        <f>_xlfn.XLOOKUP(A389,'DGS10'!A:A,'DGS10'!B:B,"",-1)</f>
        <v>2.2799999999999998</v>
      </c>
      <c r="H389">
        <f t="shared" si="50"/>
        <v>-5.0000000000000266E-2</v>
      </c>
      <c r="I389" s="2">
        <f>_xlfn.XLOOKUP(A389,T10Y3M!A:A,T10Y3M!B:B,"",-1)</f>
        <v>1.19</v>
      </c>
      <c r="J389" s="2">
        <f>_xlfn.XLOOKUP(A389,BAMLC0A4CBBB!A:A,BAMLC0A4CBBB!B:B,"",-1)</f>
        <v>1.34</v>
      </c>
      <c r="K389" s="2">
        <f>_xlfn.XLOOKUP(A389,CPIAUCSL!A:A,CPIAUCSL!B:B,"",-1)</f>
        <v>246.626</v>
      </c>
      <c r="L389">
        <f>_xlfn.XLOOKUP(A389,DFF!A:A,DFF!B:B,"",-1)</f>
        <v>1.1599999999999999</v>
      </c>
      <c r="M389">
        <f>_xlfn.XLOOKUP(A389,'DGS2'!A:A,'DGS2'!B:B,"",-1)</f>
        <v>1.51</v>
      </c>
      <c r="N389">
        <f t="shared" si="51"/>
        <v>0</v>
      </c>
      <c r="O389">
        <f t="shared" si="52"/>
        <v>1.7507647356032052E-3</v>
      </c>
      <c r="P389">
        <f t="shared" si="53"/>
        <v>1</v>
      </c>
      <c r="Q389">
        <f t="shared" si="54"/>
        <v>0</v>
      </c>
      <c r="R389" s="3">
        <v>52.22</v>
      </c>
    </row>
    <row r="390" spans="1:18">
      <c r="A390" s="1">
        <v>43024</v>
      </c>
      <c r="B390">
        <v>2557.64</v>
      </c>
      <c r="C390">
        <f t="shared" si="48"/>
        <v>1.7507647356032052E-3</v>
      </c>
      <c r="D390">
        <f t="shared" ref="D390:D453" si="55">IF(OR(B390="",B387=""),"",(B390/B387)-1)</f>
        <v>9.3924641129605746E-4</v>
      </c>
      <c r="E390">
        <f>_xlfn.XLOOKUP(A390,VIX!A:A,VIX!B:B,"",-1)</f>
        <v>9.91</v>
      </c>
      <c r="F390">
        <f t="shared" si="49"/>
        <v>0.30000000000000071</v>
      </c>
      <c r="G390">
        <f>_xlfn.XLOOKUP(A390,'DGS10'!A:A,'DGS10'!B:B,"",-1)</f>
        <v>2.2999999999999998</v>
      </c>
      <c r="H390">
        <f t="shared" si="50"/>
        <v>2.0000000000000018E-2</v>
      </c>
      <c r="I390" s="2">
        <f>_xlfn.XLOOKUP(A390,T10Y3M!A:A,T10Y3M!B:B,"",-1)</f>
        <v>1.2</v>
      </c>
      <c r="J390" s="2">
        <f>_xlfn.XLOOKUP(A390,BAMLC0A4CBBB!A:A,BAMLC0A4CBBB!B:B,"",-1)</f>
        <v>1.33</v>
      </c>
      <c r="K390" s="2">
        <f>_xlfn.XLOOKUP(A390,CPIAUCSL!A:A,CPIAUCSL!B:B,"",-1)</f>
        <v>246.626</v>
      </c>
      <c r="L390">
        <f>_xlfn.XLOOKUP(A390,DFF!A:A,DFF!B:B,"",-1)</f>
        <v>1.1599999999999999</v>
      </c>
      <c r="M390">
        <f>_xlfn.XLOOKUP(A390,'DGS2'!A:A,'DGS2'!B:B,"",-1)</f>
        <v>1.54</v>
      </c>
      <c r="N390">
        <f t="shared" si="51"/>
        <v>3.0000000000000027E-2</v>
      </c>
      <c r="O390">
        <f t="shared" si="52"/>
        <v>6.7249495628796119E-4</v>
      </c>
      <c r="P390">
        <f t="shared" si="53"/>
        <v>1</v>
      </c>
      <c r="Q390">
        <f t="shared" si="54"/>
        <v>0</v>
      </c>
      <c r="R390" s="3">
        <v>51.88</v>
      </c>
    </row>
    <row r="391" spans="1:18">
      <c r="A391" s="1">
        <v>43025</v>
      </c>
      <c r="B391">
        <v>2559.36</v>
      </c>
      <c r="C391">
        <f t="shared" si="48"/>
        <v>6.7249495628796119E-4</v>
      </c>
      <c r="D391">
        <f t="shared" si="55"/>
        <v>3.304677117757171E-3</v>
      </c>
      <c r="E391">
        <f>_xlfn.XLOOKUP(A391,VIX!A:A,VIX!B:B,"",-1)</f>
        <v>10.31</v>
      </c>
      <c r="F391">
        <f t="shared" si="49"/>
        <v>0.40000000000000036</v>
      </c>
      <c r="G391">
        <f>_xlfn.XLOOKUP(A391,'DGS10'!A:A,'DGS10'!B:B,"",-1)</f>
        <v>2.2999999999999998</v>
      </c>
      <c r="H391">
        <f t="shared" si="50"/>
        <v>0</v>
      </c>
      <c r="I391" s="2">
        <f>_xlfn.XLOOKUP(A391,T10Y3M!A:A,T10Y3M!B:B,"",-1)</f>
        <v>1.21</v>
      </c>
      <c r="J391" s="2">
        <f>_xlfn.XLOOKUP(A391,BAMLC0A4CBBB!A:A,BAMLC0A4CBBB!B:B,"",-1)</f>
        <v>1.33</v>
      </c>
      <c r="K391" s="2">
        <f>_xlfn.XLOOKUP(A391,CPIAUCSL!A:A,CPIAUCSL!B:B,"",-1)</f>
        <v>246.626</v>
      </c>
      <c r="L391">
        <f>_xlfn.XLOOKUP(A391,DFF!A:A,DFF!B:B,"",-1)</f>
        <v>1.1599999999999999</v>
      </c>
      <c r="M391">
        <f>_xlfn.XLOOKUP(A391,'DGS2'!A:A,'DGS2'!B:B,"",-1)</f>
        <v>1.54</v>
      </c>
      <c r="N391">
        <f t="shared" si="51"/>
        <v>0</v>
      </c>
      <c r="O391">
        <f t="shared" si="52"/>
        <v>7.4237309327340739E-4</v>
      </c>
      <c r="P391">
        <f t="shared" si="53"/>
        <v>1</v>
      </c>
      <c r="Q391">
        <f t="shared" si="54"/>
        <v>0</v>
      </c>
      <c r="R391" s="3">
        <v>52.14</v>
      </c>
    </row>
    <row r="392" spans="1:18">
      <c r="A392" s="1">
        <v>43026</v>
      </c>
      <c r="B392">
        <v>2561.2600000000002</v>
      </c>
      <c r="C392">
        <f t="shared" si="48"/>
        <v>7.4237309327340739E-4</v>
      </c>
      <c r="D392">
        <f t="shared" si="55"/>
        <v>3.1686100024674868E-3</v>
      </c>
      <c r="E392">
        <f>_xlfn.XLOOKUP(A392,VIX!A:A,VIX!B:B,"",-1)</f>
        <v>10.07</v>
      </c>
      <c r="F392">
        <f t="shared" si="49"/>
        <v>-0.24000000000000021</v>
      </c>
      <c r="G392">
        <f>_xlfn.XLOOKUP(A392,'DGS10'!A:A,'DGS10'!B:B,"",-1)</f>
        <v>2.34</v>
      </c>
      <c r="H392">
        <f t="shared" si="50"/>
        <v>4.0000000000000036E-2</v>
      </c>
      <c r="I392" s="2">
        <f>_xlfn.XLOOKUP(A392,T10Y3M!A:A,T10Y3M!B:B,"",-1)</f>
        <v>1.25</v>
      </c>
      <c r="J392" s="2">
        <f>_xlfn.XLOOKUP(A392,BAMLC0A4CBBB!A:A,BAMLC0A4CBBB!B:B,"",-1)</f>
        <v>1.32</v>
      </c>
      <c r="K392" s="2">
        <f>_xlfn.XLOOKUP(A392,CPIAUCSL!A:A,CPIAUCSL!B:B,"",-1)</f>
        <v>246.626</v>
      </c>
      <c r="L392">
        <f>_xlfn.XLOOKUP(A392,DFF!A:A,DFF!B:B,"",-1)</f>
        <v>1.1599999999999999</v>
      </c>
      <c r="M392">
        <f>_xlfn.XLOOKUP(A392,'DGS2'!A:A,'DGS2'!B:B,"",-1)</f>
        <v>1.59</v>
      </c>
      <c r="N392">
        <f t="shared" si="51"/>
        <v>5.0000000000000044E-2</v>
      </c>
      <c r="O392">
        <f t="shared" si="52"/>
        <v>3.2796358042519458E-4</v>
      </c>
      <c r="P392">
        <f t="shared" si="53"/>
        <v>1</v>
      </c>
      <c r="Q392">
        <f t="shared" si="54"/>
        <v>0</v>
      </c>
      <c r="R392" s="3">
        <v>51.56</v>
      </c>
    </row>
    <row r="393" spans="1:18">
      <c r="A393" s="1">
        <v>43027</v>
      </c>
      <c r="B393">
        <v>2562.1</v>
      </c>
      <c r="C393">
        <f t="shared" si="48"/>
        <v>3.2796358042519458E-4</v>
      </c>
      <c r="D393">
        <f t="shared" si="55"/>
        <v>1.7437950610719177E-3</v>
      </c>
      <c r="E393">
        <f>_xlfn.XLOOKUP(A393,VIX!A:A,VIX!B:B,"",-1)</f>
        <v>10.050000000000001</v>
      </c>
      <c r="F393">
        <f t="shared" si="49"/>
        <v>-1.9999999999999574E-2</v>
      </c>
      <c r="G393">
        <f>_xlfn.XLOOKUP(A393,'DGS10'!A:A,'DGS10'!B:B,"",-1)</f>
        <v>2.33</v>
      </c>
      <c r="H393">
        <f t="shared" si="50"/>
        <v>-9.9999999999997868E-3</v>
      </c>
      <c r="I393" s="2">
        <f>_xlfn.XLOOKUP(A393,T10Y3M!A:A,T10Y3M!B:B,"",-1)</f>
        <v>1.23</v>
      </c>
      <c r="J393" s="2">
        <f>_xlfn.XLOOKUP(A393,BAMLC0A4CBBB!A:A,BAMLC0A4CBBB!B:B,"",-1)</f>
        <v>1.32</v>
      </c>
      <c r="K393" s="2">
        <f>_xlfn.XLOOKUP(A393,CPIAUCSL!A:A,CPIAUCSL!B:B,"",-1)</f>
        <v>246.626</v>
      </c>
      <c r="L393">
        <f>_xlfn.XLOOKUP(A393,DFF!A:A,DFF!B:B,"",-1)</f>
        <v>1.1599999999999999</v>
      </c>
      <c r="M393">
        <f>_xlfn.XLOOKUP(A393,'DGS2'!A:A,'DGS2'!B:B,"",-1)</f>
        <v>1.58</v>
      </c>
      <c r="N393">
        <f t="shared" si="51"/>
        <v>-1.0000000000000009E-2</v>
      </c>
      <c r="O393">
        <f t="shared" si="52"/>
        <v>5.1168962960073117E-3</v>
      </c>
      <c r="P393">
        <f t="shared" si="53"/>
        <v>1</v>
      </c>
      <c r="Q393">
        <f t="shared" si="54"/>
        <v>1</v>
      </c>
      <c r="R393" s="3">
        <v>51.67</v>
      </c>
    </row>
    <row r="394" spans="1:18">
      <c r="A394" s="1">
        <v>43028</v>
      </c>
      <c r="B394">
        <v>2575.21</v>
      </c>
      <c r="C394">
        <f t="shared" si="48"/>
        <v>5.1168962960073117E-3</v>
      </c>
      <c r="D394">
        <f t="shared" si="55"/>
        <v>6.1929544886221155E-3</v>
      </c>
      <c r="E394">
        <f>_xlfn.XLOOKUP(A394,VIX!A:A,VIX!B:B,"",-1)</f>
        <v>9.9700000000000006</v>
      </c>
      <c r="F394">
        <f t="shared" si="49"/>
        <v>-8.0000000000000071E-2</v>
      </c>
      <c r="G394">
        <f>_xlfn.XLOOKUP(A394,'DGS10'!A:A,'DGS10'!B:B,"",-1)</f>
        <v>2.39</v>
      </c>
      <c r="H394">
        <f t="shared" si="50"/>
        <v>6.0000000000000053E-2</v>
      </c>
      <c r="I394" s="2">
        <f>_xlfn.XLOOKUP(A394,T10Y3M!A:A,T10Y3M!B:B,"",-1)</f>
        <v>1.28</v>
      </c>
      <c r="J394" s="2">
        <f>_xlfn.XLOOKUP(A394,BAMLC0A4CBBB!A:A,BAMLC0A4CBBB!B:B,"",-1)</f>
        <v>1.31</v>
      </c>
      <c r="K394" s="2">
        <f>_xlfn.XLOOKUP(A394,CPIAUCSL!A:A,CPIAUCSL!B:B,"",-1)</f>
        <v>246.626</v>
      </c>
      <c r="L394">
        <f>_xlfn.XLOOKUP(A394,DFF!A:A,DFF!B:B,"",-1)</f>
        <v>1.1599999999999999</v>
      </c>
      <c r="M394">
        <f>_xlfn.XLOOKUP(A394,'DGS2'!A:A,'DGS2'!B:B,"",-1)</f>
        <v>1.6</v>
      </c>
      <c r="N394">
        <f t="shared" si="51"/>
        <v>2.0000000000000018E-2</v>
      </c>
      <c r="O394">
        <f t="shared" si="52"/>
        <v>-3.9724915637947555E-3</v>
      </c>
      <c r="P394">
        <f t="shared" si="53"/>
        <v>0</v>
      </c>
      <c r="Q394">
        <f t="shared" si="54"/>
        <v>-1</v>
      </c>
      <c r="R394" s="3">
        <v>50.58</v>
      </c>
    </row>
    <row r="395" spans="1:18">
      <c r="A395" s="1">
        <v>43031</v>
      </c>
      <c r="B395">
        <v>2564.98</v>
      </c>
      <c r="C395">
        <f t="shared" si="48"/>
        <v>-3.9724915637947555E-3</v>
      </c>
      <c r="D395">
        <f t="shared" si="55"/>
        <v>1.4524101418831314E-3</v>
      </c>
      <c r="E395">
        <f>_xlfn.XLOOKUP(A395,VIX!A:A,VIX!B:B,"",-1)</f>
        <v>11.07</v>
      </c>
      <c r="F395">
        <f t="shared" si="49"/>
        <v>1.0999999999999996</v>
      </c>
      <c r="G395">
        <f>_xlfn.XLOOKUP(A395,'DGS10'!A:A,'DGS10'!B:B,"",-1)</f>
        <v>2.38</v>
      </c>
      <c r="H395">
        <f t="shared" si="50"/>
        <v>-1.0000000000000231E-2</v>
      </c>
      <c r="I395" s="2">
        <f>_xlfn.XLOOKUP(A395,T10Y3M!A:A,T10Y3M!B:B,"",-1)</f>
        <v>1.29</v>
      </c>
      <c r="J395" s="2">
        <f>_xlfn.XLOOKUP(A395,BAMLC0A4CBBB!A:A,BAMLC0A4CBBB!B:B,"",-1)</f>
        <v>1.3</v>
      </c>
      <c r="K395" s="2">
        <f>_xlfn.XLOOKUP(A395,CPIAUCSL!A:A,CPIAUCSL!B:B,"",-1)</f>
        <v>246.626</v>
      </c>
      <c r="L395">
        <f>_xlfn.XLOOKUP(A395,DFF!A:A,DFF!B:B,"",-1)</f>
        <v>1.1599999999999999</v>
      </c>
      <c r="M395">
        <f>_xlfn.XLOOKUP(A395,'DGS2'!A:A,'DGS2'!B:B,"",-1)</f>
        <v>1.58</v>
      </c>
      <c r="N395">
        <f t="shared" si="51"/>
        <v>-2.0000000000000018E-2</v>
      </c>
      <c r="O395">
        <f t="shared" si="52"/>
        <v>1.6179463387628878E-3</v>
      </c>
      <c r="P395">
        <f t="shared" si="53"/>
        <v>1</v>
      </c>
      <c r="Q395">
        <f t="shared" si="54"/>
        <v>0</v>
      </c>
      <c r="R395" s="3">
        <v>50.42</v>
      </c>
    </row>
    <row r="396" spans="1:18">
      <c r="A396" s="1">
        <v>43032</v>
      </c>
      <c r="B396">
        <v>2569.13</v>
      </c>
      <c r="C396">
        <f t="shared" si="48"/>
        <v>1.6179463387628878E-3</v>
      </c>
      <c r="D396">
        <f t="shared" si="55"/>
        <v>2.7438429413373377E-3</v>
      </c>
      <c r="E396">
        <f>_xlfn.XLOOKUP(A396,VIX!A:A,VIX!B:B,"",-1)</f>
        <v>11.16</v>
      </c>
      <c r="F396">
        <f t="shared" si="49"/>
        <v>8.9999999999999858E-2</v>
      </c>
      <c r="G396">
        <f>_xlfn.XLOOKUP(A396,'DGS10'!A:A,'DGS10'!B:B,"",-1)</f>
        <v>2.42</v>
      </c>
      <c r="H396">
        <f t="shared" si="50"/>
        <v>4.0000000000000036E-2</v>
      </c>
      <c r="I396" s="2">
        <f>_xlfn.XLOOKUP(A396,T10Y3M!A:A,T10Y3M!B:B,"",-1)</f>
        <v>1.3</v>
      </c>
      <c r="J396" s="2">
        <f>_xlfn.XLOOKUP(A396,BAMLC0A4CBBB!A:A,BAMLC0A4CBBB!B:B,"",-1)</f>
        <v>1.29</v>
      </c>
      <c r="K396" s="2">
        <f>_xlfn.XLOOKUP(A396,CPIAUCSL!A:A,CPIAUCSL!B:B,"",-1)</f>
        <v>246.626</v>
      </c>
      <c r="L396">
        <f>_xlfn.XLOOKUP(A396,DFF!A:A,DFF!B:B,"",-1)</f>
        <v>1.1599999999999999</v>
      </c>
      <c r="M396">
        <f>_xlfn.XLOOKUP(A396,'DGS2'!A:A,'DGS2'!B:B,"",-1)</f>
        <v>1.6</v>
      </c>
      <c r="N396">
        <f t="shared" si="51"/>
        <v>2.0000000000000018E-2</v>
      </c>
      <c r="O396">
        <f t="shared" si="52"/>
        <v>-4.6630571438580626E-3</v>
      </c>
      <c r="P396">
        <f t="shared" si="53"/>
        <v>0</v>
      </c>
      <c r="Q396">
        <f t="shared" si="54"/>
        <v>-1</v>
      </c>
      <c r="R396" s="3">
        <v>49.98</v>
      </c>
    </row>
    <row r="397" spans="1:18">
      <c r="A397" s="1">
        <v>43033</v>
      </c>
      <c r="B397">
        <v>2557.15</v>
      </c>
      <c r="C397">
        <f t="shared" si="48"/>
        <v>-4.6630571438580626E-3</v>
      </c>
      <c r="D397">
        <f t="shared" si="55"/>
        <v>-7.0130202973738287E-3</v>
      </c>
      <c r="E397">
        <f>_xlfn.XLOOKUP(A397,VIX!A:A,VIX!B:B,"",-1)</f>
        <v>11.23</v>
      </c>
      <c r="F397">
        <f t="shared" si="49"/>
        <v>7.0000000000000284E-2</v>
      </c>
      <c r="G397">
        <f>_xlfn.XLOOKUP(A397,'DGS10'!A:A,'DGS10'!B:B,"",-1)</f>
        <v>2.44</v>
      </c>
      <c r="H397">
        <f t="shared" si="50"/>
        <v>2.0000000000000018E-2</v>
      </c>
      <c r="I397" s="2">
        <f>_xlfn.XLOOKUP(A397,T10Y3M!A:A,T10Y3M!B:B,"",-1)</f>
        <v>1.32</v>
      </c>
      <c r="J397" s="2">
        <f>_xlfn.XLOOKUP(A397,BAMLC0A4CBBB!A:A,BAMLC0A4CBBB!B:B,"",-1)</f>
        <v>1.29</v>
      </c>
      <c r="K397" s="2">
        <f>_xlfn.XLOOKUP(A397,CPIAUCSL!A:A,CPIAUCSL!B:B,"",-1)</f>
        <v>246.626</v>
      </c>
      <c r="L397">
        <f>_xlfn.XLOOKUP(A397,DFF!A:A,DFF!B:B,"",-1)</f>
        <v>1.1599999999999999</v>
      </c>
      <c r="M397">
        <f>_xlfn.XLOOKUP(A397,'DGS2'!A:A,'DGS2'!B:B,"",-1)</f>
        <v>1.61</v>
      </c>
      <c r="N397">
        <f t="shared" si="51"/>
        <v>1.0000000000000009E-2</v>
      </c>
      <c r="O397">
        <f t="shared" si="52"/>
        <v>1.2709461705413538E-3</v>
      </c>
      <c r="P397">
        <f t="shared" si="53"/>
        <v>1</v>
      </c>
      <c r="Q397">
        <f t="shared" si="54"/>
        <v>0</v>
      </c>
      <c r="R397" s="3">
        <v>50.79</v>
      </c>
    </row>
    <row r="398" spans="1:18">
      <c r="A398" s="1">
        <v>43034</v>
      </c>
      <c r="B398">
        <v>2560.4</v>
      </c>
      <c r="C398">
        <f t="shared" si="48"/>
        <v>1.2709461705413538E-3</v>
      </c>
      <c r="D398">
        <f t="shared" si="55"/>
        <v>-1.7855889714539774E-3</v>
      </c>
      <c r="E398">
        <f>_xlfn.XLOOKUP(A398,VIX!A:A,VIX!B:B,"",-1)</f>
        <v>11.3</v>
      </c>
      <c r="F398">
        <f t="shared" si="49"/>
        <v>7.0000000000000284E-2</v>
      </c>
      <c r="G398">
        <f>_xlfn.XLOOKUP(A398,'DGS10'!A:A,'DGS10'!B:B,"",-1)</f>
        <v>2.46</v>
      </c>
      <c r="H398">
        <f t="shared" si="50"/>
        <v>2.0000000000000018E-2</v>
      </c>
      <c r="I398" s="2">
        <f>_xlfn.XLOOKUP(A398,T10Y3M!A:A,T10Y3M!B:B,"",-1)</f>
        <v>1.35</v>
      </c>
      <c r="J398" s="2">
        <f>_xlfn.XLOOKUP(A398,BAMLC0A4CBBB!A:A,BAMLC0A4CBBB!B:B,"",-1)</f>
        <v>1.29</v>
      </c>
      <c r="K398" s="2">
        <f>_xlfn.XLOOKUP(A398,CPIAUCSL!A:A,CPIAUCSL!B:B,"",-1)</f>
        <v>246.626</v>
      </c>
      <c r="L398">
        <f>_xlfn.XLOOKUP(A398,DFF!A:A,DFF!B:B,"",-1)</f>
        <v>1.1599999999999999</v>
      </c>
      <c r="M398">
        <f>_xlfn.XLOOKUP(A398,'DGS2'!A:A,'DGS2'!B:B,"",-1)</f>
        <v>1.63</v>
      </c>
      <c r="N398">
        <f t="shared" si="51"/>
        <v>1.9999999999999796E-2</v>
      </c>
      <c r="O398">
        <f t="shared" si="52"/>
        <v>8.0729573504141339E-3</v>
      </c>
      <c r="P398">
        <f t="shared" si="53"/>
        <v>1</v>
      </c>
      <c r="Q398">
        <f t="shared" si="54"/>
        <v>1</v>
      </c>
      <c r="R398" s="3">
        <v>49.29</v>
      </c>
    </row>
    <row r="399" spans="1:18">
      <c r="A399" s="1">
        <v>43035</v>
      </c>
      <c r="B399">
        <v>2581.0700000000002</v>
      </c>
      <c r="C399">
        <f t="shared" si="48"/>
        <v>8.0729573504141339E-3</v>
      </c>
      <c r="D399">
        <f t="shared" si="55"/>
        <v>4.6474876709237112E-3</v>
      </c>
      <c r="E399">
        <f>_xlfn.XLOOKUP(A399,VIX!A:A,VIX!B:B,"",-1)</f>
        <v>9.8000000000000007</v>
      </c>
      <c r="F399">
        <f t="shared" si="49"/>
        <v>-1.5</v>
      </c>
      <c r="G399">
        <f>_xlfn.XLOOKUP(A399,'DGS10'!A:A,'DGS10'!B:B,"",-1)</f>
        <v>2.42</v>
      </c>
      <c r="H399">
        <f t="shared" si="50"/>
        <v>-4.0000000000000036E-2</v>
      </c>
      <c r="I399" s="2">
        <f>_xlfn.XLOOKUP(A399,T10Y3M!A:A,T10Y3M!B:B,"",-1)</f>
        <v>1.32</v>
      </c>
      <c r="J399" s="2">
        <f>_xlfn.XLOOKUP(A399,BAMLC0A4CBBB!A:A,BAMLC0A4CBBB!B:B,"",-1)</f>
        <v>1.29</v>
      </c>
      <c r="K399" s="2">
        <f>_xlfn.XLOOKUP(A399,CPIAUCSL!A:A,CPIAUCSL!B:B,"",-1)</f>
        <v>246.626</v>
      </c>
      <c r="L399">
        <f>_xlfn.XLOOKUP(A399,DFF!A:A,DFF!B:B,"",-1)</f>
        <v>1.1599999999999999</v>
      </c>
      <c r="M399">
        <f>_xlfn.XLOOKUP(A399,'DGS2'!A:A,'DGS2'!B:B,"",-1)</f>
        <v>1.59</v>
      </c>
      <c r="N399">
        <f t="shared" si="51"/>
        <v>-3.9999999999999813E-2</v>
      </c>
      <c r="O399">
        <f t="shared" si="52"/>
        <v>-3.1924744388955872E-3</v>
      </c>
      <c r="P399">
        <f t="shared" si="53"/>
        <v>0</v>
      </c>
      <c r="Q399">
        <f t="shared" si="54"/>
        <v>-1</v>
      </c>
      <c r="R399" s="3">
        <v>49.58</v>
      </c>
    </row>
    <row r="400" spans="1:18">
      <c r="A400" s="1">
        <v>43038</v>
      </c>
      <c r="B400">
        <v>2572.83</v>
      </c>
      <c r="C400">
        <f t="shared" si="48"/>
        <v>-3.1924744388955872E-3</v>
      </c>
      <c r="D400">
        <f t="shared" si="55"/>
        <v>6.1318264474121698E-3</v>
      </c>
      <c r="E400">
        <f>_xlfn.XLOOKUP(A400,VIX!A:A,VIX!B:B,"",-1)</f>
        <v>10.5</v>
      </c>
      <c r="F400">
        <f t="shared" si="49"/>
        <v>0.69999999999999929</v>
      </c>
      <c r="G400">
        <f>_xlfn.XLOOKUP(A400,'DGS10'!A:A,'DGS10'!B:B,"",-1)</f>
        <v>2.37</v>
      </c>
      <c r="H400">
        <f t="shared" si="50"/>
        <v>-4.9999999999999822E-2</v>
      </c>
      <c r="I400" s="2">
        <f>_xlfn.XLOOKUP(A400,T10Y3M!A:A,T10Y3M!B:B,"",-1)</f>
        <v>1.25</v>
      </c>
      <c r="J400" s="2">
        <f>_xlfn.XLOOKUP(A400,BAMLC0A4CBBB!A:A,BAMLC0A4CBBB!B:B,"",-1)</f>
        <v>1.3</v>
      </c>
      <c r="K400" s="2">
        <f>_xlfn.XLOOKUP(A400,CPIAUCSL!A:A,CPIAUCSL!B:B,"",-1)</f>
        <v>246.626</v>
      </c>
      <c r="L400">
        <f>_xlfn.XLOOKUP(A400,DFF!A:A,DFF!B:B,"",-1)</f>
        <v>1.1599999999999999</v>
      </c>
      <c r="M400">
        <f>_xlfn.XLOOKUP(A400,'DGS2'!A:A,'DGS2'!B:B,"",-1)</f>
        <v>1.58</v>
      </c>
      <c r="N400">
        <f t="shared" si="51"/>
        <v>-1.0000000000000009E-2</v>
      </c>
      <c r="O400">
        <f t="shared" si="52"/>
        <v>9.4448525553580964E-4</v>
      </c>
      <c r="P400">
        <f t="shared" si="53"/>
        <v>1</v>
      </c>
      <c r="Q400">
        <f t="shared" si="54"/>
        <v>0</v>
      </c>
      <c r="R400" s="3">
        <v>50.92</v>
      </c>
    </row>
    <row r="401" spans="1:18">
      <c r="A401" s="1">
        <v>43039</v>
      </c>
      <c r="B401">
        <v>2575.2600000000002</v>
      </c>
      <c r="C401">
        <f t="shared" si="48"/>
        <v>9.4448525553580964E-4</v>
      </c>
      <c r="D401">
        <f t="shared" si="55"/>
        <v>5.8037806592721175E-3</v>
      </c>
      <c r="E401">
        <f>_xlfn.XLOOKUP(A401,VIX!A:A,VIX!B:B,"",-1)</f>
        <v>10.18</v>
      </c>
      <c r="F401">
        <f t="shared" si="49"/>
        <v>-0.32000000000000028</v>
      </c>
      <c r="G401">
        <f>_xlfn.XLOOKUP(A401,'DGS10'!A:A,'DGS10'!B:B,"",-1)</f>
        <v>2.38</v>
      </c>
      <c r="H401">
        <f t="shared" si="50"/>
        <v>9.9999999999997868E-3</v>
      </c>
      <c r="I401" s="2">
        <f>_xlfn.XLOOKUP(A401,T10Y3M!A:A,T10Y3M!B:B,"",-1)</f>
        <v>1.23</v>
      </c>
      <c r="J401" s="2">
        <f>_xlfn.XLOOKUP(A401,BAMLC0A4CBBB!A:A,BAMLC0A4CBBB!B:B,"",-1)</f>
        <v>1.3</v>
      </c>
      <c r="K401" s="2">
        <f>_xlfn.XLOOKUP(A401,CPIAUCSL!A:A,CPIAUCSL!B:B,"",-1)</f>
        <v>246.626</v>
      </c>
      <c r="L401">
        <f>_xlfn.XLOOKUP(A401,DFF!A:A,DFF!B:B,"",-1)</f>
        <v>1.07</v>
      </c>
      <c r="M401">
        <f>_xlfn.XLOOKUP(A401,'DGS2'!A:A,'DGS2'!B:B,"",-1)</f>
        <v>1.6</v>
      </c>
      <c r="N401">
        <f t="shared" si="51"/>
        <v>2.0000000000000018E-2</v>
      </c>
      <c r="O401">
        <f t="shared" si="52"/>
        <v>1.5920722567817069E-3</v>
      </c>
      <c r="P401">
        <f t="shared" si="53"/>
        <v>1</v>
      </c>
      <c r="Q401">
        <f t="shared" si="54"/>
        <v>0</v>
      </c>
      <c r="R401" s="3">
        <v>51.3</v>
      </c>
    </row>
    <row r="402" spans="1:18">
      <c r="A402" s="1">
        <v>43040</v>
      </c>
      <c r="B402">
        <v>2579.36</v>
      </c>
      <c r="C402">
        <f t="shared" si="48"/>
        <v>1.5920722567817069E-3</v>
      </c>
      <c r="D402">
        <f t="shared" si="55"/>
        <v>-6.6251593331445591E-4</v>
      </c>
      <c r="E402">
        <f>_xlfn.XLOOKUP(A402,VIX!A:A,VIX!B:B,"",-1)</f>
        <v>10.199999999999999</v>
      </c>
      <c r="F402">
        <f t="shared" si="49"/>
        <v>1.9999999999999574E-2</v>
      </c>
      <c r="G402">
        <f>_xlfn.XLOOKUP(A402,'DGS10'!A:A,'DGS10'!B:B,"",-1)</f>
        <v>2.37</v>
      </c>
      <c r="H402">
        <f t="shared" si="50"/>
        <v>-9.9999999999997868E-3</v>
      </c>
      <c r="I402" s="2">
        <f>_xlfn.XLOOKUP(A402,T10Y3M!A:A,T10Y3M!B:B,"",-1)</f>
        <v>1.19</v>
      </c>
      <c r="J402" s="2">
        <f>_xlfn.XLOOKUP(A402,BAMLC0A4CBBB!A:A,BAMLC0A4CBBB!B:B,"",-1)</f>
        <v>1.31</v>
      </c>
      <c r="K402" s="2">
        <f>_xlfn.XLOOKUP(A402,CPIAUCSL!A:A,CPIAUCSL!B:B,"",-1)</f>
        <v>247.28399999999999</v>
      </c>
      <c r="L402">
        <f>_xlfn.XLOOKUP(A402,DFF!A:A,DFF!B:B,"",-1)</f>
        <v>1.1599999999999999</v>
      </c>
      <c r="M402">
        <f>_xlfn.XLOOKUP(A402,'DGS2'!A:A,'DGS2'!B:B,"",-1)</f>
        <v>1.61</v>
      </c>
      <c r="N402">
        <f t="shared" si="51"/>
        <v>1.0000000000000009E-2</v>
      </c>
      <c r="O402">
        <f t="shared" si="52"/>
        <v>1.8996960486306058E-4</v>
      </c>
      <c r="P402">
        <f t="shared" si="53"/>
        <v>1</v>
      </c>
      <c r="Q402">
        <f t="shared" si="54"/>
        <v>0</v>
      </c>
      <c r="R402" s="3">
        <v>50.6</v>
      </c>
    </row>
    <row r="403" spans="1:18">
      <c r="A403" s="1">
        <v>43041</v>
      </c>
      <c r="B403">
        <v>2579.85</v>
      </c>
      <c r="C403">
        <f t="shared" si="48"/>
        <v>1.8996960486306058E-4</v>
      </c>
      <c r="D403">
        <f t="shared" si="55"/>
        <v>2.7285129604366354E-3</v>
      </c>
      <c r="E403">
        <f>_xlfn.XLOOKUP(A403,VIX!A:A,VIX!B:B,"",-1)</f>
        <v>9.93</v>
      </c>
      <c r="F403">
        <f t="shared" si="49"/>
        <v>-0.26999999999999957</v>
      </c>
      <c r="G403">
        <f>_xlfn.XLOOKUP(A403,'DGS10'!A:A,'DGS10'!B:B,"",-1)</f>
        <v>2.35</v>
      </c>
      <c r="H403">
        <f t="shared" si="50"/>
        <v>-2.0000000000000018E-2</v>
      </c>
      <c r="I403" s="2">
        <f>_xlfn.XLOOKUP(A403,T10Y3M!A:A,T10Y3M!B:B,"",-1)</f>
        <v>1.18</v>
      </c>
      <c r="J403" s="2">
        <f>_xlfn.XLOOKUP(A403,BAMLC0A4CBBB!A:A,BAMLC0A4CBBB!B:B,"",-1)</f>
        <v>1.32</v>
      </c>
      <c r="K403" s="2">
        <f>_xlfn.XLOOKUP(A403,CPIAUCSL!A:A,CPIAUCSL!B:B,"",-1)</f>
        <v>247.28399999999999</v>
      </c>
      <c r="L403">
        <f>_xlfn.XLOOKUP(A403,DFF!A:A,DFF!B:B,"",-1)</f>
        <v>1.1599999999999999</v>
      </c>
      <c r="M403">
        <f>_xlfn.XLOOKUP(A403,'DGS2'!A:A,'DGS2'!B:B,"",-1)</f>
        <v>1.61</v>
      </c>
      <c r="N403">
        <f t="shared" si="51"/>
        <v>0</v>
      </c>
      <c r="O403">
        <f t="shared" si="52"/>
        <v>3.0970792875555375E-3</v>
      </c>
      <c r="P403">
        <f t="shared" si="53"/>
        <v>1</v>
      </c>
      <c r="Q403">
        <f t="shared" si="54"/>
        <v>1</v>
      </c>
      <c r="R403" s="3">
        <v>51.45</v>
      </c>
    </row>
    <row r="404" spans="1:18">
      <c r="A404" s="1">
        <v>43042</v>
      </c>
      <c r="B404">
        <v>2587.84</v>
      </c>
      <c r="C404">
        <f t="shared" si="48"/>
        <v>3.0970792875555375E-3</v>
      </c>
      <c r="D404">
        <f t="shared" si="55"/>
        <v>4.8849436561744231E-3</v>
      </c>
      <c r="E404">
        <f>_xlfn.XLOOKUP(A404,VIX!A:A,VIX!B:B,"",-1)</f>
        <v>9.14</v>
      </c>
      <c r="F404">
        <f t="shared" si="49"/>
        <v>-0.78999999999999915</v>
      </c>
      <c r="G404">
        <f>_xlfn.XLOOKUP(A404,'DGS10'!A:A,'DGS10'!B:B,"",-1)</f>
        <v>2.34</v>
      </c>
      <c r="H404">
        <f t="shared" si="50"/>
        <v>-1.0000000000000231E-2</v>
      </c>
      <c r="I404" s="2">
        <f>_xlfn.XLOOKUP(A404,T10Y3M!A:A,T10Y3M!B:B,"",-1)</f>
        <v>1.1599999999999999</v>
      </c>
      <c r="J404" s="2">
        <f>_xlfn.XLOOKUP(A404,BAMLC0A4CBBB!A:A,BAMLC0A4CBBB!B:B,"",-1)</f>
        <v>1.32</v>
      </c>
      <c r="K404" s="2">
        <f>_xlfn.XLOOKUP(A404,CPIAUCSL!A:A,CPIAUCSL!B:B,"",-1)</f>
        <v>247.28399999999999</v>
      </c>
      <c r="L404">
        <f>_xlfn.XLOOKUP(A404,DFF!A:A,DFF!B:B,"",-1)</f>
        <v>1.1599999999999999</v>
      </c>
      <c r="M404">
        <f>_xlfn.XLOOKUP(A404,'DGS2'!A:A,'DGS2'!B:B,"",-1)</f>
        <v>1.63</v>
      </c>
      <c r="N404">
        <f t="shared" si="51"/>
        <v>1.9999999999999796E-2</v>
      </c>
      <c r="O404">
        <f t="shared" si="52"/>
        <v>1.2713305304810074E-3</v>
      </c>
      <c r="P404">
        <f t="shared" si="53"/>
        <v>1</v>
      </c>
      <c r="Q404">
        <f t="shared" si="54"/>
        <v>0</v>
      </c>
      <c r="R404" s="3">
        <v>51.87</v>
      </c>
    </row>
    <row r="405" spans="1:18">
      <c r="A405" s="1">
        <v>43045</v>
      </c>
      <c r="B405">
        <v>2591.13</v>
      </c>
      <c r="C405">
        <f t="shared" si="48"/>
        <v>1.2713305304810074E-3</v>
      </c>
      <c r="D405">
        <f t="shared" si="55"/>
        <v>4.5631474474288058E-3</v>
      </c>
      <c r="E405">
        <f>_xlfn.XLOOKUP(A405,VIX!A:A,VIX!B:B,"",-1)</f>
        <v>9.4</v>
      </c>
      <c r="F405">
        <f t="shared" si="49"/>
        <v>0.25999999999999979</v>
      </c>
      <c r="G405">
        <f>_xlfn.XLOOKUP(A405,'DGS10'!A:A,'DGS10'!B:B,"",-1)</f>
        <v>2.3199999999999998</v>
      </c>
      <c r="H405">
        <f t="shared" si="50"/>
        <v>-2.0000000000000018E-2</v>
      </c>
      <c r="I405" s="2">
        <f>_xlfn.XLOOKUP(A405,T10Y3M!A:A,T10Y3M!B:B,"",-1)</f>
        <v>1.1299999999999999</v>
      </c>
      <c r="J405" s="2">
        <f>_xlfn.XLOOKUP(A405,BAMLC0A4CBBB!A:A,BAMLC0A4CBBB!B:B,"",-1)</f>
        <v>1.33</v>
      </c>
      <c r="K405" s="2">
        <f>_xlfn.XLOOKUP(A405,CPIAUCSL!A:A,CPIAUCSL!B:B,"",-1)</f>
        <v>247.28399999999999</v>
      </c>
      <c r="L405">
        <f>_xlfn.XLOOKUP(A405,DFF!A:A,DFF!B:B,"",-1)</f>
        <v>1.1599999999999999</v>
      </c>
      <c r="M405">
        <f>_xlfn.XLOOKUP(A405,'DGS2'!A:A,'DGS2'!B:B,"",-1)</f>
        <v>1.61</v>
      </c>
      <c r="N405">
        <f t="shared" si="51"/>
        <v>-1.9999999999999796E-2</v>
      </c>
      <c r="O405">
        <f t="shared" si="52"/>
        <v>-1.8910668318461443E-4</v>
      </c>
      <c r="P405">
        <f t="shared" si="53"/>
        <v>0</v>
      </c>
      <c r="Q405">
        <f t="shared" si="54"/>
        <v>0</v>
      </c>
      <c r="R405" s="3">
        <v>51.88</v>
      </c>
    </row>
    <row r="406" spans="1:18">
      <c r="A406" s="1">
        <v>43046</v>
      </c>
      <c r="B406">
        <v>2590.64</v>
      </c>
      <c r="C406">
        <f t="shared" si="48"/>
        <v>-1.8910668318461443E-4</v>
      </c>
      <c r="D406">
        <f t="shared" si="55"/>
        <v>4.182413706223187E-3</v>
      </c>
      <c r="E406">
        <f>_xlfn.XLOOKUP(A406,VIX!A:A,VIX!B:B,"",-1)</f>
        <v>9.89</v>
      </c>
      <c r="F406">
        <f t="shared" si="49"/>
        <v>0.49000000000000021</v>
      </c>
      <c r="G406">
        <f>_xlfn.XLOOKUP(A406,'DGS10'!A:A,'DGS10'!B:B,"",-1)</f>
        <v>2.3199999999999998</v>
      </c>
      <c r="H406">
        <f t="shared" si="50"/>
        <v>0</v>
      </c>
      <c r="I406" s="2">
        <f>_xlfn.XLOOKUP(A406,T10Y3M!A:A,T10Y3M!B:B,"",-1)</f>
        <v>1.1000000000000001</v>
      </c>
      <c r="J406" s="2">
        <f>_xlfn.XLOOKUP(A406,BAMLC0A4CBBB!A:A,BAMLC0A4CBBB!B:B,"",-1)</f>
        <v>1.34</v>
      </c>
      <c r="K406" s="2">
        <f>_xlfn.XLOOKUP(A406,CPIAUCSL!A:A,CPIAUCSL!B:B,"",-1)</f>
        <v>247.28399999999999</v>
      </c>
      <c r="L406">
        <f>_xlfn.XLOOKUP(A406,DFF!A:A,DFF!B:B,"",-1)</f>
        <v>1.1599999999999999</v>
      </c>
      <c r="M406">
        <f>_xlfn.XLOOKUP(A406,'DGS2'!A:A,'DGS2'!B:B,"",-1)</f>
        <v>1.63</v>
      </c>
      <c r="N406">
        <f t="shared" si="51"/>
        <v>1.9999999999999796E-2</v>
      </c>
      <c r="O406">
        <f t="shared" si="52"/>
        <v>1.4436587098169973E-3</v>
      </c>
      <c r="P406">
        <f t="shared" si="53"/>
        <v>1</v>
      </c>
      <c r="Q406">
        <f t="shared" si="54"/>
        <v>0</v>
      </c>
      <c r="R406" s="3">
        <v>52.04</v>
      </c>
    </row>
    <row r="407" spans="1:18">
      <c r="A407" s="1">
        <v>43047</v>
      </c>
      <c r="B407">
        <v>2594.38</v>
      </c>
      <c r="C407">
        <f t="shared" si="48"/>
        <v>1.4436587098169973E-3</v>
      </c>
      <c r="D407">
        <f t="shared" si="55"/>
        <v>2.5272041548163315E-3</v>
      </c>
      <c r="E407">
        <f>_xlfn.XLOOKUP(A407,VIX!A:A,VIX!B:B,"",-1)</f>
        <v>9.7799999999999994</v>
      </c>
      <c r="F407">
        <f t="shared" si="49"/>
        <v>-0.11000000000000121</v>
      </c>
      <c r="G407">
        <f>_xlfn.XLOOKUP(A407,'DGS10'!A:A,'DGS10'!B:B,"",-1)</f>
        <v>2.3199999999999998</v>
      </c>
      <c r="H407">
        <f t="shared" si="50"/>
        <v>0</v>
      </c>
      <c r="I407" s="2">
        <f>_xlfn.XLOOKUP(A407,T10Y3M!A:A,T10Y3M!B:B,"",-1)</f>
        <v>1.0900000000000001</v>
      </c>
      <c r="J407" s="2">
        <f>_xlfn.XLOOKUP(A407,BAMLC0A4CBBB!A:A,BAMLC0A4CBBB!B:B,"",-1)</f>
        <v>1.35</v>
      </c>
      <c r="K407" s="2">
        <f>_xlfn.XLOOKUP(A407,CPIAUCSL!A:A,CPIAUCSL!B:B,"",-1)</f>
        <v>247.28399999999999</v>
      </c>
      <c r="L407">
        <f>_xlfn.XLOOKUP(A407,DFF!A:A,DFF!B:B,"",-1)</f>
        <v>1.1599999999999999</v>
      </c>
      <c r="M407">
        <f>_xlfn.XLOOKUP(A407,'DGS2'!A:A,'DGS2'!B:B,"",-1)</f>
        <v>1.65</v>
      </c>
      <c r="N407">
        <f t="shared" si="51"/>
        <v>2.0000000000000018E-2</v>
      </c>
      <c r="O407">
        <f t="shared" si="52"/>
        <v>-3.761977813581785E-3</v>
      </c>
      <c r="P407">
        <f t="shared" si="53"/>
        <v>0</v>
      </c>
      <c r="Q407">
        <f t="shared" si="54"/>
        <v>-1</v>
      </c>
      <c r="R407" s="3">
        <v>51.29</v>
      </c>
    </row>
    <row r="408" spans="1:18">
      <c r="A408" s="1">
        <v>43048</v>
      </c>
      <c r="B408">
        <v>2584.62</v>
      </c>
      <c r="C408">
        <f t="shared" si="48"/>
        <v>-3.761977813581785E-3</v>
      </c>
      <c r="D408">
        <f t="shared" si="55"/>
        <v>-2.5124173623092272E-3</v>
      </c>
      <c r="E408">
        <f>_xlfn.XLOOKUP(A408,VIX!A:A,VIX!B:B,"",-1)</f>
        <v>10.5</v>
      </c>
      <c r="F408">
        <f t="shared" si="49"/>
        <v>0.72000000000000064</v>
      </c>
      <c r="G408">
        <f>_xlfn.XLOOKUP(A408,'DGS10'!A:A,'DGS10'!B:B,"",-1)</f>
        <v>2.33</v>
      </c>
      <c r="H408">
        <f t="shared" si="50"/>
        <v>1.0000000000000231E-2</v>
      </c>
      <c r="I408" s="2">
        <f>_xlfn.XLOOKUP(A408,T10Y3M!A:A,T10Y3M!B:B,"",-1)</f>
        <v>1.0900000000000001</v>
      </c>
      <c r="J408" s="2">
        <f>_xlfn.XLOOKUP(A408,BAMLC0A4CBBB!A:A,BAMLC0A4CBBB!B:B,"",-1)</f>
        <v>1.36</v>
      </c>
      <c r="K408" s="2">
        <f>_xlfn.XLOOKUP(A408,CPIAUCSL!A:A,CPIAUCSL!B:B,"",-1)</f>
        <v>247.28399999999999</v>
      </c>
      <c r="L408">
        <f>_xlfn.XLOOKUP(A408,DFF!A:A,DFF!B:B,"",-1)</f>
        <v>1.1599999999999999</v>
      </c>
      <c r="M408">
        <f>_xlfn.XLOOKUP(A408,'DGS2'!A:A,'DGS2'!B:B,"",-1)</f>
        <v>1.63</v>
      </c>
      <c r="N408">
        <f t="shared" si="51"/>
        <v>-2.0000000000000018E-2</v>
      </c>
      <c r="O408">
        <f t="shared" si="52"/>
        <v>-8.976174447306029E-4</v>
      </c>
      <c r="P408">
        <f t="shared" si="53"/>
        <v>0</v>
      </c>
      <c r="Q408">
        <f t="shared" si="54"/>
        <v>0</v>
      </c>
      <c r="R408" s="3">
        <v>51.47</v>
      </c>
    </row>
    <row r="409" spans="1:18">
      <c r="A409" s="1">
        <v>43049</v>
      </c>
      <c r="B409">
        <v>2582.3000000000002</v>
      </c>
      <c r="C409">
        <f t="shared" si="48"/>
        <v>-8.976174447306029E-4</v>
      </c>
      <c r="D409">
        <f t="shared" si="55"/>
        <v>-3.2192817218910097E-3</v>
      </c>
      <c r="E409">
        <f>_xlfn.XLOOKUP(A409,VIX!A:A,VIX!B:B,"",-1)</f>
        <v>11.29</v>
      </c>
      <c r="F409">
        <f t="shared" si="49"/>
        <v>0.78999999999999915</v>
      </c>
      <c r="G409">
        <f>_xlfn.XLOOKUP(A409,'DGS10'!A:A,'DGS10'!B:B,"",-1)</f>
        <v>2.4</v>
      </c>
      <c r="H409">
        <f t="shared" si="50"/>
        <v>6.999999999999984E-2</v>
      </c>
      <c r="I409" s="2">
        <f>_xlfn.XLOOKUP(A409,T10Y3M!A:A,T10Y3M!B:B,"",-1)</f>
        <v>1.17</v>
      </c>
      <c r="J409" s="2">
        <f>_xlfn.XLOOKUP(A409,BAMLC0A4CBBB!A:A,BAMLC0A4CBBB!B:B,"",-1)</f>
        <v>1.36</v>
      </c>
      <c r="K409" s="2">
        <f>_xlfn.XLOOKUP(A409,CPIAUCSL!A:A,CPIAUCSL!B:B,"",-1)</f>
        <v>247.28399999999999</v>
      </c>
      <c r="L409">
        <f>_xlfn.XLOOKUP(A409,DFF!A:A,DFF!B:B,"",-1)</f>
        <v>1.1599999999999999</v>
      </c>
      <c r="M409">
        <f>_xlfn.XLOOKUP(A409,'DGS2'!A:A,'DGS2'!B:B,"",-1)</f>
        <v>1.67</v>
      </c>
      <c r="N409">
        <f t="shared" si="51"/>
        <v>4.0000000000000036E-2</v>
      </c>
      <c r="O409">
        <f t="shared" si="52"/>
        <v>9.8361925415324514E-4</v>
      </c>
      <c r="P409">
        <f t="shared" si="53"/>
        <v>1</v>
      </c>
      <c r="Q409">
        <f t="shared" si="54"/>
        <v>0</v>
      </c>
      <c r="R409" s="3">
        <v>51.9</v>
      </c>
    </row>
    <row r="410" spans="1:18">
      <c r="A410" s="1">
        <v>43052</v>
      </c>
      <c r="B410">
        <v>2584.84</v>
      </c>
      <c r="C410">
        <f t="shared" si="48"/>
        <v>9.8361925415324514E-4</v>
      </c>
      <c r="D410">
        <f t="shared" si="55"/>
        <v>-3.6771791333575221E-3</v>
      </c>
      <c r="E410">
        <f>_xlfn.XLOOKUP(A410,VIX!A:A,VIX!B:B,"",-1)</f>
        <v>11.5</v>
      </c>
      <c r="F410">
        <f t="shared" si="49"/>
        <v>0.21000000000000085</v>
      </c>
      <c r="G410">
        <f>_xlfn.XLOOKUP(A410,'DGS10'!A:A,'DGS10'!B:B,"",-1)</f>
        <v>2.4</v>
      </c>
      <c r="H410">
        <f t="shared" si="50"/>
        <v>0</v>
      </c>
      <c r="I410" s="2">
        <f>_xlfn.XLOOKUP(A410,T10Y3M!A:A,T10Y3M!B:B,"",-1)</f>
        <v>1.1599999999999999</v>
      </c>
      <c r="J410" s="2">
        <f>_xlfn.XLOOKUP(A410,BAMLC0A4CBBB!A:A,BAMLC0A4CBBB!B:B,"",-1)</f>
        <v>1.36</v>
      </c>
      <c r="K410" s="2">
        <f>_xlfn.XLOOKUP(A410,CPIAUCSL!A:A,CPIAUCSL!B:B,"",-1)</f>
        <v>247.28399999999999</v>
      </c>
      <c r="L410">
        <f>_xlfn.XLOOKUP(A410,DFF!A:A,DFF!B:B,"",-1)</f>
        <v>1.1599999999999999</v>
      </c>
      <c r="M410">
        <f>_xlfn.XLOOKUP(A410,'DGS2'!A:A,'DGS2'!B:B,"",-1)</f>
        <v>1.7</v>
      </c>
      <c r="N410">
        <f t="shared" si="51"/>
        <v>3.0000000000000027E-2</v>
      </c>
      <c r="O410">
        <f t="shared" si="52"/>
        <v>-2.309620711533511E-3</v>
      </c>
      <c r="P410">
        <f t="shared" si="53"/>
        <v>0</v>
      </c>
      <c r="Q410">
        <f t="shared" si="54"/>
        <v>0</v>
      </c>
      <c r="R410" s="3">
        <v>52.47</v>
      </c>
    </row>
    <row r="411" spans="1:18">
      <c r="A411" s="1">
        <v>43053</v>
      </c>
      <c r="B411">
        <v>2578.87</v>
      </c>
      <c r="C411">
        <f t="shared" si="48"/>
        <v>-2.309620711533511E-3</v>
      </c>
      <c r="D411">
        <f t="shared" si="55"/>
        <v>-2.2246984082766597E-3</v>
      </c>
      <c r="E411">
        <f>_xlfn.XLOOKUP(A411,VIX!A:A,VIX!B:B,"",-1)</f>
        <v>11.59</v>
      </c>
      <c r="F411">
        <f t="shared" si="49"/>
        <v>8.9999999999999858E-2</v>
      </c>
      <c r="G411">
        <f>_xlfn.XLOOKUP(A411,'DGS10'!A:A,'DGS10'!B:B,"",-1)</f>
        <v>2.38</v>
      </c>
      <c r="H411">
        <f t="shared" si="50"/>
        <v>-2.0000000000000018E-2</v>
      </c>
      <c r="I411" s="2">
        <f>_xlfn.XLOOKUP(A411,T10Y3M!A:A,T10Y3M!B:B,"",-1)</f>
        <v>1.1200000000000001</v>
      </c>
      <c r="J411" s="2">
        <f>_xlfn.XLOOKUP(A411,BAMLC0A4CBBB!A:A,BAMLC0A4CBBB!B:B,"",-1)</f>
        <v>1.37</v>
      </c>
      <c r="K411" s="2">
        <f>_xlfn.XLOOKUP(A411,CPIAUCSL!A:A,CPIAUCSL!B:B,"",-1)</f>
        <v>247.28399999999999</v>
      </c>
      <c r="L411">
        <f>_xlfn.XLOOKUP(A411,DFF!A:A,DFF!B:B,"",-1)</f>
        <v>1.1599999999999999</v>
      </c>
      <c r="M411">
        <f>_xlfn.XLOOKUP(A411,'DGS2'!A:A,'DGS2'!B:B,"",-1)</f>
        <v>1.68</v>
      </c>
      <c r="N411">
        <f t="shared" si="51"/>
        <v>-2.0000000000000018E-2</v>
      </c>
      <c r="O411">
        <f t="shared" si="52"/>
        <v>-5.5256759743608219E-3</v>
      </c>
      <c r="P411">
        <f t="shared" si="53"/>
        <v>0</v>
      </c>
      <c r="Q411">
        <f t="shared" si="54"/>
        <v>-1</v>
      </c>
      <c r="R411" s="3">
        <v>52.18</v>
      </c>
    </row>
    <row r="412" spans="1:18">
      <c r="A412" s="1">
        <v>43054</v>
      </c>
      <c r="B412">
        <v>2564.62</v>
      </c>
      <c r="C412">
        <f t="shared" si="48"/>
        <v>-5.5256759743608219E-3</v>
      </c>
      <c r="D412">
        <f t="shared" si="55"/>
        <v>-6.8466096115866737E-3</v>
      </c>
      <c r="E412">
        <f>_xlfn.XLOOKUP(A412,VIX!A:A,VIX!B:B,"",-1)</f>
        <v>13.13</v>
      </c>
      <c r="F412">
        <f t="shared" si="49"/>
        <v>1.5400000000000009</v>
      </c>
      <c r="G412">
        <f>_xlfn.XLOOKUP(A412,'DGS10'!A:A,'DGS10'!B:B,"",-1)</f>
        <v>2.33</v>
      </c>
      <c r="H412">
        <f t="shared" si="50"/>
        <v>-4.9999999999999822E-2</v>
      </c>
      <c r="I412" s="2">
        <f>_xlfn.XLOOKUP(A412,T10Y3M!A:A,T10Y3M!B:B,"",-1)</f>
        <v>1.08</v>
      </c>
      <c r="J412" s="2">
        <f>_xlfn.XLOOKUP(A412,BAMLC0A4CBBB!A:A,BAMLC0A4CBBB!B:B,"",-1)</f>
        <v>1.39</v>
      </c>
      <c r="K412" s="2">
        <f>_xlfn.XLOOKUP(A412,CPIAUCSL!A:A,CPIAUCSL!B:B,"",-1)</f>
        <v>247.28399999999999</v>
      </c>
      <c r="L412">
        <f>_xlfn.XLOOKUP(A412,DFF!A:A,DFF!B:B,"",-1)</f>
        <v>1.1599999999999999</v>
      </c>
      <c r="M412">
        <f>_xlfn.XLOOKUP(A412,'DGS2'!A:A,'DGS2'!B:B,"",-1)</f>
        <v>1.68</v>
      </c>
      <c r="N412">
        <f t="shared" si="51"/>
        <v>0</v>
      </c>
      <c r="O412">
        <f t="shared" si="52"/>
        <v>8.1961460177335521E-3</v>
      </c>
      <c r="P412">
        <f t="shared" si="53"/>
        <v>1</v>
      </c>
      <c r="Q412">
        <f t="shared" si="54"/>
        <v>1</v>
      </c>
      <c r="R412" s="3">
        <v>52.64</v>
      </c>
    </row>
    <row r="413" spans="1:18">
      <c r="A413" s="1">
        <v>43055</v>
      </c>
      <c r="B413">
        <v>2585.64</v>
      </c>
      <c r="C413">
        <f t="shared" si="48"/>
        <v>8.1961460177335521E-3</v>
      </c>
      <c r="D413">
        <f t="shared" si="55"/>
        <v>3.0949691276815905E-4</v>
      </c>
      <c r="E413">
        <f>_xlfn.XLOOKUP(A413,VIX!A:A,VIX!B:B,"",-1)</f>
        <v>11.76</v>
      </c>
      <c r="F413">
        <f t="shared" si="49"/>
        <v>-1.370000000000001</v>
      </c>
      <c r="G413">
        <f>_xlfn.XLOOKUP(A413,'DGS10'!A:A,'DGS10'!B:B,"",-1)</f>
        <v>2.37</v>
      </c>
      <c r="H413">
        <f t="shared" si="50"/>
        <v>4.0000000000000036E-2</v>
      </c>
      <c r="I413" s="2">
        <f>_xlfn.XLOOKUP(A413,T10Y3M!A:A,T10Y3M!B:B,"",-1)</f>
        <v>1.1000000000000001</v>
      </c>
      <c r="J413" s="2">
        <f>_xlfn.XLOOKUP(A413,BAMLC0A4CBBB!A:A,BAMLC0A4CBBB!B:B,"",-1)</f>
        <v>1.38</v>
      </c>
      <c r="K413" s="2">
        <f>_xlfn.XLOOKUP(A413,CPIAUCSL!A:A,CPIAUCSL!B:B,"",-1)</f>
        <v>247.28399999999999</v>
      </c>
      <c r="L413">
        <f>_xlfn.XLOOKUP(A413,DFF!A:A,DFF!B:B,"",-1)</f>
        <v>1.1599999999999999</v>
      </c>
      <c r="M413">
        <f>_xlfn.XLOOKUP(A413,'DGS2'!A:A,'DGS2'!B:B,"",-1)</f>
        <v>1.72</v>
      </c>
      <c r="N413">
        <f t="shared" si="51"/>
        <v>4.0000000000000036E-2</v>
      </c>
      <c r="O413">
        <f t="shared" si="52"/>
        <v>-2.6260422951377427E-3</v>
      </c>
      <c r="P413">
        <f t="shared" si="53"/>
        <v>0</v>
      </c>
      <c r="Q413">
        <f t="shared" si="54"/>
        <v>0</v>
      </c>
      <c r="R413" s="3">
        <v>53.9</v>
      </c>
    </row>
    <row r="414" spans="1:18">
      <c r="A414" s="1">
        <v>43056</v>
      </c>
      <c r="B414">
        <v>2578.85</v>
      </c>
      <c r="C414">
        <f t="shared" si="48"/>
        <v>-2.6260422951377427E-3</v>
      </c>
      <c r="D414">
        <f t="shared" si="55"/>
        <v>-7.7553347008763041E-6</v>
      </c>
      <c r="E414">
        <f>_xlfn.XLOOKUP(A414,VIX!A:A,VIX!B:B,"",-1)</f>
        <v>11.43</v>
      </c>
      <c r="F414">
        <f t="shared" si="49"/>
        <v>-0.33000000000000007</v>
      </c>
      <c r="G414">
        <f>_xlfn.XLOOKUP(A414,'DGS10'!A:A,'DGS10'!B:B,"",-1)</f>
        <v>2.35</v>
      </c>
      <c r="H414">
        <f t="shared" si="50"/>
        <v>-2.0000000000000018E-2</v>
      </c>
      <c r="I414" s="2">
        <f>_xlfn.XLOOKUP(A414,T10Y3M!A:A,T10Y3M!B:B,"",-1)</f>
        <v>1.06</v>
      </c>
      <c r="J414" s="2">
        <f>_xlfn.XLOOKUP(A414,BAMLC0A4CBBB!A:A,BAMLC0A4CBBB!B:B,"",-1)</f>
        <v>1.37</v>
      </c>
      <c r="K414" s="2">
        <f>_xlfn.XLOOKUP(A414,CPIAUCSL!A:A,CPIAUCSL!B:B,"",-1)</f>
        <v>247.28399999999999</v>
      </c>
      <c r="L414">
        <f>_xlfn.XLOOKUP(A414,DFF!A:A,DFF!B:B,"",-1)</f>
        <v>1.1599999999999999</v>
      </c>
      <c r="M414">
        <f>_xlfn.XLOOKUP(A414,'DGS2'!A:A,'DGS2'!B:B,"",-1)</f>
        <v>1.73</v>
      </c>
      <c r="N414">
        <f t="shared" si="51"/>
        <v>1.0000000000000009E-2</v>
      </c>
      <c r="O414">
        <f t="shared" si="52"/>
        <v>1.275762452255913E-3</v>
      </c>
      <c r="P414">
        <f t="shared" si="53"/>
        <v>1</v>
      </c>
      <c r="Q414">
        <f t="shared" si="54"/>
        <v>0</v>
      </c>
      <c r="R414" s="3">
        <v>54.15</v>
      </c>
    </row>
    <row r="415" spans="1:18">
      <c r="A415" s="1">
        <v>43059</v>
      </c>
      <c r="B415">
        <v>2582.14</v>
      </c>
      <c r="C415">
        <f t="shared" si="48"/>
        <v>1.275762452255913E-3</v>
      </c>
      <c r="D415">
        <f t="shared" si="55"/>
        <v>6.8314214191576017E-3</v>
      </c>
      <c r="E415">
        <f>_xlfn.XLOOKUP(A415,VIX!A:A,VIX!B:B,"",-1)</f>
        <v>10.65</v>
      </c>
      <c r="F415">
        <f t="shared" si="49"/>
        <v>-0.77999999999999936</v>
      </c>
      <c r="G415">
        <f>_xlfn.XLOOKUP(A415,'DGS10'!A:A,'DGS10'!B:B,"",-1)</f>
        <v>2.37</v>
      </c>
      <c r="H415">
        <f t="shared" si="50"/>
        <v>2.0000000000000018E-2</v>
      </c>
      <c r="I415" s="2">
        <f>_xlfn.XLOOKUP(A415,T10Y3M!A:A,T10Y3M!B:B,"",-1)</f>
        <v>1.07</v>
      </c>
      <c r="J415" s="2">
        <f>_xlfn.XLOOKUP(A415,BAMLC0A4CBBB!A:A,BAMLC0A4CBBB!B:B,"",-1)</f>
        <v>1.36</v>
      </c>
      <c r="K415" s="2">
        <f>_xlfn.XLOOKUP(A415,CPIAUCSL!A:A,CPIAUCSL!B:B,"",-1)</f>
        <v>247.28399999999999</v>
      </c>
      <c r="L415">
        <f>_xlfn.XLOOKUP(A415,DFF!A:A,DFF!B:B,"",-1)</f>
        <v>1.1599999999999999</v>
      </c>
      <c r="M415">
        <f>_xlfn.XLOOKUP(A415,'DGS2'!A:A,'DGS2'!B:B,"",-1)</f>
        <v>1.77</v>
      </c>
      <c r="N415">
        <f t="shared" si="51"/>
        <v>4.0000000000000036E-2</v>
      </c>
      <c r="O415">
        <f t="shared" si="52"/>
        <v>6.5410860758907674E-3</v>
      </c>
      <c r="P415">
        <f t="shared" si="53"/>
        <v>1</v>
      </c>
      <c r="Q415">
        <f t="shared" si="54"/>
        <v>1</v>
      </c>
      <c r="R415" s="3">
        <v>54.38</v>
      </c>
    </row>
    <row r="416" spans="1:18">
      <c r="A416" s="1">
        <v>43060</v>
      </c>
      <c r="B416">
        <v>2599.0300000000002</v>
      </c>
      <c r="C416">
        <f t="shared" si="48"/>
        <v>6.5410860758907674E-3</v>
      </c>
      <c r="D416">
        <f t="shared" si="55"/>
        <v>5.1786018161847913E-3</v>
      </c>
      <c r="E416">
        <f>_xlfn.XLOOKUP(A416,VIX!A:A,VIX!B:B,"",-1)</f>
        <v>9.73</v>
      </c>
      <c r="F416">
        <f t="shared" si="49"/>
        <v>-0.91999999999999993</v>
      </c>
      <c r="G416">
        <f>_xlfn.XLOOKUP(A416,'DGS10'!A:A,'DGS10'!B:B,"",-1)</f>
        <v>2.36</v>
      </c>
      <c r="H416">
        <f t="shared" si="50"/>
        <v>-1.0000000000000231E-2</v>
      </c>
      <c r="I416" s="2">
        <f>_xlfn.XLOOKUP(A416,T10Y3M!A:A,T10Y3M!B:B,"",-1)</f>
        <v>1.06</v>
      </c>
      <c r="J416" s="2">
        <f>_xlfn.XLOOKUP(A416,BAMLC0A4CBBB!A:A,BAMLC0A4CBBB!B:B,"",-1)</f>
        <v>1.35</v>
      </c>
      <c r="K416" s="2">
        <f>_xlfn.XLOOKUP(A416,CPIAUCSL!A:A,CPIAUCSL!B:B,"",-1)</f>
        <v>247.28399999999999</v>
      </c>
      <c r="L416">
        <f>_xlfn.XLOOKUP(A416,DFF!A:A,DFF!B:B,"",-1)</f>
        <v>1.1599999999999999</v>
      </c>
      <c r="M416">
        <f>_xlfn.XLOOKUP(A416,'DGS2'!A:A,'DGS2'!B:B,"",-1)</f>
        <v>1.77</v>
      </c>
      <c r="N416">
        <f t="shared" si="51"/>
        <v>0</v>
      </c>
      <c r="O416">
        <f t="shared" si="52"/>
        <v>-7.5027991212117673E-4</v>
      </c>
      <c r="P416">
        <f t="shared" si="53"/>
        <v>0</v>
      </c>
      <c r="Q416">
        <f t="shared" si="54"/>
        <v>0</v>
      </c>
      <c r="R416" s="3">
        <v>54.3</v>
      </c>
    </row>
    <row r="417" spans="1:18">
      <c r="A417" s="1">
        <v>43061</v>
      </c>
      <c r="B417">
        <v>2597.08</v>
      </c>
      <c r="C417">
        <f t="shared" si="48"/>
        <v>-7.5027991212117673E-4</v>
      </c>
      <c r="D417">
        <f t="shared" si="55"/>
        <v>7.069042402621406E-3</v>
      </c>
      <c r="E417">
        <f>_xlfn.XLOOKUP(A417,VIX!A:A,VIX!B:B,"",-1)</f>
        <v>9.8800000000000008</v>
      </c>
      <c r="F417">
        <f t="shared" si="49"/>
        <v>0.15000000000000036</v>
      </c>
      <c r="G417">
        <f>_xlfn.XLOOKUP(A417,'DGS10'!A:A,'DGS10'!B:B,"",-1)</f>
        <v>2.3199999999999998</v>
      </c>
      <c r="H417">
        <f t="shared" si="50"/>
        <v>-4.0000000000000036E-2</v>
      </c>
      <c r="I417" s="2">
        <f>_xlfn.XLOOKUP(A417,T10Y3M!A:A,T10Y3M!B:B,"",-1)</f>
        <v>1.03</v>
      </c>
      <c r="J417" s="2">
        <f>_xlfn.XLOOKUP(A417,BAMLC0A4CBBB!A:A,BAMLC0A4CBBB!B:B,"",-1)</f>
        <v>1.35</v>
      </c>
      <c r="K417" s="2">
        <f>_xlfn.XLOOKUP(A417,CPIAUCSL!A:A,CPIAUCSL!B:B,"",-1)</f>
        <v>247.28399999999999</v>
      </c>
      <c r="L417">
        <f>_xlfn.XLOOKUP(A417,DFF!A:A,DFF!B:B,"",-1)</f>
        <v>1.1599999999999999</v>
      </c>
      <c r="M417">
        <f>_xlfn.XLOOKUP(A417,'DGS2'!A:A,'DGS2'!B:B,"",-1)</f>
        <v>1.74</v>
      </c>
      <c r="N417">
        <f t="shared" si="51"/>
        <v>-3.0000000000000027E-2</v>
      </c>
      <c r="O417">
        <f t="shared" si="52"/>
        <v>2.056155374497548E-3</v>
      </c>
      <c r="P417">
        <f t="shared" si="53"/>
        <v>1</v>
      </c>
      <c r="Q417">
        <f t="shared" si="54"/>
        <v>0</v>
      </c>
      <c r="R417" s="3">
        <v>54.54</v>
      </c>
    </row>
    <row r="418" spans="1:18">
      <c r="A418" s="1">
        <v>43063</v>
      </c>
      <c r="B418">
        <v>2602.42</v>
      </c>
      <c r="C418">
        <f t="shared" si="48"/>
        <v>2.056155374497548E-3</v>
      </c>
      <c r="D418">
        <f t="shared" si="55"/>
        <v>7.8539505991155334E-3</v>
      </c>
      <c r="E418">
        <f>_xlfn.XLOOKUP(A418,VIX!A:A,VIX!B:B,"",-1)</f>
        <v>9.67</v>
      </c>
      <c r="F418">
        <f t="shared" si="49"/>
        <v>-0.21000000000000085</v>
      </c>
      <c r="G418">
        <f>_xlfn.XLOOKUP(A418,'DGS10'!A:A,'DGS10'!B:B,"",-1)</f>
        <v>2.34</v>
      </c>
      <c r="H418">
        <f t="shared" si="50"/>
        <v>2.0000000000000018E-2</v>
      </c>
      <c r="I418" s="2">
        <f>_xlfn.XLOOKUP(A418,T10Y3M!A:A,T10Y3M!B:B,"",-1)</f>
        <v>1.05</v>
      </c>
      <c r="J418" s="2">
        <f>_xlfn.XLOOKUP(A418,BAMLC0A4CBBB!A:A,BAMLC0A4CBBB!B:B,"",-1)</f>
        <v>1.35</v>
      </c>
      <c r="K418" s="2">
        <f>_xlfn.XLOOKUP(A418,CPIAUCSL!A:A,CPIAUCSL!B:B,"",-1)</f>
        <v>247.28399999999999</v>
      </c>
      <c r="L418">
        <f>_xlfn.XLOOKUP(A418,DFF!A:A,DFF!B:B,"",-1)</f>
        <v>1.1599999999999999</v>
      </c>
      <c r="M418">
        <f>_xlfn.XLOOKUP(A418,'DGS2'!A:A,'DGS2'!B:B,"",-1)</f>
        <v>1.75</v>
      </c>
      <c r="N418">
        <f t="shared" si="51"/>
        <v>1.0000000000000009E-2</v>
      </c>
      <c r="O418">
        <f t="shared" si="52"/>
        <v>-3.8425772934425062E-4</v>
      </c>
      <c r="P418">
        <f t="shared" si="53"/>
        <v>0</v>
      </c>
      <c r="Q418">
        <f t="shared" si="54"/>
        <v>0</v>
      </c>
      <c r="R418" s="3">
        <v>55.64</v>
      </c>
    </row>
    <row r="419" spans="1:18">
      <c r="A419" s="1">
        <v>43066</v>
      </c>
      <c r="B419">
        <v>2601.42</v>
      </c>
      <c r="C419">
        <f t="shared" si="48"/>
        <v>-3.8425772934425062E-4</v>
      </c>
      <c r="D419">
        <f t="shared" si="55"/>
        <v>9.1957384100993522E-4</v>
      </c>
      <c r="E419">
        <f>_xlfn.XLOOKUP(A419,VIX!A:A,VIX!B:B,"",-1)</f>
        <v>9.8699999999999992</v>
      </c>
      <c r="F419">
        <f t="shared" si="49"/>
        <v>0.19999999999999929</v>
      </c>
      <c r="G419">
        <f>_xlfn.XLOOKUP(A419,'DGS10'!A:A,'DGS10'!B:B,"",-1)</f>
        <v>2.3199999999999998</v>
      </c>
      <c r="H419">
        <f t="shared" si="50"/>
        <v>-2.0000000000000018E-2</v>
      </c>
      <c r="I419" s="2">
        <f>_xlfn.XLOOKUP(A419,T10Y3M!A:A,T10Y3M!B:B,"",-1)</f>
        <v>1.05</v>
      </c>
      <c r="J419" s="2">
        <f>_xlfn.XLOOKUP(A419,BAMLC0A4CBBB!A:A,BAMLC0A4CBBB!B:B,"",-1)</f>
        <v>1.34</v>
      </c>
      <c r="K419" s="2">
        <f>_xlfn.XLOOKUP(A419,CPIAUCSL!A:A,CPIAUCSL!B:B,"",-1)</f>
        <v>247.28399999999999</v>
      </c>
      <c r="L419">
        <f>_xlfn.XLOOKUP(A419,DFF!A:A,DFF!B:B,"",-1)</f>
        <v>1.1599999999999999</v>
      </c>
      <c r="M419">
        <f>_xlfn.XLOOKUP(A419,'DGS2'!A:A,'DGS2'!B:B,"",-1)</f>
        <v>1.74</v>
      </c>
      <c r="N419">
        <f t="shared" si="51"/>
        <v>-1.0000000000000009E-2</v>
      </c>
      <c r="O419">
        <f t="shared" si="52"/>
        <v>9.8484673755101504E-3</v>
      </c>
      <c r="P419">
        <f t="shared" si="53"/>
        <v>1</v>
      </c>
      <c r="Q419">
        <f t="shared" si="54"/>
        <v>1</v>
      </c>
      <c r="R419" s="3">
        <v>57.35</v>
      </c>
    </row>
    <row r="420" spans="1:18">
      <c r="A420" s="1">
        <v>43067</v>
      </c>
      <c r="B420">
        <v>2627.04</v>
      </c>
      <c r="C420">
        <f t="shared" si="48"/>
        <v>9.8484673755101504E-3</v>
      </c>
      <c r="D420">
        <f t="shared" si="55"/>
        <v>1.153603277527071E-2</v>
      </c>
      <c r="E420">
        <f>_xlfn.XLOOKUP(A420,VIX!A:A,VIX!B:B,"",-1)</f>
        <v>10.029999999999999</v>
      </c>
      <c r="F420">
        <f t="shared" si="49"/>
        <v>0.16000000000000014</v>
      </c>
      <c r="G420">
        <f>_xlfn.XLOOKUP(A420,'DGS10'!A:A,'DGS10'!B:B,"",-1)</f>
        <v>2.34</v>
      </c>
      <c r="H420">
        <f t="shared" si="50"/>
        <v>2.0000000000000018E-2</v>
      </c>
      <c r="I420" s="2">
        <f>_xlfn.XLOOKUP(A420,T10Y3M!A:A,T10Y3M!B:B,"",-1)</f>
        <v>1.04</v>
      </c>
      <c r="J420" s="2">
        <f>_xlfn.XLOOKUP(A420,BAMLC0A4CBBB!A:A,BAMLC0A4CBBB!B:B,"",-1)</f>
        <v>1.34</v>
      </c>
      <c r="K420" s="2">
        <f>_xlfn.XLOOKUP(A420,CPIAUCSL!A:A,CPIAUCSL!B:B,"",-1)</f>
        <v>247.28399999999999</v>
      </c>
      <c r="L420">
        <f>_xlfn.XLOOKUP(A420,DFF!A:A,DFF!B:B,"",-1)</f>
        <v>1.1599999999999999</v>
      </c>
      <c r="M420">
        <f>_xlfn.XLOOKUP(A420,'DGS2'!A:A,'DGS2'!B:B,"",-1)</f>
        <v>1.75</v>
      </c>
      <c r="N420">
        <f t="shared" si="51"/>
        <v>1.0000000000000009E-2</v>
      </c>
      <c r="O420">
        <f t="shared" si="52"/>
        <v>-3.6923685973555553E-4</v>
      </c>
      <c r="P420">
        <f t="shared" si="53"/>
        <v>0</v>
      </c>
      <c r="Q420">
        <f t="shared" si="54"/>
        <v>0</v>
      </c>
      <c r="R420" s="3">
        <v>57.2</v>
      </c>
    </row>
    <row r="421" spans="1:18">
      <c r="A421" s="1">
        <v>43068</v>
      </c>
      <c r="B421">
        <v>2626.07</v>
      </c>
      <c r="C421">
        <f t="shared" si="48"/>
        <v>-3.6923685973555553E-4</v>
      </c>
      <c r="D421">
        <f t="shared" si="55"/>
        <v>9.0876952989908943E-3</v>
      </c>
      <c r="E421">
        <f>_xlfn.XLOOKUP(A421,VIX!A:A,VIX!B:B,"",-1)</f>
        <v>10.7</v>
      </c>
      <c r="F421">
        <f t="shared" si="49"/>
        <v>0.66999999999999993</v>
      </c>
      <c r="G421">
        <f>_xlfn.XLOOKUP(A421,'DGS10'!A:A,'DGS10'!B:B,"",-1)</f>
        <v>2.37</v>
      </c>
      <c r="H421">
        <f t="shared" si="50"/>
        <v>3.0000000000000249E-2</v>
      </c>
      <c r="I421" s="2">
        <f>_xlfn.XLOOKUP(A421,T10Y3M!A:A,T10Y3M!B:B,"",-1)</f>
        <v>1.08</v>
      </c>
      <c r="J421" s="2">
        <f>_xlfn.XLOOKUP(A421,BAMLC0A4CBBB!A:A,BAMLC0A4CBBB!B:B,"",-1)</f>
        <v>1.34</v>
      </c>
      <c r="K421" s="2">
        <f>_xlfn.XLOOKUP(A421,CPIAUCSL!A:A,CPIAUCSL!B:B,"",-1)</f>
        <v>247.28399999999999</v>
      </c>
      <c r="L421">
        <f>_xlfn.XLOOKUP(A421,DFF!A:A,DFF!B:B,"",-1)</f>
        <v>1.1599999999999999</v>
      </c>
      <c r="M421">
        <f>_xlfn.XLOOKUP(A421,'DGS2'!A:A,'DGS2'!B:B,"",-1)</f>
        <v>1.78</v>
      </c>
      <c r="N421">
        <f t="shared" si="51"/>
        <v>3.0000000000000027E-2</v>
      </c>
      <c r="O421">
        <f t="shared" si="52"/>
        <v>8.1909469282996916E-3</v>
      </c>
      <c r="P421">
        <f t="shared" si="53"/>
        <v>1</v>
      </c>
      <c r="Q421">
        <f t="shared" si="54"/>
        <v>1</v>
      </c>
      <c r="R421" s="3">
        <v>56.81</v>
      </c>
    </row>
    <row r="422" spans="1:18">
      <c r="A422" s="1">
        <v>43069</v>
      </c>
      <c r="B422">
        <v>2647.58</v>
      </c>
      <c r="C422">
        <f t="shared" si="48"/>
        <v>8.1909469282996916E-3</v>
      </c>
      <c r="D422">
        <f t="shared" si="55"/>
        <v>1.7744155115283045E-2</v>
      </c>
      <c r="E422">
        <f>_xlfn.XLOOKUP(A422,VIX!A:A,VIX!B:B,"",-1)</f>
        <v>11.28</v>
      </c>
      <c r="F422">
        <f t="shared" si="49"/>
        <v>0.58000000000000007</v>
      </c>
      <c r="G422">
        <f>_xlfn.XLOOKUP(A422,'DGS10'!A:A,'DGS10'!B:B,"",-1)</f>
        <v>2.42</v>
      </c>
      <c r="H422">
        <f t="shared" si="50"/>
        <v>4.9999999999999822E-2</v>
      </c>
      <c r="I422" s="2">
        <f>_xlfn.XLOOKUP(A422,T10Y3M!A:A,T10Y3M!B:B,"",-1)</f>
        <v>1.1499999999999999</v>
      </c>
      <c r="J422" s="2">
        <f>_xlfn.XLOOKUP(A422,BAMLC0A4CBBB!A:A,BAMLC0A4CBBB!B:B,"",-1)</f>
        <v>1.32</v>
      </c>
      <c r="K422" s="2">
        <f>_xlfn.XLOOKUP(A422,CPIAUCSL!A:A,CPIAUCSL!B:B,"",-1)</f>
        <v>247.28399999999999</v>
      </c>
      <c r="L422">
        <f>_xlfn.XLOOKUP(A422,DFF!A:A,DFF!B:B,"",-1)</f>
        <v>1.07</v>
      </c>
      <c r="M422">
        <f>_xlfn.XLOOKUP(A422,'DGS2'!A:A,'DGS2'!B:B,"",-1)</f>
        <v>1.78</v>
      </c>
      <c r="N422">
        <f t="shared" si="51"/>
        <v>0</v>
      </c>
      <c r="O422">
        <f t="shared" si="52"/>
        <v>-2.0244902892453398E-3</v>
      </c>
      <c r="P422">
        <f t="shared" si="53"/>
        <v>0</v>
      </c>
      <c r="Q422">
        <f t="shared" si="54"/>
        <v>0</v>
      </c>
      <c r="R422" s="3">
        <v>57.17</v>
      </c>
    </row>
    <row r="423" spans="1:18">
      <c r="A423" s="1">
        <v>43070</v>
      </c>
      <c r="B423">
        <v>2642.22</v>
      </c>
      <c r="C423">
        <f t="shared" si="48"/>
        <v>-2.0244902892453398E-3</v>
      </c>
      <c r="D423">
        <f t="shared" si="55"/>
        <v>5.7783665265849216E-3</v>
      </c>
      <c r="E423">
        <f>_xlfn.XLOOKUP(A423,VIX!A:A,VIX!B:B,"",-1)</f>
        <v>11.43</v>
      </c>
      <c r="F423">
        <f t="shared" si="49"/>
        <v>0.15000000000000036</v>
      </c>
      <c r="G423">
        <f>_xlfn.XLOOKUP(A423,'DGS10'!A:A,'DGS10'!B:B,"",-1)</f>
        <v>2.37</v>
      </c>
      <c r="H423">
        <f t="shared" si="50"/>
        <v>-4.9999999999999822E-2</v>
      </c>
      <c r="I423" s="2">
        <f>_xlfn.XLOOKUP(A423,T10Y3M!A:A,T10Y3M!B:B,"",-1)</f>
        <v>1.1000000000000001</v>
      </c>
      <c r="J423" s="2">
        <f>_xlfn.XLOOKUP(A423,BAMLC0A4CBBB!A:A,BAMLC0A4CBBB!B:B,"",-1)</f>
        <v>1.33</v>
      </c>
      <c r="K423" s="2">
        <f>_xlfn.XLOOKUP(A423,CPIAUCSL!A:A,CPIAUCSL!B:B,"",-1)</f>
        <v>247.80500000000001</v>
      </c>
      <c r="L423">
        <f>_xlfn.XLOOKUP(A423,DFF!A:A,DFF!B:B,"",-1)</f>
        <v>1.1599999999999999</v>
      </c>
      <c r="M423">
        <f>_xlfn.XLOOKUP(A423,'DGS2'!A:A,'DGS2'!B:B,"",-1)</f>
        <v>1.78</v>
      </c>
      <c r="N423">
        <f t="shared" si="51"/>
        <v>0</v>
      </c>
      <c r="O423">
        <f t="shared" si="52"/>
        <v>-1.0521455442770167E-3</v>
      </c>
      <c r="P423">
        <f t="shared" si="53"/>
        <v>0</v>
      </c>
      <c r="Q423">
        <f t="shared" si="54"/>
        <v>0</v>
      </c>
      <c r="R423" s="3">
        <v>56.74</v>
      </c>
    </row>
    <row r="424" spans="1:18">
      <c r="A424" s="1">
        <v>43073</v>
      </c>
      <c r="B424">
        <v>2639.44</v>
      </c>
      <c r="C424">
        <f t="shared" si="48"/>
        <v>-1.0521455442770167E-3</v>
      </c>
      <c r="D424">
        <f t="shared" si="55"/>
        <v>5.0912580395801044E-3</v>
      </c>
      <c r="E424">
        <f>_xlfn.XLOOKUP(A424,VIX!A:A,VIX!B:B,"",-1)</f>
        <v>11.68</v>
      </c>
      <c r="F424">
        <f t="shared" si="49"/>
        <v>0.25</v>
      </c>
      <c r="G424">
        <f>_xlfn.XLOOKUP(A424,'DGS10'!A:A,'DGS10'!B:B,"",-1)</f>
        <v>2.37</v>
      </c>
      <c r="H424">
        <f t="shared" si="50"/>
        <v>0</v>
      </c>
      <c r="I424" s="2">
        <f>_xlfn.XLOOKUP(A424,T10Y3M!A:A,T10Y3M!B:B,"",-1)</f>
        <v>1.08</v>
      </c>
      <c r="J424" s="2">
        <f>_xlfn.XLOOKUP(A424,BAMLC0A4CBBB!A:A,BAMLC0A4CBBB!B:B,"",-1)</f>
        <v>1.32</v>
      </c>
      <c r="K424" s="2">
        <f>_xlfn.XLOOKUP(A424,CPIAUCSL!A:A,CPIAUCSL!B:B,"",-1)</f>
        <v>247.80500000000001</v>
      </c>
      <c r="L424">
        <f>_xlfn.XLOOKUP(A424,DFF!A:A,DFF!B:B,"",-1)</f>
        <v>1.1599999999999999</v>
      </c>
      <c r="M424">
        <f>_xlfn.XLOOKUP(A424,'DGS2'!A:A,'DGS2'!B:B,"",-1)</f>
        <v>1.8</v>
      </c>
      <c r="N424">
        <f t="shared" si="51"/>
        <v>2.0000000000000018E-2</v>
      </c>
      <c r="O424">
        <f t="shared" si="52"/>
        <v>-3.7394295759706209E-3</v>
      </c>
      <c r="P424">
        <f t="shared" si="53"/>
        <v>0</v>
      </c>
      <c r="Q424">
        <f t="shared" si="54"/>
        <v>-1</v>
      </c>
      <c r="R424" s="3">
        <v>56.76</v>
      </c>
    </row>
    <row r="425" spans="1:18">
      <c r="A425" s="1">
        <v>43074</v>
      </c>
      <c r="B425">
        <v>2629.57</v>
      </c>
      <c r="C425">
        <f t="shared" si="48"/>
        <v>-3.7394295759706209E-3</v>
      </c>
      <c r="D425">
        <f t="shared" si="55"/>
        <v>-6.8024384532289206E-3</v>
      </c>
      <c r="E425">
        <f>_xlfn.XLOOKUP(A425,VIX!A:A,VIX!B:B,"",-1)</f>
        <v>11.33</v>
      </c>
      <c r="F425">
        <f t="shared" si="49"/>
        <v>-0.34999999999999964</v>
      </c>
      <c r="G425">
        <f>_xlfn.XLOOKUP(A425,'DGS10'!A:A,'DGS10'!B:B,"",-1)</f>
        <v>2.36</v>
      </c>
      <c r="H425">
        <f t="shared" si="50"/>
        <v>-1.0000000000000231E-2</v>
      </c>
      <c r="I425" s="2">
        <f>_xlfn.XLOOKUP(A425,T10Y3M!A:A,T10Y3M!B:B,"",-1)</f>
        <v>1.06</v>
      </c>
      <c r="J425" s="2">
        <f>_xlfn.XLOOKUP(A425,BAMLC0A4CBBB!A:A,BAMLC0A4CBBB!B:B,"",-1)</f>
        <v>1.32</v>
      </c>
      <c r="K425" s="2">
        <f>_xlfn.XLOOKUP(A425,CPIAUCSL!A:A,CPIAUCSL!B:B,"",-1)</f>
        <v>247.80500000000001</v>
      </c>
      <c r="L425">
        <f>_xlfn.XLOOKUP(A425,DFF!A:A,DFF!B:B,"",-1)</f>
        <v>1.1599999999999999</v>
      </c>
      <c r="M425">
        <f>_xlfn.XLOOKUP(A425,'DGS2'!A:A,'DGS2'!B:B,"",-1)</f>
        <v>1.83</v>
      </c>
      <c r="N425">
        <f t="shared" si="51"/>
        <v>3.0000000000000027E-2</v>
      </c>
      <c r="O425">
        <f t="shared" si="52"/>
        <v>-1.1408709408766704E-4</v>
      </c>
      <c r="P425">
        <f t="shared" si="53"/>
        <v>0</v>
      </c>
      <c r="Q425">
        <f t="shared" si="54"/>
        <v>0</v>
      </c>
      <c r="R425" s="3">
        <v>55.7</v>
      </c>
    </row>
    <row r="426" spans="1:18">
      <c r="A426" s="1">
        <v>43075</v>
      </c>
      <c r="B426">
        <v>2629.27</v>
      </c>
      <c r="C426">
        <f t="shared" si="48"/>
        <v>-1.1408709408766704E-4</v>
      </c>
      <c r="D426">
        <f t="shared" si="55"/>
        <v>-4.901181582154357E-3</v>
      </c>
      <c r="E426">
        <f>_xlfn.XLOOKUP(A426,VIX!A:A,VIX!B:B,"",-1)</f>
        <v>11.02</v>
      </c>
      <c r="F426">
        <f t="shared" si="49"/>
        <v>-0.3100000000000005</v>
      </c>
      <c r="G426">
        <f>_xlfn.XLOOKUP(A426,'DGS10'!A:A,'DGS10'!B:B,"",-1)</f>
        <v>2.33</v>
      </c>
      <c r="H426">
        <f t="shared" si="50"/>
        <v>-2.9999999999999805E-2</v>
      </c>
      <c r="I426" s="2">
        <f>_xlfn.XLOOKUP(A426,T10Y3M!A:A,T10Y3M!B:B,"",-1)</f>
        <v>1.03</v>
      </c>
      <c r="J426" s="2">
        <f>_xlfn.XLOOKUP(A426,BAMLC0A4CBBB!A:A,BAMLC0A4CBBB!B:B,"",-1)</f>
        <v>1.32</v>
      </c>
      <c r="K426" s="2">
        <f>_xlfn.XLOOKUP(A426,CPIAUCSL!A:A,CPIAUCSL!B:B,"",-1)</f>
        <v>247.80500000000001</v>
      </c>
      <c r="L426">
        <f>_xlfn.XLOOKUP(A426,DFF!A:A,DFF!B:B,"",-1)</f>
        <v>1.1599999999999999</v>
      </c>
      <c r="M426">
        <f>_xlfn.XLOOKUP(A426,'DGS2'!A:A,'DGS2'!B:B,"",-1)</f>
        <v>1.78</v>
      </c>
      <c r="N426">
        <f t="shared" si="51"/>
        <v>-5.0000000000000044E-2</v>
      </c>
      <c r="O426">
        <f t="shared" si="52"/>
        <v>2.9323728639507607E-3</v>
      </c>
      <c r="P426">
        <f t="shared" si="53"/>
        <v>1</v>
      </c>
      <c r="Q426">
        <f t="shared" si="54"/>
        <v>0</v>
      </c>
      <c r="R426" s="3">
        <v>55.33</v>
      </c>
    </row>
    <row r="427" spans="1:18">
      <c r="A427" s="1">
        <v>43076</v>
      </c>
      <c r="B427">
        <v>2636.98</v>
      </c>
      <c r="C427">
        <f t="shared" si="48"/>
        <v>2.9323728639507607E-3</v>
      </c>
      <c r="D427">
        <f t="shared" si="55"/>
        <v>-9.3201588215685582E-4</v>
      </c>
      <c r="E427">
        <f>_xlfn.XLOOKUP(A427,VIX!A:A,VIX!B:B,"",-1)</f>
        <v>10.16</v>
      </c>
      <c r="F427">
        <f t="shared" si="49"/>
        <v>-0.85999999999999943</v>
      </c>
      <c r="G427">
        <f>_xlfn.XLOOKUP(A427,'DGS10'!A:A,'DGS10'!B:B,"",-1)</f>
        <v>2.37</v>
      </c>
      <c r="H427">
        <f t="shared" si="50"/>
        <v>4.0000000000000036E-2</v>
      </c>
      <c r="I427" s="2">
        <f>_xlfn.XLOOKUP(A427,T10Y3M!A:A,T10Y3M!B:B,"",-1)</f>
        <v>1.08</v>
      </c>
      <c r="J427" s="2">
        <f>_xlfn.XLOOKUP(A427,BAMLC0A4CBBB!A:A,BAMLC0A4CBBB!B:B,"",-1)</f>
        <v>1.32</v>
      </c>
      <c r="K427" s="2">
        <f>_xlfn.XLOOKUP(A427,CPIAUCSL!A:A,CPIAUCSL!B:B,"",-1)</f>
        <v>247.80500000000001</v>
      </c>
      <c r="L427">
        <f>_xlfn.XLOOKUP(A427,DFF!A:A,DFF!B:B,"",-1)</f>
        <v>1.1599999999999999</v>
      </c>
      <c r="M427">
        <f>_xlfn.XLOOKUP(A427,'DGS2'!A:A,'DGS2'!B:B,"",-1)</f>
        <v>1.8</v>
      </c>
      <c r="N427">
        <f t="shared" si="51"/>
        <v>2.0000000000000018E-2</v>
      </c>
      <c r="O427">
        <f t="shared" si="52"/>
        <v>5.5062988721947814E-3</v>
      </c>
      <c r="P427">
        <f t="shared" si="53"/>
        <v>1</v>
      </c>
      <c r="Q427">
        <f t="shared" si="54"/>
        <v>1</v>
      </c>
      <c r="R427" s="3">
        <v>55.14</v>
      </c>
    </row>
    <row r="428" spans="1:18">
      <c r="A428" s="1">
        <v>43077</v>
      </c>
      <c r="B428">
        <v>2651.5</v>
      </c>
      <c r="C428">
        <f t="shared" si="48"/>
        <v>5.5062988721947814E-3</v>
      </c>
      <c r="D428">
        <f t="shared" si="55"/>
        <v>8.3397665778053298E-3</v>
      </c>
      <c r="E428">
        <f>_xlfn.XLOOKUP(A428,VIX!A:A,VIX!B:B,"",-1)</f>
        <v>9.58</v>
      </c>
      <c r="F428">
        <f t="shared" si="49"/>
        <v>-0.58000000000000007</v>
      </c>
      <c r="G428">
        <f>_xlfn.XLOOKUP(A428,'DGS10'!A:A,'DGS10'!B:B,"",-1)</f>
        <v>2.38</v>
      </c>
      <c r="H428">
        <f t="shared" si="50"/>
        <v>9.9999999999997868E-3</v>
      </c>
      <c r="I428" s="2">
        <f>_xlfn.XLOOKUP(A428,T10Y3M!A:A,T10Y3M!B:B,"",-1)</f>
        <v>1.1000000000000001</v>
      </c>
      <c r="J428" s="2">
        <f>_xlfn.XLOOKUP(A428,BAMLC0A4CBBB!A:A,BAMLC0A4CBBB!B:B,"",-1)</f>
        <v>1.32</v>
      </c>
      <c r="K428" s="2">
        <f>_xlfn.XLOOKUP(A428,CPIAUCSL!A:A,CPIAUCSL!B:B,"",-1)</f>
        <v>247.80500000000001</v>
      </c>
      <c r="L428">
        <f>_xlfn.XLOOKUP(A428,DFF!A:A,DFF!B:B,"",-1)</f>
        <v>1.1599999999999999</v>
      </c>
      <c r="M428">
        <f>_xlfn.XLOOKUP(A428,'DGS2'!A:A,'DGS2'!B:B,"",-1)</f>
        <v>1.8</v>
      </c>
      <c r="N428">
        <f t="shared" si="51"/>
        <v>0</v>
      </c>
      <c r="O428">
        <f t="shared" si="52"/>
        <v>3.2019611540636816E-3</v>
      </c>
      <c r="P428">
        <f t="shared" si="53"/>
        <v>1</v>
      </c>
      <c r="Q428">
        <f t="shared" si="54"/>
        <v>1</v>
      </c>
      <c r="R428" s="3">
        <v>56.55</v>
      </c>
    </row>
    <row r="429" spans="1:18">
      <c r="A429" s="1">
        <v>43080</v>
      </c>
      <c r="B429">
        <v>2659.99</v>
      </c>
      <c r="C429">
        <f t="shared" si="48"/>
        <v>3.2019611540636816E-3</v>
      </c>
      <c r="D429">
        <f t="shared" si="55"/>
        <v>1.1683851411228074E-2</v>
      </c>
      <c r="E429">
        <f>_xlfn.XLOOKUP(A429,VIX!A:A,VIX!B:B,"",-1)</f>
        <v>9.34</v>
      </c>
      <c r="F429">
        <f t="shared" si="49"/>
        <v>-0.24000000000000021</v>
      </c>
      <c r="G429">
        <f>_xlfn.XLOOKUP(A429,'DGS10'!A:A,'DGS10'!B:B,"",-1)</f>
        <v>2.39</v>
      </c>
      <c r="H429">
        <f t="shared" si="50"/>
        <v>1.0000000000000231E-2</v>
      </c>
      <c r="I429" s="2">
        <f>_xlfn.XLOOKUP(A429,T10Y3M!A:A,T10Y3M!B:B,"",-1)</f>
        <v>1.06</v>
      </c>
      <c r="J429" s="2">
        <f>_xlfn.XLOOKUP(A429,BAMLC0A4CBBB!A:A,BAMLC0A4CBBB!B:B,"",-1)</f>
        <v>1.31</v>
      </c>
      <c r="K429" s="2">
        <f>_xlfn.XLOOKUP(A429,CPIAUCSL!A:A,CPIAUCSL!B:B,"",-1)</f>
        <v>247.80500000000001</v>
      </c>
      <c r="L429">
        <f>_xlfn.XLOOKUP(A429,DFF!A:A,DFF!B:B,"",-1)</f>
        <v>1.1599999999999999</v>
      </c>
      <c r="M429">
        <f>_xlfn.XLOOKUP(A429,'DGS2'!A:A,'DGS2'!B:B,"",-1)</f>
        <v>1.82</v>
      </c>
      <c r="N429">
        <f t="shared" si="51"/>
        <v>2.0000000000000018E-2</v>
      </c>
      <c r="O429">
        <f t="shared" si="52"/>
        <v>1.5488780033008354E-3</v>
      </c>
      <c r="P429">
        <f t="shared" si="53"/>
        <v>1</v>
      </c>
      <c r="Q429">
        <f t="shared" si="54"/>
        <v>0</v>
      </c>
      <c r="R429" s="3">
        <v>56.09</v>
      </c>
    </row>
    <row r="430" spans="1:18">
      <c r="A430" s="1">
        <v>43081</v>
      </c>
      <c r="B430">
        <v>2664.11</v>
      </c>
      <c r="C430">
        <f t="shared" si="48"/>
        <v>1.5488780033008354E-3</v>
      </c>
      <c r="D430">
        <f t="shared" si="55"/>
        <v>1.0288284325250974E-2</v>
      </c>
      <c r="E430">
        <f>_xlfn.XLOOKUP(A430,VIX!A:A,VIX!B:B,"",-1)</f>
        <v>9.92</v>
      </c>
      <c r="F430">
        <f t="shared" si="49"/>
        <v>0.58000000000000007</v>
      </c>
      <c r="G430">
        <f>_xlfn.XLOOKUP(A430,'DGS10'!A:A,'DGS10'!B:B,"",-1)</f>
        <v>2.4</v>
      </c>
      <c r="H430">
        <f t="shared" si="50"/>
        <v>9.9999999999997868E-3</v>
      </c>
      <c r="I430" s="2">
        <f>_xlfn.XLOOKUP(A430,T10Y3M!A:A,T10Y3M!B:B,"",-1)</f>
        <v>1.06</v>
      </c>
      <c r="J430" s="2">
        <f>_xlfn.XLOOKUP(A430,BAMLC0A4CBBB!A:A,BAMLC0A4CBBB!B:B,"",-1)</f>
        <v>1.31</v>
      </c>
      <c r="K430" s="2">
        <f>_xlfn.XLOOKUP(A430,CPIAUCSL!A:A,CPIAUCSL!B:B,"",-1)</f>
        <v>247.80500000000001</v>
      </c>
      <c r="L430">
        <f>_xlfn.XLOOKUP(A430,DFF!A:A,DFF!B:B,"",-1)</f>
        <v>1.17</v>
      </c>
      <c r="M430">
        <f>_xlfn.XLOOKUP(A430,'DGS2'!A:A,'DGS2'!B:B,"",-1)</f>
        <v>1.83</v>
      </c>
      <c r="N430">
        <f t="shared" si="51"/>
        <v>1.0000000000000009E-2</v>
      </c>
      <c r="O430">
        <f t="shared" si="52"/>
        <v>-4.7295344411457663E-4</v>
      </c>
      <c r="P430">
        <f t="shared" si="53"/>
        <v>0</v>
      </c>
      <c r="Q430">
        <f t="shared" si="54"/>
        <v>0</v>
      </c>
      <c r="R430" s="3">
        <v>56.83</v>
      </c>
    </row>
    <row r="431" spans="1:18">
      <c r="A431" s="1">
        <v>43082</v>
      </c>
      <c r="B431">
        <v>2662.85</v>
      </c>
      <c r="C431">
        <f t="shared" si="48"/>
        <v>-4.7295344411457663E-4</v>
      </c>
      <c r="D431">
        <f t="shared" si="55"/>
        <v>4.2805958891194429E-3</v>
      </c>
      <c r="E431">
        <f>_xlfn.XLOOKUP(A431,VIX!A:A,VIX!B:B,"",-1)</f>
        <v>10.18</v>
      </c>
      <c r="F431">
        <f t="shared" si="49"/>
        <v>0.25999999999999979</v>
      </c>
      <c r="G431">
        <f>_xlfn.XLOOKUP(A431,'DGS10'!A:A,'DGS10'!B:B,"",-1)</f>
        <v>2.36</v>
      </c>
      <c r="H431">
        <f t="shared" si="50"/>
        <v>-4.0000000000000036E-2</v>
      </c>
      <c r="I431" s="2">
        <f>_xlfn.XLOOKUP(A431,T10Y3M!A:A,T10Y3M!B:B,"",-1)</f>
        <v>1.06</v>
      </c>
      <c r="J431" s="2">
        <f>_xlfn.XLOOKUP(A431,BAMLC0A4CBBB!A:A,BAMLC0A4CBBB!B:B,"",-1)</f>
        <v>1.31</v>
      </c>
      <c r="K431" s="2">
        <f>_xlfn.XLOOKUP(A431,CPIAUCSL!A:A,CPIAUCSL!B:B,"",-1)</f>
        <v>247.80500000000001</v>
      </c>
      <c r="L431">
        <f>_xlfn.XLOOKUP(A431,DFF!A:A,DFF!B:B,"",-1)</f>
        <v>1.17</v>
      </c>
      <c r="M431">
        <f>_xlfn.XLOOKUP(A431,'DGS2'!A:A,'DGS2'!B:B,"",-1)</f>
        <v>1.79</v>
      </c>
      <c r="N431">
        <f t="shared" si="51"/>
        <v>-4.0000000000000036E-2</v>
      </c>
      <c r="O431">
        <f t="shared" si="52"/>
        <v>-4.0708263702422531E-3</v>
      </c>
      <c r="P431">
        <f t="shared" si="53"/>
        <v>0</v>
      </c>
      <c r="Q431">
        <f t="shared" si="54"/>
        <v>-1</v>
      </c>
      <c r="R431" s="3">
        <v>58.02</v>
      </c>
    </row>
    <row r="432" spans="1:18">
      <c r="A432" s="1">
        <v>43083</v>
      </c>
      <c r="B432">
        <v>2652.01</v>
      </c>
      <c r="C432">
        <f t="shared" si="48"/>
        <v>-4.0708263702422531E-3</v>
      </c>
      <c r="D432">
        <f t="shared" si="55"/>
        <v>-3.0000112782376798E-3</v>
      </c>
      <c r="E432">
        <f>_xlfn.XLOOKUP(A432,VIX!A:A,VIX!B:B,"",-1)</f>
        <v>10.49</v>
      </c>
      <c r="F432">
        <f t="shared" si="49"/>
        <v>0.3100000000000005</v>
      </c>
      <c r="G432">
        <f>_xlfn.XLOOKUP(A432,'DGS10'!A:A,'DGS10'!B:B,"",-1)</f>
        <v>2.35</v>
      </c>
      <c r="H432">
        <f t="shared" si="50"/>
        <v>-9.9999999999997868E-3</v>
      </c>
      <c r="I432" s="2">
        <f>_xlfn.XLOOKUP(A432,T10Y3M!A:A,T10Y3M!B:B,"",-1)</f>
        <v>1.03</v>
      </c>
      <c r="J432" s="2">
        <f>_xlfn.XLOOKUP(A432,BAMLC0A4CBBB!A:A,BAMLC0A4CBBB!B:B,"",-1)</f>
        <v>1.31</v>
      </c>
      <c r="K432" s="2">
        <f>_xlfn.XLOOKUP(A432,CPIAUCSL!A:A,CPIAUCSL!B:B,"",-1)</f>
        <v>247.80500000000001</v>
      </c>
      <c r="L432">
        <f>_xlfn.XLOOKUP(A432,DFF!A:A,DFF!B:B,"",-1)</f>
        <v>1.41</v>
      </c>
      <c r="M432">
        <f>_xlfn.XLOOKUP(A432,'DGS2'!A:A,'DGS2'!B:B,"",-1)</f>
        <v>1.82</v>
      </c>
      <c r="N432">
        <f t="shared" si="51"/>
        <v>3.0000000000000027E-2</v>
      </c>
      <c r="O432">
        <f t="shared" si="52"/>
        <v>8.9743251345204555E-3</v>
      </c>
      <c r="P432">
        <f t="shared" si="53"/>
        <v>1</v>
      </c>
      <c r="Q432">
        <f t="shared" si="54"/>
        <v>1</v>
      </c>
      <c r="R432" s="3"/>
    </row>
    <row r="433" spans="1:18">
      <c r="A433" s="1">
        <v>43084</v>
      </c>
      <c r="B433">
        <v>2675.81</v>
      </c>
      <c r="C433">
        <f t="shared" si="48"/>
        <v>8.9743251345204555E-3</v>
      </c>
      <c r="D433">
        <f t="shared" si="55"/>
        <v>4.3917105524922118E-3</v>
      </c>
      <c r="E433">
        <f>_xlfn.XLOOKUP(A433,VIX!A:A,VIX!B:B,"",-1)</f>
        <v>9.42</v>
      </c>
      <c r="F433">
        <f t="shared" si="49"/>
        <v>-1.0700000000000003</v>
      </c>
      <c r="G433">
        <f>_xlfn.XLOOKUP(A433,'DGS10'!A:A,'DGS10'!B:B,"",-1)</f>
        <v>2.35</v>
      </c>
      <c r="H433">
        <f t="shared" si="50"/>
        <v>0</v>
      </c>
      <c r="I433" s="2">
        <f>_xlfn.XLOOKUP(A433,T10Y3M!A:A,T10Y3M!B:B,"",-1)</f>
        <v>1.04</v>
      </c>
      <c r="J433" s="2">
        <f>_xlfn.XLOOKUP(A433,BAMLC0A4CBBB!A:A,BAMLC0A4CBBB!B:B,"",-1)</f>
        <v>1.3</v>
      </c>
      <c r="K433" s="2">
        <f>_xlfn.XLOOKUP(A433,CPIAUCSL!A:A,CPIAUCSL!B:B,"",-1)</f>
        <v>247.80500000000001</v>
      </c>
      <c r="L433">
        <f>_xlfn.XLOOKUP(A433,DFF!A:A,DFF!B:B,"",-1)</f>
        <v>1.41</v>
      </c>
      <c r="M433">
        <f>_xlfn.XLOOKUP(A433,'DGS2'!A:A,'DGS2'!B:B,"",-1)</f>
        <v>1.84</v>
      </c>
      <c r="N433">
        <f t="shared" si="51"/>
        <v>2.0000000000000018E-2</v>
      </c>
      <c r="O433">
        <f t="shared" si="52"/>
        <v>5.3628620866204013E-3</v>
      </c>
      <c r="P433">
        <f t="shared" si="53"/>
        <v>1</v>
      </c>
      <c r="Q433">
        <f t="shared" si="54"/>
        <v>1</v>
      </c>
      <c r="R433" s="3">
        <v>58.95</v>
      </c>
    </row>
    <row r="434" spans="1:18">
      <c r="A434" s="1">
        <v>43087</v>
      </c>
      <c r="B434">
        <v>2690.16</v>
      </c>
      <c r="C434">
        <f t="shared" si="48"/>
        <v>5.3628620866204013E-3</v>
      </c>
      <c r="D434">
        <f t="shared" si="55"/>
        <v>1.025592879809234E-2</v>
      </c>
      <c r="E434">
        <f>_xlfn.XLOOKUP(A434,VIX!A:A,VIX!B:B,"",-1)</f>
        <v>9.5299999999999994</v>
      </c>
      <c r="F434">
        <f t="shared" si="49"/>
        <v>0.10999999999999943</v>
      </c>
      <c r="G434">
        <f>_xlfn.XLOOKUP(A434,'DGS10'!A:A,'DGS10'!B:B,"",-1)</f>
        <v>2.39</v>
      </c>
      <c r="H434">
        <f t="shared" si="50"/>
        <v>4.0000000000000036E-2</v>
      </c>
      <c r="I434" s="2">
        <f>_xlfn.XLOOKUP(A434,T10Y3M!A:A,T10Y3M!B:B,"",-1)</f>
        <v>1.01</v>
      </c>
      <c r="J434" s="2">
        <f>_xlfn.XLOOKUP(A434,BAMLC0A4CBBB!A:A,BAMLC0A4CBBB!B:B,"",-1)</f>
        <v>1.3</v>
      </c>
      <c r="K434" s="2">
        <f>_xlfn.XLOOKUP(A434,CPIAUCSL!A:A,CPIAUCSL!B:B,"",-1)</f>
        <v>247.80500000000001</v>
      </c>
      <c r="L434">
        <f>_xlfn.XLOOKUP(A434,DFF!A:A,DFF!B:B,"",-1)</f>
        <v>1.42</v>
      </c>
      <c r="M434">
        <f>_xlfn.XLOOKUP(A434,'DGS2'!A:A,'DGS2'!B:B,"",-1)</f>
        <v>1.84</v>
      </c>
      <c r="N434">
        <f t="shared" si="51"/>
        <v>0</v>
      </c>
      <c r="O434">
        <f t="shared" si="52"/>
        <v>-3.230291135099761E-3</v>
      </c>
      <c r="P434">
        <f t="shared" si="53"/>
        <v>0</v>
      </c>
      <c r="Q434">
        <f t="shared" si="54"/>
        <v>-1</v>
      </c>
      <c r="R434" s="3">
        <v>58.11</v>
      </c>
    </row>
    <row r="435" spans="1:18">
      <c r="A435" s="1">
        <v>43088</v>
      </c>
      <c r="B435">
        <v>2681.47</v>
      </c>
      <c r="C435">
        <f t="shared" si="48"/>
        <v>-3.230291135099761E-3</v>
      </c>
      <c r="D435">
        <f t="shared" si="55"/>
        <v>1.1108555397604025E-2</v>
      </c>
      <c r="E435">
        <f>_xlfn.XLOOKUP(A435,VIX!A:A,VIX!B:B,"",-1)</f>
        <v>10.029999999999999</v>
      </c>
      <c r="F435">
        <f t="shared" si="49"/>
        <v>0.5</v>
      </c>
      <c r="G435">
        <f>_xlfn.XLOOKUP(A435,'DGS10'!A:A,'DGS10'!B:B,"",-1)</f>
        <v>2.46</v>
      </c>
      <c r="H435">
        <f t="shared" si="50"/>
        <v>6.999999999999984E-2</v>
      </c>
      <c r="I435" s="2">
        <f>_xlfn.XLOOKUP(A435,T10Y3M!A:A,T10Y3M!B:B,"",-1)</f>
        <v>1.0900000000000001</v>
      </c>
      <c r="J435" s="2">
        <f>_xlfn.XLOOKUP(A435,BAMLC0A4CBBB!A:A,BAMLC0A4CBBB!B:B,"",-1)</f>
        <v>1.29</v>
      </c>
      <c r="K435" s="2">
        <f>_xlfn.XLOOKUP(A435,CPIAUCSL!A:A,CPIAUCSL!B:B,"",-1)</f>
        <v>247.80500000000001</v>
      </c>
      <c r="L435">
        <f>_xlfn.XLOOKUP(A435,DFF!A:A,DFF!B:B,"",-1)</f>
        <v>1.42</v>
      </c>
      <c r="M435">
        <f>_xlfn.XLOOKUP(A435,'DGS2'!A:A,'DGS2'!B:B,"",-1)</f>
        <v>1.87</v>
      </c>
      <c r="N435">
        <f t="shared" si="51"/>
        <v>3.0000000000000027E-2</v>
      </c>
      <c r="O435">
        <f t="shared" si="52"/>
        <v>-8.2790409737931725E-4</v>
      </c>
      <c r="P435">
        <f t="shared" si="53"/>
        <v>0</v>
      </c>
      <c r="Q435">
        <f t="shared" si="54"/>
        <v>0</v>
      </c>
      <c r="R435" s="3">
        <v>57.99</v>
      </c>
    </row>
    <row r="436" spans="1:18">
      <c r="A436" s="1">
        <v>43089</v>
      </c>
      <c r="B436">
        <v>2679.25</v>
      </c>
      <c r="C436">
        <f t="shared" si="48"/>
        <v>-8.2790409737931725E-4</v>
      </c>
      <c r="D436">
        <f t="shared" si="55"/>
        <v>1.2855920263397103E-3</v>
      </c>
      <c r="E436">
        <f>_xlfn.XLOOKUP(A436,VIX!A:A,VIX!B:B,"",-1)</f>
        <v>9.7200000000000006</v>
      </c>
      <c r="F436">
        <f t="shared" si="49"/>
        <v>-0.30999999999999872</v>
      </c>
      <c r="G436">
        <f>_xlfn.XLOOKUP(A436,'DGS10'!A:A,'DGS10'!B:B,"",-1)</f>
        <v>2.4900000000000002</v>
      </c>
      <c r="H436">
        <f t="shared" si="50"/>
        <v>3.0000000000000249E-2</v>
      </c>
      <c r="I436" s="2">
        <f>_xlfn.XLOOKUP(A436,T10Y3M!A:A,T10Y3M!B:B,"",-1)</f>
        <v>1.1100000000000001</v>
      </c>
      <c r="J436" s="2">
        <f>_xlfn.XLOOKUP(A436,BAMLC0A4CBBB!A:A,BAMLC0A4CBBB!B:B,"",-1)</f>
        <v>1.28</v>
      </c>
      <c r="K436" s="2">
        <f>_xlfn.XLOOKUP(A436,CPIAUCSL!A:A,CPIAUCSL!B:B,"",-1)</f>
        <v>247.80500000000001</v>
      </c>
      <c r="L436">
        <f>_xlfn.XLOOKUP(A436,DFF!A:A,DFF!B:B,"",-1)</f>
        <v>1.42</v>
      </c>
      <c r="M436">
        <f>_xlfn.XLOOKUP(A436,'DGS2'!A:A,'DGS2'!B:B,"",-1)</f>
        <v>1.87</v>
      </c>
      <c r="N436">
        <f t="shared" si="51"/>
        <v>0</v>
      </c>
      <c r="O436">
        <f t="shared" si="52"/>
        <v>1.9856303069889503E-3</v>
      </c>
      <c r="P436">
        <f t="shared" si="53"/>
        <v>1</v>
      </c>
      <c r="Q436">
        <f t="shared" si="54"/>
        <v>0</v>
      </c>
      <c r="R436" s="3">
        <v>57.3</v>
      </c>
    </row>
    <row r="437" spans="1:18">
      <c r="A437" s="1">
        <v>43090</v>
      </c>
      <c r="B437">
        <v>2684.57</v>
      </c>
      <c r="C437">
        <f t="shared" si="48"/>
        <v>1.9856303069889503E-3</v>
      </c>
      <c r="D437">
        <f t="shared" si="55"/>
        <v>-2.0779433193564012E-3</v>
      </c>
      <c r="E437">
        <f>_xlfn.XLOOKUP(A437,VIX!A:A,VIX!B:B,"",-1)</f>
        <v>9.6199999999999992</v>
      </c>
      <c r="F437">
        <f t="shared" si="49"/>
        <v>-0.10000000000000142</v>
      </c>
      <c r="G437">
        <f>_xlfn.XLOOKUP(A437,'DGS10'!A:A,'DGS10'!B:B,"",-1)</f>
        <v>2.48</v>
      </c>
      <c r="H437">
        <f t="shared" si="50"/>
        <v>-1.0000000000000231E-2</v>
      </c>
      <c r="I437" s="2">
        <f>_xlfn.XLOOKUP(A437,T10Y3M!A:A,T10Y3M!B:B,"",-1)</f>
        <v>1.1299999999999999</v>
      </c>
      <c r="J437" s="2">
        <f>_xlfn.XLOOKUP(A437,BAMLC0A4CBBB!A:A,BAMLC0A4CBBB!B:B,"",-1)</f>
        <v>1.28</v>
      </c>
      <c r="K437" s="2">
        <f>_xlfn.XLOOKUP(A437,CPIAUCSL!A:A,CPIAUCSL!B:B,"",-1)</f>
        <v>247.80500000000001</v>
      </c>
      <c r="L437">
        <f>_xlfn.XLOOKUP(A437,DFF!A:A,DFF!B:B,"",-1)</f>
        <v>1.42</v>
      </c>
      <c r="M437">
        <f>_xlfn.XLOOKUP(A437,'DGS2'!A:A,'DGS2'!B:B,"",-1)</f>
        <v>1.89</v>
      </c>
      <c r="N437">
        <f t="shared" si="51"/>
        <v>1.9999999999999796E-2</v>
      </c>
      <c r="O437">
        <f t="shared" si="52"/>
        <v>-4.5817393474556489E-4</v>
      </c>
      <c r="P437">
        <f t="shared" si="53"/>
        <v>0</v>
      </c>
      <c r="Q437">
        <f t="shared" si="54"/>
        <v>0</v>
      </c>
      <c r="R437" s="3">
        <v>57.4</v>
      </c>
    </row>
    <row r="438" spans="1:18">
      <c r="A438" s="1">
        <v>43091</v>
      </c>
      <c r="B438">
        <v>2683.34</v>
      </c>
      <c r="C438">
        <f t="shared" si="48"/>
        <v>-4.5817393474556489E-4</v>
      </c>
      <c r="D438">
        <f t="shared" si="55"/>
        <v>6.9737867662156283E-4</v>
      </c>
      <c r="E438">
        <f>_xlfn.XLOOKUP(A438,VIX!A:A,VIX!B:B,"",-1)</f>
        <v>9.9</v>
      </c>
      <c r="F438">
        <f t="shared" si="49"/>
        <v>0.28000000000000114</v>
      </c>
      <c r="G438">
        <f>_xlfn.XLOOKUP(A438,'DGS10'!A:A,'DGS10'!B:B,"",-1)</f>
        <v>2.48</v>
      </c>
      <c r="H438">
        <f t="shared" si="50"/>
        <v>0</v>
      </c>
      <c r="I438" s="2">
        <f>_xlfn.XLOOKUP(A438,T10Y3M!A:A,T10Y3M!B:B,"",-1)</f>
        <v>1.1499999999999999</v>
      </c>
      <c r="J438" s="2">
        <f>_xlfn.XLOOKUP(A438,BAMLC0A4CBBB!A:A,BAMLC0A4CBBB!B:B,"",-1)</f>
        <v>1.28</v>
      </c>
      <c r="K438" s="2">
        <f>_xlfn.XLOOKUP(A438,CPIAUCSL!A:A,CPIAUCSL!B:B,"",-1)</f>
        <v>247.80500000000001</v>
      </c>
      <c r="L438">
        <f>_xlfn.XLOOKUP(A438,DFF!A:A,DFF!B:B,"",-1)</f>
        <v>1.42</v>
      </c>
      <c r="M438">
        <f>_xlfn.XLOOKUP(A438,'DGS2'!A:A,'DGS2'!B:B,"",-1)</f>
        <v>1.91</v>
      </c>
      <c r="N438">
        <f t="shared" si="51"/>
        <v>2.0000000000000018E-2</v>
      </c>
      <c r="O438">
        <f t="shared" si="52"/>
        <v>-1.0583824636460903E-3</v>
      </c>
      <c r="P438">
        <f t="shared" si="53"/>
        <v>0</v>
      </c>
      <c r="Q438">
        <f t="shared" si="54"/>
        <v>0</v>
      </c>
      <c r="R438" s="3">
        <v>58.36</v>
      </c>
    </row>
    <row r="439" spans="1:18">
      <c r="A439" s="1">
        <v>43095</v>
      </c>
      <c r="B439">
        <v>2680.5</v>
      </c>
      <c r="C439">
        <f t="shared" si="48"/>
        <v>-1.0583824636460903E-3</v>
      </c>
      <c r="D439">
        <f t="shared" si="55"/>
        <v>4.665484743864301E-4</v>
      </c>
      <c r="E439">
        <f>_xlfn.XLOOKUP(A439,VIX!A:A,VIX!B:B,"",-1)</f>
        <v>10.25</v>
      </c>
      <c r="F439">
        <f t="shared" si="49"/>
        <v>0.34999999999999964</v>
      </c>
      <c r="G439">
        <f>_xlfn.XLOOKUP(A439,'DGS10'!A:A,'DGS10'!B:B,"",-1)</f>
        <v>2.4700000000000002</v>
      </c>
      <c r="H439">
        <f t="shared" si="50"/>
        <v>-9.9999999999997868E-3</v>
      </c>
      <c r="I439" s="2">
        <f>_xlfn.XLOOKUP(A439,T10Y3M!A:A,T10Y3M!B:B,"",-1)</f>
        <v>1</v>
      </c>
      <c r="J439" s="2">
        <f>_xlfn.XLOOKUP(A439,BAMLC0A4CBBB!A:A,BAMLC0A4CBBB!B:B,"",-1)</f>
        <v>1.28</v>
      </c>
      <c r="K439" s="2">
        <f>_xlfn.XLOOKUP(A439,CPIAUCSL!A:A,CPIAUCSL!B:B,"",-1)</f>
        <v>247.80500000000001</v>
      </c>
      <c r="L439">
        <f>_xlfn.XLOOKUP(A439,DFF!A:A,DFF!B:B,"",-1)</f>
        <v>1.42</v>
      </c>
      <c r="M439">
        <f>_xlfn.XLOOKUP(A439,'DGS2'!A:A,'DGS2'!B:B,"",-1)</f>
        <v>1.92</v>
      </c>
      <c r="N439">
        <f t="shared" si="51"/>
        <v>1.0000000000000009E-2</v>
      </c>
      <c r="O439">
        <f t="shared" si="52"/>
        <v>7.9089722066782997E-4</v>
      </c>
      <c r="P439">
        <f t="shared" si="53"/>
        <v>1</v>
      </c>
      <c r="Q439">
        <f t="shared" si="54"/>
        <v>0</v>
      </c>
      <c r="R439" s="3">
        <v>57.47</v>
      </c>
    </row>
    <row r="440" spans="1:18">
      <c r="A440" s="1">
        <v>43096</v>
      </c>
      <c r="B440">
        <v>2682.62</v>
      </c>
      <c r="C440">
        <f t="shared" si="48"/>
        <v>7.9089722066782997E-4</v>
      </c>
      <c r="D440">
        <f t="shared" si="55"/>
        <v>-7.263733111821935E-4</v>
      </c>
      <c r="E440">
        <f>_xlfn.XLOOKUP(A440,VIX!A:A,VIX!B:B,"",-1)</f>
        <v>10.47</v>
      </c>
      <c r="F440">
        <f t="shared" si="49"/>
        <v>0.22000000000000064</v>
      </c>
      <c r="G440">
        <f>_xlfn.XLOOKUP(A440,'DGS10'!A:A,'DGS10'!B:B,"",-1)</f>
        <v>2.42</v>
      </c>
      <c r="H440">
        <f t="shared" si="50"/>
        <v>-5.0000000000000266E-2</v>
      </c>
      <c r="I440" s="2">
        <f>_xlfn.XLOOKUP(A440,T10Y3M!A:A,T10Y3M!B:B,"",-1)</f>
        <v>0.98</v>
      </c>
      <c r="J440" s="2">
        <f>_xlfn.XLOOKUP(A440,BAMLC0A4CBBB!A:A,BAMLC0A4CBBB!B:B,"",-1)</f>
        <v>1.28</v>
      </c>
      <c r="K440" s="2">
        <f>_xlfn.XLOOKUP(A440,CPIAUCSL!A:A,CPIAUCSL!B:B,"",-1)</f>
        <v>247.80500000000001</v>
      </c>
      <c r="L440">
        <f>_xlfn.XLOOKUP(A440,DFF!A:A,DFF!B:B,"",-1)</f>
        <v>1.42</v>
      </c>
      <c r="M440">
        <f>_xlfn.XLOOKUP(A440,'DGS2'!A:A,'DGS2'!B:B,"",-1)</f>
        <v>1.89</v>
      </c>
      <c r="N440">
        <f t="shared" si="51"/>
        <v>-3.0000000000000027E-2</v>
      </c>
      <c r="O440">
        <f t="shared" si="52"/>
        <v>1.8340279279212002E-3</v>
      </c>
      <c r="P440">
        <f t="shared" si="53"/>
        <v>1</v>
      </c>
      <c r="Q440">
        <f t="shared" si="54"/>
        <v>0</v>
      </c>
      <c r="R440" s="3">
        <v>57.62</v>
      </c>
    </row>
    <row r="441" spans="1:18">
      <c r="A441" s="1">
        <v>43097</v>
      </c>
      <c r="B441">
        <v>2687.54</v>
      </c>
      <c r="C441">
        <f t="shared" si="48"/>
        <v>1.8340279279212002E-3</v>
      </c>
      <c r="D441">
        <f t="shared" si="55"/>
        <v>1.5652135025749914E-3</v>
      </c>
      <c r="E441">
        <f>_xlfn.XLOOKUP(A441,VIX!A:A,VIX!B:B,"",-1)</f>
        <v>10.18</v>
      </c>
      <c r="F441">
        <f t="shared" si="49"/>
        <v>-0.29000000000000092</v>
      </c>
      <c r="G441">
        <f>_xlfn.XLOOKUP(A441,'DGS10'!A:A,'DGS10'!B:B,"",-1)</f>
        <v>2.4300000000000002</v>
      </c>
      <c r="H441">
        <f t="shared" si="50"/>
        <v>1.0000000000000231E-2</v>
      </c>
      <c r="I441" s="2">
        <f>_xlfn.XLOOKUP(A441,T10Y3M!A:A,T10Y3M!B:B,"",-1)</f>
        <v>1.04</v>
      </c>
      <c r="J441" s="2">
        <f>_xlfn.XLOOKUP(A441,BAMLC0A4CBBB!A:A,BAMLC0A4CBBB!B:B,"",-1)</f>
        <v>1.27</v>
      </c>
      <c r="K441" s="2">
        <f>_xlfn.XLOOKUP(A441,CPIAUCSL!A:A,CPIAUCSL!B:B,"",-1)</f>
        <v>247.80500000000001</v>
      </c>
      <c r="L441">
        <f>_xlfn.XLOOKUP(A441,DFF!A:A,DFF!B:B,"",-1)</f>
        <v>1.42</v>
      </c>
      <c r="M441">
        <f>_xlfn.XLOOKUP(A441,'DGS2'!A:A,'DGS2'!B:B,"",-1)</f>
        <v>1.91</v>
      </c>
      <c r="N441">
        <f t="shared" si="51"/>
        <v>2.0000000000000018E-2</v>
      </c>
      <c r="O441">
        <f t="shared" si="52"/>
        <v>-5.1831786689685577E-3</v>
      </c>
      <c r="P441">
        <f t="shared" si="53"/>
        <v>0</v>
      </c>
      <c r="Q441">
        <f t="shared" si="54"/>
        <v>-1</v>
      </c>
      <c r="R441" s="3">
        <v>55.96</v>
      </c>
    </row>
    <row r="442" spans="1:18">
      <c r="A442" s="1">
        <v>43098</v>
      </c>
      <c r="B442">
        <v>2673.61</v>
      </c>
      <c r="C442">
        <f t="shared" si="48"/>
        <v>-5.1831786689685577E-3</v>
      </c>
      <c r="D442">
        <f t="shared" si="55"/>
        <v>-2.5704159671702254E-3</v>
      </c>
      <c r="E442">
        <f>_xlfn.XLOOKUP(A442,VIX!A:A,VIX!B:B,"",-1)</f>
        <v>11.04</v>
      </c>
      <c r="F442">
        <f t="shared" si="49"/>
        <v>0.85999999999999943</v>
      </c>
      <c r="G442">
        <f>_xlfn.XLOOKUP(A442,'DGS10'!A:A,'DGS10'!B:B,"",-1)</f>
        <v>2.4</v>
      </c>
      <c r="H442">
        <f t="shared" si="50"/>
        <v>-3.0000000000000249E-2</v>
      </c>
      <c r="I442" s="2">
        <f>_xlfn.XLOOKUP(A442,T10Y3M!A:A,T10Y3M!B:B,"",-1)</f>
        <v>1.01</v>
      </c>
      <c r="J442" s="2">
        <f>_xlfn.XLOOKUP(A442,BAMLC0A4CBBB!A:A,BAMLC0A4CBBB!B:B,"",-1)</f>
        <v>1.28</v>
      </c>
      <c r="K442" s="2">
        <f>_xlfn.XLOOKUP(A442,CPIAUCSL!A:A,CPIAUCSL!B:B,"",-1)</f>
        <v>247.80500000000001</v>
      </c>
      <c r="L442">
        <f>_xlfn.XLOOKUP(A442,DFF!A:A,DFF!B:B,"",-1)</f>
        <v>1.33</v>
      </c>
      <c r="M442">
        <f>_xlfn.XLOOKUP(A442,'DGS2'!A:A,'DGS2'!B:B,"",-1)</f>
        <v>1.89</v>
      </c>
      <c r="N442">
        <f t="shared" si="51"/>
        <v>-2.0000000000000018E-2</v>
      </c>
      <c r="O442">
        <f t="shared" si="52"/>
        <v>8.3033800741318942E-3</v>
      </c>
      <c r="P442">
        <f t="shared" si="53"/>
        <v>1</v>
      </c>
      <c r="Q442">
        <f t="shared" si="54"/>
        <v>1</v>
      </c>
      <c r="R442" s="3">
        <v>56.69</v>
      </c>
    </row>
    <row r="443" spans="1:18">
      <c r="A443" s="1">
        <v>43102</v>
      </c>
      <c r="B443">
        <v>2695.81</v>
      </c>
      <c r="C443">
        <f t="shared" si="48"/>
        <v>8.3033800741318942E-3</v>
      </c>
      <c r="D443">
        <f t="shared" si="55"/>
        <v>4.9168350344066525E-3</v>
      </c>
      <c r="E443">
        <f>_xlfn.XLOOKUP(A443,VIX!A:A,VIX!B:B,"",-1)</f>
        <v>9.77</v>
      </c>
      <c r="F443">
        <f t="shared" si="49"/>
        <v>-1.2699999999999996</v>
      </c>
      <c r="G443">
        <f>_xlfn.XLOOKUP(A443,'DGS10'!A:A,'DGS10'!B:B,"",-1)</f>
        <v>2.46</v>
      </c>
      <c r="H443">
        <f t="shared" si="50"/>
        <v>6.0000000000000053E-2</v>
      </c>
      <c r="I443" s="2">
        <f>_xlfn.XLOOKUP(A443,T10Y3M!A:A,T10Y3M!B:B,"",-1)</f>
        <v>1.02</v>
      </c>
      <c r="J443" s="2">
        <f>_xlfn.XLOOKUP(A443,BAMLC0A4CBBB!A:A,BAMLC0A4CBBB!B:B,"",-1)</f>
        <v>1.28</v>
      </c>
      <c r="K443" s="2">
        <f>_xlfn.XLOOKUP(A443,CPIAUCSL!A:A,CPIAUCSL!B:B,"",-1)</f>
        <v>248.85900000000001</v>
      </c>
      <c r="L443">
        <f>_xlfn.XLOOKUP(A443,DFF!A:A,DFF!B:B,"",-1)</f>
        <v>1.42</v>
      </c>
      <c r="M443">
        <f>_xlfn.XLOOKUP(A443,'DGS2'!A:A,'DGS2'!B:B,"",-1)</f>
        <v>1.92</v>
      </c>
      <c r="N443">
        <f t="shared" si="51"/>
        <v>3.0000000000000027E-2</v>
      </c>
      <c r="O443">
        <f t="shared" si="52"/>
        <v>6.3988189078607594E-3</v>
      </c>
      <c r="P443">
        <f t="shared" si="53"/>
        <v>1</v>
      </c>
      <c r="Q443">
        <f t="shared" si="54"/>
        <v>1</v>
      </c>
      <c r="R443" s="3">
        <v>57.36</v>
      </c>
    </row>
    <row r="444" spans="1:18">
      <c r="A444" s="1">
        <v>43103</v>
      </c>
      <c r="B444">
        <v>2713.06</v>
      </c>
      <c r="C444">
        <f t="shared" si="48"/>
        <v>6.3988189078607594E-3</v>
      </c>
      <c r="D444">
        <f t="shared" si="55"/>
        <v>9.4956726225470245E-3</v>
      </c>
      <c r="E444">
        <f>_xlfn.XLOOKUP(A444,VIX!A:A,VIX!B:B,"",-1)</f>
        <v>9.15</v>
      </c>
      <c r="F444">
        <f t="shared" si="49"/>
        <v>-0.61999999999999922</v>
      </c>
      <c r="G444">
        <f>_xlfn.XLOOKUP(A444,'DGS10'!A:A,'DGS10'!B:B,"",-1)</f>
        <v>2.44</v>
      </c>
      <c r="H444">
        <f t="shared" si="50"/>
        <v>-2.0000000000000018E-2</v>
      </c>
      <c r="I444" s="2">
        <f>_xlfn.XLOOKUP(A444,T10Y3M!A:A,T10Y3M!B:B,"",-1)</f>
        <v>1.03</v>
      </c>
      <c r="J444" s="2">
        <f>_xlfn.XLOOKUP(A444,BAMLC0A4CBBB!A:A,BAMLC0A4CBBB!B:B,"",-1)</f>
        <v>1.27</v>
      </c>
      <c r="K444" s="2">
        <f>_xlfn.XLOOKUP(A444,CPIAUCSL!A:A,CPIAUCSL!B:B,"",-1)</f>
        <v>248.85900000000001</v>
      </c>
      <c r="L444">
        <f>_xlfn.XLOOKUP(A444,DFF!A:A,DFF!B:B,"",-1)</f>
        <v>1.42</v>
      </c>
      <c r="M444">
        <f>_xlfn.XLOOKUP(A444,'DGS2'!A:A,'DGS2'!B:B,"",-1)</f>
        <v>1.94</v>
      </c>
      <c r="N444">
        <f t="shared" si="51"/>
        <v>2.0000000000000018E-2</v>
      </c>
      <c r="O444">
        <f t="shared" si="52"/>
        <v>4.0286613639211044E-3</v>
      </c>
      <c r="P444">
        <f t="shared" si="53"/>
        <v>1</v>
      </c>
      <c r="Q444">
        <f t="shared" si="54"/>
        <v>1</v>
      </c>
      <c r="R444" s="3">
        <v>57.99</v>
      </c>
    </row>
    <row r="445" spans="1:18">
      <c r="A445" s="1">
        <v>43104</v>
      </c>
      <c r="B445">
        <v>2723.99</v>
      </c>
      <c r="C445">
        <f t="shared" si="48"/>
        <v>4.0286613639211044E-3</v>
      </c>
      <c r="D445">
        <f t="shared" si="55"/>
        <v>1.8843436402466995E-2</v>
      </c>
      <c r="E445">
        <f>_xlfn.XLOOKUP(A445,VIX!A:A,VIX!B:B,"",-1)</f>
        <v>9.2200000000000006</v>
      </c>
      <c r="F445">
        <f t="shared" si="49"/>
        <v>7.0000000000000284E-2</v>
      </c>
      <c r="G445">
        <f>_xlfn.XLOOKUP(A445,'DGS10'!A:A,'DGS10'!B:B,"",-1)</f>
        <v>2.46</v>
      </c>
      <c r="H445">
        <f t="shared" si="50"/>
        <v>2.0000000000000018E-2</v>
      </c>
      <c r="I445" s="2">
        <f>_xlfn.XLOOKUP(A445,T10Y3M!A:A,T10Y3M!B:B,"",-1)</f>
        <v>1.05</v>
      </c>
      <c r="J445" s="2">
        <f>_xlfn.XLOOKUP(A445,BAMLC0A4CBBB!A:A,BAMLC0A4CBBB!B:B,"",-1)</f>
        <v>1.27</v>
      </c>
      <c r="K445" s="2">
        <f>_xlfn.XLOOKUP(A445,CPIAUCSL!A:A,CPIAUCSL!B:B,"",-1)</f>
        <v>248.85900000000001</v>
      </c>
      <c r="L445">
        <f>_xlfn.XLOOKUP(A445,DFF!A:A,DFF!B:B,"",-1)</f>
        <v>1.42</v>
      </c>
      <c r="M445">
        <f>_xlfn.XLOOKUP(A445,'DGS2'!A:A,'DGS2'!B:B,"",-1)</f>
        <v>1.96</v>
      </c>
      <c r="N445">
        <f t="shared" si="51"/>
        <v>2.0000000000000018E-2</v>
      </c>
      <c r="O445">
        <f t="shared" si="52"/>
        <v>7.0337996835525551E-3</v>
      </c>
      <c r="P445">
        <f t="shared" si="53"/>
        <v>1</v>
      </c>
      <c r="Q445">
        <f t="shared" si="54"/>
        <v>1</v>
      </c>
      <c r="R445" s="3">
        <v>57.14</v>
      </c>
    </row>
    <row r="446" spans="1:18">
      <c r="A446" s="1">
        <v>43105</v>
      </c>
      <c r="B446">
        <v>2743.15</v>
      </c>
      <c r="C446">
        <f t="shared" si="48"/>
        <v>7.0337996835525551E-3</v>
      </c>
      <c r="D446">
        <f t="shared" si="55"/>
        <v>1.7560584759311659E-2</v>
      </c>
      <c r="E446">
        <f>_xlfn.XLOOKUP(A446,VIX!A:A,VIX!B:B,"",-1)</f>
        <v>9.2200000000000006</v>
      </c>
      <c r="F446">
        <f t="shared" si="49"/>
        <v>0</v>
      </c>
      <c r="G446">
        <f>_xlfn.XLOOKUP(A446,'DGS10'!A:A,'DGS10'!B:B,"",-1)</f>
        <v>2.4700000000000002</v>
      </c>
      <c r="H446">
        <f t="shared" si="50"/>
        <v>1.0000000000000231E-2</v>
      </c>
      <c r="I446" s="2">
        <f>_xlfn.XLOOKUP(A446,T10Y3M!A:A,T10Y3M!B:B,"",-1)</f>
        <v>1.08</v>
      </c>
      <c r="J446" s="2">
        <f>_xlfn.XLOOKUP(A446,BAMLC0A4CBBB!A:A,BAMLC0A4CBBB!B:B,"",-1)</f>
        <v>1.26</v>
      </c>
      <c r="K446" s="2">
        <f>_xlfn.XLOOKUP(A446,CPIAUCSL!A:A,CPIAUCSL!B:B,"",-1)</f>
        <v>248.85900000000001</v>
      </c>
      <c r="L446">
        <f>_xlfn.XLOOKUP(A446,DFF!A:A,DFF!B:B,"",-1)</f>
        <v>1.42</v>
      </c>
      <c r="M446">
        <f>_xlfn.XLOOKUP(A446,'DGS2'!A:A,'DGS2'!B:B,"",-1)</f>
        <v>1.96</v>
      </c>
      <c r="N446">
        <f t="shared" si="51"/>
        <v>0</v>
      </c>
      <c r="O446">
        <f t="shared" si="52"/>
        <v>1.6623225124401397E-3</v>
      </c>
      <c r="P446">
        <f t="shared" si="53"/>
        <v>1</v>
      </c>
      <c r="Q446">
        <f t="shared" si="54"/>
        <v>0</v>
      </c>
      <c r="R446" s="3">
        <v>56.6</v>
      </c>
    </row>
    <row r="447" spans="1:18">
      <c r="A447" s="1">
        <v>43108</v>
      </c>
      <c r="B447">
        <v>2747.71</v>
      </c>
      <c r="C447">
        <f t="shared" si="48"/>
        <v>1.6623225124401397E-3</v>
      </c>
      <c r="D447">
        <f t="shared" si="55"/>
        <v>1.2771556839878295E-2</v>
      </c>
      <c r="E447">
        <f>_xlfn.XLOOKUP(A447,VIX!A:A,VIX!B:B,"",-1)</f>
        <v>9.52</v>
      </c>
      <c r="F447">
        <f t="shared" si="49"/>
        <v>0.29999999999999893</v>
      </c>
      <c r="G447">
        <f>_xlfn.XLOOKUP(A447,'DGS10'!A:A,'DGS10'!B:B,"",-1)</f>
        <v>2.4900000000000002</v>
      </c>
      <c r="H447">
        <f t="shared" si="50"/>
        <v>2.0000000000000018E-2</v>
      </c>
      <c r="I447" s="2">
        <f>_xlfn.XLOOKUP(A447,T10Y3M!A:A,T10Y3M!B:B,"",-1)</f>
        <v>1.04</v>
      </c>
      <c r="J447" s="2">
        <f>_xlfn.XLOOKUP(A447,BAMLC0A4CBBB!A:A,BAMLC0A4CBBB!B:B,"",-1)</f>
        <v>1.26</v>
      </c>
      <c r="K447" s="2">
        <f>_xlfn.XLOOKUP(A447,CPIAUCSL!A:A,CPIAUCSL!B:B,"",-1)</f>
        <v>248.85900000000001</v>
      </c>
      <c r="L447">
        <f>_xlfn.XLOOKUP(A447,DFF!A:A,DFF!B:B,"",-1)</f>
        <v>1.42</v>
      </c>
      <c r="M447">
        <f>_xlfn.XLOOKUP(A447,'DGS2'!A:A,'DGS2'!B:B,"",-1)</f>
        <v>1.96</v>
      </c>
      <c r="N447">
        <f t="shared" si="51"/>
        <v>0</v>
      </c>
      <c r="O447">
        <f t="shared" si="52"/>
        <v>1.3029031448006378E-3</v>
      </c>
      <c r="P447">
        <f t="shared" si="53"/>
        <v>1</v>
      </c>
      <c r="Q447">
        <f t="shared" si="54"/>
        <v>0</v>
      </c>
      <c r="R447" s="3">
        <v>57.04</v>
      </c>
    </row>
    <row r="448" spans="1:18">
      <c r="A448" s="1">
        <v>43109</v>
      </c>
      <c r="B448">
        <v>2751.29</v>
      </c>
      <c r="C448">
        <f t="shared" si="48"/>
        <v>1.3029031448006378E-3</v>
      </c>
      <c r="D448">
        <f t="shared" si="55"/>
        <v>1.0022063223433353E-2</v>
      </c>
      <c r="E448">
        <f>_xlfn.XLOOKUP(A448,VIX!A:A,VIX!B:B,"",-1)</f>
        <v>10.08</v>
      </c>
      <c r="F448">
        <f t="shared" si="49"/>
        <v>0.5600000000000005</v>
      </c>
      <c r="G448">
        <f>_xlfn.XLOOKUP(A448,'DGS10'!A:A,'DGS10'!B:B,"",-1)</f>
        <v>2.5499999999999998</v>
      </c>
      <c r="H448">
        <f t="shared" si="50"/>
        <v>5.9999999999999609E-2</v>
      </c>
      <c r="I448" s="2">
        <f>_xlfn.XLOOKUP(A448,T10Y3M!A:A,T10Y3M!B:B,"",-1)</f>
        <v>1.1100000000000001</v>
      </c>
      <c r="J448" s="2">
        <f>_xlfn.XLOOKUP(A448,BAMLC0A4CBBB!A:A,BAMLC0A4CBBB!B:B,"",-1)</f>
        <v>1.24</v>
      </c>
      <c r="K448" s="2">
        <f>_xlfn.XLOOKUP(A448,CPIAUCSL!A:A,CPIAUCSL!B:B,"",-1)</f>
        <v>248.85900000000001</v>
      </c>
      <c r="L448">
        <f>_xlfn.XLOOKUP(A448,DFF!A:A,DFF!B:B,"",-1)</f>
        <v>1.42</v>
      </c>
      <c r="M448">
        <f>_xlfn.XLOOKUP(A448,'DGS2'!A:A,'DGS2'!B:B,"",-1)</f>
        <v>1.98</v>
      </c>
      <c r="N448">
        <f t="shared" si="51"/>
        <v>2.0000000000000018E-2</v>
      </c>
      <c r="O448">
        <f t="shared" si="52"/>
        <v>-1.1122055472160275E-3</v>
      </c>
      <c r="P448">
        <f t="shared" si="53"/>
        <v>0</v>
      </c>
      <c r="Q448">
        <f t="shared" si="54"/>
        <v>0</v>
      </c>
      <c r="R448" s="3">
        <v>57.3</v>
      </c>
    </row>
    <row r="449" spans="1:18">
      <c r="A449" s="1">
        <v>43110</v>
      </c>
      <c r="B449">
        <v>2748.23</v>
      </c>
      <c r="C449">
        <f t="shared" si="48"/>
        <v>-1.1122055472160275E-3</v>
      </c>
      <c r="D449">
        <f t="shared" si="55"/>
        <v>1.8518856059639432E-3</v>
      </c>
      <c r="E449">
        <f>_xlfn.XLOOKUP(A449,VIX!A:A,VIX!B:B,"",-1)</f>
        <v>9.82</v>
      </c>
      <c r="F449">
        <f t="shared" si="49"/>
        <v>-0.25999999999999979</v>
      </c>
      <c r="G449">
        <f>_xlfn.XLOOKUP(A449,'DGS10'!A:A,'DGS10'!B:B,"",-1)</f>
        <v>2.5499999999999998</v>
      </c>
      <c r="H449">
        <f t="shared" si="50"/>
        <v>0</v>
      </c>
      <c r="I449" s="2">
        <f>_xlfn.XLOOKUP(A449,T10Y3M!A:A,T10Y3M!B:B,"",-1)</f>
        <v>1.1299999999999999</v>
      </c>
      <c r="J449" s="2">
        <f>_xlfn.XLOOKUP(A449,BAMLC0A4CBBB!A:A,BAMLC0A4CBBB!B:B,"",-1)</f>
        <v>1.23</v>
      </c>
      <c r="K449" s="2">
        <f>_xlfn.XLOOKUP(A449,CPIAUCSL!A:A,CPIAUCSL!B:B,"",-1)</f>
        <v>248.85900000000001</v>
      </c>
      <c r="L449">
        <f>_xlfn.XLOOKUP(A449,DFF!A:A,DFF!B:B,"",-1)</f>
        <v>1.42</v>
      </c>
      <c r="M449">
        <f>_xlfn.XLOOKUP(A449,'DGS2'!A:A,'DGS2'!B:B,"",-1)</f>
        <v>1.98</v>
      </c>
      <c r="N449">
        <f t="shared" si="51"/>
        <v>0</v>
      </c>
      <c r="O449">
        <f t="shared" si="52"/>
        <v>7.0336180014045624E-3</v>
      </c>
      <c r="P449">
        <f t="shared" si="53"/>
        <v>1</v>
      </c>
      <c r="Q449">
        <f t="shared" si="54"/>
        <v>1</v>
      </c>
      <c r="R449" s="3">
        <v>57.16</v>
      </c>
    </row>
    <row r="450" spans="1:18">
      <c r="A450" s="1">
        <v>43111</v>
      </c>
      <c r="B450">
        <v>2767.56</v>
      </c>
      <c r="C450">
        <f t="shared" si="48"/>
        <v>7.0336180014045624E-3</v>
      </c>
      <c r="D450">
        <f t="shared" si="55"/>
        <v>7.2241976045506195E-3</v>
      </c>
      <c r="E450">
        <f>_xlfn.XLOOKUP(A450,VIX!A:A,VIX!B:B,"",-1)</f>
        <v>9.8800000000000008</v>
      </c>
      <c r="F450">
        <f t="shared" si="49"/>
        <v>6.0000000000000497E-2</v>
      </c>
      <c r="G450">
        <f>_xlfn.XLOOKUP(A450,'DGS10'!A:A,'DGS10'!B:B,"",-1)</f>
        <v>2.54</v>
      </c>
      <c r="H450">
        <f t="shared" si="50"/>
        <v>-9.9999999999997868E-3</v>
      </c>
      <c r="I450" s="2">
        <f>_xlfn.XLOOKUP(A450,T10Y3M!A:A,T10Y3M!B:B,"",-1)</f>
        <v>1.1100000000000001</v>
      </c>
      <c r="J450" s="2">
        <f>_xlfn.XLOOKUP(A450,BAMLC0A4CBBB!A:A,BAMLC0A4CBBB!B:B,"",-1)</f>
        <v>1.23</v>
      </c>
      <c r="K450" s="2">
        <f>_xlfn.XLOOKUP(A450,CPIAUCSL!A:A,CPIAUCSL!B:B,"",-1)</f>
        <v>248.85900000000001</v>
      </c>
      <c r="L450">
        <f>_xlfn.XLOOKUP(A450,DFF!A:A,DFF!B:B,"",-1)</f>
        <v>1.42</v>
      </c>
      <c r="M450">
        <f>_xlfn.XLOOKUP(A450,'DGS2'!A:A,'DGS2'!B:B,"",-1)</f>
        <v>1.98</v>
      </c>
      <c r="N450">
        <f t="shared" si="51"/>
        <v>0</v>
      </c>
      <c r="O450">
        <f t="shared" si="52"/>
        <v>6.749627831013516E-3</v>
      </c>
      <c r="P450">
        <f t="shared" si="53"/>
        <v>1</v>
      </c>
      <c r="Q450">
        <f t="shared" si="54"/>
        <v>1</v>
      </c>
      <c r="R450" s="3">
        <v>57.46</v>
      </c>
    </row>
    <row r="451" spans="1:18">
      <c r="A451" s="1">
        <v>43112</v>
      </c>
      <c r="B451">
        <v>2786.24</v>
      </c>
      <c r="C451">
        <f t="shared" si="48"/>
        <v>6.749627831013516E-3</v>
      </c>
      <c r="D451">
        <f t="shared" si="55"/>
        <v>1.2703131985359439E-2</v>
      </c>
      <c r="E451">
        <f>_xlfn.XLOOKUP(A451,VIX!A:A,VIX!B:B,"",-1)</f>
        <v>10.16</v>
      </c>
      <c r="F451">
        <f t="shared" si="49"/>
        <v>0.27999999999999936</v>
      </c>
      <c r="G451">
        <f>_xlfn.XLOOKUP(A451,'DGS10'!A:A,'DGS10'!B:B,"",-1)</f>
        <v>2.5499999999999998</v>
      </c>
      <c r="H451">
        <f t="shared" si="50"/>
        <v>9.9999999999997868E-3</v>
      </c>
      <c r="I451" s="2">
        <f>_xlfn.XLOOKUP(A451,T10Y3M!A:A,T10Y3M!B:B,"",-1)</f>
        <v>1.1200000000000001</v>
      </c>
      <c r="J451" s="2">
        <f>_xlfn.XLOOKUP(A451,BAMLC0A4CBBB!A:A,BAMLC0A4CBBB!B:B,"",-1)</f>
        <v>1.22</v>
      </c>
      <c r="K451" s="2">
        <f>_xlfn.XLOOKUP(A451,CPIAUCSL!A:A,CPIAUCSL!B:B,"",-1)</f>
        <v>248.85900000000001</v>
      </c>
      <c r="L451">
        <f>_xlfn.XLOOKUP(A451,DFF!A:A,DFF!B:B,"",-1)</f>
        <v>1.42</v>
      </c>
      <c r="M451">
        <f>_xlfn.XLOOKUP(A451,'DGS2'!A:A,'DGS2'!B:B,"",-1)</f>
        <v>1.99</v>
      </c>
      <c r="N451">
        <f t="shared" si="51"/>
        <v>1.0000000000000009E-2</v>
      </c>
      <c r="O451">
        <f t="shared" si="52"/>
        <v>-3.5244630756861017E-3</v>
      </c>
      <c r="P451">
        <f t="shared" si="53"/>
        <v>0</v>
      </c>
      <c r="Q451">
        <f t="shared" si="54"/>
        <v>-1</v>
      </c>
      <c r="R451" s="3">
        <v>58.09</v>
      </c>
    </row>
    <row r="452" spans="1:18">
      <c r="A452" s="1">
        <v>43116</v>
      </c>
      <c r="B452">
        <v>2776.42</v>
      </c>
      <c r="C452">
        <f t="shared" ref="C452:C515" si="56">IF(OR(B452="",B451=""),"",(B452/B451)-1)</f>
        <v>-3.5244630756861017E-3</v>
      </c>
      <c r="D452">
        <f t="shared" si="55"/>
        <v>1.0257511198116687E-2</v>
      </c>
      <c r="E452">
        <f>_xlfn.XLOOKUP(A452,VIX!A:A,VIX!B:B,"",-1)</f>
        <v>11.66</v>
      </c>
      <c r="F452">
        <f t="shared" ref="F452:F515" si="57">IF(OR(E452="",E451=""),"",E452-E451)</f>
        <v>1.5</v>
      </c>
      <c r="G452">
        <f>_xlfn.XLOOKUP(A452,'DGS10'!A:A,'DGS10'!B:B,"",-1)</f>
        <v>2.54</v>
      </c>
      <c r="H452">
        <f t="shared" ref="H452:H515" si="58">IF(OR(G452="",G451=""),"",G452-G451)</f>
        <v>-9.9999999999997868E-3</v>
      </c>
      <c r="I452" s="2">
        <f>_xlfn.XLOOKUP(A452,T10Y3M!A:A,T10Y3M!B:B,"",-1)</f>
        <v>1.0900000000000001</v>
      </c>
      <c r="J452" s="2">
        <f>_xlfn.XLOOKUP(A452,BAMLC0A4CBBB!A:A,BAMLC0A4CBBB!B:B,"",-1)</f>
        <v>1.21</v>
      </c>
      <c r="K452" s="2">
        <f>_xlfn.XLOOKUP(A452,CPIAUCSL!A:A,CPIAUCSL!B:B,"",-1)</f>
        <v>248.85900000000001</v>
      </c>
      <c r="L452">
        <f>_xlfn.XLOOKUP(A452,DFF!A:A,DFF!B:B,"",-1)</f>
        <v>1.42</v>
      </c>
      <c r="M452">
        <f>_xlfn.XLOOKUP(A452,'DGS2'!A:A,'DGS2'!B:B,"",-1)</f>
        <v>2.0299999999999998</v>
      </c>
      <c r="N452">
        <f t="shared" ref="N452:N515" si="59">IF(OR(M452="",M451=""),"",M452-M451)</f>
        <v>3.9999999999999813E-2</v>
      </c>
      <c r="O452">
        <f t="shared" ref="O452:O515" si="60">IF(OR(B453="",B452=""),"",(B453/B452)-1)</f>
        <v>9.4150020530034961E-3</v>
      </c>
      <c r="P452">
        <f t="shared" ref="P452:P515" si="61">IF(O452="","",IF(O452&gt;0,1,0))</f>
        <v>1</v>
      </c>
      <c r="Q452">
        <f t="shared" ref="Q452:Q515" si="62">IF(O452="","",IF(O452&gt;0.003,1,IF(O452&lt;-0.003,-1,0)))</f>
        <v>1</v>
      </c>
      <c r="R452" s="3">
        <v>58.36</v>
      </c>
    </row>
    <row r="453" spans="1:18">
      <c r="A453" s="1">
        <v>43117</v>
      </c>
      <c r="B453">
        <v>2802.56</v>
      </c>
      <c r="C453">
        <f t="shared" si="56"/>
        <v>9.4150020530034961E-3</v>
      </c>
      <c r="D453">
        <f t="shared" si="55"/>
        <v>1.2646518955325314E-2</v>
      </c>
      <c r="E453">
        <f>_xlfn.XLOOKUP(A453,VIX!A:A,VIX!B:B,"",-1)</f>
        <v>11.91</v>
      </c>
      <c r="F453">
        <f t="shared" si="57"/>
        <v>0.25</v>
      </c>
      <c r="G453">
        <f>_xlfn.XLOOKUP(A453,'DGS10'!A:A,'DGS10'!B:B,"",-1)</f>
        <v>2.57</v>
      </c>
      <c r="H453">
        <f t="shared" si="58"/>
        <v>2.9999999999999805E-2</v>
      </c>
      <c r="I453" s="2">
        <f>_xlfn.XLOOKUP(A453,T10Y3M!A:A,T10Y3M!B:B,"",-1)</f>
        <v>1.1299999999999999</v>
      </c>
      <c r="J453" s="2">
        <f>_xlfn.XLOOKUP(A453,BAMLC0A4CBBB!A:A,BAMLC0A4CBBB!B:B,"",-1)</f>
        <v>1.21</v>
      </c>
      <c r="K453" s="2">
        <f>_xlfn.XLOOKUP(A453,CPIAUCSL!A:A,CPIAUCSL!B:B,"",-1)</f>
        <v>248.85900000000001</v>
      </c>
      <c r="L453">
        <f>_xlfn.XLOOKUP(A453,DFF!A:A,DFF!B:B,"",-1)</f>
        <v>1.42</v>
      </c>
      <c r="M453">
        <f>_xlfn.XLOOKUP(A453,'DGS2'!A:A,'DGS2'!B:B,"",-1)</f>
        <v>2.0499999999999998</v>
      </c>
      <c r="N453">
        <f t="shared" si="59"/>
        <v>2.0000000000000018E-2</v>
      </c>
      <c r="O453">
        <f t="shared" si="60"/>
        <v>-1.616379310344751E-3</v>
      </c>
      <c r="P453">
        <f t="shared" si="61"/>
        <v>0</v>
      </c>
      <c r="Q453">
        <f t="shared" si="62"/>
        <v>0</v>
      </c>
      <c r="R453" s="3">
        <v>58.47</v>
      </c>
    </row>
    <row r="454" spans="1:18">
      <c r="A454" s="1">
        <v>43118</v>
      </c>
      <c r="B454">
        <v>2798.03</v>
      </c>
      <c r="C454">
        <f t="shared" si="56"/>
        <v>-1.616379310344751E-3</v>
      </c>
      <c r="D454">
        <f t="shared" ref="D454:D517" si="63">IF(OR(B454="",B451=""),"",(B454/B451)-1)</f>
        <v>4.2315091305846764E-3</v>
      </c>
      <c r="E454">
        <f>_xlfn.XLOOKUP(A454,VIX!A:A,VIX!B:B,"",-1)</f>
        <v>12.22</v>
      </c>
      <c r="F454">
        <f t="shared" si="57"/>
        <v>0.3100000000000005</v>
      </c>
      <c r="G454">
        <f>_xlfn.XLOOKUP(A454,'DGS10'!A:A,'DGS10'!B:B,"",-1)</f>
        <v>2.62</v>
      </c>
      <c r="H454">
        <f t="shared" si="58"/>
        <v>5.0000000000000266E-2</v>
      </c>
      <c r="I454" s="2">
        <f>_xlfn.XLOOKUP(A454,T10Y3M!A:A,T10Y3M!B:B,"",-1)</f>
        <v>1.17</v>
      </c>
      <c r="J454" s="2">
        <f>_xlfn.XLOOKUP(A454,BAMLC0A4CBBB!A:A,BAMLC0A4CBBB!B:B,"",-1)</f>
        <v>1.21</v>
      </c>
      <c r="K454" s="2">
        <f>_xlfn.XLOOKUP(A454,CPIAUCSL!A:A,CPIAUCSL!B:B,"",-1)</f>
        <v>248.85900000000001</v>
      </c>
      <c r="L454">
        <f>_xlfn.XLOOKUP(A454,DFF!A:A,DFF!B:B,"",-1)</f>
        <v>1.42</v>
      </c>
      <c r="M454">
        <f>_xlfn.XLOOKUP(A454,'DGS2'!A:A,'DGS2'!B:B,"",-1)</f>
        <v>2.0499999999999998</v>
      </c>
      <c r="N454">
        <f t="shared" si="59"/>
        <v>0</v>
      </c>
      <c r="O454">
        <f t="shared" si="60"/>
        <v>4.3852281783969271E-3</v>
      </c>
      <c r="P454">
        <f t="shared" si="61"/>
        <v>1</v>
      </c>
      <c r="Q454">
        <f t="shared" si="62"/>
        <v>1</v>
      </c>
      <c r="R454" s="3"/>
    </row>
    <row r="455" spans="1:18">
      <c r="A455" s="1">
        <v>43119</v>
      </c>
      <c r="B455">
        <v>2810.3</v>
      </c>
      <c r="C455">
        <f t="shared" si="56"/>
        <v>4.3852281783969271E-3</v>
      </c>
      <c r="D455">
        <f t="shared" si="63"/>
        <v>1.2202764711390923E-2</v>
      </c>
      <c r="E455">
        <f>_xlfn.XLOOKUP(A455,VIX!A:A,VIX!B:B,"",-1)</f>
        <v>11.27</v>
      </c>
      <c r="F455">
        <f t="shared" si="57"/>
        <v>-0.95000000000000107</v>
      </c>
      <c r="G455">
        <f>_xlfn.XLOOKUP(A455,'DGS10'!A:A,'DGS10'!B:B,"",-1)</f>
        <v>2.64</v>
      </c>
      <c r="H455">
        <f t="shared" si="58"/>
        <v>2.0000000000000018E-2</v>
      </c>
      <c r="I455" s="2">
        <f>_xlfn.XLOOKUP(A455,T10Y3M!A:A,T10Y3M!B:B,"",-1)</f>
        <v>1.2</v>
      </c>
      <c r="J455" s="2">
        <f>_xlfn.XLOOKUP(A455,BAMLC0A4CBBB!A:A,BAMLC0A4CBBB!B:B,"",-1)</f>
        <v>1.21</v>
      </c>
      <c r="K455" s="2">
        <f>_xlfn.XLOOKUP(A455,CPIAUCSL!A:A,CPIAUCSL!B:B,"",-1)</f>
        <v>248.85900000000001</v>
      </c>
      <c r="L455">
        <f>_xlfn.XLOOKUP(A455,DFF!A:A,DFF!B:B,"",-1)</f>
        <v>1.42</v>
      </c>
      <c r="M455">
        <f>_xlfn.XLOOKUP(A455,'DGS2'!A:A,'DGS2'!B:B,"",-1)</f>
        <v>2.06</v>
      </c>
      <c r="N455">
        <f t="shared" si="59"/>
        <v>1.0000000000000231E-2</v>
      </c>
      <c r="O455">
        <f t="shared" si="60"/>
        <v>8.0667544390278234E-3</v>
      </c>
      <c r="P455">
        <f t="shared" si="61"/>
        <v>1</v>
      </c>
      <c r="Q455">
        <f t="shared" si="62"/>
        <v>1</v>
      </c>
      <c r="R455" s="3">
        <v>59.97</v>
      </c>
    </row>
    <row r="456" spans="1:18">
      <c r="A456" s="1">
        <v>43122</v>
      </c>
      <c r="B456">
        <v>2832.97</v>
      </c>
      <c r="C456">
        <f t="shared" si="56"/>
        <v>8.0667544390278234E-3</v>
      </c>
      <c r="D456">
        <f t="shared" si="63"/>
        <v>1.0850793560173599E-2</v>
      </c>
      <c r="E456">
        <f>_xlfn.XLOOKUP(A456,VIX!A:A,VIX!B:B,"",-1)</f>
        <v>11.03</v>
      </c>
      <c r="F456">
        <f t="shared" si="57"/>
        <v>-0.24000000000000021</v>
      </c>
      <c r="G456">
        <f>_xlfn.XLOOKUP(A456,'DGS10'!A:A,'DGS10'!B:B,"",-1)</f>
        <v>2.66</v>
      </c>
      <c r="H456">
        <f t="shared" si="58"/>
        <v>2.0000000000000018E-2</v>
      </c>
      <c r="I456" s="2">
        <f>_xlfn.XLOOKUP(A456,T10Y3M!A:A,T10Y3M!B:B,"",-1)</f>
        <v>1.22</v>
      </c>
      <c r="J456" s="2">
        <f>_xlfn.XLOOKUP(A456,BAMLC0A4CBBB!A:A,BAMLC0A4CBBB!B:B,"",-1)</f>
        <v>1.21</v>
      </c>
      <c r="K456" s="2">
        <f>_xlfn.XLOOKUP(A456,CPIAUCSL!A:A,CPIAUCSL!B:B,"",-1)</f>
        <v>248.85900000000001</v>
      </c>
      <c r="L456">
        <f>_xlfn.XLOOKUP(A456,DFF!A:A,DFF!B:B,"",-1)</f>
        <v>1.42</v>
      </c>
      <c r="M456">
        <f>_xlfn.XLOOKUP(A456,'DGS2'!A:A,'DGS2'!B:B,"",-1)</f>
        <v>2.08</v>
      </c>
      <c r="N456">
        <f t="shared" si="59"/>
        <v>2.0000000000000018E-2</v>
      </c>
      <c r="O456">
        <f t="shared" si="60"/>
        <v>2.1743964814313621E-3</v>
      </c>
      <c r="P456">
        <f t="shared" si="61"/>
        <v>1</v>
      </c>
      <c r="Q456">
        <f t="shared" si="62"/>
        <v>0</v>
      </c>
      <c r="R456" s="3">
        <v>59.64</v>
      </c>
    </row>
    <row r="457" spans="1:18">
      <c r="A457" s="1">
        <v>43123</v>
      </c>
      <c r="B457">
        <v>2839.13</v>
      </c>
      <c r="C457">
        <f t="shared" si="56"/>
        <v>2.1743964814313621E-3</v>
      </c>
      <c r="D457">
        <f t="shared" si="63"/>
        <v>1.46889061232367E-2</v>
      </c>
      <c r="E457">
        <f>_xlfn.XLOOKUP(A457,VIX!A:A,VIX!B:B,"",-1)</f>
        <v>11.1</v>
      </c>
      <c r="F457">
        <f t="shared" si="57"/>
        <v>7.0000000000000284E-2</v>
      </c>
      <c r="G457">
        <f>_xlfn.XLOOKUP(A457,'DGS10'!A:A,'DGS10'!B:B,"",-1)</f>
        <v>2.63</v>
      </c>
      <c r="H457">
        <f t="shared" si="58"/>
        <v>-3.0000000000000249E-2</v>
      </c>
      <c r="I457" s="2">
        <f>_xlfn.XLOOKUP(A457,T10Y3M!A:A,T10Y3M!B:B,"",-1)</f>
        <v>1.19</v>
      </c>
      <c r="J457" s="2">
        <f>_xlfn.XLOOKUP(A457,BAMLC0A4CBBB!A:A,BAMLC0A4CBBB!B:B,"",-1)</f>
        <v>1.21</v>
      </c>
      <c r="K457" s="2">
        <f>_xlfn.XLOOKUP(A457,CPIAUCSL!A:A,CPIAUCSL!B:B,"",-1)</f>
        <v>248.85900000000001</v>
      </c>
      <c r="L457">
        <f>_xlfn.XLOOKUP(A457,DFF!A:A,DFF!B:B,"",-1)</f>
        <v>1.42</v>
      </c>
      <c r="M457">
        <f>_xlfn.XLOOKUP(A457,'DGS2'!A:A,'DGS2'!B:B,"",-1)</f>
        <v>2.06</v>
      </c>
      <c r="N457">
        <f t="shared" si="59"/>
        <v>-2.0000000000000018E-2</v>
      </c>
      <c r="O457">
        <f t="shared" si="60"/>
        <v>-5.6003071363419643E-4</v>
      </c>
      <c r="P457">
        <f t="shared" si="61"/>
        <v>0</v>
      </c>
      <c r="Q457">
        <f t="shared" si="62"/>
        <v>0</v>
      </c>
      <c r="R457" s="3">
        <v>59.84</v>
      </c>
    </row>
    <row r="458" spans="1:18">
      <c r="A458" s="1">
        <v>43124</v>
      </c>
      <c r="B458">
        <v>2837.54</v>
      </c>
      <c r="C458">
        <f t="shared" si="56"/>
        <v>-5.6003071363419643E-4</v>
      </c>
      <c r="D458">
        <f t="shared" si="63"/>
        <v>9.6929153471159157E-3</v>
      </c>
      <c r="E458">
        <f>_xlfn.XLOOKUP(A458,VIX!A:A,VIX!B:B,"",-1)</f>
        <v>11.47</v>
      </c>
      <c r="F458">
        <f t="shared" si="57"/>
        <v>0.37000000000000099</v>
      </c>
      <c r="G458">
        <f>_xlfn.XLOOKUP(A458,'DGS10'!A:A,'DGS10'!B:B,"",-1)</f>
        <v>2.65</v>
      </c>
      <c r="H458">
        <f t="shared" si="58"/>
        <v>2.0000000000000018E-2</v>
      </c>
      <c r="I458" s="2">
        <f>_xlfn.XLOOKUP(A458,T10Y3M!A:A,T10Y3M!B:B,"",-1)</f>
        <v>1.22</v>
      </c>
      <c r="J458" s="2">
        <f>_xlfn.XLOOKUP(A458,BAMLC0A4CBBB!A:A,BAMLC0A4CBBB!B:B,"",-1)</f>
        <v>1.2</v>
      </c>
      <c r="K458" s="2">
        <f>_xlfn.XLOOKUP(A458,CPIAUCSL!A:A,CPIAUCSL!B:B,"",-1)</f>
        <v>248.85900000000001</v>
      </c>
      <c r="L458">
        <f>_xlfn.XLOOKUP(A458,DFF!A:A,DFF!B:B,"",-1)</f>
        <v>1.42</v>
      </c>
      <c r="M458">
        <f>_xlfn.XLOOKUP(A458,'DGS2'!A:A,'DGS2'!B:B,"",-1)</f>
        <v>2.08</v>
      </c>
      <c r="N458">
        <f t="shared" si="59"/>
        <v>2.0000000000000018E-2</v>
      </c>
      <c r="O458">
        <f t="shared" si="60"/>
        <v>6.0263467651555658E-4</v>
      </c>
      <c r="P458">
        <f t="shared" si="61"/>
        <v>1</v>
      </c>
      <c r="Q458">
        <f t="shared" si="62"/>
        <v>0</v>
      </c>
      <c r="R458" s="3">
        <v>60.42</v>
      </c>
    </row>
    <row r="459" spans="1:18">
      <c r="A459" s="1">
        <v>43125</v>
      </c>
      <c r="B459">
        <v>2839.25</v>
      </c>
      <c r="C459">
        <f t="shared" si="56"/>
        <v>6.0263467651555658E-4</v>
      </c>
      <c r="D459">
        <f t="shared" si="63"/>
        <v>2.2167548544460569E-3</v>
      </c>
      <c r="E459">
        <f>_xlfn.XLOOKUP(A459,VIX!A:A,VIX!B:B,"",-1)</f>
        <v>11.58</v>
      </c>
      <c r="F459">
        <f t="shared" si="57"/>
        <v>0.10999999999999943</v>
      </c>
      <c r="G459">
        <f>_xlfn.XLOOKUP(A459,'DGS10'!A:A,'DGS10'!B:B,"",-1)</f>
        <v>2.63</v>
      </c>
      <c r="H459">
        <f t="shared" si="58"/>
        <v>-2.0000000000000018E-2</v>
      </c>
      <c r="I459" s="2">
        <f>_xlfn.XLOOKUP(A459,T10Y3M!A:A,T10Y3M!B:B,"",-1)</f>
        <v>1.21</v>
      </c>
      <c r="J459" s="2">
        <f>_xlfn.XLOOKUP(A459,BAMLC0A4CBBB!A:A,BAMLC0A4CBBB!B:B,"",-1)</f>
        <v>1.2</v>
      </c>
      <c r="K459" s="2">
        <f>_xlfn.XLOOKUP(A459,CPIAUCSL!A:A,CPIAUCSL!B:B,"",-1)</f>
        <v>248.85900000000001</v>
      </c>
      <c r="L459">
        <f>_xlfn.XLOOKUP(A459,DFF!A:A,DFF!B:B,"",-1)</f>
        <v>1.42</v>
      </c>
      <c r="M459">
        <f>_xlfn.XLOOKUP(A459,'DGS2'!A:A,'DGS2'!B:B,"",-1)</f>
        <v>2.08</v>
      </c>
      <c r="N459">
        <f t="shared" si="59"/>
        <v>0</v>
      </c>
      <c r="O459">
        <f t="shared" si="60"/>
        <v>1.1841155234656897E-2</v>
      </c>
      <c r="P459">
        <f t="shared" si="61"/>
        <v>1</v>
      </c>
      <c r="Q459">
        <f t="shared" si="62"/>
        <v>1</v>
      </c>
      <c r="R459" s="3"/>
    </row>
    <row r="460" spans="1:18">
      <c r="A460" s="1">
        <v>43126</v>
      </c>
      <c r="B460">
        <v>2872.87</v>
      </c>
      <c r="C460">
        <f t="shared" si="56"/>
        <v>1.1841155234656897E-2</v>
      </c>
      <c r="D460">
        <f t="shared" si="63"/>
        <v>1.1883922187430507E-2</v>
      </c>
      <c r="E460">
        <f>_xlfn.XLOOKUP(A460,VIX!A:A,VIX!B:B,"",-1)</f>
        <v>11.08</v>
      </c>
      <c r="F460">
        <f t="shared" si="57"/>
        <v>-0.5</v>
      </c>
      <c r="G460">
        <f>_xlfn.XLOOKUP(A460,'DGS10'!A:A,'DGS10'!B:B,"",-1)</f>
        <v>2.66</v>
      </c>
      <c r="H460">
        <f t="shared" si="58"/>
        <v>3.0000000000000249E-2</v>
      </c>
      <c r="I460" s="2">
        <f>_xlfn.XLOOKUP(A460,T10Y3M!A:A,T10Y3M!B:B,"",-1)</f>
        <v>1.25</v>
      </c>
      <c r="J460" s="2">
        <f>_xlfn.XLOOKUP(A460,BAMLC0A4CBBB!A:A,BAMLC0A4CBBB!B:B,"",-1)</f>
        <v>1.18</v>
      </c>
      <c r="K460" s="2">
        <f>_xlfn.XLOOKUP(A460,CPIAUCSL!A:A,CPIAUCSL!B:B,"",-1)</f>
        <v>248.85900000000001</v>
      </c>
      <c r="L460">
        <f>_xlfn.XLOOKUP(A460,DFF!A:A,DFF!B:B,"",-1)</f>
        <v>1.42</v>
      </c>
      <c r="M460">
        <f>_xlfn.XLOOKUP(A460,'DGS2'!A:A,'DGS2'!B:B,"",-1)</f>
        <v>2.13</v>
      </c>
      <c r="N460">
        <f t="shared" si="59"/>
        <v>4.9999999999999822E-2</v>
      </c>
      <c r="O460">
        <f t="shared" si="60"/>
        <v>-6.731944014173874E-3</v>
      </c>
      <c r="P460">
        <f t="shared" si="61"/>
        <v>0</v>
      </c>
      <c r="Q460">
        <f t="shared" si="62"/>
        <v>-1</v>
      </c>
      <c r="R460" s="3">
        <v>60.37</v>
      </c>
    </row>
    <row r="461" spans="1:18">
      <c r="A461" s="1">
        <v>43129</v>
      </c>
      <c r="B461">
        <v>2853.53</v>
      </c>
      <c r="C461">
        <f t="shared" si="56"/>
        <v>-6.731944014173874E-3</v>
      </c>
      <c r="D461">
        <f t="shared" si="63"/>
        <v>5.6351628523299002E-3</v>
      </c>
      <c r="E461">
        <f>_xlfn.XLOOKUP(A461,VIX!A:A,VIX!B:B,"",-1)</f>
        <v>13.84</v>
      </c>
      <c r="F461">
        <f t="shared" si="57"/>
        <v>2.76</v>
      </c>
      <c r="G461">
        <f>_xlfn.XLOOKUP(A461,'DGS10'!A:A,'DGS10'!B:B,"",-1)</f>
        <v>2.7</v>
      </c>
      <c r="H461">
        <f t="shared" si="58"/>
        <v>4.0000000000000036E-2</v>
      </c>
      <c r="I461" s="2">
        <f>_xlfn.XLOOKUP(A461,T10Y3M!A:A,T10Y3M!B:B,"",-1)</f>
        <v>1.26</v>
      </c>
      <c r="J461" s="2">
        <f>_xlfn.XLOOKUP(A461,BAMLC0A4CBBB!A:A,BAMLC0A4CBBB!B:B,"",-1)</f>
        <v>1.17</v>
      </c>
      <c r="K461" s="2">
        <f>_xlfn.XLOOKUP(A461,CPIAUCSL!A:A,CPIAUCSL!B:B,"",-1)</f>
        <v>248.85900000000001</v>
      </c>
      <c r="L461">
        <f>_xlfn.XLOOKUP(A461,DFF!A:A,DFF!B:B,"",-1)</f>
        <v>1.42</v>
      </c>
      <c r="M461">
        <f>_xlfn.XLOOKUP(A461,'DGS2'!A:A,'DGS2'!B:B,"",-1)</f>
        <v>2.11</v>
      </c>
      <c r="N461">
        <f t="shared" si="59"/>
        <v>-2.0000000000000018E-2</v>
      </c>
      <c r="O461">
        <f t="shared" si="60"/>
        <v>-1.0898781509218525E-2</v>
      </c>
      <c r="P461">
        <f t="shared" si="61"/>
        <v>0</v>
      </c>
      <c r="Q461">
        <f t="shared" si="62"/>
        <v>-1</v>
      </c>
      <c r="R461" s="3">
        <v>61.63</v>
      </c>
    </row>
    <row r="462" spans="1:18">
      <c r="A462" s="1">
        <v>43130</v>
      </c>
      <c r="B462">
        <v>2822.43</v>
      </c>
      <c r="C462">
        <f t="shared" si="56"/>
        <v>-1.0898781509218525E-2</v>
      </c>
      <c r="D462">
        <f t="shared" si="63"/>
        <v>-5.9240996742098151E-3</v>
      </c>
      <c r="E462">
        <f>_xlfn.XLOOKUP(A462,VIX!A:A,VIX!B:B,"",-1)</f>
        <v>14.79</v>
      </c>
      <c r="F462">
        <f t="shared" si="57"/>
        <v>0.94999999999999929</v>
      </c>
      <c r="G462">
        <f>_xlfn.XLOOKUP(A462,'DGS10'!A:A,'DGS10'!B:B,"",-1)</f>
        <v>2.73</v>
      </c>
      <c r="H462">
        <f t="shared" si="58"/>
        <v>2.9999999999999805E-2</v>
      </c>
      <c r="I462" s="2">
        <f>_xlfn.XLOOKUP(A462,T10Y3M!A:A,T10Y3M!B:B,"",-1)</f>
        <v>1.29</v>
      </c>
      <c r="J462" s="2">
        <f>_xlfn.XLOOKUP(A462,BAMLC0A4CBBB!A:A,BAMLC0A4CBBB!B:B,"",-1)</f>
        <v>1.17</v>
      </c>
      <c r="K462" s="2">
        <f>_xlfn.XLOOKUP(A462,CPIAUCSL!A:A,CPIAUCSL!B:B,"",-1)</f>
        <v>248.85900000000001</v>
      </c>
      <c r="L462">
        <f>_xlfn.XLOOKUP(A462,DFF!A:A,DFF!B:B,"",-1)</f>
        <v>1.42</v>
      </c>
      <c r="M462">
        <f>_xlfn.XLOOKUP(A462,'DGS2'!A:A,'DGS2'!B:B,"",-1)</f>
        <v>2.13</v>
      </c>
      <c r="N462">
        <f t="shared" si="59"/>
        <v>2.0000000000000018E-2</v>
      </c>
      <c r="O462">
        <f t="shared" si="60"/>
        <v>4.8894038116098493E-4</v>
      </c>
      <c r="P462">
        <f t="shared" si="61"/>
        <v>1</v>
      </c>
      <c r="Q462">
        <f t="shared" si="62"/>
        <v>0</v>
      </c>
      <c r="R462" s="3">
        <v>62.01</v>
      </c>
    </row>
    <row r="463" spans="1:18">
      <c r="A463" s="1">
        <v>43131</v>
      </c>
      <c r="B463">
        <v>2823.81</v>
      </c>
      <c r="C463">
        <f t="shared" si="56"/>
        <v>4.8894038116098493E-4</v>
      </c>
      <c r="D463">
        <f t="shared" si="63"/>
        <v>-1.7076999655396885E-2</v>
      </c>
      <c r="E463">
        <f>_xlfn.XLOOKUP(A463,VIX!A:A,VIX!B:B,"",-1)</f>
        <v>13.54</v>
      </c>
      <c r="F463">
        <f t="shared" si="57"/>
        <v>-1.25</v>
      </c>
      <c r="G463">
        <f>_xlfn.XLOOKUP(A463,'DGS10'!A:A,'DGS10'!B:B,"",-1)</f>
        <v>2.72</v>
      </c>
      <c r="H463">
        <f t="shared" si="58"/>
        <v>-9.9999999999997868E-3</v>
      </c>
      <c r="I463" s="2">
        <f>_xlfn.XLOOKUP(A463,T10Y3M!A:A,T10Y3M!B:B,"",-1)</f>
        <v>1.26</v>
      </c>
      <c r="J463" s="2">
        <f>_xlfn.XLOOKUP(A463,BAMLC0A4CBBB!A:A,BAMLC0A4CBBB!B:B,"",-1)</f>
        <v>1.17</v>
      </c>
      <c r="K463" s="2">
        <f>_xlfn.XLOOKUP(A463,CPIAUCSL!A:A,CPIAUCSL!B:B,"",-1)</f>
        <v>248.85900000000001</v>
      </c>
      <c r="L463">
        <f>_xlfn.XLOOKUP(A463,DFF!A:A,DFF!B:B,"",-1)</f>
        <v>1.34</v>
      </c>
      <c r="M463">
        <f>_xlfn.XLOOKUP(A463,'DGS2'!A:A,'DGS2'!B:B,"",-1)</f>
        <v>2.14</v>
      </c>
      <c r="N463">
        <f t="shared" si="59"/>
        <v>1.0000000000000231E-2</v>
      </c>
      <c r="O463">
        <f t="shared" si="60"/>
        <v>-6.4806059897792867E-4</v>
      </c>
      <c r="P463">
        <f t="shared" si="61"/>
        <v>0</v>
      </c>
      <c r="Q463">
        <f t="shared" si="62"/>
        <v>0</v>
      </c>
      <c r="R463" s="3">
        <v>61.44</v>
      </c>
    </row>
    <row r="464" spans="1:18">
      <c r="A464" s="1">
        <v>43132</v>
      </c>
      <c r="B464">
        <v>2821.98</v>
      </c>
      <c r="C464">
        <f t="shared" si="56"/>
        <v>-6.4806059897792867E-4</v>
      </c>
      <c r="D464">
        <f t="shared" si="63"/>
        <v>-1.1056480920123568E-2</v>
      </c>
      <c r="E464">
        <f>_xlfn.XLOOKUP(A464,VIX!A:A,VIX!B:B,"",-1)</f>
        <v>13.47</v>
      </c>
      <c r="F464">
        <f t="shared" si="57"/>
        <v>-6.9999999999998508E-2</v>
      </c>
      <c r="G464">
        <f>_xlfn.XLOOKUP(A464,'DGS10'!A:A,'DGS10'!B:B,"",-1)</f>
        <v>2.78</v>
      </c>
      <c r="H464">
        <f t="shared" si="58"/>
        <v>5.9999999999999609E-2</v>
      </c>
      <c r="I464" s="2">
        <f>_xlfn.XLOOKUP(A464,T10Y3M!A:A,T10Y3M!B:B,"",-1)</f>
        <v>1.3</v>
      </c>
      <c r="J464" s="2">
        <f>_xlfn.XLOOKUP(A464,BAMLC0A4CBBB!A:A,BAMLC0A4CBBB!B:B,"",-1)</f>
        <v>1.1599999999999999</v>
      </c>
      <c r="K464" s="2">
        <f>_xlfn.XLOOKUP(A464,CPIAUCSL!A:A,CPIAUCSL!B:B,"",-1)</f>
        <v>249.529</v>
      </c>
      <c r="L464">
        <f>_xlfn.XLOOKUP(A464,DFF!A:A,DFF!B:B,"",-1)</f>
        <v>1.42</v>
      </c>
      <c r="M464">
        <f>_xlfn.XLOOKUP(A464,'DGS2'!A:A,'DGS2'!B:B,"",-1)</f>
        <v>2.16</v>
      </c>
      <c r="N464">
        <f t="shared" si="59"/>
        <v>2.0000000000000018E-2</v>
      </c>
      <c r="O464">
        <f t="shared" si="60"/>
        <v>-2.1208513171602883E-2</v>
      </c>
      <c r="P464">
        <f t="shared" si="61"/>
        <v>0</v>
      </c>
      <c r="Q464">
        <f t="shared" si="62"/>
        <v>-1</v>
      </c>
      <c r="R464" s="3">
        <v>61.73</v>
      </c>
    </row>
    <row r="465" spans="1:18">
      <c r="A465" s="1">
        <v>43133</v>
      </c>
      <c r="B465">
        <v>2762.13</v>
      </c>
      <c r="C465">
        <f t="shared" si="56"/>
        <v>-2.1208513171602883E-2</v>
      </c>
      <c r="D465">
        <f t="shared" si="63"/>
        <v>-2.136456882898774E-2</v>
      </c>
      <c r="E465">
        <f>_xlfn.XLOOKUP(A465,VIX!A:A,VIX!B:B,"",-1)</f>
        <v>17.309999999999999</v>
      </c>
      <c r="F465">
        <f t="shared" si="57"/>
        <v>3.8399999999999981</v>
      </c>
      <c r="G465">
        <f>_xlfn.XLOOKUP(A465,'DGS10'!A:A,'DGS10'!B:B,"",-1)</f>
        <v>2.84</v>
      </c>
      <c r="H465">
        <f t="shared" si="58"/>
        <v>6.0000000000000053E-2</v>
      </c>
      <c r="I465" s="2">
        <f>_xlfn.XLOOKUP(A465,T10Y3M!A:A,T10Y3M!B:B,"",-1)</f>
        <v>1.36</v>
      </c>
      <c r="J465" s="2">
        <f>_xlfn.XLOOKUP(A465,BAMLC0A4CBBB!A:A,BAMLC0A4CBBB!B:B,"",-1)</f>
        <v>1.1499999999999999</v>
      </c>
      <c r="K465" s="2">
        <f>_xlfn.XLOOKUP(A465,CPIAUCSL!A:A,CPIAUCSL!B:B,"",-1)</f>
        <v>249.529</v>
      </c>
      <c r="L465">
        <f>_xlfn.XLOOKUP(A465,DFF!A:A,DFF!B:B,"",-1)</f>
        <v>1.42</v>
      </c>
      <c r="M465">
        <f>_xlfn.XLOOKUP(A465,'DGS2'!A:A,'DGS2'!B:B,"",-1)</f>
        <v>2.15</v>
      </c>
      <c r="N465">
        <f t="shared" si="59"/>
        <v>-1.0000000000000231E-2</v>
      </c>
      <c r="O465">
        <f t="shared" si="60"/>
        <v>-4.0979244278871785E-2</v>
      </c>
      <c r="P465">
        <f t="shared" si="61"/>
        <v>0</v>
      </c>
      <c r="Q465">
        <f t="shared" si="62"/>
        <v>-1</v>
      </c>
      <c r="R465" s="3">
        <v>62.96</v>
      </c>
    </row>
    <row r="466" spans="1:18">
      <c r="A466" s="1">
        <v>43136</v>
      </c>
      <c r="B466">
        <v>2648.94</v>
      </c>
      <c r="C466">
        <f t="shared" si="56"/>
        <v>-4.0979244278871785E-2</v>
      </c>
      <c r="D466">
        <f t="shared" si="63"/>
        <v>-6.1926971007256082E-2</v>
      </c>
      <c r="E466">
        <f>_xlfn.XLOOKUP(A466,VIX!A:A,VIX!B:B,"",-1)</f>
        <v>37.32</v>
      </c>
      <c r="F466">
        <f t="shared" si="57"/>
        <v>20.010000000000002</v>
      </c>
      <c r="G466">
        <f>_xlfn.XLOOKUP(A466,'DGS10'!A:A,'DGS10'!B:B,"",-1)</f>
        <v>2.77</v>
      </c>
      <c r="H466">
        <f t="shared" si="58"/>
        <v>-6.999999999999984E-2</v>
      </c>
      <c r="I466" s="2">
        <f>_xlfn.XLOOKUP(A466,T10Y3M!A:A,T10Y3M!B:B,"",-1)</f>
        <v>1.26</v>
      </c>
      <c r="J466" s="2">
        <f>_xlfn.XLOOKUP(A466,BAMLC0A4CBBB!A:A,BAMLC0A4CBBB!B:B,"",-1)</f>
        <v>1.17</v>
      </c>
      <c r="K466" s="2">
        <f>_xlfn.XLOOKUP(A466,CPIAUCSL!A:A,CPIAUCSL!B:B,"",-1)</f>
        <v>249.529</v>
      </c>
      <c r="L466">
        <f>_xlfn.XLOOKUP(A466,DFF!A:A,DFF!B:B,"",-1)</f>
        <v>1.42</v>
      </c>
      <c r="M466">
        <f>_xlfn.XLOOKUP(A466,'DGS2'!A:A,'DGS2'!B:B,"",-1)</f>
        <v>2.08</v>
      </c>
      <c r="N466">
        <f t="shared" si="59"/>
        <v>-6.999999999999984E-2</v>
      </c>
      <c r="O466">
        <f t="shared" si="60"/>
        <v>1.7440938639606607E-2</v>
      </c>
      <c r="P466">
        <f t="shared" si="61"/>
        <v>1</v>
      </c>
      <c r="Q466">
        <f t="shared" si="62"/>
        <v>1</v>
      </c>
      <c r="R466" s="3">
        <v>63.57</v>
      </c>
    </row>
    <row r="467" spans="1:18">
      <c r="A467" s="1">
        <v>43137</v>
      </c>
      <c r="B467">
        <v>2695.14</v>
      </c>
      <c r="C467">
        <f t="shared" si="56"/>
        <v>1.7440938639606607E-2</v>
      </c>
      <c r="D467">
        <f t="shared" si="63"/>
        <v>-4.4947164756660274E-2</v>
      </c>
      <c r="E467">
        <f>_xlfn.XLOOKUP(A467,VIX!A:A,VIX!B:B,"",-1)</f>
        <v>29.98</v>
      </c>
      <c r="F467">
        <f t="shared" si="57"/>
        <v>-7.34</v>
      </c>
      <c r="G467">
        <f>_xlfn.XLOOKUP(A467,'DGS10'!A:A,'DGS10'!B:B,"",-1)</f>
        <v>2.79</v>
      </c>
      <c r="H467">
        <f t="shared" si="58"/>
        <v>2.0000000000000018E-2</v>
      </c>
      <c r="I467" s="2">
        <f>_xlfn.XLOOKUP(A467,T10Y3M!A:A,T10Y3M!B:B,"",-1)</f>
        <v>1.27</v>
      </c>
      <c r="J467" s="2">
        <f>_xlfn.XLOOKUP(A467,BAMLC0A4CBBB!A:A,BAMLC0A4CBBB!B:B,"",-1)</f>
        <v>1.19</v>
      </c>
      <c r="K467" s="2">
        <f>_xlfn.XLOOKUP(A467,CPIAUCSL!A:A,CPIAUCSL!B:B,"",-1)</f>
        <v>249.529</v>
      </c>
      <c r="L467">
        <f>_xlfn.XLOOKUP(A467,DFF!A:A,DFF!B:B,"",-1)</f>
        <v>1.42</v>
      </c>
      <c r="M467">
        <f>_xlfn.XLOOKUP(A467,'DGS2'!A:A,'DGS2'!B:B,"",-1)</f>
        <v>2.1</v>
      </c>
      <c r="N467">
        <f t="shared" si="59"/>
        <v>2.0000000000000018E-2</v>
      </c>
      <c r="O467">
        <f t="shared" si="60"/>
        <v>-5.0015954644285765E-3</v>
      </c>
      <c r="P467">
        <f t="shared" si="61"/>
        <v>0</v>
      </c>
      <c r="Q467">
        <f t="shared" si="62"/>
        <v>-1</v>
      </c>
      <c r="R467" s="3">
        <v>63.8</v>
      </c>
    </row>
    <row r="468" spans="1:18">
      <c r="A468" s="1">
        <v>43138</v>
      </c>
      <c r="B468">
        <v>2681.66</v>
      </c>
      <c r="C468">
        <f t="shared" si="56"/>
        <v>-5.0015954644285765E-3</v>
      </c>
      <c r="D468">
        <f t="shared" si="63"/>
        <v>-2.9133313783203607E-2</v>
      </c>
      <c r="E468">
        <f>_xlfn.XLOOKUP(A468,VIX!A:A,VIX!B:B,"",-1)</f>
        <v>27.73</v>
      </c>
      <c r="F468">
        <f t="shared" si="57"/>
        <v>-2.25</v>
      </c>
      <c r="G468">
        <f>_xlfn.XLOOKUP(A468,'DGS10'!A:A,'DGS10'!B:B,"",-1)</f>
        <v>2.84</v>
      </c>
      <c r="H468">
        <f t="shared" si="58"/>
        <v>4.9999999999999822E-2</v>
      </c>
      <c r="I468" s="2">
        <f>_xlfn.XLOOKUP(A468,T10Y3M!A:A,T10Y3M!B:B,"",-1)</f>
        <v>1.29</v>
      </c>
      <c r="J468" s="2">
        <f>_xlfn.XLOOKUP(A468,BAMLC0A4CBBB!A:A,BAMLC0A4CBBB!B:B,"",-1)</f>
        <v>1.18</v>
      </c>
      <c r="K468" s="2">
        <f>_xlfn.XLOOKUP(A468,CPIAUCSL!A:A,CPIAUCSL!B:B,"",-1)</f>
        <v>249.529</v>
      </c>
      <c r="L468">
        <f>_xlfn.XLOOKUP(A468,DFF!A:A,DFF!B:B,"",-1)</f>
        <v>1.42</v>
      </c>
      <c r="M468">
        <f>_xlfn.XLOOKUP(A468,'DGS2'!A:A,'DGS2'!B:B,"",-1)</f>
        <v>2.15</v>
      </c>
      <c r="N468">
        <f t="shared" si="59"/>
        <v>4.9999999999999822E-2</v>
      </c>
      <c r="O468">
        <f t="shared" si="60"/>
        <v>-3.7536451302551344E-2</v>
      </c>
      <c r="P468">
        <f t="shared" si="61"/>
        <v>0</v>
      </c>
      <c r="Q468">
        <f t="shared" si="62"/>
        <v>-1</v>
      </c>
      <c r="R468" s="3">
        <v>64.3</v>
      </c>
    </row>
    <row r="469" spans="1:18">
      <c r="A469" s="1">
        <v>43139</v>
      </c>
      <c r="B469">
        <v>2581</v>
      </c>
      <c r="C469">
        <f t="shared" si="56"/>
        <v>-3.7536451302551344E-2</v>
      </c>
      <c r="D469">
        <f t="shared" si="63"/>
        <v>-2.5647995047075489E-2</v>
      </c>
      <c r="E469">
        <f>_xlfn.XLOOKUP(A469,VIX!A:A,VIX!B:B,"",-1)</f>
        <v>33.46</v>
      </c>
      <c r="F469">
        <f t="shared" si="57"/>
        <v>5.73</v>
      </c>
      <c r="G469">
        <f>_xlfn.XLOOKUP(A469,'DGS10'!A:A,'DGS10'!B:B,"",-1)</f>
        <v>2.85</v>
      </c>
      <c r="H469">
        <f t="shared" si="58"/>
        <v>1.0000000000000231E-2</v>
      </c>
      <c r="I469" s="2">
        <f>_xlfn.XLOOKUP(A469,T10Y3M!A:A,T10Y3M!B:B,"",-1)</f>
        <v>1.3</v>
      </c>
      <c r="J469" s="2">
        <f>_xlfn.XLOOKUP(A469,BAMLC0A4CBBB!A:A,BAMLC0A4CBBB!B:B,"",-1)</f>
        <v>1.19</v>
      </c>
      <c r="K469" s="2">
        <f>_xlfn.XLOOKUP(A469,CPIAUCSL!A:A,CPIAUCSL!B:B,"",-1)</f>
        <v>249.529</v>
      </c>
      <c r="L469">
        <f>_xlfn.XLOOKUP(A469,DFF!A:A,DFF!B:B,"",-1)</f>
        <v>1.42</v>
      </c>
      <c r="M469">
        <f>_xlfn.XLOOKUP(A469,'DGS2'!A:A,'DGS2'!B:B,"",-1)</f>
        <v>2.13</v>
      </c>
      <c r="N469">
        <f t="shared" si="59"/>
        <v>-2.0000000000000018E-2</v>
      </c>
      <c r="O469">
        <f t="shared" si="60"/>
        <v>1.4936071290197583E-2</v>
      </c>
      <c r="P469">
        <f t="shared" si="61"/>
        <v>1</v>
      </c>
      <c r="Q469">
        <f t="shared" si="62"/>
        <v>1</v>
      </c>
      <c r="R469" s="3"/>
    </row>
    <row r="470" spans="1:18">
      <c r="A470" s="1">
        <v>43140</v>
      </c>
      <c r="B470">
        <v>2619.5500000000002</v>
      </c>
      <c r="C470">
        <f t="shared" si="56"/>
        <v>1.4936071290197583E-2</v>
      </c>
      <c r="D470">
        <f t="shared" si="63"/>
        <v>-2.8046780501198354E-2</v>
      </c>
      <c r="E470">
        <f>_xlfn.XLOOKUP(A470,VIX!A:A,VIX!B:B,"",-1)</f>
        <v>29.06</v>
      </c>
      <c r="F470">
        <f t="shared" si="57"/>
        <v>-4.4000000000000021</v>
      </c>
      <c r="G470">
        <f>_xlfn.XLOOKUP(A470,'DGS10'!A:A,'DGS10'!B:B,"",-1)</f>
        <v>2.83</v>
      </c>
      <c r="H470">
        <f t="shared" si="58"/>
        <v>-2.0000000000000018E-2</v>
      </c>
      <c r="I470" s="2">
        <f>_xlfn.XLOOKUP(A470,T10Y3M!A:A,T10Y3M!B:B,"",-1)</f>
        <v>1.28</v>
      </c>
      <c r="J470" s="2">
        <f>_xlfn.XLOOKUP(A470,BAMLC0A4CBBB!A:A,BAMLC0A4CBBB!B:B,"",-1)</f>
        <v>1.24</v>
      </c>
      <c r="K470" s="2">
        <f>_xlfn.XLOOKUP(A470,CPIAUCSL!A:A,CPIAUCSL!B:B,"",-1)</f>
        <v>249.529</v>
      </c>
      <c r="L470">
        <f>_xlfn.XLOOKUP(A470,DFF!A:A,DFF!B:B,"",-1)</f>
        <v>1.42</v>
      </c>
      <c r="M470">
        <f>_xlfn.XLOOKUP(A470,'DGS2'!A:A,'DGS2'!B:B,"",-1)</f>
        <v>2.0499999999999998</v>
      </c>
      <c r="N470">
        <f t="shared" si="59"/>
        <v>-8.0000000000000071E-2</v>
      </c>
      <c r="O470">
        <f t="shared" si="60"/>
        <v>1.3914603653299107E-2</v>
      </c>
      <c r="P470">
        <f t="shared" si="61"/>
        <v>1</v>
      </c>
      <c r="Q470">
        <f t="shared" si="62"/>
        <v>1</v>
      </c>
      <c r="R470" s="3">
        <v>63.73</v>
      </c>
    </row>
    <row r="471" spans="1:18">
      <c r="A471" s="1">
        <v>43143</v>
      </c>
      <c r="B471">
        <v>2656</v>
      </c>
      <c r="C471">
        <f t="shared" si="56"/>
        <v>1.3914603653299107E-2</v>
      </c>
      <c r="D471">
        <f t="shared" si="63"/>
        <v>-9.5686999843379583E-3</v>
      </c>
      <c r="E471">
        <f>_xlfn.XLOOKUP(A471,VIX!A:A,VIX!B:B,"",-1)</f>
        <v>25.61</v>
      </c>
      <c r="F471">
        <f t="shared" si="57"/>
        <v>-3.4499999999999993</v>
      </c>
      <c r="G471">
        <f>_xlfn.XLOOKUP(A471,'DGS10'!A:A,'DGS10'!B:B,"",-1)</f>
        <v>2.86</v>
      </c>
      <c r="H471">
        <f t="shared" si="58"/>
        <v>2.9999999999999805E-2</v>
      </c>
      <c r="I471" s="2">
        <f>_xlfn.XLOOKUP(A471,T10Y3M!A:A,T10Y3M!B:B,"",-1)</f>
        <v>1.24</v>
      </c>
      <c r="J471" s="2">
        <f>_xlfn.XLOOKUP(A471,BAMLC0A4CBBB!A:A,BAMLC0A4CBBB!B:B,"",-1)</f>
        <v>1.24</v>
      </c>
      <c r="K471" s="2">
        <f>_xlfn.XLOOKUP(A471,CPIAUCSL!A:A,CPIAUCSL!B:B,"",-1)</f>
        <v>249.529</v>
      </c>
      <c r="L471">
        <f>_xlfn.XLOOKUP(A471,DFF!A:A,DFF!B:B,"",-1)</f>
        <v>1.42</v>
      </c>
      <c r="M471">
        <f>_xlfn.XLOOKUP(A471,'DGS2'!A:A,'DGS2'!B:B,"",-1)</f>
        <v>2.09</v>
      </c>
      <c r="N471">
        <f t="shared" si="59"/>
        <v>4.0000000000000036E-2</v>
      </c>
      <c r="O471">
        <f t="shared" si="60"/>
        <v>2.6129518072288693E-3</v>
      </c>
      <c r="P471">
        <f t="shared" si="61"/>
        <v>1</v>
      </c>
      <c r="Q471">
        <f t="shared" si="62"/>
        <v>0</v>
      </c>
      <c r="R471" s="3">
        <v>63.97</v>
      </c>
    </row>
    <row r="472" spans="1:18">
      <c r="A472" s="1">
        <v>43144</v>
      </c>
      <c r="B472">
        <v>2662.94</v>
      </c>
      <c r="C472">
        <f t="shared" si="56"/>
        <v>2.6129518072288693E-3</v>
      </c>
      <c r="D472">
        <f t="shared" si="63"/>
        <v>3.1747384734599038E-2</v>
      </c>
      <c r="E472">
        <f>_xlfn.XLOOKUP(A472,VIX!A:A,VIX!B:B,"",-1)</f>
        <v>24.97</v>
      </c>
      <c r="F472">
        <f t="shared" si="57"/>
        <v>-0.64000000000000057</v>
      </c>
      <c r="G472">
        <f>_xlfn.XLOOKUP(A472,'DGS10'!A:A,'DGS10'!B:B,"",-1)</f>
        <v>2.83</v>
      </c>
      <c r="H472">
        <f t="shared" si="58"/>
        <v>-2.9999999999999805E-2</v>
      </c>
      <c r="I472" s="2">
        <f>_xlfn.XLOOKUP(A472,T10Y3M!A:A,T10Y3M!B:B,"",-1)</f>
        <v>1.24</v>
      </c>
      <c r="J472" s="2">
        <f>_xlfn.XLOOKUP(A472,BAMLC0A4CBBB!A:A,BAMLC0A4CBBB!B:B,"",-1)</f>
        <v>1.27</v>
      </c>
      <c r="K472" s="2">
        <f>_xlfn.XLOOKUP(A472,CPIAUCSL!A:A,CPIAUCSL!B:B,"",-1)</f>
        <v>249.529</v>
      </c>
      <c r="L472">
        <f>_xlfn.XLOOKUP(A472,DFF!A:A,DFF!B:B,"",-1)</f>
        <v>1.42</v>
      </c>
      <c r="M472">
        <f>_xlfn.XLOOKUP(A472,'DGS2'!A:A,'DGS2'!B:B,"",-1)</f>
        <v>2.1</v>
      </c>
      <c r="N472">
        <f t="shared" si="59"/>
        <v>1.0000000000000231E-2</v>
      </c>
      <c r="O472">
        <f t="shared" si="60"/>
        <v>1.3402479965752168E-2</v>
      </c>
      <c r="P472">
        <f t="shared" si="61"/>
        <v>1</v>
      </c>
      <c r="Q472">
        <f t="shared" si="62"/>
        <v>1</v>
      </c>
      <c r="R472" s="3">
        <v>63.95</v>
      </c>
    </row>
    <row r="473" spans="1:18">
      <c r="A473" s="1">
        <v>43145</v>
      </c>
      <c r="B473">
        <v>2698.63</v>
      </c>
      <c r="C473">
        <f t="shared" si="56"/>
        <v>1.3402479965752168E-2</v>
      </c>
      <c r="D473">
        <f t="shared" si="63"/>
        <v>3.0188391135882009E-2</v>
      </c>
      <c r="E473">
        <f>_xlfn.XLOOKUP(A473,VIX!A:A,VIX!B:B,"",-1)</f>
        <v>19.260000000000002</v>
      </c>
      <c r="F473">
        <f t="shared" si="57"/>
        <v>-5.7099999999999973</v>
      </c>
      <c r="G473">
        <f>_xlfn.XLOOKUP(A473,'DGS10'!A:A,'DGS10'!B:B,"",-1)</f>
        <v>2.91</v>
      </c>
      <c r="H473">
        <f t="shared" si="58"/>
        <v>8.0000000000000071E-2</v>
      </c>
      <c r="I473" s="2">
        <f>_xlfn.XLOOKUP(A473,T10Y3M!A:A,T10Y3M!B:B,"",-1)</f>
        <v>1.33</v>
      </c>
      <c r="J473" s="2">
        <f>_xlfn.XLOOKUP(A473,BAMLC0A4CBBB!A:A,BAMLC0A4CBBB!B:B,"",-1)</f>
        <v>1.25</v>
      </c>
      <c r="K473" s="2">
        <f>_xlfn.XLOOKUP(A473,CPIAUCSL!A:A,CPIAUCSL!B:B,"",-1)</f>
        <v>249.529</v>
      </c>
      <c r="L473">
        <f>_xlfn.XLOOKUP(A473,DFF!A:A,DFF!B:B,"",-1)</f>
        <v>1.42</v>
      </c>
      <c r="M473">
        <f>_xlfn.XLOOKUP(A473,'DGS2'!A:A,'DGS2'!B:B,"",-1)</f>
        <v>2.17</v>
      </c>
      <c r="N473">
        <f t="shared" si="59"/>
        <v>6.999999999999984E-2</v>
      </c>
      <c r="O473">
        <f t="shared" si="60"/>
        <v>1.20690869070601E-2</v>
      </c>
      <c r="P473">
        <f t="shared" si="61"/>
        <v>1</v>
      </c>
      <c r="Q473">
        <f t="shared" si="62"/>
        <v>1</v>
      </c>
      <c r="R473" s="3">
        <v>63.37</v>
      </c>
    </row>
    <row r="474" spans="1:18">
      <c r="A474" s="1">
        <v>43146</v>
      </c>
      <c r="B474">
        <v>2731.2</v>
      </c>
      <c r="C474">
        <f t="shared" si="56"/>
        <v>1.20690869070601E-2</v>
      </c>
      <c r="D474">
        <f t="shared" si="63"/>
        <v>2.8313253012048234E-2</v>
      </c>
      <c r="E474">
        <f>_xlfn.XLOOKUP(A474,VIX!A:A,VIX!B:B,"",-1)</f>
        <v>19.13</v>
      </c>
      <c r="F474">
        <f t="shared" si="57"/>
        <v>-0.13000000000000256</v>
      </c>
      <c r="G474">
        <f>_xlfn.XLOOKUP(A474,'DGS10'!A:A,'DGS10'!B:B,"",-1)</f>
        <v>2.9</v>
      </c>
      <c r="H474">
        <f t="shared" si="58"/>
        <v>-1.0000000000000231E-2</v>
      </c>
      <c r="I474" s="2">
        <f>_xlfn.XLOOKUP(A474,T10Y3M!A:A,T10Y3M!B:B,"",-1)</f>
        <v>1.32</v>
      </c>
      <c r="J474" s="2">
        <f>_xlfn.XLOOKUP(A474,BAMLC0A4CBBB!A:A,BAMLC0A4CBBB!B:B,"",-1)</f>
        <v>1.24</v>
      </c>
      <c r="K474" s="2">
        <f>_xlfn.XLOOKUP(A474,CPIAUCSL!A:A,CPIAUCSL!B:B,"",-1)</f>
        <v>249.529</v>
      </c>
      <c r="L474">
        <f>_xlfn.XLOOKUP(A474,DFF!A:A,DFF!B:B,"",-1)</f>
        <v>1.42</v>
      </c>
      <c r="M474">
        <f>_xlfn.XLOOKUP(A474,'DGS2'!A:A,'DGS2'!B:B,"",-1)</f>
        <v>2.19</v>
      </c>
      <c r="N474">
        <f t="shared" si="59"/>
        <v>2.0000000000000018E-2</v>
      </c>
      <c r="O474">
        <f t="shared" si="60"/>
        <v>3.7346221441114658E-4</v>
      </c>
      <c r="P474">
        <f t="shared" si="61"/>
        <v>1</v>
      </c>
      <c r="Q474">
        <f t="shared" si="62"/>
        <v>0</v>
      </c>
      <c r="R474" s="3">
        <v>63.49</v>
      </c>
    </row>
    <row r="475" spans="1:18">
      <c r="A475" s="1">
        <v>43147</v>
      </c>
      <c r="B475">
        <v>2732.22</v>
      </c>
      <c r="C475">
        <f t="shared" si="56"/>
        <v>3.7346221441114658E-4</v>
      </c>
      <c r="D475">
        <f t="shared" si="63"/>
        <v>2.6016357860109363E-2</v>
      </c>
      <c r="E475">
        <f>_xlfn.XLOOKUP(A475,VIX!A:A,VIX!B:B,"",-1)</f>
        <v>19.46</v>
      </c>
      <c r="F475">
        <f t="shared" si="57"/>
        <v>0.33000000000000185</v>
      </c>
      <c r="G475">
        <f>_xlfn.XLOOKUP(A475,'DGS10'!A:A,'DGS10'!B:B,"",-1)</f>
        <v>2.87</v>
      </c>
      <c r="H475">
        <f t="shared" si="58"/>
        <v>-2.9999999999999805E-2</v>
      </c>
      <c r="I475" s="2">
        <f>_xlfn.XLOOKUP(A475,T10Y3M!A:A,T10Y3M!B:B,"",-1)</f>
        <v>1.25</v>
      </c>
      <c r="J475" s="2">
        <f>_xlfn.XLOOKUP(A475,BAMLC0A4CBBB!A:A,BAMLC0A4CBBB!B:B,"",-1)</f>
        <v>1.24</v>
      </c>
      <c r="K475" s="2">
        <f>_xlfn.XLOOKUP(A475,CPIAUCSL!A:A,CPIAUCSL!B:B,"",-1)</f>
        <v>249.529</v>
      </c>
      <c r="L475">
        <f>_xlfn.XLOOKUP(A475,DFF!A:A,DFF!B:B,"",-1)</f>
        <v>1.42</v>
      </c>
      <c r="M475">
        <f>_xlfn.XLOOKUP(A475,'DGS2'!A:A,'DGS2'!B:B,"",-1)</f>
        <v>2.21</v>
      </c>
      <c r="N475">
        <f t="shared" si="59"/>
        <v>2.0000000000000018E-2</v>
      </c>
      <c r="O475">
        <f t="shared" si="60"/>
        <v>-5.841403693699454E-3</v>
      </c>
      <c r="P475">
        <f t="shared" si="61"/>
        <v>0</v>
      </c>
      <c r="Q475">
        <f t="shared" si="62"/>
        <v>-1</v>
      </c>
      <c r="R475" s="3">
        <v>64.47</v>
      </c>
    </row>
    <row r="476" spans="1:18">
      <c r="A476" s="1">
        <v>43151</v>
      </c>
      <c r="B476">
        <v>2716.26</v>
      </c>
      <c r="C476">
        <f t="shared" si="56"/>
        <v>-5.841403693699454E-3</v>
      </c>
      <c r="D476">
        <f t="shared" si="63"/>
        <v>6.5329444940580572E-3</v>
      </c>
      <c r="E476">
        <f>_xlfn.XLOOKUP(A476,VIX!A:A,VIX!B:B,"",-1)</f>
        <v>20.6</v>
      </c>
      <c r="F476">
        <f t="shared" si="57"/>
        <v>1.1400000000000006</v>
      </c>
      <c r="G476">
        <f>_xlfn.XLOOKUP(A476,'DGS10'!A:A,'DGS10'!B:B,"",-1)</f>
        <v>2.88</v>
      </c>
      <c r="H476">
        <f t="shared" si="58"/>
        <v>9.9999999999997868E-3</v>
      </c>
      <c r="I476" s="2">
        <f>_xlfn.XLOOKUP(A476,T10Y3M!A:A,T10Y3M!B:B,"",-1)</f>
        <v>1.22</v>
      </c>
      <c r="J476" s="2">
        <f>_xlfn.XLOOKUP(A476,BAMLC0A4CBBB!A:A,BAMLC0A4CBBB!B:B,"",-1)</f>
        <v>1.24</v>
      </c>
      <c r="K476" s="2">
        <f>_xlfn.XLOOKUP(A476,CPIAUCSL!A:A,CPIAUCSL!B:B,"",-1)</f>
        <v>249.529</v>
      </c>
      <c r="L476">
        <f>_xlfn.XLOOKUP(A476,DFF!A:A,DFF!B:B,"",-1)</f>
        <v>1.42</v>
      </c>
      <c r="M476">
        <f>_xlfn.XLOOKUP(A476,'DGS2'!A:A,'DGS2'!B:B,"",-1)</f>
        <v>2.25</v>
      </c>
      <c r="N476">
        <f t="shared" si="59"/>
        <v>4.0000000000000036E-2</v>
      </c>
      <c r="O476">
        <f t="shared" si="60"/>
        <v>-5.4965283146680699E-3</v>
      </c>
      <c r="P476">
        <f t="shared" si="61"/>
        <v>0</v>
      </c>
      <c r="Q476">
        <f t="shared" si="62"/>
        <v>-1</v>
      </c>
      <c r="R476" s="3">
        <v>65.61</v>
      </c>
    </row>
    <row r="477" spans="1:18">
      <c r="A477" s="1">
        <v>43152</v>
      </c>
      <c r="B477">
        <v>2701.33</v>
      </c>
      <c r="C477">
        <f t="shared" si="56"/>
        <v>-5.4965283146680699E-3</v>
      </c>
      <c r="D477">
        <f t="shared" si="63"/>
        <v>-1.0936584651435211E-2</v>
      </c>
      <c r="E477">
        <f>_xlfn.XLOOKUP(A477,VIX!A:A,VIX!B:B,"",-1)</f>
        <v>20.02</v>
      </c>
      <c r="F477">
        <f t="shared" si="57"/>
        <v>-0.58000000000000185</v>
      </c>
      <c r="G477">
        <f>_xlfn.XLOOKUP(A477,'DGS10'!A:A,'DGS10'!B:B,"",-1)</f>
        <v>2.94</v>
      </c>
      <c r="H477">
        <f t="shared" si="58"/>
        <v>6.0000000000000053E-2</v>
      </c>
      <c r="I477" s="2">
        <f>_xlfn.XLOOKUP(A477,T10Y3M!A:A,T10Y3M!B:B,"",-1)</f>
        <v>1.3</v>
      </c>
      <c r="J477" s="2">
        <f>_xlfn.XLOOKUP(A477,BAMLC0A4CBBB!A:A,BAMLC0A4CBBB!B:B,"",-1)</f>
        <v>1.24</v>
      </c>
      <c r="K477" s="2">
        <f>_xlfn.XLOOKUP(A477,CPIAUCSL!A:A,CPIAUCSL!B:B,"",-1)</f>
        <v>249.529</v>
      </c>
      <c r="L477">
        <f>_xlfn.XLOOKUP(A477,DFF!A:A,DFF!B:B,"",-1)</f>
        <v>1.42</v>
      </c>
      <c r="M477">
        <f>_xlfn.XLOOKUP(A477,'DGS2'!A:A,'DGS2'!B:B,"",-1)</f>
        <v>2.2599999999999998</v>
      </c>
      <c r="N477">
        <f t="shared" si="59"/>
        <v>9.9999999999997868E-3</v>
      </c>
      <c r="O477">
        <f t="shared" si="60"/>
        <v>9.7359448864087206E-4</v>
      </c>
      <c r="P477">
        <f t="shared" si="61"/>
        <v>1</v>
      </c>
      <c r="Q477">
        <f t="shared" si="62"/>
        <v>0</v>
      </c>
      <c r="R477" s="3">
        <v>65.510000000000005</v>
      </c>
    </row>
    <row r="478" spans="1:18">
      <c r="A478" s="1">
        <v>43153</v>
      </c>
      <c r="B478">
        <v>2703.96</v>
      </c>
      <c r="C478">
        <f t="shared" si="56"/>
        <v>9.7359448864087206E-4</v>
      </c>
      <c r="D478">
        <f t="shared" si="63"/>
        <v>-1.0343237367415381E-2</v>
      </c>
      <c r="E478">
        <f>_xlfn.XLOOKUP(A478,VIX!A:A,VIX!B:B,"",-1)</f>
        <v>18.72</v>
      </c>
      <c r="F478">
        <f t="shared" si="57"/>
        <v>-1.3000000000000007</v>
      </c>
      <c r="G478">
        <f>_xlfn.XLOOKUP(A478,'DGS10'!A:A,'DGS10'!B:B,"",-1)</f>
        <v>2.92</v>
      </c>
      <c r="H478">
        <f t="shared" si="58"/>
        <v>-2.0000000000000018E-2</v>
      </c>
      <c r="I478" s="2">
        <f>_xlfn.XLOOKUP(A478,T10Y3M!A:A,T10Y3M!B:B,"",-1)</f>
        <v>1.29</v>
      </c>
      <c r="J478" s="2">
        <f>_xlfn.XLOOKUP(A478,BAMLC0A4CBBB!A:A,BAMLC0A4CBBB!B:B,"",-1)</f>
        <v>1.25</v>
      </c>
      <c r="K478" s="2">
        <f>_xlfn.XLOOKUP(A478,CPIAUCSL!A:A,CPIAUCSL!B:B,"",-1)</f>
        <v>249.529</v>
      </c>
      <c r="L478">
        <f>_xlfn.XLOOKUP(A478,DFF!A:A,DFF!B:B,"",-1)</f>
        <v>1.42</v>
      </c>
      <c r="M478">
        <f>_xlfn.XLOOKUP(A478,'DGS2'!A:A,'DGS2'!B:B,"",-1)</f>
        <v>2.25</v>
      </c>
      <c r="N478">
        <f t="shared" si="59"/>
        <v>-9.9999999999997868E-3</v>
      </c>
      <c r="O478">
        <f t="shared" si="60"/>
        <v>1.6028343614550522E-2</v>
      </c>
      <c r="P478">
        <f t="shared" si="61"/>
        <v>1</v>
      </c>
      <c r="Q478">
        <f t="shared" si="62"/>
        <v>1</v>
      </c>
      <c r="R478" s="3">
        <v>66.14</v>
      </c>
    </row>
    <row r="479" spans="1:18">
      <c r="A479" s="1">
        <v>43154</v>
      </c>
      <c r="B479">
        <v>2747.3</v>
      </c>
      <c r="C479">
        <f t="shared" si="56"/>
        <v>1.6028343614550522E-2</v>
      </c>
      <c r="D479">
        <f t="shared" si="63"/>
        <v>1.1427477487427451E-2</v>
      </c>
      <c r="E479">
        <f>_xlfn.XLOOKUP(A479,VIX!A:A,VIX!B:B,"",-1)</f>
        <v>16.489999999999998</v>
      </c>
      <c r="F479">
        <f t="shared" si="57"/>
        <v>-2.2300000000000004</v>
      </c>
      <c r="G479">
        <f>_xlfn.XLOOKUP(A479,'DGS10'!A:A,'DGS10'!B:B,"",-1)</f>
        <v>2.88</v>
      </c>
      <c r="H479">
        <f t="shared" si="58"/>
        <v>-4.0000000000000036E-2</v>
      </c>
      <c r="I479" s="2">
        <f>_xlfn.XLOOKUP(A479,T10Y3M!A:A,T10Y3M!B:B,"",-1)</f>
        <v>1.24</v>
      </c>
      <c r="J479" s="2">
        <f>_xlfn.XLOOKUP(A479,BAMLC0A4CBBB!A:A,BAMLC0A4CBBB!B:B,"",-1)</f>
        <v>1.26</v>
      </c>
      <c r="K479" s="2">
        <f>_xlfn.XLOOKUP(A479,CPIAUCSL!A:A,CPIAUCSL!B:B,"",-1)</f>
        <v>249.529</v>
      </c>
      <c r="L479">
        <f>_xlfn.XLOOKUP(A479,DFF!A:A,DFF!B:B,"",-1)</f>
        <v>1.42</v>
      </c>
      <c r="M479">
        <f>_xlfn.XLOOKUP(A479,'DGS2'!A:A,'DGS2'!B:B,"",-1)</f>
        <v>2.25</v>
      </c>
      <c r="N479">
        <f t="shared" si="59"/>
        <v>0</v>
      </c>
      <c r="O479">
        <f t="shared" si="60"/>
        <v>1.1756997779638123E-2</v>
      </c>
      <c r="P479">
        <f t="shared" si="61"/>
        <v>1</v>
      </c>
      <c r="Q479">
        <f t="shared" si="62"/>
        <v>1</v>
      </c>
      <c r="R479" s="3">
        <v>65.56</v>
      </c>
    </row>
    <row r="480" spans="1:18">
      <c r="A480" s="1">
        <v>43157</v>
      </c>
      <c r="B480">
        <v>2779.6</v>
      </c>
      <c r="C480">
        <f t="shared" si="56"/>
        <v>1.1756997779638123E-2</v>
      </c>
      <c r="D480">
        <f t="shared" si="63"/>
        <v>2.8974616207571913E-2</v>
      </c>
      <c r="E480">
        <f>_xlfn.XLOOKUP(A480,VIX!A:A,VIX!B:B,"",-1)</f>
        <v>15.8</v>
      </c>
      <c r="F480">
        <f t="shared" si="57"/>
        <v>-0.68999999999999773</v>
      </c>
      <c r="G480">
        <f>_xlfn.XLOOKUP(A480,'DGS10'!A:A,'DGS10'!B:B,"",-1)</f>
        <v>2.86</v>
      </c>
      <c r="H480">
        <f t="shared" si="58"/>
        <v>-2.0000000000000018E-2</v>
      </c>
      <c r="I480" s="2">
        <f>_xlfn.XLOOKUP(A480,T10Y3M!A:A,T10Y3M!B:B,"",-1)</f>
        <v>1.2</v>
      </c>
      <c r="J480" s="2">
        <f>_xlfn.XLOOKUP(A480,BAMLC0A4CBBB!A:A,BAMLC0A4CBBB!B:B,"",-1)</f>
        <v>1.26</v>
      </c>
      <c r="K480" s="2">
        <f>_xlfn.XLOOKUP(A480,CPIAUCSL!A:A,CPIAUCSL!B:B,"",-1)</f>
        <v>249.529</v>
      </c>
      <c r="L480">
        <f>_xlfn.XLOOKUP(A480,DFF!A:A,DFF!B:B,"",-1)</f>
        <v>1.42</v>
      </c>
      <c r="M480">
        <f>_xlfn.XLOOKUP(A480,'DGS2'!A:A,'DGS2'!B:B,"",-1)</f>
        <v>2.2200000000000002</v>
      </c>
      <c r="N480">
        <f t="shared" si="59"/>
        <v>-2.9999999999999805E-2</v>
      </c>
      <c r="O480">
        <f t="shared" si="60"/>
        <v>-1.2706864297021059E-2</v>
      </c>
      <c r="P480">
        <f t="shared" si="61"/>
        <v>0</v>
      </c>
      <c r="Q480">
        <f t="shared" si="62"/>
        <v>-1</v>
      </c>
      <c r="R480" s="3">
        <v>64.5</v>
      </c>
    </row>
    <row r="481" spans="1:18">
      <c r="A481" s="1">
        <v>43158</v>
      </c>
      <c r="B481">
        <v>2744.28</v>
      </c>
      <c r="C481">
        <f t="shared" si="56"/>
        <v>-1.2706864297021059E-2</v>
      </c>
      <c r="D481">
        <f t="shared" si="63"/>
        <v>1.491146318732528E-2</v>
      </c>
      <c r="E481">
        <f>_xlfn.XLOOKUP(A481,VIX!A:A,VIX!B:B,"",-1)</f>
        <v>18.59</v>
      </c>
      <c r="F481">
        <f t="shared" si="57"/>
        <v>2.7899999999999991</v>
      </c>
      <c r="G481">
        <f>_xlfn.XLOOKUP(A481,'DGS10'!A:A,'DGS10'!B:B,"",-1)</f>
        <v>2.9</v>
      </c>
      <c r="H481">
        <f t="shared" si="58"/>
        <v>4.0000000000000036E-2</v>
      </c>
      <c r="I481" s="2">
        <f>_xlfn.XLOOKUP(A481,T10Y3M!A:A,T10Y3M!B:B,"",-1)</f>
        <v>1.24</v>
      </c>
      <c r="J481" s="2">
        <f>_xlfn.XLOOKUP(A481,BAMLC0A4CBBB!A:A,BAMLC0A4CBBB!B:B,"",-1)</f>
        <v>1.26</v>
      </c>
      <c r="K481" s="2">
        <f>_xlfn.XLOOKUP(A481,CPIAUCSL!A:A,CPIAUCSL!B:B,"",-1)</f>
        <v>249.529</v>
      </c>
      <c r="L481">
        <f>_xlfn.XLOOKUP(A481,DFF!A:A,DFF!B:B,"",-1)</f>
        <v>1.42</v>
      </c>
      <c r="M481">
        <f>_xlfn.XLOOKUP(A481,'DGS2'!A:A,'DGS2'!B:B,"",-1)</f>
        <v>2.27</v>
      </c>
      <c r="N481">
        <f t="shared" si="59"/>
        <v>4.9999999999999822E-2</v>
      </c>
      <c r="O481">
        <f t="shared" si="60"/>
        <v>-1.1095806550352139E-2</v>
      </c>
      <c r="P481">
        <f t="shared" si="61"/>
        <v>0</v>
      </c>
      <c r="Q481">
        <f t="shared" si="62"/>
        <v>-1</v>
      </c>
      <c r="R481" s="3">
        <v>64.73</v>
      </c>
    </row>
    <row r="482" spans="1:18">
      <c r="A482" s="1">
        <v>43159</v>
      </c>
      <c r="B482">
        <v>2713.83</v>
      </c>
      <c r="C482">
        <f t="shared" si="56"/>
        <v>-1.1095806550352139E-2</v>
      </c>
      <c r="D482">
        <f t="shared" si="63"/>
        <v>-1.2182870454628292E-2</v>
      </c>
      <c r="E482">
        <f>_xlfn.XLOOKUP(A482,VIX!A:A,VIX!B:B,"",-1)</f>
        <v>19.850000000000001</v>
      </c>
      <c r="F482">
        <f t="shared" si="57"/>
        <v>1.2600000000000016</v>
      </c>
      <c r="G482">
        <f>_xlfn.XLOOKUP(A482,'DGS10'!A:A,'DGS10'!B:B,"",-1)</f>
        <v>2.87</v>
      </c>
      <c r="H482">
        <f t="shared" si="58"/>
        <v>-2.9999999999999805E-2</v>
      </c>
      <c r="I482" s="2">
        <f>_xlfn.XLOOKUP(A482,T10Y3M!A:A,T10Y3M!B:B,"",-1)</f>
        <v>1.22</v>
      </c>
      <c r="J482" s="2">
        <f>_xlfn.XLOOKUP(A482,BAMLC0A4CBBB!A:A,BAMLC0A4CBBB!B:B,"",-1)</f>
        <v>1.28</v>
      </c>
      <c r="K482" s="2">
        <f>_xlfn.XLOOKUP(A482,CPIAUCSL!A:A,CPIAUCSL!B:B,"",-1)</f>
        <v>249.529</v>
      </c>
      <c r="L482">
        <f>_xlfn.XLOOKUP(A482,DFF!A:A,DFF!B:B,"",-1)</f>
        <v>1.35</v>
      </c>
      <c r="M482">
        <f>_xlfn.XLOOKUP(A482,'DGS2'!A:A,'DGS2'!B:B,"",-1)</f>
        <v>2.25</v>
      </c>
      <c r="N482">
        <f t="shared" si="59"/>
        <v>-2.0000000000000018E-2</v>
      </c>
      <c r="O482">
        <f t="shared" si="60"/>
        <v>-1.3324342350110263E-2</v>
      </c>
      <c r="P482">
        <f t="shared" si="61"/>
        <v>0</v>
      </c>
      <c r="Q482">
        <f t="shared" si="62"/>
        <v>-1</v>
      </c>
      <c r="R482" s="3">
        <v>65.8</v>
      </c>
    </row>
    <row r="483" spans="1:18">
      <c r="A483" s="1">
        <v>43160</v>
      </c>
      <c r="B483">
        <v>2677.67</v>
      </c>
      <c r="C483">
        <f t="shared" si="56"/>
        <v>-1.3324342350110263E-2</v>
      </c>
      <c r="D483">
        <f t="shared" si="63"/>
        <v>-3.6670743991941257E-2</v>
      </c>
      <c r="E483">
        <f>_xlfn.XLOOKUP(A483,VIX!A:A,VIX!B:B,"",-1)</f>
        <v>22.47</v>
      </c>
      <c r="F483">
        <f t="shared" si="57"/>
        <v>2.6199999999999974</v>
      </c>
      <c r="G483">
        <f>_xlfn.XLOOKUP(A483,'DGS10'!A:A,'DGS10'!B:B,"",-1)</f>
        <v>2.81</v>
      </c>
      <c r="H483">
        <f t="shared" si="58"/>
        <v>-6.0000000000000053E-2</v>
      </c>
      <c r="I483" s="2">
        <f>_xlfn.XLOOKUP(A483,T10Y3M!A:A,T10Y3M!B:B,"",-1)</f>
        <v>1.18</v>
      </c>
      <c r="J483" s="2">
        <f>_xlfn.XLOOKUP(A483,BAMLC0A4CBBB!A:A,BAMLC0A4CBBB!B:B,"",-1)</f>
        <v>1.31</v>
      </c>
      <c r="K483" s="2">
        <f>_xlfn.XLOOKUP(A483,CPIAUCSL!A:A,CPIAUCSL!B:B,"",-1)</f>
        <v>249.577</v>
      </c>
      <c r="L483">
        <f>_xlfn.XLOOKUP(A483,DFF!A:A,DFF!B:B,"",-1)</f>
        <v>1.42</v>
      </c>
      <c r="M483">
        <f>_xlfn.XLOOKUP(A483,'DGS2'!A:A,'DGS2'!B:B,"",-1)</f>
        <v>2.2200000000000002</v>
      </c>
      <c r="N483">
        <f t="shared" si="59"/>
        <v>-2.9999999999999805E-2</v>
      </c>
      <c r="O483">
        <f t="shared" si="60"/>
        <v>5.0715734201749463E-3</v>
      </c>
      <c r="P483">
        <f t="shared" si="61"/>
        <v>1</v>
      </c>
      <c r="Q483">
        <f t="shared" si="62"/>
        <v>1</v>
      </c>
      <c r="R483" s="3">
        <v>65.45</v>
      </c>
    </row>
    <row r="484" spans="1:18">
      <c r="A484" s="1">
        <v>43161</v>
      </c>
      <c r="B484">
        <v>2691.25</v>
      </c>
      <c r="C484">
        <f t="shared" si="56"/>
        <v>5.0715734201749463E-3</v>
      </c>
      <c r="D484">
        <f t="shared" si="63"/>
        <v>-1.9323829929890568E-2</v>
      </c>
      <c r="E484">
        <f>_xlfn.XLOOKUP(A484,VIX!A:A,VIX!B:B,"",-1)</f>
        <v>19.59</v>
      </c>
      <c r="F484">
        <f t="shared" si="57"/>
        <v>-2.879999999999999</v>
      </c>
      <c r="G484">
        <f>_xlfn.XLOOKUP(A484,'DGS10'!A:A,'DGS10'!B:B,"",-1)</f>
        <v>2.86</v>
      </c>
      <c r="H484">
        <f t="shared" si="58"/>
        <v>4.9999999999999822E-2</v>
      </c>
      <c r="I484" s="2">
        <f>_xlfn.XLOOKUP(A484,T10Y3M!A:A,T10Y3M!B:B,"",-1)</f>
        <v>1.21</v>
      </c>
      <c r="J484" s="2">
        <f>_xlfn.XLOOKUP(A484,BAMLC0A4CBBB!A:A,BAMLC0A4CBBB!B:B,"",-1)</f>
        <v>1.32</v>
      </c>
      <c r="K484" s="2">
        <f>_xlfn.XLOOKUP(A484,CPIAUCSL!A:A,CPIAUCSL!B:B,"",-1)</f>
        <v>249.577</v>
      </c>
      <c r="L484">
        <f>_xlfn.XLOOKUP(A484,DFF!A:A,DFF!B:B,"",-1)</f>
        <v>1.42</v>
      </c>
      <c r="M484">
        <f>_xlfn.XLOOKUP(A484,'DGS2'!A:A,'DGS2'!B:B,"",-1)</f>
        <v>2.25</v>
      </c>
      <c r="N484">
        <f t="shared" si="59"/>
        <v>2.9999999999999805E-2</v>
      </c>
      <c r="O484">
        <f t="shared" si="60"/>
        <v>1.1032048304691067E-2</v>
      </c>
      <c r="P484">
        <f t="shared" si="61"/>
        <v>1</v>
      </c>
      <c r="Q484">
        <f t="shared" si="62"/>
        <v>1</v>
      </c>
      <c r="R484" s="3">
        <v>64.150000000000006</v>
      </c>
    </row>
    <row r="485" spans="1:18">
      <c r="A485" s="1">
        <v>43164</v>
      </c>
      <c r="B485">
        <v>2720.94</v>
      </c>
      <c r="C485">
        <f t="shared" si="56"/>
        <v>1.1032048304691067E-2</v>
      </c>
      <c r="D485">
        <f t="shared" si="63"/>
        <v>2.6199135539073382E-3</v>
      </c>
      <c r="E485">
        <f>_xlfn.XLOOKUP(A485,VIX!A:A,VIX!B:B,"",-1)</f>
        <v>18.73</v>
      </c>
      <c r="F485">
        <f t="shared" si="57"/>
        <v>-0.85999999999999943</v>
      </c>
      <c r="G485">
        <f>_xlfn.XLOOKUP(A485,'DGS10'!A:A,'DGS10'!B:B,"",-1)</f>
        <v>2.88</v>
      </c>
      <c r="H485">
        <f t="shared" si="58"/>
        <v>2.0000000000000018E-2</v>
      </c>
      <c r="I485" s="2">
        <f>_xlfn.XLOOKUP(A485,T10Y3M!A:A,T10Y3M!B:B,"",-1)</f>
        <v>1.18</v>
      </c>
      <c r="J485" s="2">
        <f>_xlfn.XLOOKUP(A485,BAMLC0A4CBBB!A:A,BAMLC0A4CBBB!B:B,"",-1)</f>
        <v>1.31</v>
      </c>
      <c r="K485" s="2">
        <f>_xlfn.XLOOKUP(A485,CPIAUCSL!A:A,CPIAUCSL!B:B,"",-1)</f>
        <v>249.577</v>
      </c>
      <c r="L485">
        <f>_xlfn.XLOOKUP(A485,DFF!A:A,DFF!B:B,"",-1)</f>
        <v>1.42</v>
      </c>
      <c r="M485">
        <f>_xlfn.XLOOKUP(A485,'DGS2'!A:A,'DGS2'!B:B,"",-1)</f>
        <v>2.2400000000000002</v>
      </c>
      <c r="N485">
        <f t="shared" si="59"/>
        <v>-9.9999999999997868E-3</v>
      </c>
      <c r="O485">
        <f t="shared" si="60"/>
        <v>2.6387939462098053E-3</v>
      </c>
      <c r="P485">
        <f t="shared" si="61"/>
        <v>1</v>
      </c>
      <c r="Q485">
        <f t="shared" si="62"/>
        <v>0</v>
      </c>
      <c r="R485" s="3">
        <v>63.39</v>
      </c>
    </row>
    <row r="486" spans="1:18">
      <c r="A486" s="1">
        <v>43165</v>
      </c>
      <c r="B486">
        <v>2728.12</v>
      </c>
      <c r="C486">
        <f t="shared" si="56"/>
        <v>2.6387939462098053E-3</v>
      </c>
      <c r="D486">
        <f t="shared" si="63"/>
        <v>1.8841007293654455E-2</v>
      </c>
      <c r="E486">
        <f>_xlfn.XLOOKUP(A486,VIX!A:A,VIX!B:B,"",-1)</f>
        <v>18.36</v>
      </c>
      <c r="F486">
        <f t="shared" si="57"/>
        <v>-0.37000000000000099</v>
      </c>
      <c r="G486">
        <f>_xlfn.XLOOKUP(A486,'DGS10'!A:A,'DGS10'!B:B,"",-1)</f>
        <v>2.88</v>
      </c>
      <c r="H486">
        <f t="shared" si="58"/>
        <v>0</v>
      </c>
      <c r="I486" s="2">
        <f>_xlfn.XLOOKUP(A486,T10Y3M!A:A,T10Y3M!B:B,"",-1)</f>
        <v>1.2</v>
      </c>
      <c r="J486" s="2">
        <f>_xlfn.XLOOKUP(A486,BAMLC0A4CBBB!A:A,BAMLC0A4CBBB!B:B,"",-1)</f>
        <v>1.31</v>
      </c>
      <c r="K486" s="2">
        <f>_xlfn.XLOOKUP(A486,CPIAUCSL!A:A,CPIAUCSL!B:B,"",-1)</f>
        <v>249.577</v>
      </c>
      <c r="L486">
        <f>_xlfn.XLOOKUP(A486,DFF!A:A,DFF!B:B,"",-1)</f>
        <v>1.42</v>
      </c>
      <c r="M486">
        <f>_xlfn.XLOOKUP(A486,'DGS2'!A:A,'DGS2'!B:B,"",-1)</f>
        <v>2.25</v>
      </c>
      <c r="N486">
        <f t="shared" si="59"/>
        <v>9.9999999999997868E-3</v>
      </c>
      <c r="O486">
        <f t="shared" si="60"/>
        <v>-4.8384968403136774E-4</v>
      </c>
      <c r="P486">
        <f t="shared" si="61"/>
        <v>0</v>
      </c>
      <c r="Q486">
        <f t="shared" si="62"/>
        <v>0</v>
      </c>
      <c r="R486" s="3">
        <v>61.79</v>
      </c>
    </row>
    <row r="487" spans="1:18">
      <c r="A487" s="1">
        <v>43166</v>
      </c>
      <c r="B487">
        <v>2726.8</v>
      </c>
      <c r="C487">
        <f t="shared" si="56"/>
        <v>-4.8384968403136774E-4</v>
      </c>
      <c r="D487">
        <f t="shared" si="63"/>
        <v>1.3209475150952166E-2</v>
      </c>
      <c r="E487">
        <f>_xlfn.XLOOKUP(A487,VIX!A:A,VIX!B:B,"",-1)</f>
        <v>17.760000000000002</v>
      </c>
      <c r="F487">
        <f t="shared" si="57"/>
        <v>-0.59999999999999787</v>
      </c>
      <c r="G487">
        <f>_xlfn.XLOOKUP(A487,'DGS10'!A:A,'DGS10'!B:B,"",-1)</f>
        <v>2.89</v>
      </c>
      <c r="H487">
        <f t="shared" si="58"/>
        <v>1.0000000000000231E-2</v>
      </c>
      <c r="I487" s="2">
        <f>_xlfn.XLOOKUP(A487,T10Y3M!A:A,T10Y3M!B:B,"",-1)</f>
        <v>1.21</v>
      </c>
      <c r="J487" s="2">
        <f>_xlfn.XLOOKUP(A487,BAMLC0A4CBBB!A:A,BAMLC0A4CBBB!B:B,"",-1)</f>
        <v>1.31</v>
      </c>
      <c r="K487" s="2">
        <f>_xlfn.XLOOKUP(A487,CPIAUCSL!A:A,CPIAUCSL!B:B,"",-1)</f>
        <v>249.577</v>
      </c>
      <c r="L487">
        <f>_xlfn.XLOOKUP(A487,DFF!A:A,DFF!B:B,"",-1)</f>
        <v>1.42</v>
      </c>
      <c r="M487">
        <f>_xlfn.XLOOKUP(A487,'DGS2'!A:A,'DGS2'!B:B,"",-1)</f>
        <v>2.25</v>
      </c>
      <c r="N487">
        <f t="shared" si="59"/>
        <v>0</v>
      </c>
      <c r="O487">
        <f t="shared" si="60"/>
        <v>4.4631069385359101E-3</v>
      </c>
      <c r="P487">
        <f t="shared" si="61"/>
        <v>1</v>
      </c>
      <c r="Q487">
        <f t="shared" si="62"/>
        <v>1</v>
      </c>
      <c r="R487" s="3">
        <v>61.15</v>
      </c>
    </row>
    <row r="488" spans="1:18">
      <c r="A488" s="1">
        <v>43167</v>
      </c>
      <c r="B488">
        <v>2738.97</v>
      </c>
      <c r="C488">
        <f t="shared" si="56"/>
        <v>4.4631069385359101E-3</v>
      </c>
      <c r="D488">
        <f t="shared" si="63"/>
        <v>6.6263864693818508E-3</v>
      </c>
      <c r="E488">
        <f>_xlfn.XLOOKUP(A488,VIX!A:A,VIX!B:B,"",-1)</f>
        <v>16.54</v>
      </c>
      <c r="F488">
        <f t="shared" si="57"/>
        <v>-1.2200000000000024</v>
      </c>
      <c r="G488">
        <f>_xlfn.XLOOKUP(A488,'DGS10'!A:A,'DGS10'!B:B,"",-1)</f>
        <v>2.86</v>
      </c>
      <c r="H488">
        <f t="shared" si="58"/>
        <v>-3.0000000000000249E-2</v>
      </c>
      <c r="I488" s="2">
        <f>_xlfn.XLOOKUP(A488,T10Y3M!A:A,T10Y3M!B:B,"",-1)</f>
        <v>1.19</v>
      </c>
      <c r="J488" s="2">
        <f>_xlfn.XLOOKUP(A488,BAMLC0A4CBBB!A:A,BAMLC0A4CBBB!B:B,"",-1)</f>
        <v>1.32</v>
      </c>
      <c r="K488" s="2">
        <f>_xlfn.XLOOKUP(A488,CPIAUCSL!A:A,CPIAUCSL!B:B,"",-1)</f>
        <v>249.577</v>
      </c>
      <c r="L488">
        <f>_xlfn.XLOOKUP(A488,DFF!A:A,DFF!B:B,"",-1)</f>
        <v>1.42</v>
      </c>
      <c r="M488">
        <f>_xlfn.XLOOKUP(A488,'DGS2'!A:A,'DGS2'!B:B,"",-1)</f>
        <v>2.25</v>
      </c>
      <c r="N488">
        <f t="shared" si="59"/>
        <v>0</v>
      </c>
      <c r="O488">
        <f t="shared" si="60"/>
        <v>1.7378795678667736E-2</v>
      </c>
      <c r="P488">
        <f t="shared" si="61"/>
        <v>1</v>
      </c>
      <c r="Q488">
        <f t="shared" si="62"/>
        <v>1</v>
      </c>
      <c r="R488" s="3">
        <v>59.2</v>
      </c>
    </row>
    <row r="489" spans="1:18">
      <c r="A489" s="1">
        <v>43168</v>
      </c>
      <c r="B489">
        <v>2786.57</v>
      </c>
      <c r="C489">
        <f t="shared" si="56"/>
        <v>1.7378795678667736E-2</v>
      </c>
      <c r="D489">
        <f t="shared" si="63"/>
        <v>2.1425010630031105E-2</v>
      </c>
      <c r="E489">
        <f>_xlfn.XLOOKUP(A489,VIX!A:A,VIX!B:B,"",-1)</f>
        <v>14.64</v>
      </c>
      <c r="F489">
        <f t="shared" si="57"/>
        <v>-1.8999999999999986</v>
      </c>
      <c r="G489">
        <f>_xlfn.XLOOKUP(A489,'DGS10'!A:A,'DGS10'!B:B,"",-1)</f>
        <v>2.9</v>
      </c>
      <c r="H489">
        <f t="shared" si="58"/>
        <v>4.0000000000000036E-2</v>
      </c>
      <c r="I489" s="2">
        <f>_xlfn.XLOOKUP(A489,T10Y3M!A:A,T10Y3M!B:B,"",-1)</f>
        <v>1.23</v>
      </c>
      <c r="J489" s="2">
        <f>_xlfn.XLOOKUP(A489,BAMLC0A4CBBB!A:A,BAMLC0A4CBBB!B:B,"",-1)</f>
        <v>1.33</v>
      </c>
      <c r="K489" s="2">
        <f>_xlfn.XLOOKUP(A489,CPIAUCSL!A:A,CPIAUCSL!B:B,"",-1)</f>
        <v>249.577</v>
      </c>
      <c r="L489">
        <f>_xlfn.XLOOKUP(A489,DFF!A:A,DFF!B:B,"",-1)</f>
        <v>1.42</v>
      </c>
      <c r="M489">
        <f>_xlfn.XLOOKUP(A489,'DGS2'!A:A,'DGS2'!B:B,"",-1)</f>
        <v>2.27</v>
      </c>
      <c r="N489">
        <f t="shared" si="59"/>
        <v>2.0000000000000018E-2</v>
      </c>
      <c r="O489">
        <f t="shared" si="60"/>
        <v>-1.273967637633433E-3</v>
      </c>
      <c r="P489">
        <f t="shared" si="61"/>
        <v>0</v>
      </c>
      <c r="Q489">
        <f t="shared" si="62"/>
        <v>0</v>
      </c>
      <c r="R489" s="3">
        <v>59.29</v>
      </c>
    </row>
    <row r="490" spans="1:18">
      <c r="A490" s="1">
        <v>43171</v>
      </c>
      <c r="B490">
        <v>2783.02</v>
      </c>
      <c r="C490">
        <f t="shared" si="56"/>
        <v>-1.273967637633433E-3</v>
      </c>
      <c r="D490">
        <f t="shared" si="63"/>
        <v>2.0617573712776727E-2</v>
      </c>
      <c r="E490">
        <f>_xlfn.XLOOKUP(A490,VIX!A:A,VIX!B:B,"",-1)</f>
        <v>15.78</v>
      </c>
      <c r="F490">
        <f t="shared" si="57"/>
        <v>1.1399999999999988</v>
      </c>
      <c r="G490">
        <f>_xlfn.XLOOKUP(A490,'DGS10'!A:A,'DGS10'!B:B,"",-1)</f>
        <v>2.87</v>
      </c>
      <c r="H490">
        <f t="shared" si="58"/>
        <v>-2.9999999999999805E-2</v>
      </c>
      <c r="I490" s="2">
        <f>_xlfn.XLOOKUP(A490,T10Y3M!A:A,T10Y3M!B:B,"",-1)</f>
        <v>1.1599999999999999</v>
      </c>
      <c r="J490" s="2">
        <f>_xlfn.XLOOKUP(A490,BAMLC0A4CBBB!A:A,BAMLC0A4CBBB!B:B,"",-1)</f>
        <v>1.34</v>
      </c>
      <c r="K490" s="2">
        <f>_xlfn.XLOOKUP(A490,CPIAUCSL!A:A,CPIAUCSL!B:B,"",-1)</f>
        <v>249.577</v>
      </c>
      <c r="L490">
        <f>_xlfn.XLOOKUP(A490,DFF!A:A,DFF!B:B,"",-1)</f>
        <v>1.42</v>
      </c>
      <c r="M490">
        <f>_xlfn.XLOOKUP(A490,'DGS2'!A:A,'DGS2'!B:B,"",-1)</f>
        <v>2.27</v>
      </c>
      <c r="N490">
        <f t="shared" si="59"/>
        <v>0</v>
      </c>
      <c r="O490">
        <f t="shared" si="60"/>
        <v>-6.3635906317597302E-3</v>
      </c>
      <c r="P490">
        <f t="shared" si="61"/>
        <v>0</v>
      </c>
      <c r="Q490">
        <f t="shared" si="62"/>
        <v>-1</v>
      </c>
      <c r="R490" s="3">
        <v>59.19</v>
      </c>
    </row>
    <row r="491" spans="1:18">
      <c r="A491" s="1">
        <v>43172</v>
      </c>
      <c r="B491">
        <v>2765.31</v>
      </c>
      <c r="C491">
        <f t="shared" si="56"/>
        <v>-6.3635906317597302E-3</v>
      </c>
      <c r="D491">
        <f t="shared" si="63"/>
        <v>9.616753743195483E-3</v>
      </c>
      <c r="E491">
        <f>_xlfn.XLOOKUP(A491,VIX!A:A,VIX!B:B,"",-1)</f>
        <v>16.350000000000001</v>
      </c>
      <c r="F491">
        <f t="shared" si="57"/>
        <v>0.57000000000000206</v>
      </c>
      <c r="G491">
        <f>_xlfn.XLOOKUP(A491,'DGS10'!A:A,'DGS10'!B:B,"",-1)</f>
        <v>2.84</v>
      </c>
      <c r="H491">
        <f t="shared" si="58"/>
        <v>-3.0000000000000249E-2</v>
      </c>
      <c r="I491" s="2">
        <f>_xlfn.XLOOKUP(A491,T10Y3M!A:A,T10Y3M!B:B,"",-1)</f>
        <v>1.1100000000000001</v>
      </c>
      <c r="J491" s="2">
        <f>_xlfn.XLOOKUP(A491,BAMLC0A4CBBB!A:A,BAMLC0A4CBBB!B:B,"",-1)</f>
        <v>1.35</v>
      </c>
      <c r="K491" s="2">
        <f>_xlfn.XLOOKUP(A491,CPIAUCSL!A:A,CPIAUCSL!B:B,"",-1)</f>
        <v>249.577</v>
      </c>
      <c r="L491">
        <f>_xlfn.XLOOKUP(A491,DFF!A:A,DFF!B:B,"",-1)</f>
        <v>1.42</v>
      </c>
      <c r="M491">
        <f>_xlfn.XLOOKUP(A491,'DGS2'!A:A,'DGS2'!B:B,"",-1)</f>
        <v>2.2599999999999998</v>
      </c>
      <c r="N491">
        <f t="shared" si="59"/>
        <v>-1.0000000000000231E-2</v>
      </c>
      <c r="O491">
        <f t="shared" si="60"/>
        <v>-5.7244938180529559E-3</v>
      </c>
      <c r="P491">
        <f t="shared" si="61"/>
        <v>0</v>
      </c>
      <c r="Q491">
        <f t="shared" si="62"/>
        <v>-1</v>
      </c>
      <c r="R491" s="3">
        <v>60.6</v>
      </c>
    </row>
    <row r="492" spans="1:18">
      <c r="A492" s="1">
        <v>43173</v>
      </c>
      <c r="B492">
        <v>2749.48</v>
      </c>
      <c r="C492">
        <f t="shared" si="56"/>
        <v>-5.7244938180529559E-3</v>
      </c>
      <c r="D492">
        <f t="shared" si="63"/>
        <v>-1.331027033234411E-2</v>
      </c>
      <c r="E492">
        <f>_xlfn.XLOOKUP(A492,VIX!A:A,VIX!B:B,"",-1)</f>
        <v>17.23</v>
      </c>
      <c r="F492">
        <f t="shared" si="57"/>
        <v>0.87999999999999901</v>
      </c>
      <c r="G492">
        <f>_xlfn.XLOOKUP(A492,'DGS10'!A:A,'DGS10'!B:B,"",-1)</f>
        <v>2.81</v>
      </c>
      <c r="H492">
        <f t="shared" si="58"/>
        <v>-2.9999999999999805E-2</v>
      </c>
      <c r="I492" s="2">
        <f>_xlfn.XLOOKUP(A492,T10Y3M!A:A,T10Y3M!B:B,"",-1)</f>
        <v>1.05</v>
      </c>
      <c r="J492" s="2">
        <f>_xlfn.XLOOKUP(A492,BAMLC0A4CBBB!A:A,BAMLC0A4CBBB!B:B,"",-1)</f>
        <v>1.36</v>
      </c>
      <c r="K492" s="2">
        <f>_xlfn.XLOOKUP(A492,CPIAUCSL!A:A,CPIAUCSL!B:B,"",-1)</f>
        <v>249.577</v>
      </c>
      <c r="L492">
        <f>_xlfn.XLOOKUP(A492,DFF!A:A,DFF!B:B,"",-1)</f>
        <v>1.42</v>
      </c>
      <c r="M492">
        <f>_xlfn.XLOOKUP(A492,'DGS2'!A:A,'DGS2'!B:B,"",-1)</f>
        <v>2.2599999999999998</v>
      </c>
      <c r="N492">
        <f t="shared" si="59"/>
        <v>0</v>
      </c>
      <c r="O492">
        <f t="shared" si="60"/>
        <v>-7.8196604448843576E-4</v>
      </c>
      <c r="P492">
        <f t="shared" si="61"/>
        <v>0</v>
      </c>
      <c r="Q492">
        <f t="shared" si="62"/>
        <v>0</v>
      </c>
      <c r="R492" s="3">
        <v>61.34</v>
      </c>
    </row>
    <row r="493" spans="1:18">
      <c r="A493" s="1">
        <v>43174</v>
      </c>
      <c r="B493">
        <v>2747.33</v>
      </c>
      <c r="C493">
        <f t="shared" si="56"/>
        <v>-7.8196604448843576E-4</v>
      </c>
      <c r="D493">
        <f t="shared" si="63"/>
        <v>-1.2824198173207568E-2</v>
      </c>
      <c r="E493">
        <f>_xlfn.XLOOKUP(A493,VIX!A:A,VIX!B:B,"",-1)</f>
        <v>16.59</v>
      </c>
      <c r="F493">
        <f t="shared" si="57"/>
        <v>-0.64000000000000057</v>
      </c>
      <c r="G493">
        <f>_xlfn.XLOOKUP(A493,'DGS10'!A:A,'DGS10'!B:B,"",-1)</f>
        <v>2.82</v>
      </c>
      <c r="H493">
        <f t="shared" si="58"/>
        <v>9.9999999999997868E-3</v>
      </c>
      <c r="I493" s="2">
        <f>_xlfn.XLOOKUP(A493,T10Y3M!A:A,T10Y3M!B:B,"",-1)</f>
        <v>1.05</v>
      </c>
      <c r="J493" s="2">
        <f>_xlfn.XLOOKUP(A493,BAMLC0A4CBBB!A:A,BAMLC0A4CBBB!B:B,"",-1)</f>
        <v>1.38</v>
      </c>
      <c r="K493" s="2">
        <f>_xlfn.XLOOKUP(A493,CPIAUCSL!A:A,CPIAUCSL!B:B,"",-1)</f>
        <v>249.577</v>
      </c>
      <c r="L493">
        <f>_xlfn.XLOOKUP(A493,DFF!A:A,DFF!B:B,"",-1)</f>
        <v>1.43</v>
      </c>
      <c r="M493">
        <f>_xlfn.XLOOKUP(A493,'DGS2'!A:A,'DGS2'!B:B,"",-1)</f>
        <v>2.29</v>
      </c>
      <c r="N493">
        <f t="shared" si="59"/>
        <v>3.0000000000000249E-2</v>
      </c>
      <c r="O493">
        <f t="shared" si="60"/>
        <v>1.7034720983646334E-3</v>
      </c>
      <c r="P493">
        <f t="shared" si="61"/>
        <v>1</v>
      </c>
      <c r="Q493">
        <f t="shared" si="62"/>
        <v>0</v>
      </c>
      <c r="R493" s="3">
        <v>61.68</v>
      </c>
    </row>
    <row r="494" spans="1:18">
      <c r="A494" s="1">
        <v>43175</v>
      </c>
      <c r="B494">
        <v>2752.01</v>
      </c>
      <c r="C494">
        <f t="shared" si="56"/>
        <v>1.7034720983646334E-3</v>
      </c>
      <c r="D494">
        <f t="shared" si="63"/>
        <v>-4.8095873518699817E-3</v>
      </c>
      <c r="E494">
        <f>_xlfn.XLOOKUP(A494,VIX!A:A,VIX!B:B,"",-1)</f>
        <v>15.8</v>
      </c>
      <c r="F494">
        <f t="shared" si="57"/>
        <v>-0.78999999999999915</v>
      </c>
      <c r="G494">
        <f>_xlfn.XLOOKUP(A494,'DGS10'!A:A,'DGS10'!B:B,"",-1)</f>
        <v>2.85</v>
      </c>
      <c r="H494">
        <f t="shared" si="58"/>
        <v>3.0000000000000249E-2</v>
      </c>
      <c r="I494" s="2">
        <f>_xlfn.XLOOKUP(A494,T10Y3M!A:A,T10Y3M!B:B,"",-1)</f>
        <v>1.07</v>
      </c>
      <c r="J494" s="2">
        <f>_xlfn.XLOOKUP(A494,BAMLC0A4CBBB!A:A,BAMLC0A4CBBB!B:B,"",-1)</f>
        <v>1.37</v>
      </c>
      <c r="K494" s="2">
        <f>_xlfn.XLOOKUP(A494,CPIAUCSL!A:A,CPIAUCSL!B:B,"",-1)</f>
        <v>249.577</v>
      </c>
      <c r="L494">
        <f>_xlfn.XLOOKUP(A494,DFF!A:A,DFF!B:B,"",-1)</f>
        <v>1.43</v>
      </c>
      <c r="M494">
        <f>_xlfn.XLOOKUP(A494,'DGS2'!A:A,'DGS2'!B:B,"",-1)</f>
        <v>2.31</v>
      </c>
      <c r="N494">
        <f t="shared" si="59"/>
        <v>2.0000000000000018E-2</v>
      </c>
      <c r="O494">
        <f t="shared" si="60"/>
        <v>-1.4204163502312905E-2</v>
      </c>
      <c r="P494">
        <f t="shared" si="61"/>
        <v>0</v>
      </c>
      <c r="Q494">
        <f t="shared" si="62"/>
        <v>-1</v>
      </c>
      <c r="R494" s="3"/>
    </row>
    <row r="495" spans="1:18">
      <c r="A495" s="1">
        <v>43178</v>
      </c>
      <c r="B495">
        <v>2712.92</v>
      </c>
      <c r="C495">
        <f t="shared" si="56"/>
        <v>-1.4204163502312905E-2</v>
      </c>
      <c r="D495">
        <f t="shared" si="63"/>
        <v>-1.3297059807672706E-2</v>
      </c>
      <c r="E495">
        <f>_xlfn.XLOOKUP(A495,VIX!A:A,VIX!B:B,"",-1)</f>
        <v>19.02</v>
      </c>
      <c r="F495">
        <f t="shared" si="57"/>
        <v>3.2199999999999989</v>
      </c>
      <c r="G495">
        <f>_xlfn.XLOOKUP(A495,'DGS10'!A:A,'DGS10'!B:B,"",-1)</f>
        <v>2.85</v>
      </c>
      <c r="H495">
        <f t="shared" si="58"/>
        <v>0</v>
      </c>
      <c r="I495" s="2">
        <f>_xlfn.XLOOKUP(A495,T10Y3M!A:A,T10Y3M!B:B,"",-1)</f>
        <v>1.05</v>
      </c>
      <c r="J495" s="2">
        <f>_xlfn.XLOOKUP(A495,BAMLC0A4CBBB!A:A,BAMLC0A4CBBB!B:B,"",-1)</f>
        <v>1.38</v>
      </c>
      <c r="K495" s="2">
        <f>_xlfn.XLOOKUP(A495,CPIAUCSL!A:A,CPIAUCSL!B:B,"",-1)</f>
        <v>249.577</v>
      </c>
      <c r="L495">
        <f>_xlfn.XLOOKUP(A495,DFF!A:A,DFF!B:B,"",-1)</f>
        <v>1.43</v>
      </c>
      <c r="M495">
        <f>_xlfn.XLOOKUP(A495,'DGS2'!A:A,'DGS2'!B:B,"",-1)</f>
        <v>2.31</v>
      </c>
      <c r="N495">
        <f t="shared" si="59"/>
        <v>0</v>
      </c>
      <c r="O495">
        <f t="shared" si="60"/>
        <v>1.4817982100467919E-3</v>
      </c>
      <c r="P495">
        <f t="shared" si="61"/>
        <v>1</v>
      </c>
      <c r="Q495">
        <f t="shared" si="62"/>
        <v>0</v>
      </c>
      <c r="R495" s="3">
        <v>61.9</v>
      </c>
    </row>
    <row r="496" spans="1:18">
      <c r="A496" s="1">
        <v>43179</v>
      </c>
      <c r="B496">
        <v>2716.94</v>
      </c>
      <c r="C496">
        <f t="shared" si="56"/>
        <v>1.4817982100467919E-3</v>
      </c>
      <c r="D496">
        <f t="shared" si="63"/>
        <v>-1.1061648946431579E-2</v>
      </c>
      <c r="E496">
        <f>_xlfn.XLOOKUP(A496,VIX!A:A,VIX!B:B,"",-1)</f>
        <v>18.2</v>
      </c>
      <c r="F496">
        <f t="shared" si="57"/>
        <v>-0.82000000000000028</v>
      </c>
      <c r="G496">
        <f>_xlfn.XLOOKUP(A496,'DGS10'!A:A,'DGS10'!B:B,"",-1)</f>
        <v>2.89</v>
      </c>
      <c r="H496">
        <f t="shared" si="58"/>
        <v>4.0000000000000036E-2</v>
      </c>
      <c r="I496" s="2">
        <f>_xlfn.XLOOKUP(A496,T10Y3M!A:A,T10Y3M!B:B,"",-1)</f>
        <v>1.08</v>
      </c>
      <c r="J496" s="2">
        <f>_xlfn.XLOOKUP(A496,BAMLC0A4CBBB!A:A,BAMLC0A4CBBB!B:B,"",-1)</f>
        <v>1.38</v>
      </c>
      <c r="K496" s="2">
        <f>_xlfn.XLOOKUP(A496,CPIAUCSL!A:A,CPIAUCSL!B:B,"",-1)</f>
        <v>249.577</v>
      </c>
      <c r="L496">
        <f>_xlfn.XLOOKUP(A496,DFF!A:A,DFF!B:B,"",-1)</f>
        <v>1.44</v>
      </c>
      <c r="M496">
        <f>_xlfn.XLOOKUP(A496,'DGS2'!A:A,'DGS2'!B:B,"",-1)</f>
        <v>2.34</v>
      </c>
      <c r="N496">
        <f t="shared" si="59"/>
        <v>2.9999999999999805E-2</v>
      </c>
      <c r="O496">
        <f t="shared" si="60"/>
        <v>-1.8439862492363179E-3</v>
      </c>
      <c r="P496">
        <f t="shared" si="61"/>
        <v>0</v>
      </c>
      <c r="Q496">
        <f t="shared" si="62"/>
        <v>0</v>
      </c>
      <c r="R496" s="3">
        <v>61.68</v>
      </c>
    </row>
    <row r="497" spans="1:18">
      <c r="A497" s="1">
        <v>43180</v>
      </c>
      <c r="B497">
        <v>2711.93</v>
      </c>
      <c r="C497">
        <f t="shared" si="56"/>
        <v>-1.8439862492363179E-3</v>
      </c>
      <c r="D497">
        <f t="shared" si="63"/>
        <v>-1.4563900567221899E-2</v>
      </c>
      <c r="E497">
        <f>_xlfn.XLOOKUP(A497,VIX!A:A,VIX!B:B,"",-1)</f>
        <v>17.86</v>
      </c>
      <c r="F497">
        <f t="shared" si="57"/>
        <v>-0.33999999999999986</v>
      </c>
      <c r="G497">
        <f>_xlfn.XLOOKUP(A497,'DGS10'!A:A,'DGS10'!B:B,"",-1)</f>
        <v>2.89</v>
      </c>
      <c r="H497">
        <f t="shared" si="58"/>
        <v>0</v>
      </c>
      <c r="I497" s="2">
        <f>_xlfn.XLOOKUP(A497,T10Y3M!A:A,T10Y3M!B:B,"",-1)</f>
        <v>1.1499999999999999</v>
      </c>
      <c r="J497" s="2">
        <f>_xlfn.XLOOKUP(A497,BAMLC0A4CBBB!A:A,BAMLC0A4CBBB!B:B,"",-1)</f>
        <v>1.39</v>
      </c>
      <c r="K497" s="2">
        <f>_xlfn.XLOOKUP(A497,CPIAUCSL!A:A,CPIAUCSL!B:B,"",-1)</f>
        <v>249.577</v>
      </c>
      <c r="L497">
        <f>_xlfn.XLOOKUP(A497,DFF!A:A,DFF!B:B,"",-1)</f>
        <v>1.44</v>
      </c>
      <c r="M497">
        <f>_xlfn.XLOOKUP(A497,'DGS2'!A:A,'DGS2'!B:B,"",-1)</f>
        <v>2.31</v>
      </c>
      <c r="N497">
        <f t="shared" si="59"/>
        <v>-2.9999999999999805E-2</v>
      </c>
      <c r="O497">
        <f t="shared" si="60"/>
        <v>-2.5162891372564888E-2</v>
      </c>
      <c r="P497">
        <f t="shared" si="61"/>
        <v>0</v>
      </c>
      <c r="Q497">
        <f t="shared" si="62"/>
        <v>-1</v>
      </c>
      <c r="R497" s="3">
        <v>62.77</v>
      </c>
    </row>
    <row r="498" spans="1:18">
      <c r="A498" s="1">
        <v>43181</v>
      </c>
      <c r="B498">
        <v>2643.69</v>
      </c>
      <c r="C498">
        <f t="shared" si="56"/>
        <v>-2.5162891372564888E-2</v>
      </c>
      <c r="D498">
        <f t="shared" si="63"/>
        <v>-2.5518629373516344E-2</v>
      </c>
      <c r="E498">
        <f>_xlfn.XLOOKUP(A498,VIX!A:A,VIX!B:B,"",-1)</f>
        <v>23.34</v>
      </c>
      <c r="F498">
        <f t="shared" si="57"/>
        <v>5.48</v>
      </c>
      <c r="G498">
        <f>_xlfn.XLOOKUP(A498,'DGS10'!A:A,'DGS10'!B:B,"",-1)</f>
        <v>2.83</v>
      </c>
      <c r="H498">
        <f t="shared" si="58"/>
        <v>-6.0000000000000053E-2</v>
      </c>
      <c r="I498" s="2">
        <f>_xlfn.XLOOKUP(A498,T10Y3M!A:A,T10Y3M!B:B,"",-1)</f>
        <v>1.1100000000000001</v>
      </c>
      <c r="J498" s="2">
        <f>_xlfn.XLOOKUP(A498,BAMLC0A4CBBB!A:A,BAMLC0A4CBBB!B:B,"",-1)</f>
        <v>1.42</v>
      </c>
      <c r="K498" s="2">
        <f>_xlfn.XLOOKUP(A498,CPIAUCSL!A:A,CPIAUCSL!B:B,"",-1)</f>
        <v>249.577</v>
      </c>
      <c r="L498">
        <f>_xlfn.XLOOKUP(A498,DFF!A:A,DFF!B:B,"",-1)</f>
        <v>1.68</v>
      </c>
      <c r="M498">
        <f>_xlfn.XLOOKUP(A498,'DGS2'!A:A,'DGS2'!B:B,"",-1)</f>
        <v>2.29</v>
      </c>
      <c r="N498">
        <f t="shared" si="59"/>
        <v>-2.0000000000000018E-2</v>
      </c>
      <c r="O498">
        <f t="shared" si="60"/>
        <v>-2.0966906104724736E-2</v>
      </c>
      <c r="P498">
        <f t="shared" si="61"/>
        <v>0</v>
      </c>
      <c r="Q498">
        <f t="shared" si="62"/>
        <v>-1</v>
      </c>
      <c r="R498" s="3">
        <v>63.55</v>
      </c>
    </row>
    <row r="499" spans="1:18">
      <c r="A499" s="1">
        <v>43182</v>
      </c>
      <c r="B499">
        <v>2588.2600000000002</v>
      </c>
      <c r="C499">
        <f t="shared" si="56"/>
        <v>-2.0966906104724736E-2</v>
      </c>
      <c r="D499">
        <f t="shared" si="63"/>
        <v>-4.7362105898547613E-2</v>
      </c>
      <c r="E499">
        <f>_xlfn.XLOOKUP(A499,VIX!A:A,VIX!B:B,"",-1)</f>
        <v>24.87</v>
      </c>
      <c r="F499">
        <f t="shared" si="57"/>
        <v>1.5300000000000011</v>
      </c>
      <c r="G499">
        <f>_xlfn.XLOOKUP(A499,'DGS10'!A:A,'DGS10'!B:B,"",-1)</f>
        <v>2.82</v>
      </c>
      <c r="H499">
        <f t="shared" si="58"/>
        <v>-1.0000000000000231E-2</v>
      </c>
      <c r="I499" s="2">
        <f>_xlfn.XLOOKUP(A499,T10Y3M!A:A,T10Y3M!B:B,"",-1)</f>
        <v>1.08</v>
      </c>
      <c r="J499" s="2">
        <f>_xlfn.XLOOKUP(A499,BAMLC0A4CBBB!A:A,BAMLC0A4CBBB!B:B,"",-1)</f>
        <v>1.43</v>
      </c>
      <c r="K499" s="2">
        <f>_xlfn.XLOOKUP(A499,CPIAUCSL!A:A,CPIAUCSL!B:B,"",-1)</f>
        <v>249.577</v>
      </c>
      <c r="L499">
        <f>_xlfn.XLOOKUP(A499,DFF!A:A,DFF!B:B,"",-1)</f>
        <v>1.68</v>
      </c>
      <c r="M499">
        <f>_xlfn.XLOOKUP(A499,'DGS2'!A:A,'DGS2'!B:B,"",-1)</f>
        <v>2.2799999999999998</v>
      </c>
      <c r="N499">
        <f t="shared" si="59"/>
        <v>-1.0000000000000231E-2</v>
      </c>
      <c r="O499">
        <f t="shared" si="60"/>
        <v>2.7157240771792601E-2</v>
      </c>
      <c r="P499">
        <f t="shared" si="61"/>
        <v>1</v>
      </c>
      <c r="Q499">
        <f t="shared" si="62"/>
        <v>1</v>
      </c>
      <c r="R499" s="3">
        <v>63.91</v>
      </c>
    </row>
    <row r="500" spans="1:18">
      <c r="A500" s="1">
        <v>43185</v>
      </c>
      <c r="B500">
        <v>2658.55</v>
      </c>
      <c r="C500">
        <f t="shared" si="56"/>
        <v>2.7157240771792601E-2</v>
      </c>
      <c r="D500">
        <f t="shared" si="63"/>
        <v>-1.9683398907788807E-2</v>
      </c>
      <c r="E500">
        <f>_xlfn.XLOOKUP(A500,VIX!A:A,VIX!B:B,"",-1)</f>
        <v>21.03</v>
      </c>
      <c r="F500">
        <f t="shared" si="57"/>
        <v>-3.84</v>
      </c>
      <c r="G500">
        <f>_xlfn.XLOOKUP(A500,'DGS10'!A:A,'DGS10'!B:B,"",-1)</f>
        <v>2.85</v>
      </c>
      <c r="H500">
        <f t="shared" si="58"/>
        <v>3.0000000000000249E-2</v>
      </c>
      <c r="I500" s="2">
        <f>_xlfn.XLOOKUP(A500,T10Y3M!A:A,T10Y3M!B:B,"",-1)</f>
        <v>1.06</v>
      </c>
      <c r="J500" s="2">
        <f>_xlfn.XLOOKUP(A500,BAMLC0A4CBBB!A:A,BAMLC0A4CBBB!B:B,"",-1)</f>
        <v>1.44</v>
      </c>
      <c r="K500" s="2">
        <f>_xlfn.XLOOKUP(A500,CPIAUCSL!A:A,CPIAUCSL!B:B,"",-1)</f>
        <v>249.577</v>
      </c>
      <c r="L500">
        <f>_xlfn.XLOOKUP(A500,DFF!A:A,DFF!B:B,"",-1)</f>
        <v>1.68</v>
      </c>
      <c r="M500">
        <f>_xlfn.XLOOKUP(A500,'DGS2'!A:A,'DGS2'!B:B,"",-1)</f>
        <v>2.33</v>
      </c>
      <c r="N500">
        <f t="shared" si="59"/>
        <v>5.0000000000000266E-2</v>
      </c>
      <c r="O500">
        <f t="shared" si="60"/>
        <v>-1.7276334844182117E-2</v>
      </c>
      <c r="P500">
        <f t="shared" si="61"/>
        <v>0</v>
      </c>
      <c r="Q500">
        <f t="shared" si="62"/>
        <v>-1</v>
      </c>
      <c r="R500" s="3">
        <v>63.01</v>
      </c>
    </row>
    <row r="501" spans="1:18">
      <c r="A501" s="1">
        <v>43186</v>
      </c>
      <c r="B501">
        <v>2612.62</v>
      </c>
      <c r="C501">
        <f t="shared" si="56"/>
        <v>-1.7276334844182117E-2</v>
      </c>
      <c r="D501">
        <f t="shared" si="63"/>
        <v>-1.1752512586574171E-2</v>
      </c>
      <c r="E501">
        <f>_xlfn.XLOOKUP(A501,VIX!A:A,VIX!B:B,"",-1)</f>
        <v>22.5</v>
      </c>
      <c r="F501">
        <f t="shared" si="57"/>
        <v>1.4699999999999989</v>
      </c>
      <c r="G501">
        <f>_xlfn.XLOOKUP(A501,'DGS10'!A:A,'DGS10'!B:B,"",-1)</f>
        <v>2.78</v>
      </c>
      <c r="H501">
        <f t="shared" si="58"/>
        <v>-7.0000000000000284E-2</v>
      </c>
      <c r="I501" s="2">
        <f>_xlfn.XLOOKUP(A501,T10Y3M!A:A,T10Y3M!B:B,"",-1)</f>
        <v>1.01</v>
      </c>
      <c r="J501" s="2">
        <f>_xlfn.XLOOKUP(A501,BAMLC0A4CBBB!A:A,BAMLC0A4CBBB!B:B,"",-1)</f>
        <v>1.44</v>
      </c>
      <c r="K501" s="2">
        <f>_xlfn.XLOOKUP(A501,CPIAUCSL!A:A,CPIAUCSL!B:B,"",-1)</f>
        <v>249.577</v>
      </c>
      <c r="L501">
        <f>_xlfn.XLOOKUP(A501,DFF!A:A,DFF!B:B,"",-1)</f>
        <v>1.68</v>
      </c>
      <c r="M501">
        <f>_xlfn.XLOOKUP(A501,'DGS2'!A:A,'DGS2'!B:B,"",-1)</f>
        <v>2.2599999999999998</v>
      </c>
      <c r="N501">
        <f t="shared" si="59"/>
        <v>-7.0000000000000284E-2</v>
      </c>
      <c r="O501">
        <f t="shared" si="60"/>
        <v>-2.9166124426820428E-3</v>
      </c>
      <c r="P501">
        <f t="shared" si="61"/>
        <v>0</v>
      </c>
      <c r="Q501">
        <f t="shared" si="62"/>
        <v>0</v>
      </c>
      <c r="R501" s="3">
        <v>61.64</v>
      </c>
    </row>
    <row r="502" spans="1:18">
      <c r="A502" s="1">
        <v>43187</v>
      </c>
      <c r="B502">
        <v>2605</v>
      </c>
      <c r="C502">
        <f t="shared" si="56"/>
        <v>-2.9166124426820428E-3</v>
      </c>
      <c r="D502">
        <f t="shared" si="63"/>
        <v>6.4676655359197088E-3</v>
      </c>
      <c r="E502">
        <f>_xlfn.XLOOKUP(A502,VIX!A:A,VIX!B:B,"",-1)</f>
        <v>22.87</v>
      </c>
      <c r="F502">
        <f t="shared" si="57"/>
        <v>0.37000000000000099</v>
      </c>
      <c r="G502">
        <f>_xlfn.XLOOKUP(A502,'DGS10'!A:A,'DGS10'!B:B,"",-1)</f>
        <v>2.77</v>
      </c>
      <c r="H502">
        <f t="shared" si="58"/>
        <v>-9.9999999999997868E-3</v>
      </c>
      <c r="I502" s="2">
        <f>_xlfn.XLOOKUP(A502,T10Y3M!A:A,T10Y3M!B:B,"",-1)</f>
        <v>1.04</v>
      </c>
      <c r="J502" s="2">
        <f>_xlfn.XLOOKUP(A502,BAMLC0A4CBBB!A:A,BAMLC0A4CBBB!B:B,"",-1)</f>
        <v>1.44</v>
      </c>
      <c r="K502" s="2">
        <f>_xlfn.XLOOKUP(A502,CPIAUCSL!A:A,CPIAUCSL!B:B,"",-1)</f>
        <v>249.577</v>
      </c>
      <c r="L502">
        <f>_xlfn.XLOOKUP(A502,DFF!A:A,DFF!B:B,"",-1)</f>
        <v>1.68</v>
      </c>
      <c r="M502">
        <f>_xlfn.XLOOKUP(A502,'DGS2'!A:A,'DGS2'!B:B,"",-1)</f>
        <v>2.2799999999999998</v>
      </c>
      <c r="N502">
        <f t="shared" si="59"/>
        <v>2.0000000000000018E-2</v>
      </c>
      <c r="O502">
        <f t="shared" si="60"/>
        <v>1.376967370441462E-2</v>
      </c>
      <c r="P502">
        <f t="shared" si="61"/>
        <v>1</v>
      </c>
      <c r="Q502">
        <f t="shared" si="62"/>
        <v>1</v>
      </c>
      <c r="R502" s="3">
        <v>60.99</v>
      </c>
    </row>
    <row r="503" spans="1:18">
      <c r="A503" s="1">
        <v>43188</v>
      </c>
      <c r="B503">
        <v>2640.87</v>
      </c>
      <c r="C503">
        <f t="shared" si="56"/>
        <v>1.376967370441462E-2</v>
      </c>
      <c r="D503">
        <f t="shared" si="63"/>
        <v>-6.6502416730925829E-3</v>
      </c>
      <c r="E503">
        <f>_xlfn.XLOOKUP(A503,VIX!A:A,VIX!B:B,"",-1)</f>
        <v>19.97</v>
      </c>
      <c r="F503">
        <f t="shared" si="57"/>
        <v>-2.9000000000000021</v>
      </c>
      <c r="G503">
        <f>_xlfn.XLOOKUP(A503,'DGS10'!A:A,'DGS10'!B:B,"",-1)</f>
        <v>2.74</v>
      </c>
      <c r="H503">
        <f t="shared" si="58"/>
        <v>-2.9999999999999805E-2</v>
      </c>
      <c r="I503" s="2">
        <f>_xlfn.XLOOKUP(A503,T10Y3M!A:A,T10Y3M!B:B,"",-1)</f>
        <v>1.01</v>
      </c>
      <c r="J503" s="2">
        <f>_xlfn.XLOOKUP(A503,BAMLC0A4CBBB!A:A,BAMLC0A4CBBB!B:B,"",-1)</f>
        <v>1.44</v>
      </c>
      <c r="K503" s="2">
        <f>_xlfn.XLOOKUP(A503,CPIAUCSL!A:A,CPIAUCSL!B:B,"",-1)</f>
        <v>249.577</v>
      </c>
      <c r="L503">
        <f>_xlfn.XLOOKUP(A503,DFF!A:A,DFF!B:B,"",-1)</f>
        <v>1.68</v>
      </c>
      <c r="M503">
        <f>_xlfn.XLOOKUP(A503,'DGS2'!A:A,'DGS2'!B:B,"",-1)</f>
        <v>2.27</v>
      </c>
      <c r="N503">
        <f t="shared" si="59"/>
        <v>-9.9999999999997868E-3</v>
      </c>
      <c r="O503">
        <f t="shared" si="60"/>
        <v>-2.233733580221664E-2</v>
      </c>
      <c r="P503">
        <f t="shared" si="61"/>
        <v>0</v>
      </c>
      <c r="Q503">
        <f t="shared" si="62"/>
        <v>-1</v>
      </c>
      <c r="R503" s="3">
        <v>61.25</v>
      </c>
    </row>
    <row r="504" spans="1:18">
      <c r="A504" s="1">
        <v>43192</v>
      </c>
      <c r="B504">
        <v>2581.88</v>
      </c>
      <c r="C504">
        <f t="shared" si="56"/>
        <v>-2.233733580221664E-2</v>
      </c>
      <c r="D504">
        <f t="shared" si="63"/>
        <v>-1.1765966730714728E-2</v>
      </c>
      <c r="E504">
        <f>_xlfn.XLOOKUP(A504,VIX!A:A,VIX!B:B,"",-1)</f>
        <v>23.62</v>
      </c>
      <c r="F504">
        <f t="shared" si="57"/>
        <v>3.6500000000000021</v>
      </c>
      <c r="G504">
        <f>_xlfn.XLOOKUP(A504,'DGS10'!A:A,'DGS10'!B:B,"",-1)</f>
        <v>2.73</v>
      </c>
      <c r="H504">
        <f t="shared" si="58"/>
        <v>-1.0000000000000231E-2</v>
      </c>
      <c r="I504" s="2">
        <f>_xlfn.XLOOKUP(A504,T10Y3M!A:A,T10Y3M!B:B,"",-1)</f>
        <v>0.96</v>
      </c>
      <c r="J504" s="2">
        <f>_xlfn.XLOOKUP(A504,BAMLC0A4CBBB!A:A,BAMLC0A4CBBB!B:B,"",-1)</f>
        <v>1.45</v>
      </c>
      <c r="K504" s="2">
        <f>_xlfn.XLOOKUP(A504,CPIAUCSL!A:A,CPIAUCSL!B:B,"",-1)</f>
        <v>250.227</v>
      </c>
      <c r="L504">
        <f>_xlfn.XLOOKUP(A504,DFF!A:A,DFF!B:B,"",-1)</f>
        <v>1.68</v>
      </c>
      <c r="M504">
        <f>_xlfn.XLOOKUP(A504,'DGS2'!A:A,'DGS2'!B:B,"",-1)</f>
        <v>2.25</v>
      </c>
      <c r="N504">
        <f t="shared" si="59"/>
        <v>-2.0000000000000018E-2</v>
      </c>
      <c r="O504">
        <f t="shared" si="60"/>
        <v>1.261483879963432E-2</v>
      </c>
      <c r="P504">
        <f t="shared" si="61"/>
        <v>1</v>
      </c>
      <c r="Q504">
        <f t="shared" si="62"/>
        <v>1</v>
      </c>
      <c r="R504" s="3">
        <v>62.57</v>
      </c>
    </row>
    <row r="505" spans="1:18">
      <c r="A505" s="1">
        <v>43193</v>
      </c>
      <c r="B505">
        <v>2614.4499999999998</v>
      </c>
      <c r="C505">
        <f t="shared" si="56"/>
        <v>1.261483879963432E-2</v>
      </c>
      <c r="D505">
        <f t="shared" si="63"/>
        <v>3.6276391554701526E-3</v>
      </c>
      <c r="E505">
        <f>_xlfn.XLOOKUP(A505,VIX!A:A,VIX!B:B,"",-1)</f>
        <v>21.1</v>
      </c>
      <c r="F505">
        <f t="shared" si="57"/>
        <v>-2.5199999999999996</v>
      </c>
      <c r="G505">
        <f>_xlfn.XLOOKUP(A505,'DGS10'!A:A,'DGS10'!B:B,"",-1)</f>
        <v>2.79</v>
      </c>
      <c r="H505">
        <f t="shared" si="58"/>
        <v>6.0000000000000053E-2</v>
      </c>
      <c r="I505" s="2">
        <f>_xlfn.XLOOKUP(A505,T10Y3M!A:A,T10Y3M!B:B,"",-1)</f>
        <v>1.04</v>
      </c>
      <c r="J505" s="2">
        <f>_xlfn.XLOOKUP(A505,BAMLC0A4CBBB!A:A,BAMLC0A4CBBB!B:B,"",-1)</f>
        <v>1.45</v>
      </c>
      <c r="K505" s="2">
        <f>_xlfn.XLOOKUP(A505,CPIAUCSL!A:A,CPIAUCSL!B:B,"",-1)</f>
        <v>250.227</v>
      </c>
      <c r="L505">
        <f>_xlfn.XLOOKUP(A505,DFF!A:A,DFF!B:B,"",-1)</f>
        <v>1.69</v>
      </c>
      <c r="M505">
        <f>_xlfn.XLOOKUP(A505,'DGS2'!A:A,'DGS2'!B:B,"",-1)</f>
        <v>2.2799999999999998</v>
      </c>
      <c r="N505">
        <f t="shared" si="59"/>
        <v>2.9999999999999805E-2</v>
      </c>
      <c r="O505">
        <f t="shared" si="60"/>
        <v>1.1566486259060316E-2</v>
      </c>
      <c r="P505">
        <f t="shared" si="61"/>
        <v>1</v>
      </c>
      <c r="Q505">
        <f t="shared" si="62"/>
        <v>1</v>
      </c>
      <c r="R505" s="3">
        <v>62.6</v>
      </c>
    </row>
    <row r="506" spans="1:18">
      <c r="A506" s="1">
        <v>43194</v>
      </c>
      <c r="B506">
        <v>2644.69</v>
      </c>
      <c r="C506">
        <f t="shared" si="56"/>
        <v>1.1566486259060316E-2</v>
      </c>
      <c r="D506">
        <f t="shared" si="63"/>
        <v>1.4464930117727981E-3</v>
      </c>
      <c r="E506">
        <f>_xlfn.XLOOKUP(A506,VIX!A:A,VIX!B:B,"",-1)</f>
        <v>20.059999999999999</v>
      </c>
      <c r="F506">
        <f t="shared" si="57"/>
        <v>-1.0400000000000027</v>
      </c>
      <c r="G506">
        <f>_xlfn.XLOOKUP(A506,'DGS10'!A:A,'DGS10'!B:B,"",-1)</f>
        <v>2.79</v>
      </c>
      <c r="H506">
        <f t="shared" si="58"/>
        <v>0</v>
      </c>
      <c r="I506" s="2">
        <f>_xlfn.XLOOKUP(A506,T10Y3M!A:A,T10Y3M!B:B,"",-1)</f>
        <v>1.08</v>
      </c>
      <c r="J506" s="2">
        <f>_xlfn.XLOOKUP(A506,BAMLC0A4CBBB!A:A,BAMLC0A4CBBB!B:B,"",-1)</f>
        <v>1.44</v>
      </c>
      <c r="K506" s="2">
        <f>_xlfn.XLOOKUP(A506,CPIAUCSL!A:A,CPIAUCSL!B:B,"",-1)</f>
        <v>250.227</v>
      </c>
      <c r="L506">
        <f>_xlfn.XLOOKUP(A506,DFF!A:A,DFF!B:B,"",-1)</f>
        <v>1.69</v>
      </c>
      <c r="M506">
        <f>_xlfn.XLOOKUP(A506,'DGS2'!A:A,'DGS2'!B:B,"",-1)</f>
        <v>2.2799999999999998</v>
      </c>
      <c r="N506">
        <f t="shared" si="59"/>
        <v>0</v>
      </c>
      <c r="O506">
        <f t="shared" si="60"/>
        <v>6.8628081173975897E-3</v>
      </c>
      <c r="P506">
        <f t="shared" si="61"/>
        <v>1</v>
      </c>
      <c r="Q506">
        <f t="shared" si="62"/>
        <v>1</v>
      </c>
      <c r="R506" s="3">
        <v>61.15</v>
      </c>
    </row>
    <row r="507" spans="1:18">
      <c r="A507" s="1">
        <v>43195</v>
      </c>
      <c r="B507">
        <v>2662.84</v>
      </c>
      <c r="C507">
        <f t="shared" si="56"/>
        <v>6.8628081173975897E-3</v>
      </c>
      <c r="D507">
        <f t="shared" si="63"/>
        <v>3.1356995677568333E-2</v>
      </c>
      <c r="E507">
        <f>_xlfn.XLOOKUP(A507,VIX!A:A,VIX!B:B,"",-1)</f>
        <v>18.940000000000001</v>
      </c>
      <c r="F507">
        <f t="shared" si="57"/>
        <v>-1.1199999999999974</v>
      </c>
      <c r="G507">
        <f>_xlfn.XLOOKUP(A507,'DGS10'!A:A,'DGS10'!B:B,"",-1)</f>
        <v>2.83</v>
      </c>
      <c r="H507">
        <f t="shared" si="58"/>
        <v>4.0000000000000036E-2</v>
      </c>
      <c r="I507" s="2">
        <f>_xlfn.XLOOKUP(A507,T10Y3M!A:A,T10Y3M!B:B,"",-1)</f>
        <v>1.1100000000000001</v>
      </c>
      <c r="J507" s="2">
        <f>_xlfn.XLOOKUP(A507,BAMLC0A4CBBB!A:A,BAMLC0A4CBBB!B:B,"",-1)</f>
        <v>1.42</v>
      </c>
      <c r="K507" s="2">
        <f>_xlfn.XLOOKUP(A507,CPIAUCSL!A:A,CPIAUCSL!B:B,"",-1)</f>
        <v>250.227</v>
      </c>
      <c r="L507">
        <f>_xlfn.XLOOKUP(A507,DFF!A:A,DFF!B:B,"",-1)</f>
        <v>1.69</v>
      </c>
      <c r="M507">
        <f>_xlfn.XLOOKUP(A507,'DGS2'!A:A,'DGS2'!B:B,"",-1)</f>
        <v>2.2999999999999998</v>
      </c>
      <c r="N507">
        <f t="shared" si="59"/>
        <v>2.0000000000000018E-2</v>
      </c>
      <c r="O507">
        <f t="shared" si="60"/>
        <v>-2.192020549488527E-2</v>
      </c>
      <c r="P507">
        <f t="shared" si="61"/>
        <v>0</v>
      </c>
      <c r="Q507">
        <f t="shared" si="62"/>
        <v>-1</v>
      </c>
      <c r="R507" s="3">
        <v>60.12</v>
      </c>
    </row>
    <row r="508" spans="1:18">
      <c r="A508" s="1">
        <v>43196</v>
      </c>
      <c r="B508">
        <v>2604.4699999999998</v>
      </c>
      <c r="C508">
        <f t="shared" si="56"/>
        <v>-2.192020549488527E-2</v>
      </c>
      <c r="D508">
        <f t="shared" si="63"/>
        <v>-3.8172464571898379E-3</v>
      </c>
      <c r="E508">
        <f>_xlfn.XLOOKUP(A508,VIX!A:A,VIX!B:B,"",-1)</f>
        <v>21.49</v>
      </c>
      <c r="F508">
        <f t="shared" si="57"/>
        <v>2.5499999999999972</v>
      </c>
      <c r="G508">
        <f>_xlfn.XLOOKUP(A508,'DGS10'!A:A,'DGS10'!B:B,"",-1)</f>
        <v>2.77</v>
      </c>
      <c r="H508">
        <f t="shared" si="58"/>
        <v>-6.0000000000000053E-2</v>
      </c>
      <c r="I508" s="2">
        <f>_xlfn.XLOOKUP(A508,T10Y3M!A:A,T10Y3M!B:B,"",-1)</f>
        <v>1.04</v>
      </c>
      <c r="J508" s="2">
        <f>_xlfn.XLOOKUP(A508,BAMLC0A4CBBB!A:A,BAMLC0A4CBBB!B:B,"",-1)</f>
        <v>1.42</v>
      </c>
      <c r="K508" s="2">
        <f>_xlfn.XLOOKUP(A508,CPIAUCSL!A:A,CPIAUCSL!B:B,"",-1)</f>
        <v>250.227</v>
      </c>
      <c r="L508">
        <f>_xlfn.XLOOKUP(A508,DFF!A:A,DFF!B:B,"",-1)</f>
        <v>1.69</v>
      </c>
      <c r="M508">
        <f>_xlfn.XLOOKUP(A508,'DGS2'!A:A,'DGS2'!B:B,"",-1)</f>
        <v>2.27</v>
      </c>
      <c r="N508">
        <f t="shared" si="59"/>
        <v>-2.9999999999999805E-2</v>
      </c>
      <c r="O508">
        <f t="shared" si="60"/>
        <v>3.336571356168383E-3</v>
      </c>
      <c r="P508">
        <f t="shared" si="61"/>
        <v>1</v>
      </c>
      <c r="Q508">
        <f t="shared" si="62"/>
        <v>1</v>
      </c>
      <c r="R508" s="3">
        <v>62.04</v>
      </c>
    </row>
    <row r="509" spans="1:18">
      <c r="A509" s="1">
        <v>43199</v>
      </c>
      <c r="B509">
        <v>2613.16</v>
      </c>
      <c r="C509">
        <f t="shared" si="56"/>
        <v>3.336571356168383E-3</v>
      </c>
      <c r="D509">
        <f t="shared" si="63"/>
        <v>-1.1922002200636106E-2</v>
      </c>
      <c r="E509">
        <f>_xlfn.XLOOKUP(A509,VIX!A:A,VIX!B:B,"",-1)</f>
        <v>21.77</v>
      </c>
      <c r="F509">
        <f t="shared" si="57"/>
        <v>0.28000000000000114</v>
      </c>
      <c r="G509">
        <f>_xlfn.XLOOKUP(A509,'DGS10'!A:A,'DGS10'!B:B,"",-1)</f>
        <v>2.78</v>
      </c>
      <c r="H509">
        <f t="shared" si="58"/>
        <v>9.9999999999997868E-3</v>
      </c>
      <c r="I509" s="2">
        <f>_xlfn.XLOOKUP(A509,T10Y3M!A:A,T10Y3M!B:B,"",-1)</f>
        <v>1.02</v>
      </c>
      <c r="J509" s="2">
        <f>_xlfn.XLOOKUP(A509,BAMLC0A4CBBB!A:A,BAMLC0A4CBBB!B:B,"",-1)</f>
        <v>1.42</v>
      </c>
      <c r="K509" s="2">
        <f>_xlfn.XLOOKUP(A509,CPIAUCSL!A:A,CPIAUCSL!B:B,"",-1)</f>
        <v>250.227</v>
      </c>
      <c r="L509">
        <f>_xlfn.XLOOKUP(A509,DFF!A:A,DFF!B:B,"",-1)</f>
        <v>1.69</v>
      </c>
      <c r="M509">
        <f>_xlfn.XLOOKUP(A509,'DGS2'!A:A,'DGS2'!B:B,"",-1)</f>
        <v>2.29</v>
      </c>
      <c r="N509">
        <f t="shared" si="59"/>
        <v>2.0000000000000018E-2</v>
      </c>
      <c r="O509">
        <f t="shared" si="60"/>
        <v>1.6726874741691988E-2</v>
      </c>
      <c r="P509">
        <f t="shared" si="61"/>
        <v>1</v>
      </c>
      <c r="Q509">
        <f t="shared" si="62"/>
        <v>1</v>
      </c>
      <c r="R509" s="3">
        <v>61.36</v>
      </c>
    </row>
    <row r="510" spans="1:18">
      <c r="A510" s="1">
        <v>43200</v>
      </c>
      <c r="B510">
        <v>2656.87</v>
      </c>
      <c r="C510">
        <f t="shared" si="56"/>
        <v>1.6726874741691988E-2</v>
      </c>
      <c r="D510">
        <f t="shared" si="63"/>
        <v>-2.2419672229651022E-3</v>
      </c>
      <c r="E510">
        <f>_xlfn.XLOOKUP(A510,VIX!A:A,VIX!B:B,"",-1)</f>
        <v>20.47</v>
      </c>
      <c r="F510">
        <f t="shared" si="57"/>
        <v>-1.3000000000000007</v>
      </c>
      <c r="G510">
        <f>_xlfn.XLOOKUP(A510,'DGS10'!A:A,'DGS10'!B:B,"",-1)</f>
        <v>2.8</v>
      </c>
      <c r="H510">
        <f t="shared" si="58"/>
        <v>2.0000000000000018E-2</v>
      </c>
      <c r="I510" s="2">
        <f>_xlfn.XLOOKUP(A510,T10Y3M!A:A,T10Y3M!B:B,"",-1)</f>
        <v>1.06</v>
      </c>
      <c r="J510" s="2">
        <f>_xlfn.XLOOKUP(A510,BAMLC0A4CBBB!A:A,BAMLC0A4CBBB!B:B,"",-1)</f>
        <v>1.42</v>
      </c>
      <c r="K510" s="2">
        <f>_xlfn.XLOOKUP(A510,CPIAUCSL!A:A,CPIAUCSL!B:B,"",-1)</f>
        <v>250.227</v>
      </c>
      <c r="L510">
        <f>_xlfn.XLOOKUP(A510,DFF!A:A,DFF!B:B,"",-1)</f>
        <v>1.69</v>
      </c>
      <c r="M510">
        <f>_xlfn.XLOOKUP(A510,'DGS2'!A:A,'DGS2'!B:B,"",-1)</f>
        <v>2.3199999999999998</v>
      </c>
      <c r="N510">
        <f t="shared" si="59"/>
        <v>2.9999999999999805E-2</v>
      </c>
      <c r="O510">
        <f t="shared" si="60"/>
        <v>-5.5252985656053522E-3</v>
      </c>
      <c r="P510">
        <f t="shared" si="61"/>
        <v>0</v>
      </c>
      <c r="Q510">
        <f t="shared" si="62"/>
        <v>-1</v>
      </c>
      <c r="R510" s="3">
        <v>60.71</v>
      </c>
    </row>
    <row r="511" spans="1:18">
      <c r="A511" s="1">
        <v>43201</v>
      </c>
      <c r="B511">
        <v>2642.19</v>
      </c>
      <c r="C511">
        <f t="shared" si="56"/>
        <v>-5.5252985656053522E-3</v>
      </c>
      <c r="D511">
        <f t="shared" si="63"/>
        <v>1.4482793044266362E-2</v>
      </c>
      <c r="E511">
        <f>_xlfn.XLOOKUP(A511,VIX!A:A,VIX!B:B,"",-1)</f>
        <v>20.239999999999998</v>
      </c>
      <c r="F511">
        <f t="shared" si="57"/>
        <v>-0.23000000000000043</v>
      </c>
      <c r="G511">
        <f>_xlfn.XLOOKUP(A511,'DGS10'!A:A,'DGS10'!B:B,"",-1)</f>
        <v>2.79</v>
      </c>
      <c r="H511">
        <f t="shared" si="58"/>
        <v>-9.9999999999997868E-3</v>
      </c>
      <c r="I511" s="2">
        <f>_xlfn.XLOOKUP(A511,T10Y3M!A:A,T10Y3M!B:B,"",-1)</f>
        <v>1.06</v>
      </c>
      <c r="J511" s="2">
        <f>_xlfn.XLOOKUP(A511,BAMLC0A4CBBB!A:A,BAMLC0A4CBBB!B:B,"",-1)</f>
        <v>1.41</v>
      </c>
      <c r="K511" s="2">
        <f>_xlfn.XLOOKUP(A511,CPIAUCSL!A:A,CPIAUCSL!B:B,"",-1)</f>
        <v>250.227</v>
      </c>
      <c r="L511">
        <f>_xlfn.XLOOKUP(A511,DFF!A:A,DFF!B:B,"",-1)</f>
        <v>1.69</v>
      </c>
      <c r="M511">
        <f>_xlfn.XLOOKUP(A511,'DGS2'!A:A,'DGS2'!B:B,"",-1)</f>
        <v>2.3199999999999998</v>
      </c>
      <c r="N511">
        <f t="shared" si="59"/>
        <v>0</v>
      </c>
      <c r="O511">
        <f t="shared" si="60"/>
        <v>8.2507314008453125E-3</v>
      </c>
      <c r="P511">
        <f t="shared" si="61"/>
        <v>1</v>
      </c>
      <c r="Q511">
        <f t="shared" si="62"/>
        <v>1</v>
      </c>
      <c r="R511" s="3">
        <v>60.96</v>
      </c>
    </row>
    <row r="512" spans="1:18">
      <c r="A512" s="1">
        <v>43202</v>
      </c>
      <c r="B512">
        <v>2663.99</v>
      </c>
      <c r="C512">
        <f t="shared" si="56"/>
        <v>8.2507314008453125E-3</v>
      </c>
      <c r="D512">
        <f t="shared" si="63"/>
        <v>1.9451545255552594E-2</v>
      </c>
      <c r="E512">
        <f>_xlfn.XLOOKUP(A512,VIX!A:A,VIX!B:B,"",-1)</f>
        <v>18.489999999999998</v>
      </c>
      <c r="F512">
        <f t="shared" si="57"/>
        <v>-1.75</v>
      </c>
      <c r="G512">
        <f>_xlfn.XLOOKUP(A512,'DGS10'!A:A,'DGS10'!B:B,"",-1)</f>
        <v>2.83</v>
      </c>
      <c r="H512">
        <f t="shared" si="58"/>
        <v>4.0000000000000036E-2</v>
      </c>
      <c r="I512" s="2">
        <f>_xlfn.XLOOKUP(A512,T10Y3M!A:A,T10Y3M!B:B,"",-1)</f>
        <v>1.08</v>
      </c>
      <c r="J512" s="2">
        <f>_xlfn.XLOOKUP(A512,BAMLC0A4CBBB!A:A,BAMLC0A4CBBB!B:B,"",-1)</f>
        <v>1.4</v>
      </c>
      <c r="K512" s="2">
        <f>_xlfn.XLOOKUP(A512,CPIAUCSL!A:A,CPIAUCSL!B:B,"",-1)</f>
        <v>250.227</v>
      </c>
      <c r="L512">
        <f>_xlfn.XLOOKUP(A512,DFF!A:A,DFF!B:B,"",-1)</f>
        <v>1.69</v>
      </c>
      <c r="M512">
        <f>_xlfn.XLOOKUP(A512,'DGS2'!A:A,'DGS2'!B:B,"",-1)</f>
        <v>2.34</v>
      </c>
      <c r="N512">
        <f t="shared" si="59"/>
        <v>2.0000000000000018E-2</v>
      </c>
      <c r="O512">
        <f t="shared" si="60"/>
        <v>-2.8866474724003055E-3</v>
      </c>
      <c r="P512">
        <f t="shared" si="61"/>
        <v>0</v>
      </c>
      <c r="Q512">
        <f t="shared" si="62"/>
        <v>0</v>
      </c>
      <c r="R512" s="3">
        <v>61.19</v>
      </c>
    </row>
    <row r="513" spans="1:18">
      <c r="A513" s="1">
        <v>43203</v>
      </c>
      <c r="B513">
        <v>2656.3</v>
      </c>
      <c r="C513">
        <f t="shared" si="56"/>
        <v>-2.8866474724003055E-3</v>
      </c>
      <c r="D513">
        <f t="shared" si="63"/>
        <v>-2.1453815956362643E-4</v>
      </c>
      <c r="E513">
        <f>_xlfn.XLOOKUP(A513,VIX!A:A,VIX!B:B,"",-1)</f>
        <v>17.41</v>
      </c>
      <c r="F513">
        <f t="shared" si="57"/>
        <v>-1.0799999999999983</v>
      </c>
      <c r="G513">
        <f>_xlfn.XLOOKUP(A513,'DGS10'!A:A,'DGS10'!B:B,"",-1)</f>
        <v>2.82</v>
      </c>
      <c r="H513">
        <f t="shared" si="58"/>
        <v>-1.0000000000000231E-2</v>
      </c>
      <c r="I513" s="2">
        <f>_xlfn.XLOOKUP(A513,T10Y3M!A:A,T10Y3M!B:B,"",-1)</f>
        <v>1.06</v>
      </c>
      <c r="J513" s="2">
        <f>_xlfn.XLOOKUP(A513,BAMLC0A4CBBB!A:A,BAMLC0A4CBBB!B:B,"",-1)</f>
        <v>1.39</v>
      </c>
      <c r="K513" s="2">
        <f>_xlfn.XLOOKUP(A513,CPIAUCSL!A:A,CPIAUCSL!B:B,"",-1)</f>
        <v>250.227</v>
      </c>
      <c r="L513">
        <f>_xlfn.XLOOKUP(A513,DFF!A:A,DFF!B:B,"",-1)</f>
        <v>1.69</v>
      </c>
      <c r="M513">
        <f>_xlfn.XLOOKUP(A513,'DGS2'!A:A,'DGS2'!B:B,"",-1)</f>
        <v>2.37</v>
      </c>
      <c r="N513">
        <f t="shared" si="59"/>
        <v>3.0000000000000249E-2</v>
      </c>
      <c r="O513">
        <f t="shared" si="60"/>
        <v>8.1090238301395612E-3</v>
      </c>
      <c r="P513">
        <f t="shared" si="61"/>
        <v>1</v>
      </c>
      <c r="Q513">
        <f t="shared" si="62"/>
        <v>1</v>
      </c>
      <c r="R513" s="3">
        <v>62.34</v>
      </c>
    </row>
    <row r="514" spans="1:18">
      <c r="A514" s="1">
        <v>43206</v>
      </c>
      <c r="B514">
        <v>2677.84</v>
      </c>
      <c r="C514">
        <f t="shared" si="56"/>
        <v>8.1090238301395612E-3</v>
      </c>
      <c r="D514">
        <f t="shared" si="63"/>
        <v>1.3492595157804654E-2</v>
      </c>
      <c r="E514">
        <f>_xlfn.XLOOKUP(A514,VIX!A:A,VIX!B:B,"",-1)</f>
        <v>16.559999999999999</v>
      </c>
      <c r="F514">
        <f t="shared" si="57"/>
        <v>-0.85000000000000142</v>
      </c>
      <c r="G514">
        <f>_xlfn.XLOOKUP(A514,'DGS10'!A:A,'DGS10'!B:B,"",-1)</f>
        <v>2.83</v>
      </c>
      <c r="H514">
        <f t="shared" si="58"/>
        <v>1.0000000000000231E-2</v>
      </c>
      <c r="I514" s="2">
        <f>_xlfn.XLOOKUP(A514,T10Y3M!A:A,T10Y3M!B:B,"",-1)</f>
        <v>1.04</v>
      </c>
      <c r="J514" s="2">
        <f>_xlfn.XLOOKUP(A514,BAMLC0A4CBBB!A:A,BAMLC0A4CBBB!B:B,"",-1)</f>
        <v>1.39</v>
      </c>
      <c r="K514" s="2">
        <f>_xlfn.XLOOKUP(A514,CPIAUCSL!A:A,CPIAUCSL!B:B,"",-1)</f>
        <v>250.227</v>
      </c>
      <c r="L514">
        <f>_xlfn.XLOOKUP(A514,DFF!A:A,DFF!B:B,"",-1)</f>
        <v>1.69</v>
      </c>
      <c r="M514">
        <f>_xlfn.XLOOKUP(A514,'DGS2'!A:A,'DGS2'!B:B,"",-1)</f>
        <v>2.39</v>
      </c>
      <c r="N514">
        <f t="shared" si="59"/>
        <v>2.0000000000000018E-2</v>
      </c>
      <c r="O514">
        <f t="shared" si="60"/>
        <v>1.0661577988229309E-2</v>
      </c>
      <c r="P514">
        <f t="shared" si="61"/>
        <v>1</v>
      </c>
      <c r="Q514">
        <f t="shared" si="62"/>
        <v>1</v>
      </c>
      <c r="R514" s="3">
        <v>62.06</v>
      </c>
    </row>
    <row r="515" spans="1:18">
      <c r="A515" s="1">
        <v>43207</v>
      </c>
      <c r="B515">
        <v>2706.39</v>
      </c>
      <c r="C515">
        <f t="shared" si="56"/>
        <v>1.0661577988229309E-2</v>
      </c>
      <c r="D515">
        <f t="shared" si="63"/>
        <v>1.5915975660569348E-2</v>
      </c>
      <c r="E515">
        <f>_xlfn.XLOOKUP(A515,VIX!A:A,VIX!B:B,"",-1)</f>
        <v>15.25</v>
      </c>
      <c r="F515">
        <f t="shared" si="57"/>
        <v>-1.3099999999999987</v>
      </c>
      <c r="G515">
        <f>_xlfn.XLOOKUP(A515,'DGS10'!A:A,'DGS10'!B:B,"",-1)</f>
        <v>2.82</v>
      </c>
      <c r="H515">
        <f t="shared" si="58"/>
        <v>-1.0000000000000231E-2</v>
      </c>
      <c r="I515" s="2">
        <f>_xlfn.XLOOKUP(A515,T10Y3M!A:A,T10Y3M!B:B,"",-1)</f>
        <v>1.02</v>
      </c>
      <c r="J515" s="2">
        <f>_xlfn.XLOOKUP(A515,BAMLC0A4CBBB!A:A,BAMLC0A4CBBB!B:B,"",-1)</f>
        <v>1.38</v>
      </c>
      <c r="K515" s="2">
        <f>_xlfn.XLOOKUP(A515,CPIAUCSL!A:A,CPIAUCSL!B:B,"",-1)</f>
        <v>250.227</v>
      </c>
      <c r="L515">
        <f>_xlfn.XLOOKUP(A515,DFF!A:A,DFF!B:B,"",-1)</f>
        <v>1.69</v>
      </c>
      <c r="M515">
        <f>_xlfn.XLOOKUP(A515,'DGS2'!A:A,'DGS2'!B:B,"",-1)</f>
        <v>2.41</v>
      </c>
      <c r="N515">
        <f t="shared" si="59"/>
        <v>2.0000000000000018E-2</v>
      </c>
      <c r="O515">
        <f t="shared" si="60"/>
        <v>8.3136576768305659E-4</v>
      </c>
      <c r="P515">
        <f t="shared" si="61"/>
        <v>1</v>
      </c>
      <c r="Q515">
        <f t="shared" si="62"/>
        <v>0</v>
      </c>
      <c r="R515" s="3">
        <v>63.4</v>
      </c>
    </row>
    <row r="516" spans="1:18">
      <c r="A516" s="1">
        <v>43208</v>
      </c>
      <c r="B516">
        <v>2708.64</v>
      </c>
      <c r="C516">
        <f t="shared" ref="C516:C579" si="64">IF(OR(B516="",B515=""),"",(B516/B515)-1)</f>
        <v>8.3136576768305659E-4</v>
      </c>
      <c r="D516">
        <f t="shared" si="63"/>
        <v>1.9704099687535281E-2</v>
      </c>
      <c r="E516">
        <f>_xlfn.XLOOKUP(A516,VIX!A:A,VIX!B:B,"",-1)</f>
        <v>15.6</v>
      </c>
      <c r="F516">
        <f t="shared" ref="F516:F579" si="65">IF(OR(E516="",E515=""),"",E516-E515)</f>
        <v>0.34999999999999964</v>
      </c>
      <c r="G516">
        <f>_xlfn.XLOOKUP(A516,'DGS10'!A:A,'DGS10'!B:B,"",-1)</f>
        <v>2.87</v>
      </c>
      <c r="H516">
        <f t="shared" ref="H516:H579" si="66">IF(OR(G516="",G515=""),"",G516-G515)</f>
        <v>5.0000000000000266E-2</v>
      </c>
      <c r="I516" s="2">
        <f>_xlfn.XLOOKUP(A516,T10Y3M!A:A,T10Y3M!B:B,"",-1)</f>
        <v>1.06</v>
      </c>
      <c r="J516" s="2">
        <f>_xlfn.XLOOKUP(A516,BAMLC0A4CBBB!A:A,BAMLC0A4CBBB!B:B,"",-1)</f>
        <v>1.38</v>
      </c>
      <c r="K516" s="2">
        <f>_xlfn.XLOOKUP(A516,CPIAUCSL!A:A,CPIAUCSL!B:B,"",-1)</f>
        <v>250.227</v>
      </c>
      <c r="L516">
        <f>_xlfn.XLOOKUP(A516,DFF!A:A,DFF!B:B,"",-1)</f>
        <v>1.69</v>
      </c>
      <c r="M516">
        <f>_xlfn.XLOOKUP(A516,'DGS2'!A:A,'DGS2'!B:B,"",-1)</f>
        <v>2.42</v>
      </c>
      <c r="N516">
        <f t="shared" ref="N516:N579" si="67">IF(OR(M516="",M515=""),"",M516-M515)</f>
        <v>9.9999999999997868E-3</v>
      </c>
      <c r="O516">
        <f t="shared" ref="O516:O579" si="68">IF(OR(B517="",B516=""),"",(B517/B516)-1)</f>
        <v>-5.7261208576997458E-3</v>
      </c>
      <c r="P516">
        <f t="shared" ref="P516:P579" si="69">IF(O516="","",IF(O516&gt;0,1,0))</f>
        <v>0</v>
      </c>
      <c r="Q516">
        <f t="shared" ref="Q516:Q579" si="70">IF(O516="","",IF(O516&gt;0.003,1,IF(O516&lt;-0.003,-1,0)))</f>
        <v>-1</v>
      </c>
      <c r="R516" s="3">
        <v>65.17</v>
      </c>
    </row>
    <row r="517" spans="1:18">
      <c r="A517" s="1">
        <v>43209</v>
      </c>
      <c r="B517">
        <v>2693.13</v>
      </c>
      <c r="C517">
        <f t="shared" si="64"/>
        <v>-5.7261208576997458E-3</v>
      </c>
      <c r="D517">
        <f t="shared" si="63"/>
        <v>5.7098258297731963E-3</v>
      </c>
      <c r="E517">
        <f>_xlfn.XLOOKUP(A517,VIX!A:A,VIX!B:B,"",-1)</f>
        <v>15.96</v>
      </c>
      <c r="F517">
        <f t="shared" si="65"/>
        <v>0.36000000000000121</v>
      </c>
      <c r="G517">
        <f>_xlfn.XLOOKUP(A517,'DGS10'!A:A,'DGS10'!B:B,"",-1)</f>
        <v>2.92</v>
      </c>
      <c r="H517">
        <f t="shared" si="66"/>
        <v>4.9999999999999822E-2</v>
      </c>
      <c r="I517" s="2">
        <f>_xlfn.XLOOKUP(A517,T10Y3M!A:A,T10Y3M!B:B,"",-1)</f>
        <v>1.1000000000000001</v>
      </c>
      <c r="J517" s="2">
        <f>_xlfn.XLOOKUP(A517,BAMLC0A4CBBB!A:A,BAMLC0A4CBBB!B:B,"",-1)</f>
        <v>1.39</v>
      </c>
      <c r="K517" s="2">
        <f>_xlfn.XLOOKUP(A517,CPIAUCSL!A:A,CPIAUCSL!B:B,"",-1)</f>
        <v>250.227</v>
      </c>
      <c r="L517">
        <f>_xlfn.XLOOKUP(A517,DFF!A:A,DFF!B:B,"",-1)</f>
        <v>1.69</v>
      </c>
      <c r="M517">
        <f>_xlfn.XLOOKUP(A517,'DGS2'!A:A,'DGS2'!B:B,"",-1)</f>
        <v>2.44</v>
      </c>
      <c r="N517">
        <f t="shared" si="67"/>
        <v>2.0000000000000018E-2</v>
      </c>
      <c r="O517">
        <f t="shared" si="68"/>
        <v>-8.5365355552833311E-3</v>
      </c>
      <c r="P517">
        <f t="shared" si="69"/>
        <v>0</v>
      </c>
      <c r="Q517">
        <f t="shared" si="70"/>
        <v>-1</v>
      </c>
      <c r="R517" s="3">
        <v>64.3</v>
      </c>
    </row>
    <row r="518" spans="1:18">
      <c r="A518" s="1">
        <v>43210</v>
      </c>
      <c r="B518">
        <v>2670.14</v>
      </c>
      <c r="C518">
        <f t="shared" si="64"/>
        <v>-8.5365355552833311E-3</v>
      </c>
      <c r="D518">
        <f t="shared" ref="D518:D581" si="71">IF(OR(B518="",B515=""),"",(B518/B515)-1)</f>
        <v>-1.3394226257117392E-2</v>
      </c>
      <c r="E518">
        <f>_xlfn.XLOOKUP(A518,VIX!A:A,VIX!B:B,"",-1)</f>
        <v>16.88</v>
      </c>
      <c r="F518">
        <f t="shared" si="65"/>
        <v>0.91999999999999815</v>
      </c>
      <c r="G518">
        <f>_xlfn.XLOOKUP(A518,'DGS10'!A:A,'DGS10'!B:B,"",-1)</f>
        <v>2.96</v>
      </c>
      <c r="H518">
        <f t="shared" si="66"/>
        <v>4.0000000000000036E-2</v>
      </c>
      <c r="I518" s="2">
        <f>_xlfn.XLOOKUP(A518,T10Y3M!A:A,T10Y3M!B:B,"",-1)</f>
        <v>1.1499999999999999</v>
      </c>
      <c r="J518" s="2">
        <f>_xlfn.XLOOKUP(A518,BAMLC0A4CBBB!A:A,BAMLC0A4CBBB!B:B,"",-1)</f>
        <v>1.39</v>
      </c>
      <c r="K518" s="2">
        <f>_xlfn.XLOOKUP(A518,CPIAUCSL!A:A,CPIAUCSL!B:B,"",-1)</f>
        <v>250.227</v>
      </c>
      <c r="L518">
        <f>_xlfn.XLOOKUP(A518,DFF!A:A,DFF!B:B,"",-1)</f>
        <v>1.7</v>
      </c>
      <c r="M518">
        <f>_xlfn.XLOOKUP(A518,'DGS2'!A:A,'DGS2'!B:B,"",-1)</f>
        <v>2.46</v>
      </c>
      <c r="N518">
        <f t="shared" si="67"/>
        <v>2.0000000000000018E-2</v>
      </c>
      <c r="O518">
        <f t="shared" si="68"/>
        <v>5.6176829679399631E-5</v>
      </c>
      <c r="P518">
        <f t="shared" si="69"/>
        <v>1</v>
      </c>
      <c r="Q518">
        <f t="shared" si="70"/>
        <v>0</v>
      </c>
      <c r="R518" s="3">
        <v>65.88</v>
      </c>
    </row>
    <row r="519" spans="1:18">
      <c r="A519" s="1">
        <v>43213</v>
      </c>
      <c r="B519">
        <v>2670.29</v>
      </c>
      <c r="C519">
        <f t="shared" si="64"/>
        <v>5.6176829679399631E-5</v>
      </c>
      <c r="D519">
        <f t="shared" si="71"/>
        <v>-1.4158396833835352E-2</v>
      </c>
      <c r="E519">
        <f>_xlfn.XLOOKUP(A519,VIX!A:A,VIX!B:B,"",-1)</f>
        <v>16.34</v>
      </c>
      <c r="F519">
        <f t="shared" si="65"/>
        <v>-0.53999999999999915</v>
      </c>
      <c r="G519">
        <f>_xlfn.XLOOKUP(A519,'DGS10'!A:A,'DGS10'!B:B,"",-1)</f>
        <v>2.98</v>
      </c>
      <c r="H519">
        <f t="shared" si="66"/>
        <v>2.0000000000000018E-2</v>
      </c>
      <c r="I519" s="2">
        <f>_xlfn.XLOOKUP(A519,T10Y3M!A:A,T10Y3M!B:B,"",-1)</f>
        <v>1.1100000000000001</v>
      </c>
      <c r="J519" s="2">
        <f>_xlfn.XLOOKUP(A519,BAMLC0A4CBBB!A:A,BAMLC0A4CBBB!B:B,"",-1)</f>
        <v>1.39</v>
      </c>
      <c r="K519" s="2">
        <f>_xlfn.XLOOKUP(A519,CPIAUCSL!A:A,CPIAUCSL!B:B,"",-1)</f>
        <v>250.227</v>
      </c>
      <c r="L519">
        <f>_xlfn.XLOOKUP(A519,DFF!A:A,DFF!B:B,"",-1)</f>
        <v>1.7</v>
      </c>
      <c r="M519">
        <f>_xlfn.XLOOKUP(A519,'DGS2'!A:A,'DGS2'!B:B,"",-1)</f>
        <v>2.4900000000000002</v>
      </c>
      <c r="N519">
        <f t="shared" si="67"/>
        <v>3.0000000000000249E-2</v>
      </c>
      <c r="O519">
        <f t="shared" si="68"/>
        <v>-1.3380569151665189E-2</v>
      </c>
      <c r="P519">
        <f t="shared" si="69"/>
        <v>0</v>
      </c>
      <c r="Q519">
        <f t="shared" si="70"/>
        <v>-1</v>
      </c>
      <c r="R519" s="3">
        <v>65.55</v>
      </c>
    </row>
    <row r="520" spans="1:18">
      <c r="A520" s="1">
        <v>43214</v>
      </c>
      <c r="B520">
        <v>2634.56</v>
      </c>
      <c r="C520">
        <f t="shared" si="64"/>
        <v>-1.3380569151665189E-2</v>
      </c>
      <c r="D520">
        <f t="shared" si="71"/>
        <v>-2.1747928989688692E-2</v>
      </c>
      <c r="E520">
        <f>_xlfn.XLOOKUP(A520,VIX!A:A,VIX!B:B,"",-1)</f>
        <v>18.02</v>
      </c>
      <c r="F520">
        <f t="shared" si="65"/>
        <v>1.6799999999999997</v>
      </c>
      <c r="G520">
        <f>_xlfn.XLOOKUP(A520,'DGS10'!A:A,'DGS10'!B:B,"",-1)</f>
        <v>3</v>
      </c>
      <c r="H520">
        <f t="shared" si="66"/>
        <v>2.0000000000000018E-2</v>
      </c>
      <c r="I520" s="2">
        <f>_xlfn.XLOOKUP(A520,T10Y3M!A:A,T10Y3M!B:B,"",-1)</f>
        <v>1.1299999999999999</v>
      </c>
      <c r="J520" s="2">
        <f>_xlfn.XLOOKUP(A520,BAMLC0A4CBBB!A:A,BAMLC0A4CBBB!B:B,"",-1)</f>
        <v>1.39</v>
      </c>
      <c r="K520" s="2">
        <f>_xlfn.XLOOKUP(A520,CPIAUCSL!A:A,CPIAUCSL!B:B,"",-1)</f>
        <v>250.227</v>
      </c>
      <c r="L520">
        <f>_xlfn.XLOOKUP(A520,DFF!A:A,DFF!B:B,"",-1)</f>
        <v>1.7</v>
      </c>
      <c r="M520">
        <f>_xlfn.XLOOKUP(A520,'DGS2'!A:A,'DGS2'!B:B,"",-1)</f>
        <v>2.48</v>
      </c>
      <c r="N520">
        <f t="shared" si="67"/>
        <v>-1.0000000000000231E-2</v>
      </c>
      <c r="O520">
        <f t="shared" si="68"/>
        <v>1.8371189116968001E-3</v>
      </c>
      <c r="P520">
        <f t="shared" si="69"/>
        <v>1</v>
      </c>
      <c r="Q520">
        <f t="shared" si="70"/>
        <v>0</v>
      </c>
      <c r="R520" s="3">
        <v>65.25</v>
      </c>
    </row>
    <row r="521" spans="1:18">
      <c r="A521" s="1">
        <v>43215</v>
      </c>
      <c r="B521">
        <v>2639.4</v>
      </c>
      <c r="C521">
        <f t="shared" si="64"/>
        <v>1.8371189116968001E-3</v>
      </c>
      <c r="D521">
        <f t="shared" si="71"/>
        <v>-1.1512504962286507E-2</v>
      </c>
      <c r="E521">
        <f>_xlfn.XLOOKUP(A521,VIX!A:A,VIX!B:B,"",-1)</f>
        <v>17.84</v>
      </c>
      <c r="F521">
        <f t="shared" si="65"/>
        <v>-0.17999999999999972</v>
      </c>
      <c r="G521">
        <f>_xlfn.XLOOKUP(A521,'DGS10'!A:A,'DGS10'!B:B,"",-1)</f>
        <v>3.03</v>
      </c>
      <c r="H521">
        <f t="shared" si="66"/>
        <v>2.9999999999999805E-2</v>
      </c>
      <c r="I521" s="2">
        <f>_xlfn.XLOOKUP(A521,T10Y3M!A:A,T10Y3M!B:B,"",-1)</f>
        <v>1.18</v>
      </c>
      <c r="J521" s="2">
        <f>_xlfn.XLOOKUP(A521,BAMLC0A4CBBB!A:A,BAMLC0A4CBBB!B:B,"",-1)</f>
        <v>1.39</v>
      </c>
      <c r="K521" s="2">
        <f>_xlfn.XLOOKUP(A521,CPIAUCSL!A:A,CPIAUCSL!B:B,"",-1)</f>
        <v>250.227</v>
      </c>
      <c r="L521">
        <f>_xlfn.XLOOKUP(A521,DFF!A:A,DFF!B:B,"",-1)</f>
        <v>1.7</v>
      </c>
      <c r="M521">
        <f>_xlfn.XLOOKUP(A521,'DGS2'!A:A,'DGS2'!B:B,"",-1)</f>
        <v>2.4900000000000002</v>
      </c>
      <c r="N521">
        <f t="shared" si="67"/>
        <v>1.0000000000000231E-2</v>
      </c>
      <c r="O521">
        <f t="shared" si="68"/>
        <v>1.0434189588542919E-2</v>
      </c>
      <c r="P521">
        <f t="shared" si="69"/>
        <v>1</v>
      </c>
      <c r="Q521">
        <f t="shared" si="70"/>
        <v>1</v>
      </c>
      <c r="R521" s="3">
        <v>64.38</v>
      </c>
    </row>
    <row r="522" spans="1:18">
      <c r="A522" s="1">
        <v>43216</v>
      </c>
      <c r="B522">
        <v>2666.94</v>
      </c>
      <c r="C522">
        <f t="shared" si="64"/>
        <v>1.0434189588542919E-2</v>
      </c>
      <c r="D522">
        <f t="shared" si="71"/>
        <v>-1.2545453864560852E-3</v>
      </c>
      <c r="E522">
        <f>_xlfn.XLOOKUP(A522,VIX!A:A,VIX!B:B,"",-1)</f>
        <v>16.239999999999998</v>
      </c>
      <c r="F522">
        <f t="shared" si="65"/>
        <v>-1.6000000000000014</v>
      </c>
      <c r="G522">
        <f>_xlfn.XLOOKUP(A522,'DGS10'!A:A,'DGS10'!B:B,"",-1)</f>
        <v>3</v>
      </c>
      <c r="H522">
        <f t="shared" si="66"/>
        <v>-2.9999999999999805E-2</v>
      </c>
      <c r="I522" s="2">
        <f>_xlfn.XLOOKUP(A522,T10Y3M!A:A,T10Y3M!B:B,"",-1)</f>
        <v>1.18</v>
      </c>
      <c r="J522" s="2">
        <f>_xlfn.XLOOKUP(A522,BAMLC0A4CBBB!A:A,BAMLC0A4CBBB!B:B,"",-1)</f>
        <v>1.4</v>
      </c>
      <c r="K522" s="2">
        <f>_xlfn.XLOOKUP(A522,CPIAUCSL!A:A,CPIAUCSL!B:B,"",-1)</f>
        <v>250.227</v>
      </c>
      <c r="L522">
        <f>_xlfn.XLOOKUP(A522,DFF!A:A,DFF!B:B,"",-1)</f>
        <v>1.7</v>
      </c>
      <c r="M522">
        <f>_xlfn.XLOOKUP(A522,'DGS2'!A:A,'DGS2'!B:B,"",-1)</f>
        <v>2.4900000000000002</v>
      </c>
      <c r="N522">
        <f t="shared" si="67"/>
        <v>0</v>
      </c>
      <c r="O522">
        <f t="shared" si="68"/>
        <v>1.1136358523251566E-3</v>
      </c>
      <c r="P522">
        <f t="shared" si="69"/>
        <v>1</v>
      </c>
      <c r="Q522">
        <f t="shared" si="70"/>
        <v>0</v>
      </c>
      <c r="R522" s="3">
        <v>64.94</v>
      </c>
    </row>
    <row r="523" spans="1:18">
      <c r="A523" s="1">
        <v>43217</v>
      </c>
      <c r="B523">
        <v>2669.91</v>
      </c>
      <c r="C523">
        <f t="shared" si="64"/>
        <v>1.1136358523251566E-3</v>
      </c>
      <c r="D523">
        <f t="shared" si="71"/>
        <v>1.3417800315802308E-2</v>
      </c>
      <c r="E523">
        <f>_xlfn.XLOOKUP(A523,VIX!A:A,VIX!B:B,"",-1)</f>
        <v>15.41</v>
      </c>
      <c r="F523">
        <f t="shared" si="65"/>
        <v>-0.82999999999999829</v>
      </c>
      <c r="G523">
        <f>_xlfn.XLOOKUP(A523,'DGS10'!A:A,'DGS10'!B:B,"",-1)</f>
        <v>2.96</v>
      </c>
      <c r="H523">
        <f t="shared" si="66"/>
        <v>-4.0000000000000036E-2</v>
      </c>
      <c r="I523" s="2">
        <f>_xlfn.XLOOKUP(A523,T10Y3M!A:A,T10Y3M!B:B,"",-1)</f>
        <v>1.1399999999999999</v>
      </c>
      <c r="J523" s="2">
        <f>_xlfn.XLOOKUP(A523,BAMLC0A4CBBB!A:A,BAMLC0A4CBBB!B:B,"",-1)</f>
        <v>1.41</v>
      </c>
      <c r="K523" s="2">
        <f>_xlfn.XLOOKUP(A523,CPIAUCSL!A:A,CPIAUCSL!B:B,"",-1)</f>
        <v>250.227</v>
      </c>
      <c r="L523">
        <f>_xlfn.XLOOKUP(A523,DFF!A:A,DFF!B:B,"",-1)</f>
        <v>1.7</v>
      </c>
      <c r="M523">
        <f>_xlfn.XLOOKUP(A523,'DGS2'!A:A,'DGS2'!B:B,"",-1)</f>
        <v>2.4900000000000002</v>
      </c>
      <c r="N523">
        <f t="shared" si="67"/>
        <v>0</v>
      </c>
      <c r="O523">
        <f t="shared" si="68"/>
        <v>-8.1875419021614215E-3</v>
      </c>
      <c r="P523">
        <f t="shared" si="69"/>
        <v>0</v>
      </c>
      <c r="Q523">
        <f t="shared" si="70"/>
        <v>-1</v>
      </c>
      <c r="R523" s="3"/>
    </row>
    <row r="524" spans="1:18">
      <c r="A524" s="1">
        <v>43220</v>
      </c>
      <c r="B524">
        <v>2648.05</v>
      </c>
      <c r="C524">
        <f t="shared" si="64"/>
        <v>-8.1875419021614215E-3</v>
      </c>
      <c r="D524">
        <f t="shared" si="71"/>
        <v>3.2772599833295057E-3</v>
      </c>
      <c r="E524">
        <f>_xlfn.XLOOKUP(A524,VIX!A:A,VIX!B:B,"",-1)</f>
        <v>15.93</v>
      </c>
      <c r="F524">
        <f t="shared" si="65"/>
        <v>0.51999999999999957</v>
      </c>
      <c r="G524">
        <f>_xlfn.XLOOKUP(A524,'DGS10'!A:A,'DGS10'!B:B,"",-1)</f>
        <v>2.95</v>
      </c>
      <c r="H524">
        <f t="shared" si="66"/>
        <v>-9.9999999999997868E-3</v>
      </c>
      <c r="I524" s="2">
        <f>_xlfn.XLOOKUP(A524,T10Y3M!A:A,T10Y3M!B:B,"",-1)</f>
        <v>1.08</v>
      </c>
      <c r="J524" s="2">
        <f>_xlfn.XLOOKUP(A524,BAMLC0A4CBBB!A:A,BAMLC0A4CBBB!B:B,"",-1)</f>
        <v>1.44</v>
      </c>
      <c r="K524" s="2">
        <f>_xlfn.XLOOKUP(A524,CPIAUCSL!A:A,CPIAUCSL!B:B,"",-1)</f>
        <v>250.227</v>
      </c>
      <c r="L524">
        <f>_xlfn.XLOOKUP(A524,DFF!A:A,DFF!B:B,"",-1)</f>
        <v>1.69</v>
      </c>
      <c r="M524">
        <f>_xlfn.XLOOKUP(A524,'DGS2'!A:A,'DGS2'!B:B,"",-1)</f>
        <v>2.4900000000000002</v>
      </c>
      <c r="N524">
        <f t="shared" si="67"/>
        <v>0</v>
      </c>
      <c r="O524">
        <f t="shared" si="68"/>
        <v>2.5490455240648746E-3</v>
      </c>
      <c r="P524">
        <f t="shared" si="69"/>
        <v>1</v>
      </c>
      <c r="Q524">
        <f t="shared" si="70"/>
        <v>0</v>
      </c>
      <c r="R524" s="3">
        <v>63.01</v>
      </c>
    </row>
    <row r="525" spans="1:18">
      <c r="A525" s="1">
        <v>43221</v>
      </c>
      <c r="B525">
        <v>2654.8</v>
      </c>
      <c r="C525">
        <f t="shared" si="64"/>
        <v>2.5490455240648746E-3</v>
      </c>
      <c r="D525">
        <f t="shared" si="71"/>
        <v>-4.55203341657473E-3</v>
      </c>
      <c r="E525">
        <f>_xlfn.XLOOKUP(A525,VIX!A:A,VIX!B:B,"",-1)</f>
        <v>15.49</v>
      </c>
      <c r="F525">
        <f t="shared" si="65"/>
        <v>-0.4399999999999995</v>
      </c>
      <c r="G525">
        <f>_xlfn.XLOOKUP(A525,'DGS10'!A:A,'DGS10'!B:B,"",-1)</f>
        <v>2.97</v>
      </c>
      <c r="H525">
        <f t="shared" si="66"/>
        <v>2.0000000000000018E-2</v>
      </c>
      <c r="I525" s="2">
        <f>_xlfn.XLOOKUP(A525,T10Y3M!A:A,T10Y3M!B:B,"",-1)</f>
        <v>1.1200000000000001</v>
      </c>
      <c r="J525" s="2">
        <f>_xlfn.XLOOKUP(A525,BAMLC0A4CBBB!A:A,BAMLC0A4CBBB!B:B,"",-1)</f>
        <v>1.44</v>
      </c>
      <c r="K525" s="2">
        <f>_xlfn.XLOOKUP(A525,CPIAUCSL!A:A,CPIAUCSL!B:B,"",-1)</f>
        <v>250.792</v>
      </c>
      <c r="L525">
        <f>_xlfn.XLOOKUP(A525,DFF!A:A,DFF!B:B,"",-1)</f>
        <v>1.7</v>
      </c>
      <c r="M525">
        <f>_xlfn.XLOOKUP(A525,'DGS2'!A:A,'DGS2'!B:B,"",-1)</f>
        <v>2.5</v>
      </c>
      <c r="N525">
        <f t="shared" si="67"/>
        <v>9.9999999999997868E-3</v>
      </c>
      <c r="O525">
        <f t="shared" si="68"/>
        <v>-7.205815880669042E-3</v>
      </c>
      <c r="P525">
        <f t="shared" si="69"/>
        <v>0</v>
      </c>
      <c r="Q525">
        <f t="shared" si="70"/>
        <v>-1</v>
      </c>
      <c r="R525" s="3">
        <v>63.51</v>
      </c>
    </row>
    <row r="526" spans="1:18">
      <c r="A526" s="1">
        <v>43222</v>
      </c>
      <c r="B526">
        <v>2635.67</v>
      </c>
      <c r="C526">
        <f t="shared" si="64"/>
        <v>-7.205815880669042E-3</v>
      </c>
      <c r="D526">
        <f t="shared" si="71"/>
        <v>-1.2824402320677386E-2</v>
      </c>
      <c r="E526">
        <f>_xlfn.XLOOKUP(A526,VIX!A:A,VIX!B:B,"",-1)</f>
        <v>15.97</v>
      </c>
      <c r="F526">
        <f t="shared" si="65"/>
        <v>0.48000000000000043</v>
      </c>
      <c r="G526">
        <f>_xlfn.XLOOKUP(A526,'DGS10'!A:A,'DGS10'!B:B,"",-1)</f>
        <v>2.97</v>
      </c>
      <c r="H526">
        <f t="shared" si="66"/>
        <v>0</v>
      </c>
      <c r="I526" s="2">
        <f>_xlfn.XLOOKUP(A526,T10Y3M!A:A,T10Y3M!B:B,"",-1)</f>
        <v>1.1299999999999999</v>
      </c>
      <c r="J526" s="2">
        <f>_xlfn.XLOOKUP(A526,BAMLC0A4CBBB!A:A,BAMLC0A4CBBB!B:B,"",-1)</f>
        <v>1.45</v>
      </c>
      <c r="K526" s="2">
        <f>_xlfn.XLOOKUP(A526,CPIAUCSL!A:A,CPIAUCSL!B:B,"",-1)</f>
        <v>250.792</v>
      </c>
      <c r="L526">
        <f>_xlfn.XLOOKUP(A526,DFF!A:A,DFF!B:B,"",-1)</f>
        <v>1.7</v>
      </c>
      <c r="M526">
        <f>_xlfn.XLOOKUP(A526,'DGS2'!A:A,'DGS2'!B:B,"",-1)</f>
        <v>2.4900000000000002</v>
      </c>
      <c r="N526">
        <f t="shared" si="67"/>
        <v>-9.9999999999997868E-3</v>
      </c>
      <c r="O526">
        <f t="shared" si="68"/>
        <v>-2.2536964035709817E-3</v>
      </c>
      <c r="P526">
        <f t="shared" si="69"/>
        <v>0</v>
      </c>
      <c r="Q526">
        <f t="shared" si="70"/>
        <v>0</v>
      </c>
      <c r="R526" s="3">
        <v>63.37</v>
      </c>
    </row>
    <row r="527" spans="1:18">
      <c r="A527" s="1">
        <v>43223</v>
      </c>
      <c r="B527">
        <v>2629.73</v>
      </c>
      <c r="C527">
        <f t="shared" si="64"/>
        <v>-2.2536964035709817E-3</v>
      </c>
      <c r="D527">
        <f t="shared" si="71"/>
        <v>-6.9182983704990653E-3</v>
      </c>
      <c r="E527">
        <f>_xlfn.XLOOKUP(A527,VIX!A:A,VIX!B:B,"",-1)</f>
        <v>15.9</v>
      </c>
      <c r="F527">
        <f t="shared" si="65"/>
        <v>-7.0000000000000284E-2</v>
      </c>
      <c r="G527">
        <f>_xlfn.XLOOKUP(A527,'DGS10'!A:A,'DGS10'!B:B,"",-1)</f>
        <v>2.94</v>
      </c>
      <c r="H527">
        <f t="shared" si="66"/>
        <v>-3.0000000000000249E-2</v>
      </c>
      <c r="I527" s="2">
        <f>_xlfn.XLOOKUP(A527,T10Y3M!A:A,T10Y3M!B:B,"",-1)</f>
        <v>1.1000000000000001</v>
      </c>
      <c r="J527" s="2">
        <f>_xlfn.XLOOKUP(A527,BAMLC0A4CBBB!A:A,BAMLC0A4CBBB!B:B,"",-1)</f>
        <v>1.47</v>
      </c>
      <c r="K527" s="2">
        <f>_xlfn.XLOOKUP(A527,CPIAUCSL!A:A,CPIAUCSL!B:B,"",-1)</f>
        <v>250.792</v>
      </c>
      <c r="L527">
        <f>_xlfn.XLOOKUP(A527,DFF!A:A,DFF!B:B,"",-1)</f>
        <v>1.7</v>
      </c>
      <c r="M527">
        <f>_xlfn.XLOOKUP(A527,'DGS2'!A:A,'DGS2'!B:B,"",-1)</f>
        <v>2.4900000000000002</v>
      </c>
      <c r="N527">
        <f t="shared" si="67"/>
        <v>0</v>
      </c>
      <c r="O527">
        <f t="shared" si="68"/>
        <v>1.2811201149927953E-2</v>
      </c>
      <c r="P527">
        <f t="shared" si="69"/>
        <v>1</v>
      </c>
      <c r="Q527">
        <f t="shared" si="70"/>
        <v>1</v>
      </c>
      <c r="R527" s="3">
        <v>63.54</v>
      </c>
    </row>
    <row r="528" spans="1:18">
      <c r="A528" s="1">
        <v>43224</v>
      </c>
      <c r="B528">
        <v>2663.42</v>
      </c>
      <c r="C528">
        <f t="shared" si="64"/>
        <v>1.2811201149927953E-2</v>
      </c>
      <c r="D528">
        <f t="shared" si="71"/>
        <v>3.24694892270605E-3</v>
      </c>
      <c r="E528">
        <f>_xlfn.XLOOKUP(A528,VIX!A:A,VIX!B:B,"",-1)</f>
        <v>14.77</v>
      </c>
      <c r="F528">
        <f t="shared" si="65"/>
        <v>-1.1300000000000008</v>
      </c>
      <c r="G528">
        <f>_xlfn.XLOOKUP(A528,'DGS10'!A:A,'DGS10'!B:B,"",-1)</f>
        <v>2.95</v>
      </c>
      <c r="H528">
        <f t="shared" si="66"/>
        <v>1.0000000000000231E-2</v>
      </c>
      <c r="I528" s="2">
        <f>_xlfn.XLOOKUP(A528,T10Y3M!A:A,T10Y3M!B:B,"",-1)</f>
        <v>1.1100000000000001</v>
      </c>
      <c r="J528" s="2">
        <f>_xlfn.XLOOKUP(A528,BAMLC0A4CBBB!A:A,BAMLC0A4CBBB!B:B,"",-1)</f>
        <v>1.48</v>
      </c>
      <c r="K528" s="2">
        <f>_xlfn.XLOOKUP(A528,CPIAUCSL!A:A,CPIAUCSL!B:B,"",-1)</f>
        <v>250.792</v>
      </c>
      <c r="L528">
        <f>_xlfn.XLOOKUP(A528,DFF!A:A,DFF!B:B,"",-1)</f>
        <v>1.7</v>
      </c>
      <c r="M528">
        <f>_xlfn.XLOOKUP(A528,'DGS2'!A:A,'DGS2'!B:B,"",-1)</f>
        <v>2.5099999999999998</v>
      </c>
      <c r="N528">
        <f t="shared" si="67"/>
        <v>1.9999999999999574E-2</v>
      </c>
      <c r="O528">
        <f t="shared" si="68"/>
        <v>3.4579600663808829E-3</v>
      </c>
      <c r="P528">
        <f t="shared" si="69"/>
        <v>1</v>
      </c>
      <c r="Q528">
        <f t="shared" si="70"/>
        <v>1</v>
      </c>
      <c r="R528" s="3">
        <v>62.06</v>
      </c>
    </row>
    <row r="529" spans="1:18">
      <c r="A529" s="1">
        <v>43227</v>
      </c>
      <c r="B529">
        <v>2672.63</v>
      </c>
      <c r="C529">
        <f t="shared" si="64"/>
        <v>3.4579600663808829E-3</v>
      </c>
      <c r="D529">
        <f t="shared" si="71"/>
        <v>1.4022999844441886E-2</v>
      </c>
      <c r="E529">
        <f>_xlfn.XLOOKUP(A529,VIX!A:A,VIX!B:B,"",-1)</f>
        <v>14.75</v>
      </c>
      <c r="F529">
        <f t="shared" si="65"/>
        <v>-1.9999999999999574E-2</v>
      </c>
      <c r="G529">
        <f>_xlfn.XLOOKUP(A529,'DGS10'!A:A,'DGS10'!B:B,"",-1)</f>
        <v>2.95</v>
      </c>
      <c r="H529">
        <f t="shared" si="66"/>
        <v>0</v>
      </c>
      <c r="I529" s="2">
        <f>_xlfn.XLOOKUP(A529,T10Y3M!A:A,T10Y3M!B:B,"",-1)</f>
        <v>1.0900000000000001</v>
      </c>
      <c r="J529" s="2">
        <f>_xlfn.XLOOKUP(A529,BAMLC0A4CBBB!A:A,BAMLC0A4CBBB!B:B,"",-1)</f>
        <v>1.48</v>
      </c>
      <c r="K529" s="2">
        <f>_xlfn.XLOOKUP(A529,CPIAUCSL!A:A,CPIAUCSL!B:B,"",-1)</f>
        <v>250.792</v>
      </c>
      <c r="L529">
        <f>_xlfn.XLOOKUP(A529,DFF!A:A,DFF!B:B,"",-1)</f>
        <v>1.7</v>
      </c>
      <c r="M529">
        <f>_xlfn.XLOOKUP(A529,'DGS2'!A:A,'DGS2'!B:B,"",-1)</f>
        <v>2.4900000000000002</v>
      </c>
      <c r="N529">
        <f t="shared" si="67"/>
        <v>-1.9999999999999574E-2</v>
      </c>
      <c r="O529">
        <f t="shared" si="68"/>
        <v>-2.6565592693339468E-4</v>
      </c>
      <c r="P529">
        <f t="shared" si="69"/>
        <v>0</v>
      </c>
      <c r="Q529">
        <f t="shared" si="70"/>
        <v>0</v>
      </c>
      <c r="R529" s="3">
        <v>63.42</v>
      </c>
    </row>
    <row r="530" spans="1:18">
      <c r="A530" s="1">
        <v>43228</v>
      </c>
      <c r="B530">
        <v>2671.92</v>
      </c>
      <c r="C530">
        <f t="shared" si="64"/>
        <v>-2.6565592693339468E-4</v>
      </c>
      <c r="D530">
        <f t="shared" si="71"/>
        <v>1.6043472143528081E-2</v>
      </c>
      <c r="E530">
        <f>_xlfn.XLOOKUP(A530,VIX!A:A,VIX!B:B,"",-1)</f>
        <v>14.71</v>
      </c>
      <c r="F530">
        <f t="shared" si="65"/>
        <v>-3.9999999999999147E-2</v>
      </c>
      <c r="G530">
        <f>_xlfn.XLOOKUP(A530,'DGS10'!A:A,'DGS10'!B:B,"",-1)</f>
        <v>2.97</v>
      </c>
      <c r="H530">
        <f t="shared" si="66"/>
        <v>2.0000000000000018E-2</v>
      </c>
      <c r="I530" s="2">
        <f>_xlfn.XLOOKUP(A530,T10Y3M!A:A,T10Y3M!B:B,"",-1)</f>
        <v>1.1000000000000001</v>
      </c>
      <c r="J530" s="2">
        <f>_xlfn.XLOOKUP(A530,BAMLC0A4CBBB!A:A,BAMLC0A4CBBB!B:B,"",-1)</f>
        <v>1.48</v>
      </c>
      <c r="K530" s="2">
        <f>_xlfn.XLOOKUP(A530,CPIAUCSL!A:A,CPIAUCSL!B:B,"",-1)</f>
        <v>250.792</v>
      </c>
      <c r="L530">
        <f>_xlfn.XLOOKUP(A530,DFF!A:A,DFF!B:B,"",-1)</f>
        <v>1.7</v>
      </c>
      <c r="M530">
        <f>_xlfn.XLOOKUP(A530,'DGS2'!A:A,'DGS2'!B:B,"",-1)</f>
        <v>2.5099999999999998</v>
      </c>
      <c r="N530">
        <f t="shared" si="67"/>
        <v>1.9999999999999574E-2</v>
      </c>
      <c r="O530">
        <f t="shared" si="68"/>
        <v>9.682176113057217E-3</v>
      </c>
      <c r="P530">
        <f t="shared" si="69"/>
        <v>1</v>
      </c>
      <c r="Q530">
        <f t="shared" si="70"/>
        <v>1</v>
      </c>
      <c r="R530" s="3">
        <v>65.510000000000005</v>
      </c>
    </row>
    <row r="531" spans="1:18">
      <c r="A531" s="1">
        <v>43229</v>
      </c>
      <c r="B531">
        <v>2697.79</v>
      </c>
      <c r="C531">
        <f t="shared" si="64"/>
        <v>9.682176113057217E-3</v>
      </c>
      <c r="D531">
        <f t="shared" si="71"/>
        <v>1.2904461181488358E-2</v>
      </c>
      <c r="E531">
        <f>_xlfn.XLOOKUP(A531,VIX!A:A,VIX!B:B,"",-1)</f>
        <v>13.42</v>
      </c>
      <c r="F531">
        <f t="shared" si="65"/>
        <v>-1.2900000000000009</v>
      </c>
      <c r="G531">
        <f>_xlfn.XLOOKUP(A531,'DGS10'!A:A,'DGS10'!B:B,"",-1)</f>
        <v>3</v>
      </c>
      <c r="H531">
        <f t="shared" si="66"/>
        <v>2.9999999999999805E-2</v>
      </c>
      <c r="I531" s="2">
        <f>_xlfn.XLOOKUP(A531,T10Y3M!A:A,T10Y3M!B:B,"",-1)</f>
        <v>1.1200000000000001</v>
      </c>
      <c r="J531" s="2">
        <f>_xlfn.XLOOKUP(A531,BAMLC0A4CBBB!A:A,BAMLC0A4CBBB!B:B,"",-1)</f>
        <v>1.47</v>
      </c>
      <c r="K531" s="2">
        <f>_xlfn.XLOOKUP(A531,CPIAUCSL!A:A,CPIAUCSL!B:B,"",-1)</f>
        <v>250.792</v>
      </c>
      <c r="L531">
        <f>_xlfn.XLOOKUP(A531,DFF!A:A,DFF!B:B,"",-1)</f>
        <v>1.7</v>
      </c>
      <c r="M531">
        <f>_xlfn.XLOOKUP(A531,'DGS2'!A:A,'DGS2'!B:B,"",-1)</f>
        <v>2.54</v>
      </c>
      <c r="N531">
        <f t="shared" si="67"/>
        <v>3.0000000000000249E-2</v>
      </c>
      <c r="O531">
        <f t="shared" si="68"/>
        <v>9.3706329996035009E-3</v>
      </c>
      <c r="P531">
        <f t="shared" si="69"/>
        <v>1</v>
      </c>
      <c r="Q531">
        <f t="shared" si="70"/>
        <v>1</v>
      </c>
      <c r="R531" s="3">
        <v>66.819999999999993</v>
      </c>
    </row>
    <row r="532" spans="1:18">
      <c r="A532" s="1">
        <v>43230</v>
      </c>
      <c r="B532">
        <v>2723.07</v>
      </c>
      <c r="C532">
        <f t="shared" si="64"/>
        <v>9.3706329996035009E-3</v>
      </c>
      <c r="D532">
        <f t="shared" si="71"/>
        <v>1.8872795710592305E-2</v>
      </c>
      <c r="E532">
        <f>_xlfn.XLOOKUP(A532,VIX!A:A,VIX!B:B,"",-1)</f>
        <v>13.23</v>
      </c>
      <c r="F532">
        <f t="shared" si="65"/>
        <v>-0.1899999999999995</v>
      </c>
      <c r="G532">
        <f>_xlfn.XLOOKUP(A532,'DGS10'!A:A,'DGS10'!B:B,"",-1)</f>
        <v>2.97</v>
      </c>
      <c r="H532">
        <f t="shared" si="66"/>
        <v>-2.9999999999999805E-2</v>
      </c>
      <c r="I532" s="2">
        <f>_xlfn.XLOOKUP(A532,T10Y3M!A:A,T10Y3M!B:B,"",-1)</f>
        <v>1.07</v>
      </c>
      <c r="J532" s="2">
        <f>_xlfn.XLOOKUP(A532,BAMLC0A4CBBB!A:A,BAMLC0A4CBBB!B:B,"",-1)</f>
        <v>1.46</v>
      </c>
      <c r="K532" s="2">
        <f>_xlfn.XLOOKUP(A532,CPIAUCSL!A:A,CPIAUCSL!B:B,"",-1)</f>
        <v>250.792</v>
      </c>
      <c r="L532">
        <f>_xlfn.XLOOKUP(A532,DFF!A:A,DFF!B:B,"",-1)</f>
        <v>1.7</v>
      </c>
      <c r="M532">
        <f>_xlfn.XLOOKUP(A532,'DGS2'!A:A,'DGS2'!B:B,"",-1)</f>
        <v>2.54</v>
      </c>
      <c r="N532">
        <f t="shared" si="67"/>
        <v>0</v>
      </c>
      <c r="O532">
        <f t="shared" si="68"/>
        <v>1.7076314600799058E-3</v>
      </c>
      <c r="P532">
        <f t="shared" si="69"/>
        <v>1</v>
      </c>
      <c r="Q532">
        <f t="shared" si="70"/>
        <v>0</v>
      </c>
      <c r="R532" s="3">
        <v>67.069999999999993</v>
      </c>
    </row>
    <row r="533" spans="1:18">
      <c r="A533" s="1">
        <v>43231</v>
      </c>
      <c r="B533">
        <v>2727.72</v>
      </c>
      <c r="C533">
        <f t="shared" si="64"/>
        <v>1.7076314600799058E-3</v>
      </c>
      <c r="D533">
        <f t="shared" si="71"/>
        <v>2.0883858798167454E-2</v>
      </c>
      <c r="E533">
        <f>_xlfn.XLOOKUP(A533,VIX!A:A,VIX!B:B,"",-1)</f>
        <v>12.65</v>
      </c>
      <c r="F533">
        <f t="shared" si="65"/>
        <v>-0.58000000000000007</v>
      </c>
      <c r="G533">
        <f>_xlfn.XLOOKUP(A533,'DGS10'!A:A,'DGS10'!B:B,"",-1)</f>
        <v>2.97</v>
      </c>
      <c r="H533">
        <f t="shared" si="66"/>
        <v>0</v>
      </c>
      <c r="I533" s="2">
        <f>_xlfn.XLOOKUP(A533,T10Y3M!A:A,T10Y3M!B:B,"",-1)</f>
        <v>1.05</v>
      </c>
      <c r="J533" s="2">
        <f>_xlfn.XLOOKUP(A533,BAMLC0A4CBBB!A:A,BAMLC0A4CBBB!B:B,"",-1)</f>
        <v>1.45</v>
      </c>
      <c r="K533" s="2">
        <f>_xlfn.XLOOKUP(A533,CPIAUCSL!A:A,CPIAUCSL!B:B,"",-1)</f>
        <v>250.792</v>
      </c>
      <c r="L533">
        <f>_xlfn.XLOOKUP(A533,DFF!A:A,DFF!B:B,"",-1)</f>
        <v>1.7</v>
      </c>
      <c r="M533">
        <f>_xlfn.XLOOKUP(A533,'DGS2'!A:A,'DGS2'!B:B,"",-1)</f>
        <v>2.54</v>
      </c>
      <c r="N533">
        <f t="shared" si="67"/>
        <v>0</v>
      </c>
      <c r="O533">
        <f t="shared" si="68"/>
        <v>8.8352176909656244E-4</v>
      </c>
      <c r="P533">
        <f t="shared" si="69"/>
        <v>1</v>
      </c>
      <c r="Q533">
        <f t="shared" si="70"/>
        <v>0</v>
      </c>
      <c r="R533" s="3">
        <v>67.39</v>
      </c>
    </row>
    <row r="534" spans="1:18">
      <c r="A534" s="1">
        <v>43234</v>
      </c>
      <c r="B534">
        <v>2730.13</v>
      </c>
      <c r="C534">
        <f t="shared" si="64"/>
        <v>8.8352176909656244E-4</v>
      </c>
      <c r="D534">
        <f t="shared" si="71"/>
        <v>1.1987589842056057E-2</v>
      </c>
      <c r="E534">
        <f>_xlfn.XLOOKUP(A534,VIX!A:A,VIX!B:B,"",-1)</f>
        <v>12.93</v>
      </c>
      <c r="F534">
        <f t="shared" si="65"/>
        <v>0.27999999999999936</v>
      </c>
      <c r="G534">
        <f>_xlfn.XLOOKUP(A534,'DGS10'!A:A,'DGS10'!B:B,"",-1)</f>
        <v>3</v>
      </c>
      <c r="H534">
        <f t="shared" si="66"/>
        <v>2.9999999999999805E-2</v>
      </c>
      <c r="I534" s="2">
        <f>_xlfn.XLOOKUP(A534,T10Y3M!A:A,T10Y3M!B:B,"",-1)</f>
        <v>1.07</v>
      </c>
      <c r="J534" s="2">
        <f>_xlfn.XLOOKUP(A534,BAMLC0A4CBBB!A:A,BAMLC0A4CBBB!B:B,"",-1)</f>
        <v>1.44</v>
      </c>
      <c r="K534" s="2">
        <f>_xlfn.XLOOKUP(A534,CPIAUCSL!A:A,CPIAUCSL!B:B,"",-1)</f>
        <v>250.792</v>
      </c>
      <c r="L534">
        <f>_xlfn.XLOOKUP(A534,DFF!A:A,DFF!B:B,"",-1)</f>
        <v>1.7</v>
      </c>
      <c r="M534">
        <f>_xlfn.XLOOKUP(A534,'DGS2'!A:A,'DGS2'!B:B,"",-1)</f>
        <v>2.5499999999999998</v>
      </c>
      <c r="N534">
        <f t="shared" si="67"/>
        <v>9.9999999999997868E-3</v>
      </c>
      <c r="O534">
        <f t="shared" si="68"/>
        <v>-6.8421650251088151E-3</v>
      </c>
      <c r="P534">
        <f t="shared" si="69"/>
        <v>0</v>
      </c>
      <c r="Q534">
        <f t="shared" si="70"/>
        <v>-1</v>
      </c>
      <c r="R534" s="3">
        <v>66.22</v>
      </c>
    </row>
    <row r="535" spans="1:18">
      <c r="A535" s="1">
        <v>43235</v>
      </c>
      <c r="B535">
        <v>2711.45</v>
      </c>
      <c r="C535">
        <f t="shared" si="64"/>
        <v>-6.8421650251088151E-3</v>
      </c>
      <c r="D535">
        <f t="shared" si="71"/>
        <v>-4.2672424873397841E-3</v>
      </c>
      <c r="E535">
        <f>_xlfn.XLOOKUP(A535,VIX!A:A,VIX!B:B,"",-1)</f>
        <v>14.63</v>
      </c>
      <c r="F535">
        <f t="shared" si="65"/>
        <v>1.7000000000000011</v>
      </c>
      <c r="G535">
        <f>_xlfn.XLOOKUP(A535,'DGS10'!A:A,'DGS10'!B:B,"",-1)</f>
        <v>3.08</v>
      </c>
      <c r="H535">
        <f t="shared" si="66"/>
        <v>8.0000000000000071E-2</v>
      </c>
      <c r="I535" s="2">
        <f>_xlfn.XLOOKUP(A535,T10Y3M!A:A,T10Y3M!B:B,"",-1)</f>
        <v>1.1599999999999999</v>
      </c>
      <c r="J535" s="2">
        <f>_xlfn.XLOOKUP(A535,BAMLC0A4CBBB!A:A,BAMLC0A4CBBB!B:B,"",-1)</f>
        <v>1.44</v>
      </c>
      <c r="K535" s="2">
        <f>_xlfn.XLOOKUP(A535,CPIAUCSL!A:A,CPIAUCSL!B:B,"",-1)</f>
        <v>250.792</v>
      </c>
      <c r="L535">
        <f>_xlfn.XLOOKUP(A535,DFF!A:A,DFF!B:B,"",-1)</f>
        <v>1.7</v>
      </c>
      <c r="M535">
        <f>_xlfn.XLOOKUP(A535,'DGS2'!A:A,'DGS2'!B:B,"",-1)</f>
        <v>2.58</v>
      </c>
      <c r="N535">
        <f t="shared" si="67"/>
        <v>3.0000000000000249E-2</v>
      </c>
      <c r="O535">
        <f t="shared" si="68"/>
        <v>4.060558004020054E-3</v>
      </c>
      <c r="P535">
        <f t="shared" si="69"/>
        <v>1</v>
      </c>
      <c r="Q535">
        <f t="shared" si="70"/>
        <v>1</v>
      </c>
      <c r="R535" s="3">
        <v>66.52</v>
      </c>
    </row>
    <row r="536" spans="1:18">
      <c r="A536" s="1">
        <v>43236</v>
      </c>
      <c r="B536">
        <v>2722.46</v>
      </c>
      <c r="C536">
        <f t="shared" si="64"/>
        <v>4.060558004020054E-3</v>
      </c>
      <c r="D536">
        <f t="shared" si="71"/>
        <v>-1.928350417198188E-3</v>
      </c>
      <c r="E536">
        <f>_xlfn.XLOOKUP(A536,VIX!A:A,VIX!B:B,"",-1)</f>
        <v>13.42</v>
      </c>
      <c r="F536">
        <f t="shared" si="65"/>
        <v>-1.2100000000000009</v>
      </c>
      <c r="G536">
        <f>_xlfn.XLOOKUP(A536,'DGS10'!A:A,'DGS10'!B:B,"",-1)</f>
        <v>3.09</v>
      </c>
      <c r="H536">
        <f t="shared" si="66"/>
        <v>9.9999999999997868E-3</v>
      </c>
      <c r="I536" s="2">
        <f>_xlfn.XLOOKUP(A536,T10Y3M!A:A,T10Y3M!B:B,"",-1)</f>
        <v>1.17</v>
      </c>
      <c r="J536" s="2">
        <f>_xlfn.XLOOKUP(A536,BAMLC0A4CBBB!A:A,BAMLC0A4CBBB!B:B,"",-1)</f>
        <v>1.44</v>
      </c>
      <c r="K536" s="2">
        <f>_xlfn.XLOOKUP(A536,CPIAUCSL!A:A,CPIAUCSL!B:B,"",-1)</f>
        <v>250.792</v>
      </c>
      <c r="L536">
        <f>_xlfn.XLOOKUP(A536,DFF!A:A,DFF!B:B,"",-1)</f>
        <v>1.7</v>
      </c>
      <c r="M536">
        <f>_xlfn.XLOOKUP(A536,'DGS2'!A:A,'DGS2'!B:B,"",-1)</f>
        <v>2.58</v>
      </c>
      <c r="N536">
        <f t="shared" si="67"/>
        <v>0</v>
      </c>
      <c r="O536">
        <f t="shared" si="68"/>
        <v>-8.5584361202728498E-4</v>
      </c>
      <c r="P536">
        <f t="shared" si="69"/>
        <v>0</v>
      </c>
      <c r="Q536">
        <f t="shared" si="70"/>
        <v>0</v>
      </c>
      <c r="R536" s="3">
        <v>68.47</v>
      </c>
    </row>
    <row r="537" spans="1:18">
      <c r="A537" s="1">
        <v>43237</v>
      </c>
      <c r="B537">
        <v>2720.13</v>
      </c>
      <c r="C537">
        <f t="shared" si="64"/>
        <v>-8.5584361202728498E-4</v>
      </c>
      <c r="D537">
        <f t="shared" si="71"/>
        <v>-3.6628292425635589E-3</v>
      </c>
      <c r="E537">
        <f>_xlfn.XLOOKUP(A537,VIX!A:A,VIX!B:B,"",-1)</f>
        <v>13.43</v>
      </c>
      <c r="F537">
        <f t="shared" si="65"/>
        <v>9.9999999999997868E-3</v>
      </c>
      <c r="G537">
        <f>_xlfn.XLOOKUP(A537,'DGS10'!A:A,'DGS10'!B:B,"",-1)</f>
        <v>3.11</v>
      </c>
      <c r="H537">
        <f t="shared" si="66"/>
        <v>2.0000000000000018E-2</v>
      </c>
      <c r="I537" s="2">
        <f>_xlfn.XLOOKUP(A537,T10Y3M!A:A,T10Y3M!B:B,"",-1)</f>
        <v>1.19</v>
      </c>
      <c r="J537" s="2">
        <f>_xlfn.XLOOKUP(A537,BAMLC0A4CBBB!A:A,BAMLC0A4CBBB!B:B,"",-1)</f>
        <v>1.44</v>
      </c>
      <c r="K537" s="2">
        <f>_xlfn.XLOOKUP(A537,CPIAUCSL!A:A,CPIAUCSL!B:B,"",-1)</f>
        <v>250.792</v>
      </c>
      <c r="L537">
        <f>_xlfn.XLOOKUP(A537,DFF!A:A,DFF!B:B,"",-1)</f>
        <v>1.7</v>
      </c>
      <c r="M537">
        <f>_xlfn.XLOOKUP(A537,'DGS2'!A:A,'DGS2'!B:B,"",-1)</f>
        <v>2.57</v>
      </c>
      <c r="N537">
        <f t="shared" si="67"/>
        <v>-1.0000000000000231E-2</v>
      </c>
      <c r="O537">
        <f t="shared" si="68"/>
        <v>-2.6322271362031469E-3</v>
      </c>
      <c r="P537">
        <f t="shared" si="69"/>
        <v>0</v>
      </c>
      <c r="Q537">
        <f t="shared" si="70"/>
        <v>0</v>
      </c>
      <c r="R537" s="3">
        <v>68.290000000000006</v>
      </c>
    </row>
    <row r="538" spans="1:18">
      <c r="A538" s="1">
        <v>43238</v>
      </c>
      <c r="B538">
        <v>2712.97</v>
      </c>
      <c r="C538">
        <f t="shared" si="64"/>
        <v>-2.6322271362031469E-3</v>
      </c>
      <c r="D538">
        <f t="shared" si="71"/>
        <v>5.6058566449679326E-4</v>
      </c>
      <c r="E538">
        <f>_xlfn.XLOOKUP(A538,VIX!A:A,VIX!B:B,"",-1)</f>
        <v>13.42</v>
      </c>
      <c r="F538">
        <f t="shared" si="65"/>
        <v>-9.9999999999997868E-3</v>
      </c>
      <c r="G538">
        <f>_xlfn.XLOOKUP(A538,'DGS10'!A:A,'DGS10'!B:B,"",-1)</f>
        <v>3.06</v>
      </c>
      <c r="H538">
        <f t="shared" si="66"/>
        <v>-4.9999999999999822E-2</v>
      </c>
      <c r="I538" s="2">
        <f>_xlfn.XLOOKUP(A538,T10Y3M!A:A,T10Y3M!B:B,"",-1)</f>
        <v>1.1499999999999999</v>
      </c>
      <c r="J538" s="2">
        <f>_xlfn.XLOOKUP(A538,BAMLC0A4CBBB!A:A,BAMLC0A4CBBB!B:B,"",-1)</f>
        <v>1.45</v>
      </c>
      <c r="K538" s="2">
        <f>_xlfn.XLOOKUP(A538,CPIAUCSL!A:A,CPIAUCSL!B:B,"",-1)</f>
        <v>250.792</v>
      </c>
      <c r="L538">
        <f>_xlfn.XLOOKUP(A538,DFF!A:A,DFF!B:B,"",-1)</f>
        <v>1.7</v>
      </c>
      <c r="M538">
        <f>_xlfn.XLOOKUP(A538,'DGS2'!A:A,'DGS2'!B:B,"",-1)</f>
        <v>2.5499999999999998</v>
      </c>
      <c r="N538">
        <f t="shared" si="67"/>
        <v>-2.0000000000000018E-2</v>
      </c>
      <c r="O538">
        <f t="shared" si="68"/>
        <v>7.386738519040259E-3</v>
      </c>
      <c r="P538">
        <f t="shared" si="69"/>
        <v>1</v>
      </c>
      <c r="Q538">
        <f t="shared" si="70"/>
        <v>1</v>
      </c>
      <c r="R538" s="3">
        <v>68.38</v>
      </c>
    </row>
    <row r="539" spans="1:18">
      <c r="A539" s="1">
        <v>43241</v>
      </c>
      <c r="B539">
        <v>2733.01</v>
      </c>
      <c r="C539">
        <f t="shared" si="64"/>
        <v>7.386738519040259E-3</v>
      </c>
      <c r="D539">
        <f t="shared" si="71"/>
        <v>3.8751717196947588E-3</v>
      </c>
      <c r="E539">
        <f>_xlfn.XLOOKUP(A539,VIX!A:A,VIX!B:B,"",-1)</f>
        <v>13.08</v>
      </c>
      <c r="F539">
        <f t="shared" si="65"/>
        <v>-0.33999999999999986</v>
      </c>
      <c r="G539">
        <f>_xlfn.XLOOKUP(A539,'DGS10'!A:A,'DGS10'!B:B,"",-1)</f>
        <v>3.06</v>
      </c>
      <c r="H539">
        <f t="shared" si="66"/>
        <v>0</v>
      </c>
      <c r="I539" s="2">
        <f>_xlfn.XLOOKUP(A539,T10Y3M!A:A,T10Y3M!B:B,"",-1)</f>
        <v>1.1299999999999999</v>
      </c>
      <c r="J539" s="2">
        <f>_xlfn.XLOOKUP(A539,BAMLC0A4CBBB!A:A,BAMLC0A4CBBB!B:B,"",-1)</f>
        <v>1.45</v>
      </c>
      <c r="K539" s="2">
        <f>_xlfn.XLOOKUP(A539,CPIAUCSL!A:A,CPIAUCSL!B:B,"",-1)</f>
        <v>250.792</v>
      </c>
      <c r="L539">
        <f>_xlfn.XLOOKUP(A539,DFF!A:A,DFF!B:B,"",-1)</f>
        <v>1.7</v>
      </c>
      <c r="M539">
        <f>_xlfn.XLOOKUP(A539,'DGS2'!A:A,'DGS2'!B:B,"",-1)</f>
        <v>2.58</v>
      </c>
      <c r="N539">
        <f t="shared" si="67"/>
        <v>3.0000000000000249E-2</v>
      </c>
      <c r="O539">
        <f t="shared" si="68"/>
        <v>-3.1357367883761977E-3</v>
      </c>
      <c r="P539">
        <f t="shared" si="69"/>
        <v>0</v>
      </c>
      <c r="Q539">
        <f t="shared" si="70"/>
        <v>-1</v>
      </c>
      <c r="R539" s="3">
        <v>68.64</v>
      </c>
    </row>
    <row r="540" spans="1:18">
      <c r="A540" s="1">
        <v>43242</v>
      </c>
      <c r="B540">
        <v>2724.44</v>
      </c>
      <c r="C540">
        <f t="shared" si="64"/>
        <v>-3.1357367883761977E-3</v>
      </c>
      <c r="D540">
        <f t="shared" si="71"/>
        <v>1.5844830945579425E-3</v>
      </c>
      <c r="E540">
        <f>_xlfn.XLOOKUP(A540,VIX!A:A,VIX!B:B,"",-1)</f>
        <v>13.22</v>
      </c>
      <c r="F540">
        <f t="shared" si="65"/>
        <v>0.14000000000000057</v>
      </c>
      <c r="G540">
        <f>_xlfn.XLOOKUP(A540,'DGS10'!A:A,'DGS10'!B:B,"",-1)</f>
        <v>3.06</v>
      </c>
      <c r="H540">
        <f t="shared" si="66"/>
        <v>0</v>
      </c>
      <c r="I540" s="2">
        <f>_xlfn.XLOOKUP(A540,T10Y3M!A:A,T10Y3M!B:B,"",-1)</f>
        <v>1.1299999999999999</v>
      </c>
      <c r="J540" s="2">
        <f>_xlfn.XLOOKUP(A540,BAMLC0A4CBBB!A:A,BAMLC0A4CBBB!B:B,"",-1)</f>
        <v>1.45</v>
      </c>
      <c r="K540" s="2">
        <f>_xlfn.XLOOKUP(A540,CPIAUCSL!A:A,CPIAUCSL!B:B,"",-1)</f>
        <v>250.792</v>
      </c>
      <c r="L540">
        <f>_xlfn.XLOOKUP(A540,DFF!A:A,DFF!B:B,"",-1)</f>
        <v>1.7</v>
      </c>
      <c r="M540">
        <f>_xlfn.XLOOKUP(A540,'DGS2'!A:A,'DGS2'!B:B,"",-1)</f>
        <v>2.59</v>
      </c>
      <c r="N540">
        <f t="shared" si="67"/>
        <v>9.9999999999997868E-3</v>
      </c>
      <c r="O540">
        <f t="shared" si="68"/>
        <v>3.248373977771557E-3</v>
      </c>
      <c r="P540">
        <f t="shared" si="69"/>
        <v>1</v>
      </c>
      <c r="Q540">
        <f t="shared" si="70"/>
        <v>1</v>
      </c>
      <c r="R540" s="3">
        <v>67.7</v>
      </c>
    </row>
    <row r="541" spans="1:18">
      <c r="A541" s="1">
        <v>43243</v>
      </c>
      <c r="B541">
        <v>2733.29</v>
      </c>
      <c r="C541">
        <f t="shared" si="64"/>
        <v>3.248373977771557E-3</v>
      </c>
      <c r="D541">
        <f t="shared" si="71"/>
        <v>7.4899464424598161E-3</v>
      </c>
      <c r="E541">
        <f>_xlfn.XLOOKUP(A541,VIX!A:A,VIX!B:B,"",-1)</f>
        <v>12.58</v>
      </c>
      <c r="F541">
        <f t="shared" si="65"/>
        <v>-0.64000000000000057</v>
      </c>
      <c r="G541">
        <f>_xlfn.XLOOKUP(A541,'DGS10'!A:A,'DGS10'!B:B,"",-1)</f>
        <v>3.01</v>
      </c>
      <c r="H541">
        <f t="shared" si="66"/>
        <v>-5.0000000000000266E-2</v>
      </c>
      <c r="I541" s="2">
        <f>_xlfn.XLOOKUP(A541,T10Y3M!A:A,T10Y3M!B:B,"",-1)</f>
        <v>1.0900000000000001</v>
      </c>
      <c r="J541" s="2">
        <f>_xlfn.XLOOKUP(A541,BAMLC0A4CBBB!A:A,BAMLC0A4CBBB!B:B,"",-1)</f>
        <v>1.46</v>
      </c>
      <c r="K541" s="2">
        <f>_xlfn.XLOOKUP(A541,CPIAUCSL!A:A,CPIAUCSL!B:B,"",-1)</f>
        <v>250.792</v>
      </c>
      <c r="L541">
        <f>_xlfn.XLOOKUP(A541,DFF!A:A,DFF!B:B,"",-1)</f>
        <v>1.7</v>
      </c>
      <c r="M541">
        <f>_xlfn.XLOOKUP(A541,'DGS2'!A:A,'DGS2'!B:B,"",-1)</f>
        <v>2.5299999999999998</v>
      </c>
      <c r="N541">
        <f t="shared" si="67"/>
        <v>-6.0000000000000053E-2</v>
      </c>
      <c r="O541">
        <f t="shared" si="68"/>
        <v>-2.0232028068736252E-3</v>
      </c>
      <c r="P541">
        <f t="shared" si="69"/>
        <v>0</v>
      </c>
      <c r="Q541">
        <f t="shared" si="70"/>
        <v>0</v>
      </c>
      <c r="R541" s="3">
        <v>68.05</v>
      </c>
    </row>
    <row r="542" spans="1:18">
      <c r="A542" s="1">
        <v>43244</v>
      </c>
      <c r="B542">
        <v>2727.76</v>
      </c>
      <c r="C542">
        <f t="shared" si="64"/>
        <v>-2.0232028068736252E-3</v>
      </c>
      <c r="D542">
        <f t="shared" si="71"/>
        <v>-1.9209589427041651E-3</v>
      </c>
      <c r="E542">
        <f>_xlfn.XLOOKUP(A542,VIX!A:A,VIX!B:B,"",-1)</f>
        <v>12.53</v>
      </c>
      <c r="F542">
        <f t="shared" si="65"/>
        <v>-5.0000000000000711E-2</v>
      </c>
      <c r="G542">
        <f>_xlfn.XLOOKUP(A542,'DGS10'!A:A,'DGS10'!B:B,"",-1)</f>
        <v>2.98</v>
      </c>
      <c r="H542">
        <f t="shared" si="66"/>
        <v>-2.9999999999999805E-2</v>
      </c>
      <c r="I542" s="2">
        <f>_xlfn.XLOOKUP(A542,T10Y3M!A:A,T10Y3M!B:B,"",-1)</f>
        <v>1.07</v>
      </c>
      <c r="J542" s="2">
        <f>_xlfn.XLOOKUP(A542,BAMLC0A4CBBB!A:A,BAMLC0A4CBBB!B:B,"",-1)</f>
        <v>1.46</v>
      </c>
      <c r="K542" s="2">
        <f>_xlfn.XLOOKUP(A542,CPIAUCSL!A:A,CPIAUCSL!B:B,"",-1)</f>
        <v>250.792</v>
      </c>
      <c r="L542">
        <f>_xlfn.XLOOKUP(A542,DFF!A:A,DFF!B:B,"",-1)</f>
        <v>1.7</v>
      </c>
      <c r="M542">
        <f>_xlfn.XLOOKUP(A542,'DGS2'!A:A,'DGS2'!B:B,"",-1)</f>
        <v>2.5</v>
      </c>
      <c r="N542">
        <f t="shared" si="67"/>
        <v>-2.9999999999999805E-2</v>
      </c>
      <c r="O542">
        <f t="shared" si="68"/>
        <v>-2.357245505469785E-3</v>
      </c>
      <c r="P542">
        <f t="shared" si="69"/>
        <v>0</v>
      </c>
      <c r="Q542">
        <f t="shared" si="70"/>
        <v>0</v>
      </c>
      <c r="R542" s="3">
        <v>68.19</v>
      </c>
    </row>
    <row r="543" spans="1:18">
      <c r="A543" s="1">
        <v>43245</v>
      </c>
      <c r="B543">
        <v>2721.33</v>
      </c>
      <c r="C543">
        <f t="shared" si="64"/>
        <v>-2.357245505469785E-3</v>
      </c>
      <c r="D543">
        <f t="shared" si="71"/>
        <v>-1.1415189910587431E-3</v>
      </c>
      <c r="E543">
        <f>_xlfn.XLOOKUP(A543,VIX!A:A,VIX!B:B,"",-1)</f>
        <v>13.22</v>
      </c>
      <c r="F543">
        <f t="shared" si="65"/>
        <v>0.69000000000000128</v>
      </c>
      <c r="G543">
        <f>_xlfn.XLOOKUP(A543,'DGS10'!A:A,'DGS10'!B:B,"",-1)</f>
        <v>2.93</v>
      </c>
      <c r="H543">
        <f t="shared" si="66"/>
        <v>-4.9999999999999822E-2</v>
      </c>
      <c r="I543" s="2">
        <f>_xlfn.XLOOKUP(A543,T10Y3M!A:A,T10Y3M!B:B,"",-1)</f>
        <v>1.03</v>
      </c>
      <c r="J543" s="2">
        <f>_xlfn.XLOOKUP(A543,BAMLC0A4CBBB!A:A,BAMLC0A4CBBB!B:B,"",-1)</f>
        <v>1.47</v>
      </c>
      <c r="K543" s="2">
        <f>_xlfn.XLOOKUP(A543,CPIAUCSL!A:A,CPIAUCSL!B:B,"",-1)</f>
        <v>250.792</v>
      </c>
      <c r="L543">
        <f>_xlfn.XLOOKUP(A543,DFF!A:A,DFF!B:B,"",-1)</f>
        <v>1.7</v>
      </c>
      <c r="M543">
        <f>_xlfn.XLOOKUP(A543,'DGS2'!A:A,'DGS2'!B:B,"",-1)</f>
        <v>2.48</v>
      </c>
      <c r="N543">
        <f t="shared" si="67"/>
        <v>-2.0000000000000018E-2</v>
      </c>
      <c r="O543">
        <f t="shared" si="68"/>
        <v>-1.1564198388288038E-2</v>
      </c>
      <c r="P543">
        <f t="shared" si="69"/>
        <v>0</v>
      </c>
      <c r="Q543">
        <f t="shared" si="70"/>
        <v>-1</v>
      </c>
      <c r="R543" s="3">
        <v>68.099999999999994</v>
      </c>
    </row>
    <row r="544" spans="1:18">
      <c r="A544" s="1">
        <v>43249</v>
      </c>
      <c r="B544">
        <v>2689.86</v>
      </c>
      <c r="C544">
        <f t="shared" si="64"/>
        <v>-1.1564198388288038E-2</v>
      </c>
      <c r="D544">
        <f t="shared" si="71"/>
        <v>-1.5889276293404642E-2</v>
      </c>
      <c r="E544">
        <f>_xlfn.XLOOKUP(A544,VIX!A:A,VIX!B:B,"",-1)</f>
        <v>17.02</v>
      </c>
      <c r="F544">
        <f t="shared" si="65"/>
        <v>3.7999999999999989</v>
      </c>
      <c r="G544">
        <f>_xlfn.XLOOKUP(A544,'DGS10'!A:A,'DGS10'!B:B,"",-1)</f>
        <v>2.77</v>
      </c>
      <c r="H544">
        <f t="shared" si="66"/>
        <v>-0.16000000000000014</v>
      </c>
      <c r="I544" s="2">
        <f>_xlfn.XLOOKUP(A544,T10Y3M!A:A,T10Y3M!B:B,"",-1)</f>
        <v>0.84</v>
      </c>
      <c r="J544" s="2">
        <f>_xlfn.XLOOKUP(A544,BAMLC0A4CBBB!A:A,BAMLC0A4CBBB!B:B,"",-1)</f>
        <v>1.51</v>
      </c>
      <c r="K544" s="2">
        <f>_xlfn.XLOOKUP(A544,CPIAUCSL!A:A,CPIAUCSL!B:B,"",-1)</f>
        <v>250.792</v>
      </c>
      <c r="L544">
        <f>_xlfn.XLOOKUP(A544,DFF!A:A,DFF!B:B,"",-1)</f>
        <v>1.7</v>
      </c>
      <c r="M544">
        <f>_xlfn.XLOOKUP(A544,'DGS2'!A:A,'DGS2'!B:B,"",-1)</f>
        <v>2.3199999999999998</v>
      </c>
      <c r="N544">
        <f t="shared" si="67"/>
        <v>-0.16000000000000014</v>
      </c>
      <c r="O544">
        <f t="shared" si="68"/>
        <v>1.269582803565994E-2</v>
      </c>
      <c r="P544">
        <f t="shared" si="69"/>
        <v>1</v>
      </c>
      <c r="Q544">
        <f t="shared" si="70"/>
        <v>1</v>
      </c>
      <c r="R544" s="3">
        <v>68.569999999999993</v>
      </c>
    </row>
    <row r="545" spans="1:18">
      <c r="A545" s="1">
        <v>43250</v>
      </c>
      <c r="B545">
        <v>2724.01</v>
      </c>
      <c r="C545">
        <f t="shared" si="64"/>
        <v>1.269582803565994E-2</v>
      </c>
      <c r="D545">
        <f t="shared" si="71"/>
        <v>-1.3747543772179016E-3</v>
      </c>
      <c r="E545">
        <f>_xlfn.XLOOKUP(A545,VIX!A:A,VIX!B:B,"",-1)</f>
        <v>14.94</v>
      </c>
      <c r="F545">
        <f t="shared" si="65"/>
        <v>-2.08</v>
      </c>
      <c r="G545">
        <f>_xlfn.XLOOKUP(A545,'DGS10'!A:A,'DGS10'!B:B,"",-1)</f>
        <v>2.84</v>
      </c>
      <c r="H545">
        <f t="shared" si="66"/>
        <v>6.999999999999984E-2</v>
      </c>
      <c r="I545" s="2">
        <f>_xlfn.XLOOKUP(A545,T10Y3M!A:A,T10Y3M!B:B,"",-1)</f>
        <v>0.9</v>
      </c>
      <c r="J545" s="2">
        <f>_xlfn.XLOOKUP(A545,BAMLC0A4CBBB!A:A,BAMLC0A4CBBB!B:B,"",-1)</f>
        <v>1.52</v>
      </c>
      <c r="K545" s="2">
        <f>_xlfn.XLOOKUP(A545,CPIAUCSL!A:A,CPIAUCSL!B:B,"",-1)</f>
        <v>250.792</v>
      </c>
      <c r="L545">
        <f>_xlfn.XLOOKUP(A545,DFF!A:A,DFF!B:B,"",-1)</f>
        <v>1.7</v>
      </c>
      <c r="M545">
        <f>_xlfn.XLOOKUP(A545,'DGS2'!A:A,'DGS2'!B:B,"",-1)</f>
        <v>2.42</v>
      </c>
      <c r="N545">
        <f t="shared" si="67"/>
        <v>0.10000000000000009</v>
      </c>
      <c r="O545">
        <f t="shared" si="68"/>
        <v>-6.8795635845684266E-3</v>
      </c>
      <c r="P545">
        <f t="shared" si="69"/>
        <v>0</v>
      </c>
      <c r="Q545">
        <f t="shared" si="70"/>
        <v>-1</v>
      </c>
      <c r="R545" s="3">
        <v>67.25</v>
      </c>
    </row>
    <row r="546" spans="1:18">
      <c r="A546" s="1">
        <v>43251</v>
      </c>
      <c r="B546">
        <v>2705.27</v>
      </c>
      <c r="C546">
        <f t="shared" si="64"/>
        <v>-6.8795635845684266E-3</v>
      </c>
      <c r="D546">
        <f t="shared" si="71"/>
        <v>-5.9015260920212143E-3</v>
      </c>
      <c r="E546">
        <f>_xlfn.XLOOKUP(A546,VIX!A:A,VIX!B:B,"",-1)</f>
        <v>15.43</v>
      </c>
      <c r="F546">
        <f t="shared" si="65"/>
        <v>0.49000000000000021</v>
      </c>
      <c r="G546">
        <f>_xlfn.XLOOKUP(A546,'DGS10'!A:A,'DGS10'!B:B,"",-1)</f>
        <v>2.83</v>
      </c>
      <c r="H546">
        <f t="shared" si="66"/>
        <v>-9.9999999999997868E-3</v>
      </c>
      <c r="I546" s="2">
        <f>_xlfn.XLOOKUP(A546,T10Y3M!A:A,T10Y3M!B:B,"",-1)</f>
        <v>0.9</v>
      </c>
      <c r="J546" s="2">
        <f>_xlfn.XLOOKUP(A546,BAMLC0A4CBBB!A:A,BAMLC0A4CBBB!B:B,"",-1)</f>
        <v>1.54</v>
      </c>
      <c r="K546" s="2">
        <f>_xlfn.XLOOKUP(A546,CPIAUCSL!A:A,CPIAUCSL!B:B,"",-1)</f>
        <v>250.792</v>
      </c>
      <c r="L546">
        <f>_xlfn.XLOOKUP(A546,DFF!A:A,DFF!B:B,"",-1)</f>
        <v>1.7</v>
      </c>
      <c r="M546">
        <f>_xlfn.XLOOKUP(A546,'DGS2'!A:A,'DGS2'!B:B,"",-1)</f>
        <v>2.4</v>
      </c>
      <c r="N546">
        <f t="shared" si="67"/>
        <v>-2.0000000000000018E-2</v>
      </c>
      <c r="O546">
        <f t="shared" si="68"/>
        <v>1.0849194350286639E-2</v>
      </c>
      <c r="P546">
        <f t="shared" si="69"/>
        <v>1</v>
      </c>
      <c r="Q546">
        <f t="shared" si="70"/>
        <v>1</v>
      </c>
      <c r="R546" s="3">
        <v>67.930000000000007</v>
      </c>
    </row>
    <row r="547" spans="1:18">
      <c r="A547" s="1">
        <v>43252</v>
      </c>
      <c r="B547">
        <v>2734.62</v>
      </c>
      <c r="C547">
        <f t="shared" si="64"/>
        <v>1.0849194350286639E-2</v>
      </c>
      <c r="D547">
        <f t="shared" si="71"/>
        <v>1.6640271240882409E-2</v>
      </c>
      <c r="E547">
        <f>_xlfn.XLOOKUP(A547,VIX!A:A,VIX!B:B,"",-1)</f>
        <v>13.46</v>
      </c>
      <c r="F547">
        <f t="shared" si="65"/>
        <v>-1.9699999999999989</v>
      </c>
      <c r="G547">
        <f>_xlfn.XLOOKUP(A547,'DGS10'!A:A,'DGS10'!B:B,"",-1)</f>
        <v>2.89</v>
      </c>
      <c r="H547">
        <f t="shared" si="66"/>
        <v>6.0000000000000053E-2</v>
      </c>
      <c r="I547" s="2">
        <f>_xlfn.XLOOKUP(A547,T10Y3M!A:A,T10Y3M!B:B,"",-1)</f>
        <v>0.97</v>
      </c>
      <c r="J547" s="2">
        <f>_xlfn.XLOOKUP(A547,BAMLC0A4CBBB!A:A,BAMLC0A4CBBB!B:B,"",-1)</f>
        <v>1.53</v>
      </c>
      <c r="K547" s="2">
        <f>_xlfn.XLOOKUP(A547,CPIAUCSL!A:A,CPIAUCSL!B:B,"",-1)</f>
        <v>251.018</v>
      </c>
      <c r="L547">
        <f>_xlfn.XLOOKUP(A547,DFF!A:A,DFF!B:B,"",-1)</f>
        <v>1.7</v>
      </c>
      <c r="M547">
        <f>_xlfn.XLOOKUP(A547,'DGS2'!A:A,'DGS2'!B:B,"",-1)</f>
        <v>2.4700000000000002</v>
      </c>
      <c r="N547">
        <f t="shared" si="67"/>
        <v>7.0000000000000284E-2</v>
      </c>
      <c r="O547">
        <f t="shared" si="68"/>
        <v>4.4795986279628774E-3</v>
      </c>
      <c r="P547">
        <f t="shared" si="69"/>
        <v>1</v>
      </c>
      <c r="Q547">
        <f t="shared" si="70"/>
        <v>1</v>
      </c>
      <c r="R547" s="3">
        <v>68.430000000000007</v>
      </c>
    </row>
    <row r="548" spans="1:18">
      <c r="A548" s="1">
        <v>43255</v>
      </c>
      <c r="B548">
        <v>2746.87</v>
      </c>
      <c r="C548">
        <f t="shared" si="64"/>
        <v>4.4795986279628774E-3</v>
      </c>
      <c r="D548">
        <f t="shared" si="71"/>
        <v>8.3920396767998007E-3</v>
      </c>
      <c r="E548">
        <f>_xlfn.XLOOKUP(A548,VIX!A:A,VIX!B:B,"",-1)</f>
        <v>12.74</v>
      </c>
      <c r="F548">
        <f t="shared" si="65"/>
        <v>-0.72000000000000064</v>
      </c>
      <c r="G548">
        <f>_xlfn.XLOOKUP(A548,'DGS10'!A:A,'DGS10'!B:B,"",-1)</f>
        <v>2.94</v>
      </c>
      <c r="H548">
        <f t="shared" si="66"/>
        <v>4.9999999999999822E-2</v>
      </c>
      <c r="I548" s="2">
        <f>_xlfn.XLOOKUP(A548,T10Y3M!A:A,T10Y3M!B:B,"",-1)</f>
        <v>1</v>
      </c>
      <c r="J548" s="2">
        <f>_xlfn.XLOOKUP(A548,BAMLC0A4CBBB!A:A,BAMLC0A4CBBB!B:B,"",-1)</f>
        <v>1.52</v>
      </c>
      <c r="K548" s="2">
        <f>_xlfn.XLOOKUP(A548,CPIAUCSL!A:A,CPIAUCSL!B:B,"",-1)</f>
        <v>251.018</v>
      </c>
      <c r="L548">
        <f>_xlfn.XLOOKUP(A548,DFF!A:A,DFF!B:B,"",-1)</f>
        <v>1.7</v>
      </c>
      <c r="M548">
        <f>_xlfn.XLOOKUP(A548,'DGS2'!A:A,'DGS2'!B:B,"",-1)</f>
        <v>2.52</v>
      </c>
      <c r="N548">
        <f t="shared" si="67"/>
        <v>4.9999999999999822E-2</v>
      </c>
      <c r="O548">
        <f t="shared" si="68"/>
        <v>7.0261788872438835E-4</v>
      </c>
      <c r="P548">
        <f t="shared" si="69"/>
        <v>1</v>
      </c>
      <c r="Q548">
        <f t="shared" si="70"/>
        <v>0</v>
      </c>
      <c r="R548" s="3">
        <v>69.72</v>
      </c>
    </row>
    <row r="549" spans="1:18">
      <c r="A549" s="1">
        <v>43256</v>
      </c>
      <c r="B549">
        <v>2748.8</v>
      </c>
      <c r="C549">
        <f t="shared" si="64"/>
        <v>7.0261788872438835E-4</v>
      </c>
      <c r="D549">
        <f t="shared" si="71"/>
        <v>1.6090815334513842E-2</v>
      </c>
      <c r="E549">
        <f>_xlfn.XLOOKUP(A549,VIX!A:A,VIX!B:B,"",-1)</f>
        <v>12.4</v>
      </c>
      <c r="F549">
        <f t="shared" si="65"/>
        <v>-0.33999999999999986</v>
      </c>
      <c r="G549">
        <f>_xlfn.XLOOKUP(A549,'DGS10'!A:A,'DGS10'!B:B,"",-1)</f>
        <v>2.92</v>
      </c>
      <c r="H549">
        <f t="shared" si="66"/>
        <v>-2.0000000000000018E-2</v>
      </c>
      <c r="I549" s="2">
        <f>_xlfn.XLOOKUP(A549,T10Y3M!A:A,T10Y3M!B:B,"",-1)</f>
        <v>0.98</v>
      </c>
      <c r="J549" s="2">
        <f>_xlfn.XLOOKUP(A549,BAMLC0A4CBBB!A:A,BAMLC0A4CBBB!B:B,"",-1)</f>
        <v>1.52</v>
      </c>
      <c r="K549" s="2">
        <f>_xlfn.XLOOKUP(A549,CPIAUCSL!A:A,CPIAUCSL!B:B,"",-1)</f>
        <v>251.018</v>
      </c>
      <c r="L549">
        <f>_xlfn.XLOOKUP(A549,DFF!A:A,DFF!B:B,"",-1)</f>
        <v>1.7</v>
      </c>
      <c r="M549">
        <f>_xlfn.XLOOKUP(A549,'DGS2'!A:A,'DGS2'!B:B,"",-1)</f>
        <v>2.4900000000000002</v>
      </c>
      <c r="N549">
        <f t="shared" si="67"/>
        <v>-2.9999999999999805E-2</v>
      </c>
      <c r="O549">
        <f t="shared" si="68"/>
        <v>8.5673748544818906E-3</v>
      </c>
      <c r="P549">
        <f t="shared" si="69"/>
        <v>1</v>
      </c>
      <c r="Q549">
        <f t="shared" si="70"/>
        <v>1</v>
      </c>
      <c r="R549" s="3">
        <v>70.73</v>
      </c>
    </row>
    <row r="550" spans="1:18">
      <c r="A550" s="1">
        <v>43257</v>
      </c>
      <c r="B550">
        <v>2772.35</v>
      </c>
      <c r="C550">
        <f t="shared" si="64"/>
        <v>8.5673748544818906E-3</v>
      </c>
      <c r="D550">
        <f t="shared" si="71"/>
        <v>1.3797163774125876E-2</v>
      </c>
      <c r="E550">
        <f>_xlfn.XLOOKUP(A550,VIX!A:A,VIX!B:B,"",-1)</f>
        <v>11.64</v>
      </c>
      <c r="F550">
        <f t="shared" si="65"/>
        <v>-0.75999999999999979</v>
      </c>
      <c r="G550">
        <f>_xlfn.XLOOKUP(A550,'DGS10'!A:A,'DGS10'!B:B,"",-1)</f>
        <v>2.97</v>
      </c>
      <c r="H550">
        <f t="shared" si="66"/>
        <v>5.0000000000000266E-2</v>
      </c>
      <c r="I550" s="2">
        <f>_xlfn.XLOOKUP(A550,T10Y3M!A:A,T10Y3M!B:B,"",-1)</f>
        <v>1.02</v>
      </c>
      <c r="J550" s="2">
        <f>_xlfn.XLOOKUP(A550,BAMLC0A4CBBB!A:A,BAMLC0A4CBBB!B:B,"",-1)</f>
        <v>1.52</v>
      </c>
      <c r="K550" s="2">
        <f>_xlfn.XLOOKUP(A550,CPIAUCSL!A:A,CPIAUCSL!B:B,"",-1)</f>
        <v>251.018</v>
      </c>
      <c r="L550">
        <f>_xlfn.XLOOKUP(A550,DFF!A:A,DFF!B:B,"",-1)</f>
        <v>1.7</v>
      </c>
      <c r="M550">
        <f>_xlfn.XLOOKUP(A550,'DGS2'!A:A,'DGS2'!B:B,"",-1)</f>
        <v>2.52</v>
      </c>
      <c r="N550">
        <f t="shared" si="67"/>
        <v>2.9999999999999805E-2</v>
      </c>
      <c r="O550">
        <f t="shared" si="68"/>
        <v>-7.1419553808138581E-4</v>
      </c>
      <c r="P550">
        <f t="shared" si="69"/>
        <v>0</v>
      </c>
      <c r="Q550">
        <f t="shared" si="70"/>
        <v>0</v>
      </c>
      <c r="R550" s="3">
        <v>69.06</v>
      </c>
    </row>
    <row r="551" spans="1:18">
      <c r="A551" s="1">
        <v>43258</v>
      </c>
      <c r="B551">
        <v>2770.37</v>
      </c>
      <c r="C551">
        <f t="shared" si="64"/>
        <v>-7.1419553808138581E-4</v>
      </c>
      <c r="D551">
        <f t="shared" si="71"/>
        <v>8.5551919093367346E-3</v>
      </c>
      <c r="E551">
        <f>_xlfn.XLOOKUP(A551,VIX!A:A,VIX!B:B,"",-1)</f>
        <v>12.13</v>
      </c>
      <c r="F551">
        <f t="shared" si="65"/>
        <v>0.49000000000000021</v>
      </c>
      <c r="G551">
        <f>_xlfn.XLOOKUP(A551,'DGS10'!A:A,'DGS10'!B:B,"",-1)</f>
        <v>2.93</v>
      </c>
      <c r="H551">
        <f t="shared" si="66"/>
        <v>-4.0000000000000036E-2</v>
      </c>
      <c r="I551" s="2">
        <f>_xlfn.XLOOKUP(A551,T10Y3M!A:A,T10Y3M!B:B,"",-1)</f>
        <v>0.99</v>
      </c>
      <c r="J551" s="2">
        <f>_xlfn.XLOOKUP(A551,BAMLC0A4CBBB!A:A,BAMLC0A4CBBB!B:B,"",-1)</f>
        <v>1.53</v>
      </c>
      <c r="K551" s="2">
        <f>_xlfn.XLOOKUP(A551,CPIAUCSL!A:A,CPIAUCSL!B:B,"",-1)</f>
        <v>251.018</v>
      </c>
      <c r="L551">
        <f>_xlfn.XLOOKUP(A551,DFF!A:A,DFF!B:B,"",-1)</f>
        <v>1.7</v>
      </c>
      <c r="M551">
        <f>_xlfn.XLOOKUP(A551,'DGS2'!A:A,'DGS2'!B:B,"",-1)</f>
        <v>2.5</v>
      </c>
      <c r="N551">
        <f t="shared" si="67"/>
        <v>-2.0000000000000018E-2</v>
      </c>
      <c r="O551">
        <f t="shared" si="68"/>
        <v>3.1259362467830343E-3</v>
      </c>
      <c r="P551">
        <f t="shared" si="69"/>
        <v>1</v>
      </c>
      <c r="Q551">
        <f t="shared" si="70"/>
        <v>1</v>
      </c>
      <c r="R551" s="3">
        <v>71.14</v>
      </c>
    </row>
    <row r="552" spans="1:18">
      <c r="A552" s="1">
        <v>43259</v>
      </c>
      <c r="B552">
        <v>2779.03</v>
      </c>
      <c r="C552">
        <f t="shared" si="64"/>
        <v>3.1259362467830343E-3</v>
      </c>
      <c r="D552">
        <f t="shared" si="71"/>
        <v>1.0997526193248008E-2</v>
      </c>
      <c r="E552">
        <f>_xlfn.XLOOKUP(A552,VIX!A:A,VIX!B:B,"",-1)</f>
        <v>12.18</v>
      </c>
      <c r="F552">
        <f t="shared" si="65"/>
        <v>4.9999999999998934E-2</v>
      </c>
      <c r="G552">
        <f>_xlfn.XLOOKUP(A552,'DGS10'!A:A,'DGS10'!B:B,"",-1)</f>
        <v>2.93</v>
      </c>
      <c r="H552">
        <f t="shared" si="66"/>
        <v>0</v>
      </c>
      <c r="I552" s="2">
        <f>_xlfn.XLOOKUP(A552,T10Y3M!A:A,T10Y3M!B:B,"",-1)</f>
        <v>1</v>
      </c>
      <c r="J552" s="2">
        <f>_xlfn.XLOOKUP(A552,BAMLC0A4CBBB!A:A,BAMLC0A4CBBB!B:B,"",-1)</f>
        <v>1.54</v>
      </c>
      <c r="K552" s="2">
        <f>_xlfn.XLOOKUP(A552,CPIAUCSL!A:A,CPIAUCSL!B:B,"",-1)</f>
        <v>251.018</v>
      </c>
      <c r="L552">
        <f>_xlfn.XLOOKUP(A552,DFF!A:A,DFF!B:B,"",-1)</f>
        <v>1.7</v>
      </c>
      <c r="M552">
        <f>_xlfn.XLOOKUP(A552,'DGS2'!A:A,'DGS2'!B:B,"",-1)</f>
        <v>2.5</v>
      </c>
      <c r="N552">
        <f t="shared" si="67"/>
        <v>0</v>
      </c>
      <c r="O552">
        <f t="shared" si="68"/>
        <v>1.0687182218256375E-3</v>
      </c>
      <c r="P552">
        <f t="shared" si="69"/>
        <v>1</v>
      </c>
      <c r="Q552">
        <f t="shared" si="70"/>
        <v>0</v>
      </c>
      <c r="R552" s="3">
        <v>71.36</v>
      </c>
    </row>
    <row r="553" spans="1:18">
      <c r="A553" s="1">
        <v>43262</v>
      </c>
      <c r="B553">
        <v>2782</v>
      </c>
      <c r="C553">
        <f t="shared" si="64"/>
        <v>1.0687182218256375E-3</v>
      </c>
      <c r="D553">
        <f t="shared" si="71"/>
        <v>3.4808014861038572E-3</v>
      </c>
      <c r="E553">
        <f>_xlfn.XLOOKUP(A553,VIX!A:A,VIX!B:B,"",-1)</f>
        <v>12.35</v>
      </c>
      <c r="F553">
        <f t="shared" si="65"/>
        <v>0.16999999999999993</v>
      </c>
      <c r="G553">
        <f>_xlfn.XLOOKUP(A553,'DGS10'!A:A,'DGS10'!B:B,"",-1)</f>
        <v>2.96</v>
      </c>
      <c r="H553">
        <f t="shared" si="66"/>
        <v>2.9999999999999805E-2</v>
      </c>
      <c r="I553" s="2">
        <f>_xlfn.XLOOKUP(A553,T10Y3M!A:A,T10Y3M!B:B,"",-1)</f>
        <v>1.02</v>
      </c>
      <c r="J553" s="2">
        <f>_xlfn.XLOOKUP(A553,BAMLC0A4CBBB!A:A,BAMLC0A4CBBB!B:B,"",-1)</f>
        <v>1.54</v>
      </c>
      <c r="K553" s="2">
        <f>_xlfn.XLOOKUP(A553,CPIAUCSL!A:A,CPIAUCSL!B:B,"",-1)</f>
        <v>251.018</v>
      </c>
      <c r="L553">
        <f>_xlfn.XLOOKUP(A553,DFF!A:A,DFF!B:B,"",-1)</f>
        <v>1.7</v>
      </c>
      <c r="M553">
        <f>_xlfn.XLOOKUP(A553,'DGS2'!A:A,'DGS2'!B:B,"",-1)</f>
        <v>2.52</v>
      </c>
      <c r="N553">
        <f t="shared" si="67"/>
        <v>2.0000000000000018E-2</v>
      </c>
      <c r="O553">
        <f t="shared" si="68"/>
        <v>1.7433501078361058E-3</v>
      </c>
      <c r="P553">
        <f t="shared" si="69"/>
        <v>1</v>
      </c>
      <c r="Q553">
        <f t="shared" si="70"/>
        <v>0</v>
      </c>
      <c r="R553" s="3">
        <v>70.7</v>
      </c>
    </row>
    <row r="554" spans="1:18">
      <c r="A554" s="1">
        <v>43263</v>
      </c>
      <c r="B554">
        <v>2786.85</v>
      </c>
      <c r="C554">
        <f t="shared" si="64"/>
        <v>1.7433501078361058E-3</v>
      </c>
      <c r="D554">
        <f t="shared" si="71"/>
        <v>5.9486638968802019E-3</v>
      </c>
      <c r="E554">
        <f>_xlfn.XLOOKUP(A554,VIX!A:A,VIX!B:B,"",-1)</f>
        <v>12.34</v>
      </c>
      <c r="F554">
        <f t="shared" si="65"/>
        <v>-9.9999999999997868E-3</v>
      </c>
      <c r="G554">
        <f>_xlfn.XLOOKUP(A554,'DGS10'!A:A,'DGS10'!B:B,"",-1)</f>
        <v>2.96</v>
      </c>
      <c r="H554">
        <f t="shared" si="66"/>
        <v>0</v>
      </c>
      <c r="I554" s="2">
        <f>_xlfn.XLOOKUP(A554,T10Y3M!A:A,T10Y3M!B:B,"",-1)</f>
        <v>1.04</v>
      </c>
      <c r="J554" s="2">
        <f>_xlfn.XLOOKUP(A554,BAMLC0A4CBBB!A:A,BAMLC0A4CBBB!B:B,"",-1)</f>
        <v>1.54</v>
      </c>
      <c r="K554" s="2">
        <f>_xlfn.XLOOKUP(A554,CPIAUCSL!A:A,CPIAUCSL!B:B,"",-1)</f>
        <v>251.018</v>
      </c>
      <c r="L554">
        <f>_xlfn.XLOOKUP(A554,DFF!A:A,DFF!B:B,"",-1)</f>
        <v>1.7</v>
      </c>
      <c r="M554">
        <f>_xlfn.XLOOKUP(A554,'DGS2'!A:A,'DGS2'!B:B,"",-1)</f>
        <v>2.54</v>
      </c>
      <c r="N554">
        <f t="shared" si="67"/>
        <v>2.0000000000000018E-2</v>
      </c>
      <c r="O554">
        <f t="shared" si="68"/>
        <v>-4.0260509177026949E-3</v>
      </c>
      <c r="P554">
        <f t="shared" si="69"/>
        <v>0</v>
      </c>
      <c r="Q554">
        <f t="shared" si="70"/>
        <v>-1</v>
      </c>
      <c r="R554" s="3">
        <v>70.959999999999994</v>
      </c>
    </row>
    <row r="555" spans="1:18">
      <c r="A555" s="1">
        <v>43264</v>
      </c>
      <c r="B555">
        <v>2775.63</v>
      </c>
      <c r="C555">
        <f t="shared" si="64"/>
        <v>-4.0260509177026949E-3</v>
      </c>
      <c r="D555">
        <f t="shared" si="71"/>
        <v>-1.2234484694300107E-3</v>
      </c>
      <c r="E555">
        <f>_xlfn.XLOOKUP(A555,VIX!A:A,VIX!B:B,"",-1)</f>
        <v>12.94</v>
      </c>
      <c r="F555">
        <f t="shared" si="65"/>
        <v>0.59999999999999964</v>
      </c>
      <c r="G555">
        <f>_xlfn.XLOOKUP(A555,'DGS10'!A:A,'DGS10'!B:B,"",-1)</f>
        <v>2.98</v>
      </c>
      <c r="H555">
        <f t="shared" si="66"/>
        <v>2.0000000000000018E-2</v>
      </c>
      <c r="I555" s="2">
        <f>_xlfn.XLOOKUP(A555,T10Y3M!A:A,T10Y3M!B:B,"",-1)</f>
        <v>1.04</v>
      </c>
      <c r="J555" s="2">
        <f>_xlfn.XLOOKUP(A555,BAMLC0A4CBBB!A:A,BAMLC0A4CBBB!B:B,"",-1)</f>
        <v>1.53</v>
      </c>
      <c r="K555" s="2">
        <f>_xlfn.XLOOKUP(A555,CPIAUCSL!A:A,CPIAUCSL!B:B,"",-1)</f>
        <v>251.018</v>
      </c>
      <c r="L555">
        <f>_xlfn.XLOOKUP(A555,DFF!A:A,DFF!B:B,"",-1)</f>
        <v>1.7</v>
      </c>
      <c r="M555">
        <f>_xlfn.XLOOKUP(A555,'DGS2'!A:A,'DGS2'!B:B,"",-1)</f>
        <v>2.59</v>
      </c>
      <c r="N555">
        <f t="shared" si="67"/>
        <v>4.9999999999999822E-2</v>
      </c>
      <c r="O555">
        <f t="shared" si="68"/>
        <v>2.4715109722837081E-3</v>
      </c>
      <c r="P555">
        <f t="shared" si="69"/>
        <v>1</v>
      </c>
      <c r="Q555">
        <f t="shared" si="70"/>
        <v>0</v>
      </c>
      <c r="R555" s="3">
        <v>71.31</v>
      </c>
    </row>
    <row r="556" spans="1:18">
      <c r="A556" s="1">
        <v>43265</v>
      </c>
      <c r="B556">
        <v>2782.49</v>
      </c>
      <c r="C556">
        <f t="shared" si="64"/>
        <v>2.4715109722837081E-3</v>
      </c>
      <c r="D556">
        <f t="shared" si="71"/>
        <v>1.7613227893598093E-4</v>
      </c>
      <c r="E556">
        <f>_xlfn.XLOOKUP(A556,VIX!A:A,VIX!B:B,"",-1)</f>
        <v>12.12</v>
      </c>
      <c r="F556">
        <f t="shared" si="65"/>
        <v>-0.82000000000000028</v>
      </c>
      <c r="G556">
        <f>_xlfn.XLOOKUP(A556,'DGS10'!A:A,'DGS10'!B:B,"",-1)</f>
        <v>2.94</v>
      </c>
      <c r="H556">
        <f t="shared" si="66"/>
        <v>-4.0000000000000036E-2</v>
      </c>
      <c r="I556" s="2">
        <f>_xlfn.XLOOKUP(A556,T10Y3M!A:A,T10Y3M!B:B,"",-1)</f>
        <v>1</v>
      </c>
      <c r="J556" s="2">
        <f>_xlfn.XLOOKUP(A556,BAMLC0A4CBBB!A:A,BAMLC0A4CBBB!B:B,"",-1)</f>
        <v>1.53</v>
      </c>
      <c r="K556" s="2">
        <f>_xlfn.XLOOKUP(A556,CPIAUCSL!A:A,CPIAUCSL!B:B,"",-1)</f>
        <v>251.018</v>
      </c>
      <c r="L556">
        <f>_xlfn.XLOOKUP(A556,DFF!A:A,DFF!B:B,"",-1)</f>
        <v>1.9</v>
      </c>
      <c r="M556">
        <f>_xlfn.XLOOKUP(A556,'DGS2'!A:A,'DGS2'!B:B,"",-1)</f>
        <v>2.59</v>
      </c>
      <c r="N556">
        <f t="shared" si="67"/>
        <v>0</v>
      </c>
      <c r="O556">
        <f t="shared" si="68"/>
        <v>-1.0170746345898873E-3</v>
      </c>
      <c r="P556">
        <f t="shared" si="69"/>
        <v>0</v>
      </c>
      <c r="Q556">
        <f t="shared" si="70"/>
        <v>0</v>
      </c>
      <c r="R556" s="3">
        <v>71.489999999999995</v>
      </c>
    </row>
    <row r="557" spans="1:18">
      <c r="A557" s="1">
        <v>43266</v>
      </c>
      <c r="B557">
        <v>2779.66</v>
      </c>
      <c r="C557">
        <f t="shared" si="64"/>
        <v>-1.0170746345898873E-3</v>
      </c>
      <c r="D557">
        <f t="shared" si="71"/>
        <v>-2.5799738055510835E-3</v>
      </c>
      <c r="E557">
        <f>_xlfn.XLOOKUP(A557,VIX!A:A,VIX!B:B,"",-1)</f>
        <v>11.98</v>
      </c>
      <c r="F557">
        <f t="shared" si="65"/>
        <v>-0.13999999999999879</v>
      </c>
      <c r="G557">
        <f>_xlfn.XLOOKUP(A557,'DGS10'!A:A,'DGS10'!B:B,"",-1)</f>
        <v>2.93</v>
      </c>
      <c r="H557">
        <f t="shared" si="66"/>
        <v>-9.9999999999997868E-3</v>
      </c>
      <c r="I557" s="2">
        <f>_xlfn.XLOOKUP(A557,T10Y3M!A:A,T10Y3M!B:B,"",-1)</f>
        <v>0.99</v>
      </c>
      <c r="J557" s="2">
        <f>_xlfn.XLOOKUP(A557,BAMLC0A4CBBB!A:A,BAMLC0A4CBBB!B:B,"",-1)</f>
        <v>1.53</v>
      </c>
      <c r="K557" s="2">
        <f>_xlfn.XLOOKUP(A557,CPIAUCSL!A:A,CPIAUCSL!B:B,"",-1)</f>
        <v>251.018</v>
      </c>
      <c r="L557">
        <f>_xlfn.XLOOKUP(A557,DFF!A:A,DFF!B:B,"",-1)</f>
        <v>1.9</v>
      </c>
      <c r="M557">
        <f>_xlfn.XLOOKUP(A557,'DGS2'!A:A,'DGS2'!B:B,"",-1)</f>
        <v>2.5499999999999998</v>
      </c>
      <c r="N557">
        <f t="shared" si="67"/>
        <v>-4.0000000000000036E-2</v>
      </c>
      <c r="O557">
        <f t="shared" si="68"/>
        <v>-2.1261593144484836E-3</v>
      </c>
      <c r="P557">
        <f t="shared" si="69"/>
        <v>0</v>
      </c>
      <c r="Q557">
        <f t="shared" si="70"/>
        <v>0</v>
      </c>
      <c r="R557" s="3">
        <v>71.489999999999995</v>
      </c>
    </row>
    <row r="558" spans="1:18">
      <c r="A558" s="1">
        <v>43269</v>
      </c>
      <c r="B558">
        <v>2773.75</v>
      </c>
      <c r="C558">
        <f t="shared" si="64"/>
        <v>-2.1261593144484836E-3</v>
      </c>
      <c r="D558">
        <f t="shared" si="71"/>
        <v>-6.7732370669004727E-4</v>
      </c>
      <c r="E558">
        <f>_xlfn.XLOOKUP(A558,VIX!A:A,VIX!B:B,"",-1)</f>
        <v>12.31</v>
      </c>
      <c r="F558">
        <f t="shared" si="65"/>
        <v>0.33000000000000007</v>
      </c>
      <c r="G558">
        <f>_xlfn.XLOOKUP(A558,'DGS10'!A:A,'DGS10'!B:B,"",-1)</f>
        <v>2.92</v>
      </c>
      <c r="H558">
        <f t="shared" si="66"/>
        <v>-1.0000000000000231E-2</v>
      </c>
      <c r="I558" s="2">
        <f>_xlfn.XLOOKUP(A558,T10Y3M!A:A,T10Y3M!B:B,"",-1)</f>
        <v>0.98</v>
      </c>
      <c r="J558" s="2">
        <f>_xlfn.XLOOKUP(A558,BAMLC0A4CBBB!A:A,BAMLC0A4CBBB!B:B,"",-1)</f>
        <v>1.55</v>
      </c>
      <c r="K558" s="2">
        <f>_xlfn.XLOOKUP(A558,CPIAUCSL!A:A,CPIAUCSL!B:B,"",-1)</f>
        <v>251.018</v>
      </c>
      <c r="L558">
        <f>_xlfn.XLOOKUP(A558,DFF!A:A,DFF!B:B,"",-1)</f>
        <v>1.9</v>
      </c>
      <c r="M558">
        <f>_xlfn.XLOOKUP(A558,'DGS2'!A:A,'DGS2'!B:B,"",-1)</f>
        <v>2.56</v>
      </c>
      <c r="N558">
        <f t="shared" si="67"/>
        <v>1.0000000000000231E-2</v>
      </c>
      <c r="O558">
        <f t="shared" si="68"/>
        <v>-4.0234339792698526E-3</v>
      </c>
      <c r="P558">
        <f t="shared" si="69"/>
        <v>0</v>
      </c>
      <c r="Q558">
        <f t="shared" si="70"/>
        <v>-1</v>
      </c>
      <c r="R558" s="3">
        <v>71.28</v>
      </c>
    </row>
    <row r="559" spans="1:18">
      <c r="A559" s="1">
        <v>43270</v>
      </c>
      <c r="B559">
        <v>2762.59</v>
      </c>
      <c r="C559">
        <f t="shared" si="64"/>
        <v>-4.0234339792698526E-3</v>
      </c>
      <c r="D559">
        <f t="shared" si="71"/>
        <v>-7.1518675718509339E-3</v>
      </c>
      <c r="E559">
        <f>_xlfn.XLOOKUP(A559,VIX!A:A,VIX!B:B,"",-1)</f>
        <v>13.35</v>
      </c>
      <c r="F559">
        <f t="shared" si="65"/>
        <v>1.0399999999999991</v>
      </c>
      <c r="G559">
        <f>_xlfn.XLOOKUP(A559,'DGS10'!A:A,'DGS10'!B:B,"",-1)</f>
        <v>2.89</v>
      </c>
      <c r="H559">
        <f t="shared" si="66"/>
        <v>-2.9999999999999805E-2</v>
      </c>
      <c r="I559" s="2">
        <f>_xlfn.XLOOKUP(A559,T10Y3M!A:A,T10Y3M!B:B,"",-1)</f>
        <v>0.95</v>
      </c>
      <c r="J559" s="2">
        <f>_xlfn.XLOOKUP(A559,BAMLC0A4CBBB!A:A,BAMLC0A4CBBB!B:B,"",-1)</f>
        <v>1.56</v>
      </c>
      <c r="K559" s="2">
        <f>_xlfn.XLOOKUP(A559,CPIAUCSL!A:A,CPIAUCSL!B:B,"",-1)</f>
        <v>251.018</v>
      </c>
      <c r="L559">
        <f>_xlfn.XLOOKUP(A559,DFF!A:A,DFF!B:B,"",-1)</f>
        <v>1.91</v>
      </c>
      <c r="M559">
        <f>_xlfn.XLOOKUP(A559,'DGS2'!A:A,'DGS2'!B:B,"",-1)</f>
        <v>2.54</v>
      </c>
      <c r="N559">
        <f t="shared" si="67"/>
        <v>-2.0000000000000018E-2</v>
      </c>
      <c r="O559">
        <f t="shared" si="68"/>
        <v>1.7121614137458607E-3</v>
      </c>
      <c r="P559">
        <f t="shared" si="69"/>
        <v>1</v>
      </c>
      <c r="Q559">
        <f t="shared" si="70"/>
        <v>0</v>
      </c>
      <c r="R559" s="3">
        <v>72.239999999999995</v>
      </c>
    </row>
    <row r="560" spans="1:18">
      <c r="A560" s="1">
        <v>43271</v>
      </c>
      <c r="B560">
        <v>2767.32</v>
      </c>
      <c r="C560">
        <f t="shared" si="64"/>
        <v>1.7121614137458607E-3</v>
      </c>
      <c r="D560">
        <f t="shared" si="71"/>
        <v>-4.439391868070075E-3</v>
      </c>
      <c r="E560">
        <f>_xlfn.XLOOKUP(A560,VIX!A:A,VIX!B:B,"",-1)</f>
        <v>12.79</v>
      </c>
      <c r="F560">
        <f t="shared" si="65"/>
        <v>-0.5600000000000005</v>
      </c>
      <c r="G560">
        <f>_xlfn.XLOOKUP(A560,'DGS10'!A:A,'DGS10'!B:B,"",-1)</f>
        <v>2.93</v>
      </c>
      <c r="H560">
        <f t="shared" si="66"/>
        <v>4.0000000000000036E-2</v>
      </c>
      <c r="I560" s="2">
        <f>_xlfn.XLOOKUP(A560,T10Y3M!A:A,T10Y3M!B:B,"",-1)</f>
        <v>0.99</v>
      </c>
      <c r="J560" s="2">
        <f>_xlfn.XLOOKUP(A560,BAMLC0A4CBBB!A:A,BAMLC0A4CBBB!B:B,"",-1)</f>
        <v>1.57</v>
      </c>
      <c r="K560" s="2">
        <f>_xlfn.XLOOKUP(A560,CPIAUCSL!A:A,CPIAUCSL!B:B,"",-1)</f>
        <v>251.018</v>
      </c>
      <c r="L560">
        <f>_xlfn.XLOOKUP(A560,DFF!A:A,DFF!B:B,"",-1)</f>
        <v>1.92</v>
      </c>
      <c r="M560">
        <f>_xlfn.XLOOKUP(A560,'DGS2'!A:A,'DGS2'!B:B,"",-1)</f>
        <v>2.56</v>
      </c>
      <c r="N560">
        <f t="shared" si="67"/>
        <v>2.0000000000000018E-2</v>
      </c>
      <c r="O560">
        <f t="shared" si="68"/>
        <v>-6.3454894988652644E-3</v>
      </c>
      <c r="P560">
        <f t="shared" si="69"/>
        <v>0</v>
      </c>
      <c r="Q560">
        <f t="shared" si="70"/>
        <v>-1</v>
      </c>
      <c r="R560" s="3">
        <v>72.13</v>
      </c>
    </row>
    <row r="561" spans="1:18">
      <c r="A561" s="1">
        <v>43272</v>
      </c>
      <c r="B561">
        <v>2749.76</v>
      </c>
      <c r="C561">
        <f t="shared" si="64"/>
        <v>-6.3454894988652644E-3</v>
      </c>
      <c r="D561">
        <f t="shared" si="71"/>
        <v>-8.6489409643982773E-3</v>
      </c>
      <c r="E561">
        <f>_xlfn.XLOOKUP(A561,VIX!A:A,VIX!B:B,"",-1)</f>
        <v>14.64</v>
      </c>
      <c r="F561">
        <f t="shared" si="65"/>
        <v>1.8500000000000014</v>
      </c>
      <c r="G561">
        <f>_xlfn.XLOOKUP(A561,'DGS10'!A:A,'DGS10'!B:B,"",-1)</f>
        <v>2.9</v>
      </c>
      <c r="H561">
        <f t="shared" si="66"/>
        <v>-3.0000000000000249E-2</v>
      </c>
      <c r="I561" s="2">
        <f>_xlfn.XLOOKUP(A561,T10Y3M!A:A,T10Y3M!B:B,"",-1)</f>
        <v>0.96</v>
      </c>
      <c r="J561" s="2">
        <f>_xlfn.XLOOKUP(A561,BAMLC0A4CBBB!A:A,BAMLC0A4CBBB!B:B,"",-1)</f>
        <v>1.59</v>
      </c>
      <c r="K561" s="2">
        <f>_xlfn.XLOOKUP(A561,CPIAUCSL!A:A,CPIAUCSL!B:B,"",-1)</f>
        <v>251.018</v>
      </c>
      <c r="L561">
        <f>_xlfn.XLOOKUP(A561,DFF!A:A,DFF!B:B,"",-1)</f>
        <v>1.92</v>
      </c>
      <c r="M561">
        <f>_xlfn.XLOOKUP(A561,'DGS2'!A:A,'DGS2'!B:B,"",-1)</f>
        <v>2.56</v>
      </c>
      <c r="N561">
        <f t="shared" si="67"/>
        <v>0</v>
      </c>
      <c r="O561">
        <f t="shared" si="68"/>
        <v>1.8619806819504259E-3</v>
      </c>
      <c r="P561">
        <f t="shared" si="69"/>
        <v>1</v>
      </c>
      <c r="Q561">
        <f t="shared" si="70"/>
        <v>0</v>
      </c>
      <c r="R561" s="3">
        <v>71.84</v>
      </c>
    </row>
    <row r="562" spans="1:18">
      <c r="A562" s="1">
        <v>43273</v>
      </c>
      <c r="B562">
        <v>2754.88</v>
      </c>
      <c r="C562">
        <f t="shared" si="64"/>
        <v>1.8619806819504259E-3</v>
      </c>
      <c r="D562">
        <f t="shared" si="71"/>
        <v>-2.790859302321369E-3</v>
      </c>
      <c r="E562">
        <f>_xlfn.XLOOKUP(A562,VIX!A:A,VIX!B:B,"",-1)</f>
        <v>13.77</v>
      </c>
      <c r="F562">
        <f t="shared" si="65"/>
        <v>-0.87000000000000099</v>
      </c>
      <c r="G562">
        <f>_xlfn.XLOOKUP(A562,'DGS10'!A:A,'DGS10'!B:B,"",-1)</f>
        <v>2.9</v>
      </c>
      <c r="H562">
        <f t="shared" si="66"/>
        <v>0</v>
      </c>
      <c r="I562" s="2">
        <f>_xlfn.XLOOKUP(A562,T10Y3M!A:A,T10Y3M!B:B,"",-1)</f>
        <v>0.97</v>
      </c>
      <c r="J562" s="2">
        <f>_xlfn.XLOOKUP(A562,BAMLC0A4CBBB!A:A,BAMLC0A4CBBB!B:B,"",-1)</f>
        <v>1.59</v>
      </c>
      <c r="K562" s="2">
        <f>_xlfn.XLOOKUP(A562,CPIAUCSL!A:A,CPIAUCSL!B:B,"",-1)</f>
        <v>251.018</v>
      </c>
      <c r="L562">
        <f>_xlfn.XLOOKUP(A562,DFF!A:A,DFF!B:B,"",-1)</f>
        <v>1.92</v>
      </c>
      <c r="M562">
        <f>_xlfn.XLOOKUP(A562,'DGS2'!A:A,'DGS2'!B:B,"",-1)</f>
        <v>2.56</v>
      </c>
      <c r="N562">
        <f t="shared" si="67"/>
        <v>0</v>
      </c>
      <c r="O562">
        <f t="shared" si="68"/>
        <v>-1.3724735741665661E-2</v>
      </c>
      <c r="P562">
        <f t="shared" si="69"/>
        <v>0</v>
      </c>
      <c r="Q562">
        <f t="shared" si="70"/>
        <v>-1</v>
      </c>
      <c r="R562" s="3">
        <v>70.709999999999994</v>
      </c>
    </row>
    <row r="563" spans="1:18">
      <c r="A563" s="1">
        <v>43276</v>
      </c>
      <c r="B563">
        <v>2717.07</v>
      </c>
      <c r="C563">
        <f t="shared" si="64"/>
        <v>-1.3724735741665661E-2</v>
      </c>
      <c r="D563">
        <f t="shared" si="71"/>
        <v>-1.8158362603529765E-2</v>
      </c>
      <c r="E563">
        <f>_xlfn.XLOOKUP(A563,VIX!A:A,VIX!B:B,"",-1)</f>
        <v>17.329999999999998</v>
      </c>
      <c r="F563">
        <f t="shared" si="65"/>
        <v>3.5599999999999987</v>
      </c>
      <c r="G563">
        <f>_xlfn.XLOOKUP(A563,'DGS10'!A:A,'DGS10'!B:B,"",-1)</f>
        <v>2.87</v>
      </c>
      <c r="H563">
        <f t="shared" si="66"/>
        <v>-2.9999999999999805E-2</v>
      </c>
      <c r="I563" s="2">
        <f>_xlfn.XLOOKUP(A563,T10Y3M!A:A,T10Y3M!B:B,"",-1)</f>
        <v>0.94</v>
      </c>
      <c r="J563" s="2">
        <f>_xlfn.XLOOKUP(A563,BAMLC0A4CBBB!A:A,BAMLC0A4CBBB!B:B,"",-1)</f>
        <v>1.61</v>
      </c>
      <c r="K563" s="2">
        <f>_xlfn.XLOOKUP(A563,CPIAUCSL!A:A,CPIAUCSL!B:B,"",-1)</f>
        <v>251.018</v>
      </c>
      <c r="L563">
        <f>_xlfn.XLOOKUP(A563,DFF!A:A,DFF!B:B,"",-1)</f>
        <v>1.92</v>
      </c>
      <c r="M563">
        <f>_xlfn.XLOOKUP(A563,'DGS2'!A:A,'DGS2'!B:B,"",-1)</f>
        <v>2.54</v>
      </c>
      <c r="N563">
        <f t="shared" si="67"/>
        <v>-2.0000000000000018E-2</v>
      </c>
      <c r="O563">
        <f t="shared" si="68"/>
        <v>2.2045806696182613E-3</v>
      </c>
      <c r="P563">
        <f t="shared" si="69"/>
        <v>1</v>
      </c>
      <c r="Q563">
        <f t="shared" si="70"/>
        <v>0</v>
      </c>
      <c r="R563" s="3">
        <v>67.88</v>
      </c>
    </row>
    <row r="564" spans="1:18">
      <c r="A564" s="1">
        <v>43277</v>
      </c>
      <c r="B564">
        <v>2723.06</v>
      </c>
      <c r="C564">
        <f t="shared" si="64"/>
        <v>2.2045806696182613E-3</v>
      </c>
      <c r="D564">
        <f t="shared" si="71"/>
        <v>-9.7099383218900437E-3</v>
      </c>
      <c r="E564">
        <f>_xlfn.XLOOKUP(A564,VIX!A:A,VIX!B:B,"",-1)</f>
        <v>15.92</v>
      </c>
      <c r="F564">
        <f t="shared" si="65"/>
        <v>-1.4099999999999984</v>
      </c>
      <c r="G564">
        <f>_xlfn.XLOOKUP(A564,'DGS10'!A:A,'DGS10'!B:B,"",-1)</f>
        <v>2.88</v>
      </c>
      <c r="H564">
        <f t="shared" si="66"/>
        <v>9.9999999999997868E-3</v>
      </c>
      <c r="I564" s="2">
        <f>_xlfn.XLOOKUP(A564,T10Y3M!A:A,T10Y3M!B:B,"",-1)</f>
        <v>0.95</v>
      </c>
      <c r="J564" s="2">
        <f>_xlfn.XLOOKUP(A564,BAMLC0A4CBBB!A:A,BAMLC0A4CBBB!B:B,"",-1)</f>
        <v>1.61</v>
      </c>
      <c r="K564" s="2">
        <f>_xlfn.XLOOKUP(A564,CPIAUCSL!A:A,CPIAUCSL!B:B,"",-1)</f>
        <v>251.018</v>
      </c>
      <c r="L564">
        <f>_xlfn.XLOOKUP(A564,DFF!A:A,DFF!B:B,"",-1)</f>
        <v>1.92</v>
      </c>
      <c r="M564">
        <f>_xlfn.XLOOKUP(A564,'DGS2'!A:A,'DGS2'!B:B,"",-1)</f>
        <v>2.5299999999999998</v>
      </c>
      <c r="N564">
        <f t="shared" si="67"/>
        <v>-1.0000000000000231E-2</v>
      </c>
      <c r="O564">
        <f t="shared" si="68"/>
        <v>-8.6042907611290076E-3</v>
      </c>
      <c r="P564">
        <f t="shared" si="69"/>
        <v>0</v>
      </c>
      <c r="Q564">
        <f t="shared" si="70"/>
        <v>-1</v>
      </c>
      <c r="R564" s="3">
        <v>66.47</v>
      </c>
    </row>
    <row r="565" spans="1:18">
      <c r="A565" s="1">
        <v>43278</v>
      </c>
      <c r="B565">
        <v>2699.63</v>
      </c>
      <c r="C565">
        <f t="shared" si="64"/>
        <v>-8.6042907611290076E-3</v>
      </c>
      <c r="D565">
        <f t="shared" si="71"/>
        <v>-2.0055320013938949E-2</v>
      </c>
      <c r="E565">
        <f>_xlfn.XLOOKUP(A565,VIX!A:A,VIX!B:B,"",-1)</f>
        <v>17.91</v>
      </c>
      <c r="F565">
        <f t="shared" si="65"/>
        <v>1.9900000000000002</v>
      </c>
      <c r="G565">
        <f>_xlfn.XLOOKUP(A565,'DGS10'!A:A,'DGS10'!B:B,"",-1)</f>
        <v>2.83</v>
      </c>
      <c r="H565">
        <f t="shared" si="66"/>
        <v>-4.9999999999999822E-2</v>
      </c>
      <c r="I565" s="2">
        <f>_xlfn.XLOOKUP(A565,T10Y3M!A:A,T10Y3M!B:B,"",-1)</f>
        <v>0.9</v>
      </c>
      <c r="J565" s="2">
        <f>_xlfn.XLOOKUP(A565,BAMLC0A4CBBB!A:A,BAMLC0A4CBBB!B:B,"",-1)</f>
        <v>1.62</v>
      </c>
      <c r="K565" s="2">
        <f>_xlfn.XLOOKUP(A565,CPIAUCSL!A:A,CPIAUCSL!B:B,"",-1)</f>
        <v>251.018</v>
      </c>
      <c r="L565">
        <f>_xlfn.XLOOKUP(A565,DFF!A:A,DFF!B:B,"",-1)</f>
        <v>1.91</v>
      </c>
      <c r="M565">
        <f>_xlfn.XLOOKUP(A565,'DGS2'!A:A,'DGS2'!B:B,"",-1)</f>
        <v>2.52</v>
      </c>
      <c r="N565">
        <f t="shared" si="67"/>
        <v>-9.9999999999997868E-3</v>
      </c>
      <c r="O565">
        <f t="shared" si="68"/>
        <v>6.1786244781691924E-3</v>
      </c>
      <c r="P565">
        <f t="shared" si="69"/>
        <v>1</v>
      </c>
      <c r="Q565">
        <f t="shared" si="70"/>
        <v>1</v>
      </c>
      <c r="R565" s="3">
        <v>66.73</v>
      </c>
    </row>
    <row r="566" spans="1:18">
      <c r="A566" s="1">
        <v>43279</v>
      </c>
      <c r="B566">
        <v>2716.31</v>
      </c>
      <c r="C566">
        <f t="shared" si="64"/>
        <v>6.1786244781691924E-3</v>
      </c>
      <c r="D566">
        <f t="shared" si="71"/>
        <v>-2.7971307327390171E-4</v>
      </c>
      <c r="E566">
        <f>_xlfn.XLOOKUP(A566,VIX!A:A,VIX!B:B,"",-1)</f>
        <v>16.850000000000001</v>
      </c>
      <c r="F566">
        <f t="shared" si="65"/>
        <v>-1.0599999999999987</v>
      </c>
      <c r="G566">
        <f>_xlfn.XLOOKUP(A566,'DGS10'!A:A,'DGS10'!B:B,"",-1)</f>
        <v>2.84</v>
      </c>
      <c r="H566">
        <f t="shared" si="66"/>
        <v>9.9999999999997868E-3</v>
      </c>
      <c r="I566" s="2">
        <f>_xlfn.XLOOKUP(A566,T10Y3M!A:A,T10Y3M!B:B,"",-1)</f>
        <v>0.91</v>
      </c>
      <c r="J566" s="2">
        <f>_xlfn.XLOOKUP(A566,BAMLC0A4CBBB!A:A,BAMLC0A4CBBB!B:B,"",-1)</f>
        <v>1.62</v>
      </c>
      <c r="K566" s="2">
        <f>_xlfn.XLOOKUP(A566,CPIAUCSL!A:A,CPIAUCSL!B:B,"",-1)</f>
        <v>251.018</v>
      </c>
      <c r="L566">
        <f>_xlfn.XLOOKUP(A566,DFF!A:A,DFF!B:B,"",-1)</f>
        <v>1.91</v>
      </c>
      <c r="M566">
        <f>_xlfn.XLOOKUP(A566,'DGS2'!A:A,'DGS2'!B:B,"",-1)</f>
        <v>2.52</v>
      </c>
      <c r="N566">
        <f t="shared" si="67"/>
        <v>0</v>
      </c>
      <c r="O566">
        <f t="shared" si="68"/>
        <v>7.5838177527609574E-4</v>
      </c>
      <c r="P566">
        <f t="shared" si="69"/>
        <v>1</v>
      </c>
      <c r="Q566">
        <f t="shared" si="70"/>
        <v>0</v>
      </c>
      <c r="R566" s="3">
        <v>68.209999999999994</v>
      </c>
    </row>
    <row r="567" spans="1:18">
      <c r="A567" s="1">
        <v>43280</v>
      </c>
      <c r="B567">
        <v>2718.37</v>
      </c>
      <c r="C567">
        <f t="shared" si="64"/>
        <v>7.5838177527609574E-4</v>
      </c>
      <c r="D567">
        <f t="shared" si="71"/>
        <v>-1.7223270879084263E-3</v>
      </c>
      <c r="E567">
        <f>_xlfn.XLOOKUP(A567,VIX!A:A,VIX!B:B,"",-1)</f>
        <v>16.09</v>
      </c>
      <c r="F567">
        <f t="shared" si="65"/>
        <v>-0.76000000000000156</v>
      </c>
      <c r="G567">
        <f>_xlfn.XLOOKUP(A567,'DGS10'!A:A,'DGS10'!B:B,"",-1)</f>
        <v>2.85</v>
      </c>
      <c r="H567">
        <f t="shared" si="66"/>
        <v>1.0000000000000231E-2</v>
      </c>
      <c r="I567" s="2">
        <f>_xlfn.XLOOKUP(A567,T10Y3M!A:A,T10Y3M!B:B,"",-1)</f>
        <v>0.92</v>
      </c>
      <c r="J567" s="2">
        <f>_xlfn.XLOOKUP(A567,BAMLC0A4CBBB!A:A,BAMLC0A4CBBB!B:B,"",-1)</f>
        <v>1.62</v>
      </c>
      <c r="K567" s="2">
        <f>_xlfn.XLOOKUP(A567,CPIAUCSL!A:A,CPIAUCSL!B:B,"",-1)</f>
        <v>251.018</v>
      </c>
      <c r="L567">
        <f>_xlfn.XLOOKUP(A567,DFF!A:A,DFF!B:B,"",-1)</f>
        <v>1.91</v>
      </c>
      <c r="M567">
        <f>_xlfn.XLOOKUP(A567,'DGS2'!A:A,'DGS2'!B:B,"",-1)</f>
        <v>2.52</v>
      </c>
      <c r="N567">
        <f t="shared" si="67"/>
        <v>0</v>
      </c>
      <c r="O567">
        <f t="shared" si="68"/>
        <v>3.0680150237090142E-3</v>
      </c>
      <c r="P567">
        <f t="shared" si="69"/>
        <v>1</v>
      </c>
      <c r="Q567">
        <f t="shared" si="70"/>
        <v>1</v>
      </c>
      <c r="R567" s="3">
        <v>67.040000000000006</v>
      </c>
    </row>
    <row r="568" spans="1:18">
      <c r="A568" s="1">
        <v>43283</v>
      </c>
      <c r="B568">
        <v>2726.71</v>
      </c>
      <c r="C568">
        <f t="shared" si="64"/>
        <v>3.0680150237090142E-3</v>
      </c>
      <c r="D568">
        <f t="shared" si="71"/>
        <v>1.003100424873038E-2</v>
      </c>
      <c r="E568">
        <f>_xlfn.XLOOKUP(A568,VIX!A:A,VIX!B:B,"",-1)</f>
        <v>15.6</v>
      </c>
      <c r="F568">
        <f t="shared" si="65"/>
        <v>-0.49000000000000021</v>
      </c>
      <c r="G568">
        <f>_xlfn.XLOOKUP(A568,'DGS10'!A:A,'DGS10'!B:B,"",-1)</f>
        <v>2.87</v>
      </c>
      <c r="H568">
        <f t="shared" si="66"/>
        <v>2.0000000000000018E-2</v>
      </c>
      <c r="I568" s="2">
        <f>_xlfn.XLOOKUP(A568,T10Y3M!A:A,T10Y3M!B:B,"",-1)</f>
        <v>0.89</v>
      </c>
      <c r="J568" s="2">
        <f>_xlfn.XLOOKUP(A568,BAMLC0A4CBBB!A:A,BAMLC0A4CBBB!B:B,"",-1)</f>
        <v>1.63</v>
      </c>
      <c r="K568" s="2">
        <f>_xlfn.XLOOKUP(A568,CPIAUCSL!A:A,CPIAUCSL!B:B,"",-1)</f>
        <v>251.214</v>
      </c>
      <c r="L568">
        <f>_xlfn.XLOOKUP(A568,DFF!A:A,DFF!B:B,"",-1)</f>
        <v>1.91</v>
      </c>
      <c r="M568">
        <f>_xlfn.XLOOKUP(A568,'DGS2'!A:A,'DGS2'!B:B,"",-1)</f>
        <v>2.57</v>
      </c>
      <c r="N568">
        <f t="shared" si="67"/>
        <v>4.9999999999999822E-2</v>
      </c>
      <c r="O568">
        <f t="shared" si="68"/>
        <v>-4.9473541374037699E-3</v>
      </c>
      <c r="P568">
        <f t="shared" si="69"/>
        <v>0</v>
      </c>
      <c r="Q568">
        <f t="shared" si="70"/>
        <v>-1</v>
      </c>
      <c r="R568" s="3">
        <v>65.81</v>
      </c>
    </row>
    <row r="569" spans="1:18">
      <c r="A569" s="1">
        <v>43284</v>
      </c>
      <c r="B569">
        <v>2713.22</v>
      </c>
      <c r="C569">
        <f t="shared" si="64"/>
        <v>-4.9473541374037699E-3</v>
      </c>
      <c r="D569">
        <f t="shared" si="71"/>
        <v>-1.1375726629140326E-3</v>
      </c>
      <c r="E569">
        <f>_xlfn.XLOOKUP(A569,VIX!A:A,VIX!B:B,"",-1)</f>
        <v>16.14</v>
      </c>
      <c r="F569">
        <f t="shared" si="65"/>
        <v>0.54000000000000092</v>
      </c>
      <c r="G569">
        <f>_xlfn.XLOOKUP(A569,'DGS10'!A:A,'DGS10'!B:B,"",-1)</f>
        <v>2.83</v>
      </c>
      <c r="H569">
        <f t="shared" si="66"/>
        <v>-4.0000000000000036E-2</v>
      </c>
      <c r="I569" s="2">
        <f>_xlfn.XLOOKUP(A569,T10Y3M!A:A,T10Y3M!B:B,"",-1)</f>
        <v>0.85</v>
      </c>
      <c r="J569" s="2">
        <f>_xlfn.XLOOKUP(A569,BAMLC0A4CBBB!A:A,BAMLC0A4CBBB!B:B,"",-1)</f>
        <v>1.63</v>
      </c>
      <c r="K569" s="2">
        <f>_xlfn.XLOOKUP(A569,CPIAUCSL!A:A,CPIAUCSL!B:B,"",-1)</f>
        <v>251.214</v>
      </c>
      <c r="L569">
        <f>_xlfn.XLOOKUP(A569,DFF!A:A,DFF!B:B,"",-1)</f>
        <v>1.91</v>
      </c>
      <c r="M569">
        <f>_xlfn.XLOOKUP(A569,'DGS2'!A:A,'DGS2'!B:B,"",-1)</f>
        <v>2.5299999999999998</v>
      </c>
      <c r="N569">
        <f t="shared" si="67"/>
        <v>-4.0000000000000036E-2</v>
      </c>
      <c r="O569">
        <f t="shared" si="68"/>
        <v>8.6207532009938692E-3</v>
      </c>
      <c r="P569">
        <f t="shared" si="69"/>
        <v>1</v>
      </c>
      <c r="Q569">
        <f t="shared" si="70"/>
        <v>1</v>
      </c>
      <c r="R569" s="3">
        <v>64.75</v>
      </c>
    </row>
    <row r="570" spans="1:18">
      <c r="A570" s="1">
        <v>43286</v>
      </c>
      <c r="B570">
        <v>2736.61</v>
      </c>
      <c r="C570">
        <f t="shared" si="64"/>
        <v>8.6207532009938692E-3</v>
      </c>
      <c r="D570">
        <f t="shared" si="71"/>
        <v>6.7099033612054715E-3</v>
      </c>
      <c r="E570">
        <f>_xlfn.XLOOKUP(A570,VIX!A:A,VIX!B:B,"",-1)</f>
        <v>14.97</v>
      </c>
      <c r="F570">
        <f t="shared" si="65"/>
        <v>-1.17</v>
      </c>
      <c r="G570">
        <f>_xlfn.XLOOKUP(A570,'DGS10'!A:A,'DGS10'!B:B,"",-1)</f>
        <v>2.84</v>
      </c>
      <c r="H570">
        <f t="shared" si="66"/>
        <v>9.9999999999997868E-3</v>
      </c>
      <c r="I570" s="2">
        <f>_xlfn.XLOOKUP(A570,T10Y3M!A:A,T10Y3M!B:B,"",-1)</f>
        <v>0.88</v>
      </c>
      <c r="J570" s="2">
        <f>_xlfn.XLOOKUP(A570,BAMLC0A4CBBB!A:A,BAMLC0A4CBBB!B:B,"",-1)</f>
        <v>1.61</v>
      </c>
      <c r="K570" s="2">
        <f>_xlfn.XLOOKUP(A570,CPIAUCSL!A:A,CPIAUCSL!B:B,"",-1)</f>
        <v>251.214</v>
      </c>
      <c r="L570">
        <f>_xlfn.XLOOKUP(A570,DFF!A:A,DFF!B:B,"",-1)</f>
        <v>1.91</v>
      </c>
      <c r="M570">
        <f>_xlfn.XLOOKUP(A570,'DGS2'!A:A,'DGS2'!B:B,"",-1)</f>
        <v>2.5499999999999998</v>
      </c>
      <c r="N570">
        <f t="shared" si="67"/>
        <v>2.0000000000000018E-2</v>
      </c>
      <c r="O570">
        <f t="shared" si="68"/>
        <v>8.4812962022355887E-3</v>
      </c>
      <c r="P570">
        <f t="shared" si="69"/>
        <v>1</v>
      </c>
      <c r="Q570">
        <f t="shared" si="70"/>
        <v>1</v>
      </c>
      <c r="R570" s="3">
        <v>65.52</v>
      </c>
    </row>
    <row r="571" spans="1:18">
      <c r="A571" s="1">
        <v>43287</v>
      </c>
      <c r="B571">
        <v>2759.82</v>
      </c>
      <c r="C571">
        <f t="shared" si="64"/>
        <v>8.4812962022355887E-3</v>
      </c>
      <c r="D571">
        <f t="shared" si="71"/>
        <v>1.2142838805740297E-2</v>
      </c>
      <c r="E571">
        <f>_xlfn.XLOOKUP(A571,VIX!A:A,VIX!B:B,"",-1)</f>
        <v>13.37</v>
      </c>
      <c r="F571">
        <f t="shared" si="65"/>
        <v>-1.6000000000000014</v>
      </c>
      <c r="G571">
        <f>_xlfn.XLOOKUP(A571,'DGS10'!A:A,'DGS10'!B:B,"",-1)</f>
        <v>2.82</v>
      </c>
      <c r="H571">
        <f t="shared" si="66"/>
        <v>-2.0000000000000018E-2</v>
      </c>
      <c r="I571" s="2">
        <f>_xlfn.XLOOKUP(A571,T10Y3M!A:A,T10Y3M!B:B,"",-1)</f>
        <v>0.85</v>
      </c>
      <c r="J571" s="2">
        <f>_xlfn.XLOOKUP(A571,BAMLC0A4CBBB!A:A,BAMLC0A4CBBB!B:B,"",-1)</f>
        <v>1.61</v>
      </c>
      <c r="K571" s="2">
        <f>_xlfn.XLOOKUP(A571,CPIAUCSL!A:A,CPIAUCSL!B:B,"",-1)</f>
        <v>251.214</v>
      </c>
      <c r="L571">
        <f>_xlfn.XLOOKUP(A571,DFF!A:A,DFF!B:B,"",-1)</f>
        <v>1.91</v>
      </c>
      <c r="M571">
        <f>_xlfn.XLOOKUP(A571,'DGS2'!A:A,'DGS2'!B:B,"",-1)</f>
        <v>2.5299999999999998</v>
      </c>
      <c r="N571">
        <f t="shared" si="67"/>
        <v>-2.0000000000000018E-2</v>
      </c>
      <c r="O571">
        <f t="shared" si="68"/>
        <v>8.8230391837147426E-3</v>
      </c>
      <c r="P571">
        <f t="shared" si="69"/>
        <v>1</v>
      </c>
      <c r="Q571">
        <f t="shared" si="70"/>
        <v>1</v>
      </c>
      <c r="R571" s="3">
        <v>64.75</v>
      </c>
    </row>
    <row r="572" spans="1:18">
      <c r="A572" s="1">
        <v>43290</v>
      </c>
      <c r="B572">
        <v>2784.17</v>
      </c>
      <c r="C572">
        <f t="shared" si="64"/>
        <v>8.8230391837147426E-3</v>
      </c>
      <c r="D572">
        <f t="shared" si="71"/>
        <v>2.6149740898268492E-2</v>
      </c>
      <c r="E572">
        <f>_xlfn.XLOOKUP(A572,VIX!A:A,VIX!B:B,"",-1)</f>
        <v>12.69</v>
      </c>
      <c r="F572">
        <f t="shared" si="65"/>
        <v>-0.67999999999999972</v>
      </c>
      <c r="G572">
        <f>_xlfn.XLOOKUP(A572,'DGS10'!A:A,'DGS10'!B:B,"",-1)</f>
        <v>2.86</v>
      </c>
      <c r="H572">
        <f t="shared" si="66"/>
        <v>4.0000000000000036E-2</v>
      </c>
      <c r="I572" s="2">
        <f>_xlfn.XLOOKUP(A572,T10Y3M!A:A,T10Y3M!B:B,"",-1)</f>
        <v>0.88</v>
      </c>
      <c r="J572" s="2">
        <f>_xlfn.XLOOKUP(A572,BAMLC0A4CBBB!A:A,BAMLC0A4CBBB!B:B,"",-1)</f>
        <v>1.59</v>
      </c>
      <c r="K572" s="2">
        <f>_xlfn.XLOOKUP(A572,CPIAUCSL!A:A,CPIAUCSL!B:B,"",-1)</f>
        <v>251.214</v>
      </c>
      <c r="L572">
        <f>_xlfn.XLOOKUP(A572,DFF!A:A,DFF!B:B,"",-1)</f>
        <v>1.91</v>
      </c>
      <c r="M572">
        <f>_xlfn.XLOOKUP(A572,'DGS2'!A:A,'DGS2'!B:B,"",-1)</f>
        <v>2.57</v>
      </c>
      <c r="N572">
        <f t="shared" si="67"/>
        <v>4.0000000000000036E-2</v>
      </c>
      <c r="O572">
        <f t="shared" si="68"/>
        <v>3.4732074550045677E-3</v>
      </c>
      <c r="P572">
        <f t="shared" si="69"/>
        <v>1</v>
      </c>
      <c r="Q572">
        <f t="shared" si="70"/>
        <v>1</v>
      </c>
      <c r="R572" s="3">
        <v>65.959999999999994</v>
      </c>
    </row>
    <row r="573" spans="1:18">
      <c r="A573" s="1">
        <v>43291</v>
      </c>
      <c r="B573">
        <v>2793.84</v>
      </c>
      <c r="C573">
        <f t="shared" si="64"/>
        <v>3.4732074550045677E-3</v>
      </c>
      <c r="D573">
        <f t="shared" si="71"/>
        <v>2.0912735099265056E-2</v>
      </c>
      <c r="E573">
        <f>_xlfn.XLOOKUP(A573,VIX!A:A,VIX!B:B,"",-1)</f>
        <v>12.64</v>
      </c>
      <c r="F573">
        <f t="shared" si="65"/>
        <v>-4.9999999999998934E-2</v>
      </c>
      <c r="G573">
        <f>_xlfn.XLOOKUP(A573,'DGS10'!A:A,'DGS10'!B:B,"",-1)</f>
        <v>2.87</v>
      </c>
      <c r="H573">
        <f t="shared" si="66"/>
        <v>1.0000000000000231E-2</v>
      </c>
      <c r="I573" s="2">
        <f>_xlfn.XLOOKUP(A573,T10Y3M!A:A,T10Y3M!B:B,"",-1)</f>
        <v>0.88</v>
      </c>
      <c r="J573" s="2">
        <f>_xlfn.XLOOKUP(A573,BAMLC0A4CBBB!A:A,BAMLC0A4CBBB!B:B,"",-1)</f>
        <v>1.57</v>
      </c>
      <c r="K573" s="2">
        <f>_xlfn.XLOOKUP(A573,CPIAUCSL!A:A,CPIAUCSL!B:B,"",-1)</f>
        <v>251.214</v>
      </c>
      <c r="L573">
        <f>_xlfn.XLOOKUP(A573,DFF!A:A,DFF!B:B,"",-1)</f>
        <v>1.91</v>
      </c>
      <c r="M573">
        <f>_xlfn.XLOOKUP(A573,'DGS2'!A:A,'DGS2'!B:B,"",-1)</f>
        <v>2.59</v>
      </c>
      <c r="N573">
        <f t="shared" si="67"/>
        <v>2.0000000000000018E-2</v>
      </c>
      <c r="O573">
        <f t="shared" si="68"/>
        <v>-7.0941786215388269E-3</v>
      </c>
      <c r="P573">
        <f t="shared" si="69"/>
        <v>0</v>
      </c>
      <c r="Q573">
        <f t="shared" si="70"/>
        <v>-1</v>
      </c>
      <c r="R573" s="3">
        <v>65.77</v>
      </c>
    </row>
    <row r="574" spans="1:18">
      <c r="A574" s="1">
        <v>43292</v>
      </c>
      <c r="B574">
        <v>2774.02</v>
      </c>
      <c r="C574">
        <f t="shared" si="64"/>
        <v>-7.0941786215388269E-3</v>
      </c>
      <c r="D574">
        <f t="shared" si="71"/>
        <v>5.1452630968684687E-3</v>
      </c>
      <c r="E574">
        <f>_xlfn.XLOOKUP(A574,VIX!A:A,VIX!B:B,"",-1)</f>
        <v>13.63</v>
      </c>
      <c r="F574">
        <f t="shared" si="65"/>
        <v>0.99000000000000021</v>
      </c>
      <c r="G574">
        <f>_xlfn.XLOOKUP(A574,'DGS10'!A:A,'DGS10'!B:B,"",-1)</f>
        <v>2.85</v>
      </c>
      <c r="H574">
        <f t="shared" si="66"/>
        <v>-2.0000000000000018E-2</v>
      </c>
      <c r="I574" s="2">
        <f>_xlfn.XLOOKUP(A574,T10Y3M!A:A,T10Y3M!B:B,"",-1)</f>
        <v>0.88</v>
      </c>
      <c r="J574" s="2">
        <f>_xlfn.XLOOKUP(A574,BAMLC0A4CBBB!A:A,BAMLC0A4CBBB!B:B,"",-1)</f>
        <v>1.57</v>
      </c>
      <c r="K574" s="2">
        <f>_xlfn.XLOOKUP(A574,CPIAUCSL!A:A,CPIAUCSL!B:B,"",-1)</f>
        <v>251.214</v>
      </c>
      <c r="L574">
        <f>_xlfn.XLOOKUP(A574,DFF!A:A,DFF!B:B,"",-1)</f>
        <v>1.91</v>
      </c>
      <c r="M574">
        <f>_xlfn.XLOOKUP(A574,'DGS2'!A:A,'DGS2'!B:B,"",-1)</f>
        <v>2.58</v>
      </c>
      <c r="N574">
        <f t="shared" si="67"/>
        <v>-9.9999999999997868E-3</v>
      </c>
      <c r="O574">
        <f t="shared" si="68"/>
        <v>8.7490356954889048E-3</v>
      </c>
      <c r="P574">
        <f t="shared" si="69"/>
        <v>1</v>
      </c>
      <c r="Q574">
        <f t="shared" si="70"/>
        <v>1</v>
      </c>
      <c r="R574" s="3">
        <v>66.099999999999994</v>
      </c>
    </row>
    <row r="575" spans="1:18">
      <c r="A575" s="1">
        <v>43293</v>
      </c>
      <c r="B575">
        <v>2798.29</v>
      </c>
      <c r="C575">
        <f t="shared" si="64"/>
        <v>8.7490356954889048E-3</v>
      </c>
      <c r="D575">
        <f t="shared" si="71"/>
        <v>5.0715293965526431E-3</v>
      </c>
      <c r="E575">
        <f>_xlfn.XLOOKUP(A575,VIX!A:A,VIX!B:B,"",-1)</f>
        <v>12.58</v>
      </c>
      <c r="F575">
        <f t="shared" si="65"/>
        <v>-1.0500000000000007</v>
      </c>
      <c r="G575">
        <f>_xlfn.XLOOKUP(A575,'DGS10'!A:A,'DGS10'!B:B,"",-1)</f>
        <v>2.85</v>
      </c>
      <c r="H575">
        <f t="shared" si="66"/>
        <v>0</v>
      </c>
      <c r="I575" s="2">
        <f>_xlfn.XLOOKUP(A575,T10Y3M!A:A,T10Y3M!B:B,"",-1)</f>
        <v>0.87</v>
      </c>
      <c r="J575" s="2">
        <f>_xlfn.XLOOKUP(A575,BAMLC0A4CBBB!A:A,BAMLC0A4CBBB!B:B,"",-1)</f>
        <v>1.56</v>
      </c>
      <c r="K575" s="2">
        <f>_xlfn.XLOOKUP(A575,CPIAUCSL!A:A,CPIAUCSL!B:B,"",-1)</f>
        <v>251.214</v>
      </c>
      <c r="L575">
        <f>_xlfn.XLOOKUP(A575,DFF!A:A,DFF!B:B,"",-1)</f>
        <v>1.91</v>
      </c>
      <c r="M575">
        <f>_xlfn.XLOOKUP(A575,'DGS2'!A:A,'DGS2'!B:B,"",-1)</f>
        <v>2.6</v>
      </c>
      <c r="N575">
        <f t="shared" si="67"/>
        <v>2.0000000000000018E-2</v>
      </c>
      <c r="O575">
        <f t="shared" si="68"/>
        <v>1.0792305300737493E-3</v>
      </c>
      <c r="P575">
        <f t="shared" si="69"/>
        <v>1</v>
      </c>
      <c r="Q575">
        <f t="shared" si="70"/>
        <v>0</v>
      </c>
      <c r="R575" s="3">
        <v>66.38</v>
      </c>
    </row>
    <row r="576" spans="1:18">
      <c r="A576" s="1">
        <v>43294</v>
      </c>
      <c r="B576">
        <v>2801.31</v>
      </c>
      <c r="C576">
        <f t="shared" si="64"/>
        <v>1.0792305300737493E-3</v>
      </c>
      <c r="D576">
        <f t="shared" si="71"/>
        <v>2.6737393694697964E-3</v>
      </c>
      <c r="E576">
        <f>_xlfn.XLOOKUP(A576,VIX!A:A,VIX!B:B,"",-1)</f>
        <v>12.18</v>
      </c>
      <c r="F576">
        <f t="shared" si="65"/>
        <v>-0.40000000000000036</v>
      </c>
      <c r="G576">
        <f>_xlfn.XLOOKUP(A576,'DGS10'!A:A,'DGS10'!B:B,"",-1)</f>
        <v>2.83</v>
      </c>
      <c r="H576">
        <f t="shared" si="66"/>
        <v>-2.0000000000000018E-2</v>
      </c>
      <c r="I576" s="2">
        <f>_xlfn.XLOOKUP(A576,T10Y3M!A:A,T10Y3M!B:B,"",-1)</f>
        <v>0.85</v>
      </c>
      <c r="J576" s="2">
        <f>_xlfn.XLOOKUP(A576,BAMLC0A4CBBB!A:A,BAMLC0A4CBBB!B:B,"",-1)</f>
        <v>1.56</v>
      </c>
      <c r="K576" s="2">
        <f>_xlfn.XLOOKUP(A576,CPIAUCSL!A:A,CPIAUCSL!B:B,"",-1)</f>
        <v>251.214</v>
      </c>
      <c r="L576">
        <f>_xlfn.XLOOKUP(A576,DFF!A:A,DFF!B:B,"",-1)</f>
        <v>1.91</v>
      </c>
      <c r="M576">
        <f>_xlfn.XLOOKUP(A576,'DGS2'!A:A,'DGS2'!B:B,"",-1)</f>
        <v>2.59</v>
      </c>
      <c r="N576">
        <f t="shared" si="67"/>
        <v>-1.0000000000000231E-2</v>
      </c>
      <c r="O576">
        <f t="shared" si="68"/>
        <v>-1.028090429120665E-3</v>
      </c>
      <c r="P576">
        <f t="shared" si="69"/>
        <v>0</v>
      </c>
      <c r="Q576">
        <f t="shared" si="70"/>
        <v>0</v>
      </c>
      <c r="R576" s="3">
        <v>66.63</v>
      </c>
    </row>
    <row r="577" spans="1:18">
      <c r="A577" s="1">
        <v>43297</v>
      </c>
      <c r="B577">
        <v>2798.43</v>
      </c>
      <c r="C577">
        <f t="shared" si="64"/>
        <v>-1.028090429120665E-3</v>
      </c>
      <c r="D577">
        <f t="shared" si="71"/>
        <v>8.7995039689692245E-3</v>
      </c>
      <c r="E577">
        <f>_xlfn.XLOOKUP(A577,VIX!A:A,VIX!B:B,"",-1)</f>
        <v>12.83</v>
      </c>
      <c r="F577">
        <f t="shared" si="65"/>
        <v>0.65000000000000036</v>
      </c>
      <c r="G577">
        <f>_xlfn.XLOOKUP(A577,'DGS10'!A:A,'DGS10'!B:B,"",-1)</f>
        <v>2.85</v>
      </c>
      <c r="H577">
        <f t="shared" si="66"/>
        <v>2.0000000000000018E-2</v>
      </c>
      <c r="I577" s="2">
        <f>_xlfn.XLOOKUP(A577,T10Y3M!A:A,T10Y3M!B:B,"",-1)</f>
        <v>0.84</v>
      </c>
      <c r="J577" s="2">
        <f>_xlfn.XLOOKUP(A577,BAMLC0A4CBBB!A:A,BAMLC0A4CBBB!B:B,"",-1)</f>
        <v>1.54</v>
      </c>
      <c r="K577" s="2">
        <f>_xlfn.XLOOKUP(A577,CPIAUCSL!A:A,CPIAUCSL!B:B,"",-1)</f>
        <v>251.214</v>
      </c>
      <c r="L577">
        <f>_xlfn.XLOOKUP(A577,DFF!A:A,DFF!B:B,"",-1)</f>
        <v>1.91</v>
      </c>
      <c r="M577">
        <f>_xlfn.XLOOKUP(A577,'DGS2'!A:A,'DGS2'!B:B,"",-1)</f>
        <v>2.59</v>
      </c>
      <c r="N577">
        <f t="shared" si="67"/>
        <v>0</v>
      </c>
      <c r="O577">
        <f t="shared" si="68"/>
        <v>3.9736566574830601E-3</v>
      </c>
      <c r="P577">
        <f t="shared" si="69"/>
        <v>1</v>
      </c>
      <c r="Q577">
        <f t="shared" si="70"/>
        <v>1</v>
      </c>
      <c r="R577" s="3">
        <v>66.91</v>
      </c>
    </row>
    <row r="578" spans="1:18">
      <c r="A578" s="1">
        <v>43298</v>
      </c>
      <c r="B578">
        <v>2809.55</v>
      </c>
      <c r="C578">
        <f t="shared" si="64"/>
        <v>3.9736566574830601E-3</v>
      </c>
      <c r="D578">
        <f t="shared" si="71"/>
        <v>4.0238860161028178E-3</v>
      </c>
      <c r="E578">
        <f>_xlfn.XLOOKUP(A578,VIX!A:A,VIX!B:B,"",-1)</f>
        <v>12.06</v>
      </c>
      <c r="F578">
        <f t="shared" si="65"/>
        <v>-0.76999999999999957</v>
      </c>
      <c r="G578">
        <f>_xlfn.XLOOKUP(A578,'DGS10'!A:A,'DGS10'!B:B,"",-1)</f>
        <v>2.86</v>
      </c>
      <c r="H578">
        <f t="shared" si="66"/>
        <v>9.9999999999997868E-3</v>
      </c>
      <c r="I578" s="2">
        <f>_xlfn.XLOOKUP(A578,T10Y3M!A:A,T10Y3M!B:B,"",-1)</f>
        <v>0.84</v>
      </c>
      <c r="J578" s="2">
        <f>_xlfn.XLOOKUP(A578,BAMLC0A4CBBB!A:A,BAMLC0A4CBBB!B:B,"",-1)</f>
        <v>1.54</v>
      </c>
      <c r="K578" s="2">
        <f>_xlfn.XLOOKUP(A578,CPIAUCSL!A:A,CPIAUCSL!B:B,"",-1)</f>
        <v>251.214</v>
      </c>
      <c r="L578">
        <f>_xlfn.XLOOKUP(A578,DFF!A:A,DFF!B:B,"",-1)</f>
        <v>1.91</v>
      </c>
      <c r="M578">
        <f>_xlfn.XLOOKUP(A578,'DGS2'!A:A,'DGS2'!B:B,"",-1)</f>
        <v>2.62</v>
      </c>
      <c r="N578">
        <f t="shared" si="67"/>
        <v>3.0000000000000249E-2</v>
      </c>
      <c r="O578">
        <f t="shared" si="68"/>
        <v>2.1604883344306103E-3</v>
      </c>
      <c r="P578">
        <f t="shared" si="69"/>
        <v>1</v>
      </c>
      <c r="Q578">
        <f t="shared" si="70"/>
        <v>0</v>
      </c>
      <c r="R578" s="3">
        <v>65.010000000000005</v>
      </c>
    </row>
    <row r="579" spans="1:18">
      <c r="A579" s="1">
        <v>43299</v>
      </c>
      <c r="B579">
        <v>2815.62</v>
      </c>
      <c r="C579">
        <f t="shared" si="64"/>
        <v>2.1604883344306103E-3</v>
      </c>
      <c r="D579">
        <f t="shared" si="71"/>
        <v>5.1083243196932138E-3</v>
      </c>
      <c r="E579">
        <f>_xlfn.XLOOKUP(A579,VIX!A:A,VIX!B:B,"",-1)</f>
        <v>12.1</v>
      </c>
      <c r="F579">
        <f t="shared" si="65"/>
        <v>3.9999999999999147E-2</v>
      </c>
      <c r="G579">
        <f>_xlfn.XLOOKUP(A579,'DGS10'!A:A,'DGS10'!B:B,"",-1)</f>
        <v>2.88</v>
      </c>
      <c r="H579">
        <f t="shared" si="66"/>
        <v>2.0000000000000018E-2</v>
      </c>
      <c r="I579" s="2">
        <f>_xlfn.XLOOKUP(A579,T10Y3M!A:A,T10Y3M!B:B,"",-1)</f>
        <v>0.88</v>
      </c>
      <c r="J579" s="2">
        <f>_xlfn.XLOOKUP(A579,BAMLC0A4CBBB!A:A,BAMLC0A4CBBB!B:B,"",-1)</f>
        <v>1.54</v>
      </c>
      <c r="K579" s="2">
        <f>_xlfn.XLOOKUP(A579,CPIAUCSL!A:A,CPIAUCSL!B:B,"",-1)</f>
        <v>251.214</v>
      </c>
      <c r="L579">
        <f>_xlfn.XLOOKUP(A579,DFF!A:A,DFF!B:B,"",-1)</f>
        <v>1.91</v>
      </c>
      <c r="M579">
        <f>_xlfn.XLOOKUP(A579,'DGS2'!A:A,'DGS2'!B:B,"",-1)</f>
        <v>2.6</v>
      </c>
      <c r="N579">
        <f t="shared" si="67"/>
        <v>-2.0000000000000018E-2</v>
      </c>
      <c r="O579">
        <f t="shared" si="68"/>
        <v>-3.9529481961344537E-3</v>
      </c>
      <c r="P579">
        <f t="shared" si="69"/>
        <v>0</v>
      </c>
      <c r="Q579">
        <f t="shared" si="70"/>
        <v>-1</v>
      </c>
      <c r="R579" s="3">
        <v>65.91</v>
      </c>
    </row>
    <row r="580" spans="1:18">
      <c r="A580" s="1">
        <v>43300</v>
      </c>
      <c r="B580">
        <v>2804.49</v>
      </c>
      <c r="C580">
        <f t="shared" ref="C580:C643" si="72">IF(OR(B580="",B579=""),"",(B580/B579)-1)</f>
        <v>-3.9529481961344537E-3</v>
      </c>
      <c r="D580">
        <f t="shared" si="71"/>
        <v>2.165499941038318E-3</v>
      </c>
      <c r="E580">
        <f>_xlfn.XLOOKUP(A580,VIX!A:A,VIX!B:B,"",-1)</f>
        <v>12.87</v>
      </c>
      <c r="F580">
        <f t="shared" ref="F580:F643" si="73">IF(OR(E580="",E579=""),"",E580-E579)</f>
        <v>0.76999999999999957</v>
      </c>
      <c r="G580">
        <f>_xlfn.XLOOKUP(A580,'DGS10'!A:A,'DGS10'!B:B,"",-1)</f>
        <v>2.84</v>
      </c>
      <c r="H580">
        <f t="shared" ref="H580:H643" si="74">IF(OR(G580="",G579=""),"",G580-G579)</f>
        <v>-4.0000000000000036E-2</v>
      </c>
      <c r="I580" s="2">
        <f>_xlfn.XLOOKUP(A580,T10Y3M!A:A,T10Y3M!B:B,"",-1)</f>
        <v>0.84</v>
      </c>
      <c r="J580" s="2">
        <f>_xlfn.XLOOKUP(A580,BAMLC0A4CBBB!A:A,BAMLC0A4CBBB!B:B,"",-1)</f>
        <v>1.54</v>
      </c>
      <c r="K580" s="2">
        <f>_xlfn.XLOOKUP(A580,CPIAUCSL!A:A,CPIAUCSL!B:B,"",-1)</f>
        <v>251.214</v>
      </c>
      <c r="L580">
        <f>_xlfn.XLOOKUP(A580,DFF!A:A,DFF!B:B,"",-1)</f>
        <v>1.91</v>
      </c>
      <c r="M580">
        <f>_xlfn.XLOOKUP(A580,'DGS2'!A:A,'DGS2'!B:B,"",-1)</f>
        <v>2.6</v>
      </c>
      <c r="N580">
        <f t="shared" ref="N580:N643" si="75">IF(OR(M580="",M579=""),"",M580-M579)</f>
        <v>0</v>
      </c>
      <c r="O580">
        <f t="shared" ref="O580:O643" si="76">IF(OR(B581="",B580=""),"",(B581/B580)-1)</f>
        <v>-9.4847904610106948E-4</v>
      </c>
      <c r="P580">
        <f t="shared" ref="P580:P643" si="77">IF(O580="","",IF(O580&gt;0,1,0))</f>
        <v>0</v>
      </c>
      <c r="Q580">
        <f t="shared" ref="Q580:Q643" si="78">IF(O580="","",IF(O580&gt;0.003,1,IF(O580&lt;-0.003,-1,0)))</f>
        <v>0</v>
      </c>
      <c r="R580" s="3">
        <v>65.09</v>
      </c>
    </row>
    <row r="581" spans="1:18">
      <c r="A581" s="1">
        <v>43301</v>
      </c>
      <c r="B581">
        <v>2801.83</v>
      </c>
      <c r="C581">
        <f t="shared" si="72"/>
        <v>-9.4847904610106948E-4</v>
      </c>
      <c r="D581">
        <f t="shared" si="71"/>
        <v>-2.7477709953551699E-3</v>
      </c>
      <c r="E581">
        <f>_xlfn.XLOOKUP(A581,VIX!A:A,VIX!B:B,"",-1)</f>
        <v>12.86</v>
      </c>
      <c r="F581">
        <f t="shared" si="73"/>
        <v>-9.9999999999997868E-3</v>
      </c>
      <c r="G581">
        <f>_xlfn.XLOOKUP(A581,'DGS10'!A:A,'DGS10'!B:B,"",-1)</f>
        <v>2.89</v>
      </c>
      <c r="H581">
        <f t="shared" si="74"/>
        <v>5.0000000000000266E-2</v>
      </c>
      <c r="I581" s="2">
        <f>_xlfn.XLOOKUP(A581,T10Y3M!A:A,T10Y3M!B:B,"",-1)</f>
        <v>0.9</v>
      </c>
      <c r="J581" s="2">
        <f>_xlfn.XLOOKUP(A581,BAMLC0A4CBBB!A:A,BAMLC0A4CBBB!B:B,"",-1)</f>
        <v>1.53</v>
      </c>
      <c r="K581" s="2">
        <f>_xlfn.XLOOKUP(A581,CPIAUCSL!A:A,CPIAUCSL!B:B,"",-1)</f>
        <v>251.214</v>
      </c>
      <c r="L581">
        <f>_xlfn.XLOOKUP(A581,DFF!A:A,DFF!B:B,"",-1)</f>
        <v>1.91</v>
      </c>
      <c r="M581">
        <f>_xlfn.XLOOKUP(A581,'DGS2'!A:A,'DGS2'!B:B,"",-1)</f>
        <v>2.6</v>
      </c>
      <c r="N581">
        <f t="shared" si="75"/>
        <v>0</v>
      </c>
      <c r="O581">
        <f t="shared" si="76"/>
        <v>1.83808439484201E-3</v>
      </c>
      <c r="P581">
        <f t="shared" si="77"/>
        <v>1</v>
      </c>
      <c r="Q581">
        <f t="shared" si="78"/>
        <v>0</v>
      </c>
      <c r="R581" s="3">
        <v>65.92</v>
      </c>
    </row>
    <row r="582" spans="1:18">
      <c r="A582" s="1">
        <v>43304</v>
      </c>
      <c r="B582">
        <v>2806.98</v>
      </c>
      <c r="C582">
        <f t="shared" si="72"/>
        <v>1.83808439484201E-3</v>
      </c>
      <c r="D582">
        <f t="shared" ref="D582:D645" si="79">IF(OR(B582="",B579=""),"",(B582/B579)-1)</f>
        <v>-3.0685959042767719E-3</v>
      </c>
      <c r="E582">
        <f>_xlfn.XLOOKUP(A582,VIX!A:A,VIX!B:B,"",-1)</f>
        <v>12.62</v>
      </c>
      <c r="F582">
        <f t="shared" si="73"/>
        <v>-0.24000000000000021</v>
      </c>
      <c r="G582">
        <f>_xlfn.XLOOKUP(A582,'DGS10'!A:A,'DGS10'!B:B,"",-1)</f>
        <v>2.96</v>
      </c>
      <c r="H582">
        <f t="shared" si="74"/>
        <v>6.999999999999984E-2</v>
      </c>
      <c r="I582" s="2">
        <f>_xlfn.XLOOKUP(A582,T10Y3M!A:A,T10Y3M!B:B,"",-1)</f>
        <v>0.97</v>
      </c>
      <c r="J582" s="2">
        <f>_xlfn.XLOOKUP(A582,BAMLC0A4CBBB!A:A,BAMLC0A4CBBB!B:B,"",-1)</f>
        <v>1.52</v>
      </c>
      <c r="K582" s="2">
        <f>_xlfn.XLOOKUP(A582,CPIAUCSL!A:A,CPIAUCSL!B:B,"",-1)</f>
        <v>251.214</v>
      </c>
      <c r="L582">
        <f>_xlfn.XLOOKUP(A582,DFF!A:A,DFF!B:B,"",-1)</f>
        <v>1.91</v>
      </c>
      <c r="M582">
        <f>_xlfn.XLOOKUP(A582,'DGS2'!A:A,'DGS2'!B:B,"",-1)</f>
        <v>2.64</v>
      </c>
      <c r="N582">
        <f t="shared" si="75"/>
        <v>4.0000000000000036E-2</v>
      </c>
      <c r="O582">
        <f t="shared" si="76"/>
        <v>4.7809389450583772E-3</v>
      </c>
      <c r="P582">
        <f t="shared" si="77"/>
        <v>1</v>
      </c>
      <c r="Q582">
        <f t="shared" si="78"/>
        <v>1</v>
      </c>
      <c r="R582" s="3">
        <v>65.680000000000007</v>
      </c>
    </row>
    <row r="583" spans="1:18">
      <c r="A583" s="1">
        <v>43305</v>
      </c>
      <c r="B583">
        <v>2820.4</v>
      </c>
      <c r="C583">
        <f t="shared" si="72"/>
        <v>4.7809389450583772E-3</v>
      </c>
      <c r="D583">
        <f t="shared" si="79"/>
        <v>5.6730457231084497E-3</v>
      </c>
      <c r="E583">
        <f>_xlfn.XLOOKUP(A583,VIX!A:A,VIX!B:B,"",-1)</f>
        <v>12.41</v>
      </c>
      <c r="F583">
        <f t="shared" si="73"/>
        <v>-0.20999999999999908</v>
      </c>
      <c r="G583">
        <f>_xlfn.XLOOKUP(A583,'DGS10'!A:A,'DGS10'!B:B,"",-1)</f>
        <v>2.95</v>
      </c>
      <c r="H583">
        <f t="shared" si="74"/>
        <v>-9.9999999999997868E-3</v>
      </c>
      <c r="I583" s="2">
        <f>_xlfn.XLOOKUP(A583,T10Y3M!A:A,T10Y3M!B:B,"",-1)</f>
        <v>0.93</v>
      </c>
      <c r="J583" s="2">
        <f>_xlfn.XLOOKUP(A583,BAMLC0A4CBBB!A:A,BAMLC0A4CBBB!B:B,"",-1)</f>
        <v>1.5</v>
      </c>
      <c r="K583" s="2">
        <f>_xlfn.XLOOKUP(A583,CPIAUCSL!A:A,CPIAUCSL!B:B,"",-1)</f>
        <v>251.214</v>
      </c>
      <c r="L583">
        <f>_xlfn.XLOOKUP(A583,DFF!A:A,DFF!B:B,"",-1)</f>
        <v>1.91</v>
      </c>
      <c r="M583">
        <f>_xlfn.XLOOKUP(A583,'DGS2'!A:A,'DGS2'!B:B,"",-1)</f>
        <v>2.63</v>
      </c>
      <c r="N583">
        <f t="shared" si="75"/>
        <v>-1.0000000000000231E-2</v>
      </c>
      <c r="O583">
        <f t="shared" si="76"/>
        <v>9.1015458800169924E-3</v>
      </c>
      <c r="P583">
        <f t="shared" si="77"/>
        <v>1</v>
      </c>
      <c r="Q583">
        <f t="shared" si="78"/>
        <v>1</v>
      </c>
      <c r="R583" s="3">
        <v>69.02</v>
      </c>
    </row>
    <row r="584" spans="1:18">
      <c r="A584" s="1">
        <v>43306</v>
      </c>
      <c r="B584">
        <v>2846.07</v>
      </c>
      <c r="C584">
        <f t="shared" si="72"/>
        <v>9.1015458800169924E-3</v>
      </c>
      <c r="D584">
        <f t="shared" si="79"/>
        <v>1.5789680316079302E-2</v>
      </c>
      <c r="E584">
        <f>_xlfn.XLOOKUP(A584,VIX!A:A,VIX!B:B,"",-1)</f>
        <v>12.29</v>
      </c>
      <c r="F584">
        <f t="shared" si="73"/>
        <v>-0.12000000000000099</v>
      </c>
      <c r="G584">
        <f>_xlfn.XLOOKUP(A584,'DGS10'!A:A,'DGS10'!B:B,"",-1)</f>
        <v>2.94</v>
      </c>
      <c r="H584">
        <f t="shared" si="74"/>
        <v>-1.0000000000000231E-2</v>
      </c>
      <c r="I584" s="2">
        <f>_xlfn.XLOOKUP(A584,T10Y3M!A:A,T10Y3M!B:B,"",-1)</f>
        <v>0.93</v>
      </c>
      <c r="J584" s="2">
        <f>_xlfn.XLOOKUP(A584,BAMLC0A4CBBB!A:A,BAMLC0A4CBBB!B:B,"",-1)</f>
        <v>1.49</v>
      </c>
      <c r="K584" s="2">
        <f>_xlfn.XLOOKUP(A584,CPIAUCSL!A:A,CPIAUCSL!B:B,"",-1)</f>
        <v>251.214</v>
      </c>
      <c r="L584">
        <f>_xlfn.XLOOKUP(A584,DFF!A:A,DFF!B:B,"",-1)</f>
        <v>1.91</v>
      </c>
      <c r="M584">
        <f>_xlfn.XLOOKUP(A584,'DGS2'!A:A,'DGS2'!B:B,"",-1)</f>
        <v>2.66</v>
      </c>
      <c r="N584">
        <f t="shared" si="75"/>
        <v>3.0000000000000249E-2</v>
      </c>
      <c r="O584">
        <f t="shared" si="76"/>
        <v>-3.0322514906520048E-3</v>
      </c>
      <c r="P584">
        <f t="shared" si="77"/>
        <v>0</v>
      </c>
      <c r="Q584">
        <f t="shared" si="78"/>
        <v>-1</v>
      </c>
      <c r="R584" s="3">
        <v>69.91</v>
      </c>
    </row>
    <row r="585" spans="1:18">
      <c r="A585" s="1">
        <v>43307</v>
      </c>
      <c r="B585">
        <v>2837.44</v>
      </c>
      <c r="C585">
        <f t="shared" si="72"/>
        <v>-3.0322514906520048E-3</v>
      </c>
      <c r="D585">
        <f t="shared" si="79"/>
        <v>1.0851520139081972E-2</v>
      </c>
      <c r="E585">
        <f>_xlfn.XLOOKUP(A585,VIX!A:A,VIX!B:B,"",-1)</f>
        <v>12.14</v>
      </c>
      <c r="F585">
        <f t="shared" si="73"/>
        <v>-0.14999999999999858</v>
      </c>
      <c r="G585">
        <f>_xlfn.XLOOKUP(A585,'DGS10'!A:A,'DGS10'!B:B,"",-1)</f>
        <v>2.98</v>
      </c>
      <c r="H585">
        <f t="shared" si="74"/>
        <v>4.0000000000000036E-2</v>
      </c>
      <c r="I585" s="2">
        <f>_xlfn.XLOOKUP(A585,T10Y3M!A:A,T10Y3M!B:B,"",-1)</f>
        <v>0.99</v>
      </c>
      <c r="J585" s="2">
        <f>_xlfn.XLOOKUP(A585,BAMLC0A4CBBB!A:A,BAMLC0A4CBBB!B:B,"",-1)</f>
        <v>1.47</v>
      </c>
      <c r="K585" s="2">
        <f>_xlfn.XLOOKUP(A585,CPIAUCSL!A:A,CPIAUCSL!B:B,"",-1)</f>
        <v>251.214</v>
      </c>
      <c r="L585">
        <f>_xlfn.XLOOKUP(A585,DFF!A:A,DFF!B:B,"",-1)</f>
        <v>1.91</v>
      </c>
      <c r="M585">
        <f>_xlfn.XLOOKUP(A585,'DGS2'!A:A,'DGS2'!B:B,"",-1)</f>
        <v>2.69</v>
      </c>
      <c r="N585">
        <f t="shared" si="75"/>
        <v>2.9999999999999805E-2</v>
      </c>
      <c r="O585">
        <f t="shared" si="76"/>
        <v>-6.5622532987481552E-3</v>
      </c>
      <c r="P585">
        <f t="shared" si="77"/>
        <v>0</v>
      </c>
      <c r="Q585">
        <f t="shared" si="78"/>
        <v>-1</v>
      </c>
      <c r="R585" s="3">
        <v>75.23</v>
      </c>
    </row>
    <row r="586" spans="1:18">
      <c r="A586" s="1">
        <v>43308</v>
      </c>
      <c r="B586">
        <v>2818.82</v>
      </c>
      <c r="C586">
        <f t="shared" si="72"/>
        <v>-6.5622532987481552E-3</v>
      </c>
      <c r="D586">
        <f t="shared" si="79"/>
        <v>-5.6020422635083555E-4</v>
      </c>
      <c r="E586">
        <f>_xlfn.XLOOKUP(A586,VIX!A:A,VIX!B:B,"",-1)</f>
        <v>13.03</v>
      </c>
      <c r="F586">
        <f t="shared" si="73"/>
        <v>0.88999999999999879</v>
      </c>
      <c r="G586">
        <f>_xlfn.XLOOKUP(A586,'DGS10'!A:A,'DGS10'!B:B,"",-1)</f>
        <v>2.96</v>
      </c>
      <c r="H586">
        <f t="shared" si="74"/>
        <v>-2.0000000000000018E-2</v>
      </c>
      <c r="I586" s="2">
        <f>_xlfn.XLOOKUP(A586,T10Y3M!A:A,T10Y3M!B:B,"",-1)</f>
        <v>0.96</v>
      </c>
      <c r="J586" s="2">
        <f>_xlfn.XLOOKUP(A586,BAMLC0A4CBBB!A:A,BAMLC0A4CBBB!B:B,"",-1)</f>
        <v>1.46</v>
      </c>
      <c r="K586" s="2">
        <f>_xlfn.XLOOKUP(A586,CPIAUCSL!A:A,CPIAUCSL!B:B,"",-1)</f>
        <v>251.214</v>
      </c>
      <c r="L586">
        <f>_xlfn.XLOOKUP(A586,DFF!A:A,DFF!B:B,"",-1)</f>
        <v>1.91</v>
      </c>
      <c r="M586">
        <f>_xlfn.XLOOKUP(A586,'DGS2'!A:A,'DGS2'!B:B,"",-1)</f>
        <v>2.67</v>
      </c>
      <c r="N586">
        <f t="shared" si="75"/>
        <v>-2.0000000000000018E-2</v>
      </c>
      <c r="O586">
        <f t="shared" si="76"/>
        <v>-5.7541808274385042E-3</v>
      </c>
      <c r="P586">
        <f t="shared" si="77"/>
        <v>0</v>
      </c>
      <c r="Q586">
        <f t="shared" si="78"/>
        <v>-1</v>
      </c>
      <c r="R586" s="3">
        <v>77.41</v>
      </c>
    </row>
    <row r="587" spans="1:18">
      <c r="A587" s="1">
        <v>43311</v>
      </c>
      <c r="B587">
        <v>2802.6</v>
      </c>
      <c r="C587">
        <f t="shared" si="72"/>
        <v>-5.7541808274385042E-3</v>
      </c>
      <c r="D587">
        <f t="shared" si="79"/>
        <v>-1.527369319798888E-2</v>
      </c>
      <c r="E587">
        <f>_xlfn.XLOOKUP(A587,VIX!A:A,VIX!B:B,"",-1)</f>
        <v>14.26</v>
      </c>
      <c r="F587">
        <f t="shared" si="73"/>
        <v>1.2300000000000004</v>
      </c>
      <c r="G587">
        <f>_xlfn.XLOOKUP(A587,'DGS10'!A:A,'DGS10'!B:B,"",-1)</f>
        <v>2.98</v>
      </c>
      <c r="H587">
        <f t="shared" si="74"/>
        <v>2.0000000000000018E-2</v>
      </c>
      <c r="I587" s="2">
        <f>_xlfn.XLOOKUP(A587,T10Y3M!A:A,T10Y3M!B:B,"",-1)</f>
        <v>0.94</v>
      </c>
      <c r="J587" s="2">
        <f>_xlfn.XLOOKUP(A587,BAMLC0A4CBBB!A:A,BAMLC0A4CBBB!B:B,"",-1)</f>
        <v>1.46</v>
      </c>
      <c r="K587" s="2">
        <f>_xlfn.XLOOKUP(A587,CPIAUCSL!A:A,CPIAUCSL!B:B,"",-1)</f>
        <v>251.214</v>
      </c>
      <c r="L587">
        <f>_xlfn.XLOOKUP(A587,DFF!A:A,DFF!B:B,"",-1)</f>
        <v>1.91</v>
      </c>
      <c r="M587">
        <f>_xlfn.XLOOKUP(A587,'DGS2'!A:A,'DGS2'!B:B,"",-1)</f>
        <v>2.66</v>
      </c>
      <c r="N587">
        <f t="shared" si="75"/>
        <v>-9.9999999999997868E-3</v>
      </c>
      <c r="O587">
        <f t="shared" si="76"/>
        <v>4.8847498751158902E-3</v>
      </c>
      <c r="P587">
        <f t="shared" si="77"/>
        <v>1</v>
      </c>
      <c r="Q587">
        <f t="shared" si="78"/>
        <v>1</v>
      </c>
      <c r="R587" s="3">
        <v>73.45</v>
      </c>
    </row>
    <row r="588" spans="1:18">
      <c r="A588" s="1">
        <v>43312</v>
      </c>
      <c r="B588">
        <v>2816.29</v>
      </c>
      <c r="C588">
        <f t="shared" si="72"/>
        <v>4.8847498751158902E-3</v>
      </c>
      <c r="D588">
        <f t="shared" si="79"/>
        <v>-7.4539021089432556E-3</v>
      </c>
      <c r="E588">
        <f>_xlfn.XLOOKUP(A588,VIX!A:A,VIX!B:B,"",-1)</f>
        <v>12.83</v>
      </c>
      <c r="F588">
        <f t="shared" si="73"/>
        <v>-1.4299999999999997</v>
      </c>
      <c r="G588">
        <f>_xlfn.XLOOKUP(A588,'DGS10'!A:A,'DGS10'!B:B,"",-1)</f>
        <v>2.96</v>
      </c>
      <c r="H588">
        <f t="shared" si="74"/>
        <v>-2.0000000000000018E-2</v>
      </c>
      <c r="I588" s="2">
        <f>_xlfn.XLOOKUP(A588,T10Y3M!A:A,T10Y3M!B:B,"",-1)</f>
        <v>0.93</v>
      </c>
      <c r="J588" s="2">
        <f>_xlfn.XLOOKUP(A588,BAMLC0A4CBBB!A:A,BAMLC0A4CBBB!B:B,"",-1)</f>
        <v>1.47</v>
      </c>
      <c r="K588" s="2">
        <f>_xlfn.XLOOKUP(A588,CPIAUCSL!A:A,CPIAUCSL!B:B,"",-1)</f>
        <v>251.214</v>
      </c>
      <c r="L588">
        <f>_xlfn.XLOOKUP(A588,DFF!A:A,DFF!B:B,"",-1)</f>
        <v>1.91</v>
      </c>
      <c r="M588">
        <f>_xlfn.XLOOKUP(A588,'DGS2'!A:A,'DGS2'!B:B,"",-1)</f>
        <v>2.67</v>
      </c>
      <c r="N588">
        <f t="shared" si="75"/>
        <v>9.9999999999997868E-3</v>
      </c>
      <c r="O588">
        <f t="shared" si="76"/>
        <v>-1.0403758135703045E-3</v>
      </c>
      <c r="P588">
        <f t="shared" si="77"/>
        <v>0</v>
      </c>
      <c r="Q588">
        <f t="shared" si="78"/>
        <v>0</v>
      </c>
      <c r="R588" s="3">
        <v>74.13</v>
      </c>
    </row>
    <row r="589" spans="1:18">
      <c r="A589" s="1">
        <v>43313</v>
      </c>
      <c r="B589">
        <v>2813.36</v>
      </c>
      <c r="C589">
        <f t="shared" si="72"/>
        <v>-1.0403758135703045E-3</v>
      </c>
      <c r="D589">
        <f t="shared" si="79"/>
        <v>-1.9369807224299818E-3</v>
      </c>
      <c r="E589">
        <f>_xlfn.XLOOKUP(A589,VIX!A:A,VIX!B:B,"",-1)</f>
        <v>13.15</v>
      </c>
      <c r="F589">
        <f t="shared" si="73"/>
        <v>0.32000000000000028</v>
      </c>
      <c r="G589">
        <f>_xlfn.XLOOKUP(A589,'DGS10'!A:A,'DGS10'!B:B,"",-1)</f>
        <v>3</v>
      </c>
      <c r="H589">
        <f t="shared" si="74"/>
        <v>4.0000000000000036E-2</v>
      </c>
      <c r="I589" s="2">
        <f>_xlfn.XLOOKUP(A589,T10Y3M!A:A,T10Y3M!B:B,"",-1)</f>
        <v>0.97</v>
      </c>
      <c r="J589" s="2">
        <f>_xlfn.XLOOKUP(A589,BAMLC0A4CBBB!A:A,BAMLC0A4CBBB!B:B,"",-1)</f>
        <v>1.46</v>
      </c>
      <c r="K589" s="2">
        <f>_xlfn.XLOOKUP(A589,CPIAUCSL!A:A,CPIAUCSL!B:B,"",-1)</f>
        <v>251.66300000000001</v>
      </c>
      <c r="L589">
        <f>_xlfn.XLOOKUP(A589,DFF!A:A,DFF!B:B,"",-1)</f>
        <v>1.91</v>
      </c>
      <c r="M589">
        <f>_xlfn.XLOOKUP(A589,'DGS2'!A:A,'DGS2'!B:B,"",-1)</f>
        <v>2.67</v>
      </c>
      <c r="N589">
        <f t="shared" si="75"/>
        <v>0</v>
      </c>
      <c r="O589">
        <f t="shared" si="76"/>
        <v>4.9264935877384453E-3</v>
      </c>
      <c r="P589">
        <f t="shared" si="77"/>
        <v>1</v>
      </c>
      <c r="Q589">
        <f t="shared" si="78"/>
        <v>1</v>
      </c>
      <c r="R589" s="3">
        <v>73.89</v>
      </c>
    </row>
    <row r="590" spans="1:18">
      <c r="A590" s="1">
        <v>43314</v>
      </c>
      <c r="B590">
        <v>2827.22</v>
      </c>
      <c r="C590">
        <f t="shared" si="72"/>
        <v>4.9264935877384453E-3</v>
      </c>
      <c r="D590">
        <f t="shared" si="79"/>
        <v>8.7846999215013266E-3</v>
      </c>
      <c r="E590">
        <f>_xlfn.XLOOKUP(A590,VIX!A:A,VIX!B:B,"",-1)</f>
        <v>12.19</v>
      </c>
      <c r="F590">
        <f t="shared" si="73"/>
        <v>-0.96000000000000085</v>
      </c>
      <c r="G590">
        <f>_xlfn.XLOOKUP(A590,'DGS10'!A:A,'DGS10'!B:B,"",-1)</f>
        <v>2.98</v>
      </c>
      <c r="H590">
        <f t="shared" si="74"/>
        <v>-2.0000000000000018E-2</v>
      </c>
      <c r="I590" s="2">
        <f>_xlfn.XLOOKUP(A590,T10Y3M!A:A,T10Y3M!B:B,"",-1)</f>
        <v>0.96</v>
      </c>
      <c r="J590" s="2">
        <f>_xlfn.XLOOKUP(A590,BAMLC0A4CBBB!A:A,BAMLC0A4CBBB!B:B,"",-1)</f>
        <v>1.46</v>
      </c>
      <c r="K590" s="2">
        <f>_xlfn.XLOOKUP(A590,CPIAUCSL!A:A,CPIAUCSL!B:B,"",-1)</f>
        <v>251.66300000000001</v>
      </c>
      <c r="L590">
        <f>_xlfn.XLOOKUP(A590,DFF!A:A,DFF!B:B,"",-1)</f>
        <v>1.91</v>
      </c>
      <c r="M590">
        <f>_xlfn.XLOOKUP(A590,'DGS2'!A:A,'DGS2'!B:B,"",-1)</f>
        <v>2.66</v>
      </c>
      <c r="N590">
        <f t="shared" si="75"/>
        <v>-9.9999999999997868E-3</v>
      </c>
      <c r="O590">
        <f t="shared" si="76"/>
        <v>4.6441380578801095E-3</v>
      </c>
      <c r="P590">
        <f t="shared" si="77"/>
        <v>1</v>
      </c>
      <c r="Q590">
        <f t="shared" si="78"/>
        <v>1</v>
      </c>
      <c r="R590" s="3">
        <v>74.19</v>
      </c>
    </row>
    <row r="591" spans="1:18">
      <c r="A591" s="1">
        <v>43315</v>
      </c>
      <c r="B591">
        <v>2840.35</v>
      </c>
      <c r="C591">
        <f t="shared" si="72"/>
        <v>4.6441380578801095E-3</v>
      </c>
      <c r="D591">
        <f t="shared" si="79"/>
        <v>8.543154291638988E-3</v>
      </c>
      <c r="E591">
        <f>_xlfn.XLOOKUP(A591,VIX!A:A,VIX!B:B,"",-1)</f>
        <v>11.64</v>
      </c>
      <c r="F591">
        <f t="shared" si="73"/>
        <v>-0.54999999999999893</v>
      </c>
      <c r="G591">
        <f>_xlfn.XLOOKUP(A591,'DGS10'!A:A,'DGS10'!B:B,"",-1)</f>
        <v>2.95</v>
      </c>
      <c r="H591">
        <f t="shared" si="74"/>
        <v>-2.9999999999999805E-2</v>
      </c>
      <c r="I591" s="2">
        <f>_xlfn.XLOOKUP(A591,T10Y3M!A:A,T10Y3M!B:B,"",-1)</f>
        <v>0.94</v>
      </c>
      <c r="J591" s="2">
        <f>_xlfn.XLOOKUP(A591,BAMLC0A4CBBB!A:A,BAMLC0A4CBBB!B:B,"",-1)</f>
        <v>1.46</v>
      </c>
      <c r="K591" s="2">
        <f>_xlfn.XLOOKUP(A591,CPIAUCSL!A:A,CPIAUCSL!B:B,"",-1)</f>
        <v>251.66300000000001</v>
      </c>
      <c r="L591">
        <f>_xlfn.XLOOKUP(A591,DFF!A:A,DFF!B:B,"",-1)</f>
        <v>1.91</v>
      </c>
      <c r="M591">
        <f>_xlfn.XLOOKUP(A591,'DGS2'!A:A,'DGS2'!B:B,"",-1)</f>
        <v>2.63</v>
      </c>
      <c r="N591">
        <f t="shared" si="75"/>
        <v>-3.0000000000000249E-2</v>
      </c>
      <c r="O591">
        <f t="shared" si="76"/>
        <v>3.5382963367192044E-3</v>
      </c>
      <c r="P591">
        <f t="shared" si="77"/>
        <v>1</v>
      </c>
      <c r="Q591">
        <f t="shared" si="78"/>
        <v>1</v>
      </c>
      <c r="R591" s="3"/>
    </row>
    <row r="592" spans="1:18">
      <c r="A592" s="1">
        <v>43318</v>
      </c>
      <c r="B592">
        <v>2850.4</v>
      </c>
      <c r="C592">
        <f t="shared" si="72"/>
        <v>3.5382963367192044E-3</v>
      </c>
      <c r="D592">
        <f t="shared" si="79"/>
        <v>1.3165751983393426E-2</v>
      </c>
      <c r="E592">
        <f>_xlfn.XLOOKUP(A592,VIX!A:A,VIX!B:B,"",-1)</f>
        <v>11.27</v>
      </c>
      <c r="F592">
        <f t="shared" si="73"/>
        <v>-0.37000000000000099</v>
      </c>
      <c r="G592">
        <f>_xlfn.XLOOKUP(A592,'DGS10'!A:A,'DGS10'!B:B,"",-1)</f>
        <v>2.94</v>
      </c>
      <c r="H592">
        <f t="shared" si="74"/>
        <v>-1.0000000000000231E-2</v>
      </c>
      <c r="I592" s="2">
        <f>_xlfn.XLOOKUP(A592,T10Y3M!A:A,T10Y3M!B:B,"",-1)</f>
        <v>0.89</v>
      </c>
      <c r="J592" s="2">
        <f>_xlfn.XLOOKUP(A592,BAMLC0A4CBBB!A:A,BAMLC0A4CBBB!B:B,"",-1)</f>
        <v>1.46</v>
      </c>
      <c r="K592" s="2">
        <f>_xlfn.XLOOKUP(A592,CPIAUCSL!A:A,CPIAUCSL!B:B,"",-1)</f>
        <v>251.66300000000001</v>
      </c>
      <c r="L592">
        <f>_xlfn.XLOOKUP(A592,DFF!A:A,DFF!B:B,"",-1)</f>
        <v>1.91</v>
      </c>
      <c r="M592">
        <f>_xlfn.XLOOKUP(A592,'DGS2'!A:A,'DGS2'!B:B,"",-1)</f>
        <v>2.64</v>
      </c>
      <c r="N592">
        <f t="shared" si="75"/>
        <v>1.0000000000000231E-2</v>
      </c>
      <c r="O592">
        <f t="shared" si="76"/>
        <v>2.824165029469361E-3</v>
      </c>
      <c r="P592">
        <f t="shared" si="77"/>
        <v>1</v>
      </c>
      <c r="Q592">
        <f t="shared" si="78"/>
        <v>0</v>
      </c>
      <c r="R592" s="3">
        <v>73.05</v>
      </c>
    </row>
    <row r="593" spans="1:18">
      <c r="A593" s="1">
        <v>43319</v>
      </c>
      <c r="B593">
        <v>2858.45</v>
      </c>
      <c r="C593">
        <f t="shared" si="72"/>
        <v>2.824165029469361E-3</v>
      </c>
      <c r="D593">
        <f t="shared" si="79"/>
        <v>1.1046186713449924E-2</v>
      </c>
      <c r="E593">
        <f>_xlfn.XLOOKUP(A593,VIX!A:A,VIX!B:B,"",-1)</f>
        <v>10.93</v>
      </c>
      <c r="F593">
        <f t="shared" si="73"/>
        <v>-0.33999999999999986</v>
      </c>
      <c r="G593">
        <f>_xlfn.XLOOKUP(A593,'DGS10'!A:A,'DGS10'!B:B,"",-1)</f>
        <v>2.98</v>
      </c>
      <c r="H593">
        <f t="shared" si="74"/>
        <v>4.0000000000000036E-2</v>
      </c>
      <c r="I593" s="2">
        <f>_xlfn.XLOOKUP(A593,T10Y3M!A:A,T10Y3M!B:B,"",-1)</f>
        <v>0.92</v>
      </c>
      <c r="J593" s="2">
        <f>_xlfn.XLOOKUP(A593,BAMLC0A4CBBB!A:A,BAMLC0A4CBBB!B:B,"",-1)</f>
        <v>1.45</v>
      </c>
      <c r="K593" s="2">
        <f>_xlfn.XLOOKUP(A593,CPIAUCSL!A:A,CPIAUCSL!B:B,"",-1)</f>
        <v>251.66300000000001</v>
      </c>
      <c r="L593">
        <f>_xlfn.XLOOKUP(A593,DFF!A:A,DFF!B:B,"",-1)</f>
        <v>1.91</v>
      </c>
      <c r="M593">
        <f>_xlfn.XLOOKUP(A593,'DGS2'!A:A,'DGS2'!B:B,"",-1)</f>
        <v>2.68</v>
      </c>
      <c r="N593">
        <f t="shared" si="75"/>
        <v>4.0000000000000036E-2</v>
      </c>
      <c r="O593">
        <f t="shared" si="76"/>
        <v>-2.6237996116773576E-4</v>
      </c>
      <c r="P593">
        <f t="shared" si="77"/>
        <v>0</v>
      </c>
      <c r="Q593">
        <f t="shared" si="78"/>
        <v>0</v>
      </c>
      <c r="R593" s="3">
        <v>73.78</v>
      </c>
    </row>
    <row r="594" spans="1:18">
      <c r="A594" s="1">
        <v>43320</v>
      </c>
      <c r="B594">
        <v>2857.7</v>
      </c>
      <c r="C594">
        <f t="shared" si="72"/>
        <v>-2.6237996116773576E-4</v>
      </c>
      <c r="D594">
        <f t="shared" si="79"/>
        <v>6.1084021335398031E-3</v>
      </c>
      <c r="E594">
        <f>_xlfn.XLOOKUP(A594,VIX!A:A,VIX!B:B,"",-1)</f>
        <v>10.85</v>
      </c>
      <c r="F594">
        <f t="shared" si="73"/>
        <v>-8.0000000000000071E-2</v>
      </c>
      <c r="G594">
        <f>_xlfn.XLOOKUP(A594,'DGS10'!A:A,'DGS10'!B:B,"",-1)</f>
        <v>2.96</v>
      </c>
      <c r="H594">
        <f t="shared" si="74"/>
        <v>-2.0000000000000018E-2</v>
      </c>
      <c r="I594" s="2">
        <f>_xlfn.XLOOKUP(A594,T10Y3M!A:A,T10Y3M!B:B,"",-1)</f>
        <v>0.9</v>
      </c>
      <c r="J594" s="2">
        <f>_xlfn.XLOOKUP(A594,BAMLC0A4CBBB!A:A,BAMLC0A4CBBB!B:B,"",-1)</f>
        <v>1.46</v>
      </c>
      <c r="K594" s="2">
        <f>_xlfn.XLOOKUP(A594,CPIAUCSL!A:A,CPIAUCSL!B:B,"",-1)</f>
        <v>251.66300000000001</v>
      </c>
      <c r="L594">
        <f>_xlfn.XLOOKUP(A594,DFF!A:A,DFF!B:B,"",-1)</f>
        <v>1.91</v>
      </c>
      <c r="M594">
        <f>_xlfn.XLOOKUP(A594,'DGS2'!A:A,'DGS2'!B:B,"",-1)</f>
        <v>2.68</v>
      </c>
      <c r="N594">
        <f t="shared" si="75"/>
        <v>0</v>
      </c>
      <c r="O594">
        <f t="shared" si="76"/>
        <v>-1.4417188648213619E-3</v>
      </c>
      <c r="P594">
        <f t="shared" si="77"/>
        <v>0</v>
      </c>
      <c r="Q594">
        <f t="shared" si="78"/>
        <v>0</v>
      </c>
      <c r="R594" s="3">
        <v>73.930000000000007</v>
      </c>
    </row>
    <row r="595" spans="1:18">
      <c r="A595" s="1">
        <v>43321</v>
      </c>
      <c r="B595">
        <v>2853.58</v>
      </c>
      <c r="C595">
        <f t="shared" si="72"/>
        <v>-1.4417188648213619E-3</v>
      </c>
      <c r="D595">
        <f t="shared" si="79"/>
        <v>1.1156328936288151E-3</v>
      </c>
      <c r="E595">
        <f>_xlfn.XLOOKUP(A595,VIX!A:A,VIX!B:B,"",-1)</f>
        <v>11.27</v>
      </c>
      <c r="F595">
        <f t="shared" si="73"/>
        <v>0.41999999999999993</v>
      </c>
      <c r="G595">
        <f>_xlfn.XLOOKUP(A595,'DGS10'!A:A,'DGS10'!B:B,"",-1)</f>
        <v>2.93</v>
      </c>
      <c r="H595">
        <f t="shared" si="74"/>
        <v>-2.9999999999999805E-2</v>
      </c>
      <c r="I595" s="2">
        <f>_xlfn.XLOOKUP(A595,T10Y3M!A:A,T10Y3M!B:B,"",-1)</f>
        <v>0.87</v>
      </c>
      <c r="J595" s="2">
        <f>_xlfn.XLOOKUP(A595,BAMLC0A4CBBB!A:A,BAMLC0A4CBBB!B:B,"",-1)</f>
        <v>1.47</v>
      </c>
      <c r="K595" s="2">
        <f>_xlfn.XLOOKUP(A595,CPIAUCSL!A:A,CPIAUCSL!B:B,"",-1)</f>
        <v>251.66300000000001</v>
      </c>
      <c r="L595">
        <f>_xlfn.XLOOKUP(A595,DFF!A:A,DFF!B:B,"",-1)</f>
        <v>1.91</v>
      </c>
      <c r="M595">
        <f>_xlfn.XLOOKUP(A595,'DGS2'!A:A,'DGS2'!B:B,"",-1)</f>
        <v>2.64</v>
      </c>
      <c r="N595">
        <f t="shared" si="75"/>
        <v>-4.0000000000000036E-2</v>
      </c>
      <c r="O595">
        <f t="shared" si="76"/>
        <v>-7.1138709971333425E-3</v>
      </c>
      <c r="P595">
        <f t="shared" si="77"/>
        <v>0</v>
      </c>
      <c r="Q595">
        <f t="shared" si="78"/>
        <v>-1</v>
      </c>
    </row>
    <row r="596" spans="1:18">
      <c r="A596" s="1">
        <v>43322</v>
      </c>
      <c r="B596">
        <v>2833.28</v>
      </c>
      <c r="C596">
        <f t="shared" si="72"/>
        <v>-7.1138709971333425E-3</v>
      </c>
      <c r="D596">
        <f t="shared" si="79"/>
        <v>-8.8054714967901182E-3</v>
      </c>
      <c r="E596">
        <f>_xlfn.XLOOKUP(A596,VIX!A:A,VIX!B:B,"",-1)</f>
        <v>13.16</v>
      </c>
      <c r="F596">
        <f t="shared" si="73"/>
        <v>1.8900000000000006</v>
      </c>
      <c r="G596">
        <f>_xlfn.XLOOKUP(A596,'DGS10'!A:A,'DGS10'!B:B,"",-1)</f>
        <v>2.87</v>
      </c>
      <c r="H596">
        <f t="shared" si="74"/>
        <v>-6.0000000000000053E-2</v>
      </c>
      <c r="I596" s="2">
        <f>_xlfn.XLOOKUP(A596,T10Y3M!A:A,T10Y3M!B:B,"",-1)</f>
        <v>0.82</v>
      </c>
      <c r="J596" s="2">
        <f>_xlfn.XLOOKUP(A596,BAMLC0A4CBBB!A:A,BAMLC0A4CBBB!B:B,"",-1)</f>
        <v>1.5</v>
      </c>
      <c r="K596" s="2">
        <f>_xlfn.XLOOKUP(A596,CPIAUCSL!A:A,CPIAUCSL!B:B,"",-1)</f>
        <v>251.66300000000001</v>
      </c>
      <c r="L596">
        <f>_xlfn.XLOOKUP(A596,DFF!A:A,DFF!B:B,"",-1)</f>
        <v>1.91</v>
      </c>
      <c r="M596">
        <f>_xlfn.XLOOKUP(A596,'DGS2'!A:A,'DGS2'!B:B,"",-1)</f>
        <v>2.61</v>
      </c>
      <c r="N596">
        <f t="shared" si="75"/>
        <v>-3.0000000000000249E-2</v>
      </c>
      <c r="O596">
        <f t="shared" si="76"/>
        <v>-4.0059577592049811E-3</v>
      </c>
      <c r="P596">
        <f t="shared" si="77"/>
        <v>0</v>
      </c>
      <c r="Q596">
        <f t="shared" si="78"/>
        <v>-1</v>
      </c>
    </row>
    <row r="597" spans="1:18">
      <c r="A597" s="1">
        <v>43325</v>
      </c>
      <c r="B597">
        <v>2821.93</v>
      </c>
      <c r="C597">
        <f t="shared" si="72"/>
        <v>-4.0059577592049811E-3</v>
      </c>
      <c r="D597">
        <f t="shared" si="79"/>
        <v>-1.2517059173461131E-2</v>
      </c>
      <c r="E597">
        <f>_xlfn.XLOOKUP(A597,VIX!A:A,VIX!B:B,"",-1)</f>
        <v>14.78</v>
      </c>
      <c r="F597">
        <f t="shared" si="73"/>
        <v>1.6199999999999992</v>
      </c>
      <c r="G597">
        <f>_xlfn.XLOOKUP(A597,'DGS10'!A:A,'DGS10'!B:B,"",-1)</f>
        <v>2.88</v>
      </c>
      <c r="H597">
        <f t="shared" si="74"/>
        <v>9.9999999999997868E-3</v>
      </c>
      <c r="I597" s="2">
        <f>_xlfn.XLOOKUP(A597,T10Y3M!A:A,T10Y3M!B:B,"",-1)</f>
        <v>0.82</v>
      </c>
      <c r="J597" s="2">
        <f>_xlfn.XLOOKUP(A597,BAMLC0A4CBBB!A:A,BAMLC0A4CBBB!B:B,"",-1)</f>
        <v>1.52</v>
      </c>
      <c r="K597" s="2">
        <f>_xlfn.XLOOKUP(A597,CPIAUCSL!A:A,CPIAUCSL!B:B,"",-1)</f>
        <v>251.66300000000001</v>
      </c>
      <c r="L597">
        <f>_xlfn.XLOOKUP(A597,DFF!A:A,DFF!B:B,"",-1)</f>
        <v>1.91</v>
      </c>
      <c r="M597">
        <f>_xlfn.XLOOKUP(A597,'DGS2'!A:A,'DGS2'!B:B,"",-1)</f>
        <v>2.61</v>
      </c>
      <c r="N597">
        <f t="shared" si="75"/>
        <v>0</v>
      </c>
      <c r="O597">
        <f t="shared" si="76"/>
        <v>6.3892442406439098E-3</v>
      </c>
      <c r="P597">
        <f t="shared" si="77"/>
        <v>1</v>
      </c>
      <c r="Q597">
        <f t="shared" si="78"/>
        <v>1</v>
      </c>
    </row>
    <row r="598" spans="1:18">
      <c r="A598" s="1">
        <v>43326</v>
      </c>
      <c r="B598">
        <v>2839.96</v>
      </c>
      <c r="C598">
        <f t="shared" si="72"/>
        <v>6.3892442406439098E-3</v>
      </c>
      <c r="D598">
        <f t="shared" si="79"/>
        <v>-4.7729518709830332E-3</v>
      </c>
      <c r="E598">
        <f>_xlfn.XLOOKUP(A598,VIX!A:A,VIX!B:B,"",-1)</f>
        <v>13.31</v>
      </c>
      <c r="F598">
        <f t="shared" si="73"/>
        <v>-1.4699999999999989</v>
      </c>
      <c r="G598">
        <f>_xlfn.XLOOKUP(A598,'DGS10'!A:A,'DGS10'!B:B,"",-1)</f>
        <v>2.89</v>
      </c>
      <c r="H598">
        <f t="shared" si="74"/>
        <v>1.0000000000000231E-2</v>
      </c>
      <c r="I598" s="2">
        <f>_xlfn.XLOOKUP(A598,T10Y3M!A:A,T10Y3M!B:B,"",-1)</f>
        <v>0.81</v>
      </c>
      <c r="J598" s="2">
        <f>_xlfn.XLOOKUP(A598,BAMLC0A4CBBB!A:A,BAMLC0A4CBBB!B:B,"",-1)</f>
        <v>1.51</v>
      </c>
      <c r="K598" s="2">
        <f>_xlfn.XLOOKUP(A598,CPIAUCSL!A:A,CPIAUCSL!B:B,"",-1)</f>
        <v>251.66300000000001</v>
      </c>
      <c r="L598">
        <f>_xlfn.XLOOKUP(A598,DFF!A:A,DFF!B:B,"",-1)</f>
        <v>1.91</v>
      </c>
      <c r="M598">
        <f>_xlfn.XLOOKUP(A598,'DGS2'!A:A,'DGS2'!B:B,"",-1)</f>
        <v>2.63</v>
      </c>
      <c r="N598">
        <f t="shared" si="75"/>
        <v>2.0000000000000018E-2</v>
      </c>
      <c r="O598">
        <f t="shared" si="76"/>
        <v>-7.6022197495739796E-3</v>
      </c>
      <c r="P598">
        <f t="shared" si="77"/>
        <v>0</v>
      </c>
      <c r="Q598">
        <f t="shared" si="78"/>
        <v>-1</v>
      </c>
    </row>
    <row r="599" spans="1:18">
      <c r="A599" s="1">
        <v>43327</v>
      </c>
      <c r="B599">
        <v>2818.37</v>
      </c>
      <c r="C599">
        <f t="shared" si="72"/>
        <v>-7.6022197495739796E-3</v>
      </c>
      <c r="D599">
        <f t="shared" si="79"/>
        <v>-5.2624519990965846E-3</v>
      </c>
      <c r="E599">
        <f>_xlfn.XLOOKUP(A599,VIX!A:A,VIX!B:B,"",-1)</f>
        <v>14.64</v>
      </c>
      <c r="F599">
        <f t="shared" si="73"/>
        <v>1.33</v>
      </c>
      <c r="G599">
        <f>_xlfn.XLOOKUP(A599,'DGS10'!A:A,'DGS10'!B:B,"",-1)</f>
        <v>2.86</v>
      </c>
      <c r="H599">
        <f t="shared" si="74"/>
        <v>-3.0000000000000249E-2</v>
      </c>
      <c r="I599" s="2">
        <f>_xlfn.XLOOKUP(A599,T10Y3M!A:A,T10Y3M!B:B,"",-1)</f>
        <v>0.79</v>
      </c>
      <c r="J599" s="2">
        <f>_xlfn.XLOOKUP(A599,BAMLC0A4CBBB!A:A,BAMLC0A4CBBB!B:B,"",-1)</f>
        <v>1.52</v>
      </c>
      <c r="K599" s="2">
        <f>_xlfn.XLOOKUP(A599,CPIAUCSL!A:A,CPIAUCSL!B:B,"",-1)</f>
        <v>251.66300000000001</v>
      </c>
      <c r="L599">
        <f>_xlfn.XLOOKUP(A599,DFF!A:A,DFF!B:B,"",-1)</f>
        <v>1.91</v>
      </c>
      <c r="M599">
        <f>_xlfn.XLOOKUP(A599,'DGS2'!A:A,'DGS2'!B:B,"",-1)</f>
        <v>2.61</v>
      </c>
      <c r="N599">
        <f t="shared" si="75"/>
        <v>-2.0000000000000018E-2</v>
      </c>
      <c r="O599">
        <f t="shared" si="76"/>
        <v>7.9194711836985121E-3</v>
      </c>
      <c r="P599">
        <f t="shared" si="77"/>
        <v>1</v>
      </c>
      <c r="Q599">
        <f t="shared" si="78"/>
        <v>1</v>
      </c>
    </row>
    <row r="600" spans="1:18">
      <c r="A600" s="1">
        <v>43328</v>
      </c>
      <c r="B600">
        <v>2840.69</v>
      </c>
      <c r="C600">
        <f t="shared" si="72"/>
        <v>7.9194711836985121E-3</v>
      </c>
      <c r="D600">
        <f t="shared" si="79"/>
        <v>6.6479324433987852E-3</v>
      </c>
      <c r="E600">
        <f>_xlfn.XLOOKUP(A600,VIX!A:A,VIX!B:B,"",-1)</f>
        <v>13.45</v>
      </c>
      <c r="F600">
        <f t="shared" si="73"/>
        <v>-1.1900000000000013</v>
      </c>
      <c r="G600">
        <f>_xlfn.XLOOKUP(A600,'DGS10'!A:A,'DGS10'!B:B,"",-1)</f>
        <v>2.87</v>
      </c>
      <c r="H600">
        <f t="shared" si="74"/>
        <v>1.0000000000000231E-2</v>
      </c>
      <c r="I600" s="2">
        <f>_xlfn.XLOOKUP(A600,T10Y3M!A:A,T10Y3M!B:B,"",-1)</f>
        <v>0.8</v>
      </c>
      <c r="J600" s="2">
        <f>_xlfn.XLOOKUP(A600,BAMLC0A4CBBB!A:A,BAMLC0A4CBBB!B:B,"",-1)</f>
        <v>1.51</v>
      </c>
      <c r="K600" s="2">
        <f>_xlfn.XLOOKUP(A600,CPIAUCSL!A:A,CPIAUCSL!B:B,"",-1)</f>
        <v>251.66300000000001</v>
      </c>
      <c r="L600">
        <f>_xlfn.XLOOKUP(A600,DFF!A:A,DFF!B:B,"",-1)</f>
        <v>1.92</v>
      </c>
      <c r="M600">
        <f>_xlfn.XLOOKUP(A600,'DGS2'!A:A,'DGS2'!B:B,"",-1)</f>
        <v>2.63</v>
      </c>
      <c r="N600">
        <f t="shared" si="75"/>
        <v>2.0000000000000018E-2</v>
      </c>
      <c r="O600">
        <f t="shared" si="76"/>
        <v>3.3231362802699227E-3</v>
      </c>
      <c r="P600">
        <f t="shared" si="77"/>
        <v>1</v>
      </c>
      <c r="Q600">
        <f t="shared" si="78"/>
        <v>1</v>
      </c>
    </row>
    <row r="601" spans="1:18">
      <c r="A601" s="1">
        <v>43329</v>
      </c>
      <c r="B601">
        <v>2850.13</v>
      </c>
      <c r="C601">
        <f t="shared" si="72"/>
        <v>3.3231362802699227E-3</v>
      </c>
      <c r="D601">
        <f t="shared" si="79"/>
        <v>3.5810363526247446E-3</v>
      </c>
      <c r="E601">
        <f>_xlfn.XLOOKUP(A601,VIX!A:A,VIX!B:B,"",-1)</f>
        <v>12.64</v>
      </c>
      <c r="F601">
        <f t="shared" si="73"/>
        <v>-0.80999999999999872</v>
      </c>
      <c r="G601">
        <f>_xlfn.XLOOKUP(A601,'DGS10'!A:A,'DGS10'!B:B,"",-1)</f>
        <v>2.87</v>
      </c>
      <c r="H601">
        <f t="shared" si="74"/>
        <v>0</v>
      </c>
      <c r="I601" s="2">
        <f>_xlfn.XLOOKUP(A601,T10Y3M!A:A,T10Y3M!B:B,"",-1)</f>
        <v>0.82</v>
      </c>
      <c r="J601" s="2">
        <f>_xlfn.XLOOKUP(A601,BAMLC0A4CBBB!A:A,BAMLC0A4CBBB!B:B,"",-1)</f>
        <v>1.5</v>
      </c>
      <c r="K601" s="2">
        <f>_xlfn.XLOOKUP(A601,CPIAUCSL!A:A,CPIAUCSL!B:B,"",-1)</f>
        <v>251.66300000000001</v>
      </c>
      <c r="L601">
        <f>_xlfn.XLOOKUP(A601,DFF!A:A,DFF!B:B,"",-1)</f>
        <v>1.92</v>
      </c>
      <c r="M601">
        <f>_xlfn.XLOOKUP(A601,'DGS2'!A:A,'DGS2'!B:B,"",-1)</f>
        <v>2.61</v>
      </c>
      <c r="N601">
        <f t="shared" si="75"/>
        <v>-2.0000000000000018E-2</v>
      </c>
      <c r="O601">
        <f t="shared" si="76"/>
        <v>2.4279594264120519E-3</v>
      </c>
      <c r="P601">
        <f t="shared" si="77"/>
        <v>1</v>
      </c>
      <c r="Q601">
        <f t="shared" si="78"/>
        <v>0</v>
      </c>
    </row>
    <row r="602" spans="1:18">
      <c r="A602" s="1">
        <v>43332</v>
      </c>
      <c r="B602">
        <v>2857.05</v>
      </c>
      <c r="C602">
        <f t="shared" si="72"/>
        <v>2.4279594264120519E-3</v>
      </c>
      <c r="D602">
        <f t="shared" si="79"/>
        <v>1.3724244864939728E-2</v>
      </c>
      <c r="E602">
        <f>_xlfn.XLOOKUP(A602,VIX!A:A,VIX!B:B,"",-1)</f>
        <v>12.49</v>
      </c>
      <c r="F602">
        <f t="shared" si="73"/>
        <v>-0.15000000000000036</v>
      </c>
      <c r="G602">
        <f>_xlfn.XLOOKUP(A602,'DGS10'!A:A,'DGS10'!B:B,"",-1)</f>
        <v>2.82</v>
      </c>
      <c r="H602">
        <f t="shared" si="74"/>
        <v>-5.0000000000000266E-2</v>
      </c>
      <c r="I602" s="2">
        <f>_xlfn.XLOOKUP(A602,T10Y3M!A:A,T10Y3M!B:B,"",-1)</f>
        <v>0.76</v>
      </c>
      <c r="J602" s="2">
        <f>_xlfn.XLOOKUP(A602,BAMLC0A4CBBB!A:A,BAMLC0A4CBBB!B:B,"",-1)</f>
        <v>1.51</v>
      </c>
      <c r="K602" s="2">
        <f>_xlfn.XLOOKUP(A602,CPIAUCSL!A:A,CPIAUCSL!B:B,"",-1)</f>
        <v>251.66300000000001</v>
      </c>
      <c r="L602">
        <f>_xlfn.XLOOKUP(A602,DFF!A:A,DFF!B:B,"",-1)</f>
        <v>1.92</v>
      </c>
      <c r="M602">
        <f>_xlfn.XLOOKUP(A602,'DGS2'!A:A,'DGS2'!B:B,"",-1)</f>
        <v>2.6</v>
      </c>
      <c r="N602">
        <f t="shared" si="75"/>
        <v>-9.9999999999997868E-3</v>
      </c>
      <c r="O602">
        <f t="shared" si="76"/>
        <v>2.0685672284348477E-3</v>
      </c>
      <c r="P602">
        <f t="shared" si="77"/>
        <v>1</v>
      </c>
      <c r="Q602">
        <f t="shared" si="78"/>
        <v>0</v>
      </c>
    </row>
    <row r="603" spans="1:18">
      <c r="A603" s="1">
        <v>43333</v>
      </c>
      <c r="B603">
        <v>2862.96</v>
      </c>
      <c r="C603">
        <f t="shared" si="72"/>
        <v>2.0685672284348477E-3</v>
      </c>
      <c r="D603">
        <f t="shared" si="79"/>
        <v>7.8396445933910375E-3</v>
      </c>
      <c r="E603">
        <f>_xlfn.XLOOKUP(A603,VIX!A:A,VIX!B:B,"",-1)</f>
        <v>12.86</v>
      </c>
      <c r="F603">
        <f t="shared" si="73"/>
        <v>0.36999999999999922</v>
      </c>
      <c r="G603">
        <f>_xlfn.XLOOKUP(A603,'DGS10'!A:A,'DGS10'!B:B,"",-1)</f>
        <v>2.85</v>
      </c>
      <c r="H603">
        <f t="shared" si="74"/>
        <v>3.0000000000000249E-2</v>
      </c>
      <c r="I603" s="2">
        <f>_xlfn.XLOOKUP(A603,T10Y3M!A:A,T10Y3M!B:B,"",-1)</f>
        <v>0.77</v>
      </c>
      <c r="J603" s="2">
        <f>_xlfn.XLOOKUP(A603,BAMLC0A4CBBB!A:A,BAMLC0A4CBBB!B:B,"",-1)</f>
        <v>1.5</v>
      </c>
      <c r="K603" s="2">
        <f>_xlfn.XLOOKUP(A603,CPIAUCSL!A:A,CPIAUCSL!B:B,"",-1)</f>
        <v>251.66300000000001</v>
      </c>
      <c r="L603">
        <f>_xlfn.XLOOKUP(A603,DFF!A:A,DFF!B:B,"",-1)</f>
        <v>1.92</v>
      </c>
      <c r="M603">
        <f>_xlfn.XLOOKUP(A603,'DGS2'!A:A,'DGS2'!B:B,"",-1)</f>
        <v>2.61</v>
      </c>
      <c r="N603">
        <f t="shared" si="75"/>
        <v>9.9999999999997868E-3</v>
      </c>
      <c r="O603">
        <f t="shared" si="76"/>
        <v>-3.9818928661239372E-4</v>
      </c>
      <c r="P603">
        <f t="shared" si="77"/>
        <v>0</v>
      </c>
      <c r="Q603">
        <f t="shared" si="78"/>
        <v>0</v>
      </c>
    </row>
    <row r="604" spans="1:18">
      <c r="A604" s="1">
        <v>43334</v>
      </c>
      <c r="B604">
        <v>2861.82</v>
      </c>
      <c r="C604">
        <f t="shared" si="72"/>
        <v>-3.9818928661239372E-4</v>
      </c>
      <c r="D604">
        <f t="shared" si="79"/>
        <v>4.1015672969302308E-3</v>
      </c>
      <c r="E604">
        <f>_xlfn.XLOOKUP(A604,VIX!A:A,VIX!B:B,"",-1)</f>
        <v>12.25</v>
      </c>
      <c r="F604">
        <f t="shared" si="73"/>
        <v>-0.60999999999999943</v>
      </c>
      <c r="G604">
        <f>_xlfn.XLOOKUP(A604,'DGS10'!A:A,'DGS10'!B:B,"",-1)</f>
        <v>2.82</v>
      </c>
      <c r="H604">
        <f t="shared" si="74"/>
        <v>-3.0000000000000249E-2</v>
      </c>
      <c r="I604" s="2">
        <f>_xlfn.XLOOKUP(A604,T10Y3M!A:A,T10Y3M!B:B,"",-1)</f>
        <v>0.73</v>
      </c>
      <c r="J604" s="2">
        <f>_xlfn.XLOOKUP(A604,BAMLC0A4CBBB!A:A,BAMLC0A4CBBB!B:B,"",-1)</f>
        <v>1.51</v>
      </c>
      <c r="K604" s="2">
        <f>_xlfn.XLOOKUP(A604,CPIAUCSL!A:A,CPIAUCSL!B:B,"",-1)</f>
        <v>251.66300000000001</v>
      </c>
      <c r="L604">
        <f>_xlfn.XLOOKUP(A604,DFF!A:A,DFF!B:B,"",-1)</f>
        <v>1.92</v>
      </c>
      <c r="M604">
        <f>_xlfn.XLOOKUP(A604,'DGS2'!A:A,'DGS2'!B:B,"",-1)</f>
        <v>2.6</v>
      </c>
      <c r="N604">
        <f t="shared" si="75"/>
        <v>-9.9999999999997868E-3</v>
      </c>
      <c r="O604">
        <f t="shared" si="76"/>
        <v>-1.691231454109654E-3</v>
      </c>
      <c r="P604">
        <f t="shared" si="77"/>
        <v>0</v>
      </c>
      <c r="Q604">
        <f t="shared" si="78"/>
        <v>0</v>
      </c>
    </row>
    <row r="605" spans="1:18">
      <c r="A605" s="1">
        <v>43335</v>
      </c>
      <c r="B605">
        <v>2856.98</v>
      </c>
      <c r="C605">
        <f t="shared" si="72"/>
        <v>-1.691231454109654E-3</v>
      </c>
      <c r="D605">
        <f t="shared" si="79"/>
        <v>-2.4500796275916947E-5</v>
      </c>
      <c r="E605">
        <f>_xlfn.XLOOKUP(A605,VIX!A:A,VIX!B:B,"",-1)</f>
        <v>12.41</v>
      </c>
      <c r="F605">
        <f t="shared" si="73"/>
        <v>0.16000000000000014</v>
      </c>
      <c r="G605">
        <f>_xlfn.XLOOKUP(A605,'DGS10'!A:A,'DGS10'!B:B,"",-1)</f>
        <v>2.82</v>
      </c>
      <c r="H605">
        <f t="shared" si="74"/>
        <v>0</v>
      </c>
      <c r="I605" s="2">
        <f>_xlfn.XLOOKUP(A605,T10Y3M!A:A,T10Y3M!B:B,"",-1)</f>
        <v>0.74</v>
      </c>
      <c r="J605" s="2">
        <f>_xlfn.XLOOKUP(A605,BAMLC0A4CBBB!A:A,BAMLC0A4CBBB!B:B,"",-1)</f>
        <v>1.52</v>
      </c>
      <c r="K605" s="2">
        <f>_xlfn.XLOOKUP(A605,CPIAUCSL!A:A,CPIAUCSL!B:B,"",-1)</f>
        <v>251.66300000000001</v>
      </c>
      <c r="L605">
        <f>_xlfn.XLOOKUP(A605,DFF!A:A,DFF!B:B,"",-1)</f>
        <v>1.92</v>
      </c>
      <c r="M605">
        <f>_xlfn.XLOOKUP(A605,'DGS2'!A:A,'DGS2'!B:B,"",-1)</f>
        <v>2.61</v>
      </c>
      <c r="N605">
        <f t="shared" si="75"/>
        <v>9.9999999999997868E-3</v>
      </c>
      <c r="O605">
        <f t="shared" si="76"/>
        <v>6.1988533346399866E-3</v>
      </c>
      <c r="P605">
        <f t="shared" si="77"/>
        <v>1</v>
      </c>
      <c r="Q605">
        <f t="shared" si="78"/>
        <v>1</v>
      </c>
    </row>
    <row r="606" spans="1:18">
      <c r="A606" s="1">
        <v>43336</v>
      </c>
      <c r="B606">
        <v>2874.69</v>
      </c>
      <c r="C606">
        <f t="shared" si="72"/>
        <v>6.1988533346399866E-3</v>
      </c>
      <c r="D606">
        <f t="shared" si="79"/>
        <v>4.0971581859334805E-3</v>
      </c>
      <c r="E606">
        <f>_xlfn.XLOOKUP(A606,VIX!A:A,VIX!B:B,"",-1)</f>
        <v>11.99</v>
      </c>
      <c r="F606">
        <f t="shared" si="73"/>
        <v>-0.41999999999999993</v>
      </c>
      <c r="G606">
        <f>_xlfn.XLOOKUP(A606,'DGS10'!A:A,'DGS10'!B:B,"",-1)</f>
        <v>2.82</v>
      </c>
      <c r="H606">
        <f t="shared" si="74"/>
        <v>0</v>
      </c>
      <c r="I606" s="2">
        <f>_xlfn.XLOOKUP(A606,T10Y3M!A:A,T10Y3M!B:B,"",-1)</f>
        <v>0.73</v>
      </c>
      <c r="J606" s="2">
        <f>_xlfn.XLOOKUP(A606,BAMLC0A4CBBB!A:A,BAMLC0A4CBBB!B:B,"",-1)</f>
        <v>1.52</v>
      </c>
      <c r="K606" s="2">
        <f>_xlfn.XLOOKUP(A606,CPIAUCSL!A:A,CPIAUCSL!B:B,"",-1)</f>
        <v>251.66300000000001</v>
      </c>
      <c r="L606">
        <f>_xlfn.XLOOKUP(A606,DFF!A:A,DFF!B:B,"",-1)</f>
        <v>1.92</v>
      </c>
      <c r="M606">
        <f>_xlfn.XLOOKUP(A606,'DGS2'!A:A,'DGS2'!B:B,"",-1)</f>
        <v>2.63</v>
      </c>
      <c r="N606">
        <f t="shared" si="75"/>
        <v>2.0000000000000018E-2</v>
      </c>
      <c r="O606">
        <f t="shared" si="76"/>
        <v>7.670392285776817E-3</v>
      </c>
      <c r="P606">
        <f t="shared" si="77"/>
        <v>1</v>
      </c>
      <c r="Q606">
        <f t="shared" si="78"/>
        <v>1</v>
      </c>
    </row>
    <row r="607" spans="1:18">
      <c r="A607" s="1">
        <v>43339</v>
      </c>
      <c r="B607">
        <v>2896.74</v>
      </c>
      <c r="C607">
        <f t="shared" si="72"/>
        <v>7.670392285776817E-3</v>
      </c>
      <c r="D607">
        <f t="shared" si="79"/>
        <v>1.2202025284608897E-2</v>
      </c>
      <c r="E607">
        <f>_xlfn.XLOOKUP(A607,VIX!A:A,VIX!B:B,"",-1)</f>
        <v>12.16</v>
      </c>
      <c r="F607">
        <f t="shared" si="73"/>
        <v>0.16999999999999993</v>
      </c>
      <c r="G607">
        <f>_xlfn.XLOOKUP(A607,'DGS10'!A:A,'DGS10'!B:B,"",-1)</f>
        <v>2.85</v>
      </c>
      <c r="H607">
        <f t="shared" si="74"/>
        <v>3.0000000000000249E-2</v>
      </c>
      <c r="I607" s="2">
        <f>_xlfn.XLOOKUP(A607,T10Y3M!A:A,T10Y3M!B:B,"",-1)</f>
        <v>0.73</v>
      </c>
      <c r="J607" s="2">
        <f>_xlfn.XLOOKUP(A607,BAMLC0A4CBBB!A:A,BAMLC0A4CBBB!B:B,"",-1)</f>
        <v>1.51</v>
      </c>
      <c r="K607" s="2">
        <f>_xlfn.XLOOKUP(A607,CPIAUCSL!A:A,CPIAUCSL!B:B,"",-1)</f>
        <v>251.66300000000001</v>
      </c>
      <c r="L607">
        <f>_xlfn.XLOOKUP(A607,DFF!A:A,DFF!B:B,"",-1)</f>
        <v>1.92</v>
      </c>
      <c r="M607">
        <f>_xlfn.XLOOKUP(A607,'DGS2'!A:A,'DGS2'!B:B,"",-1)</f>
        <v>2.67</v>
      </c>
      <c r="N607">
        <f t="shared" si="75"/>
        <v>4.0000000000000036E-2</v>
      </c>
      <c r="O607">
        <f t="shared" si="76"/>
        <v>2.6926821185191407E-4</v>
      </c>
      <c r="P607">
        <f t="shared" si="77"/>
        <v>1</v>
      </c>
      <c r="Q607">
        <f t="shared" si="78"/>
        <v>0</v>
      </c>
    </row>
    <row r="608" spans="1:18">
      <c r="A608" s="1">
        <v>43340</v>
      </c>
      <c r="B608">
        <v>2897.52</v>
      </c>
      <c r="C608">
        <f t="shared" si="72"/>
        <v>2.6926821185191407E-4</v>
      </c>
      <c r="D608">
        <f t="shared" si="79"/>
        <v>1.418980881910259E-2</v>
      </c>
      <c r="E608">
        <f>_xlfn.XLOOKUP(A608,VIX!A:A,VIX!B:B,"",-1)</f>
        <v>12.5</v>
      </c>
      <c r="F608">
        <f t="shared" si="73"/>
        <v>0.33999999999999986</v>
      </c>
      <c r="G608">
        <f>_xlfn.XLOOKUP(A608,'DGS10'!A:A,'DGS10'!B:B,"",-1)</f>
        <v>2.88</v>
      </c>
      <c r="H608">
        <f t="shared" si="74"/>
        <v>2.9999999999999805E-2</v>
      </c>
      <c r="I608" s="2">
        <f>_xlfn.XLOOKUP(A608,T10Y3M!A:A,T10Y3M!B:B,"",-1)</f>
        <v>0.75</v>
      </c>
      <c r="J608" s="2">
        <f>_xlfn.XLOOKUP(A608,BAMLC0A4CBBB!A:A,BAMLC0A4CBBB!B:B,"",-1)</f>
        <v>1.51</v>
      </c>
      <c r="K608" s="2">
        <f>_xlfn.XLOOKUP(A608,CPIAUCSL!A:A,CPIAUCSL!B:B,"",-1)</f>
        <v>251.66300000000001</v>
      </c>
      <c r="L608">
        <f>_xlfn.XLOOKUP(A608,DFF!A:A,DFF!B:B,"",-1)</f>
        <v>1.92</v>
      </c>
      <c r="M608">
        <f>_xlfn.XLOOKUP(A608,'DGS2'!A:A,'DGS2'!B:B,"",-1)</f>
        <v>2.67</v>
      </c>
      <c r="N608">
        <f t="shared" si="75"/>
        <v>0</v>
      </c>
      <c r="O608">
        <f t="shared" si="76"/>
        <v>5.7014274275932753E-3</v>
      </c>
      <c r="P608">
        <f t="shared" si="77"/>
        <v>1</v>
      </c>
      <c r="Q608">
        <f t="shared" si="78"/>
        <v>1</v>
      </c>
    </row>
    <row r="609" spans="1:17">
      <c r="A609" s="1">
        <v>43341</v>
      </c>
      <c r="B609">
        <v>2914.04</v>
      </c>
      <c r="C609">
        <f t="shared" si="72"/>
        <v>5.7014274275932753E-3</v>
      </c>
      <c r="D609">
        <f t="shared" si="79"/>
        <v>1.3688432491851366E-2</v>
      </c>
      <c r="E609">
        <f>_xlfn.XLOOKUP(A609,VIX!A:A,VIX!B:B,"",-1)</f>
        <v>12.25</v>
      </c>
      <c r="F609">
        <f t="shared" si="73"/>
        <v>-0.25</v>
      </c>
      <c r="G609">
        <f>_xlfn.XLOOKUP(A609,'DGS10'!A:A,'DGS10'!B:B,"",-1)</f>
        <v>2.89</v>
      </c>
      <c r="H609">
        <f t="shared" si="74"/>
        <v>1.0000000000000231E-2</v>
      </c>
      <c r="I609" s="2">
        <f>_xlfn.XLOOKUP(A609,T10Y3M!A:A,T10Y3M!B:B,"",-1)</f>
        <v>0.76</v>
      </c>
      <c r="J609" s="2">
        <f>_xlfn.XLOOKUP(A609,BAMLC0A4CBBB!A:A,BAMLC0A4CBBB!B:B,"",-1)</f>
        <v>1.5</v>
      </c>
      <c r="K609" s="2">
        <f>_xlfn.XLOOKUP(A609,CPIAUCSL!A:A,CPIAUCSL!B:B,"",-1)</f>
        <v>251.66300000000001</v>
      </c>
      <c r="L609">
        <f>_xlfn.XLOOKUP(A609,DFF!A:A,DFF!B:B,"",-1)</f>
        <v>1.92</v>
      </c>
      <c r="M609">
        <f>_xlfn.XLOOKUP(A609,'DGS2'!A:A,'DGS2'!B:B,"",-1)</f>
        <v>2.67</v>
      </c>
      <c r="N609">
        <f t="shared" si="75"/>
        <v>0</v>
      </c>
      <c r="O609">
        <f t="shared" si="76"/>
        <v>-4.4302754938161382E-3</v>
      </c>
      <c r="P609">
        <f t="shared" si="77"/>
        <v>0</v>
      </c>
      <c r="Q609">
        <f t="shared" si="78"/>
        <v>-1</v>
      </c>
    </row>
    <row r="610" spans="1:17">
      <c r="A610" s="1">
        <v>43342</v>
      </c>
      <c r="B610">
        <v>2901.13</v>
      </c>
      <c r="C610">
        <f t="shared" si="72"/>
        <v>-4.4302754938161382E-3</v>
      </c>
      <c r="D610">
        <f t="shared" si="79"/>
        <v>1.5154967308077527E-3</v>
      </c>
      <c r="E610">
        <f>_xlfn.XLOOKUP(A610,VIX!A:A,VIX!B:B,"",-1)</f>
        <v>13.53</v>
      </c>
      <c r="F610">
        <f t="shared" si="73"/>
        <v>1.2799999999999994</v>
      </c>
      <c r="G610">
        <f>_xlfn.XLOOKUP(A610,'DGS10'!A:A,'DGS10'!B:B,"",-1)</f>
        <v>2.86</v>
      </c>
      <c r="H610">
        <f t="shared" si="74"/>
        <v>-3.0000000000000249E-2</v>
      </c>
      <c r="I610" s="2">
        <f>_xlfn.XLOOKUP(A610,T10Y3M!A:A,T10Y3M!B:B,"",-1)</f>
        <v>0.75</v>
      </c>
      <c r="J610" s="2">
        <f>_xlfn.XLOOKUP(A610,BAMLC0A4CBBB!A:A,BAMLC0A4CBBB!B:B,"",-1)</f>
        <v>1.52</v>
      </c>
      <c r="K610" s="2">
        <f>_xlfn.XLOOKUP(A610,CPIAUCSL!A:A,CPIAUCSL!B:B,"",-1)</f>
        <v>251.66300000000001</v>
      </c>
      <c r="L610">
        <f>_xlfn.XLOOKUP(A610,DFF!A:A,DFF!B:B,"",-1)</f>
        <v>1.92</v>
      </c>
      <c r="M610">
        <f>_xlfn.XLOOKUP(A610,'DGS2'!A:A,'DGS2'!B:B,"",-1)</f>
        <v>2.64</v>
      </c>
      <c r="N610">
        <f t="shared" si="75"/>
        <v>-2.9999999999999805E-2</v>
      </c>
      <c r="O610">
        <f t="shared" si="76"/>
        <v>1.3443037712890238E-4</v>
      </c>
      <c r="P610">
        <f t="shared" si="77"/>
        <v>1</v>
      </c>
      <c r="Q610">
        <f t="shared" si="78"/>
        <v>0</v>
      </c>
    </row>
    <row r="611" spans="1:17">
      <c r="A611" s="1">
        <v>43343</v>
      </c>
      <c r="B611">
        <v>2901.52</v>
      </c>
      <c r="C611">
        <f t="shared" si="72"/>
        <v>1.3443037712890238E-4</v>
      </c>
      <c r="D611">
        <f t="shared" si="79"/>
        <v>1.3804909025649792E-3</v>
      </c>
      <c r="E611">
        <f>_xlfn.XLOOKUP(A611,VIX!A:A,VIX!B:B,"",-1)</f>
        <v>12.86</v>
      </c>
      <c r="F611">
        <f t="shared" si="73"/>
        <v>-0.66999999999999993</v>
      </c>
      <c r="G611">
        <f>_xlfn.XLOOKUP(A611,'DGS10'!A:A,'DGS10'!B:B,"",-1)</f>
        <v>2.86</v>
      </c>
      <c r="H611">
        <f t="shared" si="74"/>
        <v>0</v>
      </c>
      <c r="I611" s="2">
        <f>_xlfn.XLOOKUP(A611,T10Y3M!A:A,T10Y3M!B:B,"",-1)</f>
        <v>0.75</v>
      </c>
      <c r="J611" s="2">
        <f>_xlfn.XLOOKUP(A611,BAMLC0A4CBBB!A:A,BAMLC0A4CBBB!B:B,"",-1)</f>
        <v>1.53</v>
      </c>
      <c r="K611" s="2">
        <f>_xlfn.XLOOKUP(A611,CPIAUCSL!A:A,CPIAUCSL!B:B,"",-1)</f>
        <v>251.66300000000001</v>
      </c>
      <c r="L611">
        <f>_xlfn.XLOOKUP(A611,DFF!A:A,DFF!B:B,"",-1)</f>
        <v>1.91</v>
      </c>
      <c r="M611">
        <f>_xlfn.XLOOKUP(A611,'DGS2'!A:A,'DGS2'!B:B,"",-1)</f>
        <v>2.62</v>
      </c>
      <c r="N611">
        <f t="shared" si="75"/>
        <v>-2.0000000000000018E-2</v>
      </c>
      <c r="O611">
        <f t="shared" si="76"/>
        <v>-1.6543053296204091E-3</v>
      </c>
      <c r="P611">
        <f t="shared" si="77"/>
        <v>0</v>
      </c>
      <c r="Q611">
        <f t="shared" si="78"/>
        <v>0</v>
      </c>
    </row>
    <row r="612" spans="1:17">
      <c r="A612" s="1">
        <v>43347</v>
      </c>
      <c r="B612">
        <v>2896.72</v>
      </c>
      <c r="C612">
        <f t="shared" si="72"/>
        <v>-1.6543053296204091E-3</v>
      </c>
      <c r="D612">
        <f t="shared" si="79"/>
        <v>-5.9436383851972918E-3</v>
      </c>
      <c r="E612">
        <f>_xlfn.XLOOKUP(A612,VIX!A:A,VIX!B:B,"",-1)</f>
        <v>13.16</v>
      </c>
      <c r="F612">
        <f t="shared" si="73"/>
        <v>0.30000000000000071</v>
      </c>
      <c r="G612">
        <f>_xlfn.XLOOKUP(A612,'DGS10'!A:A,'DGS10'!B:B,"",-1)</f>
        <v>2.9</v>
      </c>
      <c r="H612">
        <f t="shared" si="74"/>
        <v>4.0000000000000036E-2</v>
      </c>
      <c r="I612" s="2">
        <f>_xlfn.XLOOKUP(A612,T10Y3M!A:A,T10Y3M!B:B,"",-1)</f>
        <v>0.77</v>
      </c>
      <c r="J612" s="2">
        <f>_xlfn.XLOOKUP(A612,BAMLC0A4CBBB!A:A,BAMLC0A4CBBB!B:B,"",-1)</f>
        <v>1.53</v>
      </c>
      <c r="K612" s="2">
        <f>_xlfn.XLOOKUP(A612,CPIAUCSL!A:A,CPIAUCSL!B:B,"",-1)</f>
        <v>252.18199999999999</v>
      </c>
      <c r="L612">
        <f>_xlfn.XLOOKUP(A612,DFF!A:A,DFF!B:B,"",-1)</f>
        <v>1.92</v>
      </c>
      <c r="M612">
        <f>_xlfn.XLOOKUP(A612,'DGS2'!A:A,'DGS2'!B:B,"",-1)</f>
        <v>2.66</v>
      </c>
      <c r="N612">
        <f t="shared" si="75"/>
        <v>4.0000000000000036E-2</v>
      </c>
      <c r="O612">
        <f t="shared" si="76"/>
        <v>-2.8031704824766912E-3</v>
      </c>
      <c r="P612">
        <f t="shared" si="77"/>
        <v>0</v>
      </c>
      <c r="Q612">
        <f t="shared" si="78"/>
        <v>0</v>
      </c>
    </row>
    <row r="613" spans="1:17">
      <c r="A613" s="1">
        <v>43348</v>
      </c>
      <c r="B613">
        <v>2888.6</v>
      </c>
      <c r="C613">
        <f t="shared" si="72"/>
        <v>-2.8031704824766912E-3</v>
      </c>
      <c r="D613">
        <f t="shared" si="79"/>
        <v>-4.3190067318596981E-3</v>
      </c>
      <c r="E613">
        <f>_xlfn.XLOOKUP(A613,VIX!A:A,VIX!B:B,"",-1)</f>
        <v>13.91</v>
      </c>
      <c r="F613">
        <f t="shared" si="73"/>
        <v>0.75</v>
      </c>
      <c r="G613">
        <f>_xlfn.XLOOKUP(A613,'DGS10'!A:A,'DGS10'!B:B,"",-1)</f>
        <v>2.9</v>
      </c>
      <c r="H613">
        <f t="shared" si="74"/>
        <v>0</v>
      </c>
      <c r="I613" s="2">
        <f>_xlfn.XLOOKUP(A613,T10Y3M!A:A,T10Y3M!B:B,"",-1)</f>
        <v>0.76</v>
      </c>
      <c r="J613" s="2">
        <f>_xlfn.XLOOKUP(A613,BAMLC0A4CBBB!A:A,BAMLC0A4CBBB!B:B,"",-1)</f>
        <v>1.53</v>
      </c>
      <c r="K613" s="2">
        <f>_xlfn.XLOOKUP(A613,CPIAUCSL!A:A,CPIAUCSL!B:B,"",-1)</f>
        <v>252.18199999999999</v>
      </c>
      <c r="L613">
        <f>_xlfn.XLOOKUP(A613,DFF!A:A,DFF!B:B,"",-1)</f>
        <v>1.92</v>
      </c>
      <c r="M613">
        <f>_xlfn.XLOOKUP(A613,'DGS2'!A:A,'DGS2'!B:B,"",-1)</f>
        <v>2.66</v>
      </c>
      <c r="N613">
        <f t="shared" si="75"/>
        <v>0</v>
      </c>
      <c r="O613">
        <f t="shared" si="76"/>
        <v>-3.6522883057535926E-3</v>
      </c>
      <c r="P613">
        <f t="shared" si="77"/>
        <v>0</v>
      </c>
      <c r="Q613">
        <f t="shared" si="78"/>
        <v>-1</v>
      </c>
    </row>
    <row r="614" spans="1:17">
      <c r="A614" s="1">
        <v>43349</v>
      </c>
      <c r="B614">
        <v>2878.05</v>
      </c>
      <c r="C614">
        <f t="shared" si="72"/>
        <v>-3.6522883057535926E-3</v>
      </c>
      <c r="D614">
        <f t="shared" si="79"/>
        <v>-8.0888637679560338E-3</v>
      </c>
      <c r="E614">
        <f>_xlfn.XLOOKUP(A614,VIX!A:A,VIX!B:B,"",-1)</f>
        <v>14.65</v>
      </c>
      <c r="F614">
        <f t="shared" si="73"/>
        <v>0.74000000000000021</v>
      </c>
      <c r="G614">
        <f>_xlfn.XLOOKUP(A614,'DGS10'!A:A,'DGS10'!B:B,"",-1)</f>
        <v>2.88</v>
      </c>
      <c r="H614">
        <f t="shared" si="74"/>
        <v>-2.0000000000000018E-2</v>
      </c>
      <c r="I614" s="2">
        <f>_xlfn.XLOOKUP(A614,T10Y3M!A:A,T10Y3M!B:B,"",-1)</f>
        <v>0.75</v>
      </c>
      <c r="J614" s="2">
        <f>_xlfn.XLOOKUP(A614,BAMLC0A4CBBB!A:A,BAMLC0A4CBBB!B:B,"",-1)</f>
        <v>1.53</v>
      </c>
      <c r="K614" s="2">
        <f>_xlfn.XLOOKUP(A614,CPIAUCSL!A:A,CPIAUCSL!B:B,"",-1)</f>
        <v>252.18199999999999</v>
      </c>
      <c r="L614">
        <f>_xlfn.XLOOKUP(A614,DFF!A:A,DFF!B:B,"",-1)</f>
        <v>1.92</v>
      </c>
      <c r="M614">
        <f>_xlfn.XLOOKUP(A614,'DGS2'!A:A,'DGS2'!B:B,"",-1)</f>
        <v>2.64</v>
      </c>
      <c r="N614">
        <f t="shared" si="75"/>
        <v>-2.0000000000000018E-2</v>
      </c>
      <c r="O614">
        <f t="shared" si="76"/>
        <v>-2.2133041469051262E-3</v>
      </c>
      <c r="P614">
        <f t="shared" si="77"/>
        <v>0</v>
      </c>
      <c r="Q614">
        <f t="shared" si="78"/>
        <v>0</v>
      </c>
    </row>
    <row r="615" spans="1:17">
      <c r="A615" s="1">
        <v>43350</v>
      </c>
      <c r="B615">
        <v>2871.68</v>
      </c>
      <c r="C615">
        <f t="shared" si="72"/>
        <v>-2.2133041469051262E-3</v>
      </c>
      <c r="D615">
        <f t="shared" si="79"/>
        <v>-8.6442597144356093E-3</v>
      </c>
      <c r="E615">
        <f>_xlfn.XLOOKUP(A615,VIX!A:A,VIX!B:B,"",-1)</f>
        <v>14.88</v>
      </c>
      <c r="F615">
        <f t="shared" si="73"/>
        <v>0.23000000000000043</v>
      </c>
      <c r="G615">
        <f>_xlfn.XLOOKUP(A615,'DGS10'!A:A,'DGS10'!B:B,"",-1)</f>
        <v>2.94</v>
      </c>
      <c r="H615">
        <f t="shared" si="74"/>
        <v>6.0000000000000053E-2</v>
      </c>
      <c r="I615" s="2">
        <f>_xlfn.XLOOKUP(A615,T10Y3M!A:A,T10Y3M!B:B,"",-1)</f>
        <v>0.8</v>
      </c>
      <c r="J615" s="2">
        <f>_xlfn.XLOOKUP(A615,BAMLC0A4CBBB!A:A,BAMLC0A4CBBB!B:B,"",-1)</f>
        <v>1.52</v>
      </c>
      <c r="K615" s="2">
        <f>_xlfn.XLOOKUP(A615,CPIAUCSL!A:A,CPIAUCSL!B:B,"",-1)</f>
        <v>252.18199999999999</v>
      </c>
      <c r="L615">
        <f>_xlfn.XLOOKUP(A615,DFF!A:A,DFF!B:B,"",-1)</f>
        <v>1.92</v>
      </c>
      <c r="M615">
        <f>_xlfn.XLOOKUP(A615,'DGS2'!A:A,'DGS2'!B:B,"",-1)</f>
        <v>2.71</v>
      </c>
      <c r="N615">
        <f t="shared" si="75"/>
        <v>6.999999999999984E-2</v>
      </c>
      <c r="O615">
        <f t="shared" si="76"/>
        <v>1.8978437708938589E-3</v>
      </c>
      <c r="P615">
        <f t="shared" si="77"/>
        <v>1</v>
      </c>
      <c r="Q615">
        <f t="shared" si="78"/>
        <v>0</v>
      </c>
    </row>
    <row r="616" spans="1:17">
      <c r="A616" s="1">
        <v>43353</v>
      </c>
      <c r="B616">
        <v>2877.13</v>
      </c>
      <c r="C616">
        <f t="shared" si="72"/>
        <v>1.8978437708938589E-3</v>
      </c>
      <c r="D616">
        <f t="shared" si="79"/>
        <v>-3.9707816935539153E-3</v>
      </c>
      <c r="E616">
        <f>_xlfn.XLOOKUP(A616,VIX!A:A,VIX!B:B,"",-1)</f>
        <v>14.16</v>
      </c>
      <c r="F616">
        <f t="shared" si="73"/>
        <v>-0.72000000000000064</v>
      </c>
      <c r="G616">
        <f>_xlfn.XLOOKUP(A616,'DGS10'!A:A,'DGS10'!B:B,"",-1)</f>
        <v>2.94</v>
      </c>
      <c r="H616">
        <f t="shared" si="74"/>
        <v>0</v>
      </c>
      <c r="I616" s="2">
        <f>_xlfn.XLOOKUP(A616,T10Y3M!A:A,T10Y3M!B:B,"",-1)</f>
        <v>0.8</v>
      </c>
      <c r="J616" s="2">
        <f>_xlfn.XLOOKUP(A616,BAMLC0A4CBBB!A:A,BAMLC0A4CBBB!B:B,"",-1)</f>
        <v>1.52</v>
      </c>
      <c r="K616" s="2">
        <f>_xlfn.XLOOKUP(A616,CPIAUCSL!A:A,CPIAUCSL!B:B,"",-1)</f>
        <v>252.18199999999999</v>
      </c>
      <c r="L616">
        <f>_xlfn.XLOOKUP(A616,DFF!A:A,DFF!B:B,"",-1)</f>
        <v>1.92</v>
      </c>
      <c r="M616">
        <f>_xlfn.XLOOKUP(A616,'DGS2'!A:A,'DGS2'!B:B,"",-1)</f>
        <v>2.73</v>
      </c>
      <c r="N616">
        <f t="shared" si="75"/>
        <v>2.0000000000000018E-2</v>
      </c>
      <c r="O616">
        <f t="shared" si="76"/>
        <v>3.7398379635260603E-3</v>
      </c>
      <c r="P616">
        <f t="shared" si="77"/>
        <v>1</v>
      </c>
      <c r="Q616">
        <f t="shared" si="78"/>
        <v>1</v>
      </c>
    </row>
    <row r="617" spans="1:17">
      <c r="A617" s="1">
        <v>43354</v>
      </c>
      <c r="B617">
        <v>2887.89</v>
      </c>
      <c r="C617">
        <f t="shared" si="72"/>
        <v>3.7398379635260603E-3</v>
      </c>
      <c r="D617">
        <f t="shared" si="79"/>
        <v>3.4189816021263919E-3</v>
      </c>
      <c r="E617">
        <f>_xlfn.XLOOKUP(A617,VIX!A:A,VIX!B:B,"",-1)</f>
        <v>13.22</v>
      </c>
      <c r="F617">
        <f t="shared" si="73"/>
        <v>-0.9399999999999995</v>
      </c>
      <c r="G617">
        <f>_xlfn.XLOOKUP(A617,'DGS10'!A:A,'DGS10'!B:B,"",-1)</f>
        <v>2.98</v>
      </c>
      <c r="H617">
        <f t="shared" si="74"/>
        <v>4.0000000000000036E-2</v>
      </c>
      <c r="I617" s="2">
        <f>_xlfn.XLOOKUP(A617,T10Y3M!A:A,T10Y3M!B:B,"",-1)</f>
        <v>0.83</v>
      </c>
      <c r="J617" s="2">
        <f>_xlfn.XLOOKUP(A617,BAMLC0A4CBBB!A:A,BAMLC0A4CBBB!B:B,"",-1)</f>
        <v>1.51</v>
      </c>
      <c r="K617" s="2">
        <f>_xlfn.XLOOKUP(A617,CPIAUCSL!A:A,CPIAUCSL!B:B,"",-1)</f>
        <v>252.18199999999999</v>
      </c>
      <c r="L617">
        <f>_xlfn.XLOOKUP(A617,DFF!A:A,DFF!B:B,"",-1)</f>
        <v>1.92</v>
      </c>
      <c r="M617">
        <f>_xlfn.XLOOKUP(A617,'DGS2'!A:A,'DGS2'!B:B,"",-1)</f>
        <v>2.76</v>
      </c>
      <c r="N617">
        <f t="shared" si="75"/>
        <v>2.9999999999999805E-2</v>
      </c>
      <c r="O617">
        <f t="shared" si="76"/>
        <v>3.5666178420923345E-4</v>
      </c>
      <c r="P617">
        <f t="shared" si="77"/>
        <v>1</v>
      </c>
      <c r="Q617">
        <f t="shared" si="78"/>
        <v>0</v>
      </c>
    </row>
    <row r="618" spans="1:17">
      <c r="A618" s="1">
        <v>43355</v>
      </c>
      <c r="B618">
        <v>2888.92</v>
      </c>
      <c r="C618">
        <f t="shared" si="72"/>
        <v>3.5666178420923345E-4</v>
      </c>
      <c r="D618">
        <f t="shared" si="79"/>
        <v>6.0034544238913856E-3</v>
      </c>
      <c r="E618">
        <f>_xlfn.XLOOKUP(A618,VIX!A:A,VIX!B:B,"",-1)</f>
        <v>13.14</v>
      </c>
      <c r="F618">
        <f t="shared" si="73"/>
        <v>-8.0000000000000071E-2</v>
      </c>
      <c r="G618">
        <f>_xlfn.XLOOKUP(A618,'DGS10'!A:A,'DGS10'!B:B,"",-1)</f>
        <v>2.97</v>
      </c>
      <c r="H618">
        <f t="shared" si="74"/>
        <v>-9.9999999999997868E-3</v>
      </c>
      <c r="I618" s="2">
        <f>_xlfn.XLOOKUP(A618,T10Y3M!A:A,T10Y3M!B:B,"",-1)</f>
        <v>0.81</v>
      </c>
      <c r="J618" s="2">
        <f>_xlfn.XLOOKUP(A618,BAMLC0A4CBBB!A:A,BAMLC0A4CBBB!B:B,"",-1)</f>
        <v>1.5</v>
      </c>
      <c r="K618" s="2">
        <f>_xlfn.XLOOKUP(A618,CPIAUCSL!A:A,CPIAUCSL!B:B,"",-1)</f>
        <v>252.18199999999999</v>
      </c>
      <c r="L618">
        <f>_xlfn.XLOOKUP(A618,DFF!A:A,DFF!B:B,"",-1)</f>
        <v>1.92</v>
      </c>
      <c r="M618">
        <f>_xlfn.XLOOKUP(A618,'DGS2'!A:A,'DGS2'!B:B,"",-1)</f>
        <v>2.74</v>
      </c>
      <c r="N618">
        <f t="shared" si="75"/>
        <v>-1.9999999999999574E-2</v>
      </c>
      <c r="O618">
        <f t="shared" si="76"/>
        <v>5.2822508065297757E-3</v>
      </c>
      <c r="P618">
        <f t="shared" si="77"/>
        <v>1</v>
      </c>
      <c r="Q618">
        <f t="shared" si="78"/>
        <v>1</v>
      </c>
    </row>
    <row r="619" spans="1:17">
      <c r="A619" s="1">
        <v>43356</v>
      </c>
      <c r="B619">
        <v>2904.18</v>
      </c>
      <c r="C619">
        <f t="shared" si="72"/>
        <v>5.2822508065297757E-3</v>
      </c>
      <c r="D619">
        <f t="shared" si="79"/>
        <v>9.4017301964108846E-3</v>
      </c>
      <c r="E619">
        <f>_xlfn.XLOOKUP(A619,VIX!A:A,VIX!B:B,"",-1)</f>
        <v>12.37</v>
      </c>
      <c r="F619">
        <f t="shared" si="73"/>
        <v>-0.77000000000000135</v>
      </c>
      <c r="G619">
        <f>_xlfn.XLOOKUP(A619,'DGS10'!A:A,'DGS10'!B:B,"",-1)</f>
        <v>2.97</v>
      </c>
      <c r="H619">
        <f t="shared" si="74"/>
        <v>0</v>
      </c>
      <c r="I619" s="2">
        <f>_xlfn.XLOOKUP(A619,T10Y3M!A:A,T10Y3M!B:B,"",-1)</f>
        <v>0.82</v>
      </c>
      <c r="J619" s="2">
        <f>_xlfn.XLOOKUP(A619,BAMLC0A4CBBB!A:A,BAMLC0A4CBBB!B:B,"",-1)</f>
        <v>1.49</v>
      </c>
      <c r="K619" s="2">
        <f>_xlfn.XLOOKUP(A619,CPIAUCSL!A:A,CPIAUCSL!B:B,"",-1)</f>
        <v>252.18199999999999</v>
      </c>
      <c r="L619">
        <f>_xlfn.XLOOKUP(A619,DFF!A:A,DFF!B:B,"",-1)</f>
        <v>1.92</v>
      </c>
      <c r="M619">
        <f>_xlfn.XLOOKUP(A619,'DGS2'!A:A,'DGS2'!B:B,"",-1)</f>
        <v>2.76</v>
      </c>
      <c r="N619">
        <f t="shared" si="75"/>
        <v>1.9999999999999574E-2</v>
      </c>
      <c r="O619">
        <f t="shared" si="76"/>
        <v>2.7546501938591206E-4</v>
      </c>
      <c r="P619">
        <f t="shared" si="77"/>
        <v>1</v>
      </c>
      <c r="Q619">
        <f t="shared" si="78"/>
        <v>0</v>
      </c>
    </row>
    <row r="620" spans="1:17">
      <c r="A620" s="1">
        <v>43357</v>
      </c>
      <c r="B620">
        <v>2904.98</v>
      </c>
      <c r="C620">
        <f t="shared" si="72"/>
        <v>2.7546501938591206E-4</v>
      </c>
      <c r="D620">
        <f t="shared" si="79"/>
        <v>5.9178154292580665E-3</v>
      </c>
      <c r="E620">
        <f>_xlfn.XLOOKUP(A620,VIX!A:A,VIX!B:B,"",-1)</f>
        <v>12.07</v>
      </c>
      <c r="F620">
        <f t="shared" si="73"/>
        <v>-0.29999999999999893</v>
      </c>
      <c r="G620">
        <f>_xlfn.XLOOKUP(A620,'DGS10'!A:A,'DGS10'!B:B,"",-1)</f>
        <v>2.99</v>
      </c>
      <c r="H620">
        <f t="shared" si="74"/>
        <v>2.0000000000000018E-2</v>
      </c>
      <c r="I620" s="2">
        <f>_xlfn.XLOOKUP(A620,T10Y3M!A:A,T10Y3M!B:B,"",-1)</f>
        <v>0.83</v>
      </c>
      <c r="J620" s="2">
        <f>_xlfn.XLOOKUP(A620,BAMLC0A4CBBB!A:A,BAMLC0A4CBBB!B:B,"",-1)</f>
        <v>1.47</v>
      </c>
      <c r="K620" s="2">
        <f>_xlfn.XLOOKUP(A620,CPIAUCSL!A:A,CPIAUCSL!B:B,"",-1)</f>
        <v>252.18199999999999</v>
      </c>
      <c r="L620">
        <f>_xlfn.XLOOKUP(A620,DFF!A:A,DFF!B:B,"",-1)</f>
        <v>1.92</v>
      </c>
      <c r="M620">
        <f>_xlfn.XLOOKUP(A620,'DGS2'!A:A,'DGS2'!B:B,"",-1)</f>
        <v>2.78</v>
      </c>
      <c r="N620">
        <f t="shared" si="75"/>
        <v>2.0000000000000018E-2</v>
      </c>
      <c r="O620">
        <f t="shared" si="76"/>
        <v>-5.5697457469585654E-3</v>
      </c>
      <c r="P620">
        <f t="shared" si="77"/>
        <v>0</v>
      </c>
      <c r="Q620">
        <f t="shared" si="78"/>
        <v>-1</v>
      </c>
    </row>
    <row r="621" spans="1:17">
      <c r="A621" s="1">
        <v>43360</v>
      </c>
      <c r="B621">
        <v>2888.8</v>
      </c>
      <c r="C621">
        <f t="shared" si="72"/>
        <v>-5.5697457469585654E-3</v>
      </c>
      <c r="D621">
        <f t="shared" si="79"/>
        <v>-4.1538014205921847E-5</v>
      </c>
      <c r="E621">
        <f>_xlfn.XLOOKUP(A621,VIX!A:A,VIX!B:B,"",-1)</f>
        <v>13.68</v>
      </c>
      <c r="F621">
        <f t="shared" si="73"/>
        <v>1.6099999999999994</v>
      </c>
      <c r="G621">
        <f>_xlfn.XLOOKUP(A621,'DGS10'!A:A,'DGS10'!B:B,"",-1)</f>
        <v>2.99</v>
      </c>
      <c r="H621">
        <f t="shared" si="74"/>
        <v>0</v>
      </c>
      <c r="I621" s="2">
        <f>_xlfn.XLOOKUP(A621,T10Y3M!A:A,T10Y3M!B:B,"",-1)</f>
        <v>0.83</v>
      </c>
      <c r="J621" s="2">
        <f>_xlfn.XLOOKUP(A621,BAMLC0A4CBBB!A:A,BAMLC0A4CBBB!B:B,"",-1)</f>
        <v>1.47</v>
      </c>
      <c r="K621" s="2">
        <f>_xlfn.XLOOKUP(A621,CPIAUCSL!A:A,CPIAUCSL!B:B,"",-1)</f>
        <v>252.18199999999999</v>
      </c>
      <c r="L621">
        <f>_xlfn.XLOOKUP(A621,DFF!A:A,DFF!B:B,"",-1)</f>
        <v>1.92</v>
      </c>
      <c r="M621">
        <f>_xlfn.XLOOKUP(A621,'DGS2'!A:A,'DGS2'!B:B,"",-1)</f>
        <v>2.78</v>
      </c>
      <c r="N621">
        <f t="shared" si="75"/>
        <v>0</v>
      </c>
      <c r="O621">
        <f t="shared" si="76"/>
        <v>5.3690113541955409E-3</v>
      </c>
      <c r="P621">
        <f t="shared" si="77"/>
        <v>1</v>
      </c>
      <c r="Q621">
        <f t="shared" si="78"/>
        <v>1</v>
      </c>
    </row>
    <row r="622" spans="1:17">
      <c r="A622" s="1">
        <v>43361</v>
      </c>
      <c r="B622">
        <v>2904.31</v>
      </c>
      <c r="C622">
        <f t="shared" si="72"/>
        <v>5.3690113541955409E-3</v>
      </c>
      <c r="D622">
        <f t="shared" si="79"/>
        <v>4.4763065650155198E-5</v>
      </c>
      <c r="E622">
        <f>_xlfn.XLOOKUP(A622,VIX!A:A,VIX!B:B,"",-1)</f>
        <v>12.79</v>
      </c>
      <c r="F622">
        <f t="shared" si="73"/>
        <v>-0.89000000000000057</v>
      </c>
      <c r="G622">
        <f>_xlfn.XLOOKUP(A622,'DGS10'!A:A,'DGS10'!B:B,"",-1)</f>
        <v>3.05</v>
      </c>
      <c r="H622">
        <f t="shared" si="74"/>
        <v>5.9999999999999609E-2</v>
      </c>
      <c r="I622" s="2">
        <f>_xlfn.XLOOKUP(A622,T10Y3M!A:A,T10Y3M!B:B,"",-1)</f>
        <v>0.88</v>
      </c>
      <c r="J622" s="2">
        <f>_xlfn.XLOOKUP(A622,BAMLC0A4CBBB!A:A,BAMLC0A4CBBB!B:B,"",-1)</f>
        <v>1.46</v>
      </c>
      <c r="K622" s="2">
        <f>_xlfn.XLOOKUP(A622,CPIAUCSL!A:A,CPIAUCSL!B:B,"",-1)</f>
        <v>252.18199999999999</v>
      </c>
      <c r="L622">
        <f>_xlfn.XLOOKUP(A622,DFF!A:A,DFF!B:B,"",-1)</f>
        <v>1.92</v>
      </c>
      <c r="M622">
        <f>_xlfn.XLOOKUP(A622,'DGS2'!A:A,'DGS2'!B:B,"",-1)</f>
        <v>2.81</v>
      </c>
      <c r="N622">
        <f t="shared" si="75"/>
        <v>3.0000000000000249E-2</v>
      </c>
      <c r="O622">
        <f t="shared" si="76"/>
        <v>1.25330973621951E-3</v>
      </c>
      <c r="P622">
        <f t="shared" si="77"/>
        <v>1</v>
      </c>
      <c r="Q622">
        <f t="shared" si="78"/>
        <v>0</v>
      </c>
    </row>
    <row r="623" spans="1:17">
      <c r="A623" s="1">
        <v>43362</v>
      </c>
      <c r="B623">
        <v>2907.95</v>
      </c>
      <c r="C623">
        <f t="shared" si="72"/>
        <v>1.25330973621951E-3</v>
      </c>
      <c r="D623">
        <f t="shared" si="79"/>
        <v>1.0223822539225935E-3</v>
      </c>
      <c r="E623">
        <f>_xlfn.XLOOKUP(A623,VIX!A:A,VIX!B:B,"",-1)</f>
        <v>11.75</v>
      </c>
      <c r="F623">
        <f t="shared" si="73"/>
        <v>-1.0399999999999991</v>
      </c>
      <c r="G623">
        <f>_xlfn.XLOOKUP(A623,'DGS10'!A:A,'DGS10'!B:B,"",-1)</f>
        <v>3.08</v>
      </c>
      <c r="H623">
        <f t="shared" si="74"/>
        <v>3.0000000000000249E-2</v>
      </c>
      <c r="I623" s="2">
        <f>_xlfn.XLOOKUP(A623,T10Y3M!A:A,T10Y3M!B:B,"",-1)</f>
        <v>0.92</v>
      </c>
      <c r="J623" s="2">
        <f>_xlfn.XLOOKUP(A623,BAMLC0A4CBBB!A:A,BAMLC0A4CBBB!B:B,"",-1)</f>
        <v>1.45</v>
      </c>
      <c r="K623" s="2">
        <f>_xlfn.XLOOKUP(A623,CPIAUCSL!A:A,CPIAUCSL!B:B,"",-1)</f>
        <v>252.18199999999999</v>
      </c>
      <c r="L623">
        <f>_xlfn.XLOOKUP(A623,DFF!A:A,DFF!B:B,"",-1)</f>
        <v>1.92</v>
      </c>
      <c r="M623">
        <f>_xlfn.XLOOKUP(A623,'DGS2'!A:A,'DGS2'!B:B,"",-1)</f>
        <v>2.81</v>
      </c>
      <c r="N623">
        <f t="shared" si="75"/>
        <v>0</v>
      </c>
      <c r="O623">
        <f t="shared" si="76"/>
        <v>7.8405749754981713E-3</v>
      </c>
      <c r="P623">
        <f t="shared" si="77"/>
        <v>1</v>
      </c>
      <c r="Q623">
        <f t="shared" si="78"/>
        <v>1</v>
      </c>
    </row>
    <row r="624" spans="1:17">
      <c r="A624" s="1">
        <v>43363</v>
      </c>
      <c r="B624">
        <v>2930.75</v>
      </c>
      <c r="C624">
        <f t="shared" si="72"/>
        <v>7.8405749754981713E-3</v>
      </c>
      <c r="D624">
        <f t="shared" si="79"/>
        <v>1.4521600664635814E-2</v>
      </c>
      <c r="E624">
        <f>_xlfn.XLOOKUP(A624,VIX!A:A,VIX!B:B,"",-1)</f>
        <v>11.8</v>
      </c>
      <c r="F624">
        <f t="shared" si="73"/>
        <v>5.0000000000000711E-2</v>
      </c>
      <c r="G624">
        <f>_xlfn.XLOOKUP(A624,'DGS10'!A:A,'DGS10'!B:B,"",-1)</f>
        <v>3.07</v>
      </c>
      <c r="H624">
        <f t="shared" si="74"/>
        <v>-1.0000000000000231E-2</v>
      </c>
      <c r="I624" s="2">
        <f>_xlfn.XLOOKUP(A624,T10Y3M!A:A,T10Y3M!B:B,"",-1)</f>
        <v>0.9</v>
      </c>
      <c r="J624" s="2">
        <f>_xlfn.XLOOKUP(A624,BAMLC0A4CBBB!A:A,BAMLC0A4CBBB!B:B,"",-1)</f>
        <v>1.44</v>
      </c>
      <c r="K624" s="2">
        <f>_xlfn.XLOOKUP(A624,CPIAUCSL!A:A,CPIAUCSL!B:B,"",-1)</f>
        <v>252.18199999999999</v>
      </c>
      <c r="L624">
        <f>_xlfn.XLOOKUP(A624,DFF!A:A,DFF!B:B,"",-1)</f>
        <v>1.92</v>
      </c>
      <c r="M624">
        <f>_xlfn.XLOOKUP(A624,'DGS2'!A:A,'DGS2'!B:B,"",-1)</f>
        <v>2.81</v>
      </c>
      <c r="N624">
        <f t="shared" si="75"/>
        <v>0</v>
      </c>
      <c r="O624">
        <f t="shared" si="76"/>
        <v>-3.6850635502849727E-4</v>
      </c>
      <c r="P624">
        <f t="shared" si="77"/>
        <v>0</v>
      </c>
      <c r="Q624">
        <f t="shared" si="78"/>
        <v>0</v>
      </c>
    </row>
    <row r="625" spans="1:17">
      <c r="A625" s="1">
        <v>43364</v>
      </c>
      <c r="B625">
        <v>2929.67</v>
      </c>
      <c r="C625">
        <f t="shared" si="72"/>
        <v>-3.6850635502849727E-4</v>
      </c>
      <c r="D625">
        <f t="shared" si="79"/>
        <v>8.7318502501454454E-3</v>
      </c>
      <c r="E625">
        <f>_xlfn.XLOOKUP(A625,VIX!A:A,VIX!B:B,"",-1)</f>
        <v>11.68</v>
      </c>
      <c r="F625">
        <f t="shared" si="73"/>
        <v>-0.12000000000000099</v>
      </c>
      <c r="G625">
        <f>_xlfn.XLOOKUP(A625,'DGS10'!A:A,'DGS10'!B:B,"",-1)</f>
        <v>3.07</v>
      </c>
      <c r="H625">
        <f t="shared" si="74"/>
        <v>0</v>
      </c>
      <c r="I625" s="2">
        <f>_xlfn.XLOOKUP(A625,T10Y3M!A:A,T10Y3M!B:B,"",-1)</f>
        <v>0.89</v>
      </c>
      <c r="J625" s="2">
        <f>_xlfn.XLOOKUP(A625,BAMLC0A4CBBB!A:A,BAMLC0A4CBBB!B:B,"",-1)</f>
        <v>1.43</v>
      </c>
      <c r="K625" s="2">
        <f>_xlfn.XLOOKUP(A625,CPIAUCSL!A:A,CPIAUCSL!B:B,"",-1)</f>
        <v>252.18199999999999</v>
      </c>
      <c r="L625">
        <f>_xlfn.XLOOKUP(A625,DFF!A:A,DFF!B:B,"",-1)</f>
        <v>1.92</v>
      </c>
      <c r="M625">
        <f>_xlfn.XLOOKUP(A625,'DGS2'!A:A,'DGS2'!B:B,"",-1)</f>
        <v>2.81</v>
      </c>
      <c r="N625">
        <f t="shared" si="75"/>
        <v>0</v>
      </c>
      <c r="O625">
        <f t="shared" si="76"/>
        <v>-3.5157543341060027E-3</v>
      </c>
      <c r="P625">
        <f t="shared" si="77"/>
        <v>0</v>
      </c>
      <c r="Q625">
        <f t="shared" si="78"/>
        <v>-1</v>
      </c>
    </row>
    <row r="626" spans="1:17">
      <c r="A626" s="1">
        <v>43367</v>
      </c>
      <c r="B626">
        <v>2919.37</v>
      </c>
      <c r="C626">
        <f t="shared" si="72"/>
        <v>-3.5157543341060027E-3</v>
      </c>
      <c r="D626">
        <f t="shared" si="79"/>
        <v>3.9271651850960598E-3</v>
      </c>
      <c r="E626">
        <f>_xlfn.XLOOKUP(A626,VIX!A:A,VIX!B:B,"",-1)</f>
        <v>12.2</v>
      </c>
      <c r="F626">
        <f t="shared" si="73"/>
        <v>0.51999999999999957</v>
      </c>
      <c r="G626">
        <f>_xlfn.XLOOKUP(A626,'DGS10'!A:A,'DGS10'!B:B,"",-1)</f>
        <v>3.08</v>
      </c>
      <c r="H626">
        <f t="shared" si="74"/>
        <v>1.0000000000000231E-2</v>
      </c>
      <c r="I626" s="2">
        <f>_xlfn.XLOOKUP(A626,T10Y3M!A:A,T10Y3M!B:B,"",-1)</f>
        <v>0.86</v>
      </c>
      <c r="J626" s="2">
        <f>_xlfn.XLOOKUP(A626,BAMLC0A4CBBB!A:A,BAMLC0A4CBBB!B:B,"",-1)</f>
        <v>1.44</v>
      </c>
      <c r="K626" s="2">
        <f>_xlfn.XLOOKUP(A626,CPIAUCSL!A:A,CPIAUCSL!B:B,"",-1)</f>
        <v>252.18199999999999</v>
      </c>
      <c r="L626">
        <f>_xlfn.XLOOKUP(A626,DFF!A:A,DFF!B:B,"",-1)</f>
        <v>1.93</v>
      </c>
      <c r="M626">
        <f>_xlfn.XLOOKUP(A626,'DGS2'!A:A,'DGS2'!B:B,"",-1)</f>
        <v>2.83</v>
      </c>
      <c r="N626">
        <f t="shared" si="75"/>
        <v>2.0000000000000018E-2</v>
      </c>
      <c r="O626">
        <f t="shared" si="76"/>
        <v>-1.3050760951849316E-3</v>
      </c>
      <c r="P626">
        <f t="shared" si="77"/>
        <v>0</v>
      </c>
      <c r="Q626">
        <f t="shared" si="78"/>
        <v>0</v>
      </c>
    </row>
    <row r="627" spans="1:17">
      <c r="A627" s="1">
        <v>43368</v>
      </c>
      <c r="B627">
        <v>2915.56</v>
      </c>
      <c r="C627">
        <f t="shared" si="72"/>
        <v>-1.3050760951849316E-3</v>
      </c>
      <c r="D627">
        <f t="shared" si="79"/>
        <v>-5.1829736415593963E-3</v>
      </c>
      <c r="E627">
        <f>_xlfn.XLOOKUP(A627,VIX!A:A,VIX!B:B,"",-1)</f>
        <v>12.42</v>
      </c>
      <c r="F627">
        <f t="shared" si="73"/>
        <v>0.22000000000000064</v>
      </c>
      <c r="G627">
        <f>_xlfn.XLOOKUP(A627,'DGS10'!A:A,'DGS10'!B:B,"",-1)</f>
        <v>3.1</v>
      </c>
      <c r="H627">
        <f t="shared" si="74"/>
        <v>2.0000000000000018E-2</v>
      </c>
      <c r="I627" s="2">
        <f>_xlfn.XLOOKUP(A627,T10Y3M!A:A,T10Y3M!B:B,"",-1)</f>
        <v>0.89</v>
      </c>
      <c r="J627" s="2">
        <f>_xlfn.XLOOKUP(A627,BAMLC0A4CBBB!A:A,BAMLC0A4CBBB!B:B,"",-1)</f>
        <v>1.43</v>
      </c>
      <c r="K627" s="2">
        <f>_xlfn.XLOOKUP(A627,CPIAUCSL!A:A,CPIAUCSL!B:B,"",-1)</f>
        <v>252.18199999999999</v>
      </c>
      <c r="L627">
        <f>_xlfn.XLOOKUP(A627,DFF!A:A,DFF!B:B,"",-1)</f>
        <v>1.93</v>
      </c>
      <c r="M627">
        <f>_xlfn.XLOOKUP(A627,'DGS2'!A:A,'DGS2'!B:B,"",-1)</f>
        <v>2.83</v>
      </c>
      <c r="N627">
        <f t="shared" si="75"/>
        <v>0</v>
      </c>
      <c r="O627">
        <f t="shared" si="76"/>
        <v>-3.2892480346828901E-3</v>
      </c>
      <c r="P627">
        <f t="shared" si="77"/>
        <v>0</v>
      </c>
      <c r="Q627">
        <f t="shared" si="78"/>
        <v>-1</v>
      </c>
    </row>
    <row r="628" spans="1:17">
      <c r="A628" s="1">
        <v>43369</v>
      </c>
      <c r="B628">
        <v>2905.97</v>
      </c>
      <c r="C628">
        <f t="shared" si="72"/>
        <v>-3.2892480346828901E-3</v>
      </c>
      <c r="D628">
        <f t="shared" si="79"/>
        <v>-8.0896483221660764E-3</v>
      </c>
      <c r="E628">
        <f>_xlfn.XLOOKUP(A628,VIX!A:A,VIX!B:B,"",-1)</f>
        <v>12.89</v>
      </c>
      <c r="F628">
        <f t="shared" si="73"/>
        <v>0.47000000000000064</v>
      </c>
      <c r="G628">
        <f>_xlfn.XLOOKUP(A628,'DGS10'!A:A,'DGS10'!B:B,"",-1)</f>
        <v>3.06</v>
      </c>
      <c r="H628">
        <f t="shared" si="74"/>
        <v>-4.0000000000000036E-2</v>
      </c>
      <c r="I628" s="2">
        <f>_xlfn.XLOOKUP(A628,T10Y3M!A:A,T10Y3M!B:B,"",-1)</f>
        <v>0.86</v>
      </c>
      <c r="J628" s="2">
        <f>_xlfn.XLOOKUP(A628,BAMLC0A4CBBB!A:A,BAMLC0A4CBBB!B:B,"",-1)</f>
        <v>1.43</v>
      </c>
      <c r="K628" s="2">
        <f>_xlfn.XLOOKUP(A628,CPIAUCSL!A:A,CPIAUCSL!B:B,"",-1)</f>
        <v>252.18199999999999</v>
      </c>
      <c r="L628">
        <f>_xlfn.XLOOKUP(A628,DFF!A:A,DFF!B:B,"",-1)</f>
        <v>1.93</v>
      </c>
      <c r="M628">
        <f>_xlfn.XLOOKUP(A628,'DGS2'!A:A,'DGS2'!B:B,"",-1)</f>
        <v>2.83</v>
      </c>
      <c r="N628">
        <f t="shared" si="75"/>
        <v>0</v>
      </c>
      <c r="O628">
        <f t="shared" si="76"/>
        <v>2.7632769780832067E-3</v>
      </c>
      <c r="P628">
        <f t="shared" si="77"/>
        <v>1</v>
      </c>
      <c r="Q628">
        <f t="shared" si="78"/>
        <v>0</v>
      </c>
    </row>
    <row r="629" spans="1:17">
      <c r="A629" s="1">
        <v>43370</v>
      </c>
      <c r="B629">
        <v>2914</v>
      </c>
      <c r="C629">
        <f t="shared" si="72"/>
        <v>2.7632769780832067E-3</v>
      </c>
      <c r="D629">
        <f t="shared" si="79"/>
        <v>-1.8394379609298905E-3</v>
      </c>
      <c r="E629">
        <f>_xlfn.XLOOKUP(A629,VIX!A:A,VIX!B:B,"",-1)</f>
        <v>12.41</v>
      </c>
      <c r="F629">
        <f t="shared" si="73"/>
        <v>-0.48000000000000043</v>
      </c>
      <c r="G629">
        <f>_xlfn.XLOOKUP(A629,'DGS10'!A:A,'DGS10'!B:B,"",-1)</f>
        <v>3.06</v>
      </c>
      <c r="H629">
        <f t="shared" si="74"/>
        <v>0</v>
      </c>
      <c r="I629" s="2">
        <f>_xlfn.XLOOKUP(A629,T10Y3M!A:A,T10Y3M!B:B,"",-1)</f>
        <v>0.88</v>
      </c>
      <c r="J629" s="2">
        <f>_xlfn.XLOOKUP(A629,BAMLC0A4CBBB!A:A,BAMLC0A4CBBB!B:B,"",-1)</f>
        <v>1.42</v>
      </c>
      <c r="K629" s="2">
        <f>_xlfn.XLOOKUP(A629,CPIAUCSL!A:A,CPIAUCSL!B:B,"",-1)</f>
        <v>252.18199999999999</v>
      </c>
      <c r="L629">
        <f>_xlfn.XLOOKUP(A629,DFF!A:A,DFF!B:B,"",-1)</f>
        <v>2.1800000000000002</v>
      </c>
      <c r="M629">
        <f>_xlfn.XLOOKUP(A629,'DGS2'!A:A,'DGS2'!B:B,"",-1)</f>
        <v>2.83</v>
      </c>
      <c r="N629">
        <f t="shared" si="75"/>
        <v>0</v>
      </c>
      <c r="O629">
        <f t="shared" si="76"/>
        <v>-6.8634179821724928E-6</v>
      </c>
      <c r="P629">
        <f t="shared" si="77"/>
        <v>0</v>
      </c>
      <c r="Q629">
        <f t="shared" si="78"/>
        <v>0</v>
      </c>
    </row>
    <row r="630" spans="1:17">
      <c r="A630" s="1">
        <v>43371</v>
      </c>
      <c r="B630">
        <v>2913.98</v>
      </c>
      <c r="C630">
        <f t="shared" si="72"/>
        <v>-6.8634179821724928E-6</v>
      </c>
      <c r="D630">
        <f t="shared" si="79"/>
        <v>-5.419199056099222E-4</v>
      </c>
      <c r="E630">
        <f>_xlfn.XLOOKUP(A630,VIX!A:A,VIX!B:B,"",-1)</f>
        <v>12.12</v>
      </c>
      <c r="F630">
        <f t="shared" si="73"/>
        <v>-0.29000000000000092</v>
      </c>
      <c r="G630">
        <f>_xlfn.XLOOKUP(A630,'DGS10'!A:A,'DGS10'!B:B,"",-1)</f>
        <v>3.05</v>
      </c>
      <c r="H630">
        <f t="shared" si="74"/>
        <v>-1.0000000000000231E-2</v>
      </c>
      <c r="I630" s="2">
        <f>_xlfn.XLOOKUP(A630,T10Y3M!A:A,T10Y3M!B:B,"",-1)</f>
        <v>0.86</v>
      </c>
      <c r="J630" s="2">
        <f>_xlfn.XLOOKUP(A630,BAMLC0A4CBBB!A:A,BAMLC0A4CBBB!B:B,"",-1)</f>
        <v>1.41</v>
      </c>
      <c r="K630" s="2">
        <f>_xlfn.XLOOKUP(A630,CPIAUCSL!A:A,CPIAUCSL!B:B,"",-1)</f>
        <v>252.18199999999999</v>
      </c>
      <c r="L630">
        <f>_xlfn.XLOOKUP(A630,DFF!A:A,DFF!B:B,"",-1)</f>
        <v>2.1800000000000002</v>
      </c>
      <c r="M630">
        <f>_xlfn.XLOOKUP(A630,'DGS2'!A:A,'DGS2'!B:B,"",-1)</f>
        <v>2.81</v>
      </c>
      <c r="N630">
        <f t="shared" si="75"/>
        <v>-2.0000000000000018E-2</v>
      </c>
      <c r="O630">
        <f t="shared" si="76"/>
        <v>3.6410682297065566E-3</v>
      </c>
      <c r="P630">
        <f t="shared" si="77"/>
        <v>1</v>
      </c>
      <c r="Q630">
        <f t="shared" si="78"/>
        <v>1</v>
      </c>
    </row>
    <row r="631" spans="1:17">
      <c r="A631" s="1">
        <v>43374</v>
      </c>
      <c r="B631">
        <v>2924.59</v>
      </c>
      <c r="C631">
        <f t="shared" si="72"/>
        <v>3.6410682297065566E-3</v>
      </c>
      <c r="D631">
        <f t="shared" si="79"/>
        <v>6.4074990450693203E-3</v>
      </c>
      <c r="E631">
        <f>_xlfn.XLOOKUP(A631,VIX!A:A,VIX!B:B,"",-1)</f>
        <v>12</v>
      </c>
      <c r="F631">
        <f t="shared" si="73"/>
        <v>-0.11999999999999922</v>
      </c>
      <c r="G631">
        <f>_xlfn.XLOOKUP(A631,'DGS10'!A:A,'DGS10'!B:B,"",-1)</f>
        <v>3.09</v>
      </c>
      <c r="H631">
        <f t="shared" si="74"/>
        <v>4.0000000000000036E-2</v>
      </c>
      <c r="I631" s="2">
        <f>_xlfn.XLOOKUP(A631,T10Y3M!A:A,T10Y3M!B:B,"",-1)</f>
        <v>0.86</v>
      </c>
      <c r="J631" s="2">
        <f>_xlfn.XLOOKUP(A631,BAMLC0A4CBBB!A:A,BAMLC0A4CBBB!B:B,"",-1)</f>
        <v>1.43</v>
      </c>
      <c r="K631" s="2">
        <f>_xlfn.XLOOKUP(A631,CPIAUCSL!A:A,CPIAUCSL!B:B,"",-1)</f>
        <v>252.77199999999999</v>
      </c>
      <c r="L631">
        <f>_xlfn.XLOOKUP(A631,DFF!A:A,DFF!B:B,"",-1)</f>
        <v>2.1800000000000002</v>
      </c>
      <c r="M631">
        <f>_xlfn.XLOOKUP(A631,'DGS2'!A:A,'DGS2'!B:B,"",-1)</f>
        <v>2.82</v>
      </c>
      <c r="N631">
        <f t="shared" si="75"/>
        <v>9.9999999999997868E-3</v>
      </c>
      <c r="O631">
        <f t="shared" si="76"/>
        <v>-3.9663679353352244E-4</v>
      </c>
      <c r="P631">
        <f t="shared" si="77"/>
        <v>0</v>
      </c>
      <c r="Q631">
        <f t="shared" si="78"/>
        <v>0</v>
      </c>
    </row>
    <row r="632" spans="1:17">
      <c r="A632" s="1">
        <v>43375</v>
      </c>
      <c r="B632">
        <v>2923.43</v>
      </c>
      <c r="C632">
        <f t="shared" si="72"/>
        <v>-3.9663679353352244E-4</v>
      </c>
      <c r="D632">
        <f t="shared" si="79"/>
        <v>3.2361015785860037E-3</v>
      </c>
      <c r="E632">
        <f>_xlfn.XLOOKUP(A632,VIX!A:A,VIX!B:B,"",-1)</f>
        <v>12.05</v>
      </c>
      <c r="F632">
        <f t="shared" si="73"/>
        <v>5.0000000000000711E-2</v>
      </c>
      <c r="G632">
        <f>_xlfn.XLOOKUP(A632,'DGS10'!A:A,'DGS10'!B:B,"",-1)</f>
        <v>3.05</v>
      </c>
      <c r="H632">
        <f t="shared" si="74"/>
        <v>-4.0000000000000036E-2</v>
      </c>
      <c r="I632" s="2">
        <f>_xlfn.XLOOKUP(A632,T10Y3M!A:A,T10Y3M!B:B,"",-1)</f>
        <v>0.82</v>
      </c>
      <c r="J632" s="2">
        <f>_xlfn.XLOOKUP(A632,BAMLC0A4CBBB!A:A,BAMLC0A4CBBB!B:B,"",-1)</f>
        <v>1.43</v>
      </c>
      <c r="K632" s="2">
        <f>_xlfn.XLOOKUP(A632,CPIAUCSL!A:A,CPIAUCSL!B:B,"",-1)</f>
        <v>252.77199999999999</v>
      </c>
      <c r="L632">
        <f>_xlfn.XLOOKUP(A632,DFF!A:A,DFF!B:B,"",-1)</f>
        <v>2.1800000000000002</v>
      </c>
      <c r="M632">
        <f>_xlfn.XLOOKUP(A632,'DGS2'!A:A,'DGS2'!B:B,"",-1)</f>
        <v>2.82</v>
      </c>
      <c r="N632">
        <f t="shared" si="75"/>
        <v>0</v>
      </c>
      <c r="O632">
        <f t="shared" si="76"/>
        <v>7.1149300650286129E-4</v>
      </c>
      <c r="P632">
        <f t="shared" si="77"/>
        <v>1</v>
      </c>
      <c r="Q632">
        <f t="shared" si="78"/>
        <v>0</v>
      </c>
    </row>
    <row r="633" spans="1:17">
      <c r="A633" s="1">
        <v>43376</v>
      </c>
      <c r="B633">
        <v>2925.51</v>
      </c>
      <c r="C633">
        <f t="shared" si="72"/>
        <v>7.1149300650286129E-4</v>
      </c>
      <c r="D633">
        <f t="shared" si="79"/>
        <v>3.9567876237998068E-3</v>
      </c>
      <c r="E633">
        <f>_xlfn.XLOOKUP(A633,VIX!A:A,VIX!B:B,"",-1)</f>
        <v>11.61</v>
      </c>
      <c r="F633">
        <f t="shared" si="73"/>
        <v>-0.44000000000000128</v>
      </c>
      <c r="G633">
        <f>_xlfn.XLOOKUP(A633,'DGS10'!A:A,'DGS10'!B:B,"",-1)</f>
        <v>3.15</v>
      </c>
      <c r="H633">
        <f t="shared" si="74"/>
        <v>0.10000000000000009</v>
      </c>
      <c r="I633" s="2">
        <f>_xlfn.XLOOKUP(A633,T10Y3M!A:A,T10Y3M!B:B,"",-1)</f>
        <v>0.92</v>
      </c>
      <c r="J633" s="2">
        <f>_xlfn.XLOOKUP(A633,BAMLC0A4CBBB!A:A,BAMLC0A4CBBB!B:B,"",-1)</f>
        <v>1.41</v>
      </c>
      <c r="K633" s="2">
        <f>_xlfn.XLOOKUP(A633,CPIAUCSL!A:A,CPIAUCSL!B:B,"",-1)</f>
        <v>252.77199999999999</v>
      </c>
      <c r="L633">
        <f>_xlfn.XLOOKUP(A633,DFF!A:A,DFF!B:B,"",-1)</f>
        <v>2.1800000000000002</v>
      </c>
      <c r="M633">
        <f>_xlfn.XLOOKUP(A633,'DGS2'!A:A,'DGS2'!B:B,"",-1)</f>
        <v>2.85</v>
      </c>
      <c r="N633">
        <f t="shared" si="75"/>
        <v>3.0000000000000249E-2</v>
      </c>
      <c r="O633">
        <f t="shared" si="76"/>
        <v>-8.1695157425543119E-3</v>
      </c>
      <c r="P633">
        <f t="shared" si="77"/>
        <v>0</v>
      </c>
      <c r="Q633">
        <f t="shared" si="78"/>
        <v>-1</v>
      </c>
    </row>
    <row r="634" spans="1:17">
      <c r="A634" s="1">
        <v>43377</v>
      </c>
      <c r="B634">
        <v>2901.61</v>
      </c>
      <c r="C634">
        <f t="shared" si="72"/>
        <v>-8.1695157425543119E-3</v>
      </c>
      <c r="D634">
        <f t="shared" si="79"/>
        <v>-7.8575116512058507E-3</v>
      </c>
      <c r="E634">
        <f>_xlfn.XLOOKUP(A634,VIX!A:A,VIX!B:B,"",-1)</f>
        <v>14.22</v>
      </c>
      <c r="F634">
        <f t="shared" si="73"/>
        <v>2.6100000000000012</v>
      </c>
      <c r="G634">
        <f>_xlfn.XLOOKUP(A634,'DGS10'!A:A,'DGS10'!B:B,"",-1)</f>
        <v>3.19</v>
      </c>
      <c r="H634">
        <f t="shared" si="74"/>
        <v>4.0000000000000036E-2</v>
      </c>
      <c r="I634" s="2">
        <f>_xlfn.XLOOKUP(A634,T10Y3M!A:A,T10Y3M!B:B,"",-1)</f>
        <v>0.97</v>
      </c>
      <c r="J634" s="2">
        <f>_xlfn.XLOOKUP(A634,BAMLC0A4CBBB!A:A,BAMLC0A4CBBB!B:B,"",-1)</f>
        <v>1.42</v>
      </c>
      <c r="K634" s="2">
        <f>_xlfn.XLOOKUP(A634,CPIAUCSL!A:A,CPIAUCSL!B:B,"",-1)</f>
        <v>252.77199999999999</v>
      </c>
      <c r="L634">
        <f>_xlfn.XLOOKUP(A634,DFF!A:A,DFF!B:B,"",-1)</f>
        <v>2.1800000000000002</v>
      </c>
      <c r="M634">
        <f>_xlfn.XLOOKUP(A634,'DGS2'!A:A,'DGS2'!B:B,"",-1)</f>
        <v>2.87</v>
      </c>
      <c r="N634">
        <f t="shared" si="75"/>
        <v>2.0000000000000018E-2</v>
      </c>
      <c r="O634">
        <f t="shared" si="76"/>
        <v>-5.5279655088037449E-3</v>
      </c>
      <c r="P634">
        <f t="shared" si="77"/>
        <v>0</v>
      </c>
      <c r="Q634">
        <f t="shared" si="78"/>
        <v>-1</v>
      </c>
    </row>
    <row r="635" spans="1:17">
      <c r="A635" s="1">
        <v>43378</v>
      </c>
      <c r="B635">
        <v>2885.57</v>
      </c>
      <c r="C635">
        <f t="shared" si="72"/>
        <v>-5.5279655088037449E-3</v>
      </c>
      <c r="D635">
        <f t="shared" si="79"/>
        <v>-1.2950540974129621E-2</v>
      </c>
      <c r="E635">
        <f>_xlfn.XLOOKUP(A635,VIX!A:A,VIX!B:B,"",-1)</f>
        <v>14.82</v>
      </c>
      <c r="F635">
        <f t="shared" si="73"/>
        <v>0.59999999999999964</v>
      </c>
      <c r="G635">
        <f>_xlfn.XLOOKUP(A635,'DGS10'!A:A,'DGS10'!B:B,"",-1)</f>
        <v>3.23</v>
      </c>
      <c r="H635">
        <f t="shared" si="74"/>
        <v>4.0000000000000036E-2</v>
      </c>
      <c r="I635" s="2">
        <f>_xlfn.XLOOKUP(A635,T10Y3M!A:A,T10Y3M!B:B,"",-1)</f>
        <v>1</v>
      </c>
      <c r="J635" s="2">
        <f>_xlfn.XLOOKUP(A635,BAMLC0A4CBBB!A:A,BAMLC0A4CBBB!B:B,"",-1)</f>
        <v>1.43</v>
      </c>
      <c r="K635" s="2">
        <f>_xlfn.XLOOKUP(A635,CPIAUCSL!A:A,CPIAUCSL!B:B,"",-1)</f>
        <v>252.77199999999999</v>
      </c>
      <c r="L635">
        <f>_xlfn.XLOOKUP(A635,DFF!A:A,DFF!B:B,"",-1)</f>
        <v>2.1800000000000002</v>
      </c>
      <c r="M635">
        <f>_xlfn.XLOOKUP(A635,'DGS2'!A:A,'DGS2'!B:B,"",-1)</f>
        <v>2.88</v>
      </c>
      <c r="N635">
        <f t="shared" si="75"/>
        <v>9.9999999999997868E-3</v>
      </c>
      <c r="O635">
        <f t="shared" si="76"/>
        <v>-3.9506925841348295E-4</v>
      </c>
      <c r="P635">
        <f t="shared" si="77"/>
        <v>0</v>
      </c>
      <c r="Q635">
        <f t="shared" si="78"/>
        <v>0</v>
      </c>
    </row>
    <row r="636" spans="1:17">
      <c r="A636" s="1">
        <v>43381</v>
      </c>
      <c r="B636">
        <v>2884.43</v>
      </c>
      <c r="C636">
        <f t="shared" si="72"/>
        <v>-3.9506925841348295E-4</v>
      </c>
      <c r="D636">
        <f t="shared" si="79"/>
        <v>-1.4041996096407217E-2</v>
      </c>
      <c r="E636">
        <f>_xlfn.XLOOKUP(A636,VIX!A:A,VIX!B:B,"",-1)</f>
        <v>15.69</v>
      </c>
      <c r="F636">
        <f t="shared" si="73"/>
        <v>0.86999999999999922</v>
      </c>
      <c r="G636">
        <f>_xlfn.XLOOKUP(A636,'DGS10'!A:A,'DGS10'!B:B,"",-1)</f>
        <v>0</v>
      </c>
      <c r="H636">
        <f t="shared" si="74"/>
        <v>-3.23</v>
      </c>
      <c r="I636" s="2">
        <f>_xlfn.XLOOKUP(A636,T10Y3M!A:A,T10Y3M!B:B,"",-1)</f>
        <v>0</v>
      </c>
      <c r="J636" s="2">
        <f>_xlfn.XLOOKUP(A636,BAMLC0A4CBBB!A:A,BAMLC0A4CBBB!B:B,"",-1)</f>
        <v>1.43</v>
      </c>
      <c r="K636" s="2">
        <f>_xlfn.XLOOKUP(A636,CPIAUCSL!A:A,CPIAUCSL!B:B,"",-1)</f>
        <v>252.77199999999999</v>
      </c>
      <c r="L636">
        <f>_xlfn.XLOOKUP(A636,DFF!A:A,DFF!B:B,"",-1)</f>
        <v>2.1800000000000002</v>
      </c>
      <c r="M636">
        <f>_xlfn.XLOOKUP(A636,'DGS2'!A:A,'DGS2'!B:B,"",-1)</f>
        <v>0</v>
      </c>
      <c r="N636">
        <f t="shared" si="75"/>
        <v>-2.88</v>
      </c>
      <c r="O636">
        <f t="shared" si="76"/>
        <v>-1.4179577940874877E-3</v>
      </c>
      <c r="P636">
        <f t="shared" si="77"/>
        <v>0</v>
      </c>
      <c r="Q636">
        <f t="shared" si="78"/>
        <v>0</v>
      </c>
    </row>
    <row r="637" spans="1:17">
      <c r="A637" s="1">
        <v>43382</v>
      </c>
      <c r="B637">
        <v>2880.34</v>
      </c>
      <c r="C637">
        <f t="shared" si="72"/>
        <v>-1.4179577940874877E-3</v>
      </c>
      <c r="D637">
        <f t="shared" si="79"/>
        <v>-7.330413115477219E-3</v>
      </c>
      <c r="E637">
        <f>_xlfn.XLOOKUP(A637,VIX!A:A,VIX!B:B,"",-1)</f>
        <v>15.95</v>
      </c>
      <c r="F637">
        <f t="shared" si="73"/>
        <v>0.25999999999999979</v>
      </c>
      <c r="G637">
        <f>_xlfn.XLOOKUP(A637,'DGS10'!A:A,'DGS10'!B:B,"",-1)</f>
        <v>3.21</v>
      </c>
      <c r="H637">
        <f t="shared" si="74"/>
        <v>3.21</v>
      </c>
      <c r="I637" s="2">
        <f>_xlfn.XLOOKUP(A637,T10Y3M!A:A,T10Y3M!B:B,"",-1)</f>
        <v>0.96</v>
      </c>
      <c r="J637" s="2">
        <f>_xlfn.XLOOKUP(A637,BAMLC0A4CBBB!A:A,BAMLC0A4CBBB!B:B,"",-1)</f>
        <v>1.43</v>
      </c>
      <c r="K637" s="2">
        <f>_xlfn.XLOOKUP(A637,CPIAUCSL!A:A,CPIAUCSL!B:B,"",-1)</f>
        <v>252.77199999999999</v>
      </c>
      <c r="L637">
        <f>_xlfn.XLOOKUP(A637,DFF!A:A,DFF!B:B,"",-1)</f>
        <v>2.1800000000000002</v>
      </c>
      <c r="M637">
        <f>_xlfn.XLOOKUP(A637,'DGS2'!A:A,'DGS2'!B:B,"",-1)</f>
        <v>2.88</v>
      </c>
      <c r="N637">
        <f t="shared" si="75"/>
        <v>2.88</v>
      </c>
      <c r="O637">
        <f t="shared" si="76"/>
        <v>-3.2864175757028824E-2</v>
      </c>
      <c r="P637">
        <f t="shared" si="77"/>
        <v>0</v>
      </c>
      <c r="Q637">
        <f t="shared" si="78"/>
        <v>-1</v>
      </c>
    </row>
    <row r="638" spans="1:17">
      <c r="A638" s="1">
        <v>43383</v>
      </c>
      <c r="B638">
        <v>2785.68</v>
      </c>
      <c r="C638">
        <f t="shared" si="72"/>
        <v>-3.2864175757028824E-2</v>
      </c>
      <c r="D638">
        <f t="shared" si="79"/>
        <v>-3.4617077388523043E-2</v>
      </c>
      <c r="E638">
        <f>_xlfn.XLOOKUP(A638,VIX!A:A,VIX!B:B,"",-1)</f>
        <v>22.96</v>
      </c>
      <c r="F638">
        <f t="shared" si="73"/>
        <v>7.0100000000000016</v>
      </c>
      <c r="G638">
        <f>_xlfn.XLOOKUP(A638,'DGS10'!A:A,'DGS10'!B:B,"",-1)</f>
        <v>3.22</v>
      </c>
      <c r="H638">
        <f t="shared" si="74"/>
        <v>1.0000000000000231E-2</v>
      </c>
      <c r="I638" s="2">
        <f>_xlfn.XLOOKUP(A638,T10Y3M!A:A,T10Y3M!B:B,"",-1)</f>
        <v>0.95</v>
      </c>
      <c r="J638" s="2">
        <f>_xlfn.XLOOKUP(A638,BAMLC0A4CBBB!A:A,BAMLC0A4CBBB!B:B,"",-1)</f>
        <v>1.43</v>
      </c>
      <c r="K638" s="2">
        <f>_xlfn.XLOOKUP(A638,CPIAUCSL!A:A,CPIAUCSL!B:B,"",-1)</f>
        <v>252.77199999999999</v>
      </c>
      <c r="L638">
        <f>_xlfn.XLOOKUP(A638,DFF!A:A,DFF!B:B,"",-1)</f>
        <v>2.1800000000000002</v>
      </c>
      <c r="M638">
        <f>_xlfn.XLOOKUP(A638,'DGS2'!A:A,'DGS2'!B:B,"",-1)</f>
        <v>2.88</v>
      </c>
      <c r="N638">
        <f t="shared" si="75"/>
        <v>0</v>
      </c>
      <c r="O638">
        <f t="shared" si="76"/>
        <v>-2.0573073719881707E-2</v>
      </c>
      <c r="P638">
        <f t="shared" si="77"/>
        <v>0</v>
      </c>
      <c r="Q638">
        <f t="shared" si="78"/>
        <v>-1</v>
      </c>
    </row>
    <row r="639" spans="1:17">
      <c r="A639" s="1">
        <v>43384</v>
      </c>
      <c r="B639">
        <v>2728.37</v>
      </c>
      <c r="C639">
        <f t="shared" si="72"/>
        <v>-2.0573073719881707E-2</v>
      </c>
      <c r="D639">
        <f t="shared" si="79"/>
        <v>-5.4104277101541753E-2</v>
      </c>
      <c r="E639">
        <f>_xlfn.XLOOKUP(A639,VIX!A:A,VIX!B:B,"",-1)</f>
        <v>24.98</v>
      </c>
      <c r="F639">
        <f t="shared" si="73"/>
        <v>2.0199999999999996</v>
      </c>
      <c r="G639">
        <f>_xlfn.XLOOKUP(A639,'DGS10'!A:A,'DGS10'!B:B,"",-1)</f>
        <v>3.14</v>
      </c>
      <c r="H639">
        <f t="shared" si="74"/>
        <v>-8.0000000000000071E-2</v>
      </c>
      <c r="I639" s="2">
        <f>_xlfn.XLOOKUP(A639,T10Y3M!A:A,T10Y3M!B:B,"",-1)</f>
        <v>0.87</v>
      </c>
      <c r="J639" s="2">
        <f>_xlfn.XLOOKUP(A639,BAMLC0A4CBBB!A:A,BAMLC0A4CBBB!B:B,"",-1)</f>
        <v>1.47</v>
      </c>
      <c r="K639" s="2">
        <f>_xlfn.XLOOKUP(A639,CPIAUCSL!A:A,CPIAUCSL!B:B,"",-1)</f>
        <v>252.77199999999999</v>
      </c>
      <c r="L639">
        <f>_xlfn.XLOOKUP(A639,DFF!A:A,DFF!B:B,"",-1)</f>
        <v>2.1800000000000002</v>
      </c>
      <c r="M639">
        <f>_xlfn.XLOOKUP(A639,'DGS2'!A:A,'DGS2'!B:B,"",-1)</f>
        <v>2.85</v>
      </c>
      <c r="N639">
        <f t="shared" si="75"/>
        <v>-2.9999999999999805E-2</v>
      </c>
      <c r="O639">
        <f t="shared" si="76"/>
        <v>1.4206284338267983E-2</v>
      </c>
      <c r="P639">
        <f t="shared" si="77"/>
        <v>1</v>
      </c>
      <c r="Q639">
        <f t="shared" si="78"/>
        <v>1</v>
      </c>
    </row>
    <row r="640" spans="1:17">
      <c r="A640" s="1">
        <v>43385</v>
      </c>
      <c r="B640">
        <v>2767.13</v>
      </c>
      <c r="C640">
        <f t="shared" si="72"/>
        <v>1.4206284338267983E-2</v>
      </c>
      <c r="D640">
        <f t="shared" si="79"/>
        <v>-3.9304387676454833E-2</v>
      </c>
      <c r="E640">
        <f>_xlfn.XLOOKUP(A640,VIX!A:A,VIX!B:B,"",-1)</f>
        <v>21.31</v>
      </c>
      <c r="F640">
        <f t="shared" si="73"/>
        <v>-3.6700000000000017</v>
      </c>
      <c r="G640">
        <f>_xlfn.XLOOKUP(A640,'DGS10'!A:A,'DGS10'!B:B,"",-1)</f>
        <v>3.15</v>
      </c>
      <c r="H640">
        <f t="shared" si="74"/>
        <v>9.9999999999997868E-3</v>
      </c>
      <c r="I640" s="2">
        <f>_xlfn.XLOOKUP(A640,T10Y3M!A:A,T10Y3M!B:B,"",-1)</f>
        <v>0.87</v>
      </c>
      <c r="J640" s="2">
        <f>_xlfn.XLOOKUP(A640,BAMLC0A4CBBB!A:A,BAMLC0A4CBBB!B:B,"",-1)</f>
        <v>1.47</v>
      </c>
      <c r="K640" s="2">
        <f>_xlfn.XLOOKUP(A640,CPIAUCSL!A:A,CPIAUCSL!B:B,"",-1)</f>
        <v>252.77199999999999</v>
      </c>
      <c r="L640">
        <f>_xlfn.XLOOKUP(A640,DFF!A:A,DFF!B:B,"",-1)</f>
        <v>2.1800000000000002</v>
      </c>
      <c r="M640">
        <f>_xlfn.XLOOKUP(A640,'DGS2'!A:A,'DGS2'!B:B,"",-1)</f>
        <v>2.85</v>
      </c>
      <c r="N640">
        <f t="shared" si="75"/>
        <v>0</v>
      </c>
      <c r="O640">
        <f t="shared" si="76"/>
        <v>-5.9050351808552781E-3</v>
      </c>
      <c r="P640">
        <f t="shared" si="77"/>
        <v>0</v>
      </c>
      <c r="Q640">
        <f t="shared" si="78"/>
        <v>-1</v>
      </c>
    </row>
    <row r="641" spans="1:17">
      <c r="A641" s="1">
        <v>43388</v>
      </c>
      <c r="B641">
        <v>2750.79</v>
      </c>
      <c r="C641">
        <f t="shared" si="72"/>
        <v>-5.9050351808552781E-3</v>
      </c>
      <c r="D641">
        <f t="shared" si="79"/>
        <v>-1.252476953562498E-2</v>
      </c>
      <c r="E641">
        <f>_xlfn.XLOOKUP(A641,VIX!A:A,VIX!B:B,"",-1)</f>
        <v>21.3</v>
      </c>
      <c r="F641">
        <f t="shared" si="73"/>
        <v>-9.9999999999980105E-3</v>
      </c>
      <c r="G641">
        <f>_xlfn.XLOOKUP(A641,'DGS10'!A:A,'DGS10'!B:B,"",-1)</f>
        <v>3.16</v>
      </c>
      <c r="H641">
        <f t="shared" si="74"/>
        <v>1.0000000000000231E-2</v>
      </c>
      <c r="I641" s="2">
        <f>_xlfn.XLOOKUP(A641,T10Y3M!A:A,T10Y3M!B:B,"",-1)</f>
        <v>0.85</v>
      </c>
      <c r="J641" s="2">
        <f>_xlfn.XLOOKUP(A641,BAMLC0A4CBBB!A:A,BAMLC0A4CBBB!B:B,"",-1)</f>
        <v>1.46</v>
      </c>
      <c r="K641" s="2">
        <f>_xlfn.XLOOKUP(A641,CPIAUCSL!A:A,CPIAUCSL!B:B,"",-1)</f>
        <v>252.77199999999999</v>
      </c>
      <c r="L641">
        <f>_xlfn.XLOOKUP(A641,DFF!A:A,DFF!B:B,"",-1)</f>
        <v>2.1800000000000002</v>
      </c>
      <c r="M641">
        <f>_xlfn.XLOOKUP(A641,'DGS2'!A:A,'DGS2'!B:B,"",-1)</f>
        <v>2.85</v>
      </c>
      <c r="N641">
        <f t="shared" si="75"/>
        <v>0</v>
      </c>
      <c r="O641">
        <f t="shared" si="76"/>
        <v>2.1495643069809001E-2</v>
      </c>
      <c r="P641">
        <f t="shared" si="77"/>
        <v>1</v>
      </c>
      <c r="Q641">
        <f t="shared" si="78"/>
        <v>1</v>
      </c>
    </row>
    <row r="642" spans="1:17">
      <c r="A642" s="1">
        <v>43389</v>
      </c>
      <c r="B642">
        <v>2809.92</v>
      </c>
      <c r="C642">
        <f t="shared" si="72"/>
        <v>2.1495643069809001E-2</v>
      </c>
      <c r="D642">
        <f t="shared" si="79"/>
        <v>2.9889641067743833E-2</v>
      </c>
      <c r="E642">
        <f>_xlfn.XLOOKUP(A642,VIX!A:A,VIX!B:B,"",-1)</f>
        <v>17.62</v>
      </c>
      <c r="F642">
        <f t="shared" si="73"/>
        <v>-3.6799999999999997</v>
      </c>
      <c r="G642">
        <f>_xlfn.XLOOKUP(A642,'DGS10'!A:A,'DGS10'!B:B,"",-1)</f>
        <v>3.16</v>
      </c>
      <c r="H642">
        <f t="shared" si="74"/>
        <v>0</v>
      </c>
      <c r="I642" s="2">
        <f>_xlfn.XLOOKUP(A642,T10Y3M!A:A,T10Y3M!B:B,"",-1)</f>
        <v>0.86</v>
      </c>
      <c r="J642" s="2">
        <f>_xlfn.XLOOKUP(A642,BAMLC0A4CBBB!A:A,BAMLC0A4CBBB!B:B,"",-1)</f>
        <v>1.47</v>
      </c>
      <c r="K642" s="2">
        <f>_xlfn.XLOOKUP(A642,CPIAUCSL!A:A,CPIAUCSL!B:B,"",-1)</f>
        <v>252.77199999999999</v>
      </c>
      <c r="L642">
        <f>_xlfn.XLOOKUP(A642,DFF!A:A,DFF!B:B,"",-1)</f>
        <v>2.1800000000000002</v>
      </c>
      <c r="M642">
        <f>_xlfn.XLOOKUP(A642,'DGS2'!A:A,'DGS2'!B:B,"",-1)</f>
        <v>2.87</v>
      </c>
      <c r="N642">
        <f t="shared" si="75"/>
        <v>2.0000000000000018E-2</v>
      </c>
      <c r="O642">
        <f t="shared" si="76"/>
        <v>-2.5267623277536178E-4</v>
      </c>
      <c r="P642">
        <f t="shared" si="77"/>
        <v>0</v>
      </c>
      <c r="Q642">
        <f t="shared" si="78"/>
        <v>0</v>
      </c>
    </row>
    <row r="643" spans="1:17">
      <c r="A643" s="1">
        <v>43390</v>
      </c>
      <c r="B643">
        <v>2809.21</v>
      </c>
      <c r="C643">
        <f t="shared" si="72"/>
        <v>-2.5267623277536178E-4</v>
      </c>
      <c r="D643">
        <f t="shared" si="79"/>
        <v>1.520709182438118E-2</v>
      </c>
      <c r="E643">
        <f>_xlfn.XLOOKUP(A643,VIX!A:A,VIX!B:B,"",-1)</f>
        <v>17.399999999999999</v>
      </c>
      <c r="F643">
        <f t="shared" si="73"/>
        <v>-0.22000000000000242</v>
      </c>
      <c r="G643">
        <f>_xlfn.XLOOKUP(A643,'DGS10'!A:A,'DGS10'!B:B,"",-1)</f>
        <v>3.19</v>
      </c>
      <c r="H643">
        <f t="shared" si="74"/>
        <v>2.9999999999999805E-2</v>
      </c>
      <c r="I643" s="2">
        <f>_xlfn.XLOOKUP(A643,T10Y3M!A:A,T10Y3M!B:B,"",-1)</f>
        <v>0.88</v>
      </c>
      <c r="J643" s="2">
        <f>_xlfn.XLOOKUP(A643,BAMLC0A4CBBB!A:A,BAMLC0A4CBBB!B:B,"",-1)</f>
        <v>1.47</v>
      </c>
      <c r="K643" s="2">
        <f>_xlfn.XLOOKUP(A643,CPIAUCSL!A:A,CPIAUCSL!B:B,"",-1)</f>
        <v>252.77199999999999</v>
      </c>
      <c r="L643">
        <f>_xlfn.XLOOKUP(A643,DFF!A:A,DFF!B:B,"",-1)</f>
        <v>2.19</v>
      </c>
      <c r="M643">
        <f>_xlfn.XLOOKUP(A643,'DGS2'!A:A,'DGS2'!B:B,"",-1)</f>
        <v>2.89</v>
      </c>
      <c r="N643">
        <f t="shared" si="75"/>
        <v>2.0000000000000018E-2</v>
      </c>
      <c r="O643">
        <f t="shared" si="76"/>
        <v>-1.4391946490294405E-2</v>
      </c>
      <c r="P643">
        <f t="shared" si="77"/>
        <v>0</v>
      </c>
      <c r="Q643">
        <f t="shared" si="78"/>
        <v>-1</v>
      </c>
    </row>
    <row r="644" spans="1:17">
      <c r="A644" s="1">
        <v>43391</v>
      </c>
      <c r="B644">
        <v>2768.78</v>
      </c>
      <c r="C644">
        <f t="shared" ref="C644:C707" si="80">IF(OR(B644="",B643=""),"",(B644/B643)-1)</f>
        <v>-1.4391946490294405E-2</v>
      </c>
      <c r="D644">
        <f t="shared" si="79"/>
        <v>6.5399394355805107E-3</v>
      </c>
      <c r="E644">
        <f>_xlfn.XLOOKUP(A644,VIX!A:A,VIX!B:B,"",-1)</f>
        <v>20.059999999999999</v>
      </c>
      <c r="F644">
        <f t="shared" ref="F644:F707" si="81">IF(OR(E644="",E643=""),"",E644-E643)</f>
        <v>2.66</v>
      </c>
      <c r="G644">
        <f>_xlfn.XLOOKUP(A644,'DGS10'!A:A,'DGS10'!B:B,"",-1)</f>
        <v>3.17</v>
      </c>
      <c r="H644">
        <f t="shared" ref="H644:H707" si="82">IF(OR(G644="",G643=""),"",G644-G643)</f>
        <v>-2.0000000000000018E-2</v>
      </c>
      <c r="I644" s="2">
        <f>_xlfn.XLOOKUP(A644,T10Y3M!A:A,T10Y3M!B:B,"",-1)</f>
        <v>0.85</v>
      </c>
      <c r="J644" s="2">
        <f>_xlfn.XLOOKUP(A644,BAMLC0A4CBBB!A:A,BAMLC0A4CBBB!B:B,"",-1)</f>
        <v>1.48</v>
      </c>
      <c r="K644" s="2">
        <f>_xlfn.XLOOKUP(A644,CPIAUCSL!A:A,CPIAUCSL!B:B,"",-1)</f>
        <v>252.77199999999999</v>
      </c>
      <c r="L644">
        <f>_xlfn.XLOOKUP(A644,DFF!A:A,DFF!B:B,"",-1)</f>
        <v>2.19</v>
      </c>
      <c r="M644">
        <f>_xlfn.XLOOKUP(A644,'DGS2'!A:A,'DGS2'!B:B,"",-1)</f>
        <v>2.87</v>
      </c>
      <c r="N644">
        <f t="shared" ref="N644:N707" si="83">IF(OR(M644="",M643=""),"",M644-M643)</f>
        <v>-2.0000000000000018E-2</v>
      </c>
      <c r="O644">
        <f t="shared" ref="O644:O707" si="84">IF(OR(B645="",B644=""),"",(B645/B644)-1)</f>
        <v>-3.6116990154511086E-4</v>
      </c>
      <c r="P644">
        <f t="shared" ref="P644:P707" si="85">IF(O644="","",IF(O644&gt;0,1,0))</f>
        <v>0</v>
      </c>
      <c r="Q644">
        <f t="shared" ref="Q644:Q707" si="86">IF(O644="","",IF(O644&gt;0.003,1,IF(O644&lt;-0.003,-1,0)))</f>
        <v>0</v>
      </c>
    </row>
    <row r="645" spans="1:17">
      <c r="A645" s="1">
        <v>43392</v>
      </c>
      <c r="B645">
        <v>2767.78</v>
      </c>
      <c r="C645">
        <f t="shared" si="80"/>
        <v>-3.6116990154511086E-4</v>
      </c>
      <c r="D645">
        <f t="shared" si="79"/>
        <v>-1.4996868238241645E-2</v>
      </c>
      <c r="E645">
        <f>_xlfn.XLOOKUP(A645,VIX!A:A,VIX!B:B,"",-1)</f>
        <v>19.89</v>
      </c>
      <c r="F645">
        <f t="shared" si="81"/>
        <v>-0.16999999999999815</v>
      </c>
      <c r="G645">
        <f>_xlfn.XLOOKUP(A645,'DGS10'!A:A,'DGS10'!B:B,"",-1)</f>
        <v>3.2</v>
      </c>
      <c r="H645">
        <f t="shared" si="82"/>
        <v>3.0000000000000249E-2</v>
      </c>
      <c r="I645" s="2">
        <f>_xlfn.XLOOKUP(A645,T10Y3M!A:A,T10Y3M!B:B,"",-1)</f>
        <v>0.89</v>
      </c>
      <c r="J645" s="2">
        <f>_xlfn.XLOOKUP(A645,BAMLC0A4CBBB!A:A,BAMLC0A4CBBB!B:B,"",-1)</f>
        <v>1.48</v>
      </c>
      <c r="K645" s="2">
        <f>_xlfn.XLOOKUP(A645,CPIAUCSL!A:A,CPIAUCSL!B:B,"",-1)</f>
        <v>252.77199999999999</v>
      </c>
      <c r="L645">
        <f>_xlfn.XLOOKUP(A645,DFF!A:A,DFF!B:B,"",-1)</f>
        <v>2.19</v>
      </c>
      <c r="M645">
        <f>_xlfn.XLOOKUP(A645,'DGS2'!A:A,'DGS2'!B:B,"",-1)</f>
        <v>2.92</v>
      </c>
      <c r="N645">
        <f t="shared" si="83"/>
        <v>4.9999999999999822E-2</v>
      </c>
      <c r="O645">
        <f t="shared" si="84"/>
        <v>-4.2994746692295305E-3</v>
      </c>
      <c r="P645">
        <f t="shared" si="85"/>
        <v>0</v>
      </c>
      <c r="Q645">
        <f t="shared" si="86"/>
        <v>-1</v>
      </c>
    </row>
    <row r="646" spans="1:17">
      <c r="A646" s="1">
        <v>43395</v>
      </c>
      <c r="B646">
        <v>2755.88</v>
      </c>
      <c r="C646">
        <f t="shared" si="80"/>
        <v>-4.2994746692295305E-3</v>
      </c>
      <c r="D646">
        <f t="shared" ref="D646:D709" si="87">IF(OR(B646="",B643=""),"",(B646/B643)-1)</f>
        <v>-1.8983984821355437E-2</v>
      </c>
      <c r="E646">
        <f>_xlfn.XLOOKUP(A646,VIX!A:A,VIX!B:B,"",-1)</f>
        <v>19.64</v>
      </c>
      <c r="F646">
        <f t="shared" si="81"/>
        <v>-0.25</v>
      </c>
      <c r="G646">
        <f>_xlfn.XLOOKUP(A646,'DGS10'!A:A,'DGS10'!B:B,"",-1)</f>
        <v>3.2</v>
      </c>
      <c r="H646">
        <f t="shared" si="82"/>
        <v>0</v>
      </c>
      <c r="I646" s="2">
        <f>_xlfn.XLOOKUP(A646,T10Y3M!A:A,T10Y3M!B:B,"",-1)</f>
        <v>0.86</v>
      </c>
      <c r="J646" s="2">
        <f>_xlfn.XLOOKUP(A646,BAMLC0A4CBBB!A:A,BAMLC0A4CBBB!B:B,"",-1)</f>
        <v>1.49</v>
      </c>
      <c r="K646" s="2">
        <f>_xlfn.XLOOKUP(A646,CPIAUCSL!A:A,CPIAUCSL!B:B,"",-1)</f>
        <v>252.77199999999999</v>
      </c>
      <c r="L646">
        <f>_xlfn.XLOOKUP(A646,DFF!A:A,DFF!B:B,"",-1)</f>
        <v>2.19</v>
      </c>
      <c r="M646">
        <f>_xlfn.XLOOKUP(A646,'DGS2'!A:A,'DGS2'!B:B,"",-1)</f>
        <v>2.92</v>
      </c>
      <c r="N646">
        <f t="shared" si="83"/>
        <v>0</v>
      </c>
      <c r="O646">
        <f t="shared" si="84"/>
        <v>-5.5118510239923202E-3</v>
      </c>
      <c r="P646">
        <f t="shared" si="85"/>
        <v>0</v>
      </c>
      <c r="Q646">
        <f t="shared" si="86"/>
        <v>-1</v>
      </c>
    </row>
    <row r="647" spans="1:17">
      <c r="A647" s="1">
        <v>43396</v>
      </c>
      <c r="B647">
        <v>2740.69</v>
      </c>
      <c r="C647">
        <f t="shared" si="80"/>
        <v>-5.5118510239923202E-3</v>
      </c>
      <c r="D647">
        <f t="shared" si="87"/>
        <v>-1.0145262534401511E-2</v>
      </c>
      <c r="E647">
        <f>_xlfn.XLOOKUP(A647,VIX!A:A,VIX!B:B,"",-1)</f>
        <v>20.71</v>
      </c>
      <c r="F647">
        <f t="shared" si="81"/>
        <v>1.0700000000000003</v>
      </c>
      <c r="G647">
        <f>_xlfn.XLOOKUP(A647,'DGS10'!A:A,'DGS10'!B:B,"",-1)</f>
        <v>3.17</v>
      </c>
      <c r="H647">
        <f t="shared" si="82"/>
        <v>-3.0000000000000249E-2</v>
      </c>
      <c r="I647" s="2">
        <f>_xlfn.XLOOKUP(A647,T10Y3M!A:A,T10Y3M!B:B,"",-1)</f>
        <v>0.84</v>
      </c>
      <c r="J647" s="2">
        <f>_xlfn.XLOOKUP(A647,BAMLC0A4CBBB!A:A,BAMLC0A4CBBB!B:B,"",-1)</f>
        <v>1.52</v>
      </c>
      <c r="K647" s="2">
        <f>_xlfn.XLOOKUP(A647,CPIAUCSL!A:A,CPIAUCSL!B:B,"",-1)</f>
        <v>252.77199999999999</v>
      </c>
      <c r="L647">
        <f>_xlfn.XLOOKUP(A647,DFF!A:A,DFF!B:B,"",-1)</f>
        <v>2.2000000000000002</v>
      </c>
      <c r="M647">
        <f>_xlfn.XLOOKUP(A647,'DGS2'!A:A,'DGS2'!B:B,"",-1)</f>
        <v>2.89</v>
      </c>
      <c r="N647">
        <f t="shared" si="83"/>
        <v>-2.9999999999999805E-2</v>
      </c>
      <c r="O647">
        <f t="shared" si="84"/>
        <v>-3.0864490329077787E-2</v>
      </c>
      <c r="P647">
        <f t="shared" si="85"/>
        <v>0</v>
      </c>
      <c r="Q647">
        <f t="shared" si="86"/>
        <v>-1</v>
      </c>
    </row>
    <row r="648" spans="1:17">
      <c r="A648" s="1">
        <v>43397</v>
      </c>
      <c r="B648">
        <v>2656.1</v>
      </c>
      <c r="C648">
        <f t="shared" si="80"/>
        <v>-3.0864490329077787E-2</v>
      </c>
      <c r="D648">
        <f t="shared" si="87"/>
        <v>-4.0350027820130308E-2</v>
      </c>
      <c r="E648">
        <f>_xlfn.XLOOKUP(A648,VIX!A:A,VIX!B:B,"",-1)</f>
        <v>25.23</v>
      </c>
      <c r="F648">
        <f t="shared" si="81"/>
        <v>4.5199999999999996</v>
      </c>
      <c r="G648">
        <f>_xlfn.XLOOKUP(A648,'DGS10'!A:A,'DGS10'!B:B,"",-1)</f>
        <v>3.1</v>
      </c>
      <c r="H648">
        <f t="shared" si="82"/>
        <v>-6.999999999999984E-2</v>
      </c>
      <c r="I648" s="2">
        <f>_xlfn.XLOOKUP(A648,T10Y3M!A:A,T10Y3M!B:B,"",-1)</f>
        <v>0.76</v>
      </c>
      <c r="J648" s="2">
        <f>_xlfn.XLOOKUP(A648,BAMLC0A4CBBB!A:A,BAMLC0A4CBBB!B:B,"",-1)</f>
        <v>1.51</v>
      </c>
      <c r="K648" s="2">
        <f>_xlfn.XLOOKUP(A648,CPIAUCSL!A:A,CPIAUCSL!B:B,"",-1)</f>
        <v>252.77199999999999</v>
      </c>
      <c r="L648">
        <f>_xlfn.XLOOKUP(A648,DFF!A:A,DFF!B:B,"",-1)</f>
        <v>2.2000000000000002</v>
      </c>
      <c r="M648">
        <f>_xlfn.XLOOKUP(A648,'DGS2'!A:A,'DGS2'!B:B,"",-1)</f>
        <v>2.84</v>
      </c>
      <c r="N648">
        <f t="shared" si="83"/>
        <v>-5.0000000000000266E-2</v>
      </c>
      <c r="O648">
        <f t="shared" si="84"/>
        <v>1.8625051767629408E-2</v>
      </c>
      <c r="P648">
        <f t="shared" si="85"/>
        <v>1</v>
      </c>
      <c r="Q648">
        <f t="shared" si="86"/>
        <v>1</v>
      </c>
    </row>
    <row r="649" spans="1:17">
      <c r="A649" s="1">
        <v>43398</v>
      </c>
      <c r="B649">
        <v>2705.57</v>
      </c>
      <c r="C649">
        <f t="shared" si="80"/>
        <v>1.8625051767629408E-2</v>
      </c>
      <c r="D649">
        <f t="shared" si="87"/>
        <v>-1.825551185102392E-2</v>
      </c>
      <c r="E649">
        <f>_xlfn.XLOOKUP(A649,VIX!A:A,VIX!B:B,"",-1)</f>
        <v>24.22</v>
      </c>
      <c r="F649">
        <f t="shared" si="81"/>
        <v>-1.0100000000000016</v>
      </c>
      <c r="G649">
        <f>_xlfn.XLOOKUP(A649,'DGS10'!A:A,'DGS10'!B:B,"",-1)</f>
        <v>3.14</v>
      </c>
      <c r="H649">
        <f t="shared" si="82"/>
        <v>4.0000000000000036E-2</v>
      </c>
      <c r="I649" s="2">
        <f>_xlfn.XLOOKUP(A649,T10Y3M!A:A,T10Y3M!B:B,"",-1)</f>
        <v>0.8</v>
      </c>
      <c r="J649" s="2">
        <f>_xlfn.XLOOKUP(A649,BAMLC0A4CBBB!A:A,BAMLC0A4CBBB!B:B,"",-1)</f>
        <v>1.54</v>
      </c>
      <c r="K649" s="2">
        <f>_xlfn.XLOOKUP(A649,CPIAUCSL!A:A,CPIAUCSL!B:B,"",-1)</f>
        <v>252.77199999999999</v>
      </c>
      <c r="L649">
        <f>_xlfn.XLOOKUP(A649,DFF!A:A,DFF!B:B,"",-1)</f>
        <v>2.2000000000000002</v>
      </c>
      <c r="M649">
        <f>_xlfn.XLOOKUP(A649,'DGS2'!A:A,'DGS2'!B:B,"",-1)</f>
        <v>2.86</v>
      </c>
      <c r="N649">
        <f t="shared" si="83"/>
        <v>2.0000000000000018E-2</v>
      </c>
      <c r="O649">
        <f t="shared" si="84"/>
        <v>-1.7327217554896079E-2</v>
      </c>
      <c r="P649">
        <f t="shared" si="85"/>
        <v>0</v>
      </c>
      <c r="Q649">
        <f t="shared" si="86"/>
        <v>-1</v>
      </c>
    </row>
    <row r="650" spans="1:17">
      <c r="A650" s="1">
        <v>43399</v>
      </c>
      <c r="B650">
        <v>2658.69</v>
      </c>
      <c r="C650">
        <f t="shared" si="80"/>
        <v>-1.7327217554896079E-2</v>
      </c>
      <c r="D650">
        <f t="shared" si="87"/>
        <v>-2.9919472833483507E-2</v>
      </c>
      <c r="E650">
        <f>_xlfn.XLOOKUP(A650,VIX!A:A,VIX!B:B,"",-1)</f>
        <v>24.16</v>
      </c>
      <c r="F650">
        <f t="shared" si="81"/>
        <v>-5.9999999999998721E-2</v>
      </c>
      <c r="G650">
        <f>_xlfn.XLOOKUP(A650,'DGS10'!A:A,'DGS10'!B:B,"",-1)</f>
        <v>3.08</v>
      </c>
      <c r="H650">
        <f t="shared" si="82"/>
        <v>-6.0000000000000053E-2</v>
      </c>
      <c r="I650" s="2">
        <f>_xlfn.XLOOKUP(A650,T10Y3M!A:A,T10Y3M!B:B,"",-1)</f>
        <v>0.75</v>
      </c>
      <c r="J650" s="2">
        <f>_xlfn.XLOOKUP(A650,BAMLC0A4CBBB!A:A,BAMLC0A4CBBB!B:B,"",-1)</f>
        <v>1.56</v>
      </c>
      <c r="K650" s="2">
        <f>_xlfn.XLOOKUP(A650,CPIAUCSL!A:A,CPIAUCSL!B:B,"",-1)</f>
        <v>252.77199999999999</v>
      </c>
      <c r="L650">
        <f>_xlfn.XLOOKUP(A650,DFF!A:A,DFF!B:B,"",-1)</f>
        <v>2.2000000000000002</v>
      </c>
      <c r="M650">
        <f>_xlfn.XLOOKUP(A650,'DGS2'!A:A,'DGS2'!B:B,"",-1)</f>
        <v>2.81</v>
      </c>
      <c r="N650">
        <f t="shared" si="83"/>
        <v>-4.9999999999999822E-2</v>
      </c>
      <c r="O650">
        <f t="shared" si="84"/>
        <v>-6.5596214677152709E-3</v>
      </c>
      <c r="P650">
        <f t="shared" si="85"/>
        <v>0</v>
      </c>
      <c r="Q650">
        <f t="shared" si="86"/>
        <v>-1</v>
      </c>
    </row>
    <row r="651" spans="1:17">
      <c r="A651" s="1">
        <v>43402</v>
      </c>
      <c r="B651">
        <v>2641.25</v>
      </c>
      <c r="C651">
        <f t="shared" si="80"/>
        <v>-6.5596214677152709E-3</v>
      </c>
      <c r="D651">
        <f t="shared" si="87"/>
        <v>-5.590903956929294E-3</v>
      </c>
      <c r="E651">
        <f>_xlfn.XLOOKUP(A651,VIX!A:A,VIX!B:B,"",-1)</f>
        <v>24.7</v>
      </c>
      <c r="F651">
        <f t="shared" si="81"/>
        <v>0.53999999999999915</v>
      </c>
      <c r="G651">
        <f>_xlfn.XLOOKUP(A651,'DGS10'!A:A,'DGS10'!B:B,"",-1)</f>
        <v>3.08</v>
      </c>
      <c r="H651">
        <f t="shared" si="82"/>
        <v>0</v>
      </c>
      <c r="I651" s="2">
        <f>_xlfn.XLOOKUP(A651,T10Y3M!A:A,T10Y3M!B:B,"",-1)</f>
        <v>0.74</v>
      </c>
      <c r="J651" s="2">
        <f>_xlfn.XLOOKUP(A651,BAMLC0A4CBBB!A:A,BAMLC0A4CBBB!B:B,"",-1)</f>
        <v>1.56</v>
      </c>
      <c r="K651" s="2">
        <f>_xlfn.XLOOKUP(A651,CPIAUCSL!A:A,CPIAUCSL!B:B,"",-1)</f>
        <v>252.77199999999999</v>
      </c>
      <c r="L651">
        <f>_xlfn.XLOOKUP(A651,DFF!A:A,DFF!B:B,"",-1)</f>
        <v>2.2000000000000002</v>
      </c>
      <c r="M651">
        <f>_xlfn.XLOOKUP(A651,'DGS2'!A:A,'DGS2'!B:B,"",-1)</f>
        <v>2.81</v>
      </c>
      <c r="N651">
        <f t="shared" si="83"/>
        <v>0</v>
      </c>
      <c r="O651">
        <f t="shared" si="84"/>
        <v>1.5666824420255576E-2</v>
      </c>
      <c r="P651">
        <f t="shared" si="85"/>
        <v>1</v>
      </c>
      <c r="Q651">
        <f t="shared" si="86"/>
        <v>1</v>
      </c>
    </row>
    <row r="652" spans="1:17">
      <c r="A652" s="1">
        <v>43403</v>
      </c>
      <c r="B652">
        <v>2682.63</v>
      </c>
      <c r="C652">
        <f t="shared" si="80"/>
        <v>1.5666824420255576E-2</v>
      </c>
      <c r="D652">
        <f t="shared" si="87"/>
        <v>-8.4788048359495383E-3</v>
      </c>
      <c r="E652">
        <f>_xlfn.XLOOKUP(A652,VIX!A:A,VIX!B:B,"",-1)</f>
        <v>23.35</v>
      </c>
      <c r="F652">
        <f t="shared" si="81"/>
        <v>-1.3499999999999979</v>
      </c>
      <c r="G652">
        <f>_xlfn.XLOOKUP(A652,'DGS10'!A:A,'DGS10'!B:B,"",-1)</f>
        <v>3.12</v>
      </c>
      <c r="H652">
        <f t="shared" si="82"/>
        <v>4.0000000000000036E-2</v>
      </c>
      <c r="I652" s="2">
        <f>_xlfn.XLOOKUP(A652,T10Y3M!A:A,T10Y3M!B:B,"",-1)</f>
        <v>0.79</v>
      </c>
      <c r="J652" s="2">
        <f>_xlfn.XLOOKUP(A652,BAMLC0A4CBBB!A:A,BAMLC0A4CBBB!B:B,"",-1)</f>
        <v>1.58</v>
      </c>
      <c r="K652" s="2">
        <f>_xlfn.XLOOKUP(A652,CPIAUCSL!A:A,CPIAUCSL!B:B,"",-1)</f>
        <v>252.77199999999999</v>
      </c>
      <c r="L652">
        <f>_xlfn.XLOOKUP(A652,DFF!A:A,DFF!B:B,"",-1)</f>
        <v>2.2000000000000002</v>
      </c>
      <c r="M652">
        <f>_xlfn.XLOOKUP(A652,'DGS2'!A:A,'DGS2'!B:B,"",-1)</f>
        <v>2.84</v>
      </c>
      <c r="N652">
        <f t="shared" si="83"/>
        <v>2.9999999999999805E-2</v>
      </c>
      <c r="O652">
        <f t="shared" si="84"/>
        <v>1.0851291456518197E-2</v>
      </c>
      <c r="P652">
        <f t="shared" si="85"/>
        <v>1</v>
      </c>
      <c r="Q652">
        <f t="shared" si="86"/>
        <v>1</v>
      </c>
    </row>
    <row r="653" spans="1:17">
      <c r="A653" s="1">
        <v>43404</v>
      </c>
      <c r="B653">
        <v>2711.74</v>
      </c>
      <c r="C653">
        <f t="shared" si="80"/>
        <v>1.0851291456518197E-2</v>
      </c>
      <c r="D653">
        <f t="shared" si="87"/>
        <v>1.9953435714581191E-2</v>
      </c>
      <c r="E653">
        <f>_xlfn.XLOOKUP(A653,VIX!A:A,VIX!B:B,"",-1)</f>
        <v>21.23</v>
      </c>
      <c r="F653">
        <f t="shared" si="81"/>
        <v>-2.120000000000001</v>
      </c>
      <c r="G653">
        <f>_xlfn.XLOOKUP(A653,'DGS10'!A:A,'DGS10'!B:B,"",-1)</f>
        <v>3.15</v>
      </c>
      <c r="H653">
        <f t="shared" si="82"/>
        <v>2.9999999999999805E-2</v>
      </c>
      <c r="I653" s="2">
        <f>_xlfn.XLOOKUP(A653,T10Y3M!A:A,T10Y3M!B:B,"",-1)</f>
        <v>0.81</v>
      </c>
      <c r="J653" s="2">
        <f>_xlfn.XLOOKUP(A653,BAMLC0A4CBBB!A:A,BAMLC0A4CBBB!B:B,"",-1)</f>
        <v>1.58</v>
      </c>
      <c r="K653" s="2">
        <f>_xlfn.XLOOKUP(A653,CPIAUCSL!A:A,CPIAUCSL!B:B,"",-1)</f>
        <v>252.77199999999999</v>
      </c>
      <c r="L653">
        <f>_xlfn.XLOOKUP(A653,DFF!A:A,DFF!B:B,"",-1)</f>
        <v>2.2000000000000002</v>
      </c>
      <c r="M653">
        <f>_xlfn.XLOOKUP(A653,'DGS2'!A:A,'DGS2'!B:B,"",-1)</f>
        <v>2.87</v>
      </c>
      <c r="N653">
        <f t="shared" si="83"/>
        <v>3.0000000000000249E-2</v>
      </c>
      <c r="O653">
        <f t="shared" si="84"/>
        <v>1.05577968389301E-2</v>
      </c>
      <c r="P653">
        <f t="shared" si="85"/>
        <v>1</v>
      </c>
      <c r="Q653">
        <f t="shared" si="86"/>
        <v>1</v>
      </c>
    </row>
    <row r="654" spans="1:17">
      <c r="A654" s="1">
        <v>43405</v>
      </c>
      <c r="B654">
        <v>2740.37</v>
      </c>
      <c r="C654">
        <f t="shared" si="80"/>
        <v>1.05577968389301E-2</v>
      </c>
      <c r="D654">
        <f t="shared" si="87"/>
        <v>3.7527685754850992E-2</v>
      </c>
      <c r="E654">
        <f>_xlfn.XLOOKUP(A654,VIX!A:A,VIX!B:B,"",-1)</f>
        <v>19.34</v>
      </c>
      <c r="F654">
        <f t="shared" si="81"/>
        <v>-1.8900000000000006</v>
      </c>
      <c r="G654">
        <f>_xlfn.XLOOKUP(A654,'DGS10'!A:A,'DGS10'!B:B,"",-1)</f>
        <v>3.14</v>
      </c>
      <c r="H654">
        <f t="shared" si="82"/>
        <v>-9.9999999999997868E-3</v>
      </c>
      <c r="I654" s="2">
        <f>_xlfn.XLOOKUP(A654,T10Y3M!A:A,T10Y3M!B:B,"",-1)</f>
        <v>0.82</v>
      </c>
      <c r="J654" s="2">
        <f>_xlfn.XLOOKUP(A654,BAMLC0A4CBBB!A:A,BAMLC0A4CBBB!B:B,"",-1)</f>
        <v>1.6</v>
      </c>
      <c r="K654" s="2">
        <f>_xlfn.XLOOKUP(A654,CPIAUCSL!A:A,CPIAUCSL!B:B,"",-1)</f>
        <v>252.59399999999999</v>
      </c>
      <c r="L654">
        <f>_xlfn.XLOOKUP(A654,DFF!A:A,DFF!B:B,"",-1)</f>
        <v>2.2000000000000002</v>
      </c>
      <c r="M654">
        <f>_xlfn.XLOOKUP(A654,'DGS2'!A:A,'DGS2'!B:B,"",-1)</f>
        <v>2.84</v>
      </c>
      <c r="N654">
        <f t="shared" si="83"/>
        <v>-3.0000000000000249E-2</v>
      </c>
      <c r="O654">
        <f t="shared" si="84"/>
        <v>-6.3166652678288138E-3</v>
      </c>
      <c r="P654">
        <f t="shared" si="85"/>
        <v>0</v>
      </c>
      <c r="Q654">
        <f t="shared" si="86"/>
        <v>-1</v>
      </c>
    </row>
    <row r="655" spans="1:17">
      <c r="A655" s="1">
        <v>43406</v>
      </c>
      <c r="B655">
        <v>2723.06</v>
      </c>
      <c r="C655">
        <f t="shared" si="80"/>
        <v>-6.3166652678288138E-3</v>
      </c>
      <c r="D655">
        <f t="shared" si="87"/>
        <v>1.5071031040434058E-2</v>
      </c>
      <c r="E655">
        <f>_xlfn.XLOOKUP(A655,VIX!A:A,VIX!B:B,"",-1)</f>
        <v>19.510000000000002</v>
      </c>
      <c r="F655">
        <f t="shared" si="81"/>
        <v>0.17000000000000171</v>
      </c>
      <c r="G655">
        <f>_xlfn.XLOOKUP(A655,'DGS10'!A:A,'DGS10'!B:B,"",-1)</f>
        <v>3.22</v>
      </c>
      <c r="H655">
        <f t="shared" si="82"/>
        <v>8.0000000000000071E-2</v>
      </c>
      <c r="I655" s="2">
        <f>_xlfn.XLOOKUP(A655,T10Y3M!A:A,T10Y3M!B:B,"",-1)</f>
        <v>0.89</v>
      </c>
      <c r="J655" s="2">
        <f>_xlfn.XLOOKUP(A655,BAMLC0A4CBBB!A:A,BAMLC0A4CBBB!B:B,"",-1)</f>
        <v>1.58</v>
      </c>
      <c r="K655" s="2">
        <f>_xlfn.XLOOKUP(A655,CPIAUCSL!A:A,CPIAUCSL!B:B,"",-1)</f>
        <v>252.59399999999999</v>
      </c>
      <c r="L655">
        <f>_xlfn.XLOOKUP(A655,DFF!A:A,DFF!B:B,"",-1)</f>
        <v>2.19</v>
      </c>
      <c r="M655">
        <f>_xlfn.XLOOKUP(A655,'DGS2'!A:A,'DGS2'!B:B,"",-1)</f>
        <v>2.91</v>
      </c>
      <c r="N655">
        <f t="shared" si="83"/>
        <v>7.0000000000000284E-2</v>
      </c>
      <c r="O655">
        <f t="shared" si="84"/>
        <v>5.6003172901073484E-3</v>
      </c>
      <c r="P655">
        <f t="shared" si="85"/>
        <v>1</v>
      </c>
      <c r="Q655">
        <f t="shared" si="86"/>
        <v>1</v>
      </c>
    </row>
    <row r="656" spans="1:17">
      <c r="A656" s="1">
        <v>43409</v>
      </c>
      <c r="B656">
        <v>2738.31</v>
      </c>
      <c r="C656">
        <f t="shared" si="80"/>
        <v>5.6003172901073484E-3</v>
      </c>
      <c r="D656">
        <f t="shared" si="87"/>
        <v>9.7981369895343562E-3</v>
      </c>
      <c r="E656">
        <f>_xlfn.XLOOKUP(A656,VIX!A:A,VIX!B:B,"",-1)</f>
        <v>19.96</v>
      </c>
      <c r="F656">
        <f t="shared" si="81"/>
        <v>0.44999999999999929</v>
      </c>
      <c r="G656">
        <f>_xlfn.XLOOKUP(A656,'DGS10'!A:A,'DGS10'!B:B,"",-1)</f>
        <v>3.2</v>
      </c>
      <c r="H656">
        <f t="shared" si="82"/>
        <v>-2.0000000000000018E-2</v>
      </c>
      <c r="I656" s="2">
        <f>_xlfn.XLOOKUP(A656,T10Y3M!A:A,T10Y3M!B:B,"",-1)</f>
        <v>0.84</v>
      </c>
      <c r="J656" s="2">
        <f>_xlfn.XLOOKUP(A656,BAMLC0A4CBBB!A:A,BAMLC0A4CBBB!B:B,"",-1)</f>
        <v>1.58</v>
      </c>
      <c r="K656" s="2">
        <f>_xlfn.XLOOKUP(A656,CPIAUCSL!A:A,CPIAUCSL!B:B,"",-1)</f>
        <v>252.59399999999999</v>
      </c>
      <c r="L656">
        <f>_xlfn.XLOOKUP(A656,DFF!A:A,DFF!B:B,"",-1)</f>
        <v>2.2000000000000002</v>
      </c>
      <c r="M656">
        <f>_xlfn.XLOOKUP(A656,'DGS2'!A:A,'DGS2'!B:B,"",-1)</f>
        <v>2.91</v>
      </c>
      <c r="N656">
        <f t="shared" si="83"/>
        <v>0</v>
      </c>
      <c r="O656">
        <f t="shared" si="84"/>
        <v>6.2593351373656514E-3</v>
      </c>
      <c r="P656">
        <f t="shared" si="85"/>
        <v>1</v>
      </c>
      <c r="Q656">
        <f t="shared" si="86"/>
        <v>1</v>
      </c>
    </row>
    <row r="657" spans="1:17">
      <c r="A657" s="1">
        <v>43410</v>
      </c>
      <c r="B657">
        <v>2755.45</v>
      </c>
      <c r="C657">
        <f t="shared" si="80"/>
        <v>6.2593351373656514E-3</v>
      </c>
      <c r="D657">
        <f t="shared" si="87"/>
        <v>5.5029065418172873E-3</v>
      </c>
      <c r="E657">
        <f>_xlfn.XLOOKUP(A657,VIX!A:A,VIX!B:B,"",-1)</f>
        <v>19.91</v>
      </c>
      <c r="F657">
        <f t="shared" si="81"/>
        <v>-5.0000000000000711E-2</v>
      </c>
      <c r="G657">
        <f>_xlfn.XLOOKUP(A657,'DGS10'!A:A,'DGS10'!B:B,"",-1)</f>
        <v>3.22</v>
      </c>
      <c r="H657">
        <f t="shared" si="82"/>
        <v>2.0000000000000018E-2</v>
      </c>
      <c r="I657" s="2">
        <f>_xlfn.XLOOKUP(A657,T10Y3M!A:A,T10Y3M!B:B,"",-1)</f>
        <v>0.87</v>
      </c>
      <c r="J657" s="2">
        <f>_xlfn.XLOOKUP(A657,BAMLC0A4CBBB!A:A,BAMLC0A4CBBB!B:B,"",-1)</f>
        <v>1.56</v>
      </c>
      <c r="K657" s="2">
        <f>_xlfn.XLOOKUP(A657,CPIAUCSL!A:A,CPIAUCSL!B:B,"",-1)</f>
        <v>252.59399999999999</v>
      </c>
      <c r="L657">
        <f>_xlfn.XLOOKUP(A657,DFF!A:A,DFF!B:B,"",-1)</f>
        <v>2.2000000000000002</v>
      </c>
      <c r="M657">
        <f>_xlfn.XLOOKUP(A657,'DGS2'!A:A,'DGS2'!B:B,"",-1)</f>
        <v>2.93</v>
      </c>
      <c r="N657">
        <f t="shared" si="83"/>
        <v>2.0000000000000018E-2</v>
      </c>
      <c r="O657">
        <f t="shared" si="84"/>
        <v>2.1208876952947708E-2</v>
      </c>
      <c r="P657">
        <f t="shared" si="85"/>
        <v>1</v>
      </c>
      <c r="Q657">
        <f t="shared" si="86"/>
        <v>1</v>
      </c>
    </row>
    <row r="658" spans="1:17">
      <c r="A658" s="1">
        <v>43411</v>
      </c>
      <c r="B658">
        <v>2813.89</v>
      </c>
      <c r="C658">
        <f t="shared" si="80"/>
        <v>2.1208876952947708E-2</v>
      </c>
      <c r="D658">
        <f t="shared" si="87"/>
        <v>3.3355857013800616E-2</v>
      </c>
      <c r="E658">
        <f>_xlfn.XLOOKUP(A658,VIX!A:A,VIX!B:B,"",-1)</f>
        <v>16.36</v>
      </c>
      <c r="F658">
        <f t="shared" si="81"/>
        <v>-3.5500000000000007</v>
      </c>
      <c r="G658">
        <f>_xlfn.XLOOKUP(A658,'DGS10'!A:A,'DGS10'!B:B,"",-1)</f>
        <v>3.22</v>
      </c>
      <c r="H658">
        <f t="shared" si="82"/>
        <v>0</v>
      </c>
      <c r="I658" s="2">
        <f>_xlfn.XLOOKUP(A658,T10Y3M!A:A,T10Y3M!B:B,"",-1)</f>
        <v>0.85</v>
      </c>
      <c r="J658" s="2">
        <f>_xlfn.XLOOKUP(A658,BAMLC0A4CBBB!A:A,BAMLC0A4CBBB!B:B,"",-1)</f>
        <v>1.55</v>
      </c>
      <c r="K658" s="2">
        <f>_xlfn.XLOOKUP(A658,CPIAUCSL!A:A,CPIAUCSL!B:B,"",-1)</f>
        <v>252.59399999999999</v>
      </c>
      <c r="L658">
        <f>_xlfn.XLOOKUP(A658,DFF!A:A,DFF!B:B,"",-1)</f>
        <v>2.2000000000000002</v>
      </c>
      <c r="M658">
        <f>_xlfn.XLOOKUP(A658,'DGS2'!A:A,'DGS2'!B:B,"",-1)</f>
        <v>2.96</v>
      </c>
      <c r="N658">
        <f t="shared" si="83"/>
        <v>2.9999999999999805E-2</v>
      </c>
      <c r="O658">
        <f t="shared" si="84"/>
        <v>-2.5089822274502183E-3</v>
      </c>
      <c r="P658">
        <f t="shared" si="85"/>
        <v>0</v>
      </c>
      <c r="Q658">
        <f t="shared" si="86"/>
        <v>0</v>
      </c>
    </row>
    <row r="659" spans="1:17">
      <c r="A659" s="1">
        <v>43412</v>
      </c>
      <c r="B659">
        <v>2806.83</v>
      </c>
      <c r="C659">
        <f t="shared" si="80"/>
        <v>-2.5089822274502183E-3</v>
      </c>
      <c r="D659">
        <f t="shared" si="87"/>
        <v>2.5022732999550712E-2</v>
      </c>
      <c r="E659">
        <f>_xlfn.XLOOKUP(A659,VIX!A:A,VIX!B:B,"",-1)</f>
        <v>16.72</v>
      </c>
      <c r="F659">
        <f t="shared" si="81"/>
        <v>0.35999999999999943</v>
      </c>
      <c r="G659">
        <f>_xlfn.XLOOKUP(A659,'DGS10'!A:A,'DGS10'!B:B,"",-1)</f>
        <v>3.24</v>
      </c>
      <c r="H659">
        <f t="shared" si="82"/>
        <v>2.0000000000000018E-2</v>
      </c>
      <c r="I659" s="2">
        <f>_xlfn.XLOOKUP(A659,T10Y3M!A:A,T10Y3M!B:B,"",-1)</f>
        <v>0.89</v>
      </c>
      <c r="J659" s="2">
        <f>_xlfn.XLOOKUP(A659,BAMLC0A4CBBB!A:A,BAMLC0A4CBBB!B:B,"",-1)</f>
        <v>1.54</v>
      </c>
      <c r="K659" s="2">
        <f>_xlfn.XLOOKUP(A659,CPIAUCSL!A:A,CPIAUCSL!B:B,"",-1)</f>
        <v>252.59399999999999</v>
      </c>
      <c r="L659">
        <f>_xlfn.XLOOKUP(A659,DFF!A:A,DFF!B:B,"",-1)</f>
        <v>2.2000000000000002</v>
      </c>
      <c r="M659">
        <f>_xlfn.XLOOKUP(A659,'DGS2'!A:A,'DGS2'!B:B,"",-1)</f>
        <v>2.98</v>
      </c>
      <c r="N659">
        <f t="shared" si="83"/>
        <v>2.0000000000000018E-2</v>
      </c>
      <c r="O659">
        <f t="shared" si="84"/>
        <v>-9.1989896074931021E-3</v>
      </c>
      <c r="P659">
        <f t="shared" si="85"/>
        <v>0</v>
      </c>
      <c r="Q659">
        <f t="shared" si="86"/>
        <v>-1</v>
      </c>
    </row>
    <row r="660" spans="1:17">
      <c r="A660" s="1">
        <v>43413</v>
      </c>
      <c r="B660">
        <v>2781.01</v>
      </c>
      <c r="C660">
        <f t="shared" si="80"/>
        <v>-9.1989896074931021E-3</v>
      </c>
      <c r="D660">
        <f t="shared" si="87"/>
        <v>9.2761617884558056E-3</v>
      </c>
      <c r="E660">
        <f>_xlfn.XLOOKUP(A660,VIX!A:A,VIX!B:B,"",-1)</f>
        <v>17.36</v>
      </c>
      <c r="F660">
        <f t="shared" si="81"/>
        <v>0.64000000000000057</v>
      </c>
      <c r="G660">
        <f>_xlfn.XLOOKUP(A660,'DGS10'!A:A,'DGS10'!B:B,"",-1)</f>
        <v>3.19</v>
      </c>
      <c r="H660">
        <f t="shared" si="82"/>
        <v>-5.0000000000000266E-2</v>
      </c>
      <c r="I660" s="2">
        <f>_xlfn.XLOOKUP(A660,T10Y3M!A:A,T10Y3M!B:B,"",-1)</f>
        <v>0.83</v>
      </c>
      <c r="J660" s="2">
        <f>_xlfn.XLOOKUP(A660,BAMLC0A4CBBB!A:A,BAMLC0A4CBBB!B:B,"",-1)</f>
        <v>1.56</v>
      </c>
      <c r="K660" s="2">
        <f>_xlfn.XLOOKUP(A660,CPIAUCSL!A:A,CPIAUCSL!B:B,"",-1)</f>
        <v>252.59399999999999</v>
      </c>
      <c r="L660">
        <f>_xlfn.XLOOKUP(A660,DFF!A:A,DFF!B:B,"",-1)</f>
        <v>2.19</v>
      </c>
      <c r="M660">
        <f>_xlfn.XLOOKUP(A660,'DGS2'!A:A,'DGS2'!B:B,"",-1)</f>
        <v>2.94</v>
      </c>
      <c r="N660">
        <f t="shared" si="83"/>
        <v>-4.0000000000000036E-2</v>
      </c>
      <c r="O660">
        <f t="shared" si="84"/>
        <v>-1.9701475363267495E-2</v>
      </c>
      <c r="P660">
        <f t="shared" si="85"/>
        <v>0</v>
      </c>
      <c r="Q660">
        <f t="shared" si="86"/>
        <v>-1</v>
      </c>
    </row>
    <row r="661" spans="1:17">
      <c r="A661" s="1">
        <v>43416</v>
      </c>
      <c r="B661">
        <v>2726.22</v>
      </c>
      <c r="C661">
        <f t="shared" si="80"/>
        <v>-1.9701475363267495E-2</v>
      </c>
      <c r="D661">
        <f t="shared" si="87"/>
        <v>-3.1156157490164871E-2</v>
      </c>
      <c r="E661">
        <f>_xlfn.XLOOKUP(A661,VIX!A:A,VIX!B:B,"",-1)</f>
        <v>20.45</v>
      </c>
      <c r="F661">
        <f t="shared" si="81"/>
        <v>3.09</v>
      </c>
      <c r="G661">
        <f>_xlfn.XLOOKUP(A661,'DGS10'!A:A,'DGS10'!B:B,"",-1)</f>
        <v>0</v>
      </c>
      <c r="H661">
        <f t="shared" si="82"/>
        <v>-3.19</v>
      </c>
      <c r="I661" s="2">
        <f>_xlfn.XLOOKUP(A661,T10Y3M!A:A,T10Y3M!B:B,"",-1)</f>
        <v>0</v>
      </c>
      <c r="J661" s="2">
        <f>_xlfn.XLOOKUP(A661,BAMLC0A4CBBB!A:A,BAMLC0A4CBBB!B:B,"",-1)</f>
        <v>1.56</v>
      </c>
      <c r="K661" s="2">
        <f>_xlfn.XLOOKUP(A661,CPIAUCSL!A:A,CPIAUCSL!B:B,"",-1)</f>
        <v>252.59399999999999</v>
      </c>
      <c r="L661">
        <f>_xlfn.XLOOKUP(A661,DFF!A:A,DFF!B:B,"",-1)</f>
        <v>2.19</v>
      </c>
      <c r="M661">
        <f>_xlfn.XLOOKUP(A661,'DGS2'!A:A,'DGS2'!B:B,"",-1)</f>
        <v>0</v>
      </c>
      <c r="N661">
        <f t="shared" si="83"/>
        <v>-2.94</v>
      </c>
      <c r="O661">
        <f t="shared" si="84"/>
        <v>-1.4819053487979961E-3</v>
      </c>
      <c r="P661">
        <f t="shared" si="85"/>
        <v>0</v>
      </c>
      <c r="Q661">
        <f t="shared" si="86"/>
        <v>0</v>
      </c>
    </row>
    <row r="662" spans="1:17">
      <c r="A662" s="1">
        <v>43417</v>
      </c>
      <c r="B662">
        <v>2722.18</v>
      </c>
      <c r="C662">
        <f t="shared" si="80"/>
        <v>-1.4819053487979961E-3</v>
      </c>
      <c r="D662">
        <f t="shared" si="87"/>
        <v>-3.0158577469957204E-2</v>
      </c>
      <c r="E662">
        <f>_xlfn.XLOOKUP(A662,VIX!A:A,VIX!B:B,"",-1)</f>
        <v>20.02</v>
      </c>
      <c r="F662">
        <f t="shared" si="81"/>
        <v>-0.42999999999999972</v>
      </c>
      <c r="G662">
        <f>_xlfn.XLOOKUP(A662,'DGS10'!A:A,'DGS10'!B:B,"",-1)</f>
        <v>3.14</v>
      </c>
      <c r="H662">
        <f t="shared" si="82"/>
        <v>3.14</v>
      </c>
      <c r="I662" s="2">
        <f>_xlfn.XLOOKUP(A662,T10Y3M!A:A,T10Y3M!B:B,"",-1)</f>
        <v>0.76</v>
      </c>
      <c r="J662" s="2">
        <f>_xlfn.XLOOKUP(A662,BAMLC0A4CBBB!A:A,BAMLC0A4CBBB!B:B,"",-1)</f>
        <v>1.6</v>
      </c>
      <c r="K662" s="2">
        <f>_xlfn.XLOOKUP(A662,CPIAUCSL!A:A,CPIAUCSL!B:B,"",-1)</f>
        <v>252.59399999999999</v>
      </c>
      <c r="L662">
        <f>_xlfn.XLOOKUP(A662,DFF!A:A,DFF!B:B,"",-1)</f>
        <v>2.2000000000000002</v>
      </c>
      <c r="M662">
        <f>_xlfn.XLOOKUP(A662,'DGS2'!A:A,'DGS2'!B:B,"",-1)</f>
        <v>2.89</v>
      </c>
      <c r="N662">
        <f t="shared" si="83"/>
        <v>2.89</v>
      </c>
      <c r="O662">
        <f t="shared" si="84"/>
        <v>-7.5674643116913076E-3</v>
      </c>
      <c r="P662">
        <f t="shared" si="85"/>
        <v>0</v>
      </c>
      <c r="Q662">
        <f t="shared" si="86"/>
        <v>-1</v>
      </c>
    </row>
    <row r="663" spans="1:17">
      <c r="A663" s="1">
        <v>43418</v>
      </c>
      <c r="B663">
        <v>2701.58</v>
      </c>
      <c r="C663">
        <f t="shared" si="80"/>
        <v>-7.5674643116913076E-3</v>
      </c>
      <c r="D663">
        <f t="shared" si="87"/>
        <v>-2.8561565762079355E-2</v>
      </c>
      <c r="E663">
        <f>_xlfn.XLOOKUP(A663,VIX!A:A,VIX!B:B,"",-1)</f>
        <v>21.25</v>
      </c>
      <c r="F663">
        <f t="shared" si="81"/>
        <v>1.2300000000000004</v>
      </c>
      <c r="G663">
        <f>_xlfn.XLOOKUP(A663,'DGS10'!A:A,'DGS10'!B:B,"",-1)</f>
        <v>3.12</v>
      </c>
      <c r="H663">
        <f t="shared" si="82"/>
        <v>-2.0000000000000018E-2</v>
      </c>
      <c r="I663" s="2">
        <f>_xlfn.XLOOKUP(A663,T10Y3M!A:A,T10Y3M!B:B,"",-1)</f>
        <v>0.74</v>
      </c>
      <c r="J663" s="2">
        <f>_xlfn.XLOOKUP(A663,BAMLC0A4CBBB!A:A,BAMLC0A4CBBB!B:B,"",-1)</f>
        <v>1.64</v>
      </c>
      <c r="K663" s="2">
        <f>_xlfn.XLOOKUP(A663,CPIAUCSL!A:A,CPIAUCSL!B:B,"",-1)</f>
        <v>252.59399999999999</v>
      </c>
      <c r="L663">
        <f>_xlfn.XLOOKUP(A663,DFF!A:A,DFF!B:B,"",-1)</f>
        <v>2.2000000000000002</v>
      </c>
      <c r="M663">
        <f>_xlfn.XLOOKUP(A663,'DGS2'!A:A,'DGS2'!B:B,"",-1)</f>
        <v>2.86</v>
      </c>
      <c r="N663">
        <f t="shared" si="83"/>
        <v>-3.0000000000000249E-2</v>
      </c>
      <c r="O663">
        <f t="shared" si="84"/>
        <v>1.0593800664796094E-2</v>
      </c>
      <c r="P663">
        <f t="shared" si="85"/>
        <v>1</v>
      </c>
      <c r="Q663">
        <f t="shared" si="86"/>
        <v>1</v>
      </c>
    </row>
    <row r="664" spans="1:17">
      <c r="A664" s="1">
        <v>43419</v>
      </c>
      <c r="B664">
        <v>2730.2</v>
      </c>
      <c r="C664">
        <f t="shared" si="80"/>
        <v>1.0593800664796094E-2</v>
      </c>
      <c r="D664">
        <f t="shared" si="87"/>
        <v>1.4598968535188828E-3</v>
      </c>
      <c r="E664">
        <f>_xlfn.XLOOKUP(A664,VIX!A:A,VIX!B:B,"",-1)</f>
        <v>19.98</v>
      </c>
      <c r="F664">
        <f t="shared" si="81"/>
        <v>-1.2699999999999996</v>
      </c>
      <c r="G664">
        <f>_xlfn.XLOOKUP(A664,'DGS10'!A:A,'DGS10'!B:B,"",-1)</f>
        <v>3.11</v>
      </c>
      <c r="H664">
        <f t="shared" si="82"/>
        <v>-1.0000000000000231E-2</v>
      </c>
      <c r="I664" s="2">
        <f>_xlfn.XLOOKUP(A664,T10Y3M!A:A,T10Y3M!B:B,"",-1)</f>
        <v>0.74</v>
      </c>
      <c r="J664" s="2">
        <f>_xlfn.XLOOKUP(A664,BAMLC0A4CBBB!A:A,BAMLC0A4CBBB!B:B,"",-1)</f>
        <v>1.68</v>
      </c>
      <c r="K664" s="2">
        <f>_xlfn.XLOOKUP(A664,CPIAUCSL!A:A,CPIAUCSL!B:B,"",-1)</f>
        <v>252.59399999999999</v>
      </c>
      <c r="L664">
        <f>_xlfn.XLOOKUP(A664,DFF!A:A,DFF!B:B,"",-1)</f>
        <v>2.2000000000000002</v>
      </c>
      <c r="M664">
        <f>_xlfn.XLOOKUP(A664,'DGS2'!A:A,'DGS2'!B:B,"",-1)</f>
        <v>2.86</v>
      </c>
      <c r="N664">
        <f t="shared" si="83"/>
        <v>0</v>
      </c>
      <c r="O664">
        <f t="shared" si="84"/>
        <v>2.2232803457622463E-3</v>
      </c>
      <c r="P664">
        <f t="shared" si="85"/>
        <v>1</v>
      </c>
      <c r="Q664">
        <f t="shared" si="86"/>
        <v>0</v>
      </c>
    </row>
    <row r="665" spans="1:17">
      <c r="A665" s="1">
        <v>43420</v>
      </c>
      <c r="B665">
        <v>2736.27</v>
      </c>
      <c r="C665">
        <f t="shared" si="80"/>
        <v>2.2232803457622463E-3</v>
      </c>
      <c r="D665">
        <f t="shared" si="87"/>
        <v>5.1759986481423326E-3</v>
      </c>
      <c r="E665">
        <f>_xlfn.XLOOKUP(A665,VIX!A:A,VIX!B:B,"",-1)</f>
        <v>18.14</v>
      </c>
      <c r="F665">
        <f t="shared" si="81"/>
        <v>-1.8399999999999999</v>
      </c>
      <c r="G665">
        <f>_xlfn.XLOOKUP(A665,'DGS10'!A:A,'DGS10'!B:B,"",-1)</f>
        <v>3.08</v>
      </c>
      <c r="H665">
        <f t="shared" si="82"/>
        <v>-2.9999999999999805E-2</v>
      </c>
      <c r="I665" s="2">
        <f>_xlfn.XLOOKUP(A665,T10Y3M!A:A,T10Y3M!B:B,"",-1)</f>
        <v>0.72</v>
      </c>
      <c r="J665" s="2">
        <f>_xlfn.XLOOKUP(A665,BAMLC0A4CBBB!A:A,BAMLC0A4CBBB!B:B,"",-1)</f>
        <v>1.7</v>
      </c>
      <c r="K665" s="2">
        <f>_xlfn.XLOOKUP(A665,CPIAUCSL!A:A,CPIAUCSL!B:B,"",-1)</f>
        <v>252.59399999999999</v>
      </c>
      <c r="L665">
        <f>_xlfn.XLOOKUP(A665,DFF!A:A,DFF!B:B,"",-1)</f>
        <v>2.2000000000000002</v>
      </c>
      <c r="M665">
        <f>_xlfn.XLOOKUP(A665,'DGS2'!A:A,'DGS2'!B:B,"",-1)</f>
        <v>2.81</v>
      </c>
      <c r="N665">
        <f t="shared" si="83"/>
        <v>-4.9999999999999822E-2</v>
      </c>
      <c r="O665">
        <f t="shared" si="84"/>
        <v>-1.6643094431470606E-2</v>
      </c>
      <c r="P665">
        <f t="shared" si="85"/>
        <v>0</v>
      </c>
      <c r="Q665">
        <f t="shared" si="86"/>
        <v>-1</v>
      </c>
    </row>
    <row r="666" spans="1:17">
      <c r="A666" s="1">
        <v>43423</v>
      </c>
      <c r="B666">
        <v>2690.73</v>
      </c>
      <c r="C666">
        <f t="shared" si="80"/>
        <v>-1.6643094431470606E-2</v>
      </c>
      <c r="D666">
        <f t="shared" si="87"/>
        <v>-4.0161683163185691E-3</v>
      </c>
      <c r="E666">
        <f>_xlfn.XLOOKUP(A666,VIX!A:A,VIX!B:B,"",-1)</f>
        <v>20.100000000000001</v>
      </c>
      <c r="F666">
        <f t="shared" si="81"/>
        <v>1.9600000000000009</v>
      </c>
      <c r="G666">
        <f>_xlfn.XLOOKUP(A666,'DGS10'!A:A,'DGS10'!B:B,"",-1)</f>
        <v>3.06</v>
      </c>
      <c r="H666">
        <f t="shared" si="82"/>
        <v>-2.0000000000000018E-2</v>
      </c>
      <c r="I666" s="2">
        <f>_xlfn.XLOOKUP(A666,T10Y3M!A:A,T10Y3M!B:B,"",-1)</f>
        <v>0.68</v>
      </c>
      <c r="J666" s="2">
        <f>_xlfn.XLOOKUP(A666,BAMLC0A4CBBB!A:A,BAMLC0A4CBBB!B:B,"",-1)</f>
        <v>1.72</v>
      </c>
      <c r="K666" s="2">
        <f>_xlfn.XLOOKUP(A666,CPIAUCSL!A:A,CPIAUCSL!B:B,"",-1)</f>
        <v>252.59399999999999</v>
      </c>
      <c r="L666">
        <f>_xlfn.XLOOKUP(A666,DFF!A:A,DFF!B:B,"",-1)</f>
        <v>2.2000000000000002</v>
      </c>
      <c r="M666">
        <f>_xlfn.XLOOKUP(A666,'DGS2'!A:A,'DGS2'!B:B,"",-1)</f>
        <v>2.79</v>
      </c>
      <c r="N666">
        <f t="shared" si="83"/>
        <v>-2.0000000000000018E-2</v>
      </c>
      <c r="O666">
        <f t="shared" si="84"/>
        <v>-1.8151208036480848E-2</v>
      </c>
      <c r="P666">
        <f t="shared" si="85"/>
        <v>0</v>
      </c>
      <c r="Q666">
        <f t="shared" si="86"/>
        <v>-1</v>
      </c>
    </row>
    <row r="667" spans="1:17">
      <c r="A667" s="1">
        <v>43424</v>
      </c>
      <c r="B667">
        <v>2641.89</v>
      </c>
      <c r="C667">
        <f t="shared" si="80"/>
        <v>-1.8151208036480848E-2</v>
      </c>
      <c r="D667">
        <f t="shared" si="87"/>
        <v>-3.2345615705809072E-2</v>
      </c>
      <c r="E667">
        <f>_xlfn.XLOOKUP(A667,VIX!A:A,VIX!B:B,"",-1)</f>
        <v>22.48</v>
      </c>
      <c r="F667">
        <f t="shared" si="81"/>
        <v>2.379999999999999</v>
      </c>
      <c r="G667">
        <f>_xlfn.XLOOKUP(A667,'DGS10'!A:A,'DGS10'!B:B,"",-1)</f>
        <v>3.06</v>
      </c>
      <c r="H667">
        <f t="shared" si="82"/>
        <v>0</v>
      </c>
      <c r="I667" s="2">
        <f>_xlfn.XLOOKUP(A667,T10Y3M!A:A,T10Y3M!B:B,"",-1)</f>
        <v>0.67</v>
      </c>
      <c r="J667" s="2">
        <f>_xlfn.XLOOKUP(A667,BAMLC0A4CBBB!A:A,BAMLC0A4CBBB!B:B,"",-1)</f>
        <v>1.76</v>
      </c>
      <c r="K667" s="2">
        <f>_xlfn.XLOOKUP(A667,CPIAUCSL!A:A,CPIAUCSL!B:B,"",-1)</f>
        <v>252.59399999999999</v>
      </c>
      <c r="L667">
        <f>_xlfn.XLOOKUP(A667,DFF!A:A,DFF!B:B,"",-1)</f>
        <v>2.2000000000000002</v>
      </c>
      <c r="M667">
        <f>_xlfn.XLOOKUP(A667,'DGS2'!A:A,'DGS2'!B:B,"",-1)</f>
        <v>2.79</v>
      </c>
      <c r="N667">
        <f t="shared" si="83"/>
        <v>0</v>
      </c>
      <c r="O667">
        <f t="shared" si="84"/>
        <v>3.0432758366170098E-3</v>
      </c>
      <c r="P667">
        <f t="shared" si="85"/>
        <v>1</v>
      </c>
      <c r="Q667">
        <f t="shared" si="86"/>
        <v>1</v>
      </c>
    </row>
    <row r="668" spans="1:17">
      <c r="A668" s="1">
        <v>43425</v>
      </c>
      <c r="B668">
        <v>2649.93</v>
      </c>
      <c r="C668">
        <f t="shared" si="80"/>
        <v>3.0432758366170098E-3</v>
      </c>
      <c r="D668">
        <f t="shared" si="87"/>
        <v>-3.1553903671786787E-2</v>
      </c>
      <c r="E668">
        <f>_xlfn.XLOOKUP(A668,VIX!A:A,VIX!B:B,"",-1)</f>
        <v>20.8</v>
      </c>
      <c r="F668">
        <f t="shared" si="81"/>
        <v>-1.6799999999999997</v>
      </c>
      <c r="G668">
        <f>_xlfn.XLOOKUP(A668,'DGS10'!A:A,'DGS10'!B:B,"",-1)</f>
        <v>3.06</v>
      </c>
      <c r="H668">
        <f t="shared" si="82"/>
        <v>0</v>
      </c>
      <c r="I668" s="2">
        <f>_xlfn.XLOOKUP(A668,T10Y3M!A:A,T10Y3M!B:B,"",-1)</f>
        <v>0.65</v>
      </c>
      <c r="J668" s="2">
        <f>_xlfn.XLOOKUP(A668,BAMLC0A4CBBB!A:A,BAMLC0A4CBBB!B:B,"",-1)</f>
        <v>1.75</v>
      </c>
      <c r="K668" s="2">
        <f>_xlfn.XLOOKUP(A668,CPIAUCSL!A:A,CPIAUCSL!B:B,"",-1)</f>
        <v>252.59399999999999</v>
      </c>
      <c r="L668">
        <f>_xlfn.XLOOKUP(A668,DFF!A:A,DFF!B:B,"",-1)</f>
        <v>2.2000000000000002</v>
      </c>
      <c r="M668">
        <f>_xlfn.XLOOKUP(A668,'DGS2'!A:A,'DGS2'!B:B,"",-1)</f>
        <v>2.81</v>
      </c>
      <c r="N668">
        <f t="shared" si="83"/>
        <v>2.0000000000000018E-2</v>
      </c>
      <c r="O668">
        <f t="shared" si="84"/>
        <v>-6.5548901291732076E-3</v>
      </c>
      <c r="P668">
        <f t="shared" si="85"/>
        <v>0</v>
      </c>
      <c r="Q668">
        <f t="shared" si="86"/>
        <v>-1</v>
      </c>
    </row>
    <row r="669" spans="1:17">
      <c r="A669" s="1">
        <v>43427</v>
      </c>
      <c r="B669">
        <v>2632.56</v>
      </c>
      <c r="C669">
        <f t="shared" si="80"/>
        <v>-6.5548901291732076E-3</v>
      </c>
      <c r="D669">
        <f t="shared" si="87"/>
        <v>-2.1618668539764352E-2</v>
      </c>
      <c r="E669">
        <f>_xlfn.XLOOKUP(A669,VIX!A:A,VIX!B:B,"",-1)</f>
        <v>21.52</v>
      </c>
      <c r="F669">
        <f t="shared" si="81"/>
        <v>0.71999999999999886</v>
      </c>
      <c r="G669">
        <f>_xlfn.XLOOKUP(A669,'DGS10'!A:A,'DGS10'!B:B,"",-1)</f>
        <v>3.05</v>
      </c>
      <c r="H669">
        <f t="shared" si="82"/>
        <v>-1.0000000000000231E-2</v>
      </c>
      <c r="I669" s="2">
        <f>_xlfn.XLOOKUP(A669,T10Y3M!A:A,T10Y3M!B:B,"",-1)</f>
        <v>0.64</v>
      </c>
      <c r="J669" s="2">
        <f>_xlfn.XLOOKUP(A669,BAMLC0A4CBBB!A:A,BAMLC0A4CBBB!B:B,"",-1)</f>
        <v>1.76</v>
      </c>
      <c r="K669" s="2">
        <f>_xlfn.XLOOKUP(A669,CPIAUCSL!A:A,CPIAUCSL!B:B,"",-1)</f>
        <v>252.59399999999999</v>
      </c>
      <c r="L669">
        <f>_xlfn.XLOOKUP(A669,DFF!A:A,DFF!B:B,"",-1)</f>
        <v>2.2000000000000002</v>
      </c>
      <c r="M669">
        <f>_xlfn.XLOOKUP(A669,'DGS2'!A:A,'DGS2'!B:B,"",-1)</f>
        <v>2.81</v>
      </c>
      <c r="N669">
        <f t="shared" si="83"/>
        <v>0</v>
      </c>
      <c r="O669">
        <f t="shared" si="84"/>
        <v>1.5532409517731827E-2</v>
      </c>
      <c r="P669">
        <f t="shared" si="85"/>
        <v>1</v>
      </c>
      <c r="Q669">
        <f t="shared" si="86"/>
        <v>1</v>
      </c>
    </row>
    <row r="670" spans="1:17">
      <c r="A670" s="1">
        <v>43430</v>
      </c>
      <c r="B670">
        <v>2673.45</v>
      </c>
      <c r="C670">
        <f t="shared" si="80"/>
        <v>1.5532409517731827E-2</v>
      </c>
      <c r="D670">
        <f t="shared" si="87"/>
        <v>1.1945993209406813E-2</v>
      </c>
      <c r="E670">
        <f>_xlfn.XLOOKUP(A670,VIX!A:A,VIX!B:B,"",-1)</f>
        <v>18.899999999999999</v>
      </c>
      <c r="F670">
        <f t="shared" si="81"/>
        <v>-2.620000000000001</v>
      </c>
      <c r="G670">
        <f>_xlfn.XLOOKUP(A670,'DGS10'!A:A,'DGS10'!B:B,"",-1)</f>
        <v>3.07</v>
      </c>
      <c r="H670">
        <f t="shared" si="82"/>
        <v>2.0000000000000018E-2</v>
      </c>
      <c r="I670" s="2">
        <f>_xlfn.XLOOKUP(A670,T10Y3M!A:A,T10Y3M!B:B,"",-1)</f>
        <v>0.66</v>
      </c>
      <c r="J670" s="2">
        <f>_xlfn.XLOOKUP(A670,BAMLC0A4CBBB!A:A,BAMLC0A4CBBB!B:B,"",-1)</f>
        <v>1.75</v>
      </c>
      <c r="K670" s="2">
        <f>_xlfn.XLOOKUP(A670,CPIAUCSL!A:A,CPIAUCSL!B:B,"",-1)</f>
        <v>252.59399999999999</v>
      </c>
      <c r="L670">
        <f>_xlfn.XLOOKUP(A670,DFF!A:A,DFF!B:B,"",-1)</f>
        <v>2.2000000000000002</v>
      </c>
      <c r="M670">
        <f>_xlfn.XLOOKUP(A670,'DGS2'!A:A,'DGS2'!B:B,"",-1)</f>
        <v>2.84</v>
      </c>
      <c r="N670">
        <f t="shared" si="83"/>
        <v>2.9999999999999805E-2</v>
      </c>
      <c r="O670">
        <f t="shared" si="84"/>
        <v>3.261703042884756E-3</v>
      </c>
      <c r="P670">
        <f t="shared" si="85"/>
        <v>1</v>
      </c>
      <c r="Q670">
        <f t="shared" si="86"/>
        <v>1</v>
      </c>
    </row>
    <row r="671" spans="1:17">
      <c r="A671" s="1">
        <v>43431</v>
      </c>
      <c r="B671">
        <v>2682.17</v>
      </c>
      <c r="C671">
        <f t="shared" si="80"/>
        <v>3.261703042884756E-3</v>
      </c>
      <c r="D671">
        <f t="shared" si="87"/>
        <v>1.216635911137276E-2</v>
      </c>
      <c r="E671">
        <f>_xlfn.XLOOKUP(A671,VIX!A:A,VIX!B:B,"",-1)</f>
        <v>19.02</v>
      </c>
      <c r="F671">
        <f t="shared" si="81"/>
        <v>0.12000000000000099</v>
      </c>
      <c r="G671">
        <f>_xlfn.XLOOKUP(A671,'DGS10'!A:A,'DGS10'!B:B,"",-1)</f>
        <v>3.06</v>
      </c>
      <c r="H671">
        <f t="shared" si="82"/>
        <v>-9.9999999999997868E-3</v>
      </c>
      <c r="I671" s="2">
        <f>_xlfn.XLOOKUP(A671,T10Y3M!A:A,T10Y3M!B:B,"",-1)</f>
        <v>0.65</v>
      </c>
      <c r="J671" s="2">
        <f>_xlfn.XLOOKUP(A671,BAMLC0A4CBBB!A:A,BAMLC0A4CBBB!B:B,"",-1)</f>
        <v>1.78</v>
      </c>
      <c r="K671" s="2">
        <f>_xlfn.XLOOKUP(A671,CPIAUCSL!A:A,CPIAUCSL!B:B,"",-1)</f>
        <v>252.59399999999999</v>
      </c>
      <c r="L671">
        <f>_xlfn.XLOOKUP(A671,DFF!A:A,DFF!B:B,"",-1)</f>
        <v>2.2000000000000002</v>
      </c>
      <c r="M671">
        <f>_xlfn.XLOOKUP(A671,'DGS2'!A:A,'DGS2'!B:B,"",-1)</f>
        <v>2.83</v>
      </c>
      <c r="N671">
        <f t="shared" si="83"/>
        <v>-9.9999999999997868E-3</v>
      </c>
      <c r="O671">
        <f t="shared" si="84"/>
        <v>2.297393528374414E-2</v>
      </c>
      <c r="P671">
        <f t="shared" si="85"/>
        <v>1</v>
      </c>
      <c r="Q671">
        <f t="shared" si="86"/>
        <v>1</v>
      </c>
    </row>
    <row r="672" spans="1:17">
      <c r="A672" s="1">
        <v>43432</v>
      </c>
      <c r="B672">
        <v>2743.79</v>
      </c>
      <c r="C672">
        <f t="shared" si="80"/>
        <v>2.297393528374414E-2</v>
      </c>
      <c r="D672">
        <f t="shared" si="87"/>
        <v>4.225164858540742E-2</v>
      </c>
      <c r="E672">
        <f>_xlfn.XLOOKUP(A672,VIX!A:A,VIX!B:B,"",-1)</f>
        <v>18.489999999999998</v>
      </c>
      <c r="F672">
        <f t="shared" si="81"/>
        <v>-0.53000000000000114</v>
      </c>
      <c r="G672">
        <f>_xlfn.XLOOKUP(A672,'DGS10'!A:A,'DGS10'!B:B,"",-1)</f>
        <v>3.06</v>
      </c>
      <c r="H672">
        <f t="shared" si="82"/>
        <v>0</v>
      </c>
      <c r="I672" s="2">
        <f>_xlfn.XLOOKUP(A672,T10Y3M!A:A,T10Y3M!B:B,"",-1)</f>
        <v>0.66</v>
      </c>
      <c r="J672" s="2">
        <f>_xlfn.XLOOKUP(A672,BAMLC0A4CBBB!A:A,BAMLC0A4CBBB!B:B,"",-1)</f>
        <v>1.79</v>
      </c>
      <c r="K672" s="2">
        <f>_xlfn.XLOOKUP(A672,CPIAUCSL!A:A,CPIAUCSL!B:B,"",-1)</f>
        <v>252.59399999999999</v>
      </c>
      <c r="L672">
        <f>_xlfn.XLOOKUP(A672,DFF!A:A,DFF!B:B,"",-1)</f>
        <v>2.2000000000000002</v>
      </c>
      <c r="M672">
        <f>_xlfn.XLOOKUP(A672,'DGS2'!A:A,'DGS2'!B:B,"",-1)</f>
        <v>2.81</v>
      </c>
      <c r="N672">
        <f t="shared" si="83"/>
        <v>-2.0000000000000018E-2</v>
      </c>
      <c r="O672">
        <f t="shared" si="84"/>
        <v>-2.1976900564546487E-3</v>
      </c>
      <c r="P672">
        <f t="shared" si="85"/>
        <v>0</v>
      </c>
      <c r="Q672">
        <f t="shared" si="86"/>
        <v>0</v>
      </c>
    </row>
    <row r="673" spans="1:17">
      <c r="A673" s="1">
        <v>43433</v>
      </c>
      <c r="B673">
        <v>2737.76</v>
      </c>
      <c r="C673">
        <f t="shared" si="80"/>
        <v>-2.1976900564546487E-3</v>
      </c>
      <c r="D673">
        <f t="shared" si="87"/>
        <v>2.4055059941274548E-2</v>
      </c>
      <c r="E673">
        <f>_xlfn.XLOOKUP(A673,VIX!A:A,VIX!B:B,"",-1)</f>
        <v>18.79</v>
      </c>
      <c r="F673">
        <f t="shared" si="81"/>
        <v>0.30000000000000071</v>
      </c>
      <c r="G673">
        <f>_xlfn.XLOOKUP(A673,'DGS10'!A:A,'DGS10'!B:B,"",-1)</f>
        <v>3.03</v>
      </c>
      <c r="H673">
        <f t="shared" si="82"/>
        <v>-3.0000000000000249E-2</v>
      </c>
      <c r="I673" s="2">
        <f>_xlfn.XLOOKUP(A673,T10Y3M!A:A,T10Y3M!B:B,"",-1)</f>
        <v>0.66</v>
      </c>
      <c r="J673" s="2">
        <f>_xlfn.XLOOKUP(A673,BAMLC0A4CBBB!A:A,BAMLC0A4CBBB!B:B,"",-1)</f>
        <v>1.8</v>
      </c>
      <c r="K673" s="2">
        <f>_xlfn.XLOOKUP(A673,CPIAUCSL!A:A,CPIAUCSL!B:B,"",-1)</f>
        <v>252.59399999999999</v>
      </c>
      <c r="L673">
        <f>_xlfn.XLOOKUP(A673,DFF!A:A,DFF!B:B,"",-1)</f>
        <v>2.2000000000000002</v>
      </c>
      <c r="M673">
        <f>_xlfn.XLOOKUP(A673,'DGS2'!A:A,'DGS2'!B:B,"",-1)</f>
        <v>2.81</v>
      </c>
      <c r="N673">
        <f t="shared" si="83"/>
        <v>0</v>
      </c>
      <c r="O673">
        <f t="shared" si="84"/>
        <v>8.1855239319734707E-3</v>
      </c>
      <c r="P673">
        <f t="shared" si="85"/>
        <v>1</v>
      </c>
      <c r="Q673">
        <f t="shared" si="86"/>
        <v>1</v>
      </c>
    </row>
    <row r="674" spans="1:17">
      <c r="A674" s="1">
        <v>43434</v>
      </c>
      <c r="B674">
        <v>2760.17</v>
      </c>
      <c r="C674">
        <f t="shared" si="80"/>
        <v>8.1855239319734707E-3</v>
      </c>
      <c r="D674">
        <f t="shared" si="87"/>
        <v>2.9080930738916599E-2</v>
      </c>
      <c r="E674">
        <f>_xlfn.XLOOKUP(A674,VIX!A:A,VIX!B:B,"",-1)</f>
        <v>18.07</v>
      </c>
      <c r="F674">
        <f t="shared" si="81"/>
        <v>-0.71999999999999886</v>
      </c>
      <c r="G674">
        <f>_xlfn.XLOOKUP(A674,'DGS10'!A:A,'DGS10'!B:B,"",-1)</f>
        <v>3.01</v>
      </c>
      <c r="H674">
        <f t="shared" si="82"/>
        <v>-2.0000000000000018E-2</v>
      </c>
      <c r="I674" s="2">
        <f>_xlfn.XLOOKUP(A674,T10Y3M!A:A,T10Y3M!B:B,"",-1)</f>
        <v>0.64</v>
      </c>
      <c r="J674" s="2">
        <f>_xlfn.XLOOKUP(A674,BAMLC0A4CBBB!A:A,BAMLC0A4CBBB!B:B,"",-1)</f>
        <v>1.84</v>
      </c>
      <c r="K674" s="2">
        <f>_xlfn.XLOOKUP(A674,CPIAUCSL!A:A,CPIAUCSL!B:B,"",-1)</f>
        <v>252.59399999999999</v>
      </c>
      <c r="L674">
        <f>_xlfn.XLOOKUP(A674,DFF!A:A,DFF!B:B,"",-1)</f>
        <v>2.2000000000000002</v>
      </c>
      <c r="M674">
        <f>_xlfn.XLOOKUP(A674,'DGS2'!A:A,'DGS2'!B:B,"",-1)</f>
        <v>2.8</v>
      </c>
      <c r="N674">
        <f t="shared" si="83"/>
        <v>-1.0000000000000231E-2</v>
      </c>
      <c r="O674">
        <f t="shared" si="84"/>
        <v>1.0941355061463431E-2</v>
      </c>
      <c r="P674">
        <f t="shared" si="85"/>
        <v>1</v>
      </c>
      <c r="Q674">
        <f t="shared" si="86"/>
        <v>1</v>
      </c>
    </row>
    <row r="675" spans="1:17">
      <c r="A675" s="1">
        <v>43437</v>
      </c>
      <c r="B675">
        <v>2790.37</v>
      </c>
      <c r="C675">
        <f t="shared" si="80"/>
        <v>1.0941355061463431E-2</v>
      </c>
      <c r="D675">
        <f t="shared" si="87"/>
        <v>1.6976517882199449E-2</v>
      </c>
      <c r="E675">
        <f>_xlfn.XLOOKUP(A675,VIX!A:A,VIX!B:B,"",-1)</f>
        <v>16.440000000000001</v>
      </c>
      <c r="F675">
        <f t="shared" si="81"/>
        <v>-1.629999999999999</v>
      </c>
      <c r="G675">
        <f>_xlfn.XLOOKUP(A675,'DGS10'!A:A,'DGS10'!B:B,"",-1)</f>
        <v>2.98</v>
      </c>
      <c r="H675">
        <f t="shared" si="82"/>
        <v>-2.9999999999999805E-2</v>
      </c>
      <c r="I675" s="2">
        <f>_xlfn.XLOOKUP(A675,T10Y3M!A:A,T10Y3M!B:B,"",-1)</f>
        <v>0.6</v>
      </c>
      <c r="J675" s="2">
        <f>_xlfn.XLOOKUP(A675,BAMLC0A4CBBB!A:A,BAMLC0A4CBBB!B:B,"",-1)</f>
        <v>1.83</v>
      </c>
      <c r="K675" s="2">
        <f>_xlfn.XLOOKUP(A675,CPIAUCSL!A:A,CPIAUCSL!B:B,"",-1)</f>
        <v>252.767</v>
      </c>
      <c r="L675">
        <f>_xlfn.XLOOKUP(A675,DFF!A:A,DFF!B:B,"",-1)</f>
        <v>2.19</v>
      </c>
      <c r="M675">
        <f>_xlfn.XLOOKUP(A675,'DGS2'!A:A,'DGS2'!B:B,"",-1)</f>
        <v>2.83</v>
      </c>
      <c r="N675">
        <f t="shared" si="83"/>
        <v>3.0000000000000249E-2</v>
      </c>
      <c r="O675">
        <f t="shared" si="84"/>
        <v>-3.2364883510072162E-2</v>
      </c>
      <c r="P675">
        <f t="shared" si="85"/>
        <v>0</v>
      </c>
      <c r="Q675">
        <f t="shared" si="86"/>
        <v>-1</v>
      </c>
    </row>
    <row r="676" spans="1:17">
      <c r="A676" s="1">
        <v>43438</v>
      </c>
      <c r="B676">
        <v>2700.06</v>
      </c>
      <c r="C676">
        <f t="shared" si="80"/>
        <v>-3.2364883510072162E-2</v>
      </c>
      <c r="D676">
        <f t="shared" si="87"/>
        <v>-1.3770381625854866E-2</v>
      </c>
      <c r="E676">
        <f>_xlfn.XLOOKUP(A676,VIX!A:A,VIX!B:B,"",-1)</f>
        <v>20.74</v>
      </c>
      <c r="F676">
        <f t="shared" si="81"/>
        <v>4.2999999999999972</v>
      </c>
      <c r="G676">
        <f>_xlfn.XLOOKUP(A676,'DGS10'!A:A,'DGS10'!B:B,"",-1)</f>
        <v>2.91</v>
      </c>
      <c r="H676">
        <f t="shared" si="82"/>
        <v>-6.999999999999984E-2</v>
      </c>
      <c r="I676" s="2">
        <f>_xlfn.XLOOKUP(A676,T10Y3M!A:A,T10Y3M!B:B,"",-1)</f>
        <v>0.49</v>
      </c>
      <c r="J676" s="2">
        <f>_xlfn.XLOOKUP(A676,BAMLC0A4CBBB!A:A,BAMLC0A4CBBB!B:B,"",-1)</f>
        <v>1.86</v>
      </c>
      <c r="K676" s="2">
        <f>_xlfn.XLOOKUP(A676,CPIAUCSL!A:A,CPIAUCSL!B:B,"",-1)</f>
        <v>252.767</v>
      </c>
      <c r="L676">
        <f>_xlfn.XLOOKUP(A676,DFF!A:A,DFF!B:B,"",-1)</f>
        <v>2.2000000000000002</v>
      </c>
      <c r="M676">
        <f>_xlfn.XLOOKUP(A676,'DGS2'!A:A,'DGS2'!B:B,"",-1)</f>
        <v>2.8</v>
      </c>
      <c r="N676">
        <f t="shared" si="83"/>
        <v>-3.0000000000000249E-2</v>
      </c>
      <c r="O676">
        <f t="shared" si="84"/>
        <v>-1.5221883958135285E-3</v>
      </c>
      <c r="P676">
        <f t="shared" si="85"/>
        <v>0</v>
      </c>
      <c r="Q676">
        <f t="shared" si="86"/>
        <v>0</v>
      </c>
    </row>
    <row r="677" spans="1:17">
      <c r="A677" s="1">
        <v>43440</v>
      </c>
      <c r="B677">
        <v>2695.95</v>
      </c>
      <c r="C677">
        <f t="shared" si="80"/>
        <v>-1.5221883958135285E-3</v>
      </c>
      <c r="D677">
        <f t="shared" si="87"/>
        <v>-2.3266682849244935E-2</v>
      </c>
      <c r="E677">
        <f>_xlfn.XLOOKUP(A677,VIX!A:A,VIX!B:B,"",-1)</f>
        <v>21.19</v>
      </c>
      <c r="F677">
        <f t="shared" si="81"/>
        <v>0.45000000000000284</v>
      </c>
      <c r="G677">
        <f>_xlfn.XLOOKUP(A677,'DGS10'!A:A,'DGS10'!B:B,"",-1)</f>
        <v>2.87</v>
      </c>
      <c r="H677">
        <f t="shared" si="82"/>
        <v>-4.0000000000000036E-2</v>
      </c>
      <c r="I677" s="2">
        <f>_xlfn.XLOOKUP(A677,T10Y3M!A:A,T10Y3M!B:B,"",-1)</f>
        <v>0.46</v>
      </c>
      <c r="J677" s="2">
        <f>_xlfn.XLOOKUP(A677,BAMLC0A4CBBB!A:A,BAMLC0A4CBBB!B:B,"",-1)</f>
        <v>1.91</v>
      </c>
      <c r="K677" s="2">
        <f>_xlfn.XLOOKUP(A677,CPIAUCSL!A:A,CPIAUCSL!B:B,"",-1)</f>
        <v>252.767</v>
      </c>
      <c r="L677">
        <f>_xlfn.XLOOKUP(A677,DFF!A:A,DFF!B:B,"",-1)</f>
        <v>2.2000000000000002</v>
      </c>
      <c r="M677">
        <f>_xlfn.XLOOKUP(A677,'DGS2'!A:A,'DGS2'!B:B,"",-1)</f>
        <v>2.75</v>
      </c>
      <c r="N677">
        <f t="shared" si="83"/>
        <v>-4.9999999999999822E-2</v>
      </c>
      <c r="O677">
        <f t="shared" si="84"/>
        <v>-2.3320165433335149E-2</v>
      </c>
      <c r="P677">
        <f t="shared" si="85"/>
        <v>0</v>
      </c>
      <c r="Q677">
        <f t="shared" si="86"/>
        <v>-1</v>
      </c>
    </row>
    <row r="678" spans="1:17">
      <c r="A678" s="1">
        <v>43441</v>
      </c>
      <c r="B678">
        <v>2633.08</v>
      </c>
      <c r="C678">
        <f t="shared" si="80"/>
        <v>-2.3320165433335149E-2</v>
      </c>
      <c r="D678">
        <f t="shared" si="87"/>
        <v>-5.6368868644660064E-2</v>
      </c>
      <c r="E678">
        <f>_xlfn.XLOOKUP(A678,VIX!A:A,VIX!B:B,"",-1)</f>
        <v>23.23</v>
      </c>
      <c r="F678">
        <f t="shared" si="81"/>
        <v>2.0399999999999991</v>
      </c>
      <c r="G678">
        <f>_xlfn.XLOOKUP(A678,'DGS10'!A:A,'DGS10'!B:B,"",-1)</f>
        <v>2.85</v>
      </c>
      <c r="H678">
        <f t="shared" si="82"/>
        <v>-2.0000000000000018E-2</v>
      </c>
      <c r="I678" s="2">
        <f>_xlfn.XLOOKUP(A678,T10Y3M!A:A,T10Y3M!B:B,"",-1)</f>
        <v>0.45</v>
      </c>
      <c r="J678" s="2">
        <f>_xlfn.XLOOKUP(A678,BAMLC0A4CBBB!A:A,BAMLC0A4CBBB!B:B,"",-1)</f>
        <v>1.92</v>
      </c>
      <c r="K678" s="2">
        <f>_xlfn.XLOOKUP(A678,CPIAUCSL!A:A,CPIAUCSL!B:B,"",-1)</f>
        <v>252.767</v>
      </c>
      <c r="L678">
        <f>_xlfn.XLOOKUP(A678,DFF!A:A,DFF!B:B,"",-1)</f>
        <v>2.19</v>
      </c>
      <c r="M678">
        <f>_xlfn.XLOOKUP(A678,'DGS2'!A:A,'DGS2'!B:B,"",-1)</f>
        <v>2.72</v>
      </c>
      <c r="N678">
        <f t="shared" si="83"/>
        <v>-2.9999999999999805E-2</v>
      </c>
      <c r="O678">
        <f t="shared" si="84"/>
        <v>1.762194844060927E-3</v>
      </c>
      <c r="P678">
        <f t="shared" si="85"/>
        <v>1</v>
      </c>
      <c r="Q678">
        <f t="shared" si="86"/>
        <v>0</v>
      </c>
    </row>
    <row r="679" spans="1:17">
      <c r="A679" s="1">
        <v>43444</v>
      </c>
      <c r="B679">
        <v>2637.72</v>
      </c>
      <c r="C679">
        <f t="shared" si="80"/>
        <v>1.762194844060927E-3</v>
      </c>
      <c r="D679">
        <f t="shared" si="87"/>
        <v>-2.3088375813870909E-2</v>
      </c>
      <c r="E679">
        <f>_xlfn.XLOOKUP(A679,VIX!A:A,VIX!B:B,"",-1)</f>
        <v>22.64</v>
      </c>
      <c r="F679">
        <f t="shared" si="81"/>
        <v>-0.58999999999999986</v>
      </c>
      <c r="G679">
        <f>_xlfn.XLOOKUP(A679,'DGS10'!A:A,'DGS10'!B:B,"",-1)</f>
        <v>2.85</v>
      </c>
      <c r="H679">
        <f t="shared" si="82"/>
        <v>0</v>
      </c>
      <c r="I679" s="2">
        <f>_xlfn.XLOOKUP(A679,T10Y3M!A:A,T10Y3M!B:B,"",-1)</f>
        <v>0.44</v>
      </c>
      <c r="J679" s="2">
        <f>_xlfn.XLOOKUP(A679,BAMLC0A4CBBB!A:A,BAMLC0A4CBBB!B:B,"",-1)</f>
        <v>1.93</v>
      </c>
      <c r="K679" s="2">
        <f>_xlfn.XLOOKUP(A679,CPIAUCSL!A:A,CPIAUCSL!B:B,"",-1)</f>
        <v>252.767</v>
      </c>
      <c r="L679">
        <f>_xlfn.XLOOKUP(A679,DFF!A:A,DFF!B:B,"",-1)</f>
        <v>2.2000000000000002</v>
      </c>
      <c r="M679">
        <f>_xlfn.XLOOKUP(A679,'DGS2'!A:A,'DGS2'!B:B,"",-1)</f>
        <v>2.72</v>
      </c>
      <c r="N679">
        <f t="shared" si="83"/>
        <v>0</v>
      </c>
      <c r="O679">
        <f t="shared" si="84"/>
        <v>-3.5636837875119287E-4</v>
      </c>
      <c r="P679">
        <f t="shared" si="85"/>
        <v>0</v>
      </c>
      <c r="Q679">
        <f t="shared" si="86"/>
        <v>0</v>
      </c>
    </row>
    <row r="680" spans="1:17">
      <c r="A680" s="1">
        <v>43445</v>
      </c>
      <c r="B680">
        <v>2636.78</v>
      </c>
      <c r="C680">
        <f t="shared" si="80"/>
        <v>-3.5636837875119287E-4</v>
      </c>
      <c r="D680">
        <f t="shared" si="87"/>
        <v>-2.1947736419443808E-2</v>
      </c>
      <c r="E680">
        <f>_xlfn.XLOOKUP(A680,VIX!A:A,VIX!B:B,"",-1)</f>
        <v>21.76</v>
      </c>
      <c r="F680">
        <f t="shared" si="81"/>
        <v>-0.87999999999999901</v>
      </c>
      <c r="G680">
        <f>_xlfn.XLOOKUP(A680,'DGS10'!A:A,'DGS10'!B:B,"",-1)</f>
        <v>2.89</v>
      </c>
      <c r="H680">
        <f t="shared" si="82"/>
        <v>4.0000000000000036E-2</v>
      </c>
      <c r="I680" s="2">
        <f>_xlfn.XLOOKUP(A680,T10Y3M!A:A,T10Y3M!B:B,"",-1)</f>
        <v>0.48</v>
      </c>
      <c r="J680" s="2">
        <f>_xlfn.XLOOKUP(A680,BAMLC0A4CBBB!A:A,BAMLC0A4CBBB!B:B,"",-1)</f>
        <v>1.92</v>
      </c>
      <c r="K680" s="2">
        <f>_xlfn.XLOOKUP(A680,CPIAUCSL!A:A,CPIAUCSL!B:B,"",-1)</f>
        <v>252.767</v>
      </c>
      <c r="L680">
        <f>_xlfn.XLOOKUP(A680,DFF!A:A,DFF!B:B,"",-1)</f>
        <v>2.19</v>
      </c>
      <c r="M680">
        <f>_xlfn.XLOOKUP(A680,'DGS2'!A:A,'DGS2'!B:B,"",-1)</f>
        <v>2.78</v>
      </c>
      <c r="N680">
        <f t="shared" si="83"/>
        <v>5.9999999999999609E-2</v>
      </c>
      <c r="O680">
        <f t="shared" si="84"/>
        <v>5.4194889220944287E-3</v>
      </c>
      <c r="P680">
        <f t="shared" si="85"/>
        <v>1</v>
      </c>
      <c r="Q680">
        <f t="shared" si="86"/>
        <v>1</v>
      </c>
    </row>
    <row r="681" spans="1:17">
      <c r="A681" s="1">
        <v>43446</v>
      </c>
      <c r="B681">
        <v>2651.07</v>
      </c>
      <c r="C681">
        <f t="shared" si="80"/>
        <v>5.4194889220944287E-3</v>
      </c>
      <c r="D681">
        <f t="shared" si="87"/>
        <v>6.8323028544519104E-3</v>
      </c>
      <c r="E681">
        <f>_xlfn.XLOOKUP(A681,VIX!A:A,VIX!B:B,"",-1)</f>
        <v>21.46</v>
      </c>
      <c r="F681">
        <f t="shared" si="81"/>
        <v>-0.30000000000000071</v>
      </c>
      <c r="G681">
        <f>_xlfn.XLOOKUP(A681,'DGS10'!A:A,'DGS10'!B:B,"",-1)</f>
        <v>2.91</v>
      </c>
      <c r="H681">
        <f t="shared" si="82"/>
        <v>2.0000000000000018E-2</v>
      </c>
      <c r="I681" s="2">
        <f>_xlfn.XLOOKUP(A681,T10Y3M!A:A,T10Y3M!B:B,"",-1)</f>
        <v>0.48</v>
      </c>
      <c r="J681" s="2">
        <f>_xlfn.XLOOKUP(A681,BAMLC0A4CBBB!A:A,BAMLC0A4CBBB!B:B,"",-1)</f>
        <v>1.9</v>
      </c>
      <c r="K681" s="2">
        <f>_xlfn.XLOOKUP(A681,CPIAUCSL!A:A,CPIAUCSL!B:B,"",-1)</f>
        <v>252.767</v>
      </c>
      <c r="L681">
        <f>_xlfn.XLOOKUP(A681,DFF!A:A,DFF!B:B,"",-1)</f>
        <v>2.19</v>
      </c>
      <c r="M681">
        <f>_xlfn.XLOOKUP(A681,'DGS2'!A:A,'DGS2'!B:B,"",-1)</f>
        <v>2.77</v>
      </c>
      <c r="N681">
        <f t="shared" si="83"/>
        <v>-9.9999999999997868E-3</v>
      </c>
      <c r="O681">
        <f t="shared" si="84"/>
        <v>-1.9991927787654795E-4</v>
      </c>
      <c r="P681">
        <f t="shared" si="85"/>
        <v>0</v>
      </c>
      <c r="Q681">
        <f t="shared" si="86"/>
        <v>0</v>
      </c>
    </row>
    <row r="682" spans="1:17">
      <c r="A682" s="1">
        <v>43447</v>
      </c>
      <c r="B682">
        <v>2650.54</v>
      </c>
      <c r="C682">
        <f t="shared" si="80"/>
        <v>-1.9991927787654795E-4</v>
      </c>
      <c r="D682">
        <f t="shared" si="87"/>
        <v>4.8602581016938817E-3</v>
      </c>
      <c r="E682">
        <f>_xlfn.XLOOKUP(A682,VIX!A:A,VIX!B:B,"",-1)</f>
        <v>20.65</v>
      </c>
      <c r="F682">
        <f t="shared" si="81"/>
        <v>-0.81000000000000227</v>
      </c>
      <c r="G682">
        <f>_xlfn.XLOOKUP(A682,'DGS10'!A:A,'DGS10'!B:B,"",-1)</f>
        <v>2.91</v>
      </c>
      <c r="H682">
        <f t="shared" si="82"/>
        <v>0</v>
      </c>
      <c r="I682" s="2">
        <f>_xlfn.XLOOKUP(A682,T10Y3M!A:A,T10Y3M!B:B,"",-1)</f>
        <v>0.48</v>
      </c>
      <c r="J682" s="2">
        <f>_xlfn.XLOOKUP(A682,BAMLC0A4CBBB!A:A,BAMLC0A4CBBB!B:B,"",-1)</f>
        <v>1.88</v>
      </c>
      <c r="K682" s="2">
        <f>_xlfn.XLOOKUP(A682,CPIAUCSL!A:A,CPIAUCSL!B:B,"",-1)</f>
        <v>252.767</v>
      </c>
      <c r="L682">
        <f>_xlfn.XLOOKUP(A682,DFF!A:A,DFF!B:B,"",-1)</f>
        <v>2.19</v>
      </c>
      <c r="M682">
        <f>_xlfn.XLOOKUP(A682,'DGS2'!A:A,'DGS2'!B:B,"",-1)</f>
        <v>2.75</v>
      </c>
      <c r="N682">
        <f t="shared" si="83"/>
        <v>-2.0000000000000018E-2</v>
      </c>
      <c r="O682">
        <f t="shared" si="84"/>
        <v>-1.9086676677205427E-2</v>
      </c>
      <c r="P682">
        <f t="shared" si="85"/>
        <v>0</v>
      </c>
      <c r="Q682">
        <f t="shared" si="86"/>
        <v>-1</v>
      </c>
    </row>
    <row r="683" spans="1:17">
      <c r="A683" s="1">
        <v>43448</v>
      </c>
      <c r="B683">
        <v>2599.9499999999998</v>
      </c>
      <c r="C683">
        <f t="shared" si="80"/>
        <v>-1.9086676677205427E-2</v>
      </c>
      <c r="D683">
        <f t="shared" si="87"/>
        <v>-1.3967794051836124E-2</v>
      </c>
      <c r="E683">
        <f>_xlfn.XLOOKUP(A683,VIX!A:A,VIX!B:B,"",-1)</f>
        <v>21.63</v>
      </c>
      <c r="F683">
        <f t="shared" si="81"/>
        <v>0.98000000000000043</v>
      </c>
      <c r="G683">
        <f>_xlfn.XLOOKUP(A683,'DGS10'!A:A,'DGS10'!B:B,"",-1)</f>
        <v>2.89</v>
      </c>
      <c r="H683">
        <f t="shared" si="82"/>
        <v>-2.0000000000000018E-2</v>
      </c>
      <c r="I683" s="2">
        <f>_xlfn.XLOOKUP(A683,T10Y3M!A:A,T10Y3M!B:B,"",-1)</f>
        <v>0.47</v>
      </c>
      <c r="J683" s="2">
        <f>_xlfn.XLOOKUP(A683,BAMLC0A4CBBB!A:A,BAMLC0A4CBBB!B:B,"",-1)</f>
        <v>1.88</v>
      </c>
      <c r="K683" s="2">
        <f>_xlfn.XLOOKUP(A683,CPIAUCSL!A:A,CPIAUCSL!B:B,"",-1)</f>
        <v>252.767</v>
      </c>
      <c r="L683">
        <f>_xlfn.XLOOKUP(A683,DFF!A:A,DFF!B:B,"",-1)</f>
        <v>2.19</v>
      </c>
      <c r="M683">
        <f>_xlfn.XLOOKUP(A683,'DGS2'!A:A,'DGS2'!B:B,"",-1)</f>
        <v>2.73</v>
      </c>
      <c r="N683">
        <f t="shared" si="83"/>
        <v>-2.0000000000000018E-2</v>
      </c>
      <c r="O683">
        <f t="shared" si="84"/>
        <v>-2.0773476413007863E-2</v>
      </c>
      <c r="P683">
        <f t="shared" si="85"/>
        <v>0</v>
      </c>
      <c r="Q683">
        <f t="shared" si="86"/>
        <v>-1</v>
      </c>
    </row>
    <row r="684" spans="1:17">
      <c r="A684" s="1">
        <v>43451</v>
      </c>
      <c r="B684">
        <v>2545.94</v>
      </c>
      <c r="C684">
        <f t="shared" si="80"/>
        <v>-2.0773476413007863E-2</v>
      </c>
      <c r="D684">
        <f t="shared" si="87"/>
        <v>-3.965568619463089E-2</v>
      </c>
      <c r="E684">
        <f>_xlfn.XLOOKUP(A684,VIX!A:A,VIX!B:B,"",-1)</f>
        <v>24.52</v>
      </c>
      <c r="F684">
        <f t="shared" si="81"/>
        <v>2.8900000000000006</v>
      </c>
      <c r="G684">
        <f>_xlfn.XLOOKUP(A684,'DGS10'!A:A,'DGS10'!B:B,"",-1)</f>
        <v>2.86</v>
      </c>
      <c r="H684">
        <f t="shared" si="82"/>
        <v>-3.0000000000000249E-2</v>
      </c>
      <c r="I684" s="2">
        <f>_xlfn.XLOOKUP(A684,T10Y3M!A:A,T10Y3M!B:B,"",-1)</f>
        <v>0.46</v>
      </c>
      <c r="J684" s="2">
        <f>_xlfn.XLOOKUP(A684,BAMLC0A4CBBB!A:A,BAMLC0A4CBBB!B:B,"",-1)</f>
        <v>1.88</v>
      </c>
      <c r="K684" s="2">
        <f>_xlfn.XLOOKUP(A684,CPIAUCSL!A:A,CPIAUCSL!B:B,"",-1)</f>
        <v>252.767</v>
      </c>
      <c r="L684">
        <f>_xlfn.XLOOKUP(A684,DFF!A:A,DFF!B:B,"",-1)</f>
        <v>2.2000000000000002</v>
      </c>
      <c r="M684">
        <f>_xlfn.XLOOKUP(A684,'DGS2'!A:A,'DGS2'!B:B,"",-1)</f>
        <v>2.7</v>
      </c>
      <c r="N684">
        <f t="shared" si="83"/>
        <v>-2.9999999999999805E-2</v>
      </c>
      <c r="O684">
        <f t="shared" si="84"/>
        <v>8.6412091408138991E-5</v>
      </c>
      <c r="P684">
        <f t="shared" si="85"/>
        <v>1</v>
      </c>
      <c r="Q684">
        <f t="shared" si="86"/>
        <v>0</v>
      </c>
    </row>
    <row r="685" spans="1:17">
      <c r="A685" s="1">
        <v>43452</v>
      </c>
      <c r="B685">
        <v>2546.16</v>
      </c>
      <c r="C685">
        <f t="shared" si="80"/>
        <v>8.6412091408138991E-5</v>
      </c>
      <c r="D685">
        <f t="shared" si="87"/>
        <v>-3.9380654508137991E-2</v>
      </c>
      <c r="E685">
        <f>_xlfn.XLOOKUP(A685,VIX!A:A,VIX!B:B,"",-1)</f>
        <v>25.58</v>
      </c>
      <c r="F685">
        <f t="shared" si="81"/>
        <v>1.0599999999999987</v>
      </c>
      <c r="G685">
        <f>_xlfn.XLOOKUP(A685,'DGS10'!A:A,'DGS10'!B:B,"",-1)</f>
        <v>2.82</v>
      </c>
      <c r="H685">
        <f t="shared" si="82"/>
        <v>-4.0000000000000036E-2</v>
      </c>
      <c r="I685" s="2">
        <f>_xlfn.XLOOKUP(A685,T10Y3M!A:A,T10Y3M!B:B,"",-1)</f>
        <v>0.43</v>
      </c>
      <c r="J685" s="2">
        <f>_xlfn.XLOOKUP(A685,BAMLC0A4CBBB!A:A,BAMLC0A4CBBB!B:B,"",-1)</f>
        <v>1.89</v>
      </c>
      <c r="K685" s="2">
        <f>_xlfn.XLOOKUP(A685,CPIAUCSL!A:A,CPIAUCSL!B:B,"",-1)</f>
        <v>252.767</v>
      </c>
      <c r="L685">
        <f>_xlfn.XLOOKUP(A685,DFF!A:A,DFF!B:B,"",-1)</f>
        <v>2.2000000000000002</v>
      </c>
      <c r="M685">
        <f>_xlfn.XLOOKUP(A685,'DGS2'!A:A,'DGS2'!B:B,"",-1)</f>
        <v>2.65</v>
      </c>
      <c r="N685">
        <f t="shared" si="83"/>
        <v>-5.0000000000000266E-2</v>
      </c>
      <c r="O685">
        <f t="shared" si="84"/>
        <v>-1.5395733182517968E-2</v>
      </c>
      <c r="P685">
        <f t="shared" si="85"/>
        <v>0</v>
      </c>
      <c r="Q685">
        <f t="shared" si="86"/>
        <v>-1</v>
      </c>
    </row>
    <row r="686" spans="1:17">
      <c r="A686" s="1">
        <v>43453</v>
      </c>
      <c r="B686">
        <v>2506.96</v>
      </c>
      <c r="C686">
        <f t="shared" si="80"/>
        <v>-1.5395733182517968E-2</v>
      </c>
      <c r="D686">
        <f t="shared" si="87"/>
        <v>-3.5766072424469608E-2</v>
      </c>
      <c r="E686">
        <f>_xlfn.XLOOKUP(A686,VIX!A:A,VIX!B:B,"",-1)</f>
        <v>25.58</v>
      </c>
      <c r="F686">
        <f t="shared" si="81"/>
        <v>0</v>
      </c>
      <c r="G686">
        <f>_xlfn.XLOOKUP(A686,'DGS10'!A:A,'DGS10'!B:B,"",-1)</f>
        <v>2.77</v>
      </c>
      <c r="H686">
        <f t="shared" si="82"/>
        <v>-4.9999999999999822E-2</v>
      </c>
      <c r="I686" s="2">
        <f>_xlfn.XLOOKUP(A686,T10Y3M!A:A,T10Y3M!B:B,"",-1)</f>
        <v>0.37</v>
      </c>
      <c r="J686" s="2">
        <f>_xlfn.XLOOKUP(A686,BAMLC0A4CBBB!A:A,BAMLC0A4CBBB!B:B,"",-1)</f>
        <v>1.9</v>
      </c>
      <c r="K686" s="2">
        <f>_xlfn.XLOOKUP(A686,CPIAUCSL!A:A,CPIAUCSL!B:B,"",-1)</f>
        <v>252.767</v>
      </c>
      <c r="L686">
        <f>_xlfn.XLOOKUP(A686,DFF!A:A,DFF!B:B,"",-1)</f>
        <v>2.2000000000000002</v>
      </c>
      <c r="M686">
        <f>_xlfn.XLOOKUP(A686,'DGS2'!A:A,'DGS2'!B:B,"",-1)</f>
        <v>2.63</v>
      </c>
      <c r="N686">
        <f t="shared" si="83"/>
        <v>-2.0000000000000018E-2</v>
      </c>
      <c r="O686">
        <f t="shared" si="84"/>
        <v>-1.5772090500047797E-2</v>
      </c>
      <c r="P686">
        <f t="shared" si="85"/>
        <v>0</v>
      </c>
      <c r="Q686">
        <f t="shared" si="86"/>
        <v>-1</v>
      </c>
    </row>
    <row r="687" spans="1:17">
      <c r="A687" s="1">
        <v>43454</v>
      </c>
      <c r="B687">
        <v>2467.42</v>
      </c>
      <c r="C687">
        <f t="shared" si="80"/>
        <v>-1.5772090500047797E-2</v>
      </c>
      <c r="D687">
        <f t="shared" si="87"/>
        <v>-3.084126098808293E-2</v>
      </c>
      <c r="E687">
        <f>_xlfn.XLOOKUP(A687,VIX!A:A,VIX!B:B,"",-1)</f>
        <v>28.38</v>
      </c>
      <c r="F687">
        <f t="shared" si="81"/>
        <v>2.8000000000000007</v>
      </c>
      <c r="G687">
        <f>_xlfn.XLOOKUP(A687,'DGS10'!A:A,'DGS10'!B:B,"",-1)</f>
        <v>2.79</v>
      </c>
      <c r="H687">
        <f t="shared" si="82"/>
        <v>2.0000000000000018E-2</v>
      </c>
      <c r="I687" s="2">
        <f>_xlfn.XLOOKUP(A687,T10Y3M!A:A,T10Y3M!B:B,"",-1)</f>
        <v>0.4</v>
      </c>
      <c r="J687" s="2">
        <f>_xlfn.XLOOKUP(A687,BAMLC0A4CBBB!A:A,BAMLC0A4CBBB!B:B,"",-1)</f>
        <v>1.94</v>
      </c>
      <c r="K687" s="2">
        <f>_xlfn.XLOOKUP(A687,CPIAUCSL!A:A,CPIAUCSL!B:B,"",-1)</f>
        <v>252.767</v>
      </c>
      <c r="L687">
        <f>_xlfn.XLOOKUP(A687,DFF!A:A,DFF!B:B,"",-1)</f>
        <v>2.4</v>
      </c>
      <c r="M687">
        <f>_xlfn.XLOOKUP(A687,'DGS2'!A:A,'DGS2'!B:B,"",-1)</f>
        <v>2.67</v>
      </c>
      <c r="N687">
        <f t="shared" si="83"/>
        <v>4.0000000000000036E-2</v>
      </c>
      <c r="O687">
        <f t="shared" si="84"/>
        <v>-2.0588306814405377E-2</v>
      </c>
      <c r="P687">
        <f t="shared" si="85"/>
        <v>0</v>
      </c>
      <c r="Q687">
        <f t="shared" si="86"/>
        <v>-1</v>
      </c>
    </row>
    <row r="688" spans="1:17">
      <c r="A688" s="1">
        <v>43455</v>
      </c>
      <c r="B688">
        <v>2416.62</v>
      </c>
      <c r="C688">
        <f t="shared" si="80"/>
        <v>-2.0588306814405377E-2</v>
      </c>
      <c r="D688">
        <f t="shared" si="87"/>
        <v>-5.0876614195494385E-2</v>
      </c>
      <c r="E688">
        <f>_xlfn.XLOOKUP(A688,VIX!A:A,VIX!B:B,"",-1)</f>
        <v>30.11</v>
      </c>
      <c r="F688">
        <f t="shared" si="81"/>
        <v>1.7300000000000004</v>
      </c>
      <c r="G688">
        <f>_xlfn.XLOOKUP(A688,'DGS10'!A:A,'DGS10'!B:B,"",-1)</f>
        <v>2.79</v>
      </c>
      <c r="H688">
        <f t="shared" si="82"/>
        <v>0</v>
      </c>
      <c r="I688" s="2">
        <f>_xlfn.XLOOKUP(A688,T10Y3M!A:A,T10Y3M!B:B,"",-1)</f>
        <v>0.4</v>
      </c>
      <c r="J688" s="2">
        <f>_xlfn.XLOOKUP(A688,BAMLC0A4CBBB!A:A,BAMLC0A4CBBB!B:B,"",-1)</f>
        <v>1.96</v>
      </c>
      <c r="K688" s="2">
        <f>_xlfn.XLOOKUP(A688,CPIAUCSL!A:A,CPIAUCSL!B:B,"",-1)</f>
        <v>252.767</v>
      </c>
      <c r="L688">
        <f>_xlfn.XLOOKUP(A688,DFF!A:A,DFF!B:B,"",-1)</f>
        <v>2.4</v>
      </c>
      <c r="M688">
        <f>_xlfn.XLOOKUP(A688,'DGS2'!A:A,'DGS2'!B:B,"",-1)</f>
        <v>2.63</v>
      </c>
      <c r="N688">
        <f t="shared" si="83"/>
        <v>-4.0000000000000036E-2</v>
      </c>
      <c r="O688">
        <f t="shared" si="84"/>
        <v>-2.711224768478282E-2</v>
      </c>
      <c r="P688">
        <f t="shared" si="85"/>
        <v>0</v>
      </c>
      <c r="Q688">
        <f t="shared" si="86"/>
        <v>-1</v>
      </c>
    </row>
    <row r="689" spans="1:17">
      <c r="A689" s="1">
        <v>43458</v>
      </c>
      <c r="B689">
        <v>2351.1</v>
      </c>
      <c r="C689">
        <f t="shared" si="80"/>
        <v>-2.711224768478282E-2</v>
      </c>
      <c r="D689">
        <f t="shared" si="87"/>
        <v>-6.2170916169384527E-2</v>
      </c>
      <c r="E689">
        <f>_xlfn.XLOOKUP(A689,VIX!A:A,VIX!B:B,"",-1)</f>
        <v>36.07</v>
      </c>
      <c r="F689">
        <f t="shared" si="81"/>
        <v>5.9600000000000009</v>
      </c>
      <c r="G689">
        <f>_xlfn.XLOOKUP(A689,'DGS10'!A:A,'DGS10'!B:B,"",-1)</f>
        <v>2.74</v>
      </c>
      <c r="H689">
        <f t="shared" si="82"/>
        <v>-4.9999999999999822E-2</v>
      </c>
      <c r="I689" s="2">
        <f>_xlfn.XLOOKUP(A689,T10Y3M!A:A,T10Y3M!B:B,"",-1)</f>
        <v>0.28999999999999998</v>
      </c>
      <c r="J689" s="2">
        <f>_xlfn.XLOOKUP(A689,BAMLC0A4CBBB!A:A,BAMLC0A4CBBB!B:B,"",-1)</f>
        <v>1.97</v>
      </c>
      <c r="K689" s="2">
        <f>_xlfn.XLOOKUP(A689,CPIAUCSL!A:A,CPIAUCSL!B:B,"",-1)</f>
        <v>252.767</v>
      </c>
      <c r="L689">
        <f>_xlfn.XLOOKUP(A689,DFF!A:A,DFF!B:B,"",-1)</f>
        <v>2.4</v>
      </c>
      <c r="M689">
        <f>_xlfn.XLOOKUP(A689,'DGS2'!A:A,'DGS2'!B:B,"",-1)</f>
        <v>2.5499999999999998</v>
      </c>
      <c r="N689">
        <f t="shared" si="83"/>
        <v>-8.0000000000000071E-2</v>
      </c>
      <c r="O689">
        <f t="shared" si="84"/>
        <v>4.9593807154098002E-2</v>
      </c>
      <c r="P689">
        <f t="shared" si="85"/>
        <v>1</v>
      </c>
      <c r="Q689">
        <f t="shared" si="86"/>
        <v>1</v>
      </c>
    </row>
    <row r="690" spans="1:17">
      <c r="A690" s="1">
        <v>43460</v>
      </c>
      <c r="B690">
        <v>2467.6999999999998</v>
      </c>
      <c r="C690">
        <f t="shared" si="80"/>
        <v>4.9593807154098002E-2</v>
      </c>
      <c r="D690">
        <f t="shared" si="87"/>
        <v>1.1347885645718314E-4</v>
      </c>
      <c r="E690">
        <f>_xlfn.XLOOKUP(A690,VIX!A:A,VIX!B:B,"",-1)</f>
        <v>30.41</v>
      </c>
      <c r="F690">
        <f t="shared" si="81"/>
        <v>-5.66</v>
      </c>
      <c r="G690">
        <f>_xlfn.XLOOKUP(A690,'DGS10'!A:A,'DGS10'!B:B,"",-1)</f>
        <v>2.81</v>
      </c>
      <c r="H690">
        <f t="shared" si="82"/>
        <v>6.999999999999984E-2</v>
      </c>
      <c r="I690" s="2">
        <f>_xlfn.XLOOKUP(A690,T10Y3M!A:A,T10Y3M!B:B,"",-1)</f>
        <v>0.37</v>
      </c>
      <c r="J690" s="2">
        <f>_xlfn.XLOOKUP(A690,BAMLC0A4CBBB!A:A,BAMLC0A4CBBB!B:B,"",-1)</f>
        <v>1.98</v>
      </c>
      <c r="K690" s="2">
        <f>_xlfn.XLOOKUP(A690,CPIAUCSL!A:A,CPIAUCSL!B:B,"",-1)</f>
        <v>252.767</v>
      </c>
      <c r="L690">
        <f>_xlfn.XLOOKUP(A690,DFF!A:A,DFF!B:B,"",-1)</f>
        <v>2.4</v>
      </c>
      <c r="M690">
        <f>_xlfn.XLOOKUP(A690,'DGS2'!A:A,'DGS2'!B:B,"",-1)</f>
        <v>2.61</v>
      </c>
      <c r="N690">
        <f t="shared" si="83"/>
        <v>6.0000000000000053E-2</v>
      </c>
      <c r="O690">
        <f t="shared" si="84"/>
        <v>8.5626291688616352E-3</v>
      </c>
      <c r="P690">
        <f t="shared" si="85"/>
        <v>1</v>
      </c>
      <c r="Q690">
        <f t="shared" si="86"/>
        <v>1</v>
      </c>
    </row>
    <row r="691" spans="1:17">
      <c r="A691" s="1">
        <v>43461</v>
      </c>
      <c r="B691">
        <v>2488.83</v>
      </c>
      <c r="C691">
        <f t="shared" si="80"/>
        <v>8.5626291688616352E-3</v>
      </c>
      <c r="D691">
        <f t="shared" si="87"/>
        <v>2.9880577004245623E-2</v>
      </c>
      <c r="E691">
        <f>_xlfn.XLOOKUP(A691,VIX!A:A,VIX!B:B,"",-1)</f>
        <v>29.96</v>
      </c>
      <c r="F691">
        <f t="shared" si="81"/>
        <v>-0.44999999999999929</v>
      </c>
      <c r="G691">
        <f>_xlfn.XLOOKUP(A691,'DGS10'!A:A,'DGS10'!B:B,"",-1)</f>
        <v>2.77</v>
      </c>
      <c r="H691">
        <f t="shared" si="82"/>
        <v>-4.0000000000000036E-2</v>
      </c>
      <c r="I691" s="2">
        <f>_xlfn.XLOOKUP(A691,T10Y3M!A:A,T10Y3M!B:B,"",-1)</f>
        <v>0.36</v>
      </c>
      <c r="J691" s="2">
        <f>_xlfn.XLOOKUP(A691,BAMLC0A4CBBB!A:A,BAMLC0A4CBBB!B:B,"",-1)</f>
        <v>2</v>
      </c>
      <c r="K691" s="2">
        <f>_xlfn.XLOOKUP(A691,CPIAUCSL!A:A,CPIAUCSL!B:B,"",-1)</f>
        <v>252.767</v>
      </c>
      <c r="L691">
        <f>_xlfn.XLOOKUP(A691,DFF!A:A,DFF!B:B,"",-1)</f>
        <v>2.4</v>
      </c>
      <c r="M691">
        <f>_xlfn.XLOOKUP(A691,'DGS2'!A:A,'DGS2'!B:B,"",-1)</f>
        <v>2.56</v>
      </c>
      <c r="N691">
        <f t="shared" si="83"/>
        <v>-4.9999999999999822E-2</v>
      </c>
      <c r="O691">
        <f t="shared" si="84"/>
        <v>-1.2415472330372657E-3</v>
      </c>
      <c r="P691">
        <f t="shared" si="85"/>
        <v>0</v>
      </c>
      <c r="Q691">
        <f t="shared" si="86"/>
        <v>0</v>
      </c>
    </row>
    <row r="692" spans="1:17">
      <c r="A692" s="1">
        <v>43462</v>
      </c>
      <c r="B692">
        <v>2485.7399999999998</v>
      </c>
      <c r="C692">
        <f t="shared" si="80"/>
        <v>-1.2415472330372657E-3</v>
      </c>
      <c r="D692">
        <f t="shared" si="87"/>
        <v>5.7266811279826468E-2</v>
      </c>
      <c r="E692">
        <f>_xlfn.XLOOKUP(A692,VIX!A:A,VIX!B:B,"",-1)</f>
        <v>28.34</v>
      </c>
      <c r="F692">
        <f t="shared" si="81"/>
        <v>-1.620000000000001</v>
      </c>
      <c r="G692">
        <f>_xlfn.XLOOKUP(A692,'DGS10'!A:A,'DGS10'!B:B,"",-1)</f>
        <v>2.72</v>
      </c>
      <c r="H692">
        <f t="shared" si="82"/>
        <v>-4.9999999999999822E-2</v>
      </c>
      <c r="I692" s="2">
        <f>_xlfn.XLOOKUP(A692,T10Y3M!A:A,T10Y3M!B:B,"",-1)</f>
        <v>0.32</v>
      </c>
      <c r="J692" s="2">
        <f>_xlfn.XLOOKUP(A692,BAMLC0A4CBBB!A:A,BAMLC0A4CBBB!B:B,"",-1)</f>
        <v>2.0099999999999998</v>
      </c>
      <c r="K692" s="2">
        <f>_xlfn.XLOOKUP(A692,CPIAUCSL!A:A,CPIAUCSL!B:B,"",-1)</f>
        <v>252.767</v>
      </c>
      <c r="L692">
        <f>_xlfn.XLOOKUP(A692,DFF!A:A,DFF!B:B,"",-1)</f>
        <v>2.4</v>
      </c>
      <c r="M692">
        <f>_xlfn.XLOOKUP(A692,'DGS2'!A:A,'DGS2'!B:B,"",-1)</f>
        <v>2.52</v>
      </c>
      <c r="N692">
        <f t="shared" si="83"/>
        <v>-4.0000000000000036E-2</v>
      </c>
      <c r="O692">
        <f t="shared" si="84"/>
        <v>8.4924408827955489E-3</v>
      </c>
      <c r="P692">
        <f t="shared" si="85"/>
        <v>1</v>
      </c>
      <c r="Q692">
        <f t="shared" si="86"/>
        <v>1</v>
      </c>
    </row>
    <row r="693" spans="1:17">
      <c r="A693" s="1">
        <v>43465</v>
      </c>
      <c r="B693">
        <v>2506.85</v>
      </c>
      <c r="C693">
        <f t="shared" si="80"/>
        <v>8.4924408827955489E-3</v>
      </c>
      <c r="D693">
        <f t="shared" si="87"/>
        <v>1.5864975483243615E-2</v>
      </c>
      <c r="E693">
        <f>_xlfn.XLOOKUP(A693,VIX!A:A,VIX!B:B,"",-1)</f>
        <v>25.42</v>
      </c>
      <c r="F693">
        <f t="shared" si="81"/>
        <v>-2.9199999999999982</v>
      </c>
      <c r="G693">
        <f>_xlfn.XLOOKUP(A693,'DGS10'!A:A,'DGS10'!B:B,"",-1)</f>
        <v>2.69</v>
      </c>
      <c r="H693">
        <f t="shared" si="82"/>
        <v>-3.0000000000000249E-2</v>
      </c>
      <c r="I693" s="2">
        <f>_xlfn.XLOOKUP(A693,T10Y3M!A:A,T10Y3M!B:B,"",-1)</f>
        <v>0.24</v>
      </c>
      <c r="J693" s="2">
        <f>_xlfn.XLOOKUP(A693,BAMLC0A4CBBB!A:A,BAMLC0A4CBBB!B:B,"",-1)</f>
        <v>2.02</v>
      </c>
      <c r="K693" s="2">
        <f>_xlfn.XLOOKUP(A693,CPIAUCSL!A:A,CPIAUCSL!B:B,"",-1)</f>
        <v>252.767</v>
      </c>
      <c r="L693">
        <f>_xlfn.XLOOKUP(A693,DFF!A:A,DFF!B:B,"",-1)</f>
        <v>2.4</v>
      </c>
      <c r="M693">
        <f>_xlfn.XLOOKUP(A693,'DGS2'!A:A,'DGS2'!B:B,"",-1)</f>
        <v>2.48</v>
      </c>
      <c r="N693">
        <f t="shared" si="83"/>
        <v>-4.0000000000000036E-2</v>
      </c>
      <c r="O693">
        <f t="shared" si="84"/>
        <v>1.2685242435728217E-3</v>
      </c>
      <c r="P693">
        <f t="shared" si="85"/>
        <v>1</v>
      </c>
      <c r="Q693">
        <f t="shared" si="86"/>
        <v>0</v>
      </c>
    </row>
    <row r="694" spans="1:17">
      <c r="A694" s="1">
        <v>43467</v>
      </c>
      <c r="B694">
        <v>2510.0300000000002</v>
      </c>
      <c r="C694">
        <f t="shared" si="80"/>
        <v>1.2685242435728217E-3</v>
      </c>
      <c r="D694">
        <f t="shared" si="87"/>
        <v>8.5180586862101393E-3</v>
      </c>
      <c r="E694">
        <f>_xlfn.XLOOKUP(A694,VIX!A:A,VIX!B:B,"",-1)</f>
        <v>23.22</v>
      </c>
      <c r="F694">
        <f t="shared" si="81"/>
        <v>-2.2000000000000028</v>
      </c>
      <c r="G694">
        <f>_xlfn.XLOOKUP(A694,'DGS10'!A:A,'DGS10'!B:B,"",-1)</f>
        <v>2.66</v>
      </c>
      <c r="H694">
        <f t="shared" si="82"/>
        <v>-2.9999999999999805E-2</v>
      </c>
      <c r="I694" s="2">
        <f>_xlfn.XLOOKUP(A694,T10Y3M!A:A,T10Y3M!B:B,"",-1)</f>
        <v>0.24</v>
      </c>
      <c r="J694" s="2">
        <f>_xlfn.XLOOKUP(A694,BAMLC0A4CBBB!A:A,BAMLC0A4CBBB!B:B,"",-1)</f>
        <v>2.0299999999999998</v>
      </c>
      <c r="K694" s="2">
        <f>_xlfn.XLOOKUP(A694,CPIAUCSL!A:A,CPIAUCSL!B:B,"",-1)</f>
        <v>252.56100000000001</v>
      </c>
      <c r="L694">
        <f>_xlfn.XLOOKUP(A694,DFF!A:A,DFF!B:B,"",-1)</f>
        <v>2.4</v>
      </c>
      <c r="M694">
        <f>_xlfn.XLOOKUP(A694,'DGS2'!A:A,'DGS2'!B:B,"",-1)</f>
        <v>2.5</v>
      </c>
      <c r="N694">
        <f t="shared" si="83"/>
        <v>2.0000000000000018E-2</v>
      </c>
      <c r="O694">
        <f t="shared" si="84"/>
        <v>-2.4756676215025419E-2</v>
      </c>
      <c r="P694">
        <f t="shared" si="85"/>
        <v>0</v>
      </c>
      <c r="Q694">
        <f t="shared" si="86"/>
        <v>-1</v>
      </c>
    </row>
    <row r="695" spans="1:17">
      <c r="A695" s="1">
        <v>43468</v>
      </c>
      <c r="B695">
        <v>2447.89</v>
      </c>
      <c r="C695">
        <f t="shared" si="80"/>
        <v>-2.4756676215025419E-2</v>
      </c>
      <c r="D695">
        <f t="shared" si="87"/>
        <v>-1.522685397507384E-2</v>
      </c>
      <c r="E695">
        <f>_xlfn.XLOOKUP(A695,VIX!A:A,VIX!B:B,"",-1)</f>
        <v>25.45</v>
      </c>
      <c r="F695">
        <f t="shared" si="81"/>
        <v>2.2300000000000004</v>
      </c>
      <c r="G695">
        <f>_xlfn.XLOOKUP(A695,'DGS10'!A:A,'DGS10'!B:B,"",-1)</f>
        <v>2.56</v>
      </c>
      <c r="H695">
        <f t="shared" si="82"/>
        <v>-0.10000000000000009</v>
      </c>
      <c r="I695" s="2">
        <f>_xlfn.XLOOKUP(A695,T10Y3M!A:A,T10Y3M!B:B,"",-1)</f>
        <v>0.15</v>
      </c>
      <c r="J695" s="2">
        <f>_xlfn.XLOOKUP(A695,BAMLC0A4CBBB!A:A,BAMLC0A4CBBB!B:B,"",-1)</f>
        <v>2.06</v>
      </c>
      <c r="K695" s="2">
        <f>_xlfn.XLOOKUP(A695,CPIAUCSL!A:A,CPIAUCSL!B:B,"",-1)</f>
        <v>252.56100000000001</v>
      </c>
      <c r="L695">
        <f>_xlfn.XLOOKUP(A695,DFF!A:A,DFF!B:B,"",-1)</f>
        <v>2.4</v>
      </c>
      <c r="M695">
        <f>_xlfn.XLOOKUP(A695,'DGS2'!A:A,'DGS2'!B:B,"",-1)</f>
        <v>2.39</v>
      </c>
      <c r="N695">
        <f t="shared" si="83"/>
        <v>-0.10999999999999988</v>
      </c>
      <c r="O695">
        <f t="shared" si="84"/>
        <v>3.4335693188827898E-2</v>
      </c>
      <c r="P695">
        <f t="shared" si="85"/>
        <v>1</v>
      </c>
      <c r="Q695">
        <f t="shared" si="86"/>
        <v>1</v>
      </c>
    </row>
    <row r="696" spans="1:17">
      <c r="A696" s="1">
        <v>43469</v>
      </c>
      <c r="B696">
        <v>2531.94</v>
      </c>
      <c r="C696">
        <f t="shared" si="80"/>
        <v>3.4335693188827898E-2</v>
      </c>
      <c r="D696">
        <f t="shared" si="87"/>
        <v>1.0008576500388999E-2</v>
      </c>
      <c r="E696">
        <f>_xlfn.XLOOKUP(A696,VIX!A:A,VIX!B:B,"",-1)</f>
        <v>21.38</v>
      </c>
      <c r="F696">
        <f t="shared" si="81"/>
        <v>-4.07</v>
      </c>
      <c r="G696">
        <f>_xlfn.XLOOKUP(A696,'DGS10'!A:A,'DGS10'!B:B,"",-1)</f>
        <v>2.67</v>
      </c>
      <c r="H696">
        <f t="shared" si="82"/>
        <v>0.10999999999999988</v>
      </c>
      <c r="I696" s="2">
        <f>_xlfn.XLOOKUP(A696,T10Y3M!A:A,T10Y3M!B:B,"",-1)</f>
        <v>0.25</v>
      </c>
      <c r="J696" s="2">
        <f>_xlfn.XLOOKUP(A696,BAMLC0A4CBBB!A:A,BAMLC0A4CBBB!B:B,"",-1)</f>
        <v>2.0499999999999998</v>
      </c>
      <c r="K696" s="2">
        <f>_xlfn.XLOOKUP(A696,CPIAUCSL!A:A,CPIAUCSL!B:B,"",-1)</f>
        <v>252.56100000000001</v>
      </c>
      <c r="L696">
        <f>_xlfn.XLOOKUP(A696,DFF!A:A,DFF!B:B,"",-1)</f>
        <v>2.4</v>
      </c>
      <c r="M696">
        <f>_xlfn.XLOOKUP(A696,'DGS2'!A:A,'DGS2'!B:B,"",-1)</f>
        <v>2.5</v>
      </c>
      <c r="N696">
        <f t="shared" si="83"/>
        <v>0.10999999999999988</v>
      </c>
      <c r="O696">
        <f t="shared" si="84"/>
        <v>7.0104346864459099E-3</v>
      </c>
      <c r="P696">
        <f t="shared" si="85"/>
        <v>1</v>
      </c>
      <c r="Q696">
        <f t="shared" si="86"/>
        <v>1</v>
      </c>
    </row>
    <row r="697" spans="1:17">
      <c r="A697" s="1">
        <v>43472</v>
      </c>
      <c r="B697">
        <v>2549.69</v>
      </c>
      <c r="C697">
        <f t="shared" si="80"/>
        <v>7.0104346864459099E-3</v>
      </c>
      <c r="D697">
        <f t="shared" si="87"/>
        <v>1.5800607960861024E-2</v>
      </c>
      <c r="E697">
        <f>_xlfn.XLOOKUP(A697,VIX!A:A,VIX!B:B,"",-1)</f>
        <v>21.4</v>
      </c>
      <c r="F697">
        <f t="shared" si="81"/>
        <v>1.9999999999999574E-2</v>
      </c>
      <c r="G697">
        <f>_xlfn.XLOOKUP(A697,'DGS10'!A:A,'DGS10'!B:B,"",-1)</f>
        <v>2.7</v>
      </c>
      <c r="H697">
        <f t="shared" si="82"/>
        <v>3.0000000000000249E-2</v>
      </c>
      <c r="I697" s="2">
        <f>_xlfn.XLOOKUP(A697,T10Y3M!A:A,T10Y3M!B:B,"",-1)</f>
        <v>0.25</v>
      </c>
      <c r="J697" s="2">
        <f>_xlfn.XLOOKUP(A697,BAMLC0A4CBBB!A:A,BAMLC0A4CBBB!B:B,"",-1)</f>
        <v>2.0299999999999998</v>
      </c>
      <c r="K697" s="2">
        <f>_xlfn.XLOOKUP(A697,CPIAUCSL!A:A,CPIAUCSL!B:B,"",-1)</f>
        <v>252.56100000000001</v>
      </c>
      <c r="L697">
        <f>_xlfn.XLOOKUP(A697,DFF!A:A,DFF!B:B,"",-1)</f>
        <v>2.4</v>
      </c>
      <c r="M697">
        <f>_xlfn.XLOOKUP(A697,'DGS2'!A:A,'DGS2'!B:B,"",-1)</f>
        <v>2.5299999999999998</v>
      </c>
      <c r="N697">
        <f t="shared" si="83"/>
        <v>2.9999999999999805E-2</v>
      </c>
      <c r="O697">
        <f t="shared" si="84"/>
        <v>9.6952962909215845E-3</v>
      </c>
      <c r="P697">
        <f t="shared" si="85"/>
        <v>1</v>
      </c>
      <c r="Q697">
        <f t="shared" si="86"/>
        <v>1</v>
      </c>
    </row>
    <row r="698" spans="1:17">
      <c r="A698" s="1">
        <v>43473</v>
      </c>
      <c r="B698">
        <v>2574.41</v>
      </c>
      <c r="C698">
        <f t="shared" si="80"/>
        <v>9.6952962909215845E-3</v>
      </c>
      <c r="D698">
        <f t="shared" si="87"/>
        <v>5.1685328997626456E-2</v>
      </c>
      <c r="E698">
        <f>_xlfn.XLOOKUP(A698,VIX!A:A,VIX!B:B,"",-1)</f>
        <v>20.47</v>
      </c>
      <c r="F698">
        <f t="shared" si="81"/>
        <v>-0.92999999999999972</v>
      </c>
      <c r="G698">
        <f>_xlfn.XLOOKUP(A698,'DGS10'!A:A,'DGS10'!B:B,"",-1)</f>
        <v>2.73</v>
      </c>
      <c r="H698">
        <f t="shared" si="82"/>
        <v>2.9999999999999805E-2</v>
      </c>
      <c r="I698" s="2">
        <f>_xlfn.XLOOKUP(A698,T10Y3M!A:A,T10Y3M!B:B,"",-1)</f>
        <v>0.27</v>
      </c>
      <c r="J698" s="2">
        <f>_xlfn.XLOOKUP(A698,BAMLC0A4CBBB!A:A,BAMLC0A4CBBB!B:B,"",-1)</f>
        <v>2.0099999999999998</v>
      </c>
      <c r="K698" s="2">
        <f>_xlfn.XLOOKUP(A698,CPIAUCSL!A:A,CPIAUCSL!B:B,"",-1)</f>
        <v>252.56100000000001</v>
      </c>
      <c r="L698">
        <f>_xlfn.XLOOKUP(A698,DFF!A:A,DFF!B:B,"",-1)</f>
        <v>2.4</v>
      </c>
      <c r="M698">
        <f>_xlfn.XLOOKUP(A698,'DGS2'!A:A,'DGS2'!B:B,"",-1)</f>
        <v>2.58</v>
      </c>
      <c r="N698">
        <f t="shared" si="83"/>
        <v>5.0000000000000266E-2</v>
      </c>
      <c r="O698">
        <f t="shared" si="84"/>
        <v>4.0980263439003295E-3</v>
      </c>
      <c r="P698">
        <f t="shared" si="85"/>
        <v>1</v>
      </c>
      <c r="Q698">
        <f t="shared" si="86"/>
        <v>1</v>
      </c>
    </row>
    <row r="699" spans="1:17">
      <c r="A699" s="1">
        <v>43474</v>
      </c>
      <c r="B699">
        <v>2584.96</v>
      </c>
      <c r="C699">
        <f t="shared" si="80"/>
        <v>4.0980263439003295E-3</v>
      </c>
      <c r="D699">
        <f t="shared" si="87"/>
        <v>2.094046462396415E-2</v>
      </c>
      <c r="E699">
        <f>_xlfn.XLOOKUP(A699,VIX!A:A,VIX!B:B,"",-1)</f>
        <v>19.98</v>
      </c>
      <c r="F699">
        <f t="shared" si="81"/>
        <v>-0.48999999999999844</v>
      </c>
      <c r="G699">
        <f>_xlfn.XLOOKUP(A699,'DGS10'!A:A,'DGS10'!B:B,"",-1)</f>
        <v>2.74</v>
      </c>
      <c r="H699">
        <f t="shared" si="82"/>
        <v>1.0000000000000231E-2</v>
      </c>
      <c r="I699" s="2">
        <f>_xlfn.XLOOKUP(A699,T10Y3M!A:A,T10Y3M!B:B,"",-1)</f>
        <v>0.28999999999999998</v>
      </c>
      <c r="J699" s="2">
        <f>_xlfn.XLOOKUP(A699,BAMLC0A4CBBB!A:A,BAMLC0A4CBBB!B:B,"",-1)</f>
        <v>1.97</v>
      </c>
      <c r="K699" s="2">
        <f>_xlfn.XLOOKUP(A699,CPIAUCSL!A:A,CPIAUCSL!B:B,"",-1)</f>
        <v>252.56100000000001</v>
      </c>
      <c r="L699">
        <f>_xlfn.XLOOKUP(A699,DFF!A:A,DFF!B:B,"",-1)</f>
        <v>2.4</v>
      </c>
      <c r="M699">
        <f>_xlfn.XLOOKUP(A699,'DGS2'!A:A,'DGS2'!B:B,"",-1)</f>
        <v>2.56</v>
      </c>
      <c r="N699">
        <f t="shared" si="83"/>
        <v>-2.0000000000000018E-2</v>
      </c>
      <c r="O699">
        <f t="shared" si="84"/>
        <v>4.5184451596929076E-3</v>
      </c>
      <c r="P699">
        <f t="shared" si="85"/>
        <v>1</v>
      </c>
      <c r="Q699">
        <f t="shared" si="86"/>
        <v>1</v>
      </c>
    </row>
    <row r="700" spans="1:17">
      <c r="A700" s="1">
        <v>43475</v>
      </c>
      <c r="B700">
        <v>2596.64</v>
      </c>
      <c r="C700">
        <f t="shared" si="80"/>
        <v>4.5184451596929076E-3</v>
      </c>
      <c r="D700">
        <f t="shared" si="87"/>
        <v>1.8414003270985857E-2</v>
      </c>
      <c r="E700">
        <f>_xlfn.XLOOKUP(A700,VIX!A:A,VIX!B:B,"",-1)</f>
        <v>19.5</v>
      </c>
      <c r="F700">
        <f t="shared" si="81"/>
        <v>-0.48000000000000043</v>
      </c>
      <c r="G700">
        <f>_xlfn.XLOOKUP(A700,'DGS10'!A:A,'DGS10'!B:B,"",-1)</f>
        <v>2.74</v>
      </c>
      <c r="H700">
        <f t="shared" si="82"/>
        <v>0</v>
      </c>
      <c r="I700" s="2">
        <f>_xlfn.XLOOKUP(A700,T10Y3M!A:A,T10Y3M!B:B,"",-1)</f>
        <v>0.31</v>
      </c>
      <c r="J700" s="2">
        <f>_xlfn.XLOOKUP(A700,BAMLC0A4CBBB!A:A,BAMLC0A4CBBB!B:B,"",-1)</f>
        <v>1.97</v>
      </c>
      <c r="K700" s="2">
        <f>_xlfn.XLOOKUP(A700,CPIAUCSL!A:A,CPIAUCSL!B:B,"",-1)</f>
        <v>252.56100000000001</v>
      </c>
      <c r="L700">
        <f>_xlfn.XLOOKUP(A700,DFF!A:A,DFF!B:B,"",-1)</f>
        <v>2.4</v>
      </c>
      <c r="M700">
        <f>_xlfn.XLOOKUP(A700,'DGS2'!A:A,'DGS2'!B:B,"",-1)</f>
        <v>2.56</v>
      </c>
      <c r="N700">
        <f t="shared" si="83"/>
        <v>0</v>
      </c>
      <c r="O700">
        <f t="shared" si="84"/>
        <v>-1.4634296629478794E-4</v>
      </c>
      <c r="P700">
        <f t="shared" si="85"/>
        <v>0</v>
      </c>
      <c r="Q700">
        <f t="shared" si="86"/>
        <v>0</v>
      </c>
    </row>
    <row r="701" spans="1:17">
      <c r="A701" s="1">
        <v>43476</v>
      </c>
      <c r="B701">
        <v>2596.2600000000002</v>
      </c>
      <c r="C701">
        <f t="shared" si="80"/>
        <v>-1.4634296629478794E-4</v>
      </c>
      <c r="D701">
        <f t="shared" si="87"/>
        <v>8.487381574807662E-3</v>
      </c>
      <c r="E701">
        <f>_xlfn.XLOOKUP(A701,VIX!A:A,VIX!B:B,"",-1)</f>
        <v>18.190000000000001</v>
      </c>
      <c r="F701">
        <f t="shared" si="81"/>
        <v>-1.3099999999999987</v>
      </c>
      <c r="G701">
        <f>_xlfn.XLOOKUP(A701,'DGS10'!A:A,'DGS10'!B:B,"",-1)</f>
        <v>2.71</v>
      </c>
      <c r="H701">
        <f t="shared" si="82"/>
        <v>-3.0000000000000249E-2</v>
      </c>
      <c r="I701" s="2">
        <f>_xlfn.XLOOKUP(A701,T10Y3M!A:A,T10Y3M!B:B,"",-1)</f>
        <v>0.28000000000000003</v>
      </c>
      <c r="J701" s="2">
        <f>_xlfn.XLOOKUP(A701,BAMLC0A4CBBB!A:A,BAMLC0A4CBBB!B:B,"",-1)</f>
        <v>1.96</v>
      </c>
      <c r="K701" s="2">
        <f>_xlfn.XLOOKUP(A701,CPIAUCSL!A:A,CPIAUCSL!B:B,"",-1)</f>
        <v>252.56100000000001</v>
      </c>
      <c r="L701">
        <f>_xlfn.XLOOKUP(A701,DFF!A:A,DFF!B:B,"",-1)</f>
        <v>2.4</v>
      </c>
      <c r="M701">
        <f>_xlfn.XLOOKUP(A701,'DGS2'!A:A,'DGS2'!B:B,"",-1)</f>
        <v>2.5499999999999998</v>
      </c>
      <c r="N701">
        <f t="shared" si="83"/>
        <v>-1.0000000000000231E-2</v>
      </c>
      <c r="O701">
        <f t="shared" si="84"/>
        <v>-5.2575628018766141E-3</v>
      </c>
      <c r="P701">
        <f t="shared" si="85"/>
        <v>0</v>
      </c>
      <c r="Q701">
        <f t="shared" si="86"/>
        <v>-1</v>
      </c>
    </row>
    <row r="702" spans="1:17">
      <c r="A702" s="1">
        <v>43479</v>
      </c>
      <c r="B702">
        <v>2582.61</v>
      </c>
      <c r="C702">
        <f t="shared" si="80"/>
        <v>-5.2575628018766141E-3</v>
      </c>
      <c r="D702">
        <f t="shared" si="87"/>
        <v>-9.0910497647933575E-4</v>
      </c>
      <c r="E702">
        <f>_xlfn.XLOOKUP(A702,VIX!A:A,VIX!B:B,"",-1)</f>
        <v>19.07</v>
      </c>
      <c r="F702">
        <f t="shared" si="81"/>
        <v>0.87999999999999901</v>
      </c>
      <c r="G702">
        <f>_xlfn.XLOOKUP(A702,'DGS10'!A:A,'DGS10'!B:B,"",-1)</f>
        <v>2.71</v>
      </c>
      <c r="H702">
        <f t="shared" si="82"/>
        <v>0</v>
      </c>
      <c r="I702" s="2">
        <f>_xlfn.XLOOKUP(A702,T10Y3M!A:A,T10Y3M!B:B,"",-1)</f>
        <v>0.26</v>
      </c>
      <c r="J702" s="2">
        <f>_xlfn.XLOOKUP(A702,BAMLC0A4CBBB!A:A,BAMLC0A4CBBB!B:B,"",-1)</f>
        <v>1.96</v>
      </c>
      <c r="K702" s="2">
        <f>_xlfn.XLOOKUP(A702,CPIAUCSL!A:A,CPIAUCSL!B:B,"",-1)</f>
        <v>252.56100000000001</v>
      </c>
      <c r="L702">
        <f>_xlfn.XLOOKUP(A702,DFF!A:A,DFF!B:B,"",-1)</f>
        <v>2.4</v>
      </c>
      <c r="M702">
        <f>_xlfn.XLOOKUP(A702,'DGS2'!A:A,'DGS2'!B:B,"",-1)</f>
        <v>2.5299999999999998</v>
      </c>
      <c r="N702">
        <f t="shared" si="83"/>
        <v>-2.0000000000000018E-2</v>
      </c>
      <c r="O702">
        <f t="shared" si="84"/>
        <v>1.0721711756711327E-2</v>
      </c>
      <c r="P702">
        <f t="shared" si="85"/>
        <v>1</v>
      </c>
      <c r="Q702">
        <f t="shared" si="86"/>
        <v>1</v>
      </c>
    </row>
    <row r="703" spans="1:17">
      <c r="A703" s="1">
        <v>43480</v>
      </c>
      <c r="B703">
        <v>2610.3000000000002</v>
      </c>
      <c r="C703">
        <f t="shared" si="80"/>
        <v>1.0721711756711327E-2</v>
      </c>
      <c r="D703">
        <f t="shared" si="87"/>
        <v>5.2606445252327827E-3</v>
      </c>
      <c r="E703">
        <f>_xlfn.XLOOKUP(A703,VIX!A:A,VIX!B:B,"",-1)</f>
        <v>18.600000000000001</v>
      </c>
      <c r="F703">
        <f t="shared" si="81"/>
        <v>-0.46999999999999886</v>
      </c>
      <c r="G703">
        <f>_xlfn.XLOOKUP(A703,'DGS10'!A:A,'DGS10'!B:B,"",-1)</f>
        <v>2.72</v>
      </c>
      <c r="H703">
        <f t="shared" si="82"/>
        <v>1.0000000000000231E-2</v>
      </c>
      <c r="I703" s="2">
        <f>_xlfn.XLOOKUP(A703,T10Y3M!A:A,T10Y3M!B:B,"",-1)</f>
        <v>0.27</v>
      </c>
      <c r="J703" s="2">
        <f>_xlfn.XLOOKUP(A703,BAMLC0A4CBBB!A:A,BAMLC0A4CBBB!B:B,"",-1)</f>
        <v>1.96</v>
      </c>
      <c r="K703" s="2">
        <f>_xlfn.XLOOKUP(A703,CPIAUCSL!A:A,CPIAUCSL!B:B,"",-1)</f>
        <v>252.56100000000001</v>
      </c>
      <c r="L703">
        <f>_xlfn.XLOOKUP(A703,DFF!A:A,DFF!B:B,"",-1)</f>
        <v>2.4</v>
      </c>
      <c r="M703">
        <f>_xlfn.XLOOKUP(A703,'DGS2'!A:A,'DGS2'!B:B,"",-1)</f>
        <v>2.5299999999999998</v>
      </c>
      <c r="N703">
        <f t="shared" si="83"/>
        <v>0</v>
      </c>
      <c r="O703">
        <f t="shared" si="84"/>
        <v>2.2219668237366541E-3</v>
      </c>
      <c r="P703">
        <f t="shared" si="85"/>
        <v>1</v>
      </c>
      <c r="Q703">
        <f t="shared" si="86"/>
        <v>0</v>
      </c>
    </row>
    <row r="704" spans="1:17">
      <c r="A704" s="1">
        <v>43481</v>
      </c>
      <c r="B704">
        <v>2616.1</v>
      </c>
      <c r="C704">
        <f t="shared" si="80"/>
        <v>2.2219668237366541E-3</v>
      </c>
      <c r="D704">
        <f t="shared" si="87"/>
        <v>7.6417616109325515E-3</v>
      </c>
      <c r="E704">
        <f>_xlfn.XLOOKUP(A704,VIX!A:A,VIX!B:B,"",-1)</f>
        <v>19.04</v>
      </c>
      <c r="F704">
        <f t="shared" si="81"/>
        <v>0.43999999999999773</v>
      </c>
      <c r="G704">
        <f>_xlfn.XLOOKUP(A704,'DGS10'!A:A,'DGS10'!B:B,"",-1)</f>
        <v>2.73</v>
      </c>
      <c r="H704">
        <f t="shared" si="82"/>
        <v>9.9999999999997868E-3</v>
      </c>
      <c r="I704" s="2">
        <f>_xlfn.XLOOKUP(A704,T10Y3M!A:A,T10Y3M!B:B,"",-1)</f>
        <v>0.3</v>
      </c>
      <c r="J704" s="2">
        <f>_xlfn.XLOOKUP(A704,BAMLC0A4CBBB!A:A,BAMLC0A4CBBB!B:B,"",-1)</f>
        <v>1.93</v>
      </c>
      <c r="K704" s="2">
        <f>_xlfn.XLOOKUP(A704,CPIAUCSL!A:A,CPIAUCSL!B:B,"",-1)</f>
        <v>252.56100000000001</v>
      </c>
      <c r="L704">
        <f>_xlfn.XLOOKUP(A704,DFF!A:A,DFF!B:B,"",-1)</f>
        <v>2.4</v>
      </c>
      <c r="M704">
        <f>_xlfn.XLOOKUP(A704,'DGS2'!A:A,'DGS2'!B:B,"",-1)</f>
        <v>2.5499999999999998</v>
      </c>
      <c r="N704">
        <f t="shared" si="83"/>
        <v>2.0000000000000018E-2</v>
      </c>
      <c r="O704">
        <f t="shared" si="84"/>
        <v>7.5914529261114083E-3</v>
      </c>
      <c r="P704">
        <f t="shared" si="85"/>
        <v>1</v>
      </c>
      <c r="Q704">
        <f t="shared" si="86"/>
        <v>1</v>
      </c>
    </row>
    <row r="705" spans="1:17">
      <c r="A705" s="1">
        <v>43482</v>
      </c>
      <c r="B705">
        <v>2635.96</v>
      </c>
      <c r="C705">
        <f t="shared" si="80"/>
        <v>7.5914529261114083E-3</v>
      </c>
      <c r="D705">
        <f t="shared" si="87"/>
        <v>2.0657396974378628E-2</v>
      </c>
      <c r="E705">
        <f>_xlfn.XLOOKUP(A705,VIX!A:A,VIX!B:B,"",-1)</f>
        <v>18.059999999999999</v>
      </c>
      <c r="F705">
        <f t="shared" si="81"/>
        <v>-0.98000000000000043</v>
      </c>
      <c r="G705">
        <f>_xlfn.XLOOKUP(A705,'DGS10'!A:A,'DGS10'!B:B,"",-1)</f>
        <v>2.75</v>
      </c>
      <c r="H705">
        <f t="shared" si="82"/>
        <v>2.0000000000000018E-2</v>
      </c>
      <c r="I705" s="2">
        <f>_xlfn.XLOOKUP(A705,T10Y3M!A:A,T10Y3M!B:B,"",-1)</f>
        <v>0.33</v>
      </c>
      <c r="J705" s="2">
        <f>_xlfn.XLOOKUP(A705,BAMLC0A4CBBB!A:A,BAMLC0A4CBBB!B:B,"",-1)</f>
        <v>1.91</v>
      </c>
      <c r="K705" s="2">
        <f>_xlfn.XLOOKUP(A705,CPIAUCSL!A:A,CPIAUCSL!B:B,"",-1)</f>
        <v>252.56100000000001</v>
      </c>
      <c r="L705">
        <f>_xlfn.XLOOKUP(A705,DFF!A:A,DFF!B:B,"",-1)</f>
        <v>2.4</v>
      </c>
      <c r="M705">
        <f>_xlfn.XLOOKUP(A705,'DGS2'!A:A,'DGS2'!B:B,"",-1)</f>
        <v>2.56</v>
      </c>
      <c r="N705">
        <f t="shared" si="83"/>
        <v>1.0000000000000231E-2</v>
      </c>
      <c r="O705">
        <f t="shared" si="84"/>
        <v>1.3183052853609212E-2</v>
      </c>
      <c r="P705">
        <f t="shared" si="85"/>
        <v>1</v>
      </c>
      <c r="Q705">
        <f t="shared" si="86"/>
        <v>1</v>
      </c>
    </row>
    <row r="706" spans="1:17">
      <c r="A706" s="1">
        <v>43483</v>
      </c>
      <c r="B706">
        <v>2670.71</v>
      </c>
      <c r="C706">
        <f t="shared" si="80"/>
        <v>1.3183052853609212E-2</v>
      </c>
      <c r="D706">
        <f t="shared" si="87"/>
        <v>2.3142933762402729E-2</v>
      </c>
      <c r="E706">
        <f>_xlfn.XLOOKUP(A706,VIX!A:A,VIX!B:B,"",-1)</f>
        <v>17.8</v>
      </c>
      <c r="F706">
        <f t="shared" si="81"/>
        <v>-0.25999999999999801</v>
      </c>
      <c r="G706">
        <f>_xlfn.XLOOKUP(A706,'DGS10'!A:A,'DGS10'!B:B,"",-1)</f>
        <v>2.79</v>
      </c>
      <c r="H706">
        <f t="shared" si="82"/>
        <v>4.0000000000000036E-2</v>
      </c>
      <c r="I706" s="2">
        <f>_xlfn.XLOOKUP(A706,T10Y3M!A:A,T10Y3M!B:B,"",-1)</f>
        <v>0.38</v>
      </c>
      <c r="J706" s="2">
        <f>_xlfn.XLOOKUP(A706,BAMLC0A4CBBB!A:A,BAMLC0A4CBBB!B:B,"",-1)</f>
        <v>1.88</v>
      </c>
      <c r="K706" s="2">
        <f>_xlfn.XLOOKUP(A706,CPIAUCSL!A:A,CPIAUCSL!B:B,"",-1)</f>
        <v>252.56100000000001</v>
      </c>
      <c r="L706">
        <f>_xlfn.XLOOKUP(A706,DFF!A:A,DFF!B:B,"",-1)</f>
        <v>2.4</v>
      </c>
      <c r="M706">
        <f>_xlfn.XLOOKUP(A706,'DGS2'!A:A,'DGS2'!B:B,"",-1)</f>
        <v>2.62</v>
      </c>
      <c r="N706">
        <f t="shared" si="83"/>
        <v>6.0000000000000053E-2</v>
      </c>
      <c r="O706">
        <f t="shared" si="84"/>
        <v>-1.4157284018107563E-2</v>
      </c>
      <c r="P706">
        <f t="shared" si="85"/>
        <v>0</v>
      </c>
      <c r="Q706">
        <f t="shared" si="86"/>
        <v>-1</v>
      </c>
    </row>
    <row r="707" spans="1:17">
      <c r="A707" s="1">
        <v>43487</v>
      </c>
      <c r="B707">
        <v>2632.9</v>
      </c>
      <c r="C707">
        <f t="shared" si="80"/>
        <v>-1.4157284018107563E-2</v>
      </c>
      <c r="D707">
        <f t="shared" si="87"/>
        <v>6.4217728680096009E-3</v>
      </c>
      <c r="E707">
        <f>_xlfn.XLOOKUP(A707,VIX!A:A,VIX!B:B,"",-1)</f>
        <v>20.8</v>
      </c>
      <c r="F707">
        <f t="shared" si="81"/>
        <v>3</v>
      </c>
      <c r="G707">
        <f>_xlfn.XLOOKUP(A707,'DGS10'!A:A,'DGS10'!B:B,"",-1)</f>
        <v>2.74</v>
      </c>
      <c r="H707">
        <f t="shared" si="82"/>
        <v>-4.9999999999999822E-2</v>
      </c>
      <c r="I707" s="2">
        <f>_xlfn.XLOOKUP(A707,T10Y3M!A:A,T10Y3M!B:B,"",-1)</f>
        <v>0.31</v>
      </c>
      <c r="J707" s="2">
        <f>_xlfn.XLOOKUP(A707,BAMLC0A4CBBB!A:A,BAMLC0A4CBBB!B:B,"",-1)</f>
        <v>1.87</v>
      </c>
      <c r="K707" s="2">
        <f>_xlfn.XLOOKUP(A707,CPIAUCSL!A:A,CPIAUCSL!B:B,"",-1)</f>
        <v>252.56100000000001</v>
      </c>
      <c r="L707">
        <f>_xlfn.XLOOKUP(A707,DFF!A:A,DFF!B:B,"",-1)</f>
        <v>2.4</v>
      </c>
      <c r="M707">
        <f>_xlfn.XLOOKUP(A707,'DGS2'!A:A,'DGS2'!B:B,"",-1)</f>
        <v>2.58</v>
      </c>
      <c r="N707">
        <f t="shared" si="83"/>
        <v>-4.0000000000000036E-2</v>
      </c>
      <c r="O707">
        <f t="shared" si="84"/>
        <v>2.2028941471379238E-3</v>
      </c>
      <c r="P707">
        <f t="shared" si="85"/>
        <v>1</v>
      </c>
      <c r="Q707">
        <f t="shared" si="86"/>
        <v>0</v>
      </c>
    </row>
    <row r="708" spans="1:17">
      <c r="A708" s="1">
        <v>43488</v>
      </c>
      <c r="B708">
        <v>2638.7</v>
      </c>
      <c r="C708">
        <f t="shared" ref="C708:C771" si="88">IF(OR(B708="",B707=""),"",(B708/B707)-1)</f>
        <v>2.2028941471379238E-3</v>
      </c>
      <c r="D708">
        <f t="shared" si="87"/>
        <v>1.0394694911910474E-3</v>
      </c>
      <c r="E708">
        <f>_xlfn.XLOOKUP(A708,VIX!A:A,VIX!B:B,"",-1)</f>
        <v>19.52</v>
      </c>
      <c r="F708">
        <f t="shared" ref="F708:F771" si="89">IF(OR(E708="",E707=""),"",E708-E707)</f>
        <v>-1.2800000000000011</v>
      </c>
      <c r="G708">
        <f>_xlfn.XLOOKUP(A708,'DGS10'!A:A,'DGS10'!B:B,"",-1)</f>
        <v>2.76</v>
      </c>
      <c r="H708">
        <f t="shared" ref="H708:H771" si="90">IF(OR(G708="",G707=""),"",G708-G707)</f>
        <v>1.9999999999999574E-2</v>
      </c>
      <c r="I708" s="2">
        <f>_xlfn.XLOOKUP(A708,T10Y3M!A:A,T10Y3M!B:B,"",-1)</f>
        <v>0.35</v>
      </c>
      <c r="J708" s="2">
        <f>_xlfn.XLOOKUP(A708,BAMLC0A4CBBB!A:A,BAMLC0A4CBBB!B:B,"",-1)</f>
        <v>1.85</v>
      </c>
      <c r="K708" s="2">
        <f>_xlfn.XLOOKUP(A708,CPIAUCSL!A:A,CPIAUCSL!B:B,"",-1)</f>
        <v>252.56100000000001</v>
      </c>
      <c r="L708">
        <f>_xlfn.XLOOKUP(A708,DFF!A:A,DFF!B:B,"",-1)</f>
        <v>2.4</v>
      </c>
      <c r="M708">
        <f>_xlfn.XLOOKUP(A708,'DGS2'!A:A,'DGS2'!B:B,"",-1)</f>
        <v>2.58</v>
      </c>
      <c r="N708">
        <f t="shared" ref="N708:N771" si="91">IF(OR(M708="",M707=""),"",M708-M707)</f>
        <v>0</v>
      </c>
      <c r="O708">
        <f t="shared" ref="O708:O771" si="92">IF(OR(B709="",B708=""),"",(B709/B708)-1)</f>
        <v>1.3756774169098041E-3</v>
      </c>
      <c r="P708">
        <f t="shared" ref="P708:P771" si="93">IF(O708="","",IF(O708&gt;0,1,0))</f>
        <v>1</v>
      </c>
      <c r="Q708">
        <f t="shared" ref="Q708:Q771" si="94">IF(O708="","",IF(O708&gt;0.003,1,IF(O708&lt;-0.003,-1,0)))</f>
        <v>0</v>
      </c>
    </row>
    <row r="709" spans="1:17">
      <c r="A709" s="1">
        <v>43489</v>
      </c>
      <c r="B709">
        <v>2642.33</v>
      </c>
      <c r="C709">
        <f t="shared" si="88"/>
        <v>1.3756774169098041E-3</v>
      </c>
      <c r="D709">
        <f t="shared" si="87"/>
        <v>-1.0626387739589904E-2</v>
      </c>
      <c r="E709">
        <f>_xlfn.XLOOKUP(A709,VIX!A:A,VIX!B:B,"",-1)</f>
        <v>18.89</v>
      </c>
      <c r="F709">
        <f t="shared" si="89"/>
        <v>-0.62999999999999901</v>
      </c>
      <c r="G709">
        <f>_xlfn.XLOOKUP(A709,'DGS10'!A:A,'DGS10'!B:B,"",-1)</f>
        <v>2.72</v>
      </c>
      <c r="H709">
        <f t="shared" si="90"/>
        <v>-3.9999999999999591E-2</v>
      </c>
      <c r="I709" s="2">
        <f>_xlfn.XLOOKUP(A709,T10Y3M!A:A,T10Y3M!B:B,"",-1)</f>
        <v>0.35</v>
      </c>
      <c r="J709" s="2">
        <f>_xlfn.XLOOKUP(A709,BAMLC0A4CBBB!A:A,BAMLC0A4CBBB!B:B,"",-1)</f>
        <v>1.84</v>
      </c>
      <c r="K709" s="2">
        <f>_xlfn.XLOOKUP(A709,CPIAUCSL!A:A,CPIAUCSL!B:B,"",-1)</f>
        <v>252.56100000000001</v>
      </c>
      <c r="L709">
        <f>_xlfn.XLOOKUP(A709,DFF!A:A,DFF!B:B,"",-1)</f>
        <v>2.4</v>
      </c>
      <c r="M709">
        <f>_xlfn.XLOOKUP(A709,'DGS2'!A:A,'DGS2'!B:B,"",-1)</f>
        <v>2.56</v>
      </c>
      <c r="N709">
        <f t="shared" si="91"/>
        <v>-2.0000000000000018E-2</v>
      </c>
      <c r="O709">
        <f t="shared" si="92"/>
        <v>8.4887201825663006E-3</v>
      </c>
      <c r="P709">
        <f t="shared" si="93"/>
        <v>1</v>
      </c>
      <c r="Q709">
        <f t="shared" si="94"/>
        <v>1</v>
      </c>
    </row>
    <row r="710" spans="1:17">
      <c r="A710" s="1">
        <v>43490</v>
      </c>
      <c r="B710">
        <v>2664.76</v>
      </c>
      <c r="C710">
        <f t="shared" si="88"/>
        <v>8.4887201825663006E-3</v>
      </c>
      <c r="D710">
        <f t="shared" ref="D710:D773" si="95">IF(OR(B710="",B707=""),"",(B710/B707)-1)</f>
        <v>1.2100725435831183E-2</v>
      </c>
      <c r="E710">
        <f>_xlfn.XLOOKUP(A710,VIX!A:A,VIX!B:B,"",-1)</f>
        <v>17.420000000000002</v>
      </c>
      <c r="F710">
        <f t="shared" si="89"/>
        <v>-1.4699999999999989</v>
      </c>
      <c r="G710">
        <f>_xlfn.XLOOKUP(A710,'DGS10'!A:A,'DGS10'!B:B,"",-1)</f>
        <v>2.76</v>
      </c>
      <c r="H710">
        <f t="shared" si="90"/>
        <v>3.9999999999999591E-2</v>
      </c>
      <c r="I710" s="2">
        <f>_xlfn.XLOOKUP(A710,T10Y3M!A:A,T10Y3M!B:B,"",-1)</f>
        <v>0.37</v>
      </c>
      <c r="J710" s="2">
        <f>_xlfn.XLOOKUP(A710,BAMLC0A4CBBB!A:A,BAMLC0A4CBBB!B:B,"",-1)</f>
        <v>1.82</v>
      </c>
      <c r="K710" s="2">
        <f>_xlfn.XLOOKUP(A710,CPIAUCSL!A:A,CPIAUCSL!B:B,"",-1)</f>
        <v>252.56100000000001</v>
      </c>
      <c r="L710">
        <f>_xlfn.XLOOKUP(A710,DFF!A:A,DFF!B:B,"",-1)</f>
        <v>2.4</v>
      </c>
      <c r="M710">
        <f>_xlfn.XLOOKUP(A710,'DGS2'!A:A,'DGS2'!B:B,"",-1)</f>
        <v>2.6</v>
      </c>
      <c r="N710">
        <f t="shared" si="91"/>
        <v>4.0000000000000036E-2</v>
      </c>
      <c r="O710">
        <f t="shared" si="92"/>
        <v>-7.8468605052613993E-3</v>
      </c>
      <c r="P710">
        <f t="shared" si="93"/>
        <v>0</v>
      </c>
      <c r="Q710">
        <f t="shared" si="94"/>
        <v>-1</v>
      </c>
    </row>
    <row r="711" spans="1:17">
      <c r="A711" s="1">
        <v>43493</v>
      </c>
      <c r="B711">
        <v>2643.85</v>
      </c>
      <c r="C711">
        <f t="shared" si="88"/>
        <v>-7.8468605052613993E-3</v>
      </c>
      <c r="D711">
        <f t="shared" si="95"/>
        <v>1.9517186493349659E-3</v>
      </c>
      <c r="E711">
        <f>_xlfn.XLOOKUP(A711,VIX!A:A,VIX!B:B,"",-1)</f>
        <v>18.87</v>
      </c>
      <c r="F711">
        <f t="shared" si="89"/>
        <v>1.4499999999999993</v>
      </c>
      <c r="G711">
        <f>_xlfn.XLOOKUP(A711,'DGS10'!A:A,'DGS10'!B:B,"",-1)</f>
        <v>2.75</v>
      </c>
      <c r="H711">
        <f t="shared" si="90"/>
        <v>-9.9999999999997868E-3</v>
      </c>
      <c r="I711" s="2">
        <f>_xlfn.XLOOKUP(A711,T10Y3M!A:A,T10Y3M!B:B,"",-1)</f>
        <v>0.33</v>
      </c>
      <c r="J711" s="2">
        <f>_xlfn.XLOOKUP(A711,BAMLC0A4CBBB!A:A,BAMLC0A4CBBB!B:B,"",-1)</f>
        <v>1.81</v>
      </c>
      <c r="K711" s="2">
        <f>_xlfn.XLOOKUP(A711,CPIAUCSL!A:A,CPIAUCSL!B:B,"",-1)</f>
        <v>252.56100000000001</v>
      </c>
      <c r="L711">
        <f>_xlfn.XLOOKUP(A711,DFF!A:A,DFF!B:B,"",-1)</f>
        <v>2.4</v>
      </c>
      <c r="M711">
        <f>_xlfn.XLOOKUP(A711,'DGS2'!A:A,'DGS2'!B:B,"",-1)</f>
        <v>2.6</v>
      </c>
      <c r="N711">
        <f t="shared" si="91"/>
        <v>0</v>
      </c>
      <c r="O711">
        <f t="shared" si="92"/>
        <v>-1.4562096941959091E-3</v>
      </c>
      <c r="P711">
        <f t="shared" si="93"/>
        <v>0</v>
      </c>
      <c r="Q711">
        <f t="shared" si="94"/>
        <v>0</v>
      </c>
    </row>
    <row r="712" spans="1:17">
      <c r="A712" s="1">
        <v>43494</v>
      </c>
      <c r="B712">
        <v>2640</v>
      </c>
      <c r="C712">
        <f t="shared" si="88"/>
        <v>-1.4562096941959091E-3</v>
      </c>
      <c r="D712">
        <f t="shared" si="95"/>
        <v>-8.8179750447514582E-4</v>
      </c>
      <c r="E712">
        <f>_xlfn.XLOOKUP(A712,VIX!A:A,VIX!B:B,"",-1)</f>
        <v>19.13</v>
      </c>
      <c r="F712">
        <f t="shared" si="89"/>
        <v>0.25999999999999801</v>
      </c>
      <c r="G712">
        <f>_xlfn.XLOOKUP(A712,'DGS10'!A:A,'DGS10'!B:B,"",-1)</f>
        <v>2.72</v>
      </c>
      <c r="H712">
        <f t="shared" si="90"/>
        <v>-2.9999999999999805E-2</v>
      </c>
      <c r="I712" s="2">
        <f>_xlfn.XLOOKUP(A712,T10Y3M!A:A,T10Y3M!B:B,"",-1)</f>
        <v>0.3</v>
      </c>
      <c r="J712" s="2">
        <f>_xlfn.XLOOKUP(A712,BAMLC0A4CBBB!A:A,BAMLC0A4CBBB!B:B,"",-1)</f>
        <v>1.81</v>
      </c>
      <c r="K712" s="2">
        <f>_xlfn.XLOOKUP(A712,CPIAUCSL!A:A,CPIAUCSL!B:B,"",-1)</f>
        <v>252.56100000000001</v>
      </c>
      <c r="L712">
        <f>_xlfn.XLOOKUP(A712,DFF!A:A,DFF!B:B,"",-1)</f>
        <v>2.4</v>
      </c>
      <c r="M712">
        <f>_xlfn.XLOOKUP(A712,'DGS2'!A:A,'DGS2'!B:B,"",-1)</f>
        <v>2.56</v>
      </c>
      <c r="N712">
        <f t="shared" si="91"/>
        <v>-4.0000000000000036E-2</v>
      </c>
      <c r="O712">
        <f t="shared" si="92"/>
        <v>1.5549242424242493E-2</v>
      </c>
      <c r="P712">
        <f t="shared" si="93"/>
        <v>1</v>
      </c>
      <c r="Q712">
        <f t="shared" si="94"/>
        <v>1</v>
      </c>
    </row>
    <row r="713" spans="1:17">
      <c r="A713" s="1">
        <v>43495</v>
      </c>
      <c r="B713">
        <v>2681.05</v>
      </c>
      <c r="C713">
        <f t="shared" si="88"/>
        <v>1.5549242424242493E-2</v>
      </c>
      <c r="D713">
        <f t="shared" si="95"/>
        <v>6.113120881430234E-3</v>
      </c>
      <c r="E713">
        <f>_xlfn.XLOOKUP(A713,VIX!A:A,VIX!B:B,"",-1)</f>
        <v>17.66</v>
      </c>
      <c r="F713">
        <f t="shared" si="89"/>
        <v>-1.4699999999999989</v>
      </c>
      <c r="G713">
        <f>_xlfn.XLOOKUP(A713,'DGS10'!A:A,'DGS10'!B:B,"",-1)</f>
        <v>2.7</v>
      </c>
      <c r="H713">
        <f t="shared" si="90"/>
        <v>-2.0000000000000018E-2</v>
      </c>
      <c r="I713" s="2">
        <f>_xlfn.XLOOKUP(A713,T10Y3M!A:A,T10Y3M!B:B,"",-1)</f>
        <v>0.28000000000000003</v>
      </c>
      <c r="J713" s="2">
        <f>_xlfn.XLOOKUP(A713,BAMLC0A4CBBB!A:A,BAMLC0A4CBBB!B:B,"",-1)</f>
        <v>1.81</v>
      </c>
      <c r="K713" s="2">
        <f>_xlfn.XLOOKUP(A713,CPIAUCSL!A:A,CPIAUCSL!B:B,"",-1)</f>
        <v>252.56100000000001</v>
      </c>
      <c r="L713">
        <f>_xlfn.XLOOKUP(A713,DFF!A:A,DFF!B:B,"",-1)</f>
        <v>2.4</v>
      </c>
      <c r="M713">
        <f>_xlfn.XLOOKUP(A713,'DGS2'!A:A,'DGS2'!B:B,"",-1)</f>
        <v>2.52</v>
      </c>
      <c r="N713">
        <f t="shared" si="91"/>
        <v>-4.0000000000000036E-2</v>
      </c>
      <c r="O713">
        <f t="shared" si="92"/>
        <v>8.5973778929895328E-3</v>
      </c>
      <c r="P713">
        <f t="shared" si="93"/>
        <v>1</v>
      </c>
      <c r="Q713">
        <f t="shared" si="94"/>
        <v>1</v>
      </c>
    </row>
    <row r="714" spans="1:17">
      <c r="A714" s="1">
        <v>43496</v>
      </c>
      <c r="B714">
        <v>2704.1</v>
      </c>
      <c r="C714">
        <f t="shared" si="88"/>
        <v>8.5973778929895328E-3</v>
      </c>
      <c r="D714">
        <f t="shared" si="95"/>
        <v>2.2788736123456221E-2</v>
      </c>
      <c r="E714">
        <f>_xlfn.XLOOKUP(A714,VIX!A:A,VIX!B:B,"",-1)</f>
        <v>16.57</v>
      </c>
      <c r="F714">
        <f t="shared" si="89"/>
        <v>-1.0899999999999999</v>
      </c>
      <c r="G714">
        <f>_xlfn.XLOOKUP(A714,'DGS10'!A:A,'DGS10'!B:B,"",-1)</f>
        <v>2.63</v>
      </c>
      <c r="H714">
        <f t="shared" si="90"/>
        <v>-7.0000000000000284E-2</v>
      </c>
      <c r="I714" s="2">
        <f>_xlfn.XLOOKUP(A714,T10Y3M!A:A,T10Y3M!B:B,"",-1)</f>
        <v>0.22</v>
      </c>
      <c r="J714" s="2">
        <f>_xlfn.XLOOKUP(A714,BAMLC0A4CBBB!A:A,BAMLC0A4CBBB!B:B,"",-1)</f>
        <v>1.79</v>
      </c>
      <c r="K714" s="2">
        <f>_xlfn.XLOOKUP(A714,CPIAUCSL!A:A,CPIAUCSL!B:B,"",-1)</f>
        <v>252.56100000000001</v>
      </c>
      <c r="L714">
        <f>_xlfn.XLOOKUP(A714,DFF!A:A,DFF!B:B,"",-1)</f>
        <v>2.4</v>
      </c>
      <c r="M714">
        <f>_xlfn.XLOOKUP(A714,'DGS2'!A:A,'DGS2'!B:B,"",-1)</f>
        <v>2.4500000000000002</v>
      </c>
      <c r="N714">
        <f t="shared" si="91"/>
        <v>-6.999999999999984E-2</v>
      </c>
      <c r="O714">
        <f t="shared" si="92"/>
        <v>8.98635405495396E-4</v>
      </c>
      <c r="P714">
        <f t="shared" si="93"/>
        <v>1</v>
      </c>
      <c r="Q714">
        <f t="shared" si="94"/>
        <v>0</v>
      </c>
    </row>
    <row r="715" spans="1:17">
      <c r="A715" s="1">
        <v>43497</v>
      </c>
      <c r="B715">
        <v>2706.53</v>
      </c>
      <c r="C715">
        <f t="shared" si="88"/>
        <v>8.98635405495396E-4</v>
      </c>
      <c r="D715">
        <f t="shared" si="95"/>
        <v>2.5200757575757571E-2</v>
      </c>
      <c r="E715">
        <f>_xlfn.XLOOKUP(A715,VIX!A:A,VIX!B:B,"",-1)</f>
        <v>16.14</v>
      </c>
      <c r="F715">
        <f t="shared" si="89"/>
        <v>-0.42999999999999972</v>
      </c>
      <c r="G715">
        <f>_xlfn.XLOOKUP(A715,'DGS10'!A:A,'DGS10'!B:B,"",-1)</f>
        <v>2.7</v>
      </c>
      <c r="H715">
        <f t="shared" si="90"/>
        <v>7.0000000000000284E-2</v>
      </c>
      <c r="I715" s="2">
        <f>_xlfn.XLOOKUP(A715,T10Y3M!A:A,T10Y3M!B:B,"",-1)</f>
        <v>0.3</v>
      </c>
      <c r="J715" s="2">
        <f>_xlfn.XLOOKUP(A715,BAMLC0A4CBBB!A:A,BAMLC0A4CBBB!B:B,"",-1)</f>
        <v>1.76</v>
      </c>
      <c r="K715" s="2">
        <f>_xlfn.XLOOKUP(A715,CPIAUCSL!A:A,CPIAUCSL!B:B,"",-1)</f>
        <v>253.31899999999999</v>
      </c>
      <c r="L715">
        <f>_xlfn.XLOOKUP(A715,DFF!A:A,DFF!B:B,"",-1)</f>
        <v>2.4</v>
      </c>
      <c r="M715">
        <f>_xlfn.XLOOKUP(A715,'DGS2'!A:A,'DGS2'!B:B,"",-1)</f>
        <v>2.52</v>
      </c>
      <c r="N715">
        <f t="shared" si="91"/>
        <v>6.999999999999984E-2</v>
      </c>
      <c r="O715">
        <f t="shared" si="92"/>
        <v>6.7762042172079262E-3</v>
      </c>
      <c r="P715">
        <f t="shared" si="93"/>
        <v>1</v>
      </c>
      <c r="Q715">
        <f t="shared" si="94"/>
        <v>1</v>
      </c>
    </row>
    <row r="716" spans="1:17">
      <c r="A716" s="1">
        <v>43500</v>
      </c>
      <c r="B716">
        <v>2724.87</v>
      </c>
      <c r="C716">
        <f t="shared" si="88"/>
        <v>6.7762042172079262E-3</v>
      </c>
      <c r="D716">
        <f t="shared" si="95"/>
        <v>1.6344342701553494E-2</v>
      </c>
      <c r="E716">
        <f>_xlfn.XLOOKUP(A716,VIX!A:A,VIX!B:B,"",-1)</f>
        <v>15.73</v>
      </c>
      <c r="F716">
        <f t="shared" si="89"/>
        <v>-0.41000000000000014</v>
      </c>
      <c r="G716">
        <f>_xlfn.XLOOKUP(A716,'DGS10'!A:A,'DGS10'!B:B,"",-1)</f>
        <v>2.73</v>
      </c>
      <c r="H716">
        <f t="shared" si="90"/>
        <v>2.9999999999999805E-2</v>
      </c>
      <c r="I716" s="2">
        <f>_xlfn.XLOOKUP(A716,T10Y3M!A:A,T10Y3M!B:B,"",-1)</f>
        <v>0.31</v>
      </c>
      <c r="J716" s="2">
        <f>_xlfn.XLOOKUP(A716,BAMLC0A4CBBB!A:A,BAMLC0A4CBBB!B:B,"",-1)</f>
        <v>1.74</v>
      </c>
      <c r="K716" s="2">
        <f>_xlfn.XLOOKUP(A716,CPIAUCSL!A:A,CPIAUCSL!B:B,"",-1)</f>
        <v>253.31899999999999</v>
      </c>
      <c r="L716">
        <f>_xlfn.XLOOKUP(A716,DFF!A:A,DFF!B:B,"",-1)</f>
        <v>2.4</v>
      </c>
      <c r="M716">
        <f>_xlfn.XLOOKUP(A716,'DGS2'!A:A,'DGS2'!B:B,"",-1)</f>
        <v>2.5299999999999998</v>
      </c>
      <c r="N716">
        <f t="shared" si="91"/>
        <v>9.9999999999997868E-3</v>
      </c>
      <c r="O716">
        <f t="shared" si="92"/>
        <v>4.7084815055395968E-3</v>
      </c>
      <c r="P716">
        <f t="shared" si="93"/>
        <v>1</v>
      </c>
      <c r="Q716">
        <f t="shared" si="94"/>
        <v>1</v>
      </c>
    </row>
    <row r="717" spans="1:17">
      <c r="A717" s="1">
        <v>43501</v>
      </c>
      <c r="B717">
        <v>2737.7</v>
      </c>
      <c r="C717">
        <f t="shared" si="88"/>
        <v>4.7084815055395968E-3</v>
      </c>
      <c r="D717">
        <f t="shared" si="95"/>
        <v>1.2425575977219827E-2</v>
      </c>
      <c r="E717">
        <f>_xlfn.XLOOKUP(A717,VIX!A:A,VIX!B:B,"",-1)</f>
        <v>15.57</v>
      </c>
      <c r="F717">
        <f t="shared" si="89"/>
        <v>-0.16000000000000014</v>
      </c>
      <c r="G717">
        <f>_xlfn.XLOOKUP(A717,'DGS10'!A:A,'DGS10'!B:B,"",-1)</f>
        <v>2.71</v>
      </c>
      <c r="H717">
        <f t="shared" si="90"/>
        <v>-2.0000000000000018E-2</v>
      </c>
      <c r="I717" s="2">
        <f>_xlfn.XLOOKUP(A717,T10Y3M!A:A,T10Y3M!B:B,"",-1)</f>
        <v>0.28999999999999998</v>
      </c>
      <c r="J717" s="2">
        <f>_xlfn.XLOOKUP(A717,BAMLC0A4CBBB!A:A,BAMLC0A4CBBB!B:B,"",-1)</f>
        <v>1.72</v>
      </c>
      <c r="K717" s="2">
        <f>_xlfn.XLOOKUP(A717,CPIAUCSL!A:A,CPIAUCSL!B:B,"",-1)</f>
        <v>253.31899999999999</v>
      </c>
      <c r="L717">
        <f>_xlfn.XLOOKUP(A717,DFF!A:A,DFF!B:B,"",-1)</f>
        <v>2.4</v>
      </c>
      <c r="M717">
        <f>_xlfn.XLOOKUP(A717,'DGS2'!A:A,'DGS2'!B:B,"",-1)</f>
        <v>2.5299999999999998</v>
      </c>
      <c r="N717">
        <f t="shared" si="91"/>
        <v>0</v>
      </c>
      <c r="O717">
        <f t="shared" si="92"/>
        <v>-2.224495014062744E-3</v>
      </c>
      <c r="P717">
        <f t="shared" si="93"/>
        <v>0</v>
      </c>
      <c r="Q717">
        <f t="shared" si="94"/>
        <v>0</v>
      </c>
    </row>
    <row r="718" spans="1:17">
      <c r="A718" s="1">
        <v>43502</v>
      </c>
      <c r="B718">
        <v>2731.61</v>
      </c>
      <c r="C718">
        <f t="shared" si="88"/>
        <v>-2.224495014062744E-3</v>
      </c>
      <c r="D718">
        <f t="shared" si="95"/>
        <v>9.2664777408710819E-3</v>
      </c>
      <c r="E718">
        <f>_xlfn.XLOOKUP(A718,VIX!A:A,VIX!B:B,"",-1)</f>
        <v>15.38</v>
      </c>
      <c r="F718">
        <f t="shared" si="89"/>
        <v>-0.1899999999999995</v>
      </c>
      <c r="G718">
        <f>_xlfn.XLOOKUP(A718,'DGS10'!A:A,'DGS10'!B:B,"",-1)</f>
        <v>2.7</v>
      </c>
      <c r="H718">
        <f t="shared" si="90"/>
        <v>-9.9999999999997868E-3</v>
      </c>
      <c r="I718" s="2">
        <f>_xlfn.XLOOKUP(A718,T10Y3M!A:A,T10Y3M!B:B,"",-1)</f>
        <v>0.28000000000000003</v>
      </c>
      <c r="J718" s="2">
        <f>_xlfn.XLOOKUP(A718,BAMLC0A4CBBB!A:A,BAMLC0A4CBBB!B:B,"",-1)</f>
        <v>1.71</v>
      </c>
      <c r="K718" s="2">
        <f>_xlfn.XLOOKUP(A718,CPIAUCSL!A:A,CPIAUCSL!B:B,"",-1)</f>
        <v>253.31899999999999</v>
      </c>
      <c r="L718">
        <f>_xlfn.XLOOKUP(A718,DFF!A:A,DFF!B:B,"",-1)</f>
        <v>2.4</v>
      </c>
      <c r="M718">
        <f>_xlfn.XLOOKUP(A718,'DGS2'!A:A,'DGS2'!B:B,"",-1)</f>
        <v>2.52</v>
      </c>
      <c r="N718">
        <f t="shared" si="91"/>
        <v>-9.9999999999997868E-3</v>
      </c>
      <c r="O718">
        <f t="shared" si="92"/>
        <v>-9.3571190616522637E-3</v>
      </c>
      <c r="P718">
        <f t="shared" si="93"/>
        <v>0</v>
      </c>
      <c r="Q718">
        <f t="shared" si="94"/>
        <v>-1</v>
      </c>
    </row>
    <row r="719" spans="1:17">
      <c r="A719" s="1">
        <v>43503</v>
      </c>
      <c r="B719">
        <v>2706.05</v>
      </c>
      <c r="C719">
        <f t="shared" si="88"/>
        <v>-9.3571190616522637E-3</v>
      </c>
      <c r="D719">
        <f t="shared" si="95"/>
        <v>-6.9067515147510639E-3</v>
      </c>
      <c r="E719">
        <f>_xlfn.XLOOKUP(A719,VIX!A:A,VIX!B:B,"",-1)</f>
        <v>16.37</v>
      </c>
      <c r="F719">
        <f t="shared" si="89"/>
        <v>0.99000000000000021</v>
      </c>
      <c r="G719">
        <f>_xlfn.XLOOKUP(A719,'DGS10'!A:A,'DGS10'!B:B,"",-1)</f>
        <v>2.65</v>
      </c>
      <c r="H719">
        <f t="shared" si="90"/>
        <v>-5.0000000000000266E-2</v>
      </c>
      <c r="I719" s="2">
        <f>_xlfn.XLOOKUP(A719,T10Y3M!A:A,T10Y3M!B:B,"",-1)</f>
        <v>0.23</v>
      </c>
      <c r="J719" s="2">
        <f>_xlfn.XLOOKUP(A719,BAMLC0A4CBBB!A:A,BAMLC0A4CBBB!B:B,"",-1)</f>
        <v>1.74</v>
      </c>
      <c r="K719" s="2">
        <f>_xlfn.XLOOKUP(A719,CPIAUCSL!A:A,CPIAUCSL!B:B,"",-1)</f>
        <v>253.31899999999999</v>
      </c>
      <c r="L719">
        <f>_xlfn.XLOOKUP(A719,DFF!A:A,DFF!B:B,"",-1)</f>
        <v>2.4</v>
      </c>
      <c r="M719">
        <f>_xlfn.XLOOKUP(A719,'DGS2'!A:A,'DGS2'!B:B,"",-1)</f>
        <v>2.48</v>
      </c>
      <c r="N719">
        <f t="shared" si="91"/>
        <v>-4.0000000000000036E-2</v>
      </c>
      <c r="O719">
        <f t="shared" si="92"/>
        <v>6.7626244895691023E-4</v>
      </c>
      <c r="P719">
        <f t="shared" si="93"/>
        <v>1</v>
      </c>
      <c r="Q719">
        <f t="shared" si="94"/>
        <v>0</v>
      </c>
    </row>
    <row r="720" spans="1:17">
      <c r="A720" s="1">
        <v>43504</v>
      </c>
      <c r="B720">
        <v>2707.88</v>
      </c>
      <c r="C720">
        <f t="shared" si="88"/>
        <v>6.7626244895691023E-4</v>
      </c>
      <c r="D720">
        <f t="shared" si="95"/>
        <v>-1.0892354896445799E-2</v>
      </c>
      <c r="E720">
        <f>_xlfn.XLOOKUP(A720,VIX!A:A,VIX!B:B,"",-1)</f>
        <v>15.72</v>
      </c>
      <c r="F720">
        <f t="shared" si="89"/>
        <v>-0.65000000000000036</v>
      </c>
      <c r="G720">
        <f>_xlfn.XLOOKUP(A720,'DGS10'!A:A,'DGS10'!B:B,"",-1)</f>
        <v>2.63</v>
      </c>
      <c r="H720">
        <f t="shared" si="90"/>
        <v>-2.0000000000000018E-2</v>
      </c>
      <c r="I720" s="2">
        <f>_xlfn.XLOOKUP(A720,T10Y3M!A:A,T10Y3M!B:B,"",-1)</f>
        <v>0.2</v>
      </c>
      <c r="J720" s="2">
        <f>_xlfn.XLOOKUP(A720,BAMLC0A4CBBB!A:A,BAMLC0A4CBBB!B:B,"",-1)</f>
        <v>1.74</v>
      </c>
      <c r="K720" s="2">
        <f>_xlfn.XLOOKUP(A720,CPIAUCSL!A:A,CPIAUCSL!B:B,"",-1)</f>
        <v>253.31899999999999</v>
      </c>
      <c r="L720">
        <f>_xlfn.XLOOKUP(A720,DFF!A:A,DFF!B:B,"",-1)</f>
        <v>2.4</v>
      </c>
      <c r="M720">
        <f>_xlfn.XLOOKUP(A720,'DGS2'!A:A,'DGS2'!B:B,"",-1)</f>
        <v>2.4500000000000002</v>
      </c>
      <c r="N720">
        <f t="shared" si="91"/>
        <v>-2.9999999999999805E-2</v>
      </c>
      <c r="O720">
        <f t="shared" si="92"/>
        <v>7.0904175960539995E-4</v>
      </c>
      <c r="P720">
        <f t="shared" si="93"/>
        <v>1</v>
      </c>
      <c r="Q720">
        <f t="shared" si="94"/>
        <v>0</v>
      </c>
    </row>
    <row r="721" spans="1:17">
      <c r="A721" s="1">
        <v>43507</v>
      </c>
      <c r="B721">
        <v>2709.8</v>
      </c>
      <c r="C721">
        <f t="shared" si="88"/>
        <v>7.0904175960539995E-4</v>
      </c>
      <c r="D721">
        <f t="shared" si="95"/>
        <v>-7.9843022979122491E-3</v>
      </c>
      <c r="E721">
        <f>_xlfn.XLOOKUP(A721,VIX!A:A,VIX!B:B,"",-1)</f>
        <v>15.97</v>
      </c>
      <c r="F721">
        <f t="shared" si="89"/>
        <v>0.25</v>
      </c>
      <c r="G721">
        <f>_xlfn.XLOOKUP(A721,'DGS10'!A:A,'DGS10'!B:B,"",-1)</f>
        <v>2.65</v>
      </c>
      <c r="H721">
        <f t="shared" si="90"/>
        <v>2.0000000000000018E-2</v>
      </c>
      <c r="I721" s="2">
        <f>_xlfn.XLOOKUP(A721,T10Y3M!A:A,T10Y3M!B:B,"",-1)</f>
        <v>0.2</v>
      </c>
      <c r="J721" s="2">
        <f>_xlfn.XLOOKUP(A721,BAMLC0A4CBBB!A:A,BAMLC0A4CBBB!B:B,"",-1)</f>
        <v>1.74</v>
      </c>
      <c r="K721" s="2">
        <f>_xlfn.XLOOKUP(A721,CPIAUCSL!A:A,CPIAUCSL!B:B,"",-1)</f>
        <v>253.31899999999999</v>
      </c>
      <c r="L721">
        <f>_xlfn.XLOOKUP(A721,DFF!A:A,DFF!B:B,"",-1)</f>
        <v>2.4</v>
      </c>
      <c r="M721">
        <f>_xlfn.XLOOKUP(A721,'DGS2'!A:A,'DGS2'!B:B,"",-1)</f>
        <v>2.48</v>
      </c>
      <c r="N721">
        <f t="shared" si="91"/>
        <v>2.9999999999999805E-2</v>
      </c>
      <c r="O721">
        <f t="shared" si="92"/>
        <v>1.2890250202966858E-2</v>
      </c>
      <c r="P721">
        <f t="shared" si="93"/>
        <v>1</v>
      </c>
      <c r="Q721">
        <f t="shared" si="94"/>
        <v>1</v>
      </c>
    </row>
    <row r="722" spans="1:17">
      <c r="A722" s="1">
        <v>43508</v>
      </c>
      <c r="B722">
        <v>2744.73</v>
      </c>
      <c r="C722">
        <f t="shared" si="88"/>
        <v>1.2890250202966858E-2</v>
      </c>
      <c r="D722">
        <f t="shared" si="95"/>
        <v>1.4293897008554879E-2</v>
      </c>
      <c r="E722">
        <f>_xlfn.XLOOKUP(A722,VIX!A:A,VIX!B:B,"",-1)</f>
        <v>15.43</v>
      </c>
      <c r="F722">
        <f t="shared" si="89"/>
        <v>-0.54000000000000092</v>
      </c>
      <c r="G722">
        <f>_xlfn.XLOOKUP(A722,'DGS10'!A:A,'DGS10'!B:B,"",-1)</f>
        <v>2.68</v>
      </c>
      <c r="H722">
        <f t="shared" si="90"/>
        <v>3.0000000000000249E-2</v>
      </c>
      <c r="I722" s="2">
        <f>_xlfn.XLOOKUP(A722,T10Y3M!A:A,T10Y3M!B:B,"",-1)</f>
        <v>0.25</v>
      </c>
      <c r="J722" s="2">
        <f>_xlfn.XLOOKUP(A722,BAMLC0A4CBBB!A:A,BAMLC0A4CBBB!B:B,"",-1)</f>
        <v>1.73</v>
      </c>
      <c r="K722" s="2">
        <f>_xlfn.XLOOKUP(A722,CPIAUCSL!A:A,CPIAUCSL!B:B,"",-1)</f>
        <v>253.31899999999999</v>
      </c>
      <c r="L722">
        <f>_xlfn.XLOOKUP(A722,DFF!A:A,DFF!B:B,"",-1)</f>
        <v>2.4</v>
      </c>
      <c r="M722">
        <f>_xlfn.XLOOKUP(A722,'DGS2'!A:A,'DGS2'!B:B,"",-1)</f>
        <v>2.5</v>
      </c>
      <c r="N722">
        <f t="shared" si="91"/>
        <v>2.0000000000000018E-2</v>
      </c>
      <c r="O722">
        <f t="shared" si="92"/>
        <v>3.0239768574686909E-3</v>
      </c>
      <c r="P722">
        <f t="shared" si="93"/>
        <v>1</v>
      </c>
      <c r="Q722">
        <f t="shared" si="94"/>
        <v>1</v>
      </c>
    </row>
    <row r="723" spans="1:17">
      <c r="A723" s="1">
        <v>43509</v>
      </c>
      <c r="B723">
        <v>2753.03</v>
      </c>
      <c r="C723">
        <f t="shared" si="88"/>
        <v>3.0239768574686909E-3</v>
      </c>
      <c r="D723">
        <f t="shared" si="95"/>
        <v>1.6673560128218412E-2</v>
      </c>
      <c r="E723">
        <f>_xlfn.XLOOKUP(A723,VIX!A:A,VIX!B:B,"",-1)</f>
        <v>15.65</v>
      </c>
      <c r="F723">
        <f t="shared" si="89"/>
        <v>0.22000000000000064</v>
      </c>
      <c r="G723">
        <f>_xlfn.XLOOKUP(A723,'DGS10'!A:A,'DGS10'!B:B,"",-1)</f>
        <v>2.71</v>
      </c>
      <c r="H723">
        <f t="shared" si="90"/>
        <v>2.9999999999999805E-2</v>
      </c>
      <c r="I723" s="2">
        <f>_xlfn.XLOOKUP(A723,T10Y3M!A:A,T10Y3M!B:B,"",-1)</f>
        <v>0.27</v>
      </c>
      <c r="J723" s="2">
        <f>_xlfn.XLOOKUP(A723,BAMLC0A4CBBB!A:A,BAMLC0A4CBBB!B:B,"",-1)</f>
        <v>1.72</v>
      </c>
      <c r="K723" s="2">
        <f>_xlfn.XLOOKUP(A723,CPIAUCSL!A:A,CPIAUCSL!B:B,"",-1)</f>
        <v>253.31899999999999</v>
      </c>
      <c r="L723">
        <f>_xlfn.XLOOKUP(A723,DFF!A:A,DFF!B:B,"",-1)</f>
        <v>2.4</v>
      </c>
      <c r="M723">
        <f>_xlfn.XLOOKUP(A723,'DGS2'!A:A,'DGS2'!B:B,"",-1)</f>
        <v>2.5299999999999998</v>
      </c>
      <c r="N723">
        <f t="shared" si="91"/>
        <v>2.9999999999999805E-2</v>
      </c>
      <c r="O723">
        <f t="shared" si="92"/>
        <v>-2.6516238471793185E-3</v>
      </c>
      <c r="P723">
        <f t="shared" si="93"/>
        <v>0</v>
      </c>
      <c r="Q723">
        <f t="shared" si="94"/>
        <v>0</v>
      </c>
    </row>
    <row r="724" spans="1:17">
      <c r="A724" s="1">
        <v>43510</v>
      </c>
      <c r="B724">
        <v>2745.73</v>
      </c>
      <c r="C724">
        <f t="shared" si="88"/>
        <v>-2.6516238471793185E-3</v>
      </c>
      <c r="D724">
        <f t="shared" si="95"/>
        <v>1.3259281127758538E-2</v>
      </c>
      <c r="E724">
        <f>_xlfn.XLOOKUP(A724,VIX!A:A,VIX!B:B,"",-1)</f>
        <v>16.22</v>
      </c>
      <c r="F724">
        <f t="shared" si="89"/>
        <v>0.56999999999999851</v>
      </c>
      <c r="G724">
        <f>_xlfn.XLOOKUP(A724,'DGS10'!A:A,'DGS10'!B:B,"",-1)</f>
        <v>2.66</v>
      </c>
      <c r="H724">
        <f t="shared" si="90"/>
        <v>-4.9999999999999822E-2</v>
      </c>
      <c r="I724" s="2">
        <f>_xlfn.XLOOKUP(A724,T10Y3M!A:A,T10Y3M!B:B,"",-1)</f>
        <v>0.23</v>
      </c>
      <c r="J724" s="2">
        <f>_xlfn.XLOOKUP(A724,BAMLC0A4CBBB!A:A,BAMLC0A4CBBB!B:B,"",-1)</f>
        <v>1.73</v>
      </c>
      <c r="K724" s="2">
        <f>_xlfn.XLOOKUP(A724,CPIAUCSL!A:A,CPIAUCSL!B:B,"",-1)</f>
        <v>253.31899999999999</v>
      </c>
      <c r="L724">
        <f>_xlfn.XLOOKUP(A724,DFF!A:A,DFF!B:B,"",-1)</f>
        <v>2.4</v>
      </c>
      <c r="M724">
        <f>_xlfn.XLOOKUP(A724,'DGS2'!A:A,'DGS2'!B:B,"",-1)</f>
        <v>2.5</v>
      </c>
      <c r="N724">
        <f t="shared" si="91"/>
        <v>-2.9999999999999805E-2</v>
      </c>
      <c r="O724">
        <f t="shared" si="92"/>
        <v>1.0878709851296353E-2</v>
      </c>
      <c r="P724">
        <f t="shared" si="93"/>
        <v>1</v>
      </c>
      <c r="Q724">
        <f t="shared" si="94"/>
        <v>1</v>
      </c>
    </row>
    <row r="725" spans="1:17">
      <c r="A725" s="1">
        <v>43511</v>
      </c>
      <c r="B725">
        <v>2775.6</v>
      </c>
      <c r="C725">
        <f t="shared" si="88"/>
        <v>1.0878709851296353E-2</v>
      </c>
      <c r="D725">
        <f t="shared" si="95"/>
        <v>1.1247007902416506E-2</v>
      </c>
      <c r="E725">
        <f>_xlfn.XLOOKUP(A725,VIX!A:A,VIX!B:B,"",-1)</f>
        <v>14.91</v>
      </c>
      <c r="F725">
        <f t="shared" si="89"/>
        <v>-1.3099999999999987</v>
      </c>
      <c r="G725">
        <f>_xlfn.XLOOKUP(A725,'DGS10'!A:A,'DGS10'!B:B,"",-1)</f>
        <v>2.66</v>
      </c>
      <c r="H725">
        <f t="shared" si="90"/>
        <v>0</v>
      </c>
      <c r="I725" s="2">
        <f>_xlfn.XLOOKUP(A725,T10Y3M!A:A,T10Y3M!B:B,"",-1)</f>
        <v>0.23</v>
      </c>
      <c r="J725" s="2">
        <f>_xlfn.XLOOKUP(A725,BAMLC0A4CBBB!A:A,BAMLC0A4CBBB!B:B,"",-1)</f>
        <v>1.72</v>
      </c>
      <c r="K725" s="2">
        <f>_xlfn.XLOOKUP(A725,CPIAUCSL!A:A,CPIAUCSL!B:B,"",-1)</f>
        <v>253.31899999999999</v>
      </c>
      <c r="L725">
        <f>_xlfn.XLOOKUP(A725,DFF!A:A,DFF!B:B,"",-1)</f>
        <v>2.4</v>
      </c>
      <c r="M725">
        <f>_xlfn.XLOOKUP(A725,'DGS2'!A:A,'DGS2'!B:B,"",-1)</f>
        <v>2.52</v>
      </c>
      <c r="N725">
        <f t="shared" si="91"/>
        <v>2.0000000000000018E-2</v>
      </c>
      <c r="O725">
        <f t="shared" si="92"/>
        <v>1.4987750396311394E-3</v>
      </c>
      <c r="P725">
        <f t="shared" si="93"/>
        <v>1</v>
      </c>
      <c r="Q725">
        <f t="shared" si="94"/>
        <v>0</v>
      </c>
    </row>
    <row r="726" spans="1:17">
      <c r="A726" s="1">
        <v>43515</v>
      </c>
      <c r="B726">
        <v>2779.76</v>
      </c>
      <c r="C726">
        <f t="shared" si="88"/>
        <v>1.4987750396311394E-3</v>
      </c>
      <c r="D726">
        <f t="shared" si="95"/>
        <v>9.7093021143976888E-3</v>
      </c>
      <c r="E726">
        <f>_xlfn.XLOOKUP(A726,VIX!A:A,VIX!B:B,"",-1)</f>
        <v>14.88</v>
      </c>
      <c r="F726">
        <f t="shared" si="89"/>
        <v>-2.9999999999999361E-2</v>
      </c>
      <c r="G726">
        <f>_xlfn.XLOOKUP(A726,'DGS10'!A:A,'DGS10'!B:B,"",-1)</f>
        <v>2.65</v>
      </c>
      <c r="H726">
        <f t="shared" si="90"/>
        <v>-1.0000000000000231E-2</v>
      </c>
      <c r="I726" s="2">
        <f>_xlfn.XLOOKUP(A726,T10Y3M!A:A,T10Y3M!B:B,"",-1)</f>
        <v>0.2</v>
      </c>
      <c r="J726" s="2">
        <f>_xlfn.XLOOKUP(A726,BAMLC0A4CBBB!A:A,BAMLC0A4CBBB!B:B,"",-1)</f>
        <v>1.72</v>
      </c>
      <c r="K726" s="2">
        <f>_xlfn.XLOOKUP(A726,CPIAUCSL!A:A,CPIAUCSL!B:B,"",-1)</f>
        <v>253.31899999999999</v>
      </c>
      <c r="L726">
        <f>_xlfn.XLOOKUP(A726,DFF!A:A,DFF!B:B,"",-1)</f>
        <v>2.4</v>
      </c>
      <c r="M726">
        <f>_xlfn.XLOOKUP(A726,'DGS2'!A:A,'DGS2'!B:B,"",-1)</f>
        <v>2.5</v>
      </c>
      <c r="N726">
        <f t="shared" si="91"/>
        <v>-2.0000000000000018E-2</v>
      </c>
      <c r="O726">
        <f t="shared" si="92"/>
        <v>1.7771318387196366E-3</v>
      </c>
      <c r="P726">
        <f t="shared" si="93"/>
        <v>1</v>
      </c>
      <c r="Q726">
        <f t="shared" si="94"/>
        <v>0</v>
      </c>
    </row>
    <row r="727" spans="1:17">
      <c r="A727" s="1">
        <v>43516</v>
      </c>
      <c r="B727">
        <v>2784.7</v>
      </c>
      <c r="C727">
        <f t="shared" si="88"/>
        <v>1.7771318387196366E-3</v>
      </c>
      <c r="D727">
        <f t="shared" si="95"/>
        <v>1.4192946866589118E-2</v>
      </c>
      <c r="E727">
        <f>_xlfn.XLOOKUP(A727,VIX!A:A,VIX!B:B,"",-1)</f>
        <v>14.02</v>
      </c>
      <c r="F727">
        <f t="shared" si="89"/>
        <v>-0.86000000000000121</v>
      </c>
      <c r="G727">
        <f>_xlfn.XLOOKUP(A727,'DGS10'!A:A,'DGS10'!B:B,"",-1)</f>
        <v>2.65</v>
      </c>
      <c r="H727">
        <f t="shared" si="90"/>
        <v>0</v>
      </c>
      <c r="I727" s="2">
        <f>_xlfn.XLOOKUP(A727,T10Y3M!A:A,T10Y3M!B:B,"",-1)</f>
        <v>0.2</v>
      </c>
      <c r="J727" s="2">
        <f>_xlfn.XLOOKUP(A727,BAMLC0A4CBBB!A:A,BAMLC0A4CBBB!B:B,"",-1)</f>
        <v>1.72</v>
      </c>
      <c r="K727" s="2">
        <f>_xlfn.XLOOKUP(A727,CPIAUCSL!A:A,CPIAUCSL!B:B,"",-1)</f>
        <v>253.31899999999999</v>
      </c>
      <c r="L727">
        <f>_xlfn.XLOOKUP(A727,DFF!A:A,DFF!B:B,"",-1)</f>
        <v>2.4</v>
      </c>
      <c r="M727">
        <f>_xlfn.XLOOKUP(A727,'DGS2'!A:A,'DGS2'!B:B,"",-1)</f>
        <v>2.5</v>
      </c>
      <c r="N727">
        <f t="shared" si="91"/>
        <v>0</v>
      </c>
      <c r="O727">
        <f t="shared" si="92"/>
        <v>-3.526412180845262E-3</v>
      </c>
      <c r="P727">
        <f t="shared" si="93"/>
        <v>0</v>
      </c>
      <c r="Q727">
        <f t="shared" si="94"/>
        <v>-1</v>
      </c>
    </row>
    <row r="728" spans="1:17">
      <c r="A728" s="1">
        <v>43517</v>
      </c>
      <c r="B728">
        <v>2774.88</v>
      </c>
      <c r="C728">
        <f t="shared" si="88"/>
        <v>-3.526412180845262E-3</v>
      </c>
      <c r="D728">
        <f t="shared" si="95"/>
        <v>-2.5940337224372723E-4</v>
      </c>
      <c r="E728">
        <f>_xlfn.XLOOKUP(A728,VIX!A:A,VIX!B:B,"",-1)</f>
        <v>14.46</v>
      </c>
      <c r="F728">
        <f t="shared" si="89"/>
        <v>0.44000000000000128</v>
      </c>
      <c r="G728">
        <f>_xlfn.XLOOKUP(A728,'DGS10'!A:A,'DGS10'!B:B,"",-1)</f>
        <v>2.69</v>
      </c>
      <c r="H728">
        <f t="shared" si="90"/>
        <v>4.0000000000000036E-2</v>
      </c>
      <c r="I728" s="2">
        <f>_xlfn.XLOOKUP(A728,T10Y3M!A:A,T10Y3M!B:B,"",-1)</f>
        <v>0.24</v>
      </c>
      <c r="J728" s="2">
        <f>_xlfn.XLOOKUP(A728,BAMLC0A4CBBB!A:A,BAMLC0A4CBBB!B:B,"",-1)</f>
        <v>1.71</v>
      </c>
      <c r="K728" s="2">
        <f>_xlfn.XLOOKUP(A728,CPIAUCSL!A:A,CPIAUCSL!B:B,"",-1)</f>
        <v>253.31899999999999</v>
      </c>
      <c r="L728">
        <f>_xlfn.XLOOKUP(A728,DFF!A:A,DFF!B:B,"",-1)</f>
        <v>2.4</v>
      </c>
      <c r="M728">
        <f>_xlfn.XLOOKUP(A728,'DGS2'!A:A,'DGS2'!B:B,"",-1)</f>
        <v>2.5299999999999998</v>
      </c>
      <c r="N728">
        <f t="shared" si="91"/>
        <v>2.9999999999999805E-2</v>
      </c>
      <c r="O728">
        <f t="shared" si="92"/>
        <v>6.4110880470507059E-3</v>
      </c>
      <c r="P728">
        <f t="shared" si="93"/>
        <v>1</v>
      </c>
      <c r="Q728">
        <f t="shared" si="94"/>
        <v>1</v>
      </c>
    </row>
    <row r="729" spans="1:17">
      <c r="A729" s="1">
        <v>43518</v>
      </c>
      <c r="B729">
        <v>2792.67</v>
      </c>
      <c r="C729">
        <f t="shared" si="88"/>
        <v>6.4110880470507059E-3</v>
      </c>
      <c r="D729">
        <f t="shared" si="95"/>
        <v>4.6442858376263274E-3</v>
      </c>
      <c r="E729">
        <f>_xlfn.XLOOKUP(A729,VIX!A:A,VIX!B:B,"",-1)</f>
        <v>13.51</v>
      </c>
      <c r="F729">
        <f t="shared" si="89"/>
        <v>-0.95000000000000107</v>
      </c>
      <c r="G729">
        <f>_xlfn.XLOOKUP(A729,'DGS10'!A:A,'DGS10'!B:B,"",-1)</f>
        <v>2.65</v>
      </c>
      <c r="H729">
        <f t="shared" si="90"/>
        <v>-4.0000000000000036E-2</v>
      </c>
      <c r="I729" s="2">
        <f>_xlfn.XLOOKUP(A729,T10Y3M!A:A,T10Y3M!B:B,"",-1)</f>
        <v>0.19</v>
      </c>
      <c r="J729" s="2">
        <f>_xlfn.XLOOKUP(A729,BAMLC0A4CBBB!A:A,BAMLC0A4CBBB!B:B,"",-1)</f>
        <v>1.71</v>
      </c>
      <c r="K729" s="2">
        <f>_xlfn.XLOOKUP(A729,CPIAUCSL!A:A,CPIAUCSL!B:B,"",-1)</f>
        <v>253.31899999999999</v>
      </c>
      <c r="L729">
        <f>_xlfn.XLOOKUP(A729,DFF!A:A,DFF!B:B,"",-1)</f>
        <v>2.4</v>
      </c>
      <c r="M729">
        <f>_xlfn.XLOOKUP(A729,'DGS2'!A:A,'DGS2'!B:B,"",-1)</f>
        <v>2.48</v>
      </c>
      <c r="N729">
        <f t="shared" si="91"/>
        <v>-4.9999999999999822E-2</v>
      </c>
      <c r="O729">
        <f t="shared" si="92"/>
        <v>1.2317960947767492E-3</v>
      </c>
      <c r="P729">
        <f t="shared" si="93"/>
        <v>1</v>
      </c>
      <c r="Q729">
        <f t="shared" si="94"/>
        <v>0</v>
      </c>
    </row>
    <row r="730" spans="1:17">
      <c r="A730" s="1">
        <v>43521</v>
      </c>
      <c r="B730">
        <v>2796.11</v>
      </c>
      <c r="C730">
        <f t="shared" si="88"/>
        <v>1.2317960947767492E-3</v>
      </c>
      <c r="D730">
        <f t="shared" si="95"/>
        <v>4.0973893058500188E-3</v>
      </c>
      <c r="E730">
        <f>_xlfn.XLOOKUP(A730,VIX!A:A,VIX!B:B,"",-1)</f>
        <v>14.85</v>
      </c>
      <c r="F730">
        <f t="shared" si="89"/>
        <v>1.3399999999999999</v>
      </c>
      <c r="G730">
        <f>_xlfn.XLOOKUP(A730,'DGS10'!A:A,'DGS10'!B:B,"",-1)</f>
        <v>2.67</v>
      </c>
      <c r="H730">
        <f t="shared" si="90"/>
        <v>2.0000000000000018E-2</v>
      </c>
      <c r="I730" s="2">
        <f>_xlfn.XLOOKUP(A730,T10Y3M!A:A,T10Y3M!B:B,"",-1)</f>
        <v>0.2</v>
      </c>
      <c r="J730" s="2">
        <f>_xlfn.XLOOKUP(A730,BAMLC0A4CBBB!A:A,BAMLC0A4CBBB!B:B,"",-1)</f>
        <v>1.7</v>
      </c>
      <c r="K730" s="2">
        <f>_xlfn.XLOOKUP(A730,CPIAUCSL!A:A,CPIAUCSL!B:B,"",-1)</f>
        <v>253.31899999999999</v>
      </c>
      <c r="L730">
        <f>_xlfn.XLOOKUP(A730,DFF!A:A,DFF!B:B,"",-1)</f>
        <v>2.4</v>
      </c>
      <c r="M730">
        <f>_xlfn.XLOOKUP(A730,'DGS2'!A:A,'DGS2'!B:B,"",-1)</f>
        <v>2.5099999999999998</v>
      </c>
      <c r="N730">
        <f t="shared" si="91"/>
        <v>2.9999999999999805E-2</v>
      </c>
      <c r="O730">
        <f t="shared" si="92"/>
        <v>-7.9038378318452285E-4</v>
      </c>
      <c r="P730">
        <f t="shared" si="93"/>
        <v>0</v>
      </c>
      <c r="Q730">
        <f t="shared" si="94"/>
        <v>0</v>
      </c>
    </row>
    <row r="731" spans="1:17">
      <c r="A731" s="1">
        <v>43522</v>
      </c>
      <c r="B731">
        <v>2793.9</v>
      </c>
      <c r="C731">
        <f t="shared" si="88"/>
        <v>-7.9038378318452285E-4</v>
      </c>
      <c r="D731">
        <f t="shared" si="95"/>
        <v>6.8543504583982173E-3</v>
      </c>
      <c r="E731">
        <f>_xlfn.XLOOKUP(A731,VIX!A:A,VIX!B:B,"",-1)</f>
        <v>15.17</v>
      </c>
      <c r="F731">
        <f t="shared" si="89"/>
        <v>0.32000000000000028</v>
      </c>
      <c r="G731">
        <f>_xlfn.XLOOKUP(A731,'DGS10'!A:A,'DGS10'!B:B,"",-1)</f>
        <v>2.64</v>
      </c>
      <c r="H731">
        <f t="shared" si="90"/>
        <v>-2.9999999999999805E-2</v>
      </c>
      <c r="I731" s="2">
        <f>_xlfn.XLOOKUP(A731,T10Y3M!A:A,T10Y3M!B:B,"",-1)</f>
        <v>0.19</v>
      </c>
      <c r="J731" s="2">
        <f>_xlfn.XLOOKUP(A731,BAMLC0A4CBBB!A:A,BAMLC0A4CBBB!B:B,"",-1)</f>
        <v>1.7</v>
      </c>
      <c r="K731" s="2">
        <f>_xlfn.XLOOKUP(A731,CPIAUCSL!A:A,CPIAUCSL!B:B,"",-1)</f>
        <v>253.31899999999999</v>
      </c>
      <c r="L731">
        <f>_xlfn.XLOOKUP(A731,DFF!A:A,DFF!B:B,"",-1)</f>
        <v>2.4</v>
      </c>
      <c r="M731">
        <f>_xlfn.XLOOKUP(A731,'DGS2'!A:A,'DGS2'!B:B,"",-1)</f>
        <v>2.48</v>
      </c>
      <c r="N731">
        <f t="shared" si="91"/>
        <v>-2.9999999999999805E-2</v>
      </c>
      <c r="O731">
        <f t="shared" si="92"/>
        <v>-5.4404237803784561E-4</v>
      </c>
      <c r="P731">
        <f t="shared" si="93"/>
        <v>0</v>
      </c>
      <c r="Q731">
        <f t="shared" si="94"/>
        <v>0</v>
      </c>
    </row>
    <row r="732" spans="1:17">
      <c r="A732" s="1">
        <v>43523</v>
      </c>
      <c r="B732">
        <v>2792.38</v>
      </c>
      <c r="C732">
        <f t="shared" si="88"/>
        <v>-5.4404237803784561E-4</v>
      </c>
      <c r="D732">
        <f t="shared" si="95"/>
        <v>-1.0384327543178085E-4</v>
      </c>
      <c r="E732">
        <f>_xlfn.XLOOKUP(A732,VIX!A:A,VIX!B:B,"",-1)</f>
        <v>14.7</v>
      </c>
      <c r="F732">
        <f t="shared" si="89"/>
        <v>-0.47000000000000064</v>
      </c>
      <c r="G732">
        <f>_xlfn.XLOOKUP(A732,'DGS10'!A:A,'DGS10'!B:B,"",-1)</f>
        <v>2.69</v>
      </c>
      <c r="H732">
        <f t="shared" si="90"/>
        <v>4.9999999999999822E-2</v>
      </c>
      <c r="I732" s="2">
        <f>_xlfn.XLOOKUP(A732,T10Y3M!A:A,T10Y3M!B:B,"",-1)</f>
        <v>0.24</v>
      </c>
      <c r="J732" s="2">
        <f>_xlfn.XLOOKUP(A732,BAMLC0A4CBBB!A:A,BAMLC0A4CBBB!B:B,"",-1)</f>
        <v>1.69</v>
      </c>
      <c r="K732" s="2">
        <f>_xlfn.XLOOKUP(A732,CPIAUCSL!A:A,CPIAUCSL!B:B,"",-1)</f>
        <v>253.31899999999999</v>
      </c>
      <c r="L732">
        <f>_xlfn.XLOOKUP(A732,DFF!A:A,DFF!B:B,"",-1)</f>
        <v>2.4</v>
      </c>
      <c r="M732">
        <f>_xlfn.XLOOKUP(A732,'DGS2'!A:A,'DGS2'!B:B,"",-1)</f>
        <v>2.5</v>
      </c>
      <c r="N732">
        <f t="shared" si="91"/>
        <v>2.0000000000000018E-2</v>
      </c>
      <c r="O732">
        <f t="shared" si="92"/>
        <v>-2.8255466662847617E-3</v>
      </c>
      <c r="P732">
        <f t="shared" si="93"/>
        <v>0</v>
      </c>
      <c r="Q732">
        <f t="shared" si="94"/>
        <v>0</v>
      </c>
    </row>
    <row r="733" spans="1:17">
      <c r="A733" s="1">
        <v>43524</v>
      </c>
      <c r="B733">
        <v>2784.49</v>
      </c>
      <c r="C733">
        <f t="shared" si="88"/>
        <v>-2.8255466662847617E-3</v>
      </c>
      <c r="D733">
        <f t="shared" si="95"/>
        <v>-4.1557735568343857E-3</v>
      </c>
      <c r="E733">
        <f>_xlfn.XLOOKUP(A733,VIX!A:A,VIX!B:B,"",-1)</f>
        <v>14.78</v>
      </c>
      <c r="F733">
        <f t="shared" si="89"/>
        <v>8.0000000000000071E-2</v>
      </c>
      <c r="G733">
        <f>_xlfn.XLOOKUP(A733,'DGS10'!A:A,'DGS10'!B:B,"",-1)</f>
        <v>2.73</v>
      </c>
      <c r="H733">
        <f t="shared" si="90"/>
        <v>4.0000000000000036E-2</v>
      </c>
      <c r="I733" s="2">
        <f>_xlfn.XLOOKUP(A733,T10Y3M!A:A,T10Y3M!B:B,"",-1)</f>
        <v>0.28000000000000003</v>
      </c>
      <c r="J733" s="2">
        <f>_xlfn.XLOOKUP(A733,BAMLC0A4CBBB!A:A,BAMLC0A4CBBB!B:B,"",-1)</f>
        <v>1.68</v>
      </c>
      <c r="K733" s="2">
        <f>_xlfn.XLOOKUP(A733,CPIAUCSL!A:A,CPIAUCSL!B:B,"",-1)</f>
        <v>253.31899999999999</v>
      </c>
      <c r="L733">
        <f>_xlfn.XLOOKUP(A733,DFF!A:A,DFF!B:B,"",-1)</f>
        <v>2.4</v>
      </c>
      <c r="M733">
        <f>_xlfn.XLOOKUP(A733,'DGS2'!A:A,'DGS2'!B:B,"",-1)</f>
        <v>2.52</v>
      </c>
      <c r="N733">
        <f t="shared" si="91"/>
        <v>2.0000000000000018E-2</v>
      </c>
      <c r="O733">
        <f t="shared" si="92"/>
        <v>6.8953381050032014E-3</v>
      </c>
      <c r="P733">
        <f t="shared" si="93"/>
        <v>1</v>
      </c>
      <c r="Q733">
        <f t="shared" si="94"/>
        <v>1</v>
      </c>
    </row>
    <row r="734" spans="1:17">
      <c r="A734" s="1">
        <v>43525</v>
      </c>
      <c r="B734">
        <v>2803.69</v>
      </c>
      <c r="C734">
        <f t="shared" si="88"/>
        <v>6.8953381050032014E-3</v>
      </c>
      <c r="D734">
        <f t="shared" si="95"/>
        <v>3.5040624217044236E-3</v>
      </c>
      <c r="E734">
        <f>_xlfn.XLOOKUP(A734,VIX!A:A,VIX!B:B,"",-1)</f>
        <v>13.57</v>
      </c>
      <c r="F734">
        <f t="shared" si="89"/>
        <v>-1.2099999999999991</v>
      </c>
      <c r="G734">
        <f>_xlfn.XLOOKUP(A734,'DGS10'!A:A,'DGS10'!B:B,"",-1)</f>
        <v>2.76</v>
      </c>
      <c r="H734">
        <f t="shared" si="90"/>
        <v>2.9999999999999805E-2</v>
      </c>
      <c r="I734" s="2">
        <f>_xlfn.XLOOKUP(A734,T10Y3M!A:A,T10Y3M!B:B,"",-1)</f>
        <v>0.32</v>
      </c>
      <c r="J734" s="2">
        <f>_xlfn.XLOOKUP(A734,BAMLC0A4CBBB!A:A,BAMLC0A4CBBB!B:B,"",-1)</f>
        <v>1.66</v>
      </c>
      <c r="K734" s="2">
        <f>_xlfn.XLOOKUP(A734,CPIAUCSL!A:A,CPIAUCSL!B:B,"",-1)</f>
        <v>254.27699999999999</v>
      </c>
      <c r="L734">
        <f>_xlfn.XLOOKUP(A734,DFF!A:A,DFF!B:B,"",-1)</f>
        <v>2.4</v>
      </c>
      <c r="M734">
        <f>_xlfn.XLOOKUP(A734,'DGS2'!A:A,'DGS2'!B:B,"",-1)</f>
        <v>2.5499999999999998</v>
      </c>
      <c r="N734">
        <f t="shared" si="91"/>
        <v>2.9999999999999805E-2</v>
      </c>
      <c r="O734">
        <f t="shared" si="92"/>
        <v>-3.8806002090102654E-3</v>
      </c>
      <c r="P734">
        <f t="shared" si="93"/>
        <v>0</v>
      </c>
      <c r="Q734">
        <f t="shared" si="94"/>
        <v>-1</v>
      </c>
    </row>
    <row r="735" spans="1:17">
      <c r="A735" s="1">
        <v>43528</v>
      </c>
      <c r="B735">
        <v>2792.81</v>
      </c>
      <c r="C735">
        <f t="shared" si="88"/>
        <v>-3.8806002090102654E-3</v>
      </c>
      <c r="D735">
        <f t="shared" si="95"/>
        <v>1.5399050272524306E-4</v>
      </c>
      <c r="E735">
        <f>_xlfn.XLOOKUP(A735,VIX!A:A,VIX!B:B,"",-1)</f>
        <v>14.63</v>
      </c>
      <c r="F735">
        <f t="shared" si="89"/>
        <v>1.0600000000000005</v>
      </c>
      <c r="G735">
        <f>_xlfn.XLOOKUP(A735,'DGS10'!A:A,'DGS10'!B:B,"",-1)</f>
        <v>2.72</v>
      </c>
      <c r="H735">
        <f t="shared" si="90"/>
        <v>-3.9999999999999591E-2</v>
      </c>
      <c r="I735" s="2">
        <f>_xlfn.XLOOKUP(A735,T10Y3M!A:A,T10Y3M!B:B,"",-1)</f>
        <v>0.26</v>
      </c>
      <c r="J735" s="2">
        <f>_xlfn.XLOOKUP(A735,BAMLC0A4CBBB!A:A,BAMLC0A4CBBB!B:B,"",-1)</f>
        <v>1.65</v>
      </c>
      <c r="K735" s="2">
        <f>_xlfn.XLOOKUP(A735,CPIAUCSL!A:A,CPIAUCSL!B:B,"",-1)</f>
        <v>254.27699999999999</v>
      </c>
      <c r="L735">
        <f>_xlfn.XLOOKUP(A735,DFF!A:A,DFF!B:B,"",-1)</f>
        <v>2.4</v>
      </c>
      <c r="M735">
        <f>_xlfn.XLOOKUP(A735,'DGS2'!A:A,'DGS2'!B:B,"",-1)</f>
        <v>2.5499999999999998</v>
      </c>
      <c r="N735">
        <f t="shared" si="91"/>
        <v>0</v>
      </c>
      <c r="O735">
        <f t="shared" si="92"/>
        <v>-1.1314768996100177E-3</v>
      </c>
      <c r="P735">
        <f t="shared" si="93"/>
        <v>0</v>
      </c>
      <c r="Q735">
        <f t="shared" si="94"/>
        <v>0</v>
      </c>
    </row>
    <row r="736" spans="1:17">
      <c r="A736" s="1">
        <v>43529</v>
      </c>
      <c r="B736">
        <v>2789.65</v>
      </c>
      <c r="C736">
        <f t="shared" si="88"/>
        <v>-1.1314768996100177E-3</v>
      </c>
      <c r="D736">
        <f t="shared" si="95"/>
        <v>1.8531221157196409E-3</v>
      </c>
      <c r="E736">
        <f>_xlfn.XLOOKUP(A736,VIX!A:A,VIX!B:B,"",-1)</f>
        <v>14.74</v>
      </c>
      <c r="F736">
        <f t="shared" si="89"/>
        <v>0.10999999999999943</v>
      </c>
      <c r="G736">
        <f>_xlfn.XLOOKUP(A736,'DGS10'!A:A,'DGS10'!B:B,"",-1)</f>
        <v>2.72</v>
      </c>
      <c r="H736">
        <f t="shared" si="90"/>
        <v>0</v>
      </c>
      <c r="I736" s="2">
        <f>_xlfn.XLOOKUP(A736,T10Y3M!A:A,T10Y3M!B:B,"",-1)</f>
        <v>0.26</v>
      </c>
      <c r="J736" s="2">
        <f>_xlfn.XLOOKUP(A736,BAMLC0A4CBBB!A:A,BAMLC0A4CBBB!B:B,"",-1)</f>
        <v>1.65</v>
      </c>
      <c r="K736" s="2">
        <f>_xlfn.XLOOKUP(A736,CPIAUCSL!A:A,CPIAUCSL!B:B,"",-1)</f>
        <v>254.27699999999999</v>
      </c>
      <c r="L736">
        <f>_xlfn.XLOOKUP(A736,DFF!A:A,DFF!B:B,"",-1)</f>
        <v>2.4</v>
      </c>
      <c r="M736">
        <f>_xlfn.XLOOKUP(A736,'DGS2'!A:A,'DGS2'!B:B,"",-1)</f>
        <v>2.5499999999999998</v>
      </c>
      <c r="N736">
        <f t="shared" si="91"/>
        <v>0</v>
      </c>
      <c r="O736">
        <f t="shared" si="92"/>
        <v>-6.5241159285216455E-3</v>
      </c>
      <c r="P736">
        <f t="shared" si="93"/>
        <v>0</v>
      </c>
      <c r="Q736">
        <f t="shared" si="94"/>
        <v>-1</v>
      </c>
    </row>
    <row r="737" spans="1:17">
      <c r="A737" s="1">
        <v>43530</v>
      </c>
      <c r="B737">
        <v>2771.45</v>
      </c>
      <c r="C737">
        <f t="shared" si="88"/>
        <v>-6.5241159285216455E-3</v>
      </c>
      <c r="D737">
        <f t="shared" si="95"/>
        <v>-1.1499131501699678E-2</v>
      </c>
      <c r="E737">
        <f>_xlfn.XLOOKUP(A737,VIX!A:A,VIX!B:B,"",-1)</f>
        <v>15.74</v>
      </c>
      <c r="F737">
        <f t="shared" si="89"/>
        <v>1</v>
      </c>
      <c r="G737">
        <f>_xlfn.XLOOKUP(A737,'DGS10'!A:A,'DGS10'!B:B,"",-1)</f>
        <v>2.69</v>
      </c>
      <c r="H737">
        <f t="shared" si="90"/>
        <v>-3.0000000000000249E-2</v>
      </c>
      <c r="I737" s="2">
        <f>_xlfn.XLOOKUP(A737,T10Y3M!A:A,T10Y3M!B:B,"",-1)</f>
        <v>0.22</v>
      </c>
      <c r="J737" s="2">
        <f>_xlfn.XLOOKUP(A737,BAMLC0A4CBBB!A:A,BAMLC0A4CBBB!B:B,"",-1)</f>
        <v>1.66</v>
      </c>
      <c r="K737" s="2">
        <f>_xlfn.XLOOKUP(A737,CPIAUCSL!A:A,CPIAUCSL!B:B,"",-1)</f>
        <v>254.27699999999999</v>
      </c>
      <c r="L737">
        <f>_xlfn.XLOOKUP(A737,DFF!A:A,DFF!B:B,"",-1)</f>
        <v>2.4</v>
      </c>
      <c r="M737">
        <f>_xlfn.XLOOKUP(A737,'DGS2'!A:A,'DGS2'!B:B,"",-1)</f>
        <v>2.52</v>
      </c>
      <c r="N737">
        <f t="shared" si="91"/>
        <v>-2.9999999999999805E-2</v>
      </c>
      <c r="O737">
        <f t="shared" si="92"/>
        <v>-8.1257103682187415E-3</v>
      </c>
      <c r="P737">
        <f t="shared" si="93"/>
        <v>0</v>
      </c>
      <c r="Q737">
        <f t="shared" si="94"/>
        <v>-1</v>
      </c>
    </row>
    <row r="738" spans="1:17">
      <c r="A738" s="1">
        <v>43531</v>
      </c>
      <c r="B738">
        <v>2748.93</v>
      </c>
      <c r="C738">
        <f t="shared" si="88"/>
        <v>-8.1257103682187415E-3</v>
      </c>
      <c r="D738">
        <f t="shared" si="95"/>
        <v>-1.5711774162939895E-2</v>
      </c>
      <c r="E738">
        <f>_xlfn.XLOOKUP(A738,VIX!A:A,VIX!B:B,"",-1)</f>
        <v>16.59</v>
      </c>
      <c r="F738">
        <f t="shared" si="89"/>
        <v>0.84999999999999964</v>
      </c>
      <c r="G738">
        <f>_xlfn.XLOOKUP(A738,'DGS10'!A:A,'DGS10'!B:B,"",-1)</f>
        <v>2.64</v>
      </c>
      <c r="H738">
        <f t="shared" si="90"/>
        <v>-4.9999999999999822E-2</v>
      </c>
      <c r="I738" s="2">
        <f>_xlfn.XLOOKUP(A738,T10Y3M!A:A,T10Y3M!B:B,"",-1)</f>
        <v>0.19</v>
      </c>
      <c r="J738" s="2">
        <f>_xlfn.XLOOKUP(A738,BAMLC0A4CBBB!A:A,BAMLC0A4CBBB!B:B,"",-1)</f>
        <v>1.67</v>
      </c>
      <c r="K738" s="2">
        <f>_xlfn.XLOOKUP(A738,CPIAUCSL!A:A,CPIAUCSL!B:B,"",-1)</f>
        <v>254.27699999999999</v>
      </c>
      <c r="L738">
        <f>_xlfn.XLOOKUP(A738,DFF!A:A,DFF!B:B,"",-1)</f>
        <v>2.4</v>
      </c>
      <c r="M738">
        <f>_xlfn.XLOOKUP(A738,'DGS2'!A:A,'DGS2'!B:B,"",-1)</f>
        <v>2.4700000000000002</v>
      </c>
      <c r="N738">
        <f t="shared" si="91"/>
        <v>-4.9999999999999822E-2</v>
      </c>
      <c r="O738">
        <f t="shared" si="92"/>
        <v>-2.1317385309919112E-3</v>
      </c>
      <c r="P738">
        <f t="shared" si="93"/>
        <v>0</v>
      </c>
      <c r="Q738">
        <f t="shared" si="94"/>
        <v>0</v>
      </c>
    </row>
    <row r="739" spans="1:17">
      <c r="A739" s="1">
        <v>43532</v>
      </c>
      <c r="B739">
        <v>2743.07</v>
      </c>
      <c r="C739">
        <f t="shared" si="88"/>
        <v>-2.1317385309919112E-3</v>
      </c>
      <c r="D739">
        <f t="shared" si="95"/>
        <v>-1.669743516211708E-2</v>
      </c>
      <c r="E739">
        <f>_xlfn.XLOOKUP(A739,VIX!A:A,VIX!B:B,"",-1)</f>
        <v>16.05</v>
      </c>
      <c r="F739">
        <f t="shared" si="89"/>
        <v>-0.53999999999999915</v>
      </c>
      <c r="G739">
        <f>_xlfn.XLOOKUP(A739,'DGS10'!A:A,'DGS10'!B:B,"",-1)</f>
        <v>2.62</v>
      </c>
      <c r="H739">
        <f t="shared" si="90"/>
        <v>-2.0000000000000018E-2</v>
      </c>
      <c r="I739" s="2">
        <f>_xlfn.XLOOKUP(A739,T10Y3M!A:A,T10Y3M!B:B,"",-1)</f>
        <v>0.16</v>
      </c>
      <c r="J739" s="2">
        <f>_xlfn.XLOOKUP(A739,BAMLC0A4CBBB!A:A,BAMLC0A4CBBB!B:B,"",-1)</f>
        <v>1.68</v>
      </c>
      <c r="K739" s="2">
        <f>_xlfn.XLOOKUP(A739,CPIAUCSL!A:A,CPIAUCSL!B:B,"",-1)</f>
        <v>254.27699999999999</v>
      </c>
      <c r="L739">
        <f>_xlfn.XLOOKUP(A739,DFF!A:A,DFF!B:B,"",-1)</f>
        <v>2.4</v>
      </c>
      <c r="M739">
        <f>_xlfn.XLOOKUP(A739,'DGS2'!A:A,'DGS2'!B:B,"",-1)</f>
        <v>2.4500000000000002</v>
      </c>
      <c r="N739">
        <f t="shared" si="91"/>
        <v>-2.0000000000000018E-2</v>
      </c>
      <c r="O739">
        <f t="shared" si="92"/>
        <v>1.4666049353461608E-2</v>
      </c>
      <c r="P739">
        <f t="shared" si="93"/>
        <v>1</v>
      </c>
      <c r="Q739">
        <f t="shared" si="94"/>
        <v>1</v>
      </c>
    </row>
    <row r="740" spans="1:17">
      <c r="A740" s="1">
        <v>43535</v>
      </c>
      <c r="B740">
        <v>2783.3</v>
      </c>
      <c r="C740">
        <f t="shared" si="88"/>
        <v>1.4666049353461608E-2</v>
      </c>
      <c r="D740">
        <f t="shared" si="95"/>
        <v>4.2757401360300484E-3</v>
      </c>
      <c r="E740">
        <f>_xlfn.XLOOKUP(A740,VIX!A:A,VIX!B:B,"",-1)</f>
        <v>14.33</v>
      </c>
      <c r="F740">
        <f t="shared" si="89"/>
        <v>-1.7200000000000006</v>
      </c>
      <c r="G740">
        <f>_xlfn.XLOOKUP(A740,'DGS10'!A:A,'DGS10'!B:B,"",-1)</f>
        <v>2.64</v>
      </c>
      <c r="H740">
        <f t="shared" si="90"/>
        <v>2.0000000000000018E-2</v>
      </c>
      <c r="I740" s="2">
        <f>_xlfn.XLOOKUP(A740,T10Y3M!A:A,T10Y3M!B:B,"",-1)</f>
        <v>0.18</v>
      </c>
      <c r="J740" s="2">
        <f>_xlfn.XLOOKUP(A740,BAMLC0A4CBBB!A:A,BAMLC0A4CBBB!B:B,"",-1)</f>
        <v>1.67</v>
      </c>
      <c r="K740" s="2">
        <f>_xlfn.XLOOKUP(A740,CPIAUCSL!A:A,CPIAUCSL!B:B,"",-1)</f>
        <v>254.27699999999999</v>
      </c>
      <c r="L740">
        <f>_xlfn.XLOOKUP(A740,DFF!A:A,DFF!B:B,"",-1)</f>
        <v>2.4</v>
      </c>
      <c r="M740">
        <f>_xlfn.XLOOKUP(A740,'DGS2'!A:A,'DGS2'!B:B,"",-1)</f>
        <v>2.4700000000000002</v>
      </c>
      <c r="N740">
        <f t="shared" si="91"/>
        <v>2.0000000000000018E-2</v>
      </c>
      <c r="O740">
        <f t="shared" si="92"/>
        <v>2.9533287823806376E-3</v>
      </c>
      <c r="P740">
        <f t="shared" si="93"/>
        <v>1</v>
      </c>
      <c r="Q740">
        <f t="shared" si="94"/>
        <v>0</v>
      </c>
    </row>
    <row r="741" spans="1:17">
      <c r="A741" s="1">
        <v>43536</v>
      </c>
      <c r="B741">
        <v>2791.52</v>
      </c>
      <c r="C741">
        <f t="shared" si="88"/>
        <v>2.9533287823806376E-3</v>
      </c>
      <c r="D741">
        <f t="shared" si="95"/>
        <v>1.5493301029855244E-2</v>
      </c>
      <c r="E741">
        <f>_xlfn.XLOOKUP(A741,VIX!A:A,VIX!B:B,"",-1)</f>
        <v>13.77</v>
      </c>
      <c r="F741">
        <f t="shared" si="89"/>
        <v>-0.5600000000000005</v>
      </c>
      <c r="G741">
        <f>_xlfn.XLOOKUP(A741,'DGS10'!A:A,'DGS10'!B:B,"",-1)</f>
        <v>2.61</v>
      </c>
      <c r="H741">
        <f t="shared" si="90"/>
        <v>-3.0000000000000249E-2</v>
      </c>
      <c r="I741" s="2">
        <f>_xlfn.XLOOKUP(A741,T10Y3M!A:A,T10Y3M!B:B,"",-1)</f>
        <v>0.15</v>
      </c>
      <c r="J741" s="2">
        <f>_xlfn.XLOOKUP(A741,BAMLC0A4CBBB!A:A,BAMLC0A4CBBB!B:B,"",-1)</f>
        <v>1.66</v>
      </c>
      <c r="K741" s="2">
        <f>_xlfn.XLOOKUP(A741,CPIAUCSL!A:A,CPIAUCSL!B:B,"",-1)</f>
        <v>254.27699999999999</v>
      </c>
      <c r="L741">
        <f>_xlfn.XLOOKUP(A741,DFF!A:A,DFF!B:B,"",-1)</f>
        <v>2.4</v>
      </c>
      <c r="M741">
        <f>_xlfn.XLOOKUP(A741,'DGS2'!A:A,'DGS2'!B:B,"",-1)</f>
        <v>2.4500000000000002</v>
      </c>
      <c r="N741">
        <f t="shared" si="91"/>
        <v>-2.0000000000000018E-2</v>
      </c>
      <c r="O741">
        <f t="shared" si="92"/>
        <v>6.9496188456468211E-3</v>
      </c>
      <c r="P741">
        <f t="shared" si="93"/>
        <v>1</v>
      </c>
      <c r="Q741">
        <f t="shared" si="94"/>
        <v>1</v>
      </c>
    </row>
    <row r="742" spans="1:17">
      <c r="A742" s="1">
        <v>43537</v>
      </c>
      <c r="B742">
        <v>2810.92</v>
      </c>
      <c r="C742">
        <f t="shared" si="88"/>
        <v>6.9496188456468211E-3</v>
      </c>
      <c r="D742">
        <f t="shared" si="95"/>
        <v>2.4735059622977174E-2</v>
      </c>
      <c r="E742">
        <f>_xlfn.XLOOKUP(A742,VIX!A:A,VIX!B:B,"",-1)</f>
        <v>13.41</v>
      </c>
      <c r="F742">
        <f t="shared" si="89"/>
        <v>-0.35999999999999943</v>
      </c>
      <c r="G742">
        <f>_xlfn.XLOOKUP(A742,'DGS10'!A:A,'DGS10'!B:B,"",-1)</f>
        <v>2.61</v>
      </c>
      <c r="H742">
        <f t="shared" si="90"/>
        <v>0</v>
      </c>
      <c r="I742" s="2">
        <f>_xlfn.XLOOKUP(A742,T10Y3M!A:A,T10Y3M!B:B,"",-1)</f>
        <v>0.16</v>
      </c>
      <c r="J742" s="2">
        <f>_xlfn.XLOOKUP(A742,BAMLC0A4CBBB!A:A,BAMLC0A4CBBB!B:B,"",-1)</f>
        <v>1.66</v>
      </c>
      <c r="K742" s="2">
        <f>_xlfn.XLOOKUP(A742,CPIAUCSL!A:A,CPIAUCSL!B:B,"",-1)</f>
        <v>254.27699999999999</v>
      </c>
      <c r="L742">
        <f>_xlfn.XLOOKUP(A742,DFF!A:A,DFF!B:B,"",-1)</f>
        <v>2.4</v>
      </c>
      <c r="M742">
        <f>_xlfn.XLOOKUP(A742,'DGS2'!A:A,'DGS2'!B:B,"",-1)</f>
        <v>2.4500000000000002</v>
      </c>
      <c r="N742">
        <f t="shared" si="91"/>
        <v>0</v>
      </c>
      <c r="O742">
        <f t="shared" si="92"/>
        <v>-8.6804320293709658E-4</v>
      </c>
      <c r="P742">
        <f t="shared" si="93"/>
        <v>0</v>
      </c>
      <c r="Q742">
        <f t="shared" si="94"/>
        <v>0</v>
      </c>
    </row>
    <row r="743" spans="1:17">
      <c r="A743" s="1">
        <v>43538</v>
      </c>
      <c r="B743">
        <v>2808.48</v>
      </c>
      <c r="C743">
        <f t="shared" si="88"/>
        <v>-8.6804320293709658E-4</v>
      </c>
      <c r="D743">
        <f t="shared" si="95"/>
        <v>9.0468149319153923E-3</v>
      </c>
      <c r="E743">
        <f>_xlfn.XLOOKUP(A743,VIX!A:A,VIX!B:B,"",-1)</f>
        <v>13.5</v>
      </c>
      <c r="F743">
        <f t="shared" si="89"/>
        <v>8.9999999999999858E-2</v>
      </c>
      <c r="G743">
        <f>_xlfn.XLOOKUP(A743,'DGS10'!A:A,'DGS10'!B:B,"",-1)</f>
        <v>2.63</v>
      </c>
      <c r="H743">
        <f t="shared" si="90"/>
        <v>2.0000000000000018E-2</v>
      </c>
      <c r="I743" s="2">
        <f>_xlfn.XLOOKUP(A743,T10Y3M!A:A,T10Y3M!B:B,"",-1)</f>
        <v>0.18</v>
      </c>
      <c r="J743" s="2">
        <f>_xlfn.XLOOKUP(A743,BAMLC0A4CBBB!A:A,BAMLC0A4CBBB!B:B,"",-1)</f>
        <v>1.65</v>
      </c>
      <c r="K743" s="2">
        <f>_xlfn.XLOOKUP(A743,CPIAUCSL!A:A,CPIAUCSL!B:B,"",-1)</f>
        <v>254.27699999999999</v>
      </c>
      <c r="L743">
        <f>_xlfn.XLOOKUP(A743,DFF!A:A,DFF!B:B,"",-1)</f>
        <v>2.4</v>
      </c>
      <c r="M743">
        <f>_xlfn.XLOOKUP(A743,'DGS2'!A:A,'DGS2'!B:B,"",-1)</f>
        <v>2.46</v>
      </c>
      <c r="N743">
        <f t="shared" si="91"/>
        <v>9.9999999999997868E-3</v>
      </c>
      <c r="O743">
        <f t="shared" si="92"/>
        <v>4.9849028656070438E-3</v>
      </c>
      <c r="P743">
        <f t="shared" si="93"/>
        <v>1</v>
      </c>
      <c r="Q743">
        <f t="shared" si="94"/>
        <v>1</v>
      </c>
    </row>
    <row r="744" spans="1:17">
      <c r="A744" s="1">
        <v>43539</v>
      </c>
      <c r="B744">
        <v>2822.48</v>
      </c>
      <c r="C744">
        <f t="shared" si="88"/>
        <v>4.9849028656070438E-3</v>
      </c>
      <c r="D744">
        <f t="shared" si="95"/>
        <v>1.1090731930990971E-2</v>
      </c>
      <c r="E744">
        <f>_xlfn.XLOOKUP(A744,VIX!A:A,VIX!B:B,"",-1)</f>
        <v>12.88</v>
      </c>
      <c r="F744">
        <f t="shared" si="89"/>
        <v>-0.61999999999999922</v>
      </c>
      <c r="G744">
        <f>_xlfn.XLOOKUP(A744,'DGS10'!A:A,'DGS10'!B:B,"",-1)</f>
        <v>2.59</v>
      </c>
      <c r="H744">
        <f t="shared" si="90"/>
        <v>-4.0000000000000036E-2</v>
      </c>
      <c r="I744" s="2">
        <f>_xlfn.XLOOKUP(A744,T10Y3M!A:A,T10Y3M!B:B,"",-1)</f>
        <v>0.14000000000000001</v>
      </c>
      <c r="J744" s="2">
        <f>_xlfn.XLOOKUP(A744,BAMLC0A4CBBB!A:A,BAMLC0A4CBBB!B:B,"",-1)</f>
        <v>1.64</v>
      </c>
      <c r="K744" s="2">
        <f>_xlfn.XLOOKUP(A744,CPIAUCSL!A:A,CPIAUCSL!B:B,"",-1)</f>
        <v>254.27699999999999</v>
      </c>
      <c r="L744">
        <f>_xlfn.XLOOKUP(A744,DFF!A:A,DFF!B:B,"",-1)</f>
        <v>2.4</v>
      </c>
      <c r="M744">
        <f>_xlfn.XLOOKUP(A744,'DGS2'!A:A,'DGS2'!B:B,"",-1)</f>
        <v>2.4300000000000002</v>
      </c>
      <c r="N744">
        <f t="shared" si="91"/>
        <v>-2.9999999999999805E-2</v>
      </c>
      <c r="O744">
        <f t="shared" si="92"/>
        <v>3.7059607153993035E-3</v>
      </c>
      <c r="P744">
        <f t="shared" si="93"/>
        <v>1</v>
      </c>
      <c r="Q744">
        <f t="shared" si="94"/>
        <v>1</v>
      </c>
    </row>
    <row r="745" spans="1:17">
      <c r="A745" s="1">
        <v>43542</v>
      </c>
      <c r="B745">
        <v>2832.94</v>
      </c>
      <c r="C745">
        <f t="shared" si="88"/>
        <v>3.7059607153993035E-3</v>
      </c>
      <c r="D745">
        <f t="shared" si="95"/>
        <v>7.8337341510963387E-3</v>
      </c>
      <c r="E745">
        <f>_xlfn.XLOOKUP(A745,VIX!A:A,VIX!B:B,"",-1)</f>
        <v>13.1</v>
      </c>
      <c r="F745">
        <f t="shared" si="89"/>
        <v>0.21999999999999886</v>
      </c>
      <c r="G745">
        <f>_xlfn.XLOOKUP(A745,'DGS10'!A:A,'DGS10'!B:B,"",-1)</f>
        <v>2.6</v>
      </c>
      <c r="H745">
        <f t="shared" si="90"/>
        <v>1.0000000000000231E-2</v>
      </c>
      <c r="I745" s="2">
        <f>_xlfn.XLOOKUP(A745,T10Y3M!A:A,T10Y3M!B:B,"",-1)</f>
        <v>0.16</v>
      </c>
      <c r="J745" s="2">
        <f>_xlfn.XLOOKUP(A745,BAMLC0A4CBBB!A:A,BAMLC0A4CBBB!B:B,"",-1)</f>
        <v>1.63</v>
      </c>
      <c r="K745" s="2">
        <f>_xlfn.XLOOKUP(A745,CPIAUCSL!A:A,CPIAUCSL!B:B,"",-1)</f>
        <v>254.27699999999999</v>
      </c>
      <c r="L745">
        <f>_xlfn.XLOOKUP(A745,DFF!A:A,DFF!B:B,"",-1)</f>
        <v>2.4</v>
      </c>
      <c r="M745">
        <f>_xlfn.XLOOKUP(A745,'DGS2'!A:A,'DGS2'!B:B,"",-1)</f>
        <v>2.4500000000000002</v>
      </c>
      <c r="N745">
        <f t="shared" si="91"/>
        <v>2.0000000000000018E-2</v>
      </c>
      <c r="O745">
        <f t="shared" si="92"/>
        <v>-1.3060636653083879E-4</v>
      </c>
      <c r="P745">
        <f t="shared" si="93"/>
        <v>0</v>
      </c>
      <c r="Q745">
        <f t="shared" si="94"/>
        <v>0</v>
      </c>
    </row>
    <row r="746" spans="1:17">
      <c r="A746" s="1">
        <v>43543</v>
      </c>
      <c r="B746">
        <v>2832.57</v>
      </c>
      <c r="C746">
        <f t="shared" si="88"/>
        <v>-1.3060636653083879E-4</v>
      </c>
      <c r="D746">
        <f t="shared" si="95"/>
        <v>8.5775935737482101E-3</v>
      </c>
      <c r="E746">
        <f>_xlfn.XLOOKUP(A746,VIX!A:A,VIX!B:B,"",-1)</f>
        <v>13.56</v>
      </c>
      <c r="F746">
        <f t="shared" si="89"/>
        <v>0.46000000000000085</v>
      </c>
      <c r="G746">
        <f>_xlfn.XLOOKUP(A746,'DGS10'!A:A,'DGS10'!B:B,"",-1)</f>
        <v>2.61</v>
      </c>
      <c r="H746">
        <f t="shared" si="90"/>
        <v>9.9999999999997868E-3</v>
      </c>
      <c r="I746" s="2">
        <f>_xlfn.XLOOKUP(A746,T10Y3M!A:A,T10Y3M!B:B,"",-1)</f>
        <v>0.15</v>
      </c>
      <c r="J746" s="2">
        <f>_xlfn.XLOOKUP(A746,BAMLC0A4CBBB!A:A,BAMLC0A4CBBB!B:B,"",-1)</f>
        <v>1.62</v>
      </c>
      <c r="K746" s="2">
        <f>_xlfn.XLOOKUP(A746,CPIAUCSL!A:A,CPIAUCSL!B:B,"",-1)</f>
        <v>254.27699999999999</v>
      </c>
      <c r="L746">
        <f>_xlfn.XLOOKUP(A746,DFF!A:A,DFF!B:B,"",-1)</f>
        <v>2.4</v>
      </c>
      <c r="M746">
        <f>_xlfn.XLOOKUP(A746,'DGS2'!A:A,'DGS2'!B:B,"",-1)</f>
        <v>2.46</v>
      </c>
      <c r="N746">
        <f t="shared" si="91"/>
        <v>9.9999999999997868E-3</v>
      </c>
      <c r="O746">
        <f t="shared" si="92"/>
        <v>-2.9443226469249018E-3</v>
      </c>
      <c r="P746">
        <f t="shared" si="93"/>
        <v>0</v>
      </c>
      <c r="Q746">
        <f t="shared" si="94"/>
        <v>0</v>
      </c>
    </row>
    <row r="747" spans="1:17">
      <c r="A747" s="1">
        <v>43544</v>
      </c>
      <c r="B747">
        <v>2824.23</v>
      </c>
      <c r="C747">
        <f t="shared" si="88"/>
        <v>-2.9443226469249018E-3</v>
      </c>
      <c r="D747">
        <f t="shared" si="95"/>
        <v>6.2002210821687775E-4</v>
      </c>
      <c r="E747">
        <f>_xlfn.XLOOKUP(A747,VIX!A:A,VIX!B:B,"",-1)</f>
        <v>13.91</v>
      </c>
      <c r="F747">
        <f t="shared" si="89"/>
        <v>0.34999999999999964</v>
      </c>
      <c r="G747">
        <f>_xlfn.XLOOKUP(A747,'DGS10'!A:A,'DGS10'!B:B,"",-1)</f>
        <v>2.54</v>
      </c>
      <c r="H747">
        <f t="shared" si="90"/>
        <v>-6.999999999999984E-2</v>
      </c>
      <c r="I747" s="2">
        <f>_xlfn.XLOOKUP(A747,T10Y3M!A:A,T10Y3M!B:B,"",-1)</f>
        <v>0.06</v>
      </c>
      <c r="J747" s="2">
        <f>_xlfn.XLOOKUP(A747,BAMLC0A4CBBB!A:A,BAMLC0A4CBBB!B:B,"",-1)</f>
        <v>1.63</v>
      </c>
      <c r="K747" s="2">
        <f>_xlfn.XLOOKUP(A747,CPIAUCSL!A:A,CPIAUCSL!B:B,"",-1)</f>
        <v>254.27699999999999</v>
      </c>
      <c r="L747">
        <f>_xlfn.XLOOKUP(A747,DFF!A:A,DFF!B:B,"",-1)</f>
        <v>2.41</v>
      </c>
      <c r="M747">
        <f>_xlfn.XLOOKUP(A747,'DGS2'!A:A,'DGS2'!B:B,"",-1)</f>
        <v>2.4</v>
      </c>
      <c r="N747">
        <f t="shared" si="91"/>
        <v>-6.0000000000000053E-2</v>
      </c>
      <c r="O747">
        <f t="shared" si="92"/>
        <v>1.0852515552911779E-2</v>
      </c>
      <c r="P747">
        <f t="shared" si="93"/>
        <v>1</v>
      </c>
      <c r="Q747">
        <f t="shared" si="94"/>
        <v>1</v>
      </c>
    </row>
    <row r="748" spans="1:17">
      <c r="A748" s="1">
        <v>43545</v>
      </c>
      <c r="B748">
        <v>2854.88</v>
      </c>
      <c r="C748">
        <f t="shared" si="88"/>
        <v>1.0852515552911779E-2</v>
      </c>
      <c r="D748">
        <f t="shared" si="95"/>
        <v>7.7446045451015078E-3</v>
      </c>
      <c r="E748">
        <f>_xlfn.XLOOKUP(A748,VIX!A:A,VIX!B:B,"",-1)</f>
        <v>13.63</v>
      </c>
      <c r="F748">
        <f t="shared" si="89"/>
        <v>-0.27999999999999936</v>
      </c>
      <c r="G748">
        <f>_xlfn.XLOOKUP(A748,'DGS10'!A:A,'DGS10'!B:B,"",-1)</f>
        <v>2.54</v>
      </c>
      <c r="H748">
        <f t="shared" si="90"/>
        <v>0</v>
      </c>
      <c r="I748" s="2">
        <f>_xlfn.XLOOKUP(A748,T10Y3M!A:A,T10Y3M!B:B,"",-1)</f>
        <v>0.05</v>
      </c>
      <c r="J748" s="2">
        <f>_xlfn.XLOOKUP(A748,BAMLC0A4CBBB!A:A,BAMLC0A4CBBB!B:B,"",-1)</f>
        <v>1.62</v>
      </c>
      <c r="K748" s="2">
        <f>_xlfn.XLOOKUP(A748,CPIAUCSL!A:A,CPIAUCSL!B:B,"",-1)</f>
        <v>254.27699999999999</v>
      </c>
      <c r="L748">
        <f>_xlfn.XLOOKUP(A748,DFF!A:A,DFF!B:B,"",-1)</f>
        <v>2.41</v>
      </c>
      <c r="M748">
        <f>_xlfn.XLOOKUP(A748,'DGS2'!A:A,'DGS2'!B:B,"",-1)</f>
        <v>2.41</v>
      </c>
      <c r="N748">
        <f t="shared" si="91"/>
        <v>1.0000000000000231E-2</v>
      </c>
      <c r="O748">
        <f t="shared" si="92"/>
        <v>-1.8974527826038257E-2</v>
      </c>
      <c r="P748">
        <f t="shared" si="93"/>
        <v>0</v>
      </c>
      <c r="Q748">
        <f t="shared" si="94"/>
        <v>-1</v>
      </c>
    </row>
    <row r="749" spans="1:17">
      <c r="A749" s="1">
        <v>43546</v>
      </c>
      <c r="B749">
        <v>2800.71</v>
      </c>
      <c r="C749">
        <f t="shared" si="88"/>
        <v>-1.8974527826038257E-2</v>
      </c>
      <c r="D749">
        <f t="shared" si="95"/>
        <v>-1.1247736154799348E-2</v>
      </c>
      <c r="E749">
        <f>_xlfn.XLOOKUP(A749,VIX!A:A,VIX!B:B,"",-1)</f>
        <v>16.48</v>
      </c>
      <c r="F749">
        <f t="shared" si="89"/>
        <v>2.8499999999999996</v>
      </c>
      <c r="G749">
        <f>_xlfn.XLOOKUP(A749,'DGS10'!A:A,'DGS10'!B:B,"",-1)</f>
        <v>2.44</v>
      </c>
      <c r="H749">
        <f t="shared" si="90"/>
        <v>-0.10000000000000009</v>
      </c>
      <c r="I749" s="2">
        <f>_xlfn.XLOOKUP(A749,T10Y3M!A:A,T10Y3M!B:B,"",-1)</f>
        <v>-0.02</v>
      </c>
      <c r="J749" s="2">
        <f>_xlfn.XLOOKUP(A749,BAMLC0A4CBBB!A:A,BAMLC0A4CBBB!B:B,"",-1)</f>
        <v>1.62</v>
      </c>
      <c r="K749" s="2">
        <f>_xlfn.XLOOKUP(A749,CPIAUCSL!A:A,CPIAUCSL!B:B,"",-1)</f>
        <v>254.27699999999999</v>
      </c>
      <c r="L749">
        <f>_xlfn.XLOOKUP(A749,DFF!A:A,DFF!B:B,"",-1)</f>
        <v>2.41</v>
      </c>
      <c r="M749">
        <f>_xlfn.XLOOKUP(A749,'DGS2'!A:A,'DGS2'!B:B,"",-1)</f>
        <v>2.31</v>
      </c>
      <c r="N749">
        <f t="shared" si="91"/>
        <v>-0.10000000000000009</v>
      </c>
      <c r="O749">
        <f t="shared" si="92"/>
        <v>-8.3907294935925414E-4</v>
      </c>
      <c r="P749">
        <f t="shared" si="93"/>
        <v>0</v>
      </c>
      <c r="Q749">
        <f t="shared" si="94"/>
        <v>0</v>
      </c>
    </row>
    <row r="750" spans="1:17">
      <c r="A750" s="1">
        <v>43549</v>
      </c>
      <c r="B750">
        <v>2798.36</v>
      </c>
      <c r="C750">
        <f t="shared" si="88"/>
        <v>-8.3907294935925414E-4</v>
      </c>
      <c r="D750">
        <f t="shared" si="95"/>
        <v>-9.1600188369926894E-3</v>
      </c>
      <c r="E750">
        <f>_xlfn.XLOOKUP(A750,VIX!A:A,VIX!B:B,"",-1)</f>
        <v>16.329999999999998</v>
      </c>
      <c r="F750">
        <f t="shared" si="89"/>
        <v>-0.15000000000000213</v>
      </c>
      <c r="G750">
        <f>_xlfn.XLOOKUP(A750,'DGS10'!A:A,'DGS10'!B:B,"",-1)</f>
        <v>2.4300000000000002</v>
      </c>
      <c r="H750">
        <f t="shared" si="90"/>
        <v>-9.9999999999997868E-3</v>
      </c>
      <c r="I750" s="2">
        <f>_xlfn.XLOOKUP(A750,T10Y3M!A:A,T10Y3M!B:B,"",-1)</f>
        <v>-0.03</v>
      </c>
      <c r="J750" s="2">
        <f>_xlfn.XLOOKUP(A750,BAMLC0A4CBBB!A:A,BAMLC0A4CBBB!B:B,"",-1)</f>
        <v>1.62</v>
      </c>
      <c r="K750" s="2">
        <f>_xlfn.XLOOKUP(A750,CPIAUCSL!A:A,CPIAUCSL!B:B,"",-1)</f>
        <v>254.27699999999999</v>
      </c>
      <c r="L750">
        <f>_xlfn.XLOOKUP(A750,DFF!A:A,DFF!B:B,"",-1)</f>
        <v>2.4</v>
      </c>
      <c r="M750">
        <f>_xlfn.XLOOKUP(A750,'DGS2'!A:A,'DGS2'!B:B,"",-1)</f>
        <v>2.2599999999999998</v>
      </c>
      <c r="N750">
        <f t="shared" si="91"/>
        <v>-5.0000000000000266E-2</v>
      </c>
      <c r="O750">
        <f t="shared" si="92"/>
        <v>7.1827784845408527E-3</v>
      </c>
      <c r="P750">
        <f t="shared" si="93"/>
        <v>1</v>
      </c>
      <c r="Q750">
        <f t="shared" si="94"/>
        <v>1</v>
      </c>
    </row>
    <row r="751" spans="1:17">
      <c r="A751" s="1">
        <v>43550</v>
      </c>
      <c r="B751">
        <v>2818.46</v>
      </c>
      <c r="C751">
        <f t="shared" si="88"/>
        <v>7.1827784845408527E-3</v>
      </c>
      <c r="D751">
        <f t="shared" si="95"/>
        <v>-1.2757103626071853E-2</v>
      </c>
      <c r="E751">
        <f>_xlfn.XLOOKUP(A751,VIX!A:A,VIX!B:B,"",-1)</f>
        <v>14.68</v>
      </c>
      <c r="F751">
        <f t="shared" si="89"/>
        <v>-1.6499999999999986</v>
      </c>
      <c r="G751">
        <f>_xlfn.XLOOKUP(A751,'DGS10'!A:A,'DGS10'!B:B,"",-1)</f>
        <v>2.41</v>
      </c>
      <c r="H751">
        <f t="shared" si="90"/>
        <v>-2.0000000000000018E-2</v>
      </c>
      <c r="I751" s="2">
        <f>_xlfn.XLOOKUP(A751,T10Y3M!A:A,T10Y3M!B:B,"",-1)</f>
        <v>-0.05</v>
      </c>
      <c r="J751" s="2">
        <f>_xlfn.XLOOKUP(A751,BAMLC0A4CBBB!A:A,BAMLC0A4CBBB!B:B,"",-1)</f>
        <v>1.61</v>
      </c>
      <c r="K751" s="2">
        <f>_xlfn.XLOOKUP(A751,CPIAUCSL!A:A,CPIAUCSL!B:B,"",-1)</f>
        <v>254.27699999999999</v>
      </c>
      <c r="L751">
        <f>_xlfn.XLOOKUP(A751,DFF!A:A,DFF!B:B,"",-1)</f>
        <v>2.4</v>
      </c>
      <c r="M751">
        <f>_xlfn.XLOOKUP(A751,'DGS2'!A:A,'DGS2'!B:B,"",-1)</f>
        <v>2.2400000000000002</v>
      </c>
      <c r="N751">
        <f t="shared" si="91"/>
        <v>-1.9999999999999574E-2</v>
      </c>
      <c r="O751">
        <f t="shared" si="92"/>
        <v>-4.6443802643997278E-3</v>
      </c>
      <c r="P751">
        <f t="shared" si="93"/>
        <v>0</v>
      </c>
      <c r="Q751">
        <f t="shared" si="94"/>
        <v>-1</v>
      </c>
    </row>
    <row r="752" spans="1:17">
      <c r="A752" s="1">
        <v>43551</v>
      </c>
      <c r="B752">
        <v>2805.37</v>
      </c>
      <c r="C752">
        <f t="shared" si="88"/>
        <v>-4.6443802643997278E-3</v>
      </c>
      <c r="D752">
        <f t="shared" si="95"/>
        <v>1.6638638059633948E-3</v>
      </c>
      <c r="E752">
        <f>_xlfn.XLOOKUP(A752,VIX!A:A,VIX!B:B,"",-1)</f>
        <v>15.15</v>
      </c>
      <c r="F752">
        <f t="shared" si="89"/>
        <v>0.47000000000000064</v>
      </c>
      <c r="G752">
        <f>_xlfn.XLOOKUP(A752,'DGS10'!A:A,'DGS10'!B:B,"",-1)</f>
        <v>2.39</v>
      </c>
      <c r="H752">
        <f t="shared" si="90"/>
        <v>-2.0000000000000018E-2</v>
      </c>
      <c r="I752" s="2">
        <f>_xlfn.XLOOKUP(A752,T10Y3M!A:A,T10Y3M!B:B,"",-1)</f>
        <v>-0.05</v>
      </c>
      <c r="J752" s="2">
        <f>_xlfn.XLOOKUP(A752,BAMLC0A4CBBB!A:A,BAMLC0A4CBBB!B:B,"",-1)</f>
        <v>1.62</v>
      </c>
      <c r="K752" s="2">
        <f>_xlfn.XLOOKUP(A752,CPIAUCSL!A:A,CPIAUCSL!B:B,"",-1)</f>
        <v>254.27699999999999</v>
      </c>
      <c r="L752">
        <f>_xlfn.XLOOKUP(A752,DFF!A:A,DFF!B:B,"",-1)</f>
        <v>2.41</v>
      </c>
      <c r="M752">
        <f>_xlfn.XLOOKUP(A752,'DGS2'!A:A,'DGS2'!B:B,"",-1)</f>
        <v>2.2200000000000002</v>
      </c>
      <c r="N752">
        <f t="shared" si="91"/>
        <v>-2.0000000000000018E-2</v>
      </c>
      <c r="O752">
        <f t="shared" si="92"/>
        <v>3.5895443381801506E-3</v>
      </c>
      <c r="P752">
        <f t="shared" si="93"/>
        <v>1</v>
      </c>
      <c r="Q752">
        <f t="shared" si="94"/>
        <v>1</v>
      </c>
    </row>
    <row r="753" spans="1:17">
      <c r="A753" s="1">
        <v>43552</v>
      </c>
      <c r="B753">
        <v>2815.44</v>
      </c>
      <c r="C753">
        <f t="shared" si="88"/>
        <v>3.5895443381801506E-3</v>
      </c>
      <c r="D753">
        <f t="shared" si="95"/>
        <v>6.1035749510427451E-3</v>
      </c>
      <c r="E753">
        <f>_xlfn.XLOOKUP(A753,VIX!A:A,VIX!B:B,"",-1)</f>
        <v>14.43</v>
      </c>
      <c r="F753">
        <f t="shared" si="89"/>
        <v>-0.72000000000000064</v>
      </c>
      <c r="G753">
        <f>_xlfn.XLOOKUP(A753,'DGS10'!A:A,'DGS10'!B:B,"",-1)</f>
        <v>2.39</v>
      </c>
      <c r="H753">
        <f t="shared" si="90"/>
        <v>0</v>
      </c>
      <c r="I753" s="2">
        <f>_xlfn.XLOOKUP(A753,T10Y3M!A:A,T10Y3M!B:B,"",-1)</f>
        <v>-0.04</v>
      </c>
      <c r="J753" s="2">
        <f>_xlfn.XLOOKUP(A753,BAMLC0A4CBBB!A:A,BAMLC0A4CBBB!B:B,"",-1)</f>
        <v>1.62</v>
      </c>
      <c r="K753" s="2">
        <f>_xlfn.XLOOKUP(A753,CPIAUCSL!A:A,CPIAUCSL!B:B,"",-1)</f>
        <v>254.27699999999999</v>
      </c>
      <c r="L753">
        <f>_xlfn.XLOOKUP(A753,DFF!A:A,DFF!B:B,"",-1)</f>
        <v>2.41</v>
      </c>
      <c r="M753">
        <f>_xlfn.XLOOKUP(A753,'DGS2'!A:A,'DGS2'!B:B,"",-1)</f>
        <v>2.23</v>
      </c>
      <c r="N753">
        <f t="shared" si="91"/>
        <v>9.9999999999997868E-3</v>
      </c>
      <c r="O753">
        <f t="shared" si="92"/>
        <v>6.7342937515983969E-3</v>
      </c>
      <c r="P753">
        <f t="shared" si="93"/>
        <v>1</v>
      </c>
      <c r="Q753">
        <f t="shared" si="94"/>
        <v>1</v>
      </c>
    </row>
    <row r="754" spans="1:17">
      <c r="A754" s="1">
        <v>43553</v>
      </c>
      <c r="B754">
        <v>2834.4</v>
      </c>
      <c r="C754">
        <f t="shared" si="88"/>
        <v>6.7342937515983969E-3</v>
      </c>
      <c r="D754">
        <f t="shared" si="95"/>
        <v>5.6555707726915205E-3</v>
      </c>
      <c r="E754">
        <f>_xlfn.XLOOKUP(A754,VIX!A:A,VIX!B:B,"",-1)</f>
        <v>13.71</v>
      </c>
      <c r="F754">
        <f t="shared" si="89"/>
        <v>-0.71999999999999886</v>
      </c>
      <c r="G754">
        <f>_xlfn.XLOOKUP(A754,'DGS10'!A:A,'DGS10'!B:B,"",-1)</f>
        <v>2.41</v>
      </c>
      <c r="H754">
        <f t="shared" si="90"/>
        <v>2.0000000000000018E-2</v>
      </c>
      <c r="I754" s="2">
        <f>_xlfn.XLOOKUP(A754,T10Y3M!A:A,T10Y3M!B:B,"",-1)</f>
        <v>0.01</v>
      </c>
      <c r="J754" s="2">
        <f>_xlfn.XLOOKUP(A754,BAMLC0A4CBBB!A:A,BAMLC0A4CBBB!B:B,"",-1)</f>
        <v>1.61</v>
      </c>
      <c r="K754" s="2">
        <f>_xlfn.XLOOKUP(A754,CPIAUCSL!A:A,CPIAUCSL!B:B,"",-1)</f>
        <v>254.27699999999999</v>
      </c>
      <c r="L754">
        <f>_xlfn.XLOOKUP(A754,DFF!A:A,DFF!B:B,"",-1)</f>
        <v>2.4300000000000002</v>
      </c>
      <c r="M754">
        <f>_xlfn.XLOOKUP(A754,'DGS2'!A:A,'DGS2'!B:B,"",-1)</f>
        <v>2.27</v>
      </c>
      <c r="N754">
        <f t="shared" si="91"/>
        <v>4.0000000000000036E-2</v>
      </c>
      <c r="O754">
        <f t="shared" si="92"/>
        <v>1.1568585944115251E-2</v>
      </c>
      <c r="P754">
        <f t="shared" si="93"/>
        <v>1</v>
      </c>
      <c r="Q754">
        <f t="shared" si="94"/>
        <v>1</v>
      </c>
    </row>
    <row r="755" spans="1:17">
      <c r="A755" s="1">
        <v>43556</v>
      </c>
      <c r="B755">
        <v>2867.19</v>
      </c>
      <c r="C755">
        <f t="shared" si="88"/>
        <v>1.1568585944115251E-2</v>
      </c>
      <c r="D755">
        <f t="shared" si="95"/>
        <v>2.2036308936076221E-2</v>
      </c>
      <c r="E755">
        <f>_xlfn.XLOOKUP(A755,VIX!A:A,VIX!B:B,"",-1)</f>
        <v>13.4</v>
      </c>
      <c r="F755">
        <f t="shared" si="89"/>
        <v>-0.3100000000000005</v>
      </c>
      <c r="G755">
        <f>_xlfn.XLOOKUP(A755,'DGS10'!A:A,'DGS10'!B:B,"",-1)</f>
        <v>2.4900000000000002</v>
      </c>
      <c r="H755">
        <f t="shared" si="90"/>
        <v>8.0000000000000071E-2</v>
      </c>
      <c r="I755" s="2">
        <f>_xlfn.XLOOKUP(A755,T10Y3M!A:A,T10Y3M!B:B,"",-1)</f>
        <v>0.06</v>
      </c>
      <c r="J755" s="2">
        <f>_xlfn.XLOOKUP(A755,BAMLC0A4CBBB!A:A,BAMLC0A4CBBB!B:B,"",-1)</f>
        <v>1.62</v>
      </c>
      <c r="K755" s="2">
        <f>_xlfn.XLOOKUP(A755,CPIAUCSL!A:A,CPIAUCSL!B:B,"",-1)</f>
        <v>255.233</v>
      </c>
      <c r="L755">
        <f>_xlfn.XLOOKUP(A755,DFF!A:A,DFF!B:B,"",-1)</f>
        <v>2.41</v>
      </c>
      <c r="M755">
        <f>_xlfn.XLOOKUP(A755,'DGS2'!A:A,'DGS2'!B:B,"",-1)</f>
        <v>2.33</v>
      </c>
      <c r="N755">
        <f t="shared" si="91"/>
        <v>6.0000000000000053E-2</v>
      </c>
      <c r="O755">
        <f t="shared" si="92"/>
        <v>1.7438676892522764E-5</v>
      </c>
      <c r="P755">
        <f t="shared" si="93"/>
        <v>1</v>
      </c>
      <c r="Q755">
        <f t="shared" si="94"/>
        <v>0</v>
      </c>
    </row>
    <row r="756" spans="1:17">
      <c r="A756" s="1">
        <v>43557</v>
      </c>
      <c r="B756">
        <v>2867.24</v>
      </c>
      <c r="C756">
        <f t="shared" si="88"/>
        <v>1.7438676892522764E-5</v>
      </c>
      <c r="D756">
        <f t="shared" si="95"/>
        <v>1.8398545165231539E-2</v>
      </c>
      <c r="E756">
        <f>_xlfn.XLOOKUP(A756,VIX!A:A,VIX!B:B,"",-1)</f>
        <v>13.36</v>
      </c>
      <c r="F756">
        <f t="shared" si="89"/>
        <v>-4.0000000000000924E-2</v>
      </c>
      <c r="G756">
        <f>_xlfn.XLOOKUP(A756,'DGS10'!A:A,'DGS10'!B:B,"",-1)</f>
        <v>2.48</v>
      </c>
      <c r="H756">
        <f t="shared" si="90"/>
        <v>-1.0000000000000231E-2</v>
      </c>
      <c r="I756" s="2">
        <f>_xlfn.XLOOKUP(A756,T10Y3M!A:A,T10Y3M!B:B,"",-1)</f>
        <v>0.06</v>
      </c>
      <c r="J756" s="2">
        <f>_xlfn.XLOOKUP(A756,BAMLC0A4CBBB!A:A,BAMLC0A4CBBB!B:B,"",-1)</f>
        <v>1.62</v>
      </c>
      <c r="K756" s="2">
        <f>_xlfn.XLOOKUP(A756,CPIAUCSL!A:A,CPIAUCSL!B:B,"",-1)</f>
        <v>255.233</v>
      </c>
      <c r="L756">
        <f>_xlfn.XLOOKUP(A756,DFF!A:A,DFF!B:B,"",-1)</f>
        <v>2.41</v>
      </c>
      <c r="M756">
        <f>_xlfn.XLOOKUP(A756,'DGS2'!A:A,'DGS2'!B:B,"",-1)</f>
        <v>2.2999999999999998</v>
      </c>
      <c r="N756">
        <f t="shared" si="91"/>
        <v>-3.0000000000000249E-2</v>
      </c>
      <c r="O756">
        <f t="shared" si="92"/>
        <v>2.1484075277968806E-3</v>
      </c>
      <c r="P756">
        <f t="shared" si="93"/>
        <v>1</v>
      </c>
      <c r="Q756">
        <f t="shared" si="94"/>
        <v>0</v>
      </c>
    </row>
    <row r="757" spans="1:17">
      <c r="A757" s="1">
        <v>43558</v>
      </c>
      <c r="B757">
        <v>2873.4</v>
      </c>
      <c r="C757">
        <f t="shared" si="88"/>
        <v>2.1484075277968806E-3</v>
      </c>
      <c r="D757">
        <f t="shared" si="95"/>
        <v>1.3759525825571606E-2</v>
      </c>
      <c r="E757">
        <f>_xlfn.XLOOKUP(A757,VIX!A:A,VIX!B:B,"",-1)</f>
        <v>13.74</v>
      </c>
      <c r="F757">
        <f t="shared" si="89"/>
        <v>0.38000000000000078</v>
      </c>
      <c r="G757">
        <f>_xlfn.XLOOKUP(A757,'DGS10'!A:A,'DGS10'!B:B,"",-1)</f>
        <v>2.52</v>
      </c>
      <c r="H757">
        <f t="shared" si="90"/>
        <v>4.0000000000000036E-2</v>
      </c>
      <c r="I757" s="2">
        <f>_xlfn.XLOOKUP(A757,T10Y3M!A:A,T10Y3M!B:B,"",-1)</f>
        <v>0.08</v>
      </c>
      <c r="J757" s="2">
        <f>_xlfn.XLOOKUP(A757,BAMLC0A4CBBB!A:A,BAMLC0A4CBBB!B:B,"",-1)</f>
        <v>1.6</v>
      </c>
      <c r="K757" s="2">
        <f>_xlfn.XLOOKUP(A757,CPIAUCSL!A:A,CPIAUCSL!B:B,"",-1)</f>
        <v>255.233</v>
      </c>
      <c r="L757">
        <f>_xlfn.XLOOKUP(A757,DFF!A:A,DFF!B:B,"",-1)</f>
        <v>2.41</v>
      </c>
      <c r="M757">
        <f>_xlfn.XLOOKUP(A757,'DGS2'!A:A,'DGS2'!B:B,"",-1)</f>
        <v>2.33</v>
      </c>
      <c r="N757">
        <f t="shared" si="91"/>
        <v>3.0000000000000249E-2</v>
      </c>
      <c r="O757">
        <f t="shared" si="92"/>
        <v>2.0846384074615365E-3</v>
      </c>
      <c r="P757">
        <f t="shared" si="93"/>
        <v>1</v>
      </c>
      <c r="Q757">
        <f t="shared" si="94"/>
        <v>0</v>
      </c>
    </row>
    <row r="758" spans="1:17">
      <c r="A758" s="1">
        <v>43559</v>
      </c>
      <c r="B758">
        <v>2879.39</v>
      </c>
      <c r="C758">
        <f t="shared" si="88"/>
        <v>2.0846384074615365E-3</v>
      </c>
      <c r="D758">
        <f t="shared" si="95"/>
        <v>4.2550371618204075E-3</v>
      </c>
      <c r="E758">
        <f>_xlfn.XLOOKUP(A758,VIX!A:A,VIX!B:B,"",-1)</f>
        <v>13.58</v>
      </c>
      <c r="F758">
        <f t="shared" si="89"/>
        <v>-0.16000000000000014</v>
      </c>
      <c r="G758">
        <f>_xlfn.XLOOKUP(A758,'DGS10'!A:A,'DGS10'!B:B,"",-1)</f>
        <v>2.5099999999999998</v>
      </c>
      <c r="H758">
        <f t="shared" si="90"/>
        <v>-1.0000000000000231E-2</v>
      </c>
      <c r="I758" s="2">
        <f>_xlfn.XLOOKUP(A758,T10Y3M!A:A,T10Y3M!B:B,"",-1)</f>
        <v>7.0000000000000007E-2</v>
      </c>
      <c r="J758" s="2">
        <f>_xlfn.XLOOKUP(A758,BAMLC0A4CBBB!A:A,BAMLC0A4CBBB!B:B,"",-1)</f>
        <v>1.6</v>
      </c>
      <c r="K758" s="2">
        <f>_xlfn.XLOOKUP(A758,CPIAUCSL!A:A,CPIAUCSL!B:B,"",-1)</f>
        <v>255.233</v>
      </c>
      <c r="L758">
        <f>_xlfn.XLOOKUP(A758,DFF!A:A,DFF!B:B,"",-1)</f>
        <v>2.41</v>
      </c>
      <c r="M758">
        <f>_xlfn.XLOOKUP(A758,'DGS2'!A:A,'DGS2'!B:B,"",-1)</f>
        <v>2.33</v>
      </c>
      <c r="N758">
        <f t="shared" si="91"/>
        <v>0</v>
      </c>
      <c r="O758">
        <f t="shared" si="92"/>
        <v>4.6363986816650993E-3</v>
      </c>
      <c r="P758">
        <f t="shared" si="93"/>
        <v>1</v>
      </c>
      <c r="Q758">
        <f t="shared" si="94"/>
        <v>1</v>
      </c>
    </row>
    <row r="759" spans="1:17">
      <c r="A759" s="1">
        <v>43560</v>
      </c>
      <c r="B759">
        <v>2892.74</v>
      </c>
      <c r="C759">
        <f t="shared" si="88"/>
        <v>4.6363986816650993E-3</v>
      </c>
      <c r="D759">
        <f t="shared" si="95"/>
        <v>8.893570123184702E-3</v>
      </c>
      <c r="E759">
        <f>_xlfn.XLOOKUP(A759,VIX!A:A,VIX!B:B,"",-1)</f>
        <v>12.82</v>
      </c>
      <c r="F759">
        <f t="shared" si="89"/>
        <v>-0.75999999999999979</v>
      </c>
      <c r="G759">
        <f>_xlfn.XLOOKUP(A759,'DGS10'!A:A,'DGS10'!B:B,"",-1)</f>
        <v>2.5</v>
      </c>
      <c r="H759">
        <f t="shared" si="90"/>
        <v>-9.9999999999997868E-3</v>
      </c>
      <c r="I759" s="2">
        <f>_xlfn.XLOOKUP(A759,T10Y3M!A:A,T10Y3M!B:B,"",-1)</f>
        <v>0.06</v>
      </c>
      <c r="J759" s="2">
        <f>_xlfn.XLOOKUP(A759,BAMLC0A4CBBB!A:A,BAMLC0A4CBBB!B:B,"",-1)</f>
        <v>1.59</v>
      </c>
      <c r="K759" s="2">
        <f>_xlfn.XLOOKUP(A759,CPIAUCSL!A:A,CPIAUCSL!B:B,"",-1)</f>
        <v>255.233</v>
      </c>
      <c r="L759">
        <f>_xlfn.XLOOKUP(A759,DFF!A:A,DFF!B:B,"",-1)</f>
        <v>2.41</v>
      </c>
      <c r="M759">
        <f>_xlfn.XLOOKUP(A759,'DGS2'!A:A,'DGS2'!B:B,"",-1)</f>
        <v>2.35</v>
      </c>
      <c r="N759">
        <f t="shared" si="91"/>
        <v>2.0000000000000018E-2</v>
      </c>
      <c r="O759">
        <f t="shared" si="92"/>
        <v>1.0474498226595852E-3</v>
      </c>
      <c r="P759">
        <f t="shared" si="93"/>
        <v>1</v>
      </c>
      <c r="Q759">
        <f t="shared" si="94"/>
        <v>0</v>
      </c>
    </row>
    <row r="760" spans="1:17">
      <c r="A760" s="1">
        <v>43563</v>
      </c>
      <c r="B760">
        <v>2895.77</v>
      </c>
      <c r="C760">
        <f t="shared" si="88"/>
        <v>1.0474498226595852E-3</v>
      </c>
      <c r="D760">
        <f t="shared" si="95"/>
        <v>7.7852021994848641E-3</v>
      </c>
      <c r="E760">
        <f>_xlfn.XLOOKUP(A760,VIX!A:A,VIX!B:B,"",-1)</f>
        <v>13.18</v>
      </c>
      <c r="F760">
        <f t="shared" si="89"/>
        <v>0.35999999999999943</v>
      </c>
      <c r="G760">
        <f>_xlfn.XLOOKUP(A760,'DGS10'!A:A,'DGS10'!B:B,"",-1)</f>
        <v>2.52</v>
      </c>
      <c r="H760">
        <f t="shared" si="90"/>
        <v>2.0000000000000018E-2</v>
      </c>
      <c r="I760" s="2">
        <f>_xlfn.XLOOKUP(A760,T10Y3M!A:A,T10Y3M!B:B,"",-1)</f>
        <v>0.09</v>
      </c>
      <c r="J760" s="2">
        <f>_xlfn.XLOOKUP(A760,BAMLC0A4CBBB!A:A,BAMLC0A4CBBB!B:B,"",-1)</f>
        <v>1.58</v>
      </c>
      <c r="K760" s="2">
        <f>_xlfn.XLOOKUP(A760,CPIAUCSL!A:A,CPIAUCSL!B:B,"",-1)</f>
        <v>255.233</v>
      </c>
      <c r="L760">
        <f>_xlfn.XLOOKUP(A760,DFF!A:A,DFF!B:B,"",-1)</f>
        <v>2.41</v>
      </c>
      <c r="M760">
        <f>_xlfn.XLOOKUP(A760,'DGS2'!A:A,'DGS2'!B:B,"",-1)</f>
        <v>2.36</v>
      </c>
      <c r="N760">
        <f t="shared" si="91"/>
        <v>9.9999999999997868E-3</v>
      </c>
      <c r="O760">
        <f t="shared" si="92"/>
        <v>-6.0674708281390766E-3</v>
      </c>
      <c r="P760">
        <f t="shared" si="93"/>
        <v>0</v>
      </c>
      <c r="Q760">
        <f t="shared" si="94"/>
        <v>-1</v>
      </c>
    </row>
    <row r="761" spans="1:17">
      <c r="A761" s="1">
        <v>43564</v>
      </c>
      <c r="B761">
        <v>2878.2</v>
      </c>
      <c r="C761">
        <f t="shared" si="88"/>
        <v>-6.0674708281390766E-3</v>
      </c>
      <c r="D761">
        <f t="shared" si="95"/>
        <v>-4.1328197986378878E-4</v>
      </c>
      <c r="E761">
        <f>_xlfn.XLOOKUP(A761,VIX!A:A,VIX!B:B,"",-1)</f>
        <v>14.28</v>
      </c>
      <c r="F761">
        <f t="shared" si="89"/>
        <v>1.0999999999999996</v>
      </c>
      <c r="G761">
        <f>_xlfn.XLOOKUP(A761,'DGS10'!A:A,'DGS10'!B:B,"",-1)</f>
        <v>2.5099999999999998</v>
      </c>
      <c r="H761">
        <f t="shared" si="90"/>
        <v>-1.0000000000000231E-2</v>
      </c>
      <c r="I761" s="2">
        <f>_xlfn.XLOOKUP(A761,T10Y3M!A:A,T10Y3M!B:B,"",-1)</f>
        <v>0.09</v>
      </c>
      <c r="J761" s="2">
        <f>_xlfn.XLOOKUP(A761,BAMLC0A4CBBB!A:A,BAMLC0A4CBBB!B:B,"",-1)</f>
        <v>1.57</v>
      </c>
      <c r="K761" s="2">
        <f>_xlfn.XLOOKUP(A761,CPIAUCSL!A:A,CPIAUCSL!B:B,"",-1)</f>
        <v>255.233</v>
      </c>
      <c r="L761">
        <f>_xlfn.XLOOKUP(A761,DFF!A:A,DFF!B:B,"",-1)</f>
        <v>2.41</v>
      </c>
      <c r="M761">
        <f>_xlfn.XLOOKUP(A761,'DGS2'!A:A,'DGS2'!B:B,"",-1)</f>
        <v>2.35</v>
      </c>
      <c r="N761">
        <f t="shared" si="91"/>
        <v>-9.9999999999997868E-3</v>
      </c>
      <c r="O761">
        <f t="shared" si="92"/>
        <v>3.4778681120144483E-3</v>
      </c>
      <c r="P761">
        <f t="shared" si="93"/>
        <v>1</v>
      </c>
      <c r="Q761">
        <f t="shared" si="94"/>
        <v>1</v>
      </c>
    </row>
    <row r="762" spans="1:17">
      <c r="A762" s="1">
        <v>43565</v>
      </c>
      <c r="B762">
        <v>2888.21</v>
      </c>
      <c r="C762">
        <f t="shared" si="88"/>
        <v>3.4778681120144483E-3</v>
      </c>
      <c r="D762">
        <f t="shared" si="95"/>
        <v>-1.5659893388274559E-3</v>
      </c>
      <c r="E762">
        <f>_xlfn.XLOOKUP(A762,VIX!A:A,VIX!B:B,"",-1)</f>
        <v>13.3</v>
      </c>
      <c r="F762">
        <f t="shared" si="89"/>
        <v>-0.97999999999999865</v>
      </c>
      <c r="G762">
        <f>_xlfn.XLOOKUP(A762,'DGS10'!A:A,'DGS10'!B:B,"",-1)</f>
        <v>2.48</v>
      </c>
      <c r="H762">
        <f t="shared" si="90"/>
        <v>-2.9999999999999805E-2</v>
      </c>
      <c r="I762" s="2">
        <f>_xlfn.XLOOKUP(A762,T10Y3M!A:A,T10Y3M!B:B,"",-1)</f>
        <v>0.05</v>
      </c>
      <c r="J762" s="2">
        <f>_xlfn.XLOOKUP(A762,BAMLC0A4CBBB!A:A,BAMLC0A4CBBB!B:B,"",-1)</f>
        <v>1.56</v>
      </c>
      <c r="K762" s="2">
        <f>_xlfn.XLOOKUP(A762,CPIAUCSL!A:A,CPIAUCSL!B:B,"",-1)</f>
        <v>255.233</v>
      </c>
      <c r="L762">
        <f>_xlfn.XLOOKUP(A762,DFF!A:A,DFF!B:B,"",-1)</f>
        <v>2.41</v>
      </c>
      <c r="M762">
        <f>_xlfn.XLOOKUP(A762,'DGS2'!A:A,'DGS2'!B:B,"",-1)</f>
        <v>2.31</v>
      </c>
      <c r="N762">
        <f t="shared" si="91"/>
        <v>-4.0000000000000036E-2</v>
      </c>
      <c r="O762">
        <f t="shared" si="92"/>
        <v>3.808587325715429E-5</v>
      </c>
      <c r="P762">
        <f t="shared" si="93"/>
        <v>1</v>
      </c>
      <c r="Q762">
        <f t="shared" si="94"/>
        <v>0</v>
      </c>
    </row>
    <row r="763" spans="1:17">
      <c r="A763" s="1">
        <v>43566</v>
      </c>
      <c r="B763">
        <v>2888.32</v>
      </c>
      <c r="C763">
        <f t="shared" si="88"/>
        <v>3.808587325715429E-5</v>
      </c>
      <c r="D763">
        <f t="shared" si="95"/>
        <v>-2.5727181371447694E-3</v>
      </c>
      <c r="E763">
        <f>_xlfn.XLOOKUP(A763,VIX!A:A,VIX!B:B,"",-1)</f>
        <v>13.02</v>
      </c>
      <c r="F763">
        <f t="shared" si="89"/>
        <v>-0.28000000000000114</v>
      </c>
      <c r="G763">
        <f>_xlfn.XLOOKUP(A763,'DGS10'!A:A,'DGS10'!B:B,"",-1)</f>
        <v>2.5099999999999998</v>
      </c>
      <c r="H763">
        <f t="shared" si="90"/>
        <v>2.9999999999999805E-2</v>
      </c>
      <c r="I763" s="2">
        <f>_xlfn.XLOOKUP(A763,T10Y3M!A:A,T10Y3M!B:B,"",-1)</f>
        <v>0.08</v>
      </c>
      <c r="J763" s="2">
        <f>_xlfn.XLOOKUP(A763,BAMLC0A4CBBB!A:A,BAMLC0A4CBBB!B:B,"",-1)</f>
        <v>1.54</v>
      </c>
      <c r="K763" s="2">
        <f>_xlfn.XLOOKUP(A763,CPIAUCSL!A:A,CPIAUCSL!B:B,"",-1)</f>
        <v>255.233</v>
      </c>
      <c r="L763">
        <f>_xlfn.XLOOKUP(A763,DFF!A:A,DFF!B:B,"",-1)</f>
        <v>2.41</v>
      </c>
      <c r="M763">
        <f>_xlfn.XLOOKUP(A763,'DGS2'!A:A,'DGS2'!B:B,"",-1)</f>
        <v>2.35</v>
      </c>
      <c r="N763">
        <f t="shared" si="91"/>
        <v>4.0000000000000036E-2</v>
      </c>
      <c r="O763">
        <f t="shared" si="92"/>
        <v>6.6093784622200946E-3</v>
      </c>
      <c r="P763">
        <f t="shared" si="93"/>
        <v>1</v>
      </c>
      <c r="Q763">
        <f t="shared" si="94"/>
        <v>1</v>
      </c>
    </row>
    <row r="764" spans="1:17">
      <c r="A764" s="1">
        <v>43567</v>
      </c>
      <c r="B764">
        <v>2907.41</v>
      </c>
      <c r="C764">
        <f t="shared" si="88"/>
        <v>6.6093784622200946E-3</v>
      </c>
      <c r="D764">
        <f t="shared" si="95"/>
        <v>1.0148704051142987E-2</v>
      </c>
      <c r="E764">
        <f>_xlfn.XLOOKUP(A764,VIX!A:A,VIX!B:B,"",-1)</f>
        <v>12.01</v>
      </c>
      <c r="F764">
        <f t="shared" si="89"/>
        <v>-1.0099999999999998</v>
      </c>
      <c r="G764">
        <f>_xlfn.XLOOKUP(A764,'DGS10'!A:A,'DGS10'!B:B,"",-1)</f>
        <v>2.56</v>
      </c>
      <c r="H764">
        <f t="shared" si="90"/>
        <v>5.0000000000000266E-2</v>
      </c>
      <c r="I764" s="2">
        <f>_xlfn.XLOOKUP(A764,T10Y3M!A:A,T10Y3M!B:B,"",-1)</f>
        <v>0.12</v>
      </c>
      <c r="J764" s="2">
        <f>_xlfn.XLOOKUP(A764,BAMLC0A4CBBB!A:A,BAMLC0A4CBBB!B:B,"",-1)</f>
        <v>1.51</v>
      </c>
      <c r="K764" s="2">
        <f>_xlfn.XLOOKUP(A764,CPIAUCSL!A:A,CPIAUCSL!B:B,"",-1)</f>
        <v>255.233</v>
      </c>
      <c r="L764">
        <f>_xlfn.XLOOKUP(A764,DFF!A:A,DFF!B:B,"",-1)</f>
        <v>2.41</v>
      </c>
      <c r="M764">
        <f>_xlfn.XLOOKUP(A764,'DGS2'!A:A,'DGS2'!B:B,"",-1)</f>
        <v>2.4</v>
      </c>
      <c r="N764">
        <f t="shared" si="91"/>
        <v>4.9999999999999822E-2</v>
      </c>
      <c r="O764">
        <f t="shared" si="92"/>
        <v>-6.2942619032058111E-4</v>
      </c>
      <c r="P764">
        <f t="shared" si="93"/>
        <v>0</v>
      </c>
      <c r="Q764">
        <f t="shared" si="94"/>
        <v>0</v>
      </c>
    </row>
    <row r="765" spans="1:17">
      <c r="A765" s="1">
        <v>43570</v>
      </c>
      <c r="B765">
        <v>2905.58</v>
      </c>
      <c r="C765">
        <f t="shared" si="88"/>
        <v>-6.2942619032058111E-4</v>
      </c>
      <c r="D765">
        <f t="shared" si="95"/>
        <v>6.014105622513588E-3</v>
      </c>
      <c r="E765">
        <f>_xlfn.XLOOKUP(A765,VIX!A:A,VIX!B:B,"",-1)</f>
        <v>12.32</v>
      </c>
      <c r="F765">
        <f t="shared" si="89"/>
        <v>0.3100000000000005</v>
      </c>
      <c r="G765">
        <f>_xlfn.XLOOKUP(A765,'DGS10'!A:A,'DGS10'!B:B,"",-1)</f>
        <v>2.5499999999999998</v>
      </c>
      <c r="H765">
        <f t="shared" si="90"/>
        <v>-1.0000000000000231E-2</v>
      </c>
      <c r="I765" s="2">
        <f>_xlfn.XLOOKUP(A765,T10Y3M!A:A,T10Y3M!B:B,"",-1)</f>
        <v>0.12</v>
      </c>
      <c r="J765" s="2">
        <f>_xlfn.XLOOKUP(A765,BAMLC0A4CBBB!A:A,BAMLC0A4CBBB!B:B,"",-1)</f>
        <v>1.5</v>
      </c>
      <c r="K765" s="2">
        <f>_xlfn.XLOOKUP(A765,CPIAUCSL!A:A,CPIAUCSL!B:B,"",-1)</f>
        <v>255.233</v>
      </c>
      <c r="L765">
        <f>_xlfn.XLOOKUP(A765,DFF!A:A,DFF!B:B,"",-1)</f>
        <v>2.41</v>
      </c>
      <c r="M765">
        <f>_xlfn.XLOOKUP(A765,'DGS2'!A:A,'DGS2'!B:B,"",-1)</f>
        <v>2.4</v>
      </c>
      <c r="N765">
        <f t="shared" si="91"/>
        <v>0</v>
      </c>
      <c r="O765">
        <f t="shared" si="92"/>
        <v>5.0936473956997297E-4</v>
      </c>
      <c r="P765">
        <f t="shared" si="93"/>
        <v>1</v>
      </c>
      <c r="Q765">
        <f t="shared" si="94"/>
        <v>0</v>
      </c>
    </row>
    <row r="766" spans="1:17">
      <c r="A766" s="1">
        <v>43571</v>
      </c>
      <c r="B766">
        <v>2907.06</v>
      </c>
      <c r="C766">
        <f t="shared" si="88"/>
        <v>5.0936473956997297E-4</v>
      </c>
      <c r="D766">
        <f t="shared" si="95"/>
        <v>6.4882007533790809E-3</v>
      </c>
      <c r="E766">
        <f>_xlfn.XLOOKUP(A766,VIX!A:A,VIX!B:B,"",-1)</f>
        <v>12.18</v>
      </c>
      <c r="F766">
        <f t="shared" si="89"/>
        <v>-0.14000000000000057</v>
      </c>
      <c r="G766">
        <f>_xlfn.XLOOKUP(A766,'DGS10'!A:A,'DGS10'!B:B,"",-1)</f>
        <v>2.6</v>
      </c>
      <c r="H766">
        <f t="shared" si="90"/>
        <v>5.0000000000000266E-2</v>
      </c>
      <c r="I766" s="2">
        <f>_xlfn.XLOOKUP(A766,T10Y3M!A:A,T10Y3M!B:B,"",-1)</f>
        <v>0.17</v>
      </c>
      <c r="J766" s="2">
        <f>_xlfn.XLOOKUP(A766,BAMLC0A4CBBB!A:A,BAMLC0A4CBBB!B:B,"",-1)</f>
        <v>1.49</v>
      </c>
      <c r="K766" s="2">
        <f>_xlfn.XLOOKUP(A766,CPIAUCSL!A:A,CPIAUCSL!B:B,"",-1)</f>
        <v>255.233</v>
      </c>
      <c r="L766">
        <f>_xlfn.XLOOKUP(A766,DFF!A:A,DFF!B:B,"",-1)</f>
        <v>2.41</v>
      </c>
      <c r="M766">
        <f>_xlfn.XLOOKUP(A766,'DGS2'!A:A,'DGS2'!B:B,"",-1)</f>
        <v>2.41</v>
      </c>
      <c r="N766">
        <f t="shared" si="91"/>
        <v>1.0000000000000231E-2</v>
      </c>
      <c r="O766">
        <f t="shared" si="92"/>
        <v>-2.2737748790875312E-3</v>
      </c>
      <c r="P766">
        <f t="shared" si="93"/>
        <v>0</v>
      </c>
      <c r="Q766">
        <f t="shared" si="94"/>
        <v>0</v>
      </c>
    </row>
    <row r="767" spans="1:17">
      <c r="A767" s="1">
        <v>43572</v>
      </c>
      <c r="B767">
        <v>2900.45</v>
      </c>
      <c r="C767">
        <f t="shared" si="88"/>
        <v>-2.2737748790875312E-3</v>
      </c>
      <c r="D767">
        <f t="shared" si="95"/>
        <v>-2.393883215645598E-3</v>
      </c>
      <c r="E767">
        <f>_xlfn.XLOOKUP(A767,VIX!A:A,VIX!B:B,"",-1)</f>
        <v>12.6</v>
      </c>
      <c r="F767">
        <f t="shared" si="89"/>
        <v>0.41999999999999993</v>
      </c>
      <c r="G767">
        <f>_xlfn.XLOOKUP(A767,'DGS10'!A:A,'DGS10'!B:B,"",-1)</f>
        <v>2.59</v>
      </c>
      <c r="H767">
        <f t="shared" si="90"/>
        <v>-1.0000000000000231E-2</v>
      </c>
      <c r="I767" s="2">
        <f>_xlfn.XLOOKUP(A767,T10Y3M!A:A,T10Y3M!B:B,"",-1)</f>
        <v>0.15</v>
      </c>
      <c r="J767" s="2">
        <f>_xlfn.XLOOKUP(A767,BAMLC0A4CBBB!A:A,BAMLC0A4CBBB!B:B,"",-1)</f>
        <v>1.49</v>
      </c>
      <c r="K767" s="2">
        <f>_xlfn.XLOOKUP(A767,CPIAUCSL!A:A,CPIAUCSL!B:B,"",-1)</f>
        <v>255.233</v>
      </c>
      <c r="L767">
        <f>_xlfn.XLOOKUP(A767,DFF!A:A,DFF!B:B,"",-1)</f>
        <v>2.42</v>
      </c>
      <c r="M767">
        <f>_xlfn.XLOOKUP(A767,'DGS2'!A:A,'DGS2'!B:B,"",-1)</f>
        <v>2.4</v>
      </c>
      <c r="N767">
        <f t="shared" si="91"/>
        <v>-1.0000000000000231E-2</v>
      </c>
      <c r="O767">
        <f t="shared" si="92"/>
        <v>1.5790653174507785E-3</v>
      </c>
      <c r="P767">
        <f t="shared" si="93"/>
        <v>1</v>
      </c>
      <c r="Q767">
        <f t="shared" si="94"/>
        <v>0</v>
      </c>
    </row>
    <row r="768" spans="1:17">
      <c r="A768" s="1">
        <v>43573</v>
      </c>
      <c r="B768">
        <v>2905.03</v>
      </c>
      <c r="C768">
        <f t="shared" si="88"/>
        <v>1.5790653174507785E-3</v>
      </c>
      <c r="D768">
        <f t="shared" si="95"/>
        <v>-1.8929095051578582E-4</v>
      </c>
      <c r="E768">
        <f>_xlfn.XLOOKUP(A768,VIX!A:A,VIX!B:B,"",-1)</f>
        <v>12.09</v>
      </c>
      <c r="F768">
        <f t="shared" si="89"/>
        <v>-0.50999999999999979</v>
      </c>
      <c r="G768">
        <f>_xlfn.XLOOKUP(A768,'DGS10'!A:A,'DGS10'!B:B,"",-1)</f>
        <v>2.57</v>
      </c>
      <c r="H768">
        <f t="shared" si="90"/>
        <v>-2.0000000000000018E-2</v>
      </c>
      <c r="I768" s="2">
        <f>_xlfn.XLOOKUP(A768,T10Y3M!A:A,T10Y3M!B:B,"",-1)</f>
        <v>0.15</v>
      </c>
      <c r="J768" s="2">
        <f>_xlfn.XLOOKUP(A768,BAMLC0A4CBBB!A:A,BAMLC0A4CBBB!B:B,"",-1)</f>
        <v>1.5</v>
      </c>
      <c r="K768" s="2">
        <f>_xlfn.XLOOKUP(A768,CPIAUCSL!A:A,CPIAUCSL!B:B,"",-1)</f>
        <v>255.233</v>
      </c>
      <c r="L768">
        <f>_xlfn.XLOOKUP(A768,DFF!A:A,DFF!B:B,"",-1)</f>
        <v>2.4300000000000002</v>
      </c>
      <c r="M768">
        <f>_xlfn.XLOOKUP(A768,'DGS2'!A:A,'DGS2'!B:B,"",-1)</f>
        <v>2.38</v>
      </c>
      <c r="N768">
        <f t="shared" si="91"/>
        <v>-2.0000000000000018E-2</v>
      </c>
      <c r="O768">
        <f t="shared" si="92"/>
        <v>1.0120377414346571E-3</v>
      </c>
      <c r="P768">
        <f t="shared" si="93"/>
        <v>1</v>
      </c>
      <c r="Q768">
        <f t="shared" si="94"/>
        <v>0</v>
      </c>
    </row>
    <row r="769" spans="1:17">
      <c r="A769" s="1">
        <v>43577</v>
      </c>
      <c r="B769">
        <v>2907.97</v>
      </c>
      <c r="C769">
        <f t="shared" si="88"/>
        <v>1.0120377414346571E-3</v>
      </c>
      <c r="D769">
        <f t="shared" si="95"/>
        <v>3.130310347911891E-4</v>
      </c>
      <c r="E769">
        <f>_xlfn.XLOOKUP(A769,VIX!A:A,VIX!B:B,"",-1)</f>
        <v>12.42</v>
      </c>
      <c r="F769">
        <f t="shared" si="89"/>
        <v>0.33000000000000007</v>
      </c>
      <c r="G769">
        <f>_xlfn.XLOOKUP(A769,'DGS10'!A:A,'DGS10'!B:B,"",-1)</f>
        <v>2.59</v>
      </c>
      <c r="H769">
        <f t="shared" si="90"/>
        <v>2.0000000000000018E-2</v>
      </c>
      <c r="I769" s="2">
        <f>_xlfn.XLOOKUP(A769,T10Y3M!A:A,T10Y3M!B:B,"",-1)</f>
        <v>0.15</v>
      </c>
      <c r="J769" s="2">
        <f>_xlfn.XLOOKUP(A769,BAMLC0A4CBBB!A:A,BAMLC0A4CBBB!B:B,"",-1)</f>
        <v>1.5</v>
      </c>
      <c r="K769" s="2">
        <f>_xlfn.XLOOKUP(A769,CPIAUCSL!A:A,CPIAUCSL!B:B,"",-1)</f>
        <v>255.233</v>
      </c>
      <c r="L769">
        <f>_xlfn.XLOOKUP(A769,DFF!A:A,DFF!B:B,"",-1)</f>
        <v>2.44</v>
      </c>
      <c r="M769">
        <f>_xlfn.XLOOKUP(A769,'DGS2'!A:A,'DGS2'!B:B,"",-1)</f>
        <v>2.38</v>
      </c>
      <c r="N769">
        <f t="shared" si="91"/>
        <v>0</v>
      </c>
      <c r="O769">
        <f t="shared" si="92"/>
        <v>8.8412191322468914E-3</v>
      </c>
      <c r="P769">
        <f t="shared" si="93"/>
        <v>1</v>
      </c>
      <c r="Q769">
        <f t="shared" si="94"/>
        <v>1</v>
      </c>
    </row>
    <row r="770" spans="1:17">
      <c r="A770" s="1">
        <v>43578</v>
      </c>
      <c r="B770">
        <v>2933.68</v>
      </c>
      <c r="C770">
        <f t="shared" si="88"/>
        <v>8.8412191322468914E-3</v>
      </c>
      <c r="D770">
        <f t="shared" si="95"/>
        <v>1.1456842903687425E-2</v>
      </c>
      <c r="E770">
        <f>_xlfn.XLOOKUP(A770,VIX!A:A,VIX!B:B,"",-1)</f>
        <v>12.28</v>
      </c>
      <c r="F770">
        <f t="shared" si="89"/>
        <v>-0.14000000000000057</v>
      </c>
      <c r="G770">
        <f>_xlfn.XLOOKUP(A770,'DGS10'!A:A,'DGS10'!B:B,"",-1)</f>
        <v>2.57</v>
      </c>
      <c r="H770">
        <f t="shared" si="90"/>
        <v>-2.0000000000000018E-2</v>
      </c>
      <c r="I770" s="2">
        <f>_xlfn.XLOOKUP(A770,T10Y3M!A:A,T10Y3M!B:B,"",-1)</f>
        <v>0.12</v>
      </c>
      <c r="J770" s="2">
        <f>_xlfn.XLOOKUP(A770,BAMLC0A4CBBB!A:A,BAMLC0A4CBBB!B:B,"",-1)</f>
        <v>1.5</v>
      </c>
      <c r="K770" s="2">
        <f>_xlfn.XLOOKUP(A770,CPIAUCSL!A:A,CPIAUCSL!B:B,"",-1)</f>
        <v>255.233</v>
      </c>
      <c r="L770">
        <f>_xlfn.XLOOKUP(A770,DFF!A:A,DFF!B:B,"",-1)</f>
        <v>2.44</v>
      </c>
      <c r="M770">
        <f>_xlfn.XLOOKUP(A770,'DGS2'!A:A,'DGS2'!B:B,"",-1)</f>
        <v>2.36</v>
      </c>
      <c r="N770">
        <f t="shared" si="91"/>
        <v>-2.0000000000000018E-2</v>
      </c>
      <c r="O770">
        <f t="shared" si="92"/>
        <v>-2.1917864252406494E-3</v>
      </c>
      <c r="P770">
        <f t="shared" si="93"/>
        <v>0</v>
      </c>
      <c r="Q770">
        <f t="shared" si="94"/>
        <v>0</v>
      </c>
    </row>
    <row r="771" spans="1:17">
      <c r="A771" s="1">
        <v>43579</v>
      </c>
      <c r="B771">
        <v>2927.25</v>
      </c>
      <c r="C771">
        <f t="shared" si="88"/>
        <v>-2.1917864252406494E-3</v>
      </c>
      <c r="D771">
        <f t="shared" si="95"/>
        <v>7.6488022498906183E-3</v>
      </c>
      <c r="E771">
        <f>_xlfn.XLOOKUP(A771,VIX!A:A,VIX!B:B,"",-1)</f>
        <v>13.14</v>
      </c>
      <c r="F771">
        <f t="shared" si="89"/>
        <v>0.86000000000000121</v>
      </c>
      <c r="G771">
        <f>_xlfn.XLOOKUP(A771,'DGS10'!A:A,'DGS10'!B:B,"",-1)</f>
        <v>2.5299999999999998</v>
      </c>
      <c r="H771">
        <f t="shared" si="90"/>
        <v>-4.0000000000000036E-2</v>
      </c>
      <c r="I771" s="2">
        <f>_xlfn.XLOOKUP(A771,T10Y3M!A:A,T10Y3M!B:B,"",-1)</f>
        <v>0.09</v>
      </c>
      <c r="J771" s="2">
        <f>_xlfn.XLOOKUP(A771,BAMLC0A4CBBB!A:A,BAMLC0A4CBBB!B:B,"",-1)</f>
        <v>1.5</v>
      </c>
      <c r="K771" s="2">
        <f>_xlfn.XLOOKUP(A771,CPIAUCSL!A:A,CPIAUCSL!B:B,"",-1)</f>
        <v>255.233</v>
      </c>
      <c r="L771">
        <f>_xlfn.XLOOKUP(A771,DFF!A:A,DFF!B:B,"",-1)</f>
        <v>2.44</v>
      </c>
      <c r="M771">
        <f>_xlfn.XLOOKUP(A771,'DGS2'!A:A,'DGS2'!B:B,"",-1)</f>
        <v>2.3199999999999998</v>
      </c>
      <c r="N771">
        <f t="shared" si="91"/>
        <v>-4.0000000000000036E-2</v>
      </c>
      <c r="O771">
        <f t="shared" si="92"/>
        <v>-3.6894696387390624E-4</v>
      </c>
      <c r="P771">
        <f t="shared" si="93"/>
        <v>0</v>
      </c>
      <c r="Q771">
        <f t="shared" si="94"/>
        <v>0</v>
      </c>
    </row>
    <row r="772" spans="1:17">
      <c r="A772" s="1">
        <v>43580</v>
      </c>
      <c r="B772">
        <v>2926.17</v>
      </c>
      <c r="C772">
        <f t="shared" ref="C772:C835" si="96">IF(OR(B772="",B771=""),"",(B772/B771)-1)</f>
        <v>-3.6894696387390624E-4</v>
      </c>
      <c r="D772">
        <f t="shared" si="95"/>
        <v>6.2586615405249013E-3</v>
      </c>
      <c r="E772">
        <f>_xlfn.XLOOKUP(A772,VIX!A:A,VIX!B:B,"",-1)</f>
        <v>13.25</v>
      </c>
      <c r="F772">
        <f t="shared" ref="F772:F835" si="97">IF(OR(E772="",E771=""),"",E772-E771)</f>
        <v>0.10999999999999943</v>
      </c>
      <c r="G772">
        <f>_xlfn.XLOOKUP(A772,'DGS10'!A:A,'DGS10'!B:B,"",-1)</f>
        <v>2.54</v>
      </c>
      <c r="H772">
        <f t="shared" ref="H772:H835" si="98">IF(OR(G772="",G771=""),"",G772-G771)</f>
        <v>1.0000000000000231E-2</v>
      </c>
      <c r="I772" s="2">
        <f>_xlfn.XLOOKUP(A772,T10Y3M!A:A,T10Y3M!B:B,"",-1)</f>
        <v>0.11</v>
      </c>
      <c r="J772" s="2">
        <f>_xlfn.XLOOKUP(A772,BAMLC0A4CBBB!A:A,BAMLC0A4CBBB!B:B,"",-1)</f>
        <v>1.5</v>
      </c>
      <c r="K772" s="2">
        <f>_xlfn.XLOOKUP(A772,CPIAUCSL!A:A,CPIAUCSL!B:B,"",-1)</f>
        <v>255.233</v>
      </c>
      <c r="L772">
        <f>_xlfn.XLOOKUP(A772,DFF!A:A,DFF!B:B,"",-1)</f>
        <v>2.44</v>
      </c>
      <c r="M772">
        <f>_xlfn.XLOOKUP(A772,'DGS2'!A:A,'DGS2'!B:B,"",-1)</f>
        <v>2.33</v>
      </c>
      <c r="N772">
        <f t="shared" ref="N772:N835" si="99">IF(OR(M772="",M771=""),"",M772-M771)</f>
        <v>1.0000000000000231E-2</v>
      </c>
      <c r="O772">
        <f t="shared" ref="O772:O835" si="100">IF(OR(B773="",B772=""),"",(B773/B772)-1)</f>
        <v>4.6853053650335319E-3</v>
      </c>
      <c r="P772">
        <f t="shared" ref="P772:P835" si="101">IF(O772="","",IF(O772&gt;0,1,0))</f>
        <v>1</v>
      </c>
      <c r="Q772">
        <f t="shared" ref="Q772:Q835" si="102">IF(O772="","",IF(O772&gt;0.003,1,IF(O772&lt;-0.003,-1,0)))</f>
        <v>1</v>
      </c>
    </row>
    <row r="773" spans="1:17">
      <c r="A773" s="1">
        <v>43581</v>
      </c>
      <c r="B773">
        <v>2939.88</v>
      </c>
      <c r="C773">
        <f t="shared" si="96"/>
        <v>4.6853053650335319E-3</v>
      </c>
      <c r="D773">
        <f t="shared" si="95"/>
        <v>2.1133865997655654E-3</v>
      </c>
      <c r="E773">
        <f>_xlfn.XLOOKUP(A773,VIX!A:A,VIX!B:B,"",-1)</f>
        <v>12.73</v>
      </c>
      <c r="F773">
        <f t="shared" si="97"/>
        <v>-0.51999999999999957</v>
      </c>
      <c r="G773">
        <f>_xlfn.XLOOKUP(A773,'DGS10'!A:A,'DGS10'!B:B,"",-1)</f>
        <v>2.5099999999999998</v>
      </c>
      <c r="H773">
        <f t="shared" si="98"/>
        <v>-3.0000000000000249E-2</v>
      </c>
      <c r="I773" s="2">
        <f>_xlfn.XLOOKUP(A773,T10Y3M!A:A,T10Y3M!B:B,"",-1)</f>
        <v>0.09</v>
      </c>
      <c r="J773" s="2">
        <f>_xlfn.XLOOKUP(A773,BAMLC0A4CBBB!A:A,BAMLC0A4CBBB!B:B,"",-1)</f>
        <v>1.49</v>
      </c>
      <c r="K773" s="2">
        <f>_xlfn.XLOOKUP(A773,CPIAUCSL!A:A,CPIAUCSL!B:B,"",-1)</f>
        <v>255.233</v>
      </c>
      <c r="L773">
        <f>_xlfn.XLOOKUP(A773,DFF!A:A,DFF!B:B,"",-1)</f>
        <v>2.44</v>
      </c>
      <c r="M773">
        <f>_xlfn.XLOOKUP(A773,'DGS2'!A:A,'DGS2'!B:B,"",-1)</f>
        <v>2.2799999999999998</v>
      </c>
      <c r="N773">
        <f t="shared" si="99"/>
        <v>-5.0000000000000266E-2</v>
      </c>
      <c r="O773">
        <f t="shared" si="100"/>
        <v>1.0714723049920494E-3</v>
      </c>
      <c r="P773">
        <f t="shared" si="101"/>
        <v>1</v>
      </c>
      <c r="Q773">
        <f t="shared" si="102"/>
        <v>0</v>
      </c>
    </row>
    <row r="774" spans="1:17">
      <c r="A774" s="1">
        <v>43584</v>
      </c>
      <c r="B774">
        <v>2943.03</v>
      </c>
      <c r="C774">
        <f t="shared" si="96"/>
        <v>1.0714723049920494E-3</v>
      </c>
      <c r="D774">
        <f t="shared" ref="D774:D837" si="103">IF(OR(B774="",B771=""),"",(B774/B771)-1)</f>
        <v>5.390725083269432E-3</v>
      </c>
      <c r="E774">
        <f>_xlfn.XLOOKUP(A774,VIX!A:A,VIX!B:B,"",-1)</f>
        <v>13.11</v>
      </c>
      <c r="F774">
        <f t="shared" si="97"/>
        <v>0.37999999999999901</v>
      </c>
      <c r="G774">
        <f>_xlfn.XLOOKUP(A774,'DGS10'!A:A,'DGS10'!B:B,"",-1)</f>
        <v>2.54</v>
      </c>
      <c r="H774">
        <f t="shared" si="98"/>
        <v>3.0000000000000249E-2</v>
      </c>
      <c r="I774" s="2">
        <f>_xlfn.XLOOKUP(A774,T10Y3M!A:A,T10Y3M!B:B,"",-1)</f>
        <v>0.1</v>
      </c>
      <c r="J774" s="2">
        <f>_xlfn.XLOOKUP(A774,BAMLC0A4CBBB!A:A,BAMLC0A4CBBB!B:B,"",-1)</f>
        <v>1.48</v>
      </c>
      <c r="K774" s="2">
        <f>_xlfn.XLOOKUP(A774,CPIAUCSL!A:A,CPIAUCSL!B:B,"",-1)</f>
        <v>255.233</v>
      </c>
      <c r="L774">
        <f>_xlfn.XLOOKUP(A774,DFF!A:A,DFF!B:B,"",-1)</f>
        <v>2.4500000000000002</v>
      </c>
      <c r="M774">
        <f>_xlfn.XLOOKUP(A774,'DGS2'!A:A,'DGS2'!B:B,"",-1)</f>
        <v>2.2999999999999998</v>
      </c>
      <c r="N774">
        <f t="shared" si="99"/>
        <v>2.0000000000000018E-2</v>
      </c>
      <c r="O774">
        <f t="shared" si="100"/>
        <v>9.5140042745045506E-4</v>
      </c>
      <c r="P774">
        <f t="shared" si="101"/>
        <v>1</v>
      </c>
      <c r="Q774">
        <f t="shared" si="102"/>
        <v>0</v>
      </c>
    </row>
    <row r="775" spans="1:17">
      <c r="A775" s="1">
        <v>43585</v>
      </c>
      <c r="B775">
        <v>2945.83</v>
      </c>
      <c r="C775">
        <f t="shared" si="96"/>
        <v>9.5140042745045506E-4</v>
      </c>
      <c r="D775">
        <f t="shared" si="103"/>
        <v>6.718680049347725E-3</v>
      </c>
      <c r="E775">
        <f>_xlfn.XLOOKUP(A775,VIX!A:A,VIX!B:B,"",-1)</f>
        <v>13.12</v>
      </c>
      <c r="F775">
        <f t="shared" si="97"/>
        <v>9.9999999999997868E-3</v>
      </c>
      <c r="G775">
        <f>_xlfn.XLOOKUP(A775,'DGS10'!A:A,'DGS10'!B:B,"",-1)</f>
        <v>2.5099999999999998</v>
      </c>
      <c r="H775">
        <f t="shared" si="98"/>
        <v>-3.0000000000000249E-2</v>
      </c>
      <c r="I775" s="2">
        <f>_xlfn.XLOOKUP(A775,T10Y3M!A:A,T10Y3M!B:B,"",-1)</f>
        <v>0.08</v>
      </c>
      <c r="J775" s="2">
        <f>_xlfn.XLOOKUP(A775,BAMLC0A4CBBB!A:A,BAMLC0A4CBBB!B:B,"",-1)</f>
        <v>1.5</v>
      </c>
      <c r="K775" s="2">
        <f>_xlfn.XLOOKUP(A775,CPIAUCSL!A:A,CPIAUCSL!B:B,"",-1)</f>
        <v>255.233</v>
      </c>
      <c r="L775">
        <f>_xlfn.XLOOKUP(A775,DFF!A:A,DFF!B:B,"",-1)</f>
        <v>2.4500000000000002</v>
      </c>
      <c r="M775">
        <f>_xlfn.XLOOKUP(A775,'DGS2'!A:A,'DGS2'!B:B,"",-1)</f>
        <v>2.27</v>
      </c>
      <c r="N775">
        <f t="shared" si="99"/>
        <v>-2.9999999999999805E-2</v>
      </c>
      <c r="O775">
        <f t="shared" si="100"/>
        <v>-7.502130129708795E-3</v>
      </c>
      <c r="P775">
        <f t="shared" si="101"/>
        <v>0</v>
      </c>
      <c r="Q775">
        <f t="shared" si="102"/>
        <v>-1</v>
      </c>
    </row>
    <row r="776" spans="1:17">
      <c r="A776" s="1">
        <v>43586</v>
      </c>
      <c r="B776">
        <v>2923.73</v>
      </c>
      <c r="C776">
        <f t="shared" si="96"/>
        <v>-7.502130129708795E-3</v>
      </c>
      <c r="D776">
        <f t="shared" si="103"/>
        <v>-5.4934215001972708E-3</v>
      </c>
      <c r="E776">
        <f>_xlfn.XLOOKUP(A776,VIX!A:A,VIX!B:B,"",-1)</f>
        <v>14.8</v>
      </c>
      <c r="F776">
        <f t="shared" si="97"/>
        <v>1.6800000000000015</v>
      </c>
      <c r="G776">
        <f>_xlfn.XLOOKUP(A776,'DGS10'!A:A,'DGS10'!B:B,"",-1)</f>
        <v>2.52</v>
      </c>
      <c r="H776">
        <f t="shared" si="98"/>
        <v>1.0000000000000231E-2</v>
      </c>
      <c r="I776" s="2">
        <f>_xlfn.XLOOKUP(A776,T10Y3M!A:A,T10Y3M!B:B,"",-1)</f>
        <v>0.09</v>
      </c>
      <c r="J776" s="2">
        <f>_xlfn.XLOOKUP(A776,BAMLC0A4CBBB!A:A,BAMLC0A4CBBB!B:B,"",-1)</f>
        <v>1.5</v>
      </c>
      <c r="K776" s="2">
        <f>_xlfn.XLOOKUP(A776,CPIAUCSL!A:A,CPIAUCSL!B:B,"",-1)</f>
        <v>255.29599999999999</v>
      </c>
      <c r="L776">
        <f>_xlfn.XLOOKUP(A776,DFF!A:A,DFF!B:B,"",-1)</f>
        <v>2.4500000000000002</v>
      </c>
      <c r="M776">
        <f>_xlfn.XLOOKUP(A776,'DGS2'!A:A,'DGS2'!B:B,"",-1)</f>
        <v>2.31</v>
      </c>
      <c r="N776">
        <f t="shared" si="99"/>
        <v>4.0000000000000036E-2</v>
      </c>
      <c r="O776">
        <f t="shared" si="100"/>
        <v>-2.1239991380873624E-3</v>
      </c>
      <c r="P776">
        <f t="shared" si="101"/>
        <v>0</v>
      </c>
      <c r="Q776">
        <f t="shared" si="102"/>
        <v>0</v>
      </c>
    </row>
    <row r="777" spans="1:17">
      <c r="A777" s="1">
        <v>43587</v>
      </c>
      <c r="B777">
        <v>2917.52</v>
      </c>
      <c r="C777">
        <f t="shared" si="96"/>
        <v>-2.1239991380873624E-3</v>
      </c>
      <c r="D777">
        <f t="shared" si="103"/>
        <v>-8.6679374658090724E-3</v>
      </c>
      <c r="E777">
        <f>_xlfn.XLOOKUP(A777,VIX!A:A,VIX!B:B,"",-1)</f>
        <v>14.42</v>
      </c>
      <c r="F777">
        <f t="shared" si="97"/>
        <v>-0.38000000000000078</v>
      </c>
      <c r="G777">
        <f>_xlfn.XLOOKUP(A777,'DGS10'!A:A,'DGS10'!B:B,"",-1)</f>
        <v>2.5499999999999998</v>
      </c>
      <c r="H777">
        <f t="shared" si="98"/>
        <v>2.9999999999999805E-2</v>
      </c>
      <c r="I777" s="2">
        <f>_xlfn.XLOOKUP(A777,T10Y3M!A:A,T10Y3M!B:B,"",-1)</f>
        <v>0.08</v>
      </c>
      <c r="J777" s="2">
        <f>_xlfn.XLOOKUP(A777,BAMLC0A4CBBB!A:A,BAMLC0A4CBBB!B:B,"",-1)</f>
        <v>1.5</v>
      </c>
      <c r="K777" s="2">
        <f>_xlfn.XLOOKUP(A777,CPIAUCSL!A:A,CPIAUCSL!B:B,"",-1)</f>
        <v>255.29599999999999</v>
      </c>
      <c r="L777">
        <f>_xlfn.XLOOKUP(A777,DFF!A:A,DFF!B:B,"",-1)</f>
        <v>2.41</v>
      </c>
      <c r="M777">
        <f>_xlfn.XLOOKUP(A777,'DGS2'!A:A,'DGS2'!B:B,"",-1)</f>
        <v>2.35</v>
      </c>
      <c r="N777">
        <f t="shared" si="99"/>
        <v>4.0000000000000036E-2</v>
      </c>
      <c r="O777">
        <f t="shared" si="100"/>
        <v>9.6383229592256203E-3</v>
      </c>
      <c r="P777">
        <f t="shared" si="101"/>
        <v>1</v>
      </c>
      <c r="Q777">
        <f t="shared" si="102"/>
        <v>1</v>
      </c>
    </row>
    <row r="778" spans="1:17">
      <c r="A778" s="1">
        <v>43588</v>
      </c>
      <c r="B778">
        <v>2945.64</v>
      </c>
      <c r="C778">
        <f t="shared" si="96"/>
        <v>9.6383229592256203E-3</v>
      </c>
      <c r="D778">
        <f t="shared" si="103"/>
        <v>-6.4497951341446758E-5</v>
      </c>
      <c r="E778">
        <f>_xlfn.XLOOKUP(A778,VIX!A:A,VIX!B:B,"",-1)</f>
        <v>12.87</v>
      </c>
      <c r="F778">
        <f t="shared" si="97"/>
        <v>-1.5500000000000007</v>
      </c>
      <c r="G778">
        <f>_xlfn.XLOOKUP(A778,'DGS10'!A:A,'DGS10'!B:B,"",-1)</f>
        <v>2.54</v>
      </c>
      <c r="H778">
        <f t="shared" si="98"/>
        <v>-9.9999999999997868E-3</v>
      </c>
      <c r="I778" s="2">
        <f>_xlfn.XLOOKUP(A778,T10Y3M!A:A,T10Y3M!B:B,"",-1)</f>
        <v>0.11</v>
      </c>
      <c r="J778" s="2">
        <f>_xlfn.XLOOKUP(A778,BAMLC0A4CBBB!A:A,BAMLC0A4CBBB!B:B,"",-1)</f>
        <v>1.5</v>
      </c>
      <c r="K778" s="2">
        <f>_xlfn.XLOOKUP(A778,CPIAUCSL!A:A,CPIAUCSL!B:B,"",-1)</f>
        <v>255.29599999999999</v>
      </c>
      <c r="L778">
        <f>_xlfn.XLOOKUP(A778,DFF!A:A,DFF!B:B,"",-1)</f>
        <v>2.4</v>
      </c>
      <c r="M778">
        <f>_xlfn.XLOOKUP(A778,'DGS2'!A:A,'DGS2'!B:B,"",-1)</f>
        <v>2.33</v>
      </c>
      <c r="N778">
        <f t="shared" si="99"/>
        <v>-2.0000000000000018E-2</v>
      </c>
      <c r="O778">
        <f t="shared" si="100"/>
        <v>-4.471014787957861E-3</v>
      </c>
      <c r="P778">
        <f t="shared" si="101"/>
        <v>0</v>
      </c>
      <c r="Q778">
        <f t="shared" si="102"/>
        <v>-1</v>
      </c>
    </row>
    <row r="779" spans="1:17">
      <c r="A779" s="1">
        <v>43591</v>
      </c>
      <c r="B779">
        <v>2932.47</v>
      </c>
      <c r="C779">
        <f t="shared" si="96"/>
        <v>-4.471014787957861E-3</v>
      </c>
      <c r="D779">
        <f t="shared" si="103"/>
        <v>2.9893321202709711E-3</v>
      </c>
      <c r="E779">
        <f>_xlfn.XLOOKUP(A779,VIX!A:A,VIX!B:B,"",-1)</f>
        <v>15.44</v>
      </c>
      <c r="F779">
        <f t="shared" si="97"/>
        <v>2.5700000000000003</v>
      </c>
      <c r="G779">
        <f>_xlfn.XLOOKUP(A779,'DGS10'!A:A,'DGS10'!B:B,"",-1)</f>
        <v>2.5099999999999998</v>
      </c>
      <c r="H779">
        <f t="shared" si="98"/>
        <v>-3.0000000000000249E-2</v>
      </c>
      <c r="I779" s="2">
        <f>_xlfn.XLOOKUP(A779,T10Y3M!A:A,T10Y3M!B:B,"",-1)</f>
        <v>7.0000000000000007E-2</v>
      </c>
      <c r="J779" s="2">
        <f>_xlfn.XLOOKUP(A779,BAMLC0A4CBBB!A:A,BAMLC0A4CBBB!B:B,"",-1)</f>
        <v>1.51</v>
      </c>
      <c r="K779" s="2">
        <f>_xlfn.XLOOKUP(A779,CPIAUCSL!A:A,CPIAUCSL!B:B,"",-1)</f>
        <v>255.29599999999999</v>
      </c>
      <c r="L779">
        <f>_xlfn.XLOOKUP(A779,DFF!A:A,DFF!B:B,"",-1)</f>
        <v>2.4</v>
      </c>
      <c r="M779">
        <f>_xlfn.XLOOKUP(A779,'DGS2'!A:A,'DGS2'!B:B,"",-1)</f>
        <v>2.31</v>
      </c>
      <c r="N779">
        <f t="shared" si="99"/>
        <v>-2.0000000000000018E-2</v>
      </c>
      <c r="O779">
        <f t="shared" si="100"/>
        <v>-1.6511677868827124E-2</v>
      </c>
      <c r="P779">
        <f t="shared" si="101"/>
        <v>0</v>
      </c>
      <c r="Q779">
        <f t="shared" si="102"/>
        <v>-1</v>
      </c>
    </row>
    <row r="780" spans="1:17">
      <c r="A780" s="1">
        <v>43592</v>
      </c>
      <c r="B780">
        <v>2884.05</v>
      </c>
      <c r="C780">
        <f t="shared" si="96"/>
        <v>-1.6511677868827124E-2</v>
      </c>
      <c r="D780">
        <f t="shared" si="103"/>
        <v>-1.1472072170884751E-2</v>
      </c>
      <c r="E780">
        <f>_xlfn.XLOOKUP(A780,VIX!A:A,VIX!B:B,"",-1)</f>
        <v>19.32</v>
      </c>
      <c r="F780">
        <f t="shared" si="97"/>
        <v>3.8800000000000008</v>
      </c>
      <c r="G780">
        <f>_xlfn.XLOOKUP(A780,'DGS10'!A:A,'DGS10'!B:B,"",-1)</f>
        <v>2.4500000000000002</v>
      </c>
      <c r="H780">
        <f t="shared" si="98"/>
        <v>-5.9999999999999609E-2</v>
      </c>
      <c r="I780" s="2">
        <f>_xlfn.XLOOKUP(A780,T10Y3M!A:A,T10Y3M!B:B,"",-1)</f>
        <v>0.02</v>
      </c>
      <c r="J780" s="2">
        <f>_xlfn.XLOOKUP(A780,BAMLC0A4CBBB!A:A,BAMLC0A4CBBB!B:B,"",-1)</f>
        <v>1.52</v>
      </c>
      <c r="K780" s="2">
        <f>_xlfn.XLOOKUP(A780,CPIAUCSL!A:A,CPIAUCSL!B:B,"",-1)</f>
        <v>255.29599999999999</v>
      </c>
      <c r="L780">
        <f>_xlfn.XLOOKUP(A780,DFF!A:A,DFF!B:B,"",-1)</f>
        <v>2.4</v>
      </c>
      <c r="M780">
        <f>_xlfn.XLOOKUP(A780,'DGS2'!A:A,'DGS2'!B:B,"",-1)</f>
        <v>2.2799999999999998</v>
      </c>
      <c r="N780">
        <f t="shared" si="99"/>
        <v>-3.0000000000000249E-2</v>
      </c>
      <c r="O780">
        <f t="shared" si="100"/>
        <v>-1.6053813214057522E-3</v>
      </c>
      <c r="P780">
        <f t="shared" si="101"/>
        <v>0</v>
      </c>
      <c r="Q780">
        <f t="shared" si="102"/>
        <v>0</v>
      </c>
    </row>
    <row r="781" spans="1:17">
      <c r="A781" s="1">
        <v>43593</v>
      </c>
      <c r="B781">
        <v>2879.42</v>
      </c>
      <c r="C781">
        <f t="shared" si="96"/>
        <v>-1.6053813214057522E-3</v>
      </c>
      <c r="D781">
        <f t="shared" si="103"/>
        <v>-2.2480683315001082E-2</v>
      </c>
      <c r="E781">
        <f>_xlfn.XLOOKUP(A781,VIX!A:A,VIX!B:B,"",-1)</f>
        <v>19.399999999999999</v>
      </c>
      <c r="F781">
        <f t="shared" si="97"/>
        <v>7.9999999999998295E-2</v>
      </c>
      <c r="G781">
        <f>_xlfn.XLOOKUP(A781,'DGS10'!A:A,'DGS10'!B:B,"",-1)</f>
        <v>2.4900000000000002</v>
      </c>
      <c r="H781">
        <f t="shared" si="98"/>
        <v>4.0000000000000036E-2</v>
      </c>
      <c r="I781" s="2">
        <f>_xlfn.XLOOKUP(A781,T10Y3M!A:A,T10Y3M!B:B,"",-1)</f>
        <v>0.06</v>
      </c>
      <c r="J781" s="2">
        <f>_xlfn.XLOOKUP(A781,BAMLC0A4CBBB!A:A,BAMLC0A4CBBB!B:B,"",-1)</f>
        <v>1.53</v>
      </c>
      <c r="K781" s="2">
        <f>_xlfn.XLOOKUP(A781,CPIAUCSL!A:A,CPIAUCSL!B:B,"",-1)</f>
        <v>255.29599999999999</v>
      </c>
      <c r="L781">
        <f>_xlfn.XLOOKUP(A781,DFF!A:A,DFF!B:B,"",-1)</f>
        <v>2.39</v>
      </c>
      <c r="M781">
        <f>_xlfn.XLOOKUP(A781,'DGS2'!A:A,'DGS2'!B:B,"",-1)</f>
        <v>2.2999999999999998</v>
      </c>
      <c r="N781">
        <f t="shared" si="99"/>
        <v>2.0000000000000018E-2</v>
      </c>
      <c r="O781">
        <f t="shared" si="100"/>
        <v>-3.0214418181440106E-3</v>
      </c>
      <c r="P781">
        <f t="shared" si="101"/>
        <v>0</v>
      </c>
      <c r="Q781">
        <f t="shared" si="102"/>
        <v>-1</v>
      </c>
    </row>
    <row r="782" spans="1:17">
      <c r="A782" s="1">
        <v>43594</v>
      </c>
      <c r="B782">
        <v>2870.72</v>
      </c>
      <c r="C782">
        <f t="shared" si="96"/>
        <v>-3.0214418181440106E-3</v>
      </c>
      <c r="D782">
        <f t="shared" si="103"/>
        <v>-2.1057333919869636E-2</v>
      </c>
      <c r="E782">
        <f>_xlfn.XLOOKUP(A782,VIX!A:A,VIX!B:B,"",-1)</f>
        <v>19.100000000000001</v>
      </c>
      <c r="F782">
        <f t="shared" si="97"/>
        <v>-0.29999999999999716</v>
      </c>
      <c r="G782">
        <f>_xlfn.XLOOKUP(A782,'DGS10'!A:A,'DGS10'!B:B,"",-1)</f>
        <v>2.4500000000000002</v>
      </c>
      <c r="H782">
        <f t="shared" si="98"/>
        <v>-4.0000000000000036E-2</v>
      </c>
      <c r="I782" s="2">
        <f>_xlfn.XLOOKUP(A782,T10Y3M!A:A,T10Y3M!B:B,"",-1)</f>
        <v>0.02</v>
      </c>
      <c r="J782" s="2">
        <f>_xlfn.XLOOKUP(A782,BAMLC0A4CBBB!A:A,BAMLC0A4CBBB!B:B,"",-1)</f>
        <v>1.55</v>
      </c>
      <c r="K782" s="2">
        <f>_xlfn.XLOOKUP(A782,CPIAUCSL!A:A,CPIAUCSL!B:B,"",-1)</f>
        <v>255.29599999999999</v>
      </c>
      <c r="L782">
        <f>_xlfn.XLOOKUP(A782,DFF!A:A,DFF!B:B,"",-1)</f>
        <v>2.38</v>
      </c>
      <c r="M782">
        <f>_xlfn.XLOOKUP(A782,'DGS2'!A:A,'DGS2'!B:B,"",-1)</f>
        <v>2.2599999999999998</v>
      </c>
      <c r="N782">
        <f t="shared" si="99"/>
        <v>-4.0000000000000036E-2</v>
      </c>
      <c r="O782">
        <f t="shared" si="100"/>
        <v>3.7203210344445292E-3</v>
      </c>
      <c r="P782">
        <f t="shared" si="101"/>
        <v>1</v>
      </c>
      <c r="Q782">
        <f t="shared" si="102"/>
        <v>1</v>
      </c>
    </row>
    <row r="783" spans="1:17">
      <c r="A783" s="1">
        <v>43595</v>
      </c>
      <c r="B783">
        <v>2881.4</v>
      </c>
      <c r="C783">
        <f t="shared" si="96"/>
        <v>3.7203210344445292E-3</v>
      </c>
      <c r="D783">
        <f t="shared" si="103"/>
        <v>-9.1884676063180848E-4</v>
      </c>
      <c r="E783">
        <f>_xlfn.XLOOKUP(A783,VIX!A:A,VIX!B:B,"",-1)</f>
        <v>16.04</v>
      </c>
      <c r="F783">
        <f t="shared" si="97"/>
        <v>-3.0600000000000023</v>
      </c>
      <c r="G783">
        <f>_xlfn.XLOOKUP(A783,'DGS10'!A:A,'DGS10'!B:B,"",-1)</f>
        <v>2.4700000000000002</v>
      </c>
      <c r="H783">
        <f t="shared" si="98"/>
        <v>2.0000000000000018E-2</v>
      </c>
      <c r="I783" s="2">
        <f>_xlfn.XLOOKUP(A783,T10Y3M!A:A,T10Y3M!B:B,"",-1)</f>
        <v>0.04</v>
      </c>
      <c r="J783" s="2">
        <f>_xlfn.XLOOKUP(A783,BAMLC0A4CBBB!A:A,BAMLC0A4CBBB!B:B,"",-1)</f>
        <v>1.56</v>
      </c>
      <c r="K783" s="2">
        <f>_xlfn.XLOOKUP(A783,CPIAUCSL!A:A,CPIAUCSL!B:B,"",-1)</f>
        <v>255.29599999999999</v>
      </c>
      <c r="L783">
        <f>_xlfn.XLOOKUP(A783,DFF!A:A,DFF!B:B,"",-1)</f>
        <v>2.38</v>
      </c>
      <c r="M783">
        <f>_xlfn.XLOOKUP(A783,'DGS2'!A:A,'DGS2'!B:B,"",-1)</f>
        <v>2.2599999999999998</v>
      </c>
      <c r="N783">
        <f t="shared" si="99"/>
        <v>0</v>
      </c>
      <c r="O783">
        <f t="shared" si="100"/>
        <v>-2.4130630943291487E-2</v>
      </c>
      <c r="P783">
        <f t="shared" si="101"/>
        <v>0</v>
      </c>
      <c r="Q783">
        <f t="shared" si="102"/>
        <v>-1</v>
      </c>
    </row>
    <row r="784" spans="1:17">
      <c r="A784" s="1">
        <v>43598</v>
      </c>
      <c r="B784">
        <v>2811.87</v>
      </c>
      <c r="C784">
        <f t="shared" si="96"/>
        <v>-2.4130630943291487E-2</v>
      </c>
      <c r="D784">
        <f t="shared" si="103"/>
        <v>-2.3459585610991152E-2</v>
      </c>
      <c r="E784">
        <f>_xlfn.XLOOKUP(A784,VIX!A:A,VIX!B:B,"",-1)</f>
        <v>20.55</v>
      </c>
      <c r="F784">
        <f t="shared" si="97"/>
        <v>4.5100000000000016</v>
      </c>
      <c r="G784">
        <f>_xlfn.XLOOKUP(A784,'DGS10'!A:A,'DGS10'!B:B,"",-1)</f>
        <v>2.4</v>
      </c>
      <c r="H784">
        <f t="shared" si="98"/>
        <v>-7.0000000000000284E-2</v>
      </c>
      <c r="I784" s="2">
        <f>_xlfn.XLOOKUP(A784,T10Y3M!A:A,T10Y3M!B:B,"",-1)</f>
        <v>-0.01</v>
      </c>
      <c r="J784" s="2">
        <f>_xlfn.XLOOKUP(A784,BAMLC0A4CBBB!A:A,BAMLC0A4CBBB!B:B,"",-1)</f>
        <v>1.58</v>
      </c>
      <c r="K784" s="2">
        <f>_xlfn.XLOOKUP(A784,CPIAUCSL!A:A,CPIAUCSL!B:B,"",-1)</f>
        <v>255.29599999999999</v>
      </c>
      <c r="L784">
        <f>_xlfn.XLOOKUP(A784,DFF!A:A,DFF!B:B,"",-1)</f>
        <v>2.38</v>
      </c>
      <c r="M784">
        <f>_xlfn.XLOOKUP(A784,'DGS2'!A:A,'DGS2'!B:B,"",-1)</f>
        <v>2.1800000000000002</v>
      </c>
      <c r="N784">
        <f t="shared" si="99"/>
        <v>-7.9999999999999627E-2</v>
      </c>
      <c r="O784">
        <f t="shared" si="100"/>
        <v>8.016017810211773E-3</v>
      </c>
      <c r="P784">
        <f t="shared" si="101"/>
        <v>1</v>
      </c>
      <c r="Q784">
        <f t="shared" si="102"/>
        <v>1</v>
      </c>
    </row>
    <row r="785" spans="1:17">
      <c r="A785" s="1">
        <v>43599</v>
      </c>
      <c r="B785">
        <v>2834.41</v>
      </c>
      <c r="C785">
        <f t="shared" si="96"/>
        <v>8.016017810211773E-3</v>
      </c>
      <c r="D785">
        <f t="shared" si="103"/>
        <v>-1.2648394827778353E-2</v>
      </c>
      <c r="E785">
        <f>_xlfn.XLOOKUP(A785,VIX!A:A,VIX!B:B,"",-1)</f>
        <v>18.059999999999999</v>
      </c>
      <c r="F785">
        <f t="shared" si="97"/>
        <v>-2.490000000000002</v>
      </c>
      <c r="G785">
        <f>_xlfn.XLOOKUP(A785,'DGS10'!A:A,'DGS10'!B:B,"",-1)</f>
        <v>2.42</v>
      </c>
      <c r="H785">
        <f t="shared" si="98"/>
        <v>2.0000000000000018E-2</v>
      </c>
      <c r="I785" s="2">
        <f>_xlfn.XLOOKUP(A785,T10Y3M!A:A,T10Y3M!B:B,"",-1)</f>
        <v>0.01</v>
      </c>
      <c r="J785" s="2">
        <f>_xlfn.XLOOKUP(A785,BAMLC0A4CBBB!A:A,BAMLC0A4CBBB!B:B,"",-1)</f>
        <v>1.58</v>
      </c>
      <c r="K785" s="2">
        <f>_xlfn.XLOOKUP(A785,CPIAUCSL!A:A,CPIAUCSL!B:B,"",-1)</f>
        <v>255.29599999999999</v>
      </c>
      <c r="L785">
        <f>_xlfn.XLOOKUP(A785,DFF!A:A,DFF!B:B,"",-1)</f>
        <v>2.38</v>
      </c>
      <c r="M785">
        <f>_xlfn.XLOOKUP(A785,'DGS2'!A:A,'DGS2'!B:B,"",-1)</f>
        <v>2.2000000000000002</v>
      </c>
      <c r="N785">
        <f t="shared" si="99"/>
        <v>2.0000000000000018E-2</v>
      </c>
      <c r="O785">
        <f t="shared" si="100"/>
        <v>5.8389576666748599E-3</v>
      </c>
      <c r="P785">
        <f t="shared" si="101"/>
        <v>1</v>
      </c>
      <c r="Q785">
        <f t="shared" si="102"/>
        <v>1</v>
      </c>
    </row>
    <row r="786" spans="1:17">
      <c r="A786" s="1">
        <v>43600</v>
      </c>
      <c r="B786">
        <v>2850.96</v>
      </c>
      <c r="C786">
        <f t="shared" si="96"/>
        <v>5.8389576666748599E-3</v>
      </c>
      <c r="D786">
        <f t="shared" si="103"/>
        <v>-1.0564309016450335E-2</v>
      </c>
      <c r="E786">
        <f>_xlfn.XLOOKUP(A786,VIX!A:A,VIX!B:B,"",-1)</f>
        <v>16.440000000000001</v>
      </c>
      <c r="F786">
        <f t="shared" si="97"/>
        <v>-1.6199999999999974</v>
      </c>
      <c r="G786">
        <f>_xlfn.XLOOKUP(A786,'DGS10'!A:A,'DGS10'!B:B,"",-1)</f>
        <v>2.37</v>
      </c>
      <c r="H786">
        <f t="shared" si="98"/>
        <v>-4.9999999999999822E-2</v>
      </c>
      <c r="I786" s="2">
        <f>_xlfn.XLOOKUP(A786,T10Y3M!A:A,T10Y3M!B:B,"",-1)</f>
        <v>-0.05</v>
      </c>
      <c r="J786" s="2">
        <f>_xlfn.XLOOKUP(A786,BAMLC0A4CBBB!A:A,BAMLC0A4CBBB!B:B,"",-1)</f>
        <v>1.58</v>
      </c>
      <c r="K786" s="2">
        <f>_xlfn.XLOOKUP(A786,CPIAUCSL!A:A,CPIAUCSL!B:B,"",-1)</f>
        <v>255.29599999999999</v>
      </c>
      <c r="L786">
        <f>_xlfn.XLOOKUP(A786,DFF!A:A,DFF!B:B,"",-1)</f>
        <v>2.4</v>
      </c>
      <c r="M786">
        <f>_xlfn.XLOOKUP(A786,'DGS2'!A:A,'DGS2'!B:B,"",-1)</f>
        <v>2.16</v>
      </c>
      <c r="N786">
        <f t="shared" si="99"/>
        <v>-4.0000000000000036E-2</v>
      </c>
      <c r="O786">
        <f t="shared" si="100"/>
        <v>8.895249319527565E-3</v>
      </c>
      <c r="P786">
        <f t="shared" si="101"/>
        <v>1</v>
      </c>
      <c r="Q786">
        <f t="shared" si="102"/>
        <v>1</v>
      </c>
    </row>
    <row r="787" spans="1:17">
      <c r="A787" s="1">
        <v>43601</v>
      </c>
      <c r="B787">
        <v>2876.32</v>
      </c>
      <c r="C787">
        <f t="shared" si="96"/>
        <v>8.895249319527565E-3</v>
      </c>
      <c r="D787">
        <f t="shared" si="103"/>
        <v>2.2920689790068671E-2</v>
      </c>
      <c r="E787">
        <f>_xlfn.XLOOKUP(A787,VIX!A:A,VIX!B:B,"",-1)</f>
        <v>15.29</v>
      </c>
      <c r="F787">
        <f t="shared" si="97"/>
        <v>-1.1500000000000021</v>
      </c>
      <c r="G787">
        <f>_xlfn.XLOOKUP(A787,'DGS10'!A:A,'DGS10'!B:B,"",-1)</f>
        <v>2.4</v>
      </c>
      <c r="H787">
        <f t="shared" si="98"/>
        <v>2.9999999999999805E-2</v>
      </c>
      <c r="I787" s="2">
        <f>_xlfn.XLOOKUP(A787,T10Y3M!A:A,T10Y3M!B:B,"",-1)</f>
        <v>0</v>
      </c>
      <c r="J787" s="2">
        <f>_xlfn.XLOOKUP(A787,BAMLC0A4CBBB!A:A,BAMLC0A4CBBB!B:B,"",-1)</f>
        <v>1.57</v>
      </c>
      <c r="K787" s="2">
        <f>_xlfn.XLOOKUP(A787,CPIAUCSL!A:A,CPIAUCSL!B:B,"",-1)</f>
        <v>255.29599999999999</v>
      </c>
      <c r="L787">
        <f>_xlfn.XLOOKUP(A787,DFF!A:A,DFF!B:B,"",-1)</f>
        <v>2.39</v>
      </c>
      <c r="M787">
        <f>_xlfn.XLOOKUP(A787,'DGS2'!A:A,'DGS2'!B:B,"",-1)</f>
        <v>2.2000000000000002</v>
      </c>
      <c r="N787">
        <f t="shared" si="99"/>
        <v>4.0000000000000036E-2</v>
      </c>
      <c r="O787">
        <f t="shared" si="100"/>
        <v>-5.8373199087723426E-3</v>
      </c>
      <c r="P787">
        <f t="shared" si="101"/>
        <v>0</v>
      </c>
      <c r="Q787">
        <f t="shared" si="102"/>
        <v>-1</v>
      </c>
    </row>
    <row r="788" spans="1:17">
      <c r="A788" s="1">
        <v>43602</v>
      </c>
      <c r="B788">
        <v>2859.53</v>
      </c>
      <c r="C788">
        <f t="shared" si="96"/>
        <v>-5.8373199087723426E-3</v>
      </c>
      <c r="D788">
        <f t="shared" si="103"/>
        <v>8.8625145973943997E-3</v>
      </c>
      <c r="E788">
        <f>_xlfn.XLOOKUP(A788,VIX!A:A,VIX!B:B,"",-1)</f>
        <v>15.96</v>
      </c>
      <c r="F788">
        <f t="shared" si="97"/>
        <v>0.67000000000000171</v>
      </c>
      <c r="G788">
        <f>_xlfn.XLOOKUP(A788,'DGS10'!A:A,'DGS10'!B:B,"",-1)</f>
        <v>2.39</v>
      </c>
      <c r="H788">
        <f t="shared" si="98"/>
        <v>-9.9999999999997868E-3</v>
      </c>
      <c r="I788" s="2">
        <f>_xlfn.XLOOKUP(A788,T10Y3M!A:A,T10Y3M!B:B,"",-1)</f>
        <v>0</v>
      </c>
      <c r="J788" s="2">
        <f>_xlfn.XLOOKUP(A788,BAMLC0A4CBBB!A:A,BAMLC0A4CBBB!B:B,"",-1)</f>
        <v>1.58</v>
      </c>
      <c r="K788" s="2">
        <f>_xlfn.XLOOKUP(A788,CPIAUCSL!A:A,CPIAUCSL!B:B,"",-1)</f>
        <v>255.29599999999999</v>
      </c>
      <c r="L788">
        <f>_xlfn.XLOOKUP(A788,DFF!A:A,DFF!B:B,"",-1)</f>
        <v>2.39</v>
      </c>
      <c r="M788">
        <f>_xlfn.XLOOKUP(A788,'DGS2'!A:A,'DGS2'!B:B,"",-1)</f>
        <v>2.2000000000000002</v>
      </c>
      <c r="N788">
        <f t="shared" si="99"/>
        <v>0</v>
      </c>
      <c r="O788">
        <f t="shared" si="100"/>
        <v>-6.749360908960611E-3</v>
      </c>
      <c r="P788">
        <f t="shared" si="101"/>
        <v>0</v>
      </c>
      <c r="Q788">
        <f t="shared" si="102"/>
        <v>-1</v>
      </c>
    </row>
    <row r="789" spans="1:17">
      <c r="A789" s="1">
        <v>43605</v>
      </c>
      <c r="B789">
        <v>2840.23</v>
      </c>
      <c r="C789">
        <f t="shared" si="96"/>
        <v>-6.749360908960611E-3</v>
      </c>
      <c r="D789">
        <f t="shared" si="103"/>
        <v>-3.7636445267559271E-3</v>
      </c>
      <c r="E789">
        <f>_xlfn.XLOOKUP(A789,VIX!A:A,VIX!B:B,"",-1)</f>
        <v>16.309999999999999</v>
      </c>
      <c r="F789">
        <f t="shared" si="97"/>
        <v>0.34999999999999787</v>
      </c>
      <c r="G789">
        <f>_xlfn.XLOOKUP(A789,'DGS10'!A:A,'DGS10'!B:B,"",-1)</f>
        <v>2.41</v>
      </c>
      <c r="H789">
        <f t="shared" si="98"/>
        <v>2.0000000000000018E-2</v>
      </c>
      <c r="I789" s="2">
        <f>_xlfn.XLOOKUP(A789,T10Y3M!A:A,T10Y3M!B:B,"",-1)</f>
        <v>0.02</v>
      </c>
      <c r="J789" s="2">
        <f>_xlfn.XLOOKUP(A789,BAMLC0A4CBBB!A:A,BAMLC0A4CBBB!B:B,"",-1)</f>
        <v>1.58</v>
      </c>
      <c r="K789" s="2">
        <f>_xlfn.XLOOKUP(A789,CPIAUCSL!A:A,CPIAUCSL!B:B,"",-1)</f>
        <v>255.29599999999999</v>
      </c>
      <c r="L789">
        <f>_xlfn.XLOOKUP(A789,DFF!A:A,DFF!B:B,"",-1)</f>
        <v>2.39</v>
      </c>
      <c r="M789">
        <f>_xlfn.XLOOKUP(A789,'DGS2'!A:A,'DGS2'!B:B,"",-1)</f>
        <v>2.21</v>
      </c>
      <c r="N789">
        <f t="shared" si="99"/>
        <v>9.9999999999997868E-3</v>
      </c>
      <c r="O789">
        <f t="shared" si="100"/>
        <v>8.4957908338409993E-3</v>
      </c>
      <c r="P789">
        <f t="shared" si="101"/>
        <v>1</v>
      </c>
      <c r="Q789">
        <f t="shared" si="102"/>
        <v>1</v>
      </c>
    </row>
    <row r="790" spans="1:17">
      <c r="A790" s="1">
        <v>43606</v>
      </c>
      <c r="B790">
        <v>2864.36</v>
      </c>
      <c r="C790">
        <f t="shared" si="96"/>
        <v>8.4957908338409993E-3</v>
      </c>
      <c r="D790">
        <f t="shared" si="103"/>
        <v>-4.1580908939200523E-3</v>
      </c>
      <c r="E790">
        <f>_xlfn.XLOOKUP(A790,VIX!A:A,VIX!B:B,"",-1)</f>
        <v>14.95</v>
      </c>
      <c r="F790">
        <f t="shared" si="97"/>
        <v>-1.3599999999999994</v>
      </c>
      <c r="G790">
        <f>_xlfn.XLOOKUP(A790,'DGS10'!A:A,'DGS10'!B:B,"",-1)</f>
        <v>2.4300000000000002</v>
      </c>
      <c r="H790">
        <f t="shared" si="98"/>
        <v>2.0000000000000018E-2</v>
      </c>
      <c r="I790" s="2">
        <f>_xlfn.XLOOKUP(A790,T10Y3M!A:A,T10Y3M!B:B,"",-1)</f>
        <v>0.04</v>
      </c>
      <c r="J790" s="2">
        <f>_xlfn.XLOOKUP(A790,BAMLC0A4CBBB!A:A,BAMLC0A4CBBB!B:B,"",-1)</f>
        <v>1.58</v>
      </c>
      <c r="K790" s="2">
        <f>_xlfn.XLOOKUP(A790,CPIAUCSL!A:A,CPIAUCSL!B:B,"",-1)</f>
        <v>255.29599999999999</v>
      </c>
      <c r="L790">
        <f>_xlfn.XLOOKUP(A790,DFF!A:A,DFF!B:B,"",-1)</f>
        <v>2.39</v>
      </c>
      <c r="M790">
        <f>_xlfn.XLOOKUP(A790,'DGS2'!A:A,'DGS2'!B:B,"",-1)</f>
        <v>2.2599999999999998</v>
      </c>
      <c r="N790">
        <f t="shared" si="99"/>
        <v>4.9999999999999822E-2</v>
      </c>
      <c r="O790">
        <f t="shared" si="100"/>
        <v>-2.8243656523622152E-3</v>
      </c>
      <c r="P790">
        <f t="shared" si="101"/>
        <v>0</v>
      </c>
      <c r="Q790">
        <f t="shared" si="102"/>
        <v>0</v>
      </c>
    </row>
    <row r="791" spans="1:17">
      <c r="A791" s="1">
        <v>43607</v>
      </c>
      <c r="B791">
        <v>2856.27</v>
      </c>
      <c r="C791">
        <f t="shared" si="96"/>
        <v>-2.8243656523622152E-3</v>
      </c>
      <c r="D791">
        <f t="shared" si="103"/>
        <v>-1.1400474903219271E-3</v>
      </c>
      <c r="E791">
        <f>_xlfn.XLOOKUP(A791,VIX!A:A,VIX!B:B,"",-1)</f>
        <v>14.75</v>
      </c>
      <c r="F791">
        <f t="shared" si="97"/>
        <v>-0.19999999999999929</v>
      </c>
      <c r="G791">
        <f>_xlfn.XLOOKUP(A791,'DGS10'!A:A,'DGS10'!B:B,"",-1)</f>
        <v>2.39</v>
      </c>
      <c r="H791">
        <f t="shared" si="98"/>
        <v>-4.0000000000000036E-2</v>
      </c>
      <c r="I791" s="2">
        <f>_xlfn.XLOOKUP(A791,T10Y3M!A:A,T10Y3M!B:B,"",-1)</f>
        <v>0.01</v>
      </c>
      <c r="J791" s="2">
        <f>_xlfn.XLOOKUP(A791,BAMLC0A4CBBB!A:A,BAMLC0A4CBBB!B:B,"",-1)</f>
        <v>1.59</v>
      </c>
      <c r="K791" s="2">
        <f>_xlfn.XLOOKUP(A791,CPIAUCSL!A:A,CPIAUCSL!B:B,"",-1)</f>
        <v>255.29599999999999</v>
      </c>
      <c r="L791">
        <f>_xlfn.XLOOKUP(A791,DFF!A:A,DFF!B:B,"",-1)</f>
        <v>2.38</v>
      </c>
      <c r="M791">
        <f>_xlfn.XLOOKUP(A791,'DGS2'!A:A,'DGS2'!B:B,"",-1)</f>
        <v>2.23</v>
      </c>
      <c r="N791">
        <f t="shared" si="99"/>
        <v>-2.9999999999999805E-2</v>
      </c>
      <c r="O791">
        <f t="shared" si="100"/>
        <v>-1.1914139769699683E-2</v>
      </c>
      <c r="P791">
        <f t="shared" si="101"/>
        <v>0</v>
      </c>
      <c r="Q791">
        <f t="shared" si="102"/>
        <v>-1</v>
      </c>
    </row>
    <row r="792" spans="1:17">
      <c r="A792" s="1">
        <v>43608</v>
      </c>
      <c r="B792">
        <v>2822.24</v>
      </c>
      <c r="C792">
        <f t="shared" si="96"/>
        <v>-1.1914139769699683E-2</v>
      </c>
      <c r="D792">
        <f t="shared" si="103"/>
        <v>-6.3339940779444381E-3</v>
      </c>
      <c r="E792">
        <f>_xlfn.XLOOKUP(A792,VIX!A:A,VIX!B:B,"",-1)</f>
        <v>16.920000000000002</v>
      </c>
      <c r="F792">
        <f t="shared" si="97"/>
        <v>2.1700000000000017</v>
      </c>
      <c r="G792">
        <f>_xlfn.XLOOKUP(A792,'DGS10'!A:A,'DGS10'!B:B,"",-1)</f>
        <v>2.31</v>
      </c>
      <c r="H792">
        <f t="shared" si="98"/>
        <v>-8.0000000000000071E-2</v>
      </c>
      <c r="I792" s="2">
        <f>_xlfn.XLOOKUP(A792,T10Y3M!A:A,T10Y3M!B:B,"",-1)</f>
        <v>-0.06</v>
      </c>
      <c r="J792" s="2">
        <f>_xlfn.XLOOKUP(A792,BAMLC0A4CBBB!A:A,BAMLC0A4CBBB!B:B,"",-1)</f>
        <v>1.63</v>
      </c>
      <c r="K792" s="2">
        <f>_xlfn.XLOOKUP(A792,CPIAUCSL!A:A,CPIAUCSL!B:B,"",-1)</f>
        <v>255.29599999999999</v>
      </c>
      <c r="L792">
        <f>_xlfn.XLOOKUP(A792,DFF!A:A,DFF!B:B,"",-1)</f>
        <v>2.38</v>
      </c>
      <c r="M792">
        <f>_xlfn.XLOOKUP(A792,'DGS2'!A:A,'DGS2'!B:B,"",-1)</f>
        <v>2.12</v>
      </c>
      <c r="N792">
        <f t="shared" si="99"/>
        <v>-0.10999999999999988</v>
      </c>
      <c r="O792">
        <f t="shared" si="100"/>
        <v>1.353534780883292E-3</v>
      </c>
      <c r="P792">
        <f t="shared" si="101"/>
        <v>1</v>
      </c>
      <c r="Q792">
        <f t="shared" si="102"/>
        <v>0</v>
      </c>
    </row>
    <row r="793" spans="1:17">
      <c r="A793" s="1">
        <v>43609</v>
      </c>
      <c r="B793">
        <v>2826.06</v>
      </c>
      <c r="C793">
        <f t="shared" si="96"/>
        <v>1.353534780883292E-3</v>
      </c>
      <c r="D793">
        <f t="shared" si="103"/>
        <v>-1.3371224287449968E-2</v>
      </c>
      <c r="E793">
        <f>_xlfn.XLOOKUP(A793,VIX!A:A,VIX!B:B,"",-1)</f>
        <v>15.85</v>
      </c>
      <c r="F793">
        <f t="shared" si="97"/>
        <v>-1.0700000000000021</v>
      </c>
      <c r="G793">
        <f>_xlfn.XLOOKUP(A793,'DGS10'!A:A,'DGS10'!B:B,"",-1)</f>
        <v>2.3199999999999998</v>
      </c>
      <c r="H793">
        <f t="shared" si="98"/>
        <v>9.9999999999997868E-3</v>
      </c>
      <c r="I793" s="2">
        <f>_xlfn.XLOOKUP(A793,T10Y3M!A:A,T10Y3M!B:B,"",-1)</f>
        <v>-0.03</v>
      </c>
      <c r="J793" s="2">
        <f>_xlfn.XLOOKUP(A793,BAMLC0A4CBBB!A:A,BAMLC0A4CBBB!B:B,"",-1)</f>
        <v>1.62</v>
      </c>
      <c r="K793" s="2">
        <f>_xlfn.XLOOKUP(A793,CPIAUCSL!A:A,CPIAUCSL!B:B,"",-1)</f>
        <v>255.29599999999999</v>
      </c>
      <c r="L793">
        <f>_xlfn.XLOOKUP(A793,DFF!A:A,DFF!B:B,"",-1)</f>
        <v>2.38</v>
      </c>
      <c r="M793">
        <f>_xlfn.XLOOKUP(A793,'DGS2'!A:A,'DGS2'!B:B,"",-1)</f>
        <v>2.16</v>
      </c>
      <c r="N793">
        <f t="shared" si="99"/>
        <v>4.0000000000000036E-2</v>
      </c>
      <c r="O793">
        <f t="shared" si="100"/>
        <v>-8.3756183520520278E-3</v>
      </c>
      <c r="P793">
        <f t="shared" si="101"/>
        <v>0</v>
      </c>
      <c r="Q793">
        <f t="shared" si="102"/>
        <v>-1</v>
      </c>
    </row>
    <row r="794" spans="1:17">
      <c r="A794" s="1">
        <v>43613</v>
      </c>
      <c r="B794">
        <v>2802.39</v>
      </c>
      <c r="C794">
        <f t="shared" si="96"/>
        <v>-8.3756183520520278E-3</v>
      </c>
      <c r="D794">
        <f t="shared" si="103"/>
        <v>-1.8863762879559709E-2</v>
      </c>
      <c r="E794">
        <f>_xlfn.XLOOKUP(A794,VIX!A:A,VIX!B:B,"",-1)</f>
        <v>17.5</v>
      </c>
      <c r="F794">
        <f t="shared" si="97"/>
        <v>1.6500000000000004</v>
      </c>
      <c r="G794">
        <f>_xlfn.XLOOKUP(A794,'DGS10'!A:A,'DGS10'!B:B,"",-1)</f>
        <v>2.2599999999999998</v>
      </c>
      <c r="H794">
        <f t="shared" si="98"/>
        <v>-6.0000000000000053E-2</v>
      </c>
      <c r="I794" s="2">
        <f>_xlfn.XLOOKUP(A794,T10Y3M!A:A,T10Y3M!B:B,"",-1)</f>
        <v>-0.11</v>
      </c>
      <c r="J794" s="2">
        <f>_xlfn.XLOOKUP(A794,BAMLC0A4CBBB!A:A,BAMLC0A4CBBB!B:B,"",-1)</f>
        <v>1.64</v>
      </c>
      <c r="K794" s="2">
        <f>_xlfn.XLOOKUP(A794,CPIAUCSL!A:A,CPIAUCSL!B:B,"",-1)</f>
        <v>255.29599999999999</v>
      </c>
      <c r="L794">
        <f>_xlfn.XLOOKUP(A794,DFF!A:A,DFF!B:B,"",-1)</f>
        <v>2.39</v>
      </c>
      <c r="M794">
        <f>_xlfn.XLOOKUP(A794,'DGS2'!A:A,'DGS2'!B:B,"",-1)</f>
        <v>2.12</v>
      </c>
      <c r="N794">
        <f t="shared" si="99"/>
        <v>-4.0000000000000036E-2</v>
      </c>
      <c r="O794">
        <f t="shared" si="100"/>
        <v>-6.9119572935958384E-3</v>
      </c>
      <c r="P794">
        <f t="shared" si="101"/>
        <v>0</v>
      </c>
      <c r="Q794">
        <f t="shared" si="102"/>
        <v>-1</v>
      </c>
    </row>
    <row r="795" spans="1:17">
      <c r="A795" s="1">
        <v>43614</v>
      </c>
      <c r="B795">
        <v>2783.02</v>
      </c>
      <c r="C795">
        <f t="shared" si="96"/>
        <v>-6.9119572935958384E-3</v>
      </c>
      <c r="D795">
        <f t="shared" si="103"/>
        <v>-1.3896762855037048E-2</v>
      </c>
      <c r="E795">
        <f>_xlfn.XLOOKUP(A795,VIX!A:A,VIX!B:B,"",-1)</f>
        <v>17.899999999999999</v>
      </c>
      <c r="F795">
        <f t="shared" si="97"/>
        <v>0.39999999999999858</v>
      </c>
      <c r="G795">
        <f>_xlfn.XLOOKUP(A795,'DGS10'!A:A,'DGS10'!B:B,"",-1)</f>
        <v>2.25</v>
      </c>
      <c r="H795">
        <f t="shared" si="98"/>
        <v>-9.9999999999997868E-3</v>
      </c>
      <c r="I795" s="2">
        <f>_xlfn.XLOOKUP(A795,T10Y3M!A:A,T10Y3M!B:B,"",-1)</f>
        <v>-0.12</v>
      </c>
      <c r="J795" s="2">
        <f>_xlfn.XLOOKUP(A795,BAMLC0A4CBBB!A:A,BAMLC0A4CBBB!B:B,"",-1)</f>
        <v>1.68</v>
      </c>
      <c r="K795" s="2">
        <f>_xlfn.XLOOKUP(A795,CPIAUCSL!A:A,CPIAUCSL!B:B,"",-1)</f>
        <v>255.29599999999999</v>
      </c>
      <c r="L795">
        <f>_xlfn.XLOOKUP(A795,DFF!A:A,DFF!B:B,"",-1)</f>
        <v>2.39</v>
      </c>
      <c r="M795">
        <f>_xlfn.XLOOKUP(A795,'DGS2'!A:A,'DGS2'!B:B,"",-1)</f>
        <v>2.09</v>
      </c>
      <c r="N795">
        <f t="shared" si="99"/>
        <v>-3.0000000000000249E-2</v>
      </c>
      <c r="O795">
        <f t="shared" si="100"/>
        <v>2.0984398243635294E-3</v>
      </c>
      <c r="P795">
        <f t="shared" si="101"/>
        <v>1</v>
      </c>
      <c r="Q795">
        <f t="shared" si="102"/>
        <v>0</v>
      </c>
    </row>
    <row r="796" spans="1:17">
      <c r="A796" s="1">
        <v>43615</v>
      </c>
      <c r="B796">
        <v>2788.86</v>
      </c>
      <c r="C796">
        <f t="shared" si="96"/>
        <v>2.0984398243635294E-3</v>
      </c>
      <c r="D796">
        <f t="shared" si="103"/>
        <v>-1.3163202479777425E-2</v>
      </c>
      <c r="E796">
        <f>_xlfn.XLOOKUP(A796,VIX!A:A,VIX!B:B,"",-1)</f>
        <v>17.3</v>
      </c>
      <c r="F796">
        <f t="shared" si="97"/>
        <v>-0.59999999999999787</v>
      </c>
      <c r="G796">
        <f>_xlfn.XLOOKUP(A796,'DGS10'!A:A,'DGS10'!B:B,"",-1)</f>
        <v>2.2200000000000002</v>
      </c>
      <c r="H796">
        <f t="shared" si="98"/>
        <v>-2.9999999999999805E-2</v>
      </c>
      <c r="I796" s="2">
        <f>_xlfn.XLOOKUP(A796,T10Y3M!A:A,T10Y3M!B:B,"",-1)</f>
        <v>-0.16</v>
      </c>
      <c r="J796" s="2">
        <f>_xlfn.XLOOKUP(A796,BAMLC0A4CBBB!A:A,BAMLC0A4CBBB!B:B,"",-1)</f>
        <v>1.67</v>
      </c>
      <c r="K796" s="2">
        <f>_xlfn.XLOOKUP(A796,CPIAUCSL!A:A,CPIAUCSL!B:B,"",-1)</f>
        <v>255.29599999999999</v>
      </c>
      <c r="L796">
        <f>_xlfn.XLOOKUP(A796,DFF!A:A,DFF!B:B,"",-1)</f>
        <v>2.39</v>
      </c>
      <c r="M796">
        <f>_xlfn.XLOOKUP(A796,'DGS2'!A:A,'DGS2'!B:B,"",-1)</f>
        <v>2.06</v>
      </c>
      <c r="N796">
        <f t="shared" si="99"/>
        <v>-2.9999999999999805E-2</v>
      </c>
      <c r="O796">
        <f t="shared" si="100"/>
        <v>-1.3195355808466647E-2</v>
      </c>
      <c r="P796">
        <f t="shared" si="101"/>
        <v>0</v>
      </c>
      <c r="Q796">
        <f t="shared" si="102"/>
        <v>-1</v>
      </c>
    </row>
    <row r="797" spans="1:17">
      <c r="A797" s="1">
        <v>43616</v>
      </c>
      <c r="B797">
        <v>2752.06</v>
      </c>
      <c r="C797">
        <f t="shared" si="96"/>
        <v>-1.3195355808466647E-2</v>
      </c>
      <c r="D797">
        <f t="shared" si="103"/>
        <v>-1.7959670138703032E-2</v>
      </c>
      <c r="E797">
        <f>_xlfn.XLOOKUP(A797,VIX!A:A,VIX!B:B,"",-1)</f>
        <v>18.71</v>
      </c>
      <c r="F797">
        <f t="shared" si="97"/>
        <v>1.4100000000000001</v>
      </c>
      <c r="G797">
        <f>_xlfn.XLOOKUP(A797,'DGS10'!A:A,'DGS10'!B:B,"",-1)</f>
        <v>2.14</v>
      </c>
      <c r="H797">
        <f t="shared" si="98"/>
        <v>-8.0000000000000071E-2</v>
      </c>
      <c r="I797" s="2">
        <f>_xlfn.XLOOKUP(A797,T10Y3M!A:A,T10Y3M!B:B,"",-1)</f>
        <v>-0.21</v>
      </c>
      <c r="J797" s="2">
        <f>_xlfn.XLOOKUP(A797,BAMLC0A4CBBB!A:A,BAMLC0A4CBBB!B:B,"",-1)</f>
        <v>1.71</v>
      </c>
      <c r="K797" s="2">
        <f>_xlfn.XLOOKUP(A797,CPIAUCSL!A:A,CPIAUCSL!B:B,"",-1)</f>
        <v>255.29599999999999</v>
      </c>
      <c r="L797">
        <f>_xlfn.XLOOKUP(A797,DFF!A:A,DFF!B:B,"",-1)</f>
        <v>2.4</v>
      </c>
      <c r="M797">
        <f>_xlfn.XLOOKUP(A797,'DGS2'!A:A,'DGS2'!B:B,"",-1)</f>
        <v>1.95</v>
      </c>
      <c r="N797">
        <f t="shared" si="99"/>
        <v>-0.1100000000000001</v>
      </c>
      <c r="O797">
        <f t="shared" si="100"/>
        <v>-2.7652013400870645E-3</v>
      </c>
      <c r="P797">
        <f t="shared" si="101"/>
        <v>0</v>
      </c>
      <c r="Q797">
        <f t="shared" si="102"/>
        <v>0</v>
      </c>
    </row>
    <row r="798" spans="1:17">
      <c r="A798" s="1">
        <v>43619</v>
      </c>
      <c r="B798">
        <v>2744.45</v>
      </c>
      <c r="C798">
        <f t="shared" si="96"/>
        <v>-2.7652013400870645E-3</v>
      </c>
      <c r="D798">
        <f t="shared" si="103"/>
        <v>-1.3859045209880017E-2</v>
      </c>
      <c r="E798">
        <f>_xlfn.XLOOKUP(A798,VIX!A:A,VIX!B:B,"",-1)</f>
        <v>18.86</v>
      </c>
      <c r="F798">
        <f t="shared" si="97"/>
        <v>0.14999999999999858</v>
      </c>
      <c r="G798">
        <f>_xlfn.XLOOKUP(A798,'DGS10'!A:A,'DGS10'!B:B,"",-1)</f>
        <v>2.0699999999999998</v>
      </c>
      <c r="H798">
        <f t="shared" si="98"/>
        <v>-7.0000000000000284E-2</v>
      </c>
      <c r="I798" s="2">
        <f>_xlfn.XLOOKUP(A798,T10Y3M!A:A,T10Y3M!B:B,"",-1)</f>
        <v>-0.28000000000000003</v>
      </c>
      <c r="J798" s="2">
        <f>_xlfn.XLOOKUP(A798,BAMLC0A4CBBB!A:A,BAMLC0A4CBBB!B:B,"",-1)</f>
        <v>1.73</v>
      </c>
      <c r="K798" s="2">
        <f>_xlfn.XLOOKUP(A798,CPIAUCSL!A:A,CPIAUCSL!B:B,"",-1)</f>
        <v>255.21299999999999</v>
      </c>
      <c r="L798">
        <f>_xlfn.XLOOKUP(A798,DFF!A:A,DFF!B:B,"",-1)</f>
        <v>2.38</v>
      </c>
      <c r="M798">
        <f>_xlfn.XLOOKUP(A798,'DGS2'!A:A,'DGS2'!B:B,"",-1)</f>
        <v>1.82</v>
      </c>
      <c r="N798">
        <f t="shared" si="99"/>
        <v>-0.12999999999999989</v>
      </c>
      <c r="O798">
        <f t="shared" si="100"/>
        <v>2.1432345278653342E-2</v>
      </c>
      <c r="P798">
        <f t="shared" si="101"/>
        <v>1</v>
      </c>
      <c r="Q798">
        <f t="shared" si="102"/>
        <v>1</v>
      </c>
    </row>
    <row r="799" spans="1:17">
      <c r="A799" s="1">
        <v>43620</v>
      </c>
      <c r="B799">
        <v>2803.27</v>
      </c>
      <c r="C799">
        <f t="shared" si="96"/>
        <v>2.1432345278653342E-2</v>
      </c>
      <c r="D799">
        <f t="shared" si="103"/>
        <v>5.1669857934781849E-3</v>
      </c>
      <c r="E799">
        <f>_xlfn.XLOOKUP(A799,VIX!A:A,VIX!B:B,"",-1)</f>
        <v>16.97</v>
      </c>
      <c r="F799">
        <f t="shared" si="97"/>
        <v>-1.8900000000000006</v>
      </c>
      <c r="G799">
        <f>_xlfn.XLOOKUP(A799,'DGS10'!A:A,'DGS10'!B:B,"",-1)</f>
        <v>2.12</v>
      </c>
      <c r="H799">
        <f t="shared" si="98"/>
        <v>5.0000000000000266E-2</v>
      </c>
      <c r="I799" s="2">
        <f>_xlfn.XLOOKUP(A799,T10Y3M!A:A,T10Y3M!B:B,"",-1)</f>
        <v>-0.23</v>
      </c>
      <c r="J799" s="2">
        <f>_xlfn.XLOOKUP(A799,BAMLC0A4CBBB!A:A,BAMLC0A4CBBB!B:B,"",-1)</f>
        <v>1.72</v>
      </c>
      <c r="K799" s="2">
        <f>_xlfn.XLOOKUP(A799,CPIAUCSL!A:A,CPIAUCSL!B:B,"",-1)</f>
        <v>255.21299999999999</v>
      </c>
      <c r="L799">
        <f>_xlfn.XLOOKUP(A799,DFF!A:A,DFF!B:B,"",-1)</f>
        <v>2.38</v>
      </c>
      <c r="M799">
        <f>_xlfn.XLOOKUP(A799,'DGS2'!A:A,'DGS2'!B:B,"",-1)</f>
        <v>1.88</v>
      </c>
      <c r="N799">
        <f t="shared" si="99"/>
        <v>5.9999999999999831E-2</v>
      </c>
      <c r="O799">
        <f t="shared" si="100"/>
        <v>8.1618966421357353E-3</v>
      </c>
      <c r="P799">
        <f t="shared" si="101"/>
        <v>1</v>
      </c>
      <c r="Q799">
        <f t="shared" si="102"/>
        <v>1</v>
      </c>
    </row>
    <row r="800" spans="1:17">
      <c r="A800" s="1">
        <v>43621</v>
      </c>
      <c r="B800">
        <v>2826.15</v>
      </c>
      <c r="C800">
        <f t="shared" si="96"/>
        <v>8.1618966421357353E-3</v>
      </c>
      <c r="D800">
        <f t="shared" si="103"/>
        <v>2.6921651417483705E-2</v>
      </c>
      <c r="E800">
        <f>_xlfn.XLOOKUP(A800,VIX!A:A,VIX!B:B,"",-1)</f>
        <v>16.09</v>
      </c>
      <c r="F800">
        <f t="shared" si="97"/>
        <v>-0.87999999999999901</v>
      </c>
      <c r="G800">
        <f>_xlfn.XLOOKUP(A800,'DGS10'!A:A,'DGS10'!B:B,"",-1)</f>
        <v>2.12</v>
      </c>
      <c r="H800">
        <f t="shared" si="98"/>
        <v>0</v>
      </c>
      <c r="I800" s="2">
        <f>_xlfn.XLOOKUP(A800,T10Y3M!A:A,T10Y3M!B:B,"",-1)</f>
        <v>-0.23</v>
      </c>
      <c r="J800" s="2">
        <f>_xlfn.XLOOKUP(A800,BAMLC0A4CBBB!A:A,BAMLC0A4CBBB!B:B,"",-1)</f>
        <v>1.7</v>
      </c>
      <c r="K800" s="2">
        <f>_xlfn.XLOOKUP(A800,CPIAUCSL!A:A,CPIAUCSL!B:B,"",-1)</f>
        <v>255.21299999999999</v>
      </c>
      <c r="L800">
        <f>_xlfn.XLOOKUP(A800,DFF!A:A,DFF!B:B,"",-1)</f>
        <v>2.38</v>
      </c>
      <c r="M800">
        <f>_xlfn.XLOOKUP(A800,'DGS2'!A:A,'DGS2'!B:B,"",-1)</f>
        <v>1.83</v>
      </c>
      <c r="N800">
        <f t="shared" si="99"/>
        <v>-4.9999999999999822E-2</v>
      </c>
      <c r="O800">
        <f t="shared" si="100"/>
        <v>6.1355554376094634E-3</v>
      </c>
      <c r="P800">
        <f t="shared" si="101"/>
        <v>1</v>
      </c>
      <c r="Q800">
        <f t="shared" si="102"/>
        <v>1</v>
      </c>
    </row>
    <row r="801" spans="1:17">
      <c r="A801" s="1">
        <v>43622</v>
      </c>
      <c r="B801">
        <v>2843.49</v>
      </c>
      <c r="C801">
        <f t="shared" si="96"/>
        <v>6.1355554376094634E-3</v>
      </c>
      <c r="D801">
        <f t="shared" si="103"/>
        <v>3.6087376341343402E-2</v>
      </c>
      <c r="E801">
        <f>_xlfn.XLOOKUP(A801,VIX!A:A,VIX!B:B,"",-1)</f>
        <v>15.93</v>
      </c>
      <c r="F801">
        <f t="shared" si="97"/>
        <v>-0.16000000000000014</v>
      </c>
      <c r="G801">
        <f>_xlfn.XLOOKUP(A801,'DGS10'!A:A,'DGS10'!B:B,"",-1)</f>
        <v>2.12</v>
      </c>
      <c r="H801">
        <f t="shared" si="98"/>
        <v>0</v>
      </c>
      <c r="I801" s="2">
        <f>_xlfn.XLOOKUP(A801,T10Y3M!A:A,T10Y3M!B:B,"",-1)</f>
        <v>-0.21</v>
      </c>
      <c r="J801" s="2">
        <f>_xlfn.XLOOKUP(A801,BAMLC0A4CBBB!A:A,BAMLC0A4CBBB!B:B,"",-1)</f>
        <v>1.71</v>
      </c>
      <c r="K801" s="2">
        <f>_xlfn.XLOOKUP(A801,CPIAUCSL!A:A,CPIAUCSL!B:B,"",-1)</f>
        <v>255.21299999999999</v>
      </c>
      <c r="L801">
        <f>_xlfn.XLOOKUP(A801,DFF!A:A,DFF!B:B,"",-1)</f>
        <v>2.37</v>
      </c>
      <c r="M801">
        <f>_xlfn.XLOOKUP(A801,'DGS2'!A:A,'DGS2'!B:B,"",-1)</f>
        <v>1.88</v>
      </c>
      <c r="N801">
        <f t="shared" si="99"/>
        <v>4.9999999999999822E-2</v>
      </c>
      <c r="O801">
        <f t="shared" si="100"/>
        <v>1.0497663083042452E-2</v>
      </c>
      <c r="P801">
        <f t="shared" si="101"/>
        <v>1</v>
      </c>
      <c r="Q801">
        <f t="shared" si="102"/>
        <v>1</v>
      </c>
    </row>
    <row r="802" spans="1:17">
      <c r="A802" s="1">
        <v>43623</v>
      </c>
      <c r="B802">
        <v>2873.34</v>
      </c>
      <c r="C802">
        <f t="shared" si="96"/>
        <v>1.0497663083042452E-2</v>
      </c>
      <c r="D802">
        <f t="shared" si="103"/>
        <v>2.4995808466540925E-2</v>
      </c>
      <c r="E802">
        <f>_xlfn.XLOOKUP(A802,VIX!A:A,VIX!B:B,"",-1)</f>
        <v>16.3</v>
      </c>
      <c r="F802">
        <f t="shared" si="97"/>
        <v>0.37000000000000099</v>
      </c>
      <c r="G802">
        <f>_xlfn.XLOOKUP(A802,'DGS10'!A:A,'DGS10'!B:B,"",-1)</f>
        <v>2.09</v>
      </c>
      <c r="H802">
        <f t="shared" si="98"/>
        <v>-3.0000000000000249E-2</v>
      </c>
      <c r="I802" s="2">
        <f>_xlfn.XLOOKUP(A802,T10Y3M!A:A,T10Y3M!B:B,"",-1)</f>
        <v>-0.19</v>
      </c>
      <c r="J802" s="2">
        <f>_xlfn.XLOOKUP(A802,BAMLC0A4CBBB!A:A,BAMLC0A4CBBB!B:B,"",-1)</f>
        <v>1.71</v>
      </c>
      <c r="K802" s="2">
        <f>_xlfn.XLOOKUP(A802,CPIAUCSL!A:A,CPIAUCSL!B:B,"",-1)</f>
        <v>255.21299999999999</v>
      </c>
      <c r="L802">
        <f>_xlfn.XLOOKUP(A802,DFF!A:A,DFF!B:B,"",-1)</f>
        <v>2.37</v>
      </c>
      <c r="M802">
        <f>_xlfn.XLOOKUP(A802,'DGS2'!A:A,'DGS2'!B:B,"",-1)</f>
        <v>1.85</v>
      </c>
      <c r="N802">
        <f t="shared" si="99"/>
        <v>-2.9999999999999805E-2</v>
      </c>
      <c r="O802">
        <f t="shared" si="100"/>
        <v>4.6600819951694294E-3</v>
      </c>
      <c r="P802">
        <f t="shared" si="101"/>
        <v>1</v>
      </c>
      <c r="Q802">
        <f t="shared" si="102"/>
        <v>1</v>
      </c>
    </row>
    <row r="803" spans="1:17">
      <c r="A803" s="1">
        <v>43626</v>
      </c>
      <c r="B803">
        <v>2886.73</v>
      </c>
      <c r="C803">
        <f t="shared" si="96"/>
        <v>4.6600819951694294E-3</v>
      </c>
      <c r="D803">
        <f t="shared" si="103"/>
        <v>2.1435521822974701E-2</v>
      </c>
      <c r="E803">
        <f>_xlfn.XLOOKUP(A803,VIX!A:A,VIX!B:B,"",-1)</f>
        <v>15.94</v>
      </c>
      <c r="F803">
        <f t="shared" si="97"/>
        <v>-0.36000000000000121</v>
      </c>
      <c r="G803">
        <f>_xlfn.XLOOKUP(A803,'DGS10'!A:A,'DGS10'!B:B,"",-1)</f>
        <v>2.15</v>
      </c>
      <c r="H803">
        <f t="shared" si="98"/>
        <v>6.0000000000000053E-2</v>
      </c>
      <c r="I803" s="2">
        <f>_xlfn.XLOOKUP(A803,T10Y3M!A:A,T10Y3M!B:B,"",-1)</f>
        <v>-0.14000000000000001</v>
      </c>
      <c r="J803" s="2">
        <f>_xlfn.XLOOKUP(A803,BAMLC0A4CBBB!A:A,BAMLC0A4CBBB!B:B,"",-1)</f>
        <v>1.68</v>
      </c>
      <c r="K803" s="2">
        <f>_xlfn.XLOOKUP(A803,CPIAUCSL!A:A,CPIAUCSL!B:B,"",-1)</f>
        <v>255.21299999999999</v>
      </c>
      <c r="L803">
        <f>_xlfn.XLOOKUP(A803,DFF!A:A,DFF!B:B,"",-1)</f>
        <v>2.37</v>
      </c>
      <c r="M803">
        <f>_xlfn.XLOOKUP(A803,'DGS2'!A:A,'DGS2'!B:B,"",-1)</f>
        <v>1.9</v>
      </c>
      <c r="N803">
        <f t="shared" si="99"/>
        <v>4.9999999999999822E-2</v>
      </c>
      <c r="O803">
        <f t="shared" si="100"/>
        <v>-3.4987685027698667E-4</v>
      </c>
      <c r="P803">
        <f t="shared" si="101"/>
        <v>0</v>
      </c>
      <c r="Q803">
        <f t="shared" si="102"/>
        <v>0</v>
      </c>
    </row>
    <row r="804" spans="1:17">
      <c r="A804" s="1">
        <v>43627</v>
      </c>
      <c r="B804">
        <v>2885.72</v>
      </c>
      <c r="C804">
        <f t="shared" si="96"/>
        <v>-3.4987685027698667E-4</v>
      </c>
      <c r="D804">
        <f t="shared" si="103"/>
        <v>1.4851467738588919E-2</v>
      </c>
      <c r="E804">
        <f>_xlfn.XLOOKUP(A804,VIX!A:A,VIX!B:B,"",-1)</f>
        <v>15.99</v>
      </c>
      <c r="F804">
        <f t="shared" si="97"/>
        <v>5.0000000000000711E-2</v>
      </c>
      <c r="G804">
        <f>_xlfn.XLOOKUP(A804,'DGS10'!A:A,'DGS10'!B:B,"",-1)</f>
        <v>2.15</v>
      </c>
      <c r="H804">
        <f t="shared" si="98"/>
        <v>0</v>
      </c>
      <c r="I804" s="2">
        <f>_xlfn.XLOOKUP(A804,T10Y3M!A:A,T10Y3M!B:B,"",-1)</f>
        <v>-0.12</v>
      </c>
      <c r="J804" s="2">
        <f>_xlfn.XLOOKUP(A804,BAMLC0A4CBBB!A:A,BAMLC0A4CBBB!B:B,"",-1)</f>
        <v>1.68</v>
      </c>
      <c r="K804" s="2">
        <f>_xlfn.XLOOKUP(A804,CPIAUCSL!A:A,CPIAUCSL!B:B,"",-1)</f>
        <v>255.21299999999999</v>
      </c>
      <c r="L804">
        <f>_xlfn.XLOOKUP(A804,DFF!A:A,DFF!B:B,"",-1)</f>
        <v>2.37</v>
      </c>
      <c r="M804">
        <f>_xlfn.XLOOKUP(A804,'DGS2'!A:A,'DGS2'!B:B,"",-1)</f>
        <v>1.93</v>
      </c>
      <c r="N804">
        <f t="shared" si="99"/>
        <v>3.0000000000000027E-2</v>
      </c>
      <c r="O804">
        <f t="shared" si="100"/>
        <v>-2.0376197274856178E-3</v>
      </c>
      <c r="P804">
        <f t="shared" si="101"/>
        <v>0</v>
      </c>
      <c r="Q804">
        <f t="shared" si="102"/>
        <v>0</v>
      </c>
    </row>
    <row r="805" spans="1:17">
      <c r="A805" s="1">
        <v>43628</v>
      </c>
      <c r="B805">
        <v>2879.84</v>
      </c>
      <c r="C805">
        <f t="shared" si="96"/>
        <v>-2.0376197274856178E-3</v>
      </c>
      <c r="D805">
        <f t="shared" si="103"/>
        <v>2.2621757258103337E-3</v>
      </c>
      <c r="E805">
        <f>_xlfn.XLOOKUP(A805,VIX!A:A,VIX!B:B,"",-1)</f>
        <v>15.91</v>
      </c>
      <c r="F805">
        <f t="shared" si="97"/>
        <v>-8.0000000000000071E-2</v>
      </c>
      <c r="G805">
        <f>_xlfn.XLOOKUP(A805,'DGS10'!A:A,'DGS10'!B:B,"",-1)</f>
        <v>2.13</v>
      </c>
      <c r="H805">
        <f t="shared" si="98"/>
        <v>-2.0000000000000018E-2</v>
      </c>
      <c r="I805" s="2">
        <f>_xlfn.XLOOKUP(A805,T10Y3M!A:A,T10Y3M!B:B,"",-1)</f>
        <v>-0.11</v>
      </c>
      <c r="J805" s="2">
        <f>_xlfn.XLOOKUP(A805,BAMLC0A4CBBB!A:A,BAMLC0A4CBBB!B:B,"",-1)</f>
        <v>1.68</v>
      </c>
      <c r="K805" s="2">
        <f>_xlfn.XLOOKUP(A805,CPIAUCSL!A:A,CPIAUCSL!B:B,"",-1)</f>
        <v>255.21299999999999</v>
      </c>
      <c r="L805">
        <f>_xlfn.XLOOKUP(A805,DFF!A:A,DFF!B:B,"",-1)</f>
        <v>2.37</v>
      </c>
      <c r="M805">
        <f>_xlfn.XLOOKUP(A805,'DGS2'!A:A,'DGS2'!B:B,"",-1)</f>
        <v>1.88</v>
      </c>
      <c r="N805">
        <f t="shared" si="99"/>
        <v>-5.0000000000000044E-2</v>
      </c>
      <c r="O805">
        <f t="shared" si="100"/>
        <v>4.097449858325275E-3</v>
      </c>
      <c r="P805">
        <f t="shared" si="101"/>
        <v>1</v>
      </c>
      <c r="Q805">
        <f t="shared" si="102"/>
        <v>1</v>
      </c>
    </row>
    <row r="806" spans="1:17">
      <c r="A806" s="1">
        <v>43629</v>
      </c>
      <c r="B806">
        <v>2891.64</v>
      </c>
      <c r="C806">
        <f t="shared" si="96"/>
        <v>4.097449858325275E-3</v>
      </c>
      <c r="D806">
        <f t="shared" si="103"/>
        <v>1.7008864701582027E-3</v>
      </c>
      <c r="E806">
        <f>_xlfn.XLOOKUP(A806,VIX!A:A,VIX!B:B,"",-1)</f>
        <v>15.82</v>
      </c>
      <c r="F806">
        <f t="shared" si="97"/>
        <v>-8.9999999999999858E-2</v>
      </c>
      <c r="G806">
        <f>_xlfn.XLOOKUP(A806,'DGS10'!A:A,'DGS10'!B:B,"",-1)</f>
        <v>2.1</v>
      </c>
      <c r="H806">
        <f t="shared" si="98"/>
        <v>-2.9999999999999805E-2</v>
      </c>
      <c r="I806" s="2">
        <f>_xlfn.XLOOKUP(A806,T10Y3M!A:A,T10Y3M!B:B,"",-1)</f>
        <v>-0.09</v>
      </c>
      <c r="J806" s="2">
        <f>_xlfn.XLOOKUP(A806,BAMLC0A4CBBB!A:A,BAMLC0A4CBBB!B:B,"",-1)</f>
        <v>1.68</v>
      </c>
      <c r="K806" s="2">
        <f>_xlfn.XLOOKUP(A806,CPIAUCSL!A:A,CPIAUCSL!B:B,"",-1)</f>
        <v>255.21299999999999</v>
      </c>
      <c r="L806">
        <f>_xlfn.XLOOKUP(A806,DFF!A:A,DFF!B:B,"",-1)</f>
        <v>2.37</v>
      </c>
      <c r="M806">
        <f>_xlfn.XLOOKUP(A806,'DGS2'!A:A,'DGS2'!B:B,"",-1)</f>
        <v>1.83</v>
      </c>
      <c r="N806">
        <f t="shared" si="99"/>
        <v>-4.9999999999999822E-2</v>
      </c>
      <c r="O806">
        <f t="shared" si="100"/>
        <v>-1.6115422390061696E-3</v>
      </c>
      <c r="P806">
        <f t="shared" si="101"/>
        <v>0</v>
      </c>
      <c r="Q806">
        <f t="shared" si="102"/>
        <v>0</v>
      </c>
    </row>
    <row r="807" spans="1:17">
      <c r="A807" s="1">
        <v>43630</v>
      </c>
      <c r="B807">
        <v>2886.98</v>
      </c>
      <c r="C807">
        <f t="shared" si="96"/>
        <v>-1.6115422390061696E-3</v>
      </c>
      <c r="D807">
        <f t="shared" si="103"/>
        <v>4.3663279874706085E-4</v>
      </c>
      <c r="E807">
        <f>_xlfn.XLOOKUP(A807,VIX!A:A,VIX!B:B,"",-1)</f>
        <v>15.28</v>
      </c>
      <c r="F807">
        <f t="shared" si="97"/>
        <v>-0.54000000000000092</v>
      </c>
      <c r="G807">
        <f>_xlfn.XLOOKUP(A807,'DGS10'!A:A,'DGS10'!B:B,"",-1)</f>
        <v>2.09</v>
      </c>
      <c r="H807">
        <f t="shared" si="98"/>
        <v>-1.0000000000000231E-2</v>
      </c>
      <c r="I807" s="2">
        <f>_xlfn.XLOOKUP(A807,T10Y3M!A:A,T10Y3M!B:B,"",-1)</f>
        <v>-0.11</v>
      </c>
      <c r="J807" s="2">
        <f>_xlfn.XLOOKUP(A807,BAMLC0A4CBBB!A:A,BAMLC0A4CBBB!B:B,"",-1)</f>
        <v>1.68</v>
      </c>
      <c r="K807" s="2">
        <f>_xlfn.XLOOKUP(A807,CPIAUCSL!A:A,CPIAUCSL!B:B,"",-1)</f>
        <v>255.21299999999999</v>
      </c>
      <c r="L807">
        <f>_xlfn.XLOOKUP(A807,DFF!A:A,DFF!B:B,"",-1)</f>
        <v>2.36</v>
      </c>
      <c r="M807">
        <f>_xlfn.XLOOKUP(A807,'DGS2'!A:A,'DGS2'!B:B,"",-1)</f>
        <v>1.84</v>
      </c>
      <c r="N807">
        <f t="shared" si="99"/>
        <v>1.0000000000000009E-2</v>
      </c>
      <c r="O807">
        <f t="shared" si="100"/>
        <v>9.3176953078999425E-4</v>
      </c>
      <c r="P807">
        <f t="shared" si="101"/>
        <v>1</v>
      </c>
      <c r="Q807">
        <f t="shared" si="102"/>
        <v>0</v>
      </c>
    </row>
    <row r="808" spans="1:17">
      <c r="A808" s="1">
        <v>43633</v>
      </c>
      <c r="B808">
        <v>2889.67</v>
      </c>
      <c r="C808">
        <f t="shared" si="96"/>
        <v>9.3176953078999425E-4</v>
      </c>
      <c r="D808">
        <f t="shared" si="103"/>
        <v>3.4133840768930668E-3</v>
      </c>
      <c r="E808">
        <f>_xlfn.XLOOKUP(A808,VIX!A:A,VIX!B:B,"",-1)</f>
        <v>15.35</v>
      </c>
      <c r="F808">
        <f t="shared" si="97"/>
        <v>7.0000000000000284E-2</v>
      </c>
      <c r="G808">
        <f>_xlfn.XLOOKUP(A808,'DGS10'!A:A,'DGS10'!B:B,"",-1)</f>
        <v>2.09</v>
      </c>
      <c r="H808">
        <f t="shared" si="98"/>
        <v>0</v>
      </c>
      <c r="I808" s="2">
        <f>_xlfn.XLOOKUP(A808,T10Y3M!A:A,T10Y3M!B:B,"",-1)</f>
        <v>-0.14000000000000001</v>
      </c>
      <c r="J808" s="2">
        <f>_xlfn.XLOOKUP(A808,BAMLC0A4CBBB!A:A,BAMLC0A4CBBB!B:B,"",-1)</f>
        <v>1.68</v>
      </c>
      <c r="K808" s="2">
        <f>_xlfn.XLOOKUP(A808,CPIAUCSL!A:A,CPIAUCSL!B:B,"",-1)</f>
        <v>255.21299999999999</v>
      </c>
      <c r="L808">
        <f>_xlfn.XLOOKUP(A808,DFF!A:A,DFF!B:B,"",-1)</f>
        <v>2.38</v>
      </c>
      <c r="M808">
        <f>_xlfn.XLOOKUP(A808,'DGS2'!A:A,'DGS2'!B:B,"",-1)</f>
        <v>1.86</v>
      </c>
      <c r="N808">
        <f t="shared" si="99"/>
        <v>2.0000000000000018E-2</v>
      </c>
      <c r="O808">
        <f t="shared" si="100"/>
        <v>9.7173725719545967E-3</v>
      </c>
      <c r="P808">
        <f t="shared" si="101"/>
        <v>1</v>
      </c>
      <c r="Q808">
        <f t="shared" si="102"/>
        <v>1</v>
      </c>
    </row>
    <row r="809" spans="1:17">
      <c r="A809" s="1">
        <v>43634</v>
      </c>
      <c r="B809">
        <v>2917.75</v>
      </c>
      <c r="C809">
        <f t="shared" si="96"/>
        <v>9.7173725719545967E-3</v>
      </c>
      <c r="D809">
        <f t="shared" si="103"/>
        <v>9.0294780816422282E-3</v>
      </c>
      <c r="E809">
        <f>_xlfn.XLOOKUP(A809,VIX!A:A,VIX!B:B,"",-1)</f>
        <v>15.15</v>
      </c>
      <c r="F809">
        <f t="shared" si="97"/>
        <v>-0.19999999999999929</v>
      </c>
      <c r="G809">
        <f>_xlfn.XLOOKUP(A809,'DGS10'!A:A,'DGS10'!B:B,"",-1)</f>
        <v>2.06</v>
      </c>
      <c r="H809">
        <f t="shared" si="98"/>
        <v>-2.9999999999999805E-2</v>
      </c>
      <c r="I809" s="2">
        <f>_xlfn.XLOOKUP(A809,T10Y3M!A:A,T10Y3M!B:B,"",-1)</f>
        <v>-0.16</v>
      </c>
      <c r="J809" s="2">
        <f>_xlfn.XLOOKUP(A809,BAMLC0A4CBBB!A:A,BAMLC0A4CBBB!B:B,"",-1)</f>
        <v>1.66</v>
      </c>
      <c r="K809" s="2">
        <f>_xlfn.XLOOKUP(A809,CPIAUCSL!A:A,CPIAUCSL!B:B,"",-1)</f>
        <v>255.21299999999999</v>
      </c>
      <c r="L809">
        <f>_xlfn.XLOOKUP(A809,DFF!A:A,DFF!B:B,"",-1)</f>
        <v>2.37</v>
      </c>
      <c r="M809">
        <f>_xlfn.XLOOKUP(A809,'DGS2'!A:A,'DGS2'!B:B,"",-1)</f>
        <v>1.86</v>
      </c>
      <c r="N809">
        <f t="shared" si="99"/>
        <v>0</v>
      </c>
      <c r="O809">
        <f t="shared" si="100"/>
        <v>2.9851769342814638E-3</v>
      </c>
      <c r="P809">
        <f t="shared" si="101"/>
        <v>1</v>
      </c>
      <c r="Q809">
        <f t="shared" si="102"/>
        <v>0</v>
      </c>
    </row>
    <row r="810" spans="1:17">
      <c r="A810" s="1">
        <v>43635</v>
      </c>
      <c r="B810">
        <v>2926.46</v>
      </c>
      <c r="C810">
        <f t="shared" si="96"/>
        <v>2.9851769342814638E-3</v>
      </c>
      <c r="D810">
        <f t="shared" si="103"/>
        <v>1.3675189990924874E-2</v>
      </c>
      <c r="E810">
        <f>_xlfn.XLOOKUP(A810,VIX!A:A,VIX!B:B,"",-1)</f>
        <v>14.33</v>
      </c>
      <c r="F810">
        <f t="shared" si="97"/>
        <v>-0.82000000000000028</v>
      </c>
      <c r="G810">
        <f>_xlfn.XLOOKUP(A810,'DGS10'!A:A,'DGS10'!B:B,"",-1)</f>
        <v>2.0299999999999998</v>
      </c>
      <c r="H810">
        <f t="shared" si="98"/>
        <v>-3.0000000000000249E-2</v>
      </c>
      <c r="I810" s="2">
        <f>_xlfn.XLOOKUP(A810,T10Y3M!A:A,T10Y3M!B:B,"",-1)</f>
        <v>-0.15</v>
      </c>
      <c r="J810" s="2">
        <f>_xlfn.XLOOKUP(A810,BAMLC0A4CBBB!A:A,BAMLC0A4CBBB!B:B,"",-1)</f>
        <v>1.66</v>
      </c>
      <c r="K810" s="2">
        <f>_xlfn.XLOOKUP(A810,CPIAUCSL!A:A,CPIAUCSL!B:B,"",-1)</f>
        <v>255.21299999999999</v>
      </c>
      <c r="L810">
        <f>_xlfn.XLOOKUP(A810,DFF!A:A,DFF!B:B,"",-1)</f>
        <v>2.37</v>
      </c>
      <c r="M810">
        <f>_xlfn.XLOOKUP(A810,'DGS2'!A:A,'DGS2'!B:B,"",-1)</f>
        <v>1.74</v>
      </c>
      <c r="N810">
        <f t="shared" si="99"/>
        <v>-0.12000000000000011</v>
      </c>
      <c r="O810">
        <f t="shared" si="100"/>
        <v>9.4721950752785222E-3</v>
      </c>
      <c r="P810">
        <f t="shared" si="101"/>
        <v>1</v>
      </c>
      <c r="Q810">
        <f t="shared" si="102"/>
        <v>1</v>
      </c>
    </row>
    <row r="811" spans="1:17">
      <c r="A811" s="1">
        <v>43636</v>
      </c>
      <c r="B811">
        <v>2954.18</v>
      </c>
      <c r="C811">
        <f t="shared" si="96"/>
        <v>9.4721950752785222E-3</v>
      </c>
      <c r="D811">
        <f t="shared" si="103"/>
        <v>2.2324348455013743E-2</v>
      </c>
      <c r="E811">
        <f>_xlfn.XLOOKUP(A811,VIX!A:A,VIX!B:B,"",-1)</f>
        <v>14.75</v>
      </c>
      <c r="F811">
        <f t="shared" si="97"/>
        <v>0.41999999999999993</v>
      </c>
      <c r="G811">
        <f>_xlfn.XLOOKUP(A811,'DGS10'!A:A,'DGS10'!B:B,"",-1)</f>
        <v>2.0099999999999998</v>
      </c>
      <c r="H811">
        <f t="shared" si="98"/>
        <v>-2.0000000000000018E-2</v>
      </c>
      <c r="I811" s="2">
        <f>_xlfn.XLOOKUP(A811,T10Y3M!A:A,T10Y3M!B:B,"",-1)</f>
        <v>-0.13</v>
      </c>
      <c r="J811" s="2">
        <f>_xlfn.XLOOKUP(A811,BAMLC0A4CBBB!A:A,BAMLC0A4CBBB!B:B,"",-1)</f>
        <v>1.63</v>
      </c>
      <c r="K811" s="2">
        <f>_xlfn.XLOOKUP(A811,CPIAUCSL!A:A,CPIAUCSL!B:B,"",-1)</f>
        <v>255.21299999999999</v>
      </c>
      <c r="L811">
        <f>_xlfn.XLOOKUP(A811,DFF!A:A,DFF!B:B,"",-1)</f>
        <v>2.37</v>
      </c>
      <c r="M811">
        <f>_xlfn.XLOOKUP(A811,'DGS2'!A:A,'DGS2'!B:B,"",-1)</f>
        <v>1.72</v>
      </c>
      <c r="N811">
        <f t="shared" si="99"/>
        <v>-2.0000000000000018E-2</v>
      </c>
      <c r="O811">
        <f t="shared" si="100"/>
        <v>-1.2592326804730103E-3</v>
      </c>
      <c r="P811">
        <f t="shared" si="101"/>
        <v>0</v>
      </c>
      <c r="Q811">
        <f t="shared" si="102"/>
        <v>0</v>
      </c>
    </row>
    <row r="812" spans="1:17">
      <c r="A812" s="1">
        <v>43637</v>
      </c>
      <c r="B812">
        <v>2950.46</v>
      </c>
      <c r="C812">
        <f t="shared" si="96"/>
        <v>-1.2592326804730103E-3</v>
      </c>
      <c r="D812">
        <f t="shared" si="103"/>
        <v>1.1210693171107788E-2</v>
      </c>
      <c r="E812">
        <f>_xlfn.XLOOKUP(A812,VIX!A:A,VIX!B:B,"",-1)</f>
        <v>15.4</v>
      </c>
      <c r="F812">
        <f t="shared" si="97"/>
        <v>0.65000000000000036</v>
      </c>
      <c r="G812">
        <f>_xlfn.XLOOKUP(A812,'DGS10'!A:A,'DGS10'!B:B,"",-1)</f>
        <v>2.0699999999999998</v>
      </c>
      <c r="H812">
        <f t="shared" si="98"/>
        <v>6.0000000000000053E-2</v>
      </c>
      <c r="I812" s="2">
        <f>_xlfn.XLOOKUP(A812,T10Y3M!A:A,T10Y3M!B:B,"",-1)</f>
        <v>-0.04</v>
      </c>
      <c r="J812" s="2">
        <f>_xlfn.XLOOKUP(A812,BAMLC0A4CBBB!A:A,BAMLC0A4CBBB!B:B,"",-1)</f>
        <v>1.6</v>
      </c>
      <c r="K812" s="2">
        <f>_xlfn.XLOOKUP(A812,CPIAUCSL!A:A,CPIAUCSL!B:B,"",-1)</f>
        <v>255.21299999999999</v>
      </c>
      <c r="L812">
        <f>_xlfn.XLOOKUP(A812,DFF!A:A,DFF!B:B,"",-1)</f>
        <v>2.38</v>
      </c>
      <c r="M812">
        <f>_xlfn.XLOOKUP(A812,'DGS2'!A:A,'DGS2'!B:B,"",-1)</f>
        <v>1.77</v>
      </c>
      <c r="N812">
        <f t="shared" si="99"/>
        <v>5.0000000000000044E-2</v>
      </c>
      <c r="O812">
        <f t="shared" si="100"/>
        <v>-1.731933325650914E-3</v>
      </c>
      <c r="P812">
        <f t="shared" si="101"/>
        <v>0</v>
      </c>
      <c r="Q812">
        <f t="shared" si="102"/>
        <v>0</v>
      </c>
    </row>
    <row r="813" spans="1:17">
      <c r="A813" s="1">
        <v>43640</v>
      </c>
      <c r="B813">
        <v>2945.35</v>
      </c>
      <c r="C813">
        <f t="shared" si="96"/>
        <v>-1.731933325650914E-3</v>
      </c>
      <c r="D813">
        <f t="shared" si="103"/>
        <v>6.4548977262630647E-3</v>
      </c>
      <c r="E813">
        <f>_xlfn.XLOOKUP(A813,VIX!A:A,VIX!B:B,"",-1)</f>
        <v>15.26</v>
      </c>
      <c r="F813">
        <f t="shared" si="97"/>
        <v>-0.14000000000000057</v>
      </c>
      <c r="G813">
        <f>_xlfn.XLOOKUP(A813,'DGS10'!A:A,'DGS10'!B:B,"",-1)</f>
        <v>2.02</v>
      </c>
      <c r="H813">
        <f t="shared" si="98"/>
        <v>-4.9999999999999822E-2</v>
      </c>
      <c r="I813" s="2">
        <f>_xlfn.XLOOKUP(A813,T10Y3M!A:A,T10Y3M!B:B,"",-1)</f>
        <v>-0.11</v>
      </c>
      <c r="J813" s="2">
        <f>_xlfn.XLOOKUP(A813,BAMLC0A4CBBB!A:A,BAMLC0A4CBBB!B:B,"",-1)</f>
        <v>1.58</v>
      </c>
      <c r="K813" s="2">
        <f>_xlfn.XLOOKUP(A813,CPIAUCSL!A:A,CPIAUCSL!B:B,"",-1)</f>
        <v>255.21299999999999</v>
      </c>
      <c r="L813">
        <f>_xlfn.XLOOKUP(A813,DFF!A:A,DFF!B:B,"",-1)</f>
        <v>2.38</v>
      </c>
      <c r="M813">
        <f>_xlfn.XLOOKUP(A813,'DGS2'!A:A,'DGS2'!B:B,"",-1)</f>
        <v>1.72</v>
      </c>
      <c r="N813">
        <f t="shared" si="99"/>
        <v>-5.0000000000000044E-2</v>
      </c>
      <c r="O813">
        <f t="shared" si="100"/>
        <v>-9.4963247152289876E-3</v>
      </c>
      <c r="P813">
        <f t="shared" si="101"/>
        <v>0</v>
      </c>
      <c r="Q813">
        <f t="shared" si="102"/>
        <v>-1</v>
      </c>
    </row>
    <row r="814" spans="1:17">
      <c r="A814" s="1">
        <v>43641</v>
      </c>
      <c r="B814">
        <v>2917.38</v>
      </c>
      <c r="C814">
        <f t="shared" si="96"/>
        <v>-9.4963247152289876E-3</v>
      </c>
      <c r="D814">
        <f t="shared" si="103"/>
        <v>-1.2456925441239108E-2</v>
      </c>
      <c r="E814">
        <f>_xlfn.XLOOKUP(A814,VIX!A:A,VIX!B:B,"",-1)</f>
        <v>16.28</v>
      </c>
      <c r="F814">
        <f t="shared" si="97"/>
        <v>1.0200000000000014</v>
      </c>
      <c r="G814">
        <f>_xlfn.XLOOKUP(A814,'DGS10'!A:A,'DGS10'!B:B,"",-1)</f>
        <v>2</v>
      </c>
      <c r="H814">
        <f t="shared" si="98"/>
        <v>-2.0000000000000018E-2</v>
      </c>
      <c r="I814" s="2">
        <f>_xlfn.XLOOKUP(A814,T10Y3M!A:A,T10Y3M!B:B,"",-1)</f>
        <v>-0.12</v>
      </c>
      <c r="J814" s="2">
        <f>_xlfn.XLOOKUP(A814,BAMLC0A4CBBB!A:A,BAMLC0A4CBBB!B:B,"",-1)</f>
        <v>1.59</v>
      </c>
      <c r="K814" s="2">
        <f>_xlfn.XLOOKUP(A814,CPIAUCSL!A:A,CPIAUCSL!B:B,"",-1)</f>
        <v>255.21299999999999</v>
      </c>
      <c r="L814">
        <f>_xlfn.XLOOKUP(A814,DFF!A:A,DFF!B:B,"",-1)</f>
        <v>2.38</v>
      </c>
      <c r="M814">
        <f>_xlfn.XLOOKUP(A814,'DGS2'!A:A,'DGS2'!B:B,"",-1)</f>
        <v>1.71</v>
      </c>
      <c r="N814">
        <f t="shared" si="99"/>
        <v>-1.0000000000000009E-2</v>
      </c>
      <c r="O814">
        <f t="shared" si="100"/>
        <v>-1.2339839170762978E-3</v>
      </c>
      <c r="P814">
        <f t="shared" si="101"/>
        <v>0</v>
      </c>
      <c r="Q814">
        <f t="shared" si="102"/>
        <v>0</v>
      </c>
    </row>
    <row r="815" spans="1:17">
      <c r="A815" s="1">
        <v>43642</v>
      </c>
      <c r="B815">
        <v>2913.78</v>
      </c>
      <c r="C815">
        <f t="shared" si="96"/>
        <v>-1.2339839170762978E-3</v>
      </c>
      <c r="D815">
        <f t="shared" si="103"/>
        <v>-1.2431959762206568E-2</v>
      </c>
      <c r="E815">
        <f>_xlfn.XLOOKUP(A815,VIX!A:A,VIX!B:B,"",-1)</f>
        <v>16.21</v>
      </c>
      <c r="F815">
        <f t="shared" si="97"/>
        <v>-7.0000000000000284E-2</v>
      </c>
      <c r="G815">
        <f>_xlfn.XLOOKUP(A815,'DGS10'!A:A,'DGS10'!B:B,"",-1)</f>
        <v>2.0499999999999998</v>
      </c>
      <c r="H815">
        <f t="shared" si="98"/>
        <v>4.9999999999999822E-2</v>
      </c>
      <c r="I815" s="2">
        <f>_xlfn.XLOOKUP(A815,T10Y3M!A:A,T10Y3M!B:B,"",-1)</f>
        <v>-0.1</v>
      </c>
      <c r="J815" s="2">
        <f>_xlfn.XLOOKUP(A815,BAMLC0A4CBBB!A:A,BAMLC0A4CBBB!B:B,"",-1)</f>
        <v>1.58</v>
      </c>
      <c r="K815" s="2">
        <f>_xlfn.XLOOKUP(A815,CPIAUCSL!A:A,CPIAUCSL!B:B,"",-1)</f>
        <v>255.21299999999999</v>
      </c>
      <c r="L815">
        <f>_xlfn.XLOOKUP(A815,DFF!A:A,DFF!B:B,"",-1)</f>
        <v>2.38</v>
      </c>
      <c r="M815">
        <f>_xlfn.XLOOKUP(A815,'DGS2'!A:A,'DGS2'!B:B,"",-1)</f>
        <v>1.77</v>
      </c>
      <c r="N815">
        <f t="shared" si="99"/>
        <v>6.0000000000000053E-2</v>
      </c>
      <c r="O815">
        <f t="shared" si="100"/>
        <v>3.8232124594168582E-3</v>
      </c>
      <c r="P815">
        <f t="shared" si="101"/>
        <v>1</v>
      </c>
      <c r="Q815">
        <f t="shared" si="102"/>
        <v>1</v>
      </c>
    </row>
    <row r="816" spans="1:17">
      <c r="A816" s="1">
        <v>43643</v>
      </c>
      <c r="B816">
        <v>2924.92</v>
      </c>
      <c r="C816">
        <f t="shared" si="96"/>
        <v>3.8232124594168582E-3</v>
      </c>
      <c r="D816">
        <f t="shared" si="103"/>
        <v>-6.936357308978458E-3</v>
      </c>
      <c r="E816">
        <f>_xlfn.XLOOKUP(A816,VIX!A:A,VIX!B:B,"",-1)</f>
        <v>15.82</v>
      </c>
      <c r="F816">
        <f t="shared" si="97"/>
        <v>-0.39000000000000057</v>
      </c>
      <c r="G816">
        <f>_xlfn.XLOOKUP(A816,'DGS10'!A:A,'DGS10'!B:B,"",-1)</f>
        <v>2.0099999999999998</v>
      </c>
      <c r="H816">
        <f t="shared" si="98"/>
        <v>-4.0000000000000036E-2</v>
      </c>
      <c r="I816" s="2">
        <f>_xlfn.XLOOKUP(A816,T10Y3M!A:A,T10Y3M!B:B,"",-1)</f>
        <v>-0.13</v>
      </c>
      <c r="J816" s="2">
        <f>_xlfn.XLOOKUP(A816,BAMLC0A4CBBB!A:A,BAMLC0A4CBBB!B:B,"",-1)</f>
        <v>1.57</v>
      </c>
      <c r="K816" s="2">
        <f>_xlfn.XLOOKUP(A816,CPIAUCSL!A:A,CPIAUCSL!B:B,"",-1)</f>
        <v>255.21299999999999</v>
      </c>
      <c r="L816">
        <f>_xlfn.XLOOKUP(A816,DFF!A:A,DFF!B:B,"",-1)</f>
        <v>2.38</v>
      </c>
      <c r="M816">
        <f>_xlfn.XLOOKUP(A816,'DGS2'!A:A,'DGS2'!B:B,"",-1)</f>
        <v>1.74</v>
      </c>
      <c r="N816">
        <f t="shared" si="99"/>
        <v>-3.0000000000000027E-2</v>
      </c>
      <c r="O816">
        <f t="shared" si="100"/>
        <v>5.7574224252288086E-3</v>
      </c>
      <c r="P816">
        <f t="shared" si="101"/>
        <v>1</v>
      </c>
      <c r="Q816">
        <f t="shared" si="102"/>
        <v>1</v>
      </c>
    </row>
    <row r="817" spans="1:17">
      <c r="A817" s="1">
        <v>43644</v>
      </c>
      <c r="B817">
        <v>2941.76</v>
      </c>
      <c r="C817">
        <f t="shared" si="96"/>
        <v>5.7574224252288086E-3</v>
      </c>
      <c r="D817">
        <f t="shared" si="103"/>
        <v>8.3568133050888616E-3</v>
      </c>
      <c r="E817">
        <f>_xlfn.XLOOKUP(A817,VIX!A:A,VIX!B:B,"",-1)</f>
        <v>15.08</v>
      </c>
      <c r="F817">
        <f t="shared" si="97"/>
        <v>-0.74000000000000021</v>
      </c>
      <c r="G817">
        <f>_xlfn.XLOOKUP(A817,'DGS10'!A:A,'DGS10'!B:B,"",-1)</f>
        <v>2</v>
      </c>
      <c r="H817">
        <f t="shared" si="98"/>
        <v>-9.9999999999997868E-3</v>
      </c>
      <c r="I817" s="2">
        <f>_xlfn.XLOOKUP(A817,T10Y3M!A:A,T10Y3M!B:B,"",-1)</f>
        <v>-0.12</v>
      </c>
      <c r="J817" s="2">
        <f>_xlfn.XLOOKUP(A817,BAMLC0A4CBBB!A:A,BAMLC0A4CBBB!B:B,"",-1)</f>
        <v>1.56</v>
      </c>
      <c r="K817" s="2">
        <f>_xlfn.XLOOKUP(A817,CPIAUCSL!A:A,CPIAUCSL!B:B,"",-1)</f>
        <v>255.21299999999999</v>
      </c>
      <c r="L817">
        <f>_xlfn.XLOOKUP(A817,DFF!A:A,DFF!B:B,"",-1)</f>
        <v>2.4</v>
      </c>
      <c r="M817">
        <f>_xlfn.XLOOKUP(A817,'DGS2'!A:A,'DGS2'!B:B,"",-1)</f>
        <v>1.75</v>
      </c>
      <c r="N817">
        <f t="shared" si="99"/>
        <v>1.0000000000000009E-2</v>
      </c>
      <c r="O817">
        <f t="shared" si="100"/>
        <v>7.6722778200803976E-3</v>
      </c>
      <c r="P817">
        <f t="shared" si="101"/>
        <v>1</v>
      </c>
      <c r="Q817">
        <f t="shared" si="102"/>
        <v>1</v>
      </c>
    </row>
    <row r="818" spans="1:17">
      <c r="A818" s="1">
        <v>43647</v>
      </c>
      <c r="B818">
        <v>2964.33</v>
      </c>
      <c r="C818">
        <f t="shared" si="96"/>
        <v>7.6722778200803976E-3</v>
      </c>
      <c r="D818">
        <f t="shared" si="103"/>
        <v>1.7348598727426223E-2</v>
      </c>
      <c r="E818">
        <f>_xlfn.XLOOKUP(A818,VIX!A:A,VIX!B:B,"",-1)</f>
        <v>14.06</v>
      </c>
      <c r="F818">
        <f t="shared" si="97"/>
        <v>-1.0199999999999996</v>
      </c>
      <c r="G818">
        <f>_xlfn.XLOOKUP(A818,'DGS10'!A:A,'DGS10'!B:B,"",-1)</f>
        <v>2.0299999999999998</v>
      </c>
      <c r="H818">
        <f t="shared" si="98"/>
        <v>2.9999999999999805E-2</v>
      </c>
      <c r="I818" s="2">
        <f>_xlfn.XLOOKUP(A818,T10Y3M!A:A,T10Y3M!B:B,"",-1)</f>
        <v>-0.18</v>
      </c>
      <c r="J818" s="2">
        <f>_xlfn.XLOOKUP(A818,BAMLC0A4CBBB!A:A,BAMLC0A4CBBB!B:B,"",-1)</f>
        <v>1.55</v>
      </c>
      <c r="K818" s="2">
        <f>_xlfn.XLOOKUP(A818,CPIAUCSL!A:A,CPIAUCSL!B:B,"",-1)</f>
        <v>255.80199999999999</v>
      </c>
      <c r="L818">
        <f>_xlfn.XLOOKUP(A818,DFF!A:A,DFF!B:B,"",-1)</f>
        <v>2.39</v>
      </c>
      <c r="M818">
        <f>_xlfn.XLOOKUP(A818,'DGS2'!A:A,'DGS2'!B:B,"",-1)</f>
        <v>1.78</v>
      </c>
      <c r="N818">
        <f t="shared" si="99"/>
        <v>3.0000000000000027E-2</v>
      </c>
      <c r="O818">
        <f t="shared" si="100"/>
        <v>2.9281490252435205E-3</v>
      </c>
      <c r="P818">
        <f t="shared" si="101"/>
        <v>1</v>
      </c>
      <c r="Q818">
        <f t="shared" si="102"/>
        <v>0</v>
      </c>
    </row>
    <row r="819" spans="1:17">
      <c r="A819" s="1">
        <v>43648</v>
      </c>
      <c r="B819">
        <v>2973.01</v>
      </c>
      <c r="C819">
        <f t="shared" si="96"/>
        <v>2.9281490252435205E-3</v>
      </c>
      <c r="D819">
        <f t="shared" si="103"/>
        <v>1.6441475322402033E-2</v>
      </c>
      <c r="E819">
        <f>_xlfn.XLOOKUP(A819,VIX!A:A,VIX!B:B,"",-1)</f>
        <v>12.93</v>
      </c>
      <c r="F819">
        <f t="shared" si="97"/>
        <v>-1.1300000000000008</v>
      </c>
      <c r="G819">
        <f>_xlfn.XLOOKUP(A819,'DGS10'!A:A,'DGS10'!B:B,"",-1)</f>
        <v>1.98</v>
      </c>
      <c r="H819">
        <f t="shared" si="98"/>
        <v>-4.9999999999999822E-2</v>
      </c>
      <c r="I819" s="2">
        <f>_xlfn.XLOOKUP(A819,T10Y3M!A:A,T10Y3M!B:B,"",-1)</f>
        <v>-0.22</v>
      </c>
      <c r="J819" s="2">
        <f>_xlfn.XLOOKUP(A819,BAMLC0A4CBBB!A:A,BAMLC0A4CBBB!B:B,"",-1)</f>
        <v>1.55</v>
      </c>
      <c r="K819" s="2">
        <f>_xlfn.XLOOKUP(A819,CPIAUCSL!A:A,CPIAUCSL!B:B,"",-1)</f>
        <v>255.80199999999999</v>
      </c>
      <c r="L819">
        <f>_xlfn.XLOOKUP(A819,DFF!A:A,DFF!B:B,"",-1)</f>
        <v>2.4</v>
      </c>
      <c r="M819">
        <f>_xlfn.XLOOKUP(A819,'DGS2'!A:A,'DGS2'!B:B,"",-1)</f>
        <v>1.77</v>
      </c>
      <c r="N819">
        <f t="shared" si="99"/>
        <v>-1.0000000000000009E-2</v>
      </c>
      <c r="O819">
        <f t="shared" si="100"/>
        <v>7.672358989710748E-3</v>
      </c>
      <c r="P819">
        <f t="shared" si="101"/>
        <v>1</v>
      </c>
      <c r="Q819">
        <f t="shared" si="102"/>
        <v>1</v>
      </c>
    </row>
    <row r="820" spans="1:17">
      <c r="A820" s="1">
        <v>43649</v>
      </c>
      <c r="B820">
        <v>2995.82</v>
      </c>
      <c r="C820">
        <f t="shared" si="96"/>
        <v>7.672358989710748E-3</v>
      </c>
      <c r="D820">
        <f t="shared" si="103"/>
        <v>1.8376754051996125E-2</v>
      </c>
      <c r="E820">
        <f>_xlfn.XLOOKUP(A820,VIX!A:A,VIX!B:B,"",-1)</f>
        <v>12.57</v>
      </c>
      <c r="F820">
        <f t="shared" si="97"/>
        <v>-0.35999999999999943</v>
      </c>
      <c r="G820">
        <f>_xlfn.XLOOKUP(A820,'DGS10'!A:A,'DGS10'!B:B,"",-1)</f>
        <v>1.96</v>
      </c>
      <c r="H820">
        <f t="shared" si="98"/>
        <v>-2.0000000000000018E-2</v>
      </c>
      <c r="I820" s="2">
        <f>_xlfn.XLOOKUP(A820,T10Y3M!A:A,T10Y3M!B:B,"",-1)</f>
        <v>-0.25</v>
      </c>
      <c r="J820" s="2">
        <f>_xlfn.XLOOKUP(A820,BAMLC0A4CBBB!A:A,BAMLC0A4CBBB!B:B,"",-1)</f>
        <v>1.54</v>
      </c>
      <c r="K820" s="2">
        <f>_xlfn.XLOOKUP(A820,CPIAUCSL!A:A,CPIAUCSL!B:B,"",-1)</f>
        <v>255.80199999999999</v>
      </c>
      <c r="L820">
        <f>_xlfn.XLOOKUP(A820,DFF!A:A,DFF!B:B,"",-1)</f>
        <v>2.41</v>
      </c>
      <c r="M820">
        <f>_xlfn.XLOOKUP(A820,'DGS2'!A:A,'DGS2'!B:B,"",-1)</f>
        <v>1.77</v>
      </c>
      <c r="N820">
        <f t="shared" si="99"/>
        <v>0</v>
      </c>
      <c r="O820">
        <f t="shared" si="100"/>
        <v>-1.8058494836139527E-3</v>
      </c>
      <c r="P820">
        <f t="shared" si="101"/>
        <v>0</v>
      </c>
      <c r="Q820">
        <f t="shared" si="102"/>
        <v>0</v>
      </c>
    </row>
    <row r="821" spans="1:17">
      <c r="A821" s="1">
        <v>43651</v>
      </c>
      <c r="B821">
        <v>2990.41</v>
      </c>
      <c r="C821">
        <f t="shared" si="96"/>
        <v>-1.8058494836139527E-3</v>
      </c>
      <c r="D821">
        <f t="shared" si="103"/>
        <v>8.7979408500402645E-3</v>
      </c>
      <c r="E821">
        <f>_xlfn.XLOOKUP(A821,VIX!A:A,VIX!B:B,"",-1)</f>
        <v>13.28</v>
      </c>
      <c r="F821">
        <f t="shared" si="97"/>
        <v>0.70999999999999908</v>
      </c>
      <c r="G821">
        <f>_xlfn.XLOOKUP(A821,'DGS10'!A:A,'DGS10'!B:B,"",-1)</f>
        <v>2.04</v>
      </c>
      <c r="H821">
        <f t="shared" si="98"/>
        <v>8.0000000000000071E-2</v>
      </c>
      <c r="I821" s="2">
        <f>_xlfn.XLOOKUP(A821,T10Y3M!A:A,T10Y3M!B:B,"",-1)</f>
        <v>-0.19</v>
      </c>
      <c r="J821" s="2">
        <f>_xlfn.XLOOKUP(A821,BAMLC0A4CBBB!A:A,BAMLC0A4CBBB!B:B,"",-1)</f>
        <v>1.53</v>
      </c>
      <c r="K821" s="2">
        <f>_xlfn.XLOOKUP(A821,CPIAUCSL!A:A,CPIAUCSL!B:B,"",-1)</f>
        <v>255.80199999999999</v>
      </c>
      <c r="L821">
        <f>_xlfn.XLOOKUP(A821,DFF!A:A,DFF!B:B,"",-1)</f>
        <v>2.42</v>
      </c>
      <c r="M821">
        <f>_xlfn.XLOOKUP(A821,'DGS2'!A:A,'DGS2'!B:B,"",-1)</f>
        <v>1.87</v>
      </c>
      <c r="N821">
        <f t="shared" si="99"/>
        <v>0.10000000000000009</v>
      </c>
      <c r="O821">
        <f t="shared" si="100"/>
        <v>-4.8354573453138761E-3</v>
      </c>
      <c r="P821">
        <f t="shared" si="101"/>
        <v>0</v>
      </c>
      <c r="Q821">
        <f t="shared" si="102"/>
        <v>-1</v>
      </c>
    </row>
    <row r="822" spans="1:17">
      <c r="A822" s="1">
        <v>43654</v>
      </c>
      <c r="B822">
        <v>2975.95</v>
      </c>
      <c r="C822">
        <f t="shared" si="96"/>
        <v>-4.8354573453138761E-3</v>
      </c>
      <c r="D822">
        <f t="shared" si="103"/>
        <v>9.8889677464919501E-4</v>
      </c>
      <c r="E822">
        <f>_xlfn.XLOOKUP(A822,VIX!A:A,VIX!B:B,"",-1)</f>
        <v>13.96</v>
      </c>
      <c r="F822">
        <f t="shared" si="97"/>
        <v>0.68000000000000149</v>
      </c>
      <c r="G822">
        <f>_xlfn.XLOOKUP(A822,'DGS10'!A:A,'DGS10'!B:B,"",-1)</f>
        <v>2.0499999999999998</v>
      </c>
      <c r="H822">
        <f t="shared" si="98"/>
        <v>9.9999999999997868E-3</v>
      </c>
      <c r="I822" s="2">
        <f>_xlfn.XLOOKUP(A822,T10Y3M!A:A,T10Y3M!B:B,"",-1)</f>
        <v>-0.21</v>
      </c>
      <c r="J822" s="2">
        <f>_xlfn.XLOOKUP(A822,BAMLC0A4CBBB!A:A,BAMLC0A4CBBB!B:B,"",-1)</f>
        <v>1.53</v>
      </c>
      <c r="K822" s="2">
        <f>_xlfn.XLOOKUP(A822,CPIAUCSL!A:A,CPIAUCSL!B:B,"",-1)</f>
        <v>255.80199999999999</v>
      </c>
      <c r="L822">
        <f>_xlfn.XLOOKUP(A822,DFF!A:A,DFF!B:B,"",-1)</f>
        <v>2.41</v>
      </c>
      <c r="M822">
        <f>_xlfn.XLOOKUP(A822,'DGS2'!A:A,'DGS2'!B:B,"",-1)</f>
        <v>1.88</v>
      </c>
      <c r="N822">
        <f t="shared" si="99"/>
        <v>9.9999999999997868E-3</v>
      </c>
      <c r="O822">
        <f t="shared" si="100"/>
        <v>1.2365799156572876E-3</v>
      </c>
      <c r="P822">
        <f t="shared" si="101"/>
        <v>1</v>
      </c>
      <c r="Q822">
        <f t="shared" si="102"/>
        <v>0</v>
      </c>
    </row>
    <row r="823" spans="1:17">
      <c r="A823" s="1">
        <v>43655</v>
      </c>
      <c r="B823">
        <v>2979.63</v>
      </c>
      <c r="C823">
        <f t="shared" si="96"/>
        <v>1.2365799156572876E-3</v>
      </c>
      <c r="D823">
        <f t="shared" si="103"/>
        <v>-5.4041965138093007E-3</v>
      </c>
      <c r="E823">
        <f>_xlfn.XLOOKUP(A823,VIX!A:A,VIX!B:B,"",-1)</f>
        <v>14.09</v>
      </c>
      <c r="F823">
        <f t="shared" si="97"/>
        <v>0.12999999999999901</v>
      </c>
      <c r="G823">
        <f>_xlfn.XLOOKUP(A823,'DGS10'!A:A,'DGS10'!B:B,"",-1)</f>
        <v>2.0699999999999998</v>
      </c>
      <c r="H823">
        <f t="shared" si="98"/>
        <v>2.0000000000000018E-2</v>
      </c>
      <c r="I823" s="2">
        <f>_xlfn.XLOOKUP(A823,T10Y3M!A:A,T10Y3M!B:B,"",-1)</f>
        <v>-0.19</v>
      </c>
      <c r="J823" s="2">
        <f>_xlfn.XLOOKUP(A823,BAMLC0A4CBBB!A:A,BAMLC0A4CBBB!B:B,"",-1)</f>
        <v>1.54</v>
      </c>
      <c r="K823" s="2">
        <f>_xlfn.XLOOKUP(A823,CPIAUCSL!A:A,CPIAUCSL!B:B,"",-1)</f>
        <v>255.80199999999999</v>
      </c>
      <c r="L823">
        <f>_xlfn.XLOOKUP(A823,DFF!A:A,DFF!B:B,"",-1)</f>
        <v>2.41</v>
      </c>
      <c r="M823">
        <f>_xlfn.XLOOKUP(A823,'DGS2'!A:A,'DGS2'!B:B,"",-1)</f>
        <v>1.92</v>
      </c>
      <c r="N823">
        <f t="shared" si="99"/>
        <v>4.0000000000000036E-2</v>
      </c>
      <c r="O823">
        <f t="shared" si="100"/>
        <v>4.5106271584056667E-3</v>
      </c>
      <c r="P823">
        <f t="shared" si="101"/>
        <v>1</v>
      </c>
      <c r="Q823">
        <f t="shared" si="102"/>
        <v>1</v>
      </c>
    </row>
    <row r="824" spans="1:17">
      <c r="A824" s="1">
        <v>43656</v>
      </c>
      <c r="B824">
        <v>2993.07</v>
      </c>
      <c r="C824">
        <f t="shared" si="96"/>
        <v>4.5106271584056667E-3</v>
      </c>
      <c r="D824">
        <f t="shared" si="103"/>
        <v>8.8951013406202151E-4</v>
      </c>
      <c r="E824">
        <f>_xlfn.XLOOKUP(A824,VIX!A:A,VIX!B:B,"",-1)</f>
        <v>13.03</v>
      </c>
      <c r="F824">
        <f t="shared" si="97"/>
        <v>-1.0600000000000005</v>
      </c>
      <c r="G824">
        <f>_xlfn.XLOOKUP(A824,'DGS10'!A:A,'DGS10'!B:B,"",-1)</f>
        <v>2.0699999999999998</v>
      </c>
      <c r="H824">
        <f t="shared" si="98"/>
        <v>0</v>
      </c>
      <c r="I824" s="2">
        <f>_xlfn.XLOOKUP(A824,T10Y3M!A:A,T10Y3M!B:B,"",-1)</f>
        <v>-0.13</v>
      </c>
      <c r="J824" s="2">
        <f>_xlfn.XLOOKUP(A824,BAMLC0A4CBBB!A:A,BAMLC0A4CBBB!B:B,"",-1)</f>
        <v>1.54</v>
      </c>
      <c r="K824" s="2">
        <f>_xlfn.XLOOKUP(A824,CPIAUCSL!A:A,CPIAUCSL!B:B,"",-1)</f>
        <v>255.80199999999999</v>
      </c>
      <c r="L824">
        <f>_xlfn.XLOOKUP(A824,DFF!A:A,DFF!B:B,"",-1)</f>
        <v>2.41</v>
      </c>
      <c r="M824">
        <f>_xlfn.XLOOKUP(A824,'DGS2'!A:A,'DGS2'!B:B,"",-1)</f>
        <v>1.82</v>
      </c>
      <c r="N824">
        <f t="shared" si="99"/>
        <v>-9.9999999999999867E-2</v>
      </c>
      <c r="O824">
        <f t="shared" si="100"/>
        <v>2.285278994477169E-3</v>
      </c>
      <c r="P824">
        <f t="shared" si="101"/>
        <v>1</v>
      </c>
      <c r="Q824">
        <f t="shared" si="102"/>
        <v>0</v>
      </c>
    </row>
    <row r="825" spans="1:17">
      <c r="A825" s="1">
        <v>43657</v>
      </c>
      <c r="B825">
        <v>2999.91</v>
      </c>
      <c r="C825">
        <f t="shared" si="96"/>
        <v>2.285278994477169E-3</v>
      </c>
      <c r="D825">
        <f t="shared" si="103"/>
        <v>8.0512105378114374E-3</v>
      </c>
      <c r="E825">
        <f>_xlfn.XLOOKUP(A825,VIX!A:A,VIX!B:B,"",-1)</f>
        <v>12.93</v>
      </c>
      <c r="F825">
        <f t="shared" si="97"/>
        <v>-9.9999999999999645E-2</v>
      </c>
      <c r="G825">
        <f>_xlfn.XLOOKUP(A825,'DGS10'!A:A,'DGS10'!B:B,"",-1)</f>
        <v>2.13</v>
      </c>
      <c r="H825">
        <f t="shared" si="98"/>
        <v>6.0000000000000053E-2</v>
      </c>
      <c r="I825" s="2">
        <f>_xlfn.XLOOKUP(A825,T10Y3M!A:A,T10Y3M!B:B,"",-1)</f>
        <v>-0.04</v>
      </c>
      <c r="J825" s="2">
        <f>_xlfn.XLOOKUP(A825,BAMLC0A4CBBB!A:A,BAMLC0A4CBBB!B:B,"",-1)</f>
        <v>1.52</v>
      </c>
      <c r="K825" s="2">
        <f>_xlfn.XLOOKUP(A825,CPIAUCSL!A:A,CPIAUCSL!B:B,"",-1)</f>
        <v>255.80199999999999</v>
      </c>
      <c r="L825">
        <f>_xlfn.XLOOKUP(A825,DFF!A:A,DFF!B:B,"",-1)</f>
        <v>2.4</v>
      </c>
      <c r="M825">
        <f>_xlfn.XLOOKUP(A825,'DGS2'!A:A,'DGS2'!B:B,"",-1)</f>
        <v>1.85</v>
      </c>
      <c r="N825">
        <f t="shared" si="99"/>
        <v>3.0000000000000027E-2</v>
      </c>
      <c r="O825">
        <f t="shared" si="100"/>
        <v>4.6201386041582193E-3</v>
      </c>
      <c r="P825">
        <f t="shared" si="101"/>
        <v>1</v>
      </c>
      <c r="Q825">
        <f t="shared" si="102"/>
        <v>1</v>
      </c>
    </row>
    <row r="826" spans="1:17">
      <c r="A826" s="1">
        <v>43658</v>
      </c>
      <c r="B826">
        <v>3013.77</v>
      </c>
      <c r="C826">
        <f t="shared" si="96"/>
        <v>4.6201386041582193E-3</v>
      </c>
      <c r="D826">
        <f t="shared" si="103"/>
        <v>1.1457798451485646E-2</v>
      </c>
      <c r="E826">
        <f>_xlfn.XLOOKUP(A826,VIX!A:A,VIX!B:B,"",-1)</f>
        <v>12.39</v>
      </c>
      <c r="F826">
        <f t="shared" si="97"/>
        <v>-0.53999999999999915</v>
      </c>
      <c r="G826">
        <f>_xlfn.XLOOKUP(A826,'DGS10'!A:A,'DGS10'!B:B,"",-1)</f>
        <v>2.12</v>
      </c>
      <c r="H826">
        <f t="shared" si="98"/>
        <v>-9.9999999999997868E-3</v>
      </c>
      <c r="I826" s="2">
        <f>_xlfn.XLOOKUP(A826,T10Y3M!A:A,T10Y3M!B:B,"",-1)</f>
        <v>-0.02</v>
      </c>
      <c r="J826" s="2">
        <f>_xlfn.XLOOKUP(A826,BAMLC0A4CBBB!A:A,BAMLC0A4CBBB!B:B,"",-1)</f>
        <v>1.52</v>
      </c>
      <c r="K826" s="2">
        <f>_xlfn.XLOOKUP(A826,CPIAUCSL!A:A,CPIAUCSL!B:B,"",-1)</f>
        <v>255.80199999999999</v>
      </c>
      <c r="L826">
        <f>_xlfn.XLOOKUP(A826,DFF!A:A,DFF!B:B,"",-1)</f>
        <v>2.38</v>
      </c>
      <c r="M826">
        <f>_xlfn.XLOOKUP(A826,'DGS2'!A:A,'DGS2'!B:B,"",-1)</f>
        <v>1.84</v>
      </c>
      <c r="N826">
        <f t="shared" si="99"/>
        <v>-1.0000000000000009E-2</v>
      </c>
      <c r="O826">
        <f t="shared" si="100"/>
        <v>1.7585947169163063E-4</v>
      </c>
      <c r="P826">
        <f t="shared" si="101"/>
        <v>1</v>
      </c>
      <c r="Q826">
        <f t="shared" si="102"/>
        <v>0</v>
      </c>
    </row>
    <row r="827" spans="1:17">
      <c r="A827" s="1">
        <v>43661</v>
      </c>
      <c r="B827">
        <v>3014.3</v>
      </c>
      <c r="C827">
        <f t="shared" si="96"/>
        <v>1.7585947169163063E-4</v>
      </c>
      <c r="D827">
        <f t="shared" si="103"/>
        <v>7.0930516158993484E-3</v>
      </c>
      <c r="E827">
        <f>_xlfn.XLOOKUP(A827,VIX!A:A,VIX!B:B,"",-1)</f>
        <v>12.68</v>
      </c>
      <c r="F827">
        <f t="shared" si="97"/>
        <v>0.28999999999999915</v>
      </c>
      <c r="G827">
        <f>_xlfn.XLOOKUP(A827,'DGS10'!A:A,'DGS10'!B:B,"",-1)</f>
        <v>2.09</v>
      </c>
      <c r="H827">
        <f t="shared" si="98"/>
        <v>-3.0000000000000249E-2</v>
      </c>
      <c r="I827" s="2">
        <f>_xlfn.XLOOKUP(A827,T10Y3M!A:A,T10Y3M!B:B,"",-1)</f>
        <v>-7.0000000000000007E-2</v>
      </c>
      <c r="J827" s="2">
        <f>_xlfn.XLOOKUP(A827,BAMLC0A4CBBB!A:A,BAMLC0A4CBBB!B:B,"",-1)</f>
        <v>1.52</v>
      </c>
      <c r="K827" s="2">
        <f>_xlfn.XLOOKUP(A827,CPIAUCSL!A:A,CPIAUCSL!B:B,"",-1)</f>
        <v>255.80199999999999</v>
      </c>
      <c r="L827">
        <f>_xlfn.XLOOKUP(A827,DFF!A:A,DFF!B:B,"",-1)</f>
        <v>2.4</v>
      </c>
      <c r="M827">
        <f>_xlfn.XLOOKUP(A827,'DGS2'!A:A,'DGS2'!B:B,"",-1)</f>
        <v>1.83</v>
      </c>
      <c r="N827">
        <f t="shared" si="99"/>
        <v>-1.0000000000000009E-2</v>
      </c>
      <c r="O827">
        <f t="shared" si="100"/>
        <v>-3.4037753375577573E-3</v>
      </c>
      <c r="P827">
        <f t="shared" si="101"/>
        <v>0</v>
      </c>
      <c r="Q827">
        <f t="shared" si="102"/>
        <v>-1</v>
      </c>
    </row>
    <row r="828" spans="1:17">
      <c r="A828" s="1">
        <v>43662</v>
      </c>
      <c r="B828">
        <v>3004.04</v>
      </c>
      <c r="C828">
        <f t="shared" si="96"/>
        <v>-3.4037753375577573E-3</v>
      </c>
      <c r="D828">
        <f t="shared" si="103"/>
        <v>1.3767079679056771E-3</v>
      </c>
      <c r="E828">
        <f>_xlfn.XLOOKUP(A828,VIX!A:A,VIX!B:B,"",-1)</f>
        <v>12.86</v>
      </c>
      <c r="F828">
        <f t="shared" si="97"/>
        <v>0.17999999999999972</v>
      </c>
      <c r="G828">
        <f>_xlfn.XLOOKUP(A828,'DGS10'!A:A,'DGS10'!B:B,"",-1)</f>
        <v>2.13</v>
      </c>
      <c r="H828">
        <f t="shared" si="98"/>
        <v>4.0000000000000036E-2</v>
      </c>
      <c r="I828" s="2">
        <f>_xlfn.XLOOKUP(A828,T10Y3M!A:A,T10Y3M!B:B,"",-1)</f>
        <v>-0.02</v>
      </c>
      <c r="J828" s="2">
        <f>_xlfn.XLOOKUP(A828,BAMLC0A4CBBB!A:A,BAMLC0A4CBBB!B:B,"",-1)</f>
        <v>1.51</v>
      </c>
      <c r="K828" s="2">
        <f>_xlfn.XLOOKUP(A828,CPIAUCSL!A:A,CPIAUCSL!B:B,"",-1)</f>
        <v>255.80199999999999</v>
      </c>
      <c r="L828">
        <f>_xlfn.XLOOKUP(A828,DFF!A:A,DFF!B:B,"",-1)</f>
        <v>2.41</v>
      </c>
      <c r="M828">
        <f>_xlfn.XLOOKUP(A828,'DGS2'!A:A,'DGS2'!B:B,"",-1)</f>
        <v>1.87</v>
      </c>
      <c r="N828">
        <f t="shared" si="99"/>
        <v>4.0000000000000036E-2</v>
      </c>
      <c r="O828">
        <f t="shared" si="100"/>
        <v>-6.5312046444121474E-3</v>
      </c>
      <c r="P828">
        <f t="shared" si="101"/>
        <v>0</v>
      </c>
      <c r="Q828">
        <f t="shared" si="102"/>
        <v>-1</v>
      </c>
    </row>
    <row r="829" spans="1:17">
      <c r="A829" s="1">
        <v>43663</v>
      </c>
      <c r="B829">
        <v>2984.42</v>
      </c>
      <c r="C829">
        <f t="shared" si="96"/>
        <v>-6.5312046444121474E-3</v>
      </c>
      <c r="D829">
        <f t="shared" si="103"/>
        <v>-9.7386330078274019E-3</v>
      </c>
      <c r="E829">
        <f>_xlfn.XLOOKUP(A829,VIX!A:A,VIX!B:B,"",-1)</f>
        <v>13.97</v>
      </c>
      <c r="F829">
        <f t="shared" si="97"/>
        <v>1.1100000000000012</v>
      </c>
      <c r="G829">
        <f>_xlfn.XLOOKUP(A829,'DGS10'!A:A,'DGS10'!B:B,"",-1)</f>
        <v>2.06</v>
      </c>
      <c r="H829">
        <f t="shared" si="98"/>
        <v>-6.999999999999984E-2</v>
      </c>
      <c r="I829" s="2">
        <f>_xlfn.XLOOKUP(A829,T10Y3M!A:A,T10Y3M!B:B,"",-1)</f>
        <v>-0.08</v>
      </c>
      <c r="J829" s="2">
        <f>_xlfn.XLOOKUP(A829,BAMLC0A4CBBB!A:A,BAMLC0A4CBBB!B:B,"",-1)</f>
        <v>1.52</v>
      </c>
      <c r="K829" s="2">
        <f>_xlfn.XLOOKUP(A829,CPIAUCSL!A:A,CPIAUCSL!B:B,"",-1)</f>
        <v>255.80199999999999</v>
      </c>
      <c r="L829">
        <f>_xlfn.XLOOKUP(A829,DFF!A:A,DFF!B:B,"",-1)</f>
        <v>2.41</v>
      </c>
      <c r="M829">
        <f>_xlfn.XLOOKUP(A829,'DGS2'!A:A,'DGS2'!B:B,"",-1)</f>
        <v>1.83</v>
      </c>
      <c r="N829">
        <f t="shared" si="99"/>
        <v>-4.0000000000000036E-2</v>
      </c>
      <c r="O829">
        <f t="shared" si="100"/>
        <v>3.5819355184592006E-3</v>
      </c>
      <c r="P829">
        <f t="shared" si="101"/>
        <v>1</v>
      </c>
      <c r="Q829">
        <f t="shared" si="102"/>
        <v>1</v>
      </c>
    </row>
    <row r="830" spans="1:17">
      <c r="A830" s="1">
        <v>43664</v>
      </c>
      <c r="B830">
        <v>2995.11</v>
      </c>
      <c r="C830">
        <f t="shared" si="96"/>
        <v>3.5819355184592006E-3</v>
      </c>
      <c r="D830">
        <f t="shared" si="103"/>
        <v>-6.366320538765291E-3</v>
      </c>
      <c r="E830">
        <f>_xlfn.XLOOKUP(A830,VIX!A:A,VIX!B:B,"",-1)</f>
        <v>13.53</v>
      </c>
      <c r="F830">
        <f t="shared" si="97"/>
        <v>-0.44000000000000128</v>
      </c>
      <c r="G830">
        <f>_xlfn.XLOOKUP(A830,'DGS10'!A:A,'DGS10'!B:B,"",-1)</f>
        <v>2.04</v>
      </c>
      <c r="H830">
        <f t="shared" si="98"/>
        <v>-2.0000000000000018E-2</v>
      </c>
      <c r="I830" s="2">
        <f>_xlfn.XLOOKUP(A830,T10Y3M!A:A,T10Y3M!B:B,"",-1)</f>
        <v>-0.01</v>
      </c>
      <c r="J830" s="2">
        <f>_xlfn.XLOOKUP(A830,BAMLC0A4CBBB!A:A,BAMLC0A4CBBB!B:B,"",-1)</f>
        <v>1.53</v>
      </c>
      <c r="K830" s="2">
        <f>_xlfn.XLOOKUP(A830,CPIAUCSL!A:A,CPIAUCSL!B:B,"",-1)</f>
        <v>255.80199999999999</v>
      </c>
      <c r="L830">
        <f>_xlfn.XLOOKUP(A830,DFF!A:A,DFF!B:B,"",-1)</f>
        <v>2.41</v>
      </c>
      <c r="M830">
        <f>_xlfn.XLOOKUP(A830,'DGS2'!A:A,'DGS2'!B:B,"",-1)</f>
        <v>1.77</v>
      </c>
      <c r="N830">
        <f t="shared" si="99"/>
        <v>-6.0000000000000053E-2</v>
      </c>
      <c r="O830">
        <f t="shared" si="100"/>
        <v>-6.1767347442999165E-3</v>
      </c>
      <c r="P830">
        <f t="shared" si="101"/>
        <v>0</v>
      </c>
      <c r="Q830">
        <f t="shared" si="102"/>
        <v>-1</v>
      </c>
    </row>
    <row r="831" spans="1:17">
      <c r="A831" s="1">
        <v>43665</v>
      </c>
      <c r="B831">
        <v>2976.61</v>
      </c>
      <c r="C831">
        <f t="shared" si="96"/>
        <v>-6.1767347442999165E-3</v>
      </c>
      <c r="D831">
        <f t="shared" si="103"/>
        <v>-9.1310368703478861E-3</v>
      </c>
      <c r="E831">
        <f>_xlfn.XLOOKUP(A831,VIX!A:A,VIX!B:B,"",-1)</f>
        <v>14.45</v>
      </c>
      <c r="F831">
        <f t="shared" si="97"/>
        <v>0.91999999999999993</v>
      </c>
      <c r="G831">
        <f>_xlfn.XLOOKUP(A831,'DGS10'!A:A,'DGS10'!B:B,"",-1)</f>
        <v>2.0499999999999998</v>
      </c>
      <c r="H831">
        <f t="shared" si="98"/>
        <v>9.9999999999997868E-3</v>
      </c>
      <c r="I831" s="2">
        <f>_xlfn.XLOOKUP(A831,T10Y3M!A:A,T10Y3M!B:B,"",-1)</f>
        <v>-0.01</v>
      </c>
      <c r="J831" s="2">
        <f>_xlfn.XLOOKUP(A831,BAMLC0A4CBBB!A:A,BAMLC0A4CBBB!B:B,"",-1)</f>
        <v>1.52</v>
      </c>
      <c r="K831" s="2">
        <f>_xlfn.XLOOKUP(A831,CPIAUCSL!A:A,CPIAUCSL!B:B,"",-1)</f>
        <v>255.80199999999999</v>
      </c>
      <c r="L831">
        <f>_xlfn.XLOOKUP(A831,DFF!A:A,DFF!B:B,"",-1)</f>
        <v>2.41</v>
      </c>
      <c r="M831">
        <f>_xlfn.XLOOKUP(A831,'DGS2'!A:A,'DGS2'!B:B,"",-1)</f>
        <v>1.8</v>
      </c>
      <c r="N831">
        <f t="shared" si="99"/>
        <v>3.0000000000000027E-2</v>
      </c>
      <c r="O831">
        <f t="shared" si="100"/>
        <v>2.8287212634507952E-3</v>
      </c>
      <c r="P831">
        <f t="shared" si="101"/>
        <v>1</v>
      </c>
      <c r="Q831">
        <f t="shared" si="102"/>
        <v>0</v>
      </c>
    </row>
    <row r="832" spans="1:17">
      <c r="A832" s="1">
        <v>43668</v>
      </c>
      <c r="B832">
        <v>2985.03</v>
      </c>
      <c r="C832">
        <f t="shared" si="96"/>
        <v>2.8287212634507952E-3</v>
      </c>
      <c r="D832">
        <f t="shared" si="103"/>
        <v>2.0439482378487028E-4</v>
      </c>
      <c r="E832">
        <f>_xlfn.XLOOKUP(A832,VIX!A:A,VIX!B:B,"",-1)</f>
        <v>13.53</v>
      </c>
      <c r="F832">
        <f t="shared" si="97"/>
        <v>-0.91999999999999993</v>
      </c>
      <c r="G832">
        <f>_xlfn.XLOOKUP(A832,'DGS10'!A:A,'DGS10'!B:B,"",-1)</f>
        <v>2.0499999999999998</v>
      </c>
      <c r="H832">
        <f t="shared" si="98"/>
        <v>0</v>
      </c>
      <c r="I832" s="2">
        <f>_xlfn.XLOOKUP(A832,T10Y3M!A:A,T10Y3M!B:B,"",-1)</f>
        <v>-0.04</v>
      </c>
      <c r="J832" s="2">
        <f>_xlfn.XLOOKUP(A832,BAMLC0A4CBBB!A:A,BAMLC0A4CBBB!B:B,"",-1)</f>
        <v>1.51</v>
      </c>
      <c r="K832" s="2">
        <f>_xlfn.XLOOKUP(A832,CPIAUCSL!A:A,CPIAUCSL!B:B,"",-1)</f>
        <v>255.80199999999999</v>
      </c>
      <c r="L832">
        <f>_xlfn.XLOOKUP(A832,DFF!A:A,DFF!B:B,"",-1)</f>
        <v>2.4</v>
      </c>
      <c r="M832">
        <f>_xlfn.XLOOKUP(A832,'DGS2'!A:A,'DGS2'!B:B,"",-1)</f>
        <v>1.8</v>
      </c>
      <c r="N832">
        <f t="shared" si="99"/>
        <v>0</v>
      </c>
      <c r="O832">
        <f t="shared" si="100"/>
        <v>6.8475023701604076E-3</v>
      </c>
      <c r="P832">
        <f t="shared" si="101"/>
        <v>1</v>
      </c>
      <c r="Q832">
        <f t="shared" si="102"/>
        <v>1</v>
      </c>
    </row>
    <row r="833" spans="1:17">
      <c r="A833" s="1">
        <v>43669</v>
      </c>
      <c r="B833">
        <v>3005.47</v>
      </c>
      <c r="C833">
        <f t="shared" si="96"/>
        <v>6.8475023701604076E-3</v>
      </c>
      <c r="D833">
        <f t="shared" si="103"/>
        <v>3.4589714568078467E-3</v>
      </c>
      <c r="E833">
        <f>_xlfn.XLOOKUP(A833,VIX!A:A,VIX!B:B,"",-1)</f>
        <v>12.61</v>
      </c>
      <c r="F833">
        <f t="shared" si="97"/>
        <v>-0.91999999999999993</v>
      </c>
      <c r="G833">
        <f>_xlfn.XLOOKUP(A833,'DGS10'!A:A,'DGS10'!B:B,"",-1)</f>
        <v>2.08</v>
      </c>
      <c r="H833">
        <f t="shared" si="98"/>
        <v>3.0000000000000249E-2</v>
      </c>
      <c r="I833" s="2">
        <f>_xlfn.XLOOKUP(A833,T10Y3M!A:A,T10Y3M!B:B,"",-1)</f>
        <v>0.02</v>
      </c>
      <c r="J833" s="2">
        <f>_xlfn.XLOOKUP(A833,BAMLC0A4CBBB!A:A,BAMLC0A4CBBB!B:B,"",-1)</f>
        <v>1.5</v>
      </c>
      <c r="K833" s="2">
        <f>_xlfn.XLOOKUP(A833,CPIAUCSL!A:A,CPIAUCSL!B:B,"",-1)</f>
        <v>255.80199999999999</v>
      </c>
      <c r="L833">
        <f>_xlfn.XLOOKUP(A833,DFF!A:A,DFF!B:B,"",-1)</f>
        <v>2.4</v>
      </c>
      <c r="M833">
        <f>_xlfn.XLOOKUP(A833,'DGS2'!A:A,'DGS2'!B:B,"",-1)</f>
        <v>1.83</v>
      </c>
      <c r="N833">
        <f t="shared" si="99"/>
        <v>3.0000000000000027E-2</v>
      </c>
      <c r="O833">
        <f t="shared" si="100"/>
        <v>4.68811866363672E-3</v>
      </c>
      <c r="P833">
        <f t="shared" si="101"/>
        <v>1</v>
      </c>
      <c r="Q833">
        <f t="shared" si="102"/>
        <v>1</v>
      </c>
    </row>
    <row r="834" spans="1:17">
      <c r="A834" s="1">
        <v>43670</v>
      </c>
      <c r="B834">
        <v>3019.56</v>
      </c>
      <c r="C834">
        <f t="shared" si="96"/>
        <v>4.68811866363672E-3</v>
      </c>
      <c r="D834">
        <f t="shared" si="103"/>
        <v>1.4429166064751531E-2</v>
      </c>
      <c r="E834">
        <f>_xlfn.XLOOKUP(A834,VIX!A:A,VIX!B:B,"",-1)</f>
        <v>12.07</v>
      </c>
      <c r="F834">
        <f t="shared" si="97"/>
        <v>-0.53999999999999915</v>
      </c>
      <c r="G834">
        <f>_xlfn.XLOOKUP(A834,'DGS10'!A:A,'DGS10'!B:B,"",-1)</f>
        <v>2.0499999999999998</v>
      </c>
      <c r="H834">
        <f t="shared" si="98"/>
        <v>-3.0000000000000249E-2</v>
      </c>
      <c r="I834" s="2">
        <f>_xlfn.XLOOKUP(A834,T10Y3M!A:A,T10Y3M!B:B,"",-1)</f>
        <v>-0.05</v>
      </c>
      <c r="J834" s="2">
        <f>_xlfn.XLOOKUP(A834,BAMLC0A4CBBB!A:A,BAMLC0A4CBBB!B:B,"",-1)</f>
        <v>1.49</v>
      </c>
      <c r="K834" s="2">
        <f>_xlfn.XLOOKUP(A834,CPIAUCSL!A:A,CPIAUCSL!B:B,"",-1)</f>
        <v>255.80199999999999</v>
      </c>
      <c r="L834">
        <f>_xlfn.XLOOKUP(A834,DFF!A:A,DFF!B:B,"",-1)</f>
        <v>2.4</v>
      </c>
      <c r="M834">
        <f>_xlfn.XLOOKUP(A834,'DGS2'!A:A,'DGS2'!B:B,"",-1)</f>
        <v>1.83</v>
      </c>
      <c r="N834">
        <f t="shared" si="99"/>
        <v>0</v>
      </c>
      <c r="O834">
        <f t="shared" si="100"/>
        <v>-5.2623561048629197E-3</v>
      </c>
      <c r="P834">
        <f t="shared" si="101"/>
        <v>0</v>
      </c>
      <c r="Q834">
        <f t="shared" si="102"/>
        <v>-1</v>
      </c>
    </row>
    <row r="835" spans="1:17">
      <c r="A835" s="1">
        <v>43671</v>
      </c>
      <c r="B835">
        <v>3003.67</v>
      </c>
      <c r="C835">
        <f t="shared" si="96"/>
        <v>-5.2623561048629197E-3</v>
      </c>
      <c r="D835">
        <f t="shared" si="103"/>
        <v>6.2444933551755177E-3</v>
      </c>
      <c r="E835">
        <f>_xlfn.XLOOKUP(A835,VIX!A:A,VIX!B:B,"",-1)</f>
        <v>12.74</v>
      </c>
      <c r="F835">
        <f t="shared" si="97"/>
        <v>0.66999999999999993</v>
      </c>
      <c r="G835">
        <f>_xlfn.XLOOKUP(A835,'DGS10'!A:A,'DGS10'!B:B,"",-1)</f>
        <v>2.08</v>
      </c>
      <c r="H835">
        <f t="shared" si="98"/>
        <v>3.0000000000000249E-2</v>
      </c>
      <c r="I835" s="2">
        <f>_xlfn.XLOOKUP(A835,T10Y3M!A:A,T10Y3M!B:B,"",-1)</f>
        <v>-0.02</v>
      </c>
      <c r="J835" s="2">
        <f>_xlfn.XLOOKUP(A835,BAMLC0A4CBBB!A:A,BAMLC0A4CBBB!B:B,"",-1)</f>
        <v>1.48</v>
      </c>
      <c r="K835" s="2">
        <f>_xlfn.XLOOKUP(A835,CPIAUCSL!A:A,CPIAUCSL!B:B,"",-1)</f>
        <v>255.80199999999999</v>
      </c>
      <c r="L835">
        <f>_xlfn.XLOOKUP(A835,DFF!A:A,DFF!B:B,"",-1)</f>
        <v>2.4</v>
      </c>
      <c r="M835">
        <f>_xlfn.XLOOKUP(A835,'DGS2'!A:A,'DGS2'!B:B,"",-1)</f>
        <v>1.86</v>
      </c>
      <c r="N835">
        <f t="shared" si="99"/>
        <v>3.0000000000000027E-2</v>
      </c>
      <c r="O835">
        <f t="shared" si="100"/>
        <v>7.3876291336931743E-3</v>
      </c>
      <c r="P835">
        <f t="shared" si="101"/>
        <v>1</v>
      </c>
      <c r="Q835">
        <f t="shared" si="102"/>
        <v>1</v>
      </c>
    </row>
    <row r="836" spans="1:17">
      <c r="A836" s="1">
        <v>43672</v>
      </c>
      <c r="B836">
        <v>3025.86</v>
      </c>
      <c r="C836">
        <f t="shared" ref="C836:C899" si="104">IF(OR(B836="",B835=""),"",(B836/B835)-1)</f>
        <v>7.3876291336931743E-3</v>
      </c>
      <c r="D836">
        <f t="shared" si="103"/>
        <v>6.7842966324735965E-3</v>
      </c>
      <c r="E836">
        <f>_xlfn.XLOOKUP(A836,VIX!A:A,VIX!B:B,"",-1)</f>
        <v>12.16</v>
      </c>
      <c r="F836">
        <f t="shared" ref="F836:F899" si="105">IF(OR(E836="",E835=""),"",E836-E835)</f>
        <v>-0.58000000000000007</v>
      </c>
      <c r="G836">
        <f>_xlfn.XLOOKUP(A836,'DGS10'!A:A,'DGS10'!B:B,"",-1)</f>
        <v>2.08</v>
      </c>
      <c r="H836">
        <f t="shared" ref="H836:H899" si="106">IF(OR(G836="",G835=""),"",G836-G835)</f>
        <v>0</v>
      </c>
      <c r="I836" s="2">
        <f>_xlfn.XLOOKUP(A836,T10Y3M!A:A,T10Y3M!B:B,"",-1)</f>
        <v>-0.04</v>
      </c>
      <c r="J836" s="2">
        <f>_xlfn.XLOOKUP(A836,BAMLC0A4CBBB!A:A,BAMLC0A4CBBB!B:B,"",-1)</f>
        <v>1.46</v>
      </c>
      <c r="K836" s="2">
        <f>_xlfn.XLOOKUP(A836,CPIAUCSL!A:A,CPIAUCSL!B:B,"",-1)</f>
        <v>255.80199999999999</v>
      </c>
      <c r="L836">
        <f>_xlfn.XLOOKUP(A836,DFF!A:A,DFF!B:B,"",-1)</f>
        <v>2.4</v>
      </c>
      <c r="M836">
        <f>_xlfn.XLOOKUP(A836,'DGS2'!A:A,'DGS2'!B:B,"",-1)</f>
        <v>1.86</v>
      </c>
      <c r="N836">
        <f t="shared" ref="N836:N899" si="107">IF(OR(M836="",M835=""),"",M836-M835)</f>
        <v>0</v>
      </c>
      <c r="O836">
        <f t="shared" ref="O836:O899" si="108">IF(OR(B837="",B836=""),"",(B837/B836)-1)</f>
        <v>-1.6160694810732901E-3</v>
      </c>
      <c r="P836">
        <f t="shared" ref="P836:P899" si="109">IF(O836="","",IF(O836&gt;0,1,0))</f>
        <v>0</v>
      </c>
      <c r="Q836">
        <f t="shared" ref="Q836:Q899" si="110">IF(O836="","",IF(O836&gt;0.003,1,IF(O836&lt;-0.003,-1,0)))</f>
        <v>0</v>
      </c>
    </row>
    <row r="837" spans="1:17">
      <c r="A837" s="1">
        <v>43675</v>
      </c>
      <c r="B837">
        <v>3020.97</v>
      </c>
      <c r="C837">
        <f t="shared" si="104"/>
        <v>-1.6160694810732901E-3</v>
      </c>
      <c r="D837">
        <f t="shared" si="103"/>
        <v>4.6695545046282483E-4</v>
      </c>
      <c r="E837">
        <f>_xlfn.XLOOKUP(A837,VIX!A:A,VIX!B:B,"",-1)</f>
        <v>12.83</v>
      </c>
      <c r="F837">
        <f t="shared" si="105"/>
        <v>0.66999999999999993</v>
      </c>
      <c r="G837">
        <f>_xlfn.XLOOKUP(A837,'DGS10'!A:A,'DGS10'!B:B,"",-1)</f>
        <v>2.06</v>
      </c>
      <c r="H837">
        <f t="shared" si="106"/>
        <v>-2.0000000000000018E-2</v>
      </c>
      <c r="I837" s="2">
        <f>_xlfn.XLOOKUP(A837,T10Y3M!A:A,T10Y3M!B:B,"",-1)</f>
        <v>-0.06</v>
      </c>
      <c r="J837" s="2">
        <f>_xlfn.XLOOKUP(A837,BAMLC0A4CBBB!A:A,BAMLC0A4CBBB!B:B,"",-1)</f>
        <v>1.46</v>
      </c>
      <c r="K837" s="2">
        <f>_xlfn.XLOOKUP(A837,CPIAUCSL!A:A,CPIAUCSL!B:B,"",-1)</f>
        <v>255.80199999999999</v>
      </c>
      <c r="L837">
        <f>_xlfn.XLOOKUP(A837,DFF!A:A,DFF!B:B,"",-1)</f>
        <v>2.4</v>
      </c>
      <c r="M837">
        <f>_xlfn.XLOOKUP(A837,'DGS2'!A:A,'DGS2'!B:B,"",-1)</f>
        <v>1.85</v>
      </c>
      <c r="N837">
        <f t="shared" si="107"/>
        <v>-1.0000000000000009E-2</v>
      </c>
      <c r="O837">
        <f t="shared" si="108"/>
        <v>-2.5786419593706311E-3</v>
      </c>
      <c r="P837">
        <f t="shared" si="109"/>
        <v>0</v>
      </c>
      <c r="Q837">
        <f t="shared" si="110"/>
        <v>0</v>
      </c>
    </row>
    <row r="838" spans="1:17">
      <c r="A838" s="1">
        <v>43676</v>
      </c>
      <c r="B838">
        <v>3013.18</v>
      </c>
      <c r="C838">
        <f t="shared" si="104"/>
        <v>-2.5786419593706311E-3</v>
      </c>
      <c r="D838">
        <f t="shared" ref="D838:D901" si="111">IF(OR(B838="",B835=""),"",(B838/B835)-1)</f>
        <v>3.166126771582789E-3</v>
      </c>
      <c r="E838">
        <f>_xlfn.XLOOKUP(A838,VIX!A:A,VIX!B:B,"",-1)</f>
        <v>13.94</v>
      </c>
      <c r="F838">
        <f t="shared" si="105"/>
        <v>1.1099999999999994</v>
      </c>
      <c r="G838">
        <f>_xlfn.XLOOKUP(A838,'DGS10'!A:A,'DGS10'!B:B,"",-1)</f>
        <v>2.06</v>
      </c>
      <c r="H838">
        <f t="shared" si="106"/>
        <v>0</v>
      </c>
      <c r="I838" s="2">
        <f>_xlfn.XLOOKUP(A838,T10Y3M!A:A,T10Y3M!B:B,"",-1)</f>
        <v>-0.02</v>
      </c>
      <c r="J838" s="2">
        <f>_xlfn.XLOOKUP(A838,BAMLC0A4CBBB!A:A,BAMLC0A4CBBB!B:B,"",-1)</f>
        <v>1.47</v>
      </c>
      <c r="K838" s="2">
        <f>_xlfn.XLOOKUP(A838,CPIAUCSL!A:A,CPIAUCSL!B:B,"",-1)</f>
        <v>255.80199999999999</v>
      </c>
      <c r="L838">
        <f>_xlfn.XLOOKUP(A838,DFF!A:A,DFF!B:B,"",-1)</f>
        <v>2.39</v>
      </c>
      <c r="M838">
        <f>_xlfn.XLOOKUP(A838,'DGS2'!A:A,'DGS2'!B:B,"",-1)</f>
        <v>1.85</v>
      </c>
      <c r="N838">
        <f t="shared" si="107"/>
        <v>0</v>
      </c>
      <c r="O838">
        <f t="shared" si="108"/>
        <v>-1.0885509660889747E-2</v>
      </c>
      <c r="P838">
        <f t="shared" si="109"/>
        <v>0</v>
      </c>
      <c r="Q838">
        <f t="shared" si="110"/>
        <v>-1</v>
      </c>
    </row>
    <row r="839" spans="1:17">
      <c r="A839" s="1">
        <v>43677</v>
      </c>
      <c r="B839">
        <v>2980.38</v>
      </c>
      <c r="C839">
        <f t="shared" si="104"/>
        <v>-1.0885509660889747E-2</v>
      </c>
      <c r="D839">
        <f t="shared" si="111"/>
        <v>-1.5030437627649662E-2</v>
      </c>
      <c r="E839">
        <f>_xlfn.XLOOKUP(A839,VIX!A:A,VIX!B:B,"",-1)</f>
        <v>16.12</v>
      </c>
      <c r="F839">
        <f t="shared" si="105"/>
        <v>2.1800000000000015</v>
      </c>
      <c r="G839">
        <f>_xlfn.XLOOKUP(A839,'DGS10'!A:A,'DGS10'!B:B,"",-1)</f>
        <v>2.02</v>
      </c>
      <c r="H839">
        <f t="shared" si="106"/>
        <v>-4.0000000000000036E-2</v>
      </c>
      <c r="I839" s="2">
        <f>_xlfn.XLOOKUP(A839,T10Y3M!A:A,T10Y3M!B:B,"",-1)</f>
        <v>-0.06</v>
      </c>
      <c r="J839" s="2">
        <f>_xlfn.XLOOKUP(A839,BAMLC0A4CBBB!A:A,BAMLC0A4CBBB!B:B,"",-1)</f>
        <v>1.47</v>
      </c>
      <c r="K839" s="2">
        <f>_xlfn.XLOOKUP(A839,CPIAUCSL!A:A,CPIAUCSL!B:B,"",-1)</f>
        <v>255.80199999999999</v>
      </c>
      <c r="L839">
        <f>_xlfn.XLOOKUP(A839,DFF!A:A,DFF!B:B,"",-1)</f>
        <v>2.4</v>
      </c>
      <c r="M839">
        <f>_xlfn.XLOOKUP(A839,'DGS2'!A:A,'DGS2'!B:B,"",-1)</f>
        <v>1.89</v>
      </c>
      <c r="N839">
        <f t="shared" si="107"/>
        <v>3.9999999999999813E-2</v>
      </c>
      <c r="O839">
        <f t="shared" si="108"/>
        <v>-8.9988524953193982E-3</v>
      </c>
      <c r="P839">
        <f t="shared" si="109"/>
        <v>0</v>
      </c>
      <c r="Q839">
        <f t="shared" si="110"/>
        <v>-1</v>
      </c>
    </row>
    <row r="840" spans="1:17">
      <c r="A840" s="1">
        <v>43678</v>
      </c>
      <c r="B840">
        <v>2953.56</v>
      </c>
      <c r="C840">
        <f t="shared" si="104"/>
        <v>-8.9988524953193982E-3</v>
      </c>
      <c r="D840">
        <f t="shared" si="111"/>
        <v>-2.2314024965491175E-2</v>
      </c>
      <c r="E840">
        <f>_xlfn.XLOOKUP(A840,VIX!A:A,VIX!B:B,"",-1)</f>
        <v>17.87</v>
      </c>
      <c r="F840">
        <f t="shared" si="105"/>
        <v>1.75</v>
      </c>
      <c r="G840">
        <f>_xlfn.XLOOKUP(A840,'DGS10'!A:A,'DGS10'!B:B,"",-1)</f>
        <v>1.9</v>
      </c>
      <c r="H840">
        <f t="shared" si="106"/>
        <v>-0.12000000000000011</v>
      </c>
      <c r="I840" s="2">
        <f>_xlfn.XLOOKUP(A840,T10Y3M!A:A,T10Y3M!B:B,"",-1)</f>
        <v>-0.17</v>
      </c>
      <c r="J840" s="2">
        <f>_xlfn.XLOOKUP(A840,BAMLC0A4CBBB!A:A,BAMLC0A4CBBB!B:B,"",-1)</f>
        <v>1.51</v>
      </c>
      <c r="K840" s="2">
        <f>_xlfn.XLOOKUP(A840,CPIAUCSL!A:A,CPIAUCSL!B:B,"",-1)</f>
        <v>256.036</v>
      </c>
      <c r="L840">
        <f>_xlfn.XLOOKUP(A840,DFF!A:A,DFF!B:B,"",-1)</f>
        <v>2.14</v>
      </c>
      <c r="M840">
        <f>_xlfn.XLOOKUP(A840,'DGS2'!A:A,'DGS2'!B:B,"",-1)</f>
        <v>1.73</v>
      </c>
      <c r="N840">
        <f t="shared" si="107"/>
        <v>-0.15999999999999992</v>
      </c>
      <c r="O840">
        <f t="shared" si="108"/>
        <v>-7.2827367651240316E-3</v>
      </c>
      <c r="P840">
        <f t="shared" si="109"/>
        <v>0</v>
      </c>
      <c r="Q840">
        <f t="shared" si="110"/>
        <v>-1</v>
      </c>
    </row>
    <row r="841" spans="1:17">
      <c r="A841" s="1">
        <v>43679</v>
      </c>
      <c r="B841">
        <v>2932.05</v>
      </c>
      <c r="C841">
        <f t="shared" si="104"/>
        <v>-7.2827367651240316E-3</v>
      </c>
      <c r="D841">
        <f t="shared" si="111"/>
        <v>-2.6925042645975283E-2</v>
      </c>
      <c r="E841">
        <f>_xlfn.XLOOKUP(A841,VIX!A:A,VIX!B:B,"",-1)</f>
        <v>17.61</v>
      </c>
      <c r="F841">
        <f t="shared" si="105"/>
        <v>-0.26000000000000156</v>
      </c>
      <c r="G841">
        <f>_xlfn.XLOOKUP(A841,'DGS10'!A:A,'DGS10'!B:B,"",-1)</f>
        <v>1.86</v>
      </c>
      <c r="H841">
        <f t="shared" si="106"/>
        <v>-3.9999999999999813E-2</v>
      </c>
      <c r="I841" s="2">
        <f>_xlfn.XLOOKUP(A841,T10Y3M!A:A,T10Y3M!B:B,"",-1)</f>
        <v>-0.2</v>
      </c>
      <c r="J841" s="2">
        <f>_xlfn.XLOOKUP(A841,BAMLC0A4CBBB!A:A,BAMLC0A4CBBB!B:B,"",-1)</f>
        <v>1.53</v>
      </c>
      <c r="K841" s="2">
        <f>_xlfn.XLOOKUP(A841,CPIAUCSL!A:A,CPIAUCSL!B:B,"",-1)</f>
        <v>256.036</v>
      </c>
      <c r="L841">
        <f>_xlfn.XLOOKUP(A841,DFF!A:A,DFF!B:B,"",-1)</f>
        <v>2.14</v>
      </c>
      <c r="M841">
        <f>_xlfn.XLOOKUP(A841,'DGS2'!A:A,'DGS2'!B:B,"",-1)</f>
        <v>1.72</v>
      </c>
      <c r="N841">
        <f t="shared" si="107"/>
        <v>-1.0000000000000009E-2</v>
      </c>
      <c r="O841">
        <f t="shared" si="108"/>
        <v>-2.9777800514998121E-2</v>
      </c>
      <c r="P841">
        <f t="shared" si="109"/>
        <v>0</v>
      </c>
      <c r="Q841">
        <f t="shared" si="110"/>
        <v>-1</v>
      </c>
    </row>
    <row r="842" spans="1:17">
      <c r="A842" s="1">
        <v>43682</v>
      </c>
      <c r="B842">
        <v>2844.74</v>
      </c>
      <c r="C842">
        <f t="shared" si="104"/>
        <v>-2.9777800514998121E-2</v>
      </c>
      <c r="D842">
        <f t="shared" si="111"/>
        <v>-4.5510975110556462E-2</v>
      </c>
      <c r="E842">
        <f>_xlfn.XLOOKUP(A842,VIX!A:A,VIX!B:B,"",-1)</f>
        <v>24.59</v>
      </c>
      <c r="F842">
        <f t="shared" si="105"/>
        <v>6.98</v>
      </c>
      <c r="G842">
        <f>_xlfn.XLOOKUP(A842,'DGS10'!A:A,'DGS10'!B:B,"",-1)</f>
        <v>1.75</v>
      </c>
      <c r="H842">
        <f t="shared" si="106"/>
        <v>-0.1100000000000001</v>
      </c>
      <c r="I842" s="2">
        <f>_xlfn.XLOOKUP(A842,T10Y3M!A:A,T10Y3M!B:B,"",-1)</f>
        <v>-0.3</v>
      </c>
      <c r="J842" s="2">
        <f>_xlfn.XLOOKUP(A842,BAMLC0A4CBBB!A:A,BAMLC0A4CBBB!B:B,"",-1)</f>
        <v>1.58</v>
      </c>
      <c r="K842" s="2">
        <f>_xlfn.XLOOKUP(A842,CPIAUCSL!A:A,CPIAUCSL!B:B,"",-1)</f>
        <v>256.036</v>
      </c>
      <c r="L842">
        <f>_xlfn.XLOOKUP(A842,DFF!A:A,DFF!B:B,"",-1)</f>
        <v>2.13</v>
      </c>
      <c r="M842">
        <f>_xlfn.XLOOKUP(A842,'DGS2'!A:A,'DGS2'!B:B,"",-1)</f>
        <v>1.59</v>
      </c>
      <c r="N842">
        <f t="shared" si="107"/>
        <v>-0.12999999999999989</v>
      </c>
      <c r="O842">
        <f t="shared" si="108"/>
        <v>1.3017006826634425E-2</v>
      </c>
      <c r="P842">
        <f t="shared" si="109"/>
        <v>1</v>
      </c>
      <c r="Q842">
        <f t="shared" si="110"/>
        <v>1</v>
      </c>
    </row>
    <row r="843" spans="1:17">
      <c r="A843" s="1">
        <v>43683</v>
      </c>
      <c r="B843">
        <v>2881.77</v>
      </c>
      <c r="C843">
        <f t="shared" si="104"/>
        <v>1.3017006826634425E-2</v>
      </c>
      <c r="D843">
        <f t="shared" si="111"/>
        <v>-2.4306260919026546E-2</v>
      </c>
      <c r="E843">
        <f>_xlfn.XLOOKUP(A843,VIX!A:A,VIX!B:B,"",-1)</f>
        <v>20.170000000000002</v>
      </c>
      <c r="F843">
        <f t="shared" si="105"/>
        <v>-4.4199999999999982</v>
      </c>
      <c r="G843">
        <f>_xlfn.XLOOKUP(A843,'DGS10'!A:A,'DGS10'!B:B,"",-1)</f>
        <v>1.73</v>
      </c>
      <c r="H843">
        <f t="shared" si="106"/>
        <v>-2.0000000000000018E-2</v>
      </c>
      <c r="I843" s="2">
        <f>_xlfn.XLOOKUP(A843,T10Y3M!A:A,T10Y3M!B:B,"",-1)</f>
        <v>-0.32</v>
      </c>
      <c r="J843" s="2">
        <f>_xlfn.XLOOKUP(A843,BAMLC0A4CBBB!A:A,BAMLC0A4CBBB!B:B,"",-1)</f>
        <v>1.6</v>
      </c>
      <c r="K843" s="2">
        <f>_xlfn.XLOOKUP(A843,CPIAUCSL!A:A,CPIAUCSL!B:B,"",-1)</f>
        <v>256.036</v>
      </c>
      <c r="L843">
        <f>_xlfn.XLOOKUP(A843,DFF!A:A,DFF!B:B,"",-1)</f>
        <v>2.13</v>
      </c>
      <c r="M843">
        <f>_xlfn.XLOOKUP(A843,'DGS2'!A:A,'DGS2'!B:B,"",-1)</f>
        <v>1.6</v>
      </c>
      <c r="N843">
        <f t="shared" si="107"/>
        <v>1.0000000000000009E-2</v>
      </c>
      <c r="O843">
        <f t="shared" si="108"/>
        <v>7.6688979342565133E-4</v>
      </c>
      <c r="P843">
        <f t="shared" si="109"/>
        <v>1</v>
      </c>
      <c r="Q843">
        <f t="shared" si="110"/>
        <v>0</v>
      </c>
    </row>
    <row r="844" spans="1:17">
      <c r="A844" s="1">
        <v>43684</v>
      </c>
      <c r="B844">
        <v>2883.98</v>
      </c>
      <c r="C844">
        <f t="shared" si="104"/>
        <v>7.6688979342565133E-4</v>
      </c>
      <c r="D844">
        <f t="shared" si="111"/>
        <v>-1.6394672669292842E-2</v>
      </c>
      <c r="E844">
        <f>_xlfn.XLOOKUP(A844,VIX!A:A,VIX!B:B,"",-1)</f>
        <v>19.489999999999998</v>
      </c>
      <c r="F844">
        <f t="shared" si="105"/>
        <v>-0.68000000000000327</v>
      </c>
      <c r="G844">
        <f>_xlfn.XLOOKUP(A844,'DGS10'!A:A,'DGS10'!B:B,"",-1)</f>
        <v>1.71</v>
      </c>
      <c r="H844">
        <f t="shared" si="106"/>
        <v>-2.0000000000000018E-2</v>
      </c>
      <c r="I844" s="2">
        <f>_xlfn.XLOOKUP(A844,T10Y3M!A:A,T10Y3M!B:B,"",-1)</f>
        <v>-0.31</v>
      </c>
      <c r="J844" s="2">
        <f>_xlfn.XLOOKUP(A844,BAMLC0A4CBBB!A:A,BAMLC0A4CBBB!B:B,"",-1)</f>
        <v>1.62</v>
      </c>
      <c r="K844" s="2">
        <f>_xlfn.XLOOKUP(A844,CPIAUCSL!A:A,CPIAUCSL!B:B,"",-1)</f>
        <v>256.036</v>
      </c>
      <c r="L844">
        <f>_xlfn.XLOOKUP(A844,DFF!A:A,DFF!B:B,"",-1)</f>
        <v>2.12</v>
      </c>
      <c r="M844">
        <f>_xlfn.XLOOKUP(A844,'DGS2'!A:A,'DGS2'!B:B,"",-1)</f>
        <v>1.59</v>
      </c>
      <c r="N844">
        <f t="shared" si="107"/>
        <v>-1.0000000000000009E-2</v>
      </c>
      <c r="O844">
        <f t="shared" si="108"/>
        <v>1.8762266035132091E-2</v>
      </c>
      <c r="P844">
        <f t="shared" si="109"/>
        <v>1</v>
      </c>
      <c r="Q844">
        <f t="shared" si="110"/>
        <v>1</v>
      </c>
    </row>
    <row r="845" spans="1:17">
      <c r="A845" s="1">
        <v>43685</v>
      </c>
      <c r="B845">
        <v>2938.09</v>
      </c>
      <c r="C845">
        <f t="shared" si="104"/>
        <v>1.8762266035132091E-2</v>
      </c>
      <c r="D845">
        <f t="shared" si="111"/>
        <v>3.2814949696633233E-2</v>
      </c>
      <c r="E845">
        <f>_xlfn.XLOOKUP(A845,VIX!A:A,VIX!B:B,"",-1)</f>
        <v>16.91</v>
      </c>
      <c r="F845">
        <f t="shared" si="105"/>
        <v>-2.5799999999999983</v>
      </c>
      <c r="G845">
        <f>_xlfn.XLOOKUP(A845,'DGS10'!A:A,'DGS10'!B:B,"",-1)</f>
        <v>1.72</v>
      </c>
      <c r="H845">
        <f t="shared" si="106"/>
        <v>1.0000000000000009E-2</v>
      </c>
      <c r="I845" s="2">
        <f>_xlfn.XLOOKUP(A845,T10Y3M!A:A,T10Y3M!B:B,"",-1)</f>
        <v>-0.3</v>
      </c>
      <c r="J845" s="2">
        <f>_xlfn.XLOOKUP(A845,BAMLC0A4CBBB!A:A,BAMLC0A4CBBB!B:B,"",-1)</f>
        <v>1.61</v>
      </c>
      <c r="K845" s="2">
        <f>_xlfn.XLOOKUP(A845,CPIAUCSL!A:A,CPIAUCSL!B:B,"",-1)</f>
        <v>256.036</v>
      </c>
      <c r="L845">
        <f>_xlfn.XLOOKUP(A845,DFF!A:A,DFF!B:B,"",-1)</f>
        <v>2.12</v>
      </c>
      <c r="M845">
        <f>_xlfn.XLOOKUP(A845,'DGS2'!A:A,'DGS2'!B:B,"",-1)</f>
        <v>1.62</v>
      </c>
      <c r="N845">
        <f t="shared" si="107"/>
        <v>3.0000000000000027E-2</v>
      </c>
      <c r="O845">
        <f t="shared" si="108"/>
        <v>-6.6165434006446588E-3</v>
      </c>
      <c r="P845">
        <f t="shared" si="109"/>
        <v>0</v>
      </c>
      <c r="Q845">
        <f t="shared" si="110"/>
        <v>-1</v>
      </c>
    </row>
    <row r="846" spans="1:17">
      <c r="A846" s="1">
        <v>43686</v>
      </c>
      <c r="B846">
        <v>2918.65</v>
      </c>
      <c r="C846">
        <f t="shared" si="104"/>
        <v>-6.6165434006446588E-3</v>
      </c>
      <c r="D846">
        <f t="shared" si="111"/>
        <v>1.2797690308386844E-2</v>
      </c>
      <c r="E846">
        <f>_xlfn.XLOOKUP(A846,VIX!A:A,VIX!B:B,"",-1)</f>
        <v>17.97</v>
      </c>
      <c r="F846">
        <f t="shared" si="105"/>
        <v>1.0599999999999987</v>
      </c>
      <c r="G846">
        <f>_xlfn.XLOOKUP(A846,'DGS10'!A:A,'DGS10'!B:B,"",-1)</f>
        <v>1.74</v>
      </c>
      <c r="H846">
        <f t="shared" si="106"/>
        <v>2.0000000000000018E-2</v>
      </c>
      <c r="I846" s="2">
        <f>_xlfn.XLOOKUP(A846,T10Y3M!A:A,T10Y3M!B:B,"",-1)</f>
        <v>-0.26</v>
      </c>
      <c r="J846" s="2">
        <f>_xlfn.XLOOKUP(A846,BAMLC0A4CBBB!A:A,BAMLC0A4CBBB!B:B,"",-1)</f>
        <v>1.61</v>
      </c>
      <c r="K846" s="2">
        <f>_xlfn.XLOOKUP(A846,CPIAUCSL!A:A,CPIAUCSL!B:B,"",-1)</f>
        <v>256.036</v>
      </c>
      <c r="L846">
        <f>_xlfn.XLOOKUP(A846,DFF!A:A,DFF!B:B,"",-1)</f>
        <v>2.12</v>
      </c>
      <c r="M846">
        <f>_xlfn.XLOOKUP(A846,'DGS2'!A:A,'DGS2'!B:B,"",-1)</f>
        <v>1.63</v>
      </c>
      <c r="N846">
        <f t="shared" si="107"/>
        <v>9.9999999999997868E-3</v>
      </c>
      <c r="O846">
        <f t="shared" si="108"/>
        <v>-1.1957583129186489E-2</v>
      </c>
      <c r="P846">
        <f t="shared" si="109"/>
        <v>0</v>
      </c>
      <c r="Q846">
        <f t="shared" si="110"/>
        <v>-1</v>
      </c>
    </row>
    <row r="847" spans="1:17">
      <c r="A847" s="1">
        <v>43689</v>
      </c>
      <c r="B847">
        <v>2883.75</v>
      </c>
      <c r="C847">
        <f t="shared" si="104"/>
        <v>-1.1957583129186489E-2</v>
      </c>
      <c r="D847">
        <f t="shared" si="111"/>
        <v>-7.9750899798169961E-5</v>
      </c>
      <c r="E847">
        <f>_xlfn.XLOOKUP(A847,VIX!A:A,VIX!B:B,"",-1)</f>
        <v>21.09</v>
      </c>
      <c r="F847">
        <f t="shared" si="105"/>
        <v>3.120000000000001</v>
      </c>
      <c r="G847">
        <f>_xlfn.XLOOKUP(A847,'DGS10'!A:A,'DGS10'!B:B,"",-1)</f>
        <v>1.65</v>
      </c>
      <c r="H847">
        <f t="shared" si="106"/>
        <v>-9.000000000000008E-2</v>
      </c>
      <c r="I847" s="2">
        <f>_xlfn.XLOOKUP(A847,T10Y3M!A:A,T10Y3M!B:B,"",-1)</f>
        <v>-0.35</v>
      </c>
      <c r="J847" s="2">
        <f>_xlfn.XLOOKUP(A847,BAMLC0A4CBBB!A:A,BAMLC0A4CBBB!B:B,"",-1)</f>
        <v>1.63</v>
      </c>
      <c r="K847" s="2">
        <f>_xlfn.XLOOKUP(A847,CPIAUCSL!A:A,CPIAUCSL!B:B,"",-1)</f>
        <v>256.036</v>
      </c>
      <c r="L847">
        <f>_xlfn.XLOOKUP(A847,DFF!A:A,DFF!B:B,"",-1)</f>
        <v>2.12</v>
      </c>
      <c r="M847">
        <f>_xlfn.XLOOKUP(A847,'DGS2'!A:A,'DGS2'!B:B,"",-1)</f>
        <v>1.58</v>
      </c>
      <c r="N847">
        <f t="shared" si="107"/>
        <v>-4.9999999999999822E-2</v>
      </c>
      <c r="O847">
        <f t="shared" si="108"/>
        <v>1.4762028608582556E-2</v>
      </c>
      <c r="P847">
        <f t="shared" si="109"/>
        <v>1</v>
      </c>
      <c r="Q847">
        <f t="shared" si="110"/>
        <v>1</v>
      </c>
    </row>
    <row r="848" spans="1:17">
      <c r="A848" s="1">
        <v>43690</v>
      </c>
      <c r="B848">
        <v>2926.32</v>
      </c>
      <c r="C848">
        <f t="shared" si="104"/>
        <v>1.4762028608582556E-2</v>
      </c>
      <c r="D848">
        <f t="shared" si="111"/>
        <v>-4.0060039004932158E-3</v>
      </c>
      <c r="E848">
        <f>_xlfn.XLOOKUP(A848,VIX!A:A,VIX!B:B,"",-1)</f>
        <v>17.52</v>
      </c>
      <c r="F848">
        <f t="shared" si="105"/>
        <v>-3.5700000000000003</v>
      </c>
      <c r="G848">
        <f>_xlfn.XLOOKUP(A848,'DGS10'!A:A,'DGS10'!B:B,"",-1)</f>
        <v>1.68</v>
      </c>
      <c r="H848">
        <f t="shared" si="106"/>
        <v>3.0000000000000027E-2</v>
      </c>
      <c r="I848" s="2">
        <f>_xlfn.XLOOKUP(A848,T10Y3M!A:A,T10Y3M!B:B,"",-1)</f>
        <v>-0.32</v>
      </c>
      <c r="J848" s="2">
        <f>_xlfn.XLOOKUP(A848,BAMLC0A4CBBB!A:A,BAMLC0A4CBBB!B:B,"",-1)</f>
        <v>1.62</v>
      </c>
      <c r="K848" s="2">
        <f>_xlfn.XLOOKUP(A848,CPIAUCSL!A:A,CPIAUCSL!B:B,"",-1)</f>
        <v>256.036</v>
      </c>
      <c r="L848">
        <f>_xlfn.XLOOKUP(A848,DFF!A:A,DFF!B:B,"",-1)</f>
        <v>2.12</v>
      </c>
      <c r="M848">
        <f>_xlfn.XLOOKUP(A848,'DGS2'!A:A,'DGS2'!B:B,"",-1)</f>
        <v>1.66</v>
      </c>
      <c r="N848">
        <f t="shared" si="107"/>
        <v>7.9999999999999849E-2</v>
      </c>
      <c r="O848">
        <f t="shared" si="108"/>
        <v>-2.9292763607534411E-2</v>
      </c>
      <c r="P848">
        <f t="shared" si="109"/>
        <v>0</v>
      </c>
      <c r="Q848">
        <f t="shared" si="110"/>
        <v>-1</v>
      </c>
    </row>
    <row r="849" spans="1:17">
      <c r="A849" s="1">
        <v>43691</v>
      </c>
      <c r="B849">
        <v>2840.6</v>
      </c>
      <c r="C849">
        <f t="shared" si="104"/>
        <v>-2.9292763607534411E-2</v>
      </c>
      <c r="D849">
        <f t="shared" si="111"/>
        <v>-2.674181556541555E-2</v>
      </c>
      <c r="E849">
        <f>_xlfn.XLOOKUP(A849,VIX!A:A,VIX!B:B,"",-1)</f>
        <v>22.1</v>
      </c>
      <c r="F849">
        <f t="shared" si="105"/>
        <v>4.5800000000000018</v>
      </c>
      <c r="G849">
        <f>_xlfn.XLOOKUP(A849,'DGS10'!A:A,'DGS10'!B:B,"",-1)</f>
        <v>1.59</v>
      </c>
      <c r="H849">
        <f t="shared" si="106"/>
        <v>-8.9999999999999858E-2</v>
      </c>
      <c r="I849" s="2">
        <f>_xlfn.XLOOKUP(A849,T10Y3M!A:A,T10Y3M!B:B,"",-1)</f>
        <v>-0.37</v>
      </c>
      <c r="J849" s="2">
        <f>_xlfn.XLOOKUP(A849,BAMLC0A4CBBB!A:A,BAMLC0A4CBBB!B:B,"",-1)</f>
        <v>1.65</v>
      </c>
      <c r="K849" s="2">
        <f>_xlfn.XLOOKUP(A849,CPIAUCSL!A:A,CPIAUCSL!B:B,"",-1)</f>
        <v>256.036</v>
      </c>
      <c r="L849">
        <f>_xlfn.XLOOKUP(A849,DFF!A:A,DFF!B:B,"",-1)</f>
        <v>2.12</v>
      </c>
      <c r="M849">
        <f>_xlfn.XLOOKUP(A849,'DGS2'!A:A,'DGS2'!B:B,"",-1)</f>
        <v>1.58</v>
      </c>
      <c r="N849">
        <f t="shared" si="107"/>
        <v>-7.9999999999999849E-2</v>
      </c>
      <c r="O849">
        <f t="shared" si="108"/>
        <v>2.464268112370549E-3</v>
      </c>
      <c r="P849">
        <f t="shared" si="109"/>
        <v>1</v>
      </c>
      <c r="Q849">
        <f t="shared" si="110"/>
        <v>0</v>
      </c>
    </row>
    <row r="850" spans="1:17">
      <c r="A850" s="1">
        <v>43692</v>
      </c>
      <c r="B850">
        <v>2847.6</v>
      </c>
      <c r="C850">
        <f t="shared" si="104"/>
        <v>2.464268112370549E-3</v>
      </c>
      <c r="D850">
        <f t="shared" si="111"/>
        <v>-1.2535760728218492E-2</v>
      </c>
      <c r="E850">
        <f>_xlfn.XLOOKUP(A850,VIX!A:A,VIX!B:B,"",-1)</f>
        <v>21.18</v>
      </c>
      <c r="F850">
        <f t="shared" si="105"/>
        <v>-0.92000000000000171</v>
      </c>
      <c r="G850">
        <f>_xlfn.XLOOKUP(A850,'DGS10'!A:A,'DGS10'!B:B,"",-1)</f>
        <v>1.52</v>
      </c>
      <c r="H850">
        <f t="shared" si="106"/>
        <v>-7.0000000000000062E-2</v>
      </c>
      <c r="I850" s="2">
        <f>_xlfn.XLOOKUP(A850,T10Y3M!A:A,T10Y3M!B:B,"",-1)</f>
        <v>-0.39</v>
      </c>
      <c r="J850" s="2">
        <f>_xlfn.XLOOKUP(A850,BAMLC0A4CBBB!A:A,BAMLC0A4CBBB!B:B,"",-1)</f>
        <v>1.67</v>
      </c>
      <c r="K850" s="2">
        <f>_xlfn.XLOOKUP(A850,CPIAUCSL!A:A,CPIAUCSL!B:B,"",-1)</f>
        <v>256.036</v>
      </c>
      <c r="L850">
        <f>_xlfn.XLOOKUP(A850,DFF!A:A,DFF!B:B,"",-1)</f>
        <v>2.13</v>
      </c>
      <c r="M850">
        <f>_xlfn.XLOOKUP(A850,'DGS2'!A:A,'DGS2'!B:B,"",-1)</f>
        <v>1.48</v>
      </c>
      <c r="N850">
        <f t="shared" si="107"/>
        <v>-0.10000000000000009</v>
      </c>
      <c r="O850">
        <f t="shared" si="108"/>
        <v>1.4426183452732166E-2</v>
      </c>
      <c r="P850">
        <f t="shared" si="109"/>
        <v>1</v>
      </c>
      <c r="Q850">
        <f t="shared" si="110"/>
        <v>1</v>
      </c>
    </row>
    <row r="851" spans="1:17">
      <c r="A851" s="1">
        <v>43693</v>
      </c>
      <c r="B851">
        <v>2888.68</v>
      </c>
      <c r="C851">
        <f t="shared" si="104"/>
        <v>1.4426183452732166E-2</v>
      </c>
      <c r="D851">
        <f t="shared" si="111"/>
        <v>-1.2862571420760638E-2</v>
      </c>
      <c r="E851">
        <f>_xlfn.XLOOKUP(A851,VIX!A:A,VIX!B:B,"",-1)</f>
        <v>18.47</v>
      </c>
      <c r="F851">
        <f t="shared" si="105"/>
        <v>-2.7100000000000009</v>
      </c>
      <c r="G851">
        <f>_xlfn.XLOOKUP(A851,'DGS10'!A:A,'DGS10'!B:B,"",-1)</f>
        <v>1.55</v>
      </c>
      <c r="H851">
        <f t="shared" si="106"/>
        <v>3.0000000000000027E-2</v>
      </c>
      <c r="I851" s="2">
        <f>_xlfn.XLOOKUP(A851,T10Y3M!A:A,T10Y3M!B:B,"",-1)</f>
        <v>-0.32</v>
      </c>
      <c r="J851" s="2">
        <f>_xlfn.XLOOKUP(A851,BAMLC0A4CBBB!A:A,BAMLC0A4CBBB!B:B,"",-1)</f>
        <v>1.67</v>
      </c>
      <c r="K851" s="2">
        <f>_xlfn.XLOOKUP(A851,CPIAUCSL!A:A,CPIAUCSL!B:B,"",-1)</f>
        <v>256.036</v>
      </c>
      <c r="L851">
        <f>_xlfn.XLOOKUP(A851,DFF!A:A,DFF!B:B,"",-1)</f>
        <v>2.13</v>
      </c>
      <c r="M851">
        <f>_xlfn.XLOOKUP(A851,'DGS2'!A:A,'DGS2'!B:B,"",-1)</f>
        <v>1.48</v>
      </c>
      <c r="N851">
        <f t="shared" si="107"/>
        <v>0</v>
      </c>
      <c r="O851">
        <f t="shared" si="108"/>
        <v>1.2105875347909967E-2</v>
      </c>
      <c r="P851">
        <f t="shared" si="109"/>
        <v>1</v>
      </c>
      <c r="Q851">
        <f t="shared" si="110"/>
        <v>1</v>
      </c>
    </row>
    <row r="852" spans="1:17">
      <c r="A852" s="1">
        <v>43696</v>
      </c>
      <c r="B852">
        <v>2923.65</v>
      </c>
      <c r="C852">
        <f t="shared" si="104"/>
        <v>1.2105875347909967E-2</v>
      </c>
      <c r="D852">
        <f t="shared" si="111"/>
        <v>2.9236780961768627E-2</v>
      </c>
      <c r="E852">
        <f>_xlfn.XLOOKUP(A852,VIX!A:A,VIX!B:B,"",-1)</f>
        <v>16.88</v>
      </c>
      <c r="F852">
        <f t="shared" si="105"/>
        <v>-1.5899999999999999</v>
      </c>
      <c r="G852">
        <f>_xlfn.XLOOKUP(A852,'DGS10'!A:A,'DGS10'!B:B,"",-1)</f>
        <v>1.6</v>
      </c>
      <c r="H852">
        <f t="shared" si="106"/>
        <v>5.0000000000000044E-2</v>
      </c>
      <c r="I852" s="2">
        <f>_xlfn.XLOOKUP(A852,T10Y3M!A:A,T10Y3M!B:B,"",-1)</f>
        <v>-0.34</v>
      </c>
      <c r="J852" s="2">
        <f>_xlfn.XLOOKUP(A852,BAMLC0A4CBBB!A:A,BAMLC0A4CBBB!B:B,"",-1)</f>
        <v>1.65</v>
      </c>
      <c r="K852" s="2">
        <f>_xlfn.XLOOKUP(A852,CPIAUCSL!A:A,CPIAUCSL!B:B,"",-1)</f>
        <v>256.036</v>
      </c>
      <c r="L852">
        <f>_xlfn.XLOOKUP(A852,DFF!A:A,DFF!B:B,"",-1)</f>
        <v>2.13</v>
      </c>
      <c r="M852">
        <f>_xlfn.XLOOKUP(A852,'DGS2'!A:A,'DGS2'!B:B,"",-1)</f>
        <v>1.53</v>
      </c>
      <c r="N852">
        <f t="shared" si="107"/>
        <v>5.0000000000000044E-2</v>
      </c>
      <c r="O852">
        <f t="shared" si="108"/>
        <v>-7.9147640791475959E-3</v>
      </c>
      <c r="P852">
        <f t="shared" si="109"/>
        <v>0</v>
      </c>
      <c r="Q852">
        <f t="shared" si="110"/>
        <v>-1</v>
      </c>
    </row>
    <row r="853" spans="1:17">
      <c r="A853" s="1">
        <v>43697</v>
      </c>
      <c r="B853">
        <v>2900.51</v>
      </c>
      <c r="C853">
        <f t="shared" si="104"/>
        <v>-7.9147640791475959E-3</v>
      </c>
      <c r="D853">
        <f t="shared" si="111"/>
        <v>1.858055906728473E-2</v>
      </c>
      <c r="E853">
        <f>_xlfn.XLOOKUP(A853,VIX!A:A,VIX!B:B,"",-1)</f>
        <v>17.5</v>
      </c>
      <c r="F853">
        <f t="shared" si="105"/>
        <v>0.62000000000000099</v>
      </c>
      <c r="G853">
        <f>_xlfn.XLOOKUP(A853,'DGS10'!A:A,'DGS10'!B:B,"",-1)</f>
        <v>1.55</v>
      </c>
      <c r="H853">
        <f t="shared" si="106"/>
        <v>-5.0000000000000044E-2</v>
      </c>
      <c r="I853" s="2">
        <f>_xlfn.XLOOKUP(A853,T10Y3M!A:A,T10Y3M!B:B,"",-1)</f>
        <v>-0.39</v>
      </c>
      <c r="J853" s="2">
        <f>_xlfn.XLOOKUP(A853,BAMLC0A4CBBB!A:A,BAMLC0A4CBBB!B:B,"",-1)</f>
        <v>1.65</v>
      </c>
      <c r="K853" s="2">
        <f>_xlfn.XLOOKUP(A853,CPIAUCSL!A:A,CPIAUCSL!B:B,"",-1)</f>
        <v>256.036</v>
      </c>
      <c r="L853">
        <f>_xlfn.XLOOKUP(A853,DFF!A:A,DFF!B:B,"",-1)</f>
        <v>2.13</v>
      </c>
      <c r="M853">
        <f>_xlfn.XLOOKUP(A853,'DGS2'!A:A,'DGS2'!B:B,"",-1)</f>
        <v>1.5</v>
      </c>
      <c r="N853">
        <f t="shared" si="107"/>
        <v>-3.0000000000000027E-2</v>
      </c>
      <c r="O853">
        <f t="shared" si="108"/>
        <v>8.2468255582637262E-3</v>
      </c>
      <c r="P853">
        <f t="shared" si="109"/>
        <v>1</v>
      </c>
      <c r="Q853">
        <f t="shared" si="110"/>
        <v>1</v>
      </c>
    </row>
    <row r="854" spans="1:17">
      <c r="A854" s="1">
        <v>43698</v>
      </c>
      <c r="B854">
        <v>2924.43</v>
      </c>
      <c r="C854">
        <f t="shared" si="104"/>
        <v>8.2468255582637262E-3</v>
      </c>
      <c r="D854">
        <f t="shared" si="111"/>
        <v>1.237589487239843E-2</v>
      </c>
      <c r="E854">
        <f>_xlfn.XLOOKUP(A854,VIX!A:A,VIX!B:B,"",-1)</f>
        <v>15.8</v>
      </c>
      <c r="F854">
        <f t="shared" si="105"/>
        <v>-1.6999999999999993</v>
      </c>
      <c r="G854">
        <f>_xlfn.XLOOKUP(A854,'DGS10'!A:A,'DGS10'!B:B,"",-1)</f>
        <v>1.59</v>
      </c>
      <c r="H854">
        <f t="shared" si="106"/>
        <v>4.0000000000000036E-2</v>
      </c>
      <c r="I854" s="2">
        <f>_xlfn.XLOOKUP(A854,T10Y3M!A:A,T10Y3M!B:B,"",-1)</f>
        <v>-0.38</v>
      </c>
      <c r="J854" s="2">
        <f>_xlfn.XLOOKUP(A854,BAMLC0A4CBBB!A:A,BAMLC0A4CBBB!B:B,"",-1)</f>
        <v>1.63</v>
      </c>
      <c r="K854" s="2">
        <f>_xlfn.XLOOKUP(A854,CPIAUCSL!A:A,CPIAUCSL!B:B,"",-1)</f>
        <v>256.036</v>
      </c>
      <c r="L854">
        <f>_xlfn.XLOOKUP(A854,DFF!A:A,DFF!B:B,"",-1)</f>
        <v>2.12</v>
      </c>
      <c r="M854">
        <f>_xlfn.XLOOKUP(A854,'DGS2'!A:A,'DGS2'!B:B,"",-1)</f>
        <v>1.56</v>
      </c>
      <c r="N854">
        <f t="shared" si="107"/>
        <v>6.0000000000000053E-2</v>
      </c>
      <c r="O854">
        <f t="shared" si="108"/>
        <v>-5.0608152699838094E-4</v>
      </c>
      <c r="P854">
        <f t="shared" si="109"/>
        <v>0</v>
      </c>
      <c r="Q854">
        <f t="shared" si="110"/>
        <v>0</v>
      </c>
    </row>
    <row r="855" spans="1:17">
      <c r="A855" s="1">
        <v>43699</v>
      </c>
      <c r="B855">
        <v>2922.95</v>
      </c>
      <c r="C855">
        <f t="shared" si="104"/>
        <v>-5.0608152699838094E-4</v>
      </c>
      <c r="D855">
        <f t="shared" si="111"/>
        <v>-2.3942674396737473E-4</v>
      </c>
      <c r="E855">
        <f>_xlfn.XLOOKUP(A855,VIX!A:A,VIX!B:B,"",-1)</f>
        <v>16.68</v>
      </c>
      <c r="F855">
        <f t="shared" si="105"/>
        <v>0.87999999999999901</v>
      </c>
      <c r="G855">
        <f>_xlfn.XLOOKUP(A855,'DGS10'!A:A,'DGS10'!B:B,"",-1)</f>
        <v>1.62</v>
      </c>
      <c r="H855">
        <f t="shared" si="106"/>
        <v>3.0000000000000027E-2</v>
      </c>
      <c r="I855" s="2">
        <f>_xlfn.XLOOKUP(A855,T10Y3M!A:A,T10Y3M!B:B,"",-1)</f>
        <v>-0.38</v>
      </c>
      <c r="J855" s="2">
        <f>_xlfn.XLOOKUP(A855,BAMLC0A4CBBB!A:A,BAMLC0A4CBBB!B:B,"",-1)</f>
        <v>1.61</v>
      </c>
      <c r="K855" s="2">
        <f>_xlfn.XLOOKUP(A855,CPIAUCSL!A:A,CPIAUCSL!B:B,"",-1)</f>
        <v>256.036</v>
      </c>
      <c r="L855">
        <f>_xlfn.XLOOKUP(A855,DFF!A:A,DFF!B:B,"",-1)</f>
        <v>2.12</v>
      </c>
      <c r="M855">
        <f>_xlfn.XLOOKUP(A855,'DGS2'!A:A,'DGS2'!B:B,"",-1)</f>
        <v>1.61</v>
      </c>
      <c r="N855">
        <f t="shared" si="107"/>
        <v>5.0000000000000044E-2</v>
      </c>
      <c r="O855">
        <f t="shared" si="108"/>
        <v>-2.5946389777450785E-2</v>
      </c>
      <c r="P855">
        <f t="shared" si="109"/>
        <v>0</v>
      </c>
      <c r="Q855">
        <f t="shared" si="110"/>
        <v>-1</v>
      </c>
    </row>
    <row r="856" spans="1:17">
      <c r="A856" s="1">
        <v>43700</v>
      </c>
      <c r="B856">
        <v>2847.11</v>
      </c>
      <c r="C856">
        <f t="shared" si="104"/>
        <v>-2.5946389777450785E-2</v>
      </c>
      <c r="D856">
        <f t="shared" si="111"/>
        <v>-1.8410555385087513E-2</v>
      </c>
      <c r="E856">
        <f>_xlfn.XLOOKUP(A856,VIX!A:A,VIX!B:B,"",-1)</f>
        <v>19.87</v>
      </c>
      <c r="F856">
        <f t="shared" si="105"/>
        <v>3.1900000000000013</v>
      </c>
      <c r="G856">
        <f>_xlfn.XLOOKUP(A856,'DGS10'!A:A,'DGS10'!B:B,"",-1)</f>
        <v>1.52</v>
      </c>
      <c r="H856">
        <f t="shared" si="106"/>
        <v>-0.10000000000000009</v>
      </c>
      <c r="I856" s="2">
        <f>_xlfn.XLOOKUP(A856,T10Y3M!A:A,T10Y3M!B:B,"",-1)</f>
        <v>-0.45</v>
      </c>
      <c r="J856" s="2">
        <f>_xlfn.XLOOKUP(A856,BAMLC0A4CBBB!A:A,BAMLC0A4CBBB!B:B,"",-1)</f>
        <v>1.61</v>
      </c>
      <c r="K856" s="2">
        <f>_xlfn.XLOOKUP(A856,CPIAUCSL!A:A,CPIAUCSL!B:B,"",-1)</f>
        <v>256.036</v>
      </c>
      <c r="L856">
        <f>_xlfn.XLOOKUP(A856,DFF!A:A,DFF!B:B,"",-1)</f>
        <v>2.12</v>
      </c>
      <c r="M856">
        <f>_xlfn.XLOOKUP(A856,'DGS2'!A:A,'DGS2'!B:B,"",-1)</f>
        <v>1.51</v>
      </c>
      <c r="N856">
        <f t="shared" si="107"/>
        <v>-0.10000000000000009</v>
      </c>
      <c r="O856">
        <f t="shared" si="108"/>
        <v>1.0983067039910699E-2</v>
      </c>
      <c r="P856">
        <f t="shared" si="109"/>
        <v>1</v>
      </c>
      <c r="Q856">
        <f t="shared" si="110"/>
        <v>1</v>
      </c>
    </row>
    <row r="857" spans="1:17">
      <c r="A857" s="1">
        <v>43703</v>
      </c>
      <c r="B857">
        <v>2878.38</v>
      </c>
      <c r="C857">
        <f t="shared" si="104"/>
        <v>1.0983067039910699E-2</v>
      </c>
      <c r="D857">
        <f t="shared" si="111"/>
        <v>-1.5746658323160356E-2</v>
      </c>
      <c r="E857">
        <f>_xlfn.XLOOKUP(A857,VIX!A:A,VIX!B:B,"",-1)</f>
        <v>19.32</v>
      </c>
      <c r="F857">
        <f t="shared" si="105"/>
        <v>-0.55000000000000071</v>
      </c>
      <c r="G857">
        <f>_xlfn.XLOOKUP(A857,'DGS10'!A:A,'DGS10'!B:B,"",-1)</f>
        <v>1.54</v>
      </c>
      <c r="H857">
        <f t="shared" si="106"/>
        <v>2.0000000000000018E-2</v>
      </c>
      <c r="I857" s="2">
        <f>_xlfn.XLOOKUP(A857,T10Y3M!A:A,T10Y3M!B:B,"",-1)</f>
        <v>-0.47</v>
      </c>
      <c r="J857" s="2">
        <f>_xlfn.XLOOKUP(A857,BAMLC0A4CBBB!A:A,BAMLC0A4CBBB!B:B,"",-1)</f>
        <v>1.61</v>
      </c>
      <c r="K857" s="2">
        <f>_xlfn.XLOOKUP(A857,CPIAUCSL!A:A,CPIAUCSL!B:B,"",-1)</f>
        <v>256.036</v>
      </c>
      <c r="L857">
        <f>_xlfn.XLOOKUP(A857,DFF!A:A,DFF!B:B,"",-1)</f>
        <v>2.12</v>
      </c>
      <c r="M857">
        <f>_xlfn.XLOOKUP(A857,'DGS2'!A:A,'DGS2'!B:B,"",-1)</f>
        <v>1.54</v>
      </c>
      <c r="N857">
        <f t="shared" si="107"/>
        <v>3.0000000000000027E-2</v>
      </c>
      <c r="O857">
        <f t="shared" si="108"/>
        <v>-3.2031906836484936E-3</v>
      </c>
      <c r="P857">
        <f t="shared" si="109"/>
        <v>0</v>
      </c>
      <c r="Q857">
        <f t="shared" si="110"/>
        <v>-1</v>
      </c>
    </row>
    <row r="858" spans="1:17">
      <c r="A858" s="1">
        <v>43704</v>
      </c>
      <c r="B858">
        <v>2869.16</v>
      </c>
      <c r="C858">
        <f t="shared" si="104"/>
        <v>-3.2031906836484936E-3</v>
      </c>
      <c r="D858">
        <f t="shared" si="111"/>
        <v>-1.8402641167313827E-2</v>
      </c>
      <c r="E858">
        <f>_xlfn.XLOOKUP(A858,VIX!A:A,VIX!B:B,"",-1)</f>
        <v>20.309999999999999</v>
      </c>
      <c r="F858">
        <f t="shared" si="105"/>
        <v>0.98999999999999844</v>
      </c>
      <c r="G858">
        <f>_xlfn.XLOOKUP(A858,'DGS10'!A:A,'DGS10'!B:B,"",-1)</f>
        <v>1.49</v>
      </c>
      <c r="H858">
        <f t="shared" si="106"/>
        <v>-5.0000000000000044E-2</v>
      </c>
      <c r="I858" s="2">
        <f>_xlfn.XLOOKUP(A858,T10Y3M!A:A,T10Y3M!B:B,"",-1)</f>
        <v>-0.49</v>
      </c>
      <c r="J858" s="2">
        <f>_xlfn.XLOOKUP(A858,BAMLC0A4CBBB!A:A,BAMLC0A4CBBB!B:B,"",-1)</f>
        <v>1.62</v>
      </c>
      <c r="K858" s="2">
        <f>_xlfn.XLOOKUP(A858,CPIAUCSL!A:A,CPIAUCSL!B:B,"",-1)</f>
        <v>256.036</v>
      </c>
      <c r="L858">
        <f>_xlfn.XLOOKUP(A858,DFF!A:A,DFF!B:B,"",-1)</f>
        <v>2.12</v>
      </c>
      <c r="M858">
        <f>_xlfn.XLOOKUP(A858,'DGS2'!A:A,'DGS2'!B:B,"",-1)</f>
        <v>1.53</v>
      </c>
      <c r="N858">
        <f t="shared" si="107"/>
        <v>-1.0000000000000009E-2</v>
      </c>
      <c r="O858">
        <f t="shared" si="108"/>
        <v>6.545469754213773E-3</v>
      </c>
      <c r="P858">
        <f t="shared" si="109"/>
        <v>1</v>
      </c>
      <c r="Q858">
        <f t="shared" si="110"/>
        <v>1</v>
      </c>
    </row>
    <row r="859" spans="1:17">
      <c r="A859" s="1">
        <v>43705</v>
      </c>
      <c r="B859">
        <v>2887.94</v>
      </c>
      <c r="C859">
        <f t="shared" si="104"/>
        <v>6.545469754213773E-3</v>
      </c>
      <c r="D859">
        <f t="shared" si="111"/>
        <v>1.4340857922595207E-2</v>
      </c>
      <c r="E859">
        <f>_xlfn.XLOOKUP(A859,VIX!A:A,VIX!B:B,"",-1)</f>
        <v>19.350000000000001</v>
      </c>
      <c r="F859">
        <f t="shared" si="105"/>
        <v>-0.9599999999999973</v>
      </c>
      <c r="G859">
        <f>_xlfn.XLOOKUP(A859,'DGS10'!A:A,'DGS10'!B:B,"",-1)</f>
        <v>1.47</v>
      </c>
      <c r="H859">
        <f t="shared" si="106"/>
        <v>-2.0000000000000018E-2</v>
      </c>
      <c r="I859" s="2">
        <f>_xlfn.XLOOKUP(A859,T10Y3M!A:A,T10Y3M!B:B,"",-1)</f>
        <v>-0.52</v>
      </c>
      <c r="J859" s="2">
        <f>_xlfn.XLOOKUP(A859,BAMLC0A4CBBB!A:A,BAMLC0A4CBBB!B:B,"",-1)</f>
        <v>1.62</v>
      </c>
      <c r="K859" s="2">
        <f>_xlfn.XLOOKUP(A859,CPIAUCSL!A:A,CPIAUCSL!B:B,"",-1)</f>
        <v>256.036</v>
      </c>
      <c r="L859">
        <f>_xlfn.XLOOKUP(A859,DFF!A:A,DFF!B:B,"",-1)</f>
        <v>2.12</v>
      </c>
      <c r="M859">
        <f>_xlfn.XLOOKUP(A859,'DGS2'!A:A,'DGS2'!B:B,"",-1)</f>
        <v>1.5</v>
      </c>
      <c r="N859">
        <f t="shared" si="107"/>
        <v>-3.0000000000000027E-2</v>
      </c>
      <c r="O859">
        <f t="shared" si="108"/>
        <v>1.2687244194824032E-2</v>
      </c>
      <c r="P859">
        <f t="shared" si="109"/>
        <v>1</v>
      </c>
      <c r="Q859">
        <f t="shared" si="110"/>
        <v>1</v>
      </c>
    </row>
    <row r="860" spans="1:17">
      <c r="A860" s="1">
        <v>43706</v>
      </c>
      <c r="B860">
        <v>2924.58</v>
      </c>
      <c r="C860">
        <f t="shared" si="104"/>
        <v>1.2687244194824032E-2</v>
      </c>
      <c r="D860">
        <f t="shared" si="111"/>
        <v>1.6050695182706853E-2</v>
      </c>
      <c r="E860">
        <f>_xlfn.XLOOKUP(A860,VIX!A:A,VIX!B:B,"",-1)</f>
        <v>17.88</v>
      </c>
      <c r="F860">
        <f t="shared" si="105"/>
        <v>-1.4700000000000024</v>
      </c>
      <c r="G860">
        <f>_xlfn.XLOOKUP(A860,'DGS10'!A:A,'DGS10'!B:B,"",-1)</f>
        <v>1.5</v>
      </c>
      <c r="H860">
        <f t="shared" si="106"/>
        <v>3.0000000000000027E-2</v>
      </c>
      <c r="I860" s="2">
        <f>_xlfn.XLOOKUP(A860,T10Y3M!A:A,T10Y3M!B:B,"",-1)</f>
        <v>-0.49</v>
      </c>
      <c r="J860" s="2">
        <f>_xlfn.XLOOKUP(A860,BAMLC0A4CBBB!A:A,BAMLC0A4CBBB!B:B,"",-1)</f>
        <v>1.62</v>
      </c>
      <c r="K860" s="2">
        <f>_xlfn.XLOOKUP(A860,CPIAUCSL!A:A,CPIAUCSL!B:B,"",-1)</f>
        <v>256.036</v>
      </c>
      <c r="L860">
        <f>_xlfn.XLOOKUP(A860,DFF!A:A,DFF!B:B,"",-1)</f>
        <v>2.12</v>
      </c>
      <c r="M860">
        <f>_xlfn.XLOOKUP(A860,'DGS2'!A:A,'DGS2'!B:B,"",-1)</f>
        <v>1.53</v>
      </c>
      <c r="N860">
        <f t="shared" si="107"/>
        <v>3.0000000000000027E-2</v>
      </c>
      <c r="O860">
        <f t="shared" si="108"/>
        <v>6.4282734614895531E-4</v>
      </c>
      <c r="P860">
        <f t="shared" si="109"/>
        <v>1</v>
      </c>
      <c r="Q860">
        <f t="shared" si="110"/>
        <v>0</v>
      </c>
    </row>
    <row r="861" spans="1:17">
      <c r="A861" s="1">
        <v>43707</v>
      </c>
      <c r="B861">
        <v>2926.46</v>
      </c>
      <c r="C861">
        <f t="shared" si="104"/>
        <v>6.4282734614895531E-4</v>
      </c>
      <c r="D861">
        <f t="shared" si="111"/>
        <v>1.9971001965732205E-2</v>
      </c>
      <c r="E861">
        <f>_xlfn.XLOOKUP(A861,VIX!A:A,VIX!B:B,"",-1)</f>
        <v>18.98</v>
      </c>
      <c r="F861">
        <f t="shared" si="105"/>
        <v>1.1000000000000014</v>
      </c>
      <c r="G861">
        <f>_xlfn.XLOOKUP(A861,'DGS10'!A:A,'DGS10'!B:B,"",-1)</f>
        <v>1.5</v>
      </c>
      <c r="H861">
        <f t="shared" si="106"/>
        <v>0</v>
      </c>
      <c r="I861" s="2">
        <f>_xlfn.XLOOKUP(A861,T10Y3M!A:A,T10Y3M!B:B,"",-1)</f>
        <v>-0.49</v>
      </c>
      <c r="J861" s="2">
        <f>_xlfn.XLOOKUP(A861,BAMLC0A4CBBB!A:A,BAMLC0A4CBBB!B:B,"",-1)</f>
        <v>1.61</v>
      </c>
      <c r="K861" s="2">
        <f>_xlfn.XLOOKUP(A861,CPIAUCSL!A:A,CPIAUCSL!B:B,"",-1)</f>
        <v>256.036</v>
      </c>
      <c r="L861">
        <f>_xlfn.XLOOKUP(A861,DFF!A:A,DFF!B:B,"",-1)</f>
        <v>2.13</v>
      </c>
      <c r="M861">
        <f>_xlfn.XLOOKUP(A861,'DGS2'!A:A,'DGS2'!B:B,"",-1)</f>
        <v>1.5</v>
      </c>
      <c r="N861">
        <f t="shared" si="107"/>
        <v>-3.0000000000000027E-2</v>
      </c>
      <c r="O861">
        <f t="shared" si="108"/>
        <v>-6.8991204390287386E-3</v>
      </c>
      <c r="P861">
        <f t="shared" si="109"/>
        <v>0</v>
      </c>
      <c r="Q861">
        <f t="shared" si="110"/>
        <v>-1</v>
      </c>
    </row>
    <row r="862" spans="1:17">
      <c r="A862" s="1">
        <v>43711</v>
      </c>
      <c r="B862">
        <v>2906.27</v>
      </c>
      <c r="C862">
        <f t="shared" si="104"/>
        <v>-6.8991204390287386E-3</v>
      </c>
      <c r="D862">
        <f t="shared" si="111"/>
        <v>6.3470847732294278E-3</v>
      </c>
      <c r="E862">
        <f>_xlfn.XLOOKUP(A862,VIX!A:A,VIX!B:B,"",-1)</f>
        <v>19.66</v>
      </c>
      <c r="F862">
        <f t="shared" si="105"/>
        <v>0.67999999999999972</v>
      </c>
      <c r="G862">
        <f>_xlfn.XLOOKUP(A862,'DGS10'!A:A,'DGS10'!B:B,"",-1)</f>
        <v>1.47</v>
      </c>
      <c r="H862">
        <f t="shared" si="106"/>
        <v>-3.0000000000000027E-2</v>
      </c>
      <c r="I862" s="2">
        <f>_xlfn.XLOOKUP(A862,T10Y3M!A:A,T10Y3M!B:B,"",-1)</f>
        <v>-0.51</v>
      </c>
      <c r="J862" s="2">
        <f>_xlfn.XLOOKUP(A862,BAMLC0A4CBBB!A:A,BAMLC0A4CBBB!B:B,"",-1)</f>
        <v>1.63</v>
      </c>
      <c r="K862" s="2">
        <f>_xlfn.XLOOKUP(A862,CPIAUCSL!A:A,CPIAUCSL!B:B,"",-1)</f>
        <v>256.43</v>
      </c>
      <c r="L862">
        <f>_xlfn.XLOOKUP(A862,DFF!A:A,DFF!B:B,"",-1)</f>
        <v>2.13</v>
      </c>
      <c r="M862">
        <f>_xlfn.XLOOKUP(A862,'DGS2'!A:A,'DGS2'!B:B,"",-1)</f>
        <v>1.47</v>
      </c>
      <c r="N862">
        <f t="shared" si="107"/>
        <v>-3.0000000000000027E-2</v>
      </c>
      <c r="O862">
        <f t="shared" si="108"/>
        <v>1.0842075925499017E-2</v>
      </c>
      <c r="P862">
        <f t="shared" si="109"/>
        <v>1</v>
      </c>
      <c r="Q862">
        <f t="shared" si="110"/>
        <v>1</v>
      </c>
    </row>
    <row r="863" spans="1:17">
      <c r="A863" s="1">
        <v>43712</v>
      </c>
      <c r="B863">
        <v>2937.78</v>
      </c>
      <c r="C863">
        <f t="shared" si="104"/>
        <v>1.0842075925499017E-2</v>
      </c>
      <c r="D863">
        <f t="shared" si="111"/>
        <v>4.5134686006196301E-3</v>
      </c>
      <c r="E863">
        <f>_xlfn.XLOOKUP(A863,VIX!A:A,VIX!B:B,"",-1)</f>
        <v>17.329999999999998</v>
      </c>
      <c r="F863">
        <f t="shared" si="105"/>
        <v>-2.3300000000000018</v>
      </c>
      <c r="G863">
        <f>_xlfn.XLOOKUP(A863,'DGS10'!A:A,'DGS10'!B:B,"",-1)</f>
        <v>1.47</v>
      </c>
      <c r="H863">
        <f t="shared" si="106"/>
        <v>0</v>
      </c>
      <c r="I863" s="2">
        <f>_xlfn.XLOOKUP(A863,T10Y3M!A:A,T10Y3M!B:B,"",-1)</f>
        <v>-0.5</v>
      </c>
      <c r="J863" s="2">
        <f>_xlfn.XLOOKUP(A863,BAMLC0A4CBBB!A:A,BAMLC0A4CBBB!B:B,"",-1)</f>
        <v>1.63</v>
      </c>
      <c r="K863" s="2">
        <f>_xlfn.XLOOKUP(A863,CPIAUCSL!A:A,CPIAUCSL!B:B,"",-1)</f>
        <v>256.43</v>
      </c>
      <c r="L863">
        <f>_xlfn.XLOOKUP(A863,DFF!A:A,DFF!B:B,"",-1)</f>
        <v>2.13</v>
      </c>
      <c r="M863">
        <f>_xlfn.XLOOKUP(A863,'DGS2'!A:A,'DGS2'!B:B,"",-1)</f>
        <v>1.43</v>
      </c>
      <c r="N863">
        <f t="shared" si="107"/>
        <v>-4.0000000000000036E-2</v>
      </c>
      <c r="O863">
        <f t="shared" si="108"/>
        <v>1.3009823744460025E-2</v>
      </c>
      <c r="P863">
        <f t="shared" si="109"/>
        <v>1</v>
      </c>
      <c r="Q863">
        <f t="shared" si="110"/>
        <v>1</v>
      </c>
    </row>
    <row r="864" spans="1:17">
      <c r="A864" s="1">
        <v>43713</v>
      </c>
      <c r="B864">
        <v>2976</v>
      </c>
      <c r="C864">
        <f t="shared" si="104"/>
        <v>1.3009823744460025E-2</v>
      </c>
      <c r="D864">
        <f t="shared" si="111"/>
        <v>1.6928302454159549E-2</v>
      </c>
      <c r="E864">
        <f>_xlfn.XLOOKUP(A864,VIX!A:A,VIX!B:B,"",-1)</f>
        <v>16.27</v>
      </c>
      <c r="F864">
        <f t="shared" si="105"/>
        <v>-1.0599999999999987</v>
      </c>
      <c r="G864">
        <f>_xlfn.XLOOKUP(A864,'DGS10'!A:A,'DGS10'!B:B,"",-1)</f>
        <v>1.57</v>
      </c>
      <c r="H864">
        <f t="shared" si="106"/>
        <v>0.10000000000000009</v>
      </c>
      <c r="I864" s="2">
        <f>_xlfn.XLOOKUP(A864,T10Y3M!A:A,T10Y3M!B:B,"",-1)</f>
        <v>-0.4</v>
      </c>
      <c r="J864" s="2">
        <f>_xlfn.XLOOKUP(A864,BAMLC0A4CBBB!A:A,BAMLC0A4CBBB!B:B,"",-1)</f>
        <v>1.61</v>
      </c>
      <c r="K864" s="2">
        <f>_xlfn.XLOOKUP(A864,CPIAUCSL!A:A,CPIAUCSL!B:B,"",-1)</f>
        <v>256.43</v>
      </c>
      <c r="L864">
        <f>_xlfn.XLOOKUP(A864,DFF!A:A,DFF!B:B,"",-1)</f>
        <v>2.13</v>
      </c>
      <c r="M864">
        <f>_xlfn.XLOOKUP(A864,'DGS2'!A:A,'DGS2'!B:B,"",-1)</f>
        <v>1.55</v>
      </c>
      <c r="N864">
        <f t="shared" si="107"/>
        <v>0.12000000000000011</v>
      </c>
      <c r="O864">
        <f t="shared" si="108"/>
        <v>9.1061827956995245E-4</v>
      </c>
      <c r="P864">
        <f t="shared" si="109"/>
        <v>1</v>
      </c>
      <c r="Q864">
        <f t="shared" si="110"/>
        <v>0</v>
      </c>
    </row>
    <row r="865" spans="1:17">
      <c r="A865" s="1">
        <v>43714</v>
      </c>
      <c r="B865">
        <v>2978.71</v>
      </c>
      <c r="C865">
        <f t="shared" si="104"/>
        <v>9.1061827956995245E-4</v>
      </c>
      <c r="D865">
        <f t="shared" si="111"/>
        <v>2.4925419868078391E-2</v>
      </c>
      <c r="E865">
        <f>_xlfn.XLOOKUP(A865,VIX!A:A,VIX!B:B,"",-1)</f>
        <v>15</v>
      </c>
      <c r="F865">
        <f t="shared" si="105"/>
        <v>-1.2699999999999996</v>
      </c>
      <c r="G865">
        <f>_xlfn.XLOOKUP(A865,'DGS10'!A:A,'DGS10'!B:B,"",-1)</f>
        <v>1.55</v>
      </c>
      <c r="H865">
        <f t="shared" si="106"/>
        <v>-2.0000000000000018E-2</v>
      </c>
      <c r="I865" s="2">
        <f>_xlfn.XLOOKUP(A865,T10Y3M!A:A,T10Y3M!B:B,"",-1)</f>
        <v>-0.41</v>
      </c>
      <c r="J865" s="2">
        <f>_xlfn.XLOOKUP(A865,BAMLC0A4CBBB!A:A,BAMLC0A4CBBB!B:B,"",-1)</f>
        <v>1.61</v>
      </c>
      <c r="K865" s="2">
        <f>_xlfn.XLOOKUP(A865,CPIAUCSL!A:A,CPIAUCSL!B:B,"",-1)</f>
        <v>256.43</v>
      </c>
      <c r="L865">
        <f>_xlfn.XLOOKUP(A865,DFF!A:A,DFF!B:B,"",-1)</f>
        <v>2.12</v>
      </c>
      <c r="M865">
        <f>_xlfn.XLOOKUP(A865,'DGS2'!A:A,'DGS2'!B:B,"",-1)</f>
        <v>1.53</v>
      </c>
      <c r="N865">
        <f t="shared" si="107"/>
        <v>-2.0000000000000018E-2</v>
      </c>
      <c r="O865">
        <f t="shared" si="108"/>
        <v>-9.4000423002005284E-5</v>
      </c>
      <c r="P865">
        <f t="shared" si="109"/>
        <v>0</v>
      </c>
      <c r="Q865">
        <f t="shared" si="110"/>
        <v>0</v>
      </c>
    </row>
    <row r="866" spans="1:17">
      <c r="A866" s="1">
        <v>43717</v>
      </c>
      <c r="B866">
        <v>2978.43</v>
      </c>
      <c r="C866">
        <f t="shared" si="104"/>
        <v>-9.4000423002005284E-5</v>
      </c>
      <c r="D866">
        <f t="shared" si="111"/>
        <v>1.3836978943283507E-2</v>
      </c>
      <c r="E866">
        <f>_xlfn.XLOOKUP(A866,VIX!A:A,VIX!B:B,"",-1)</f>
        <v>15.27</v>
      </c>
      <c r="F866">
        <f t="shared" si="105"/>
        <v>0.26999999999999957</v>
      </c>
      <c r="G866">
        <f>_xlfn.XLOOKUP(A866,'DGS10'!A:A,'DGS10'!B:B,"",-1)</f>
        <v>1.63</v>
      </c>
      <c r="H866">
        <f t="shared" si="106"/>
        <v>7.9999999999999849E-2</v>
      </c>
      <c r="I866" s="2">
        <f>_xlfn.XLOOKUP(A866,T10Y3M!A:A,T10Y3M!B:B,"",-1)</f>
        <v>-0.33</v>
      </c>
      <c r="J866" s="2">
        <f>_xlfn.XLOOKUP(A866,BAMLC0A4CBBB!A:A,BAMLC0A4CBBB!B:B,"",-1)</f>
        <v>1.6</v>
      </c>
      <c r="K866" s="2">
        <f>_xlfn.XLOOKUP(A866,CPIAUCSL!A:A,CPIAUCSL!B:B,"",-1)</f>
        <v>256.43</v>
      </c>
      <c r="L866">
        <f>_xlfn.XLOOKUP(A866,DFF!A:A,DFF!B:B,"",-1)</f>
        <v>2.13</v>
      </c>
      <c r="M866">
        <f>_xlfn.XLOOKUP(A866,'DGS2'!A:A,'DGS2'!B:B,"",-1)</f>
        <v>1.58</v>
      </c>
      <c r="N866">
        <f t="shared" si="107"/>
        <v>5.0000000000000044E-2</v>
      </c>
      <c r="O866">
        <f t="shared" si="108"/>
        <v>3.2231746255573235E-4</v>
      </c>
      <c r="P866">
        <f t="shared" si="109"/>
        <v>1</v>
      </c>
      <c r="Q866">
        <f t="shared" si="110"/>
        <v>0</v>
      </c>
    </row>
    <row r="867" spans="1:17">
      <c r="A867" s="1">
        <v>43718</v>
      </c>
      <c r="B867">
        <v>2979.39</v>
      </c>
      <c r="C867">
        <f t="shared" si="104"/>
        <v>3.2231746255573235E-4</v>
      </c>
      <c r="D867">
        <f t="shared" si="111"/>
        <v>1.1391129032256586E-3</v>
      </c>
      <c r="E867">
        <f>_xlfn.XLOOKUP(A867,VIX!A:A,VIX!B:B,"",-1)</f>
        <v>15.2</v>
      </c>
      <c r="F867">
        <f t="shared" si="105"/>
        <v>-7.0000000000000284E-2</v>
      </c>
      <c r="G867">
        <f>_xlfn.XLOOKUP(A867,'DGS10'!A:A,'DGS10'!B:B,"",-1)</f>
        <v>1.72</v>
      </c>
      <c r="H867">
        <f t="shared" si="106"/>
        <v>9.000000000000008E-2</v>
      </c>
      <c r="I867" s="2">
        <f>_xlfn.XLOOKUP(A867,T10Y3M!A:A,T10Y3M!B:B,"",-1)</f>
        <v>-0.23</v>
      </c>
      <c r="J867" s="2">
        <f>_xlfn.XLOOKUP(A867,BAMLC0A4CBBB!A:A,BAMLC0A4CBBB!B:B,"",-1)</f>
        <v>1.6</v>
      </c>
      <c r="K867" s="2">
        <f>_xlfn.XLOOKUP(A867,CPIAUCSL!A:A,CPIAUCSL!B:B,"",-1)</f>
        <v>256.43</v>
      </c>
      <c r="L867">
        <f>_xlfn.XLOOKUP(A867,DFF!A:A,DFF!B:B,"",-1)</f>
        <v>2.13</v>
      </c>
      <c r="M867">
        <f>_xlfn.XLOOKUP(A867,'DGS2'!A:A,'DGS2'!B:B,"",-1)</f>
        <v>1.67</v>
      </c>
      <c r="N867">
        <f t="shared" si="107"/>
        <v>8.9999999999999858E-2</v>
      </c>
      <c r="O867">
        <f t="shared" si="108"/>
        <v>7.2296678179091245E-3</v>
      </c>
      <c r="P867">
        <f t="shared" si="109"/>
        <v>1</v>
      </c>
      <c r="Q867">
        <f t="shared" si="110"/>
        <v>1</v>
      </c>
    </row>
    <row r="868" spans="1:17">
      <c r="A868" s="1">
        <v>43719</v>
      </c>
      <c r="B868">
        <v>3000.93</v>
      </c>
      <c r="C868">
        <f t="shared" si="104"/>
        <v>7.2296678179091245E-3</v>
      </c>
      <c r="D868">
        <f t="shared" si="111"/>
        <v>7.4596049967938782E-3</v>
      </c>
      <c r="E868">
        <f>_xlfn.XLOOKUP(A868,VIX!A:A,VIX!B:B,"",-1)</f>
        <v>14.61</v>
      </c>
      <c r="F868">
        <f t="shared" si="105"/>
        <v>-0.58999999999999986</v>
      </c>
      <c r="G868">
        <f>_xlfn.XLOOKUP(A868,'DGS10'!A:A,'DGS10'!B:B,"",-1)</f>
        <v>1.75</v>
      </c>
      <c r="H868">
        <f t="shared" si="106"/>
        <v>3.0000000000000027E-2</v>
      </c>
      <c r="I868" s="2">
        <f>_xlfn.XLOOKUP(A868,T10Y3M!A:A,T10Y3M!B:B,"",-1)</f>
        <v>-0.21</v>
      </c>
      <c r="J868" s="2">
        <f>_xlfn.XLOOKUP(A868,BAMLC0A4CBBB!A:A,BAMLC0A4CBBB!B:B,"",-1)</f>
        <v>1.59</v>
      </c>
      <c r="K868" s="2">
        <f>_xlfn.XLOOKUP(A868,CPIAUCSL!A:A,CPIAUCSL!B:B,"",-1)</f>
        <v>256.43</v>
      </c>
      <c r="L868">
        <f>_xlfn.XLOOKUP(A868,DFF!A:A,DFF!B:B,"",-1)</f>
        <v>2.13</v>
      </c>
      <c r="M868">
        <f>_xlfn.XLOOKUP(A868,'DGS2'!A:A,'DGS2'!B:B,"",-1)</f>
        <v>1.68</v>
      </c>
      <c r="N868">
        <f t="shared" si="107"/>
        <v>1.0000000000000009E-2</v>
      </c>
      <c r="O868">
        <f t="shared" si="108"/>
        <v>2.8791074766822966E-3</v>
      </c>
      <c r="P868">
        <f t="shared" si="109"/>
        <v>1</v>
      </c>
      <c r="Q868">
        <f t="shared" si="110"/>
        <v>0</v>
      </c>
    </row>
    <row r="869" spans="1:17">
      <c r="A869" s="1">
        <v>43720</v>
      </c>
      <c r="B869">
        <v>3009.57</v>
      </c>
      <c r="C869">
        <f t="shared" si="104"/>
        <v>2.8791074766822966E-3</v>
      </c>
      <c r="D869">
        <f t="shared" si="111"/>
        <v>1.0455172691653081E-2</v>
      </c>
      <c r="E869">
        <f>_xlfn.XLOOKUP(A869,VIX!A:A,VIX!B:B,"",-1)</f>
        <v>14.22</v>
      </c>
      <c r="F869">
        <f t="shared" si="105"/>
        <v>-0.38999999999999879</v>
      </c>
      <c r="G869">
        <f>_xlfn.XLOOKUP(A869,'DGS10'!A:A,'DGS10'!B:B,"",-1)</f>
        <v>1.79</v>
      </c>
      <c r="H869">
        <f t="shared" si="106"/>
        <v>4.0000000000000036E-2</v>
      </c>
      <c r="I869" s="2">
        <f>_xlfn.XLOOKUP(A869,T10Y3M!A:A,T10Y3M!B:B,"",-1)</f>
        <v>-0.16</v>
      </c>
      <c r="J869" s="2">
        <f>_xlfn.XLOOKUP(A869,BAMLC0A4CBBB!A:A,BAMLC0A4CBBB!B:B,"",-1)</f>
        <v>1.56</v>
      </c>
      <c r="K869" s="2">
        <f>_xlfn.XLOOKUP(A869,CPIAUCSL!A:A,CPIAUCSL!B:B,"",-1)</f>
        <v>256.43</v>
      </c>
      <c r="L869">
        <f>_xlfn.XLOOKUP(A869,DFF!A:A,DFF!B:B,"",-1)</f>
        <v>2.13</v>
      </c>
      <c r="M869">
        <f>_xlfn.XLOOKUP(A869,'DGS2'!A:A,'DGS2'!B:B,"",-1)</f>
        <v>1.72</v>
      </c>
      <c r="N869">
        <f t="shared" si="107"/>
        <v>4.0000000000000036E-2</v>
      </c>
      <c r="O869">
        <f t="shared" si="108"/>
        <v>-7.2435597111886185E-4</v>
      </c>
      <c r="P869">
        <f t="shared" si="109"/>
        <v>0</v>
      </c>
      <c r="Q869">
        <f t="shared" si="110"/>
        <v>0</v>
      </c>
    </row>
    <row r="870" spans="1:17">
      <c r="A870" s="1">
        <v>43721</v>
      </c>
      <c r="B870">
        <v>3007.39</v>
      </c>
      <c r="C870">
        <f t="shared" si="104"/>
        <v>-7.2435597111886185E-4</v>
      </c>
      <c r="D870">
        <f t="shared" si="111"/>
        <v>9.3978968849328659E-3</v>
      </c>
      <c r="E870">
        <f>_xlfn.XLOOKUP(A870,VIX!A:A,VIX!B:B,"",-1)</f>
        <v>13.74</v>
      </c>
      <c r="F870">
        <f t="shared" si="105"/>
        <v>-0.48000000000000043</v>
      </c>
      <c r="G870">
        <f>_xlfn.XLOOKUP(A870,'DGS10'!A:A,'DGS10'!B:B,"",-1)</f>
        <v>1.9</v>
      </c>
      <c r="H870">
        <f t="shared" si="106"/>
        <v>0.10999999999999988</v>
      </c>
      <c r="I870" s="2">
        <f>_xlfn.XLOOKUP(A870,T10Y3M!A:A,T10Y3M!B:B,"",-1)</f>
        <v>-0.06</v>
      </c>
      <c r="J870" s="2">
        <f>_xlfn.XLOOKUP(A870,BAMLC0A4CBBB!A:A,BAMLC0A4CBBB!B:B,"",-1)</f>
        <v>1.54</v>
      </c>
      <c r="K870" s="2">
        <f>_xlfn.XLOOKUP(A870,CPIAUCSL!A:A,CPIAUCSL!B:B,"",-1)</f>
        <v>256.43</v>
      </c>
      <c r="L870">
        <f>_xlfn.XLOOKUP(A870,DFF!A:A,DFF!B:B,"",-1)</f>
        <v>2.14</v>
      </c>
      <c r="M870">
        <f>_xlfn.XLOOKUP(A870,'DGS2'!A:A,'DGS2'!B:B,"",-1)</f>
        <v>1.79</v>
      </c>
      <c r="N870">
        <f t="shared" si="107"/>
        <v>7.0000000000000062E-2</v>
      </c>
      <c r="O870">
        <f t="shared" si="108"/>
        <v>-3.1356092824674775E-3</v>
      </c>
      <c r="P870">
        <f t="shared" si="109"/>
        <v>0</v>
      </c>
      <c r="Q870">
        <f t="shared" si="110"/>
        <v>-1</v>
      </c>
    </row>
    <row r="871" spans="1:17">
      <c r="A871" s="1">
        <v>43724</v>
      </c>
      <c r="B871">
        <v>2997.96</v>
      </c>
      <c r="C871">
        <f t="shared" si="104"/>
        <v>-3.1356092824674775E-3</v>
      </c>
      <c r="D871">
        <f t="shared" si="111"/>
        <v>-9.8969319510944231E-4</v>
      </c>
      <c r="E871">
        <f>_xlfn.XLOOKUP(A871,VIX!A:A,VIX!B:B,"",-1)</f>
        <v>14.67</v>
      </c>
      <c r="F871">
        <f t="shared" si="105"/>
        <v>0.92999999999999972</v>
      </c>
      <c r="G871">
        <f>_xlfn.XLOOKUP(A871,'DGS10'!A:A,'DGS10'!B:B,"",-1)</f>
        <v>1.84</v>
      </c>
      <c r="H871">
        <f t="shared" si="106"/>
        <v>-5.9999999999999831E-2</v>
      </c>
      <c r="I871" s="2">
        <f>_xlfn.XLOOKUP(A871,T10Y3M!A:A,T10Y3M!B:B,"",-1)</f>
        <v>-0.15</v>
      </c>
      <c r="J871" s="2">
        <f>_xlfn.XLOOKUP(A871,BAMLC0A4CBBB!A:A,BAMLC0A4CBBB!B:B,"",-1)</f>
        <v>1.54</v>
      </c>
      <c r="K871" s="2">
        <f>_xlfn.XLOOKUP(A871,CPIAUCSL!A:A,CPIAUCSL!B:B,"",-1)</f>
        <v>256.43</v>
      </c>
      <c r="L871">
        <f>_xlfn.XLOOKUP(A871,DFF!A:A,DFF!B:B,"",-1)</f>
        <v>2.25</v>
      </c>
      <c r="M871">
        <f>_xlfn.XLOOKUP(A871,'DGS2'!A:A,'DGS2'!B:B,"",-1)</f>
        <v>1.74</v>
      </c>
      <c r="N871">
        <f t="shared" si="107"/>
        <v>-5.0000000000000044E-2</v>
      </c>
      <c r="O871">
        <f t="shared" si="108"/>
        <v>2.5817555938036918E-3</v>
      </c>
      <c r="P871">
        <f t="shared" si="109"/>
        <v>1</v>
      </c>
      <c r="Q871">
        <f t="shared" si="110"/>
        <v>0</v>
      </c>
    </row>
    <row r="872" spans="1:17">
      <c r="A872" s="1">
        <v>43725</v>
      </c>
      <c r="B872">
        <v>3005.7</v>
      </c>
      <c r="C872">
        <f t="shared" si="104"/>
        <v>2.5817555938036918E-3</v>
      </c>
      <c r="D872">
        <f t="shared" si="111"/>
        <v>-1.285897985426554E-3</v>
      </c>
      <c r="E872">
        <f>_xlfn.XLOOKUP(A872,VIX!A:A,VIX!B:B,"",-1)</f>
        <v>14.44</v>
      </c>
      <c r="F872">
        <f t="shared" si="105"/>
        <v>-0.23000000000000043</v>
      </c>
      <c r="G872">
        <f>_xlfn.XLOOKUP(A872,'DGS10'!A:A,'DGS10'!B:B,"",-1)</f>
        <v>1.81</v>
      </c>
      <c r="H872">
        <f t="shared" si="106"/>
        <v>-3.0000000000000027E-2</v>
      </c>
      <c r="I872" s="2">
        <f>_xlfn.XLOOKUP(A872,T10Y3M!A:A,T10Y3M!B:B,"",-1)</f>
        <v>-0.18</v>
      </c>
      <c r="J872" s="2">
        <f>_xlfn.XLOOKUP(A872,BAMLC0A4CBBB!A:A,BAMLC0A4CBBB!B:B,"",-1)</f>
        <v>1.54</v>
      </c>
      <c r="K872" s="2">
        <f>_xlfn.XLOOKUP(A872,CPIAUCSL!A:A,CPIAUCSL!B:B,"",-1)</f>
        <v>256.43</v>
      </c>
      <c r="L872">
        <f>_xlfn.XLOOKUP(A872,DFF!A:A,DFF!B:B,"",-1)</f>
        <v>2.2999999999999998</v>
      </c>
      <c r="M872">
        <f>_xlfn.XLOOKUP(A872,'DGS2'!A:A,'DGS2'!B:B,"",-1)</f>
        <v>1.72</v>
      </c>
      <c r="N872">
        <f t="shared" si="107"/>
        <v>-2.0000000000000018E-2</v>
      </c>
      <c r="O872">
        <f t="shared" si="108"/>
        <v>3.4268223708289192E-4</v>
      </c>
      <c r="P872">
        <f t="shared" si="109"/>
        <v>1</v>
      </c>
      <c r="Q872">
        <f t="shared" si="110"/>
        <v>0</v>
      </c>
    </row>
    <row r="873" spans="1:17">
      <c r="A873" s="1">
        <v>43726</v>
      </c>
      <c r="B873">
        <v>3006.73</v>
      </c>
      <c r="C873">
        <f t="shared" si="104"/>
        <v>3.4268223708289192E-4</v>
      </c>
      <c r="D873">
        <f t="shared" si="111"/>
        <v>-2.1945939834866479E-4</v>
      </c>
      <c r="E873">
        <f>_xlfn.XLOOKUP(A873,VIX!A:A,VIX!B:B,"",-1)</f>
        <v>13.95</v>
      </c>
      <c r="F873">
        <f t="shared" si="105"/>
        <v>-0.49000000000000021</v>
      </c>
      <c r="G873">
        <f>_xlfn.XLOOKUP(A873,'DGS10'!A:A,'DGS10'!B:B,"",-1)</f>
        <v>1.8</v>
      </c>
      <c r="H873">
        <f t="shared" si="106"/>
        <v>-1.0000000000000009E-2</v>
      </c>
      <c r="I873" s="2">
        <f>_xlfn.XLOOKUP(A873,T10Y3M!A:A,T10Y3M!B:B,"",-1)</f>
        <v>-0.15</v>
      </c>
      <c r="J873" s="2">
        <f>_xlfn.XLOOKUP(A873,BAMLC0A4CBBB!A:A,BAMLC0A4CBBB!B:B,"",-1)</f>
        <v>1.54</v>
      </c>
      <c r="K873" s="2">
        <f>_xlfn.XLOOKUP(A873,CPIAUCSL!A:A,CPIAUCSL!B:B,"",-1)</f>
        <v>256.43</v>
      </c>
      <c r="L873">
        <f>_xlfn.XLOOKUP(A873,DFF!A:A,DFF!B:B,"",-1)</f>
        <v>2.25</v>
      </c>
      <c r="M873">
        <f>_xlfn.XLOOKUP(A873,'DGS2'!A:A,'DGS2'!B:B,"",-1)</f>
        <v>1.77</v>
      </c>
      <c r="N873">
        <f t="shared" si="107"/>
        <v>5.0000000000000044E-2</v>
      </c>
      <c r="O873">
        <f t="shared" si="108"/>
        <v>1.9955233758972568E-5</v>
      </c>
      <c r="P873">
        <f t="shared" si="109"/>
        <v>1</v>
      </c>
      <c r="Q873">
        <f t="shared" si="110"/>
        <v>0</v>
      </c>
    </row>
    <row r="874" spans="1:17">
      <c r="A874" s="1">
        <v>43727</v>
      </c>
      <c r="B874">
        <v>3006.79</v>
      </c>
      <c r="C874">
        <f t="shared" si="104"/>
        <v>1.9955233758972568E-5</v>
      </c>
      <c r="D874">
        <f t="shared" si="111"/>
        <v>2.9453361619233842E-3</v>
      </c>
      <c r="E874">
        <f>_xlfn.XLOOKUP(A874,VIX!A:A,VIX!B:B,"",-1)</f>
        <v>14.05</v>
      </c>
      <c r="F874">
        <f t="shared" si="105"/>
        <v>0.10000000000000142</v>
      </c>
      <c r="G874">
        <f>_xlfn.XLOOKUP(A874,'DGS10'!A:A,'DGS10'!B:B,"",-1)</f>
        <v>1.79</v>
      </c>
      <c r="H874">
        <f t="shared" si="106"/>
        <v>-1.0000000000000009E-2</v>
      </c>
      <c r="I874" s="2">
        <f>_xlfn.XLOOKUP(A874,T10Y3M!A:A,T10Y3M!B:B,"",-1)</f>
        <v>-0.14000000000000001</v>
      </c>
      <c r="J874" s="2">
        <f>_xlfn.XLOOKUP(A874,BAMLC0A4CBBB!A:A,BAMLC0A4CBBB!B:B,"",-1)</f>
        <v>1.53</v>
      </c>
      <c r="K874" s="2">
        <f>_xlfn.XLOOKUP(A874,CPIAUCSL!A:A,CPIAUCSL!B:B,"",-1)</f>
        <v>256.43</v>
      </c>
      <c r="L874">
        <f>_xlfn.XLOOKUP(A874,DFF!A:A,DFF!B:B,"",-1)</f>
        <v>1.9</v>
      </c>
      <c r="M874">
        <f>_xlfn.XLOOKUP(A874,'DGS2'!A:A,'DGS2'!B:B,"",-1)</f>
        <v>1.74</v>
      </c>
      <c r="N874">
        <f t="shared" si="107"/>
        <v>-3.0000000000000027E-2</v>
      </c>
      <c r="O874">
        <f t="shared" si="108"/>
        <v>-4.895586322955614E-3</v>
      </c>
      <c r="P874">
        <f t="shared" si="109"/>
        <v>0</v>
      </c>
      <c r="Q874">
        <f t="shared" si="110"/>
        <v>-1</v>
      </c>
    </row>
    <row r="875" spans="1:17">
      <c r="A875" s="1">
        <v>43728</v>
      </c>
      <c r="B875">
        <v>2992.07</v>
      </c>
      <c r="C875">
        <f t="shared" si="104"/>
        <v>-4.895586322955614E-3</v>
      </c>
      <c r="D875">
        <f t="shared" si="111"/>
        <v>-4.5347173703296217E-3</v>
      </c>
      <c r="E875">
        <f>_xlfn.XLOOKUP(A875,VIX!A:A,VIX!B:B,"",-1)</f>
        <v>15.32</v>
      </c>
      <c r="F875">
        <f t="shared" si="105"/>
        <v>1.2699999999999996</v>
      </c>
      <c r="G875">
        <f>_xlfn.XLOOKUP(A875,'DGS10'!A:A,'DGS10'!B:B,"",-1)</f>
        <v>1.74</v>
      </c>
      <c r="H875">
        <f t="shared" si="106"/>
        <v>-5.0000000000000044E-2</v>
      </c>
      <c r="I875" s="2">
        <f>_xlfn.XLOOKUP(A875,T10Y3M!A:A,T10Y3M!B:B,"",-1)</f>
        <v>-0.17</v>
      </c>
      <c r="J875" s="2">
        <f>_xlfn.XLOOKUP(A875,BAMLC0A4CBBB!A:A,BAMLC0A4CBBB!B:B,"",-1)</f>
        <v>1.52</v>
      </c>
      <c r="K875" s="2">
        <f>_xlfn.XLOOKUP(A875,CPIAUCSL!A:A,CPIAUCSL!B:B,"",-1)</f>
        <v>256.43</v>
      </c>
      <c r="L875">
        <f>_xlfn.XLOOKUP(A875,DFF!A:A,DFF!B:B,"",-1)</f>
        <v>1.9</v>
      </c>
      <c r="M875">
        <f>_xlfn.XLOOKUP(A875,'DGS2'!A:A,'DGS2'!B:B,"",-1)</f>
        <v>1.69</v>
      </c>
      <c r="N875">
        <f t="shared" si="107"/>
        <v>-5.0000000000000044E-2</v>
      </c>
      <c r="O875">
        <f t="shared" si="108"/>
        <v>-9.6922866109405703E-5</v>
      </c>
      <c r="P875">
        <f t="shared" si="109"/>
        <v>0</v>
      </c>
      <c r="Q875">
        <f t="shared" si="110"/>
        <v>0</v>
      </c>
    </row>
    <row r="876" spans="1:17">
      <c r="A876" s="1">
        <v>43731</v>
      </c>
      <c r="B876">
        <v>2991.78</v>
      </c>
      <c r="C876">
        <f t="shared" si="104"/>
        <v>-9.6922866109405703E-5</v>
      </c>
      <c r="D876">
        <f t="shared" si="111"/>
        <v>-4.9721790782677466E-3</v>
      </c>
      <c r="E876">
        <f>_xlfn.XLOOKUP(A876,VIX!A:A,VIX!B:B,"",-1)</f>
        <v>14.91</v>
      </c>
      <c r="F876">
        <f t="shared" si="105"/>
        <v>-0.41000000000000014</v>
      </c>
      <c r="G876">
        <f>_xlfn.XLOOKUP(A876,'DGS10'!A:A,'DGS10'!B:B,"",-1)</f>
        <v>1.72</v>
      </c>
      <c r="H876">
        <f t="shared" si="106"/>
        <v>-2.0000000000000018E-2</v>
      </c>
      <c r="I876" s="2">
        <f>_xlfn.XLOOKUP(A876,T10Y3M!A:A,T10Y3M!B:B,"",-1)</f>
        <v>-0.22</v>
      </c>
      <c r="J876" s="2">
        <f>_xlfn.XLOOKUP(A876,BAMLC0A4CBBB!A:A,BAMLC0A4CBBB!B:B,"",-1)</f>
        <v>1.52</v>
      </c>
      <c r="K876" s="2">
        <f>_xlfn.XLOOKUP(A876,CPIAUCSL!A:A,CPIAUCSL!B:B,"",-1)</f>
        <v>256.43</v>
      </c>
      <c r="L876">
        <f>_xlfn.XLOOKUP(A876,DFF!A:A,DFF!B:B,"",-1)</f>
        <v>1.9</v>
      </c>
      <c r="M876">
        <f>_xlfn.XLOOKUP(A876,'DGS2'!A:A,'DGS2'!B:B,"",-1)</f>
        <v>1.68</v>
      </c>
      <c r="N876">
        <f t="shared" si="107"/>
        <v>-1.0000000000000009E-2</v>
      </c>
      <c r="O876">
        <f t="shared" si="108"/>
        <v>-8.4163942535883107E-3</v>
      </c>
      <c r="P876">
        <f t="shared" si="109"/>
        <v>0</v>
      </c>
      <c r="Q876">
        <f t="shared" si="110"/>
        <v>-1</v>
      </c>
    </row>
    <row r="877" spans="1:17">
      <c r="A877" s="1">
        <v>43732</v>
      </c>
      <c r="B877">
        <v>2966.6</v>
      </c>
      <c r="C877">
        <f t="shared" si="104"/>
        <v>-8.4163942535883107E-3</v>
      </c>
      <c r="D877">
        <f t="shared" si="111"/>
        <v>-1.3366414016276473E-2</v>
      </c>
      <c r="E877">
        <f>_xlfn.XLOOKUP(A877,VIX!A:A,VIX!B:B,"",-1)</f>
        <v>17.05</v>
      </c>
      <c r="F877">
        <f t="shared" si="105"/>
        <v>2.1400000000000006</v>
      </c>
      <c r="G877">
        <f>_xlfn.XLOOKUP(A877,'DGS10'!A:A,'DGS10'!B:B,"",-1)</f>
        <v>1.64</v>
      </c>
      <c r="H877">
        <f t="shared" si="106"/>
        <v>-8.0000000000000071E-2</v>
      </c>
      <c r="I877" s="2">
        <f>_xlfn.XLOOKUP(A877,T10Y3M!A:A,T10Y3M!B:B,"",-1)</f>
        <v>-0.28000000000000003</v>
      </c>
      <c r="J877" s="2">
        <f>_xlfn.XLOOKUP(A877,BAMLC0A4CBBB!A:A,BAMLC0A4CBBB!B:B,"",-1)</f>
        <v>1.54</v>
      </c>
      <c r="K877" s="2">
        <f>_xlfn.XLOOKUP(A877,CPIAUCSL!A:A,CPIAUCSL!B:B,"",-1)</f>
        <v>256.43</v>
      </c>
      <c r="L877">
        <f>_xlfn.XLOOKUP(A877,DFF!A:A,DFF!B:B,"",-1)</f>
        <v>1.9</v>
      </c>
      <c r="M877">
        <f>_xlfn.XLOOKUP(A877,'DGS2'!A:A,'DGS2'!B:B,"",-1)</f>
        <v>1.6</v>
      </c>
      <c r="N877">
        <f t="shared" si="107"/>
        <v>-7.9999999999999849E-2</v>
      </c>
      <c r="O877">
        <f t="shared" si="108"/>
        <v>6.1585653610194413E-3</v>
      </c>
      <c r="P877">
        <f t="shared" si="109"/>
        <v>1</v>
      </c>
      <c r="Q877">
        <f t="shared" si="110"/>
        <v>1</v>
      </c>
    </row>
    <row r="878" spans="1:17">
      <c r="A878" s="1">
        <v>43733</v>
      </c>
      <c r="B878">
        <v>2984.87</v>
      </c>
      <c r="C878">
        <f t="shared" si="104"/>
        <v>6.1585653610194413E-3</v>
      </c>
      <c r="D878">
        <f t="shared" si="111"/>
        <v>-2.4063608137511183E-3</v>
      </c>
      <c r="E878">
        <f>_xlfn.XLOOKUP(A878,VIX!A:A,VIX!B:B,"",-1)</f>
        <v>15.96</v>
      </c>
      <c r="F878">
        <f t="shared" si="105"/>
        <v>-1.0899999999999999</v>
      </c>
      <c r="G878">
        <f>_xlfn.XLOOKUP(A878,'DGS10'!A:A,'DGS10'!B:B,"",-1)</f>
        <v>1.73</v>
      </c>
      <c r="H878">
        <f t="shared" si="106"/>
        <v>9.000000000000008E-2</v>
      </c>
      <c r="I878" s="2">
        <f>_xlfn.XLOOKUP(A878,T10Y3M!A:A,T10Y3M!B:B,"",-1)</f>
        <v>-0.16</v>
      </c>
      <c r="J878" s="2">
        <f>_xlfn.XLOOKUP(A878,BAMLC0A4CBBB!A:A,BAMLC0A4CBBB!B:B,"",-1)</f>
        <v>1.54</v>
      </c>
      <c r="K878" s="2">
        <f>_xlfn.XLOOKUP(A878,CPIAUCSL!A:A,CPIAUCSL!B:B,"",-1)</f>
        <v>256.43</v>
      </c>
      <c r="L878">
        <f>_xlfn.XLOOKUP(A878,DFF!A:A,DFF!B:B,"",-1)</f>
        <v>1.9</v>
      </c>
      <c r="M878">
        <f>_xlfn.XLOOKUP(A878,'DGS2'!A:A,'DGS2'!B:B,"",-1)</f>
        <v>1.68</v>
      </c>
      <c r="N878">
        <f t="shared" si="107"/>
        <v>7.9999999999999849E-2</v>
      </c>
      <c r="O878">
        <f t="shared" si="108"/>
        <v>-2.4289165022262083E-3</v>
      </c>
      <c r="P878">
        <f t="shared" si="109"/>
        <v>0</v>
      </c>
      <c r="Q878">
        <f t="shared" si="110"/>
        <v>0</v>
      </c>
    </row>
    <row r="879" spans="1:17">
      <c r="A879" s="1">
        <v>43734</v>
      </c>
      <c r="B879">
        <v>2977.62</v>
      </c>
      <c r="C879">
        <f t="shared" si="104"/>
        <v>-2.4289165022262083E-3</v>
      </c>
      <c r="D879">
        <f t="shared" si="111"/>
        <v>-4.7329683332331118E-3</v>
      </c>
      <c r="E879">
        <f>_xlfn.XLOOKUP(A879,VIX!A:A,VIX!B:B,"",-1)</f>
        <v>16.07</v>
      </c>
      <c r="F879">
        <f t="shared" si="105"/>
        <v>0.10999999999999943</v>
      </c>
      <c r="G879">
        <f>_xlfn.XLOOKUP(A879,'DGS10'!A:A,'DGS10'!B:B,"",-1)</f>
        <v>1.7</v>
      </c>
      <c r="H879">
        <f t="shared" si="106"/>
        <v>-3.0000000000000027E-2</v>
      </c>
      <c r="I879" s="2">
        <f>_xlfn.XLOOKUP(A879,T10Y3M!A:A,T10Y3M!B:B,"",-1)</f>
        <v>-0.13</v>
      </c>
      <c r="J879" s="2">
        <f>_xlfn.XLOOKUP(A879,BAMLC0A4CBBB!A:A,BAMLC0A4CBBB!B:B,"",-1)</f>
        <v>1.54</v>
      </c>
      <c r="K879" s="2">
        <f>_xlfn.XLOOKUP(A879,CPIAUCSL!A:A,CPIAUCSL!B:B,"",-1)</f>
        <v>256.43</v>
      </c>
      <c r="L879">
        <f>_xlfn.XLOOKUP(A879,DFF!A:A,DFF!B:B,"",-1)</f>
        <v>1.85</v>
      </c>
      <c r="M879">
        <f>_xlfn.XLOOKUP(A879,'DGS2'!A:A,'DGS2'!B:B,"",-1)</f>
        <v>1.66</v>
      </c>
      <c r="N879">
        <f t="shared" si="107"/>
        <v>-2.0000000000000018E-2</v>
      </c>
      <c r="O879">
        <f t="shared" si="108"/>
        <v>-5.316326462073695E-3</v>
      </c>
      <c r="P879">
        <f t="shared" si="109"/>
        <v>0</v>
      </c>
      <c r="Q879">
        <f t="shared" si="110"/>
        <v>-1</v>
      </c>
    </row>
    <row r="880" spans="1:17">
      <c r="A880" s="1">
        <v>43735</v>
      </c>
      <c r="B880">
        <v>2961.79</v>
      </c>
      <c r="C880">
        <f t="shared" si="104"/>
        <v>-5.316326462073695E-3</v>
      </c>
      <c r="D880">
        <f t="shared" si="111"/>
        <v>-1.6213847502191125E-3</v>
      </c>
      <c r="E880">
        <f>_xlfn.XLOOKUP(A880,VIX!A:A,VIX!B:B,"",-1)</f>
        <v>17.22</v>
      </c>
      <c r="F880">
        <f t="shared" si="105"/>
        <v>1.1499999999999986</v>
      </c>
      <c r="G880">
        <f>_xlfn.XLOOKUP(A880,'DGS10'!A:A,'DGS10'!B:B,"",-1)</f>
        <v>1.69</v>
      </c>
      <c r="H880">
        <f t="shared" si="106"/>
        <v>-1.0000000000000009E-2</v>
      </c>
      <c r="I880" s="2">
        <f>_xlfn.XLOOKUP(A880,T10Y3M!A:A,T10Y3M!B:B,"",-1)</f>
        <v>-0.11</v>
      </c>
      <c r="J880" s="2">
        <f>_xlfn.XLOOKUP(A880,BAMLC0A4CBBB!A:A,BAMLC0A4CBBB!B:B,"",-1)</f>
        <v>1.55</v>
      </c>
      <c r="K880" s="2">
        <f>_xlfn.XLOOKUP(A880,CPIAUCSL!A:A,CPIAUCSL!B:B,"",-1)</f>
        <v>256.43</v>
      </c>
      <c r="L880">
        <f>_xlfn.XLOOKUP(A880,DFF!A:A,DFF!B:B,"",-1)</f>
        <v>1.83</v>
      </c>
      <c r="M880">
        <f>_xlfn.XLOOKUP(A880,'DGS2'!A:A,'DGS2'!B:B,"",-1)</f>
        <v>1.63</v>
      </c>
      <c r="N880">
        <f t="shared" si="107"/>
        <v>-3.0000000000000027E-2</v>
      </c>
      <c r="O880">
        <f t="shared" si="108"/>
        <v>5.0476232278453548E-3</v>
      </c>
      <c r="P880">
        <f t="shared" si="109"/>
        <v>1</v>
      </c>
      <c r="Q880">
        <f t="shared" si="110"/>
        <v>1</v>
      </c>
    </row>
    <row r="881" spans="1:17">
      <c r="A881" s="1">
        <v>43738</v>
      </c>
      <c r="B881">
        <v>2976.74</v>
      </c>
      <c r="C881">
        <f t="shared" si="104"/>
        <v>5.0476232278453548E-3</v>
      </c>
      <c r="D881">
        <f t="shared" si="111"/>
        <v>-2.7237367121516476E-3</v>
      </c>
      <c r="E881">
        <f>_xlfn.XLOOKUP(A881,VIX!A:A,VIX!B:B,"",-1)</f>
        <v>16.239999999999998</v>
      </c>
      <c r="F881">
        <f t="shared" si="105"/>
        <v>-0.98000000000000043</v>
      </c>
      <c r="G881">
        <f>_xlfn.XLOOKUP(A881,'DGS10'!A:A,'DGS10'!B:B,"",-1)</f>
        <v>1.68</v>
      </c>
      <c r="H881">
        <f t="shared" si="106"/>
        <v>-1.0000000000000009E-2</v>
      </c>
      <c r="I881" s="2">
        <f>_xlfn.XLOOKUP(A881,T10Y3M!A:A,T10Y3M!B:B,"",-1)</f>
        <v>-0.2</v>
      </c>
      <c r="J881" s="2">
        <f>_xlfn.XLOOKUP(A881,BAMLC0A4CBBB!A:A,BAMLC0A4CBBB!B:B,"",-1)</f>
        <v>1.56</v>
      </c>
      <c r="K881" s="2">
        <f>_xlfn.XLOOKUP(A881,CPIAUCSL!A:A,CPIAUCSL!B:B,"",-1)</f>
        <v>256.43</v>
      </c>
      <c r="L881">
        <f>_xlfn.XLOOKUP(A881,DFF!A:A,DFF!B:B,"",-1)</f>
        <v>1.9</v>
      </c>
      <c r="M881">
        <f>_xlfn.XLOOKUP(A881,'DGS2'!A:A,'DGS2'!B:B,"",-1)</f>
        <v>1.63</v>
      </c>
      <c r="N881">
        <f t="shared" si="107"/>
        <v>0</v>
      </c>
      <c r="O881">
        <f t="shared" si="108"/>
        <v>-1.2258376613342059E-2</v>
      </c>
      <c r="P881">
        <f t="shared" si="109"/>
        <v>0</v>
      </c>
      <c r="Q881">
        <f t="shared" si="110"/>
        <v>-1</v>
      </c>
    </row>
    <row r="882" spans="1:17">
      <c r="A882" s="1">
        <v>43739</v>
      </c>
      <c r="B882">
        <v>2940.25</v>
      </c>
      <c r="C882">
        <f t="shared" si="104"/>
        <v>-1.2258376613342059E-2</v>
      </c>
      <c r="D882">
        <f t="shared" si="111"/>
        <v>-1.2550291843821504E-2</v>
      </c>
      <c r="E882">
        <f>_xlfn.XLOOKUP(A882,VIX!A:A,VIX!B:B,"",-1)</f>
        <v>18.559999999999999</v>
      </c>
      <c r="F882">
        <f t="shared" si="105"/>
        <v>2.3200000000000003</v>
      </c>
      <c r="G882">
        <f>_xlfn.XLOOKUP(A882,'DGS10'!A:A,'DGS10'!B:B,"",-1)</f>
        <v>1.65</v>
      </c>
      <c r="H882">
        <f t="shared" si="106"/>
        <v>-3.0000000000000027E-2</v>
      </c>
      <c r="I882" s="2">
        <f>_xlfn.XLOOKUP(A882,T10Y3M!A:A,T10Y3M!B:B,"",-1)</f>
        <v>-0.17</v>
      </c>
      <c r="J882" s="2">
        <f>_xlfn.XLOOKUP(A882,BAMLC0A4CBBB!A:A,BAMLC0A4CBBB!B:B,"",-1)</f>
        <v>1.56</v>
      </c>
      <c r="K882" s="2">
        <f>_xlfn.XLOOKUP(A882,CPIAUCSL!A:A,CPIAUCSL!B:B,"",-1)</f>
        <v>257.15499999999997</v>
      </c>
      <c r="L882">
        <f>_xlfn.XLOOKUP(A882,DFF!A:A,DFF!B:B,"",-1)</f>
        <v>1.88</v>
      </c>
      <c r="M882">
        <f>_xlfn.XLOOKUP(A882,'DGS2'!A:A,'DGS2'!B:B,"",-1)</f>
        <v>1.56</v>
      </c>
      <c r="N882">
        <f t="shared" si="107"/>
        <v>-6.999999999999984E-2</v>
      </c>
      <c r="O882">
        <f t="shared" si="108"/>
        <v>-1.7903239520448921E-2</v>
      </c>
      <c r="P882">
        <f t="shared" si="109"/>
        <v>0</v>
      </c>
      <c r="Q882">
        <f t="shared" si="110"/>
        <v>-1</v>
      </c>
    </row>
    <row r="883" spans="1:17">
      <c r="A883" s="1">
        <v>43740</v>
      </c>
      <c r="B883">
        <v>2887.61</v>
      </c>
      <c r="C883">
        <f t="shared" si="104"/>
        <v>-1.7903239520448921E-2</v>
      </c>
      <c r="D883">
        <f t="shared" si="111"/>
        <v>-2.5045664952613067E-2</v>
      </c>
      <c r="E883">
        <f>_xlfn.XLOOKUP(A883,VIX!A:A,VIX!B:B,"",-1)</f>
        <v>20.56</v>
      </c>
      <c r="F883">
        <f t="shared" si="105"/>
        <v>2</v>
      </c>
      <c r="G883">
        <f>_xlfn.XLOOKUP(A883,'DGS10'!A:A,'DGS10'!B:B,"",-1)</f>
        <v>1.6</v>
      </c>
      <c r="H883">
        <f t="shared" si="106"/>
        <v>-4.9999999999999822E-2</v>
      </c>
      <c r="I883" s="2">
        <f>_xlfn.XLOOKUP(A883,T10Y3M!A:A,T10Y3M!B:B,"",-1)</f>
        <v>-0.19</v>
      </c>
      <c r="J883" s="2">
        <f>_xlfn.XLOOKUP(A883,BAMLC0A4CBBB!A:A,BAMLC0A4CBBB!B:B,"",-1)</f>
        <v>1.59</v>
      </c>
      <c r="K883" s="2">
        <f>_xlfn.XLOOKUP(A883,CPIAUCSL!A:A,CPIAUCSL!B:B,"",-1)</f>
        <v>257.15499999999997</v>
      </c>
      <c r="L883">
        <f>_xlfn.XLOOKUP(A883,DFF!A:A,DFF!B:B,"",-1)</f>
        <v>1.85</v>
      </c>
      <c r="M883">
        <f>_xlfn.XLOOKUP(A883,'DGS2'!A:A,'DGS2'!B:B,"",-1)</f>
        <v>1.48</v>
      </c>
      <c r="N883">
        <f t="shared" si="107"/>
        <v>-8.0000000000000071E-2</v>
      </c>
      <c r="O883">
        <f t="shared" si="108"/>
        <v>7.9719906774113891E-3</v>
      </c>
      <c r="P883">
        <f t="shared" si="109"/>
        <v>1</v>
      </c>
      <c r="Q883">
        <f t="shared" si="110"/>
        <v>1</v>
      </c>
    </row>
    <row r="884" spans="1:17">
      <c r="A884" s="1">
        <v>43741</v>
      </c>
      <c r="B884">
        <v>2910.63</v>
      </c>
      <c r="C884">
        <f t="shared" si="104"/>
        <v>7.9719906774113891E-3</v>
      </c>
      <c r="D884">
        <f t="shared" si="111"/>
        <v>-2.220885935620831E-2</v>
      </c>
      <c r="E884">
        <f>_xlfn.XLOOKUP(A884,VIX!A:A,VIX!B:B,"",-1)</f>
        <v>19.12</v>
      </c>
      <c r="F884">
        <f t="shared" si="105"/>
        <v>-1.4399999999999977</v>
      </c>
      <c r="G884">
        <f>_xlfn.XLOOKUP(A884,'DGS10'!A:A,'DGS10'!B:B,"",-1)</f>
        <v>1.54</v>
      </c>
      <c r="H884">
        <f t="shared" si="106"/>
        <v>-6.0000000000000053E-2</v>
      </c>
      <c r="I884" s="2">
        <f>_xlfn.XLOOKUP(A884,T10Y3M!A:A,T10Y3M!B:B,"",-1)</f>
        <v>-0.16</v>
      </c>
      <c r="J884" s="2">
        <f>_xlfn.XLOOKUP(A884,BAMLC0A4CBBB!A:A,BAMLC0A4CBBB!B:B,"",-1)</f>
        <v>1.61</v>
      </c>
      <c r="K884" s="2">
        <f>_xlfn.XLOOKUP(A884,CPIAUCSL!A:A,CPIAUCSL!B:B,"",-1)</f>
        <v>257.15499999999997</v>
      </c>
      <c r="L884">
        <f>_xlfn.XLOOKUP(A884,DFF!A:A,DFF!B:B,"",-1)</f>
        <v>1.83</v>
      </c>
      <c r="M884">
        <f>_xlfn.XLOOKUP(A884,'DGS2'!A:A,'DGS2'!B:B,"",-1)</f>
        <v>1.39</v>
      </c>
      <c r="N884">
        <f t="shared" si="107"/>
        <v>-9.000000000000008E-2</v>
      </c>
      <c r="O884">
        <f t="shared" si="108"/>
        <v>1.4216853396000317E-2</v>
      </c>
      <c r="P884">
        <f t="shared" si="109"/>
        <v>1</v>
      </c>
      <c r="Q884">
        <f t="shared" si="110"/>
        <v>1</v>
      </c>
    </row>
    <row r="885" spans="1:17">
      <c r="A885" s="1">
        <v>43742</v>
      </c>
      <c r="B885">
        <v>2952.01</v>
      </c>
      <c r="C885">
        <f t="shared" si="104"/>
        <v>1.4216853396000317E-2</v>
      </c>
      <c r="D885">
        <f t="shared" si="111"/>
        <v>3.9996598928664362E-3</v>
      </c>
      <c r="E885">
        <f>_xlfn.XLOOKUP(A885,VIX!A:A,VIX!B:B,"",-1)</f>
        <v>17.04</v>
      </c>
      <c r="F885">
        <f t="shared" si="105"/>
        <v>-2.0800000000000018</v>
      </c>
      <c r="G885">
        <f>_xlfn.XLOOKUP(A885,'DGS10'!A:A,'DGS10'!B:B,"",-1)</f>
        <v>1.52</v>
      </c>
      <c r="H885">
        <f t="shared" si="106"/>
        <v>-2.0000000000000018E-2</v>
      </c>
      <c r="I885" s="2">
        <f>_xlfn.XLOOKUP(A885,T10Y3M!A:A,T10Y3M!B:B,"",-1)</f>
        <v>-0.19</v>
      </c>
      <c r="J885" s="2">
        <f>_xlfn.XLOOKUP(A885,BAMLC0A4CBBB!A:A,BAMLC0A4CBBB!B:B,"",-1)</f>
        <v>1.61</v>
      </c>
      <c r="K885" s="2">
        <f>_xlfn.XLOOKUP(A885,CPIAUCSL!A:A,CPIAUCSL!B:B,"",-1)</f>
        <v>257.15499999999997</v>
      </c>
      <c r="L885">
        <f>_xlfn.XLOOKUP(A885,DFF!A:A,DFF!B:B,"",-1)</f>
        <v>1.82</v>
      </c>
      <c r="M885">
        <f>_xlfn.XLOOKUP(A885,'DGS2'!A:A,'DGS2'!B:B,"",-1)</f>
        <v>1.4</v>
      </c>
      <c r="N885">
        <f t="shared" si="107"/>
        <v>1.0000000000000009E-2</v>
      </c>
      <c r="O885">
        <f t="shared" si="108"/>
        <v>-4.4783046127893078E-3</v>
      </c>
      <c r="P885">
        <f t="shared" si="109"/>
        <v>0</v>
      </c>
      <c r="Q885">
        <f t="shared" si="110"/>
        <v>-1</v>
      </c>
    </row>
    <row r="886" spans="1:17">
      <c r="A886" s="1">
        <v>43745</v>
      </c>
      <c r="B886">
        <v>2938.79</v>
      </c>
      <c r="C886">
        <f t="shared" si="104"/>
        <v>-4.4783046127893078E-3</v>
      </c>
      <c r="D886">
        <f t="shared" si="111"/>
        <v>1.7724000124670569E-2</v>
      </c>
      <c r="E886">
        <f>_xlfn.XLOOKUP(A886,VIX!A:A,VIX!B:B,"",-1)</f>
        <v>17.86</v>
      </c>
      <c r="F886">
        <f t="shared" si="105"/>
        <v>0.82000000000000028</v>
      </c>
      <c r="G886">
        <f>_xlfn.XLOOKUP(A886,'DGS10'!A:A,'DGS10'!B:B,"",-1)</f>
        <v>1.56</v>
      </c>
      <c r="H886">
        <f t="shared" si="106"/>
        <v>4.0000000000000036E-2</v>
      </c>
      <c r="I886" s="2">
        <f>_xlfn.XLOOKUP(A886,T10Y3M!A:A,T10Y3M!B:B,"",-1)</f>
        <v>-0.19</v>
      </c>
      <c r="J886" s="2">
        <f>_xlfn.XLOOKUP(A886,BAMLC0A4CBBB!A:A,BAMLC0A4CBBB!B:B,"",-1)</f>
        <v>1.6</v>
      </c>
      <c r="K886" s="2">
        <f>_xlfn.XLOOKUP(A886,CPIAUCSL!A:A,CPIAUCSL!B:B,"",-1)</f>
        <v>257.15499999999997</v>
      </c>
      <c r="L886">
        <f>_xlfn.XLOOKUP(A886,DFF!A:A,DFF!B:B,"",-1)</f>
        <v>1.82</v>
      </c>
      <c r="M886">
        <f>_xlfn.XLOOKUP(A886,'DGS2'!A:A,'DGS2'!B:B,"",-1)</f>
        <v>1.46</v>
      </c>
      <c r="N886">
        <f t="shared" si="107"/>
        <v>6.0000000000000053E-2</v>
      </c>
      <c r="O886">
        <f t="shared" si="108"/>
        <v>-1.5560826054260457E-2</v>
      </c>
      <c r="P886">
        <f t="shared" si="109"/>
        <v>0</v>
      </c>
      <c r="Q886">
        <f t="shared" si="110"/>
        <v>-1</v>
      </c>
    </row>
    <row r="887" spans="1:17">
      <c r="A887" s="1">
        <v>43746</v>
      </c>
      <c r="B887">
        <v>2893.06</v>
      </c>
      <c r="C887">
        <f t="shared" si="104"/>
        <v>-1.5560826054260457E-2</v>
      </c>
      <c r="D887">
        <f t="shared" si="111"/>
        <v>-6.0364938174897187E-3</v>
      </c>
      <c r="E887">
        <f>_xlfn.XLOOKUP(A887,VIX!A:A,VIX!B:B,"",-1)</f>
        <v>20.28</v>
      </c>
      <c r="F887">
        <f t="shared" si="105"/>
        <v>2.4200000000000017</v>
      </c>
      <c r="G887">
        <f>_xlfn.XLOOKUP(A887,'DGS10'!A:A,'DGS10'!B:B,"",-1)</f>
        <v>1.54</v>
      </c>
      <c r="H887">
        <f t="shared" si="106"/>
        <v>-2.0000000000000018E-2</v>
      </c>
      <c r="I887" s="2">
        <f>_xlfn.XLOOKUP(A887,T10Y3M!A:A,T10Y3M!B:B,"",-1)</f>
        <v>-0.18</v>
      </c>
      <c r="J887" s="2">
        <f>_xlfn.XLOOKUP(A887,BAMLC0A4CBBB!A:A,BAMLC0A4CBBB!B:B,"",-1)</f>
        <v>1.61</v>
      </c>
      <c r="K887" s="2">
        <f>_xlfn.XLOOKUP(A887,CPIAUCSL!A:A,CPIAUCSL!B:B,"",-1)</f>
        <v>257.15499999999997</v>
      </c>
      <c r="L887">
        <f>_xlfn.XLOOKUP(A887,DFF!A:A,DFF!B:B,"",-1)</f>
        <v>1.82</v>
      </c>
      <c r="M887">
        <f>_xlfn.XLOOKUP(A887,'DGS2'!A:A,'DGS2'!B:B,"",-1)</f>
        <v>1.42</v>
      </c>
      <c r="N887">
        <f t="shared" si="107"/>
        <v>-4.0000000000000036E-2</v>
      </c>
      <c r="O887">
        <f t="shared" si="108"/>
        <v>9.104546742895181E-3</v>
      </c>
      <c r="P887">
        <f t="shared" si="109"/>
        <v>1</v>
      </c>
      <c r="Q887">
        <f t="shared" si="110"/>
        <v>1</v>
      </c>
    </row>
    <row r="888" spans="1:17">
      <c r="A888" s="1">
        <v>43747</v>
      </c>
      <c r="B888">
        <v>2919.4</v>
      </c>
      <c r="C888">
        <f t="shared" si="104"/>
        <v>9.104546742895181E-3</v>
      </c>
      <c r="D888">
        <f t="shared" si="111"/>
        <v>-1.1046710546373517E-2</v>
      </c>
      <c r="E888">
        <f>_xlfn.XLOOKUP(A888,VIX!A:A,VIX!B:B,"",-1)</f>
        <v>18.64</v>
      </c>
      <c r="F888">
        <f t="shared" si="105"/>
        <v>-1.6400000000000006</v>
      </c>
      <c r="G888">
        <f>_xlfn.XLOOKUP(A888,'DGS10'!A:A,'DGS10'!B:B,"",-1)</f>
        <v>1.59</v>
      </c>
      <c r="H888">
        <f t="shared" si="106"/>
        <v>5.0000000000000044E-2</v>
      </c>
      <c r="I888" s="2">
        <f>_xlfn.XLOOKUP(A888,T10Y3M!A:A,T10Y3M!B:B,"",-1)</f>
        <v>-0.1</v>
      </c>
      <c r="J888" s="2">
        <f>_xlfn.XLOOKUP(A888,BAMLC0A4CBBB!A:A,BAMLC0A4CBBB!B:B,"",-1)</f>
        <v>1.61</v>
      </c>
      <c r="K888" s="2">
        <f>_xlfn.XLOOKUP(A888,CPIAUCSL!A:A,CPIAUCSL!B:B,"",-1)</f>
        <v>257.15499999999997</v>
      </c>
      <c r="L888">
        <f>_xlfn.XLOOKUP(A888,DFF!A:A,DFF!B:B,"",-1)</f>
        <v>1.82</v>
      </c>
      <c r="M888">
        <f>_xlfn.XLOOKUP(A888,'DGS2'!A:A,'DGS2'!B:B,"",-1)</f>
        <v>1.47</v>
      </c>
      <c r="N888">
        <f t="shared" si="107"/>
        <v>5.0000000000000044E-2</v>
      </c>
      <c r="O888">
        <f t="shared" si="108"/>
        <v>6.4157018565458301E-3</v>
      </c>
      <c r="P888">
        <f t="shared" si="109"/>
        <v>1</v>
      </c>
      <c r="Q888">
        <f t="shared" si="110"/>
        <v>1</v>
      </c>
    </row>
    <row r="889" spans="1:17">
      <c r="A889" s="1">
        <v>43748</v>
      </c>
      <c r="B889">
        <v>2938.13</v>
      </c>
      <c r="C889">
        <f t="shared" si="104"/>
        <v>6.4157018565458301E-3</v>
      </c>
      <c r="D889">
        <f t="shared" si="111"/>
        <v>-2.2458222601817734E-4</v>
      </c>
      <c r="E889">
        <f>_xlfn.XLOOKUP(A889,VIX!A:A,VIX!B:B,"",-1)</f>
        <v>17.57</v>
      </c>
      <c r="F889">
        <f t="shared" si="105"/>
        <v>-1.0700000000000003</v>
      </c>
      <c r="G889">
        <f>_xlfn.XLOOKUP(A889,'DGS10'!A:A,'DGS10'!B:B,"",-1)</f>
        <v>1.67</v>
      </c>
      <c r="H889">
        <f t="shared" si="106"/>
        <v>7.9999999999999849E-2</v>
      </c>
      <c r="I889" s="2">
        <f>_xlfn.XLOOKUP(A889,T10Y3M!A:A,T10Y3M!B:B,"",-1)</f>
        <v>-0.01</v>
      </c>
      <c r="J889" s="2">
        <f>_xlfn.XLOOKUP(A889,BAMLC0A4CBBB!A:A,BAMLC0A4CBBB!B:B,"",-1)</f>
        <v>1.59</v>
      </c>
      <c r="K889" s="2">
        <f>_xlfn.XLOOKUP(A889,CPIAUCSL!A:A,CPIAUCSL!B:B,"",-1)</f>
        <v>257.15499999999997</v>
      </c>
      <c r="L889">
        <f>_xlfn.XLOOKUP(A889,DFF!A:A,DFF!B:B,"",-1)</f>
        <v>1.82</v>
      </c>
      <c r="M889">
        <f>_xlfn.XLOOKUP(A889,'DGS2'!A:A,'DGS2'!B:B,"",-1)</f>
        <v>1.53</v>
      </c>
      <c r="N889">
        <f t="shared" si="107"/>
        <v>6.0000000000000053E-2</v>
      </c>
      <c r="O889">
        <f t="shared" si="108"/>
        <v>1.0938930544257763E-2</v>
      </c>
      <c r="P889">
        <f t="shared" si="109"/>
        <v>1</v>
      </c>
      <c r="Q889">
        <f t="shared" si="110"/>
        <v>1</v>
      </c>
    </row>
    <row r="890" spans="1:17">
      <c r="A890" s="1">
        <v>43749</v>
      </c>
      <c r="B890">
        <v>2970.27</v>
      </c>
      <c r="C890">
        <f t="shared" si="104"/>
        <v>1.0938930544257763E-2</v>
      </c>
      <c r="D890">
        <f t="shared" si="111"/>
        <v>2.6688005088038258E-2</v>
      </c>
      <c r="E890">
        <f>_xlfn.XLOOKUP(A890,VIX!A:A,VIX!B:B,"",-1)</f>
        <v>15.58</v>
      </c>
      <c r="F890">
        <f t="shared" si="105"/>
        <v>-1.9900000000000002</v>
      </c>
      <c r="G890">
        <f>_xlfn.XLOOKUP(A890,'DGS10'!A:A,'DGS10'!B:B,"",-1)</f>
        <v>1.76</v>
      </c>
      <c r="H890">
        <f t="shared" si="106"/>
        <v>9.000000000000008E-2</v>
      </c>
      <c r="I890" s="2">
        <f>_xlfn.XLOOKUP(A890,T10Y3M!A:A,T10Y3M!B:B,"",-1)</f>
        <v>0.08</v>
      </c>
      <c r="J890" s="2">
        <f>_xlfn.XLOOKUP(A890,BAMLC0A4CBBB!A:A,BAMLC0A4CBBB!B:B,"",-1)</f>
        <v>1.56</v>
      </c>
      <c r="K890" s="2">
        <f>_xlfn.XLOOKUP(A890,CPIAUCSL!A:A,CPIAUCSL!B:B,"",-1)</f>
        <v>257.15499999999997</v>
      </c>
      <c r="L890">
        <f>_xlfn.XLOOKUP(A890,DFF!A:A,DFF!B:B,"",-1)</f>
        <v>1.82</v>
      </c>
      <c r="M890">
        <f>_xlfn.XLOOKUP(A890,'DGS2'!A:A,'DGS2'!B:B,"",-1)</f>
        <v>1.63</v>
      </c>
      <c r="N890">
        <f t="shared" si="107"/>
        <v>9.9999999999999867E-2</v>
      </c>
      <c r="O890">
        <f t="shared" si="108"/>
        <v>-1.3870792890882111E-3</v>
      </c>
      <c r="P890">
        <f t="shared" si="109"/>
        <v>0</v>
      </c>
      <c r="Q890">
        <f t="shared" si="110"/>
        <v>0</v>
      </c>
    </row>
    <row r="891" spans="1:17">
      <c r="A891" s="1">
        <v>43752</v>
      </c>
      <c r="B891">
        <v>2966.15</v>
      </c>
      <c r="C891">
        <f t="shared" si="104"/>
        <v>-1.3870792890882111E-3</v>
      </c>
      <c r="D891">
        <f t="shared" si="111"/>
        <v>1.6013564431047511E-2</v>
      </c>
      <c r="E891">
        <f>_xlfn.XLOOKUP(A891,VIX!A:A,VIX!B:B,"",-1)</f>
        <v>14.57</v>
      </c>
      <c r="F891">
        <f t="shared" si="105"/>
        <v>-1.0099999999999998</v>
      </c>
      <c r="G891">
        <f>_xlfn.XLOOKUP(A891,'DGS10'!A:A,'DGS10'!B:B,"",-1)</f>
        <v>0</v>
      </c>
      <c r="H891">
        <f t="shared" si="106"/>
        <v>-1.76</v>
      </c>
      <c r="I891" s="2">
        <f>_xlfn.XLOOKUP(A891,T10Y3M!A:A,T10Y3M!B:B,"",-1)</f>
        <v>0</v>
      </c>
      <c r="J891" s="2">
        <f>_xlfn.XLOOKUP(A891,BAMLC0A4CBBB!A:A,BAMLC0A4CBBB!B:B,"",-1)</f>
        <v>1.56</v>
      </c>
      <c r="K891" s="2">
        <f>_xlfn.XLOOKUP(A891,CPIAUCSL!A:A,CPIAUCSL!B:B,"",-1)</f>
        <v>257.15499999999997</v>
      </c>
      <c r="L891">
        <f>_xlfn.XLOOKUP(A891,DFF!A:A,DFF!B:B,"",-1)</f>
        <v>1.82</v>
      </c>
      <c r="M891">
        <f>_xlfn.XLOOKUP(A891,'DGS2'!A:A,'DGS2'!B:B,"",-1)</f>
        <v>0</v>
      </c>
      <c r="N891">
        <f t="shared" si="107"/>
        <v>-1.63</v>
      </c>
      <c r="O891">
        <f t="shared" si="108"/>
        <v>9.9556664362894232E-3</v>
      </c>
      <c r="P891">
        <f t="shared" si="109"/>
        <v>1</v>
      </c>
      <c r="Q891">
        <f t="shared" si="110"/>
        <v>1</v>
      </c>
    </row>
    <row r="892" spans="1:17">
      <c r="A892" s="1">
        <v>43753</v>
      </c>
      <c r="B892">
        <v>2995.68</v>
      </c>
      <c r="C892">
        <f t="shared" si="104"/>
        <v>9.9556664362894232E-3</v>
      </c>
      <c r="D892">
        <f t="shared" si="111"/>
        <v>1.9587288513442047E-2</v>
      </c>
      <c r="E892">
        <f>_xlfn.XLOOKUP(A892,VIX!A:A,VIX!B:B,"",-1)</f>
        <v>13.54</v>
      </c>
      <c r="F892">
        <f t="shared" si="105"/>
        <v>-1.0300000000000011</v>
      </c>
      <c r="G892">
        <f>_xlfn.XLOOKUP(A892,'DGS10'!A:A,'DGS10'!B:B,"",-1)</f>
        <v>1.77</v>
      </c>
      <c r="H892">
        <f t="shared" si="106"/>
        <v>1.77</v>
      </c>
      <c r="I892" s="2">
        <f>_xlfn.XLOOKUP(A892,T10Y3M!A:A,T10Y3M!B:B,"",-1)</f>
        <v>0.1</v>
      </c>
      <c r="J892" s="2">
        <f>_xlfn.XLOOKUP(A892,BAMLC0A4CBBB!A:A,BAMLC0A4CBBB!B:B,"",-1)</f>
        <v>1.54</v>
      </c>
      <c r="K892" s="2">
        <f>_xlfn.XLOOKUP(A892,CPIAUCSL!A:A,CPIAUCSL!B:B,"",-1)</f>
        <v>257.15499999999997</v>
      </c>
      <c r="L892">
        <f>_xlfn.XLOOKUP(A892,DFF!A:A,DFF!B:B,"",-1)</f>
        <v>1.9</v>
      </c>
      <c r="M892">
        <f>_xlfn.XLOOKUP(A892,'DGS2'!A:A,'DGS2'!B:B,"",-1)</f>
        <v>1.61</v>
      </c>
      <c r="N892">
        <f t="shared" si="107"/>
        <v>1.61</v>
      </c>
      <c r="O892">
        <f t="shared" si="108"/>
        <v>-1.9995460129251796E-3</v>
      </c>
      <c r="P892">
        <f t="shared" si="109"/>
        <v>0</v>
      </c>
      <c r="Q892">
        <f t="shared" si="110"/>
        <v>0</v>
      </c>
    </row>
    <row r="893" spans="1:17">
      <c r="A893" s="1">
        <v>43754</v>
      </c>
      <c r="B893">
        <v>2989.69</v>
      </c>
      <c r="C893">
        <f t="shared" si="104"/>
        <v>-1.9995460129251796E-3</v>
      </c>
      <c r="D893">
        <f t="shared" si="111"/>
        <v>6.5381261636148214E-3</v>
      </c>
      <c r="E893">
        <f>_xlfn.XLOOKUP(A893,VIX!A:A,VIX!B:B,"",-1)</f>
        <v>13.68</v>
      </c>
      <c r="F893">
        <f t="shared" si="105"/>
        <v>0.14000000000000057</v>
      </c>
      <c r="G893">
        <f>_xlfn.XLOOKUP(A893,'DGS10'!A:A,'DGS10'!B:B,"",-1)</f>
        <v>1.75</v>
      </c>
      <c r="H893">
        <f t="shared" si="106"/>
        <v>-2.0000000000000018E-2</v>
      </c>
      <c r="I893" s="2">
        <f>_xlfn.XLOOKUP(A893,T10Y3M!A:A,T10Y3M!B:B,"",-1)</f>
        <v>0.09</v>
      </c>
      <c r="J893" s="2">
        <f>_xlfn.XLOOKUP(A893,BAMLC0A4CBBB!A:A,BAMLC0A4CBBB!B:B,"",-1)</f>
        <v>1.53</v>
      </c>
      <c r="K893" s="2">
        <f>_xlfn.XLOOKUP(A893,CPIAUCSL!A:A,CPIAUCSL!B:B,"",-1)</f>
        <v>257.15499999999997</v>
      </c>
      <c r="L893">
        <f>_xlfn.XLOOKUP(A893,DFF!A:A,DFF!B:B,"",-1)</f>
        <v>1.9</v>
      </c>
      <c r="M893">
        <f>_xlfn.XLOOKUP(A893,'DGS2'!A:A,'DGS2'!B:B,"",-1)</f>
        <v>1.58</v>
      </c>
      <c r="N893">
        <f t="shared" si="107"/>
        <v>-3.0000000000000027E-2</v>
      </c>
      <c r="O893">
        <f t="shared" si="108"/>
        <v>2.7628282530964832E-3</v>
      </c>
      <c r="P893">
        <f t="shared" si="109"/>
        <v>1</v>
      </c>
      <c r="Q893">
        <f t="shared" si="110"/>
        <v>0</v>
      </c>
    </row>
    <row r="894" spans="1:17">
      <c r="A894" s="1">
        <v>43755</v>
      </c>
      <c r="B894">
        <v>2997.95</v>
      </c>
      <c r="C894">
        <f t="shared" si="104"/>
        <v>2.7628282530964832E-3</v>
      </c>
      <c r="D894">
        <f t="shared" si="111"/>
        <v>1.0720968258516761E-2</v>
      </c>
      <c r="E894">
        <f>_xlfn.XLOOKUP(A894,VIX!A:A,VIX!B:B,"",-1)</f>
        <v>13.79</v>
      </c>
      <c r="F894">
        <f t="shared" si="105"/>
        <v>0.10999999999999943</v>
      </c>
      <c r="G894">
        <f>_xlfn.XLOOKUP(A894,'DGS10'!A:A,'DGS10'!B:B,"",-1)</f>
        <v>1.76</v>
      </c>
      <c r="H894">
        <f t="shared" si="106"/>
        <v>1.0000000000000009E-2</v>
      </c>
      <c r="I894" s="2">
        <f>_xlfn.XLOOKUP(A894,T10Y3M!A:A,T10Y3M!B:B,"",-1)</f>
        <v>0.1</v>
      </c>
      <c r="J894" s="2">
        <f>_xlfn.XLOOKUP(A894,BAMLC0A4CBBB!A:A,BAMLC0A4CBBB!B:B,"",-1)</f>
        <v>1.53</v>
      </c>
      <c r="K894" s="2">
        <f>_xlfn.XLOOKUP(A894,CPIAUCSL!A:A,CPIAUCSL!B:B,"",-1)</f>
        <v>257.15499999999997</v>
      </c>
      <c r="L894">
        <f>_xlfn.XLOOKUP(A894,DFF!A:A,DFF!B:B,"",-1)</f>
        <v>1.85</v>
      </c>
      <c r="M894">
        <f>_xlfn.XLOOKUP(A894,'DGS2'!A:A,'DGS2'!B:B,"",-1)</f>
        <v>1.6</v>
      </c>
      <c r="N894">
        <f t="shared" si="107"/>
        <v>2.0000000000000018E-2</v>
      </c>
      <c r="O894">
        <f t="shared" si="108"/>
        <v>-3.919344885671916E-3</v>
      </c>
      <c r="P894">
        <f t="shared" si="109"/>
        <v>0</v>
      </c>
      <c r="Q894">
        <f t="shared" si="110"/>
        <v>-1</v>
      </c>
    </row>
    <row r="895" spans="1:17">
      <c r="A895" s="1">
        <v>43756</v>
      </c>
      <c r="B895">
        <v>2986.2</v>
      </c>
      <c r="C895">
        <f t="shared" si="104"/>
        <v>-3.919344885671916E-3</v>
      </c>
      <c r="D895">
        <f t="shared" si="111"/>
        <v>-3.1645569620253333E-3</v>
      </c>
      <c r="E895">
        <f>_xlfn.XLOOKUP(A895,VIX!A:A,VIX!B:B,"",-1)</f>
        <v>14.25</v>
      </c>
      <c r="F895">
        <f t="shared" si="105"/>
        <v>0.46000000000000085</v>
      </c>
      <c r="G895">
        <f>_xlfn.XLOOKUP(A895,'DGS10'!A:A,'DGS10'!B:B,"",-1)</f>
        <v>1.76</v>
      </c>
      <c r="H895">
        <f t="shared" si="106"/>
        <v>0</v>
      </c>
      <c r="I895" s="2">
        <f>_xlfn.XLOOKUP(A895,T10Y3M!A:A,T10Y3M!B:B,"",-1)</f>
        <v>0.1</v>
      </c>
      <c r="J895" s="2">
        <f>_xlfn.XLOOKUP(A895,BAMLC0A4CBBB!A:A,BAMLC0A4CBBB!B:B,"",-1)</f>
        <v>1.52</v>
      </c>
      <c r="K895" s="2">
        <f>_xlfn.XLOOKUP(A895,CPIAUCSL!A:A,CPIAUCSL!B:B,"",-1)</f>
        <v>257.15499999999997</v>
      </c>
      <c r="L895">
        <f>_xlfn.XLOOKUP(A895,DFF!A:A,DFF!B:B,"",-1)</f>
        <v>1.85</v>
      </c>
      <c r="M895">
        <f>_xlfn.XLOOKUP(A895,'DGS2'!A:A,'DGS2'!B:B,"",-1)</f>
        <v>1.58</v>
      </c>
      <c r="N895">
        <f t="shared" si="107"/>
        <v>-2.0000000000000018E-2</v>
      </c>
      <c r="O895">
        <f t="shared" si="108"/>
        <v>6.8716094032550412E-3</v>
      </c>
      <c r="P895">
        <f t="shared" si="109"/>
        <v>1</v>
      </c>
      <c r="Q895">
        <f t="shared" si="110"/>
        <v>1</v>
      </c>
    </row>
    <row r="896" spans="1:17">
      <c r="A896" s="1">
        <v>43759</v>
      </c>
      <c r="B896">
        <v>3006.72</v>
      </c>
      <c r="C896">
        <f t="shared" si="104"/>
        <v>6.8716094032550412E-3</v>
      </c>
      <c r="D896">
        <f t="shared" si="111"/>
        <v>5.6962427542655014E-3</v>
      </c>
      <c r="E896">
        <f>_xlfn.XLOOKUP(A896,VIX!A:A,VIX!B:B,"",-1)</f>
        <v>14</v>
      </c>
      <c r="F896">
        <f t="shared" si="105"/>
        <v>-0.25</v>
      </c>
      <c r="G896">
        <f>_xlfn.XLOOKUP(A896,'DGS10'!A:A,'DGS10'!B:B,"",-1)</f>
        <v>1.8</v>
      </c>
      <c r="H896">
        <f t="shared" si="106"/>
        <v>4.0000000000000036E-2</v>
      </c>
      <c r="I896" s="2">
        <f>_xlfn.XLOOKUP(A896,T10Y3M!A:A,T10Y3M!B:B,"",-1)</f>
        <v>0.13</v>
      </c>
      <c r="J896" s="2">
        <f>_xlfn.XLOOKUP(A896,BAMLC0A4CBBB!A:A,BAMLC0A4CBBB!B:B,"",-1)</f>
        <v>1.5</v>
      </c>
      <c r="K896" s="2">
        <f>_xlfn.XLOOKUP(A896,CPIAUCSL!A:A,CPIAUCSL!B:B,"",-1)</f>
        <v>257.15499999999997</v>
      </c>
      <c r="L896">
        <f>_xlfn.XLOOKUP(A896,DFF!A:A,DFF!B:B,"",-1)</f>
        <v>1.85</v>
      </c>
      <c r="M896">
        <f>_xlfn.XLOOKUP(A896,'DGS2'!A:A,'DGS2'!B:B,"",-1)</f>
        <v>1.62</v>
      </c>
      <c r="N896">
        <f t="shared" si="107"/>
        <v>4.0000000000000036E-2</v>
      </c>
      <c r="O896">
        <f t="shared" si="108"/>
        <v>-3.5686728395061262E-3</v>
      </c>
      <c r="P896">
        <f t="shared" si="109"/>
        <v>0</v>
      </c>
      <c r="Q896">
        <f t="shared" si="110"/>
        <v>-1</v>
      </c>
    </row>
    <row r="897" spans="1:17">
      <c r="A897" s="1">
        <v>43760</v>
      </c>
      <c r="B897">
        <v>2995.99</v>
      </c>
      <c r="C897">
        <f t="shared" si="104"/>
        <v>-3.5686728395061262E-3</v>
      </c>
      <c r="D897">
        <f t="shared" si="111"/>
        <v>-6.5378008305672086E-4</v>
      </c>
      <c r="E897">
        <f>_xlfn.XLOOKUP(A897,VIX!A:A,VIX!B:B,"",-1)</f>
        <v>14.46</v>
      </c>
      <c r="F897">
        <f t="shared" si="105"/>
        <v>0.46000000000000085</v>
      </c>
      <c r="G897">
        <f>_xlfn.XLOOKUP(A897,'DGS10'!A:A,'DGS10'!B:B,"",-1)</f>
        <v>1.78</v>
      </c>
      <c r="H897">
        <f t="shared" si="106"/>
        <v>-2.0000000000000018E-2</v>
      </c>
      <c r="I897" s="2">
        <f>_xlfn.XLOOKUP(A897,T10Y3M!A:A,T10Y3M!B:B,"",-1)</f>
        <v>0.13</v>
      </c>
      <c r="J897" s="2">
        <f>_xlfn.XLOOKUP(A897,BAMLC0A4CBBB!A:A,BAMLC0A4CBBB!B:B,"",-1)</f>
        <v>1.49</v>
      </c>
      <c r="K897" s="2">
        <f>_xlfn.XLOOKUP(A897,CPIAUCSL!A:A,CPIAUCSL!B:B,"",-1)</f>
        <v>257.15499999999997</v>
      </c>
      <c r="L897">
        <f>_xlfn.XLOOKUP(A897,DFF!A:A,DFF!B:B,"",-1)</f>
        <v>1.85</v>
      </c>
      <c r="M897">
        <f>_xlfn.XLOOKUP(A897,'DGS2'!A:A,'DGS2'!B:B,"",-1)</f>
        <v>1.6</v>
      </c>
      <c r="N897">
        <f t="shared" si="107"/>
        <v>-2.0000000000000018E-2</v>
      </c>
      <c r="O897">
        <f t="shared" si="108"/>
        <v>2.8471390091422411E-3</v>
      </c>
      <c r="P897">
        <f t="shared" si="109"/>
        <v>1</v>
      </c>
      <c r="Q897">
        <f t="shared" si="110"/>
        <v>0</v>
      </c>
    </row>
    <row r="898" spans="1:17">
      <c r="A898" s="1">
        <v>43761</v>
      </c>
      <c r="B898">
        <v>3004.52</v>
      </c>
      <c r="C898">
        <f t="shared" si="104"/>
        <v>2.8471390091422411E-3</v>
      </c>
      <c r="D898">
        <f t="shared" si="111"/>
        <v>6.1348871475455091E-3</v>
      </c>
      <c r="E898">
        <f>_xlfn.XLOOKUP(A898,VIX!A:A,VIX!B:B,"",-1)</f>
        <v>14.01</v>
      </c>
      <c r="F898">
        <f t="shared" si="105"/>
        <v>-0.45000000000000107</v>
      </c>
      <c r="G898">
        <f>_xlfn.XLOOKUP(A898,'DGS10'!A:A,'DGS10'!B:B,"",-1)</f>
        <v>1.77</v>
      </c>
      <c r="H898">
        <f t="shared" si="106"/>
        <v>-1.0000000000000009E-2</v>
      </c>
      <c r="I898" s="2">
        <f>_xlfn.XLOOKUP(A898,T10Y3M!A:A,T10Y3M!B:B,"",-1)</f>
        <v>0.12</v>
      </c>
      <c r="J898" s="2">
        <f>_xlfn.XLOOKUP(A898,BAMLC0A4CBBB!A:A,BAMLC0A4CBBB!B:B,"",-1)</f>
        <v>1.5</v>
      </c>
      <c r="K898" s="2">
        <f>_xlfn.XLOOKUP(A898,CPIAUCSL!A:A,CPIAUCSL!B:B,"",-1)</f>
        <v>257.15499999999997</v>
      </c>
      <c r="L898">
        <f>_xlfn.XLOOKUP(A898,DFF!A:A,DFF!B:B,"",-1)</f>
        <v>1.85</v>
      </c>
      <c r="M898">
        <f>_xlfn.XLOOKUP(A898,'DGS2'!A:A,'DGS2'!B:B,"",-1)</f>
        <v>1.58</v>
      </c>
      <c r="N898">
        <f t="shared" si="107"/>
        <v>-2.0000000000000018E-2</v>
      </c>
      <c r="O898">
        <f t="shared" si="108"/>
        <v>1.920439870594981E-3</v>
      </c>
      <c r="P898">
        <f t="shared" si="109"/>
        <v>1</v>
      </c>
      <c r="Q898">
        <f t="shared" si="110"/>
        <v>0</v>
      </c>
    </row>
    <row r="899" spans="1:17">
      <c r="A899" s="1">
        <v>43762</v>
      </c>
      <c r="B899">
        <v>3010.29</v>
      </c>
      <c r="C899">
        <f t="shared" si="104"/>
        <v>1.920439870594981E-3</v>
      </c>
      <c r="D899">
        <f t="shared" si="111"/>
        <v>1.1873403575990427E-3</v>
      </c>
      <c r="E899">
        <f>_xlfn.XLOOKUP(A899,VIX!A:A,VIX!B:B,"",-1)</f>
        <v>13.71</v>
      </c>
      <c r="F899">
        <f t="shared" si="105"/>
        <v>-0.29999999999999893</v>
      </c>
      <c r="G899">
        <f>_xlfn.XLOOKUP(A899,'DGS10'!A:A,'DGS10'!B:B,"",-1)</f>
        <v>1.77</v>
      </c>
      <c r="H899">
        <f t="shared" si="106"/>
        <v>0</v>
      </c>
      <c r="I899" s="2">
        <f>_xlfn.XLOOKUP(A899,T10Y3M!A:A,T10Y3M!B:B,"",-1)</f>
        <v>0.1</v>
      </c>
      <c r="J899" s="2">
        <f>_xlfn.XLOOKUP(A899,BAMLC0A4CBBB!A:A,BAMLC0A4CBBB!B:B,"",-1)</f>
        <v>1.49</v>
      </c>
      <c r="K899" s="2">
        <f>_xlfn.XLOOKUP(A899,CPIAUCSL!A:A,CPIAUCSL!B:B,"",-1)</f>
        <v>257.15499999999997</v>
      </c>
      <c r="L899">
        <f>_xlfn.XLOOKUP(A899,DFF!A:A,DFF!B:B,"",-1)</f>
        <v>1.85</v>
      </c>
      <c r="M899">
        <f>_xlfn.XLOOKUP(A899,'DGS2'!A:A,'DGS2'!B:B,"",-1)</f>
        <v>1.58</v>
      </c>
      <c r="N899">
        <f t="shared" si="107"/>
        <v>0</v>
      </c>
      <c r="O899">
        <f t="shared" si="108"/>
        <v>4.0726973148768053E-3</v>
      </c>
      <c r="P899">
        <f t="shared" si="109"/>
        <v>1</v>
      </c>
      <c r="Q899">
        <f t="shared" si="110"/>
        <v>1</v>
      </c>
    </row>
    <row r="900" spans="1:17">
      <c r="A900" s="1">
        <v>43763</v>
      </c>
      <c r="B900">
        <v>3022.55</v>
      </c>
      <c r="C900">
        <f t="shared" ref="C900:C963" si="112">IF(OR(B900="",B899=""),"",(B900/B899)-1)</f>
        <v>4.0726973148768053E-3</v>
      </c>
      <c r="D900">
        <f t="shared" si="111"/>
        <v>8.8651831281147953E-3</v>
      </c>
      <c r="E900">
        <f>_xlfn.XLOOKUP(A900,VIX!A:A,VIX!B:B,"",-1)</f>
        <v>12.65</v>
      </c>
      <c r="F900">
        <f t="shared" ref="F900:F963" si="113">IF(OR(E900="",E899=""),"",E900-E899)</f>
        <v>-1.0600000000000005</v>
      </c>
      <c r="G900">
        <f>_xlfn.XLOOKUP(A900,'DGS10'!A:A,'DGS10'!B:B,"",-1)</f>
        <v>1.8</v>
      </c>
      <c r="H900">
        <f t="shared" ref="H900:H963" si="114">IF(OR(G900="",G899=""),"",G900-G899)</f>
        <v>3.0000000000000027E-2</v>
      </c>
      <c r="I900" s="2">
        <f>_xlfn.XLOOKUP(A900,T10Y3M!A:A,T10Y3M!B:B,"",-1)</f>
        <v>0.14000000000000001</v>
      </c>
      <c r="J900" s="2">
        <f>_xlfn.XLOOKUP(A900,BAMLC0A4CBBB!A:A,BAMLC0A4CBBB!B:B,"",-1)</f>
        <v>1.47</v>
      </c>
      <c r="K900" s="2">
        <f>_xlfn.XLOOKUP(A900,CPIAUCSL!A:A,CPIAUCSL!B:B,"",-1)</f>
        <v>257.15499999999997</v>
      </c>
      <c r="L900">
        <f>_xlfn.XLOOKUP(A900,DFF!A:A,DFF!B:B,"",-1)</f>
        <v>1.83</v>
      </c>
      <c r="M900">
        <f>_xlfn.XLOOKUP(A900,'DGS2'!A:A,'DGS2'!B:B,"",-1)</f>
        <v>1.63</v>
      </c>
      <c r="N900">
        <f t="shared" ref="N900:N963" si="115">IF(OR(M900="",M899=""),"",M900-M899)</f>
        <v>4.9999999999999822E-2</v>
      </c>
      <c r="O900">
        <f t="shared" ref="O900:O963" si="116">IF(OR(B901="",B900=""),"",(B901/B900)-1)</f>
        <v>5.5813799606292402E-3</v>
      </c>
      <c r="P900">
        <f t="shared" ref="P900:P963" si="117">IF(O900="","",IF(O900&gt;0,1,0))</f>
        <v>1</v>
      </c>
      <c r="Q900">
        <f t="shared" ref="Q900:Q963" si="118">IF(O900="","",IF(O900&gt;0.003,1,IF(O900&lt;-0.003,-1,0)))</f>
        <v>1</v>
      </c>
    </row>
    <row r="901" spans="1:17">
      <c r="A901" s="1">
        <v>43766</v>
      </c>
      <c r="B901">
        <v>3039.42</v>
      </c>
      <c r="C901">
        <f t="shared" si="112"/>
        <v>5.5813799606292402E-3</v>
      </c>
      <c r="D901">
        <f t="shared" si="111"/>
        <v>1.1615832146232963E-2</v>
      </c>
      <c r="E901">
        <f>_xlfn.XLOOKUP(A901,VIX!A:A,VIX!B:B,"",-1)</f>
        <v>13.11</v>
      </c>
      <c r="F901">
        <f t="shared" si="113"/>
        <v>0.45999999999999908</v>
      </c>
      <c r="G901">
        <f>_xlfn.XLOOKUP(A901,'DGS10'!A:A,'DGS10'!B:B,"",-1)</f>
        <v>1.85</v>
      </c>
      <c r="H901">
        <f t="shared" si="114"/>
        <v>5.0000000000000044E-2</v>
      </c>
      <c r="I901" s="2">
        <f>_xlfn.XLOOKUP(A901,T10Y3M!A:A,T10Y3M!B:B,"",-1)</f>
        <v>0.2</v>
      </c>
      <c r="J901" s="2">
        <f>_xlfn.XLOOKUP(A901,BAMLC0A4CBBB!A:A,BAMLC0A4CBBB!B:B,"",-1)</f>
        <v>1.45</v>
      </c>
      <c r="K901" s="2">
        <f>_xlfn.XLOOKUP(A901,CPIAUCSL!A:A,CPIAUCSL!B:B,"",-1)</f>
        <v>257.15499999999997</v>
      </c>
      <c r="L901">
        <f>_xlfn.XLOOKUP(A901,DFF!A:A,DFF!B:B,"",-1)</f>
        <v>1.83</v>
      </c>
      <c r="M901">
        <f>_xlfn.XLOOKUP(A901,'DGS2'!A:A,'DGS2'!B:B,"",-1)</f>
        <v>1.64</v>
      </c>
      <c r="N901">
        <f t="shared" si="115"/>
        <v>1.0000000000000009E-2</v>
      </c>
      <c r="O901">
        <f t="shared" si="116"/>
        <v>-8.323956544341593E-4</v>
      </c>
      <c r="P901">
        <f t="shared" si="117"/>
        <v>0</v>
      </c>
      <c r="Q901">
        <f t="shared" si="118"/>
        <v>0</v>
      </c>
    </row>
    <row r="902" spans="1:17">
      <c r="A902" s="1">
        <v>43767</v>
      </c>
      <c r="B902">
        <v>3036.89</v>
      </c>
      <c r="C902">
        <f t="shared" si="112"/>
        <v>-8.323956544341593E-4</v>
      </c>
      <c r="D902">
        <f t="shared" ref="D902:D965" si="119">IF(OR(B902="",B899=""),"",(B902/B899)-1)</f>
        <v>8.8363579588677243E-3</v>
      </c>
      <c r="E902">
        <f>_xlfn.XLOOKUP(A902,VIX!A:A,VIX!B:B,"",-1)</f>
        <v>13.2</v>
      </c>
      <c r="F902">
        <f t="shared" si="113"/>
        <v>8.9999999999999858E-2</v>
      </c>
      <c r="G902">
        <f>_xlfn.XLOOKUP(A902,'DGS10'!A:A,'DGS10'!B:B,"",-1)</f>
        <v>1.84</v>
      </c>
      <c r="H902">
        <f t="shared" si="114"/>
        <v>-1.0000000000000009E-2</v>
      </c>
      <c r="I902" s="2">
        <f>_xlfn.XLOOKUP(A902,T10Y3M!A:A,T10Y3M!B:B,"",-1)</f>
        <v>0.21</v>
      </c>
      <c r="J902" s="2">
        <f>_xlfn.XLOOKUP(A902,BAMLC0A4CBBB!A:A,BAMLC0A4CBBB!B:B,"",-1)</f>
        <v>1.45</v>
      </c>
      <c r="K902" s="2">
        <f>_xlfn.XLOOKUP(A902,CPIAUCSL!A:A,CPIAUCSL!B:B,"",-1)</f>
        <v>257.15499999999997</v>
      </c>
      <c r="L902">
        <f>_xlfn.XLOOKUP(A902,DFF!A:A,DFF!B:B,"",-1)</f>
        <v>1.82</v>
      </c>
      <c r="M902">
        <f>_xlfn.XLOOKUP(A902,'DGS2'!A:A,'DGS2'!B:B,"",-1)</f>
        <v>1.64</v>
      </c>
      <c r="N902">
        <f t="shared" si="115"/>
        <v>0</v>
      </c>
      <c r="O902">
        <f t="shared" si="116"/>
        <v>3.2533282404039188E-3</v>
      </c>
      <c r="P902">
        <f t="shared" si="117"/>
        <v>1</v>
      </c>
      <c r="Q902">
        <f t="shared" si="118"/>
        <v>1</v>
      </c>
    </row>
    <row r="903" spans="1:17">
      <c r="A903" s="1">
        <v>43768</v>
      </c>
      <c r="B903">
        <v>3046.77</v>
      </c>
      <c r="C903">
        <f t="shared" si="112"/>
        <v>3.2533282404039188E-3</v>
      </c>
      <c r="D903">
        <f t="shared" si="119"/>
        <v>8.0131015202393741E-3</v>
      </c>
      <c r="E903">
        <f>_xlfn.XLOOKUP(A903,VIX!A:A,VIX!B:B,"",-1)</f>
        <v>12.33</v>
      </c>
      <c r="F903">
        <f t="shared" si="113"/>
        <v>-0.86999999999999922</v>
      </c>
      <c r="G903">
        <f>_xlfn.XLOOKUP(A903,'DGS10'!A:A,'DGS10'!B:B,"",-1)</f>
        <v>1.78</v>
      </c>
      <c r="H903">
        <f t="shared" si="114"/>
        <v>-6.0000000000000053E-2</v>
      </c>
      <c r="I903" s="2">
        <f>_xlfn.XLOOKUP(A903,T10Y3M!A:A,T10Y3M!B:B,"",-1)</f>
        <v>0.16</v>
      </c>
      <c r="J903" s="2">
        <f>_xlfn.XLOOKUP(A903,BAMLC0A4CBBB!A:A,BAMLC0A4CBBB!B:B,"",-1)</f>
        <v>1.46</v>
      </c>
      <c r="K903" s="2">
        <f>_xlfn.XLOOKUP(A903,CPIAUCSL!A:A,CPIAUCSL!B:B,"",-1)</f>
        <v>257.15499999999997</v>
      </c>
      <c r="L903">
        <f>_xlfn.XLOOKUP(A903,DFF!A:A,DFF!B:B,"",-1)</f>
        <v>1.82</v>
      </c>
      <c r="M903">
        <f>_xlfn.XLOOKUP(A903,'DGS2'!A:A,'DGS2'!B:B,"",-1)</f>
        <v>1.61</v>
      </c>
      <c r="N903">
        <f t="shared" si="115"/>
        <v>-2.9999999999999805E-2</v>
      </c>
      <c r="O903">
        <f t="shared" si="116"/>
        <v>-3.0228734036372717E-3</v>
      </c>
      <c r="P903">
        <f t="shared" si="117"/>
        <v>0</v>
      </c>
      <c r="Q903">
        <f t="shared" si="118"/>
        <v>-1</v>
      </c>
    </row>
    <row r="904" spans="1:17">
      <c r="A904" s="1">
        <v>43769</v>
      </c>
      <c r="B904">
        <v>3037.56</v>
      </c>
      <c r="C904">
        <f t="shared" si="112"/>
        <v>-3.0228734036372717E-3</v>
      </c>
      <c r="D904">
        <f t="shared" si="119"/>
        <v>-6.119588605720816E-4</v>
      </c>
      <c r="E904">
        <f>_xlfn.XLOOKUP(A904,VIX!A:A,VIX!B:B,"",-1)</f>
        <v>13.22</v>
      </c>
      <c r="F904">
        <f t="shared" si="113"/>
        <v>0.89000000000000057</v>
      </c>
      <c r="G904">
        <f>_xlfn.XLOOKUP(A904,'DGS10'!A:A,'DGS10'!B:B,"",-1)</f>
        <v>1.69</v>
      </c>
      <c r="H904">
        <f t="shared" si="114"/>
        <v>-9.000000000000008E-2</v>
      </c>
      <c r="I904" s="2">
        <f>_xlfn.XLOOKUP(A904,T10Y3M!A:A,T10Y3M!B:B,"",-1)</f>
        <v>0.15</v>
      </c>
      <c r="J904" s="2">
        <f>_xlfn.XLOOKUP(A904,BAMLC0A4CBBB!A:A,BAMLC0A4CBBB!B:B,"",-1)</f>
        <v>1.5</v>
      </c>
      <c r="K904" s="2">
        <f>_xlfn.XLOOKUP(A904,CPIAUCSL!A:A,CPIAUCSL!B:B,"",-1)</f>
        <v>257.15499999999997</v>
      </c>
      <c r="L904">
        <f>_xlfn.XLOOKUP(A904,DFF!A:A,DFF!B:B,"",-1)</f>
        <v>1.58</v>
      </c>
      <c r="M904">
        <f>_xlfn.XLOOKUP(A904,'DGS2'!A:A,'DGS2'!B:B,"",-1)</f>
        <v>1.52</v>
      </c>
      <c r="N904">
        <f t="shared" si="115"/>
        <v>-9.000000000000008E-2</v>
      </c>
      <c r="O904">
        <f t="shared" si="116"/>
        <v>9.6623605788856981E-3</v>
      </c>
      <c r="P904">
        <f t="shared" si="117"/>
        <v>1</v>
      </c>
      <c r="Q904">
        <f t="shared" si="118"/>
        <v>1</v>
      </c>
    </row>
    <row r="905" spans="1:17">
      <c r="A905" s="1">
        <v>43770</v>
      </c>
      <c r="B905">
        <v>3066.91</v>
      </c>
      <c r="C905">
        <f t="shared" si="112"/>
        <v>9.6623605788856981E-3</v>
      </c>
      <c r="D905">
        <f t="shared" si="119"/>
        <v>9.8851127304577791E-3</v>
      </c>
      <c r="E905">
        <f>_xlfn.XLOOKUP(A905,VIX!A:A,VIX!B:B,"",-1)</f>
        <v>12.3</v>
      </c>
      <c r="F905">
        <f t="shared" si="113"/>
        <v>-0.91999999999999993</v>
      </c>
      <c r="G905">
        <f>_xlfn.XLOOKUP(A905,'DGS10'!A:A,'DGS10'!B:B,"",-1)</f>
        <v>1.73</v>
      </c>
      <c r="H905">
        <f t="shared" si="114"/>
        <v>4.0000000000000036E-2</v>
      </c>
      <c r="I905" s="2">
        <f>_xlfn.XLOOKUP(A905,T10Y3M!A:A,T10Y3M!B:B,"",-1)</f>
        <v>0.21</v>
      </c>
      <c r="J905" s="2">
        <f>_xlfn.XLOOKUP(A905,BAMLC0A4CBBB!A:A,BAMLC0A4CBBB!B:B,"",-1)</f>
        <v>1.48</v>
      </c>
      <c r="K905" s="2">
        <f>_xlfn.XLOOKUP(A905,CPIAUCSL!A:A,CPIAUCSL!B:B,"",-1)</f>
        <v>257.87900000000002</v>
      </c>
      <c r="L905">
        <f>_xlfn.XLOOKUP(A905,DFF!A:A,DFF!B:B,"",-1)</f>
        <v>1.57</v>
      </c>
      <c r="M905">
        <f>_xlfn.XLOOKUP(A905,'DGS2'!A:A,'DGS2'!B:B,"",-1)</f>
        <v>1.56</v>
      </c>
      <c r="N905">
        <f t="shared" si="115"/>
        <v>4.0000000000000036E-2</v>
      </c>
      <c r="O905">
        <f t="shared" si="116"/>
        <v>3.70405391746087E-3</v>
      </c>
      <c r="P905">
        <f t="shared" si="117"/>
        <v>1</v>
      </c>
      <c r="Q905">
        <f t="shared" si="118"/>
        <v>1</v>
      </c>
    </row>
    <row r="906" spans="1:17">
      <c r="A906" s="1">
        <v>43773</v>
      </c>
      <c r="B906">
        <v>3078.27</v>
      </c>
      <c r="C906">
        <f t="shared" si="112"/>
        <v>3.70405391746087E-3</v>
      </c>
      <c r="D906">
        <f t="shared" si="119"/>
        <v>1.0338817830029878E-2</v>
      </c>
      <c r="E906">
        <f>_xlfn.XLOOKUP(A906,VIX!A:A,VIX!B:B,"",-1)</f>
        <v>12.83</v>
      </c>
      <c r="F906">
        <f t="shared" si="113"/>
        <v>0.52999999999999936</v>
      </c>
      <c r="G906">
        <f>_xlfn.XLOOKUP(A906,'DGS10'!A:A,'DGS10'!B:B,"",-1)</f>
        <v>1.79</v>
      </c>
      <c r="H906">
        <f t="shared" si="114"/>
        <v>6.0000000000000053E-2</v>
      </c>
      <c r="I906" s="2">
        <f>_xlfn.XLOOKUP(A906,T10Y3M!A:A,T10Y3M!B:B,"",-1)</f>
        <v>0.26</v>
      </c>
      <c r="J906" s="2">
        <f>_xlfn.XLOOKUP(A906,BAMLC0A4CBBB!A:A,BAMLC0A4CBBB!B:B,"",-1)</f>
        <v>1.47</v>
      </c>
      <c r="K906" s="2">
        <f>_xlfn.XLOOKUP(A906,CPIAUCSL!A:A,CPIAUCSL!B:B,"",-1)</f>
        <v>257.87900000000002</v>
      </c>
      <c r="L906">
        <f>_xlfn.XLOOKUP(A906,DFF!A:A,DFF!B:B,"",-1)</f>
        <v>1.56</v>
      </c>
      <c r="M906">
        <f>_xlfn.XLOOKUP(A906,'DGS2'!A:A,'DGS2'!B:B,"",-1)</f>
        <v>1.6</v>
      </c>
      <c r="N906">
        <f t="shared" si="115"/>
        <v>4.0000000000000036E-2</v>
      </c>
      <c r="O906">
        <f t="shared" si="116"/>
        <v>-1.1857309462782739E-3</v>
      </c>
      <c r="P906">
        <f t="shared" si="117"/>
        <v>0</v>
      </c>
      <c r="Q906">
        <f t="shared" si="118"/>
        <v>0</v>
      </c>
    </row>
    <row r="907" spans="1:17">
      <c r="A907" s="1">
        <v>43774</v>
      </c>
      <c r="B907">
        <v>3074.62</v>
      </c>
      <c r="C907">
        <f t="shared" si="112"/>
        <v>-1.1857309462782739E-3</v>
      </c>
      <c r="D907">
        <f t="shared" si="119"/>
        <v>1.220058204611596E-2</v>
      </c>
      <c r="E907">
        <f>_xlfn.XLOOKUP(A907,VIX!A:A,VIX!B:B,"",-1)</f>
        <v>13.1</v>
      </c>
      <c r="F907">
        <f t="shared" si="113"/>
        <v>0.26999999999999957</v>
      </c>
      <c r="G907">
        <f>_xlfn.XLOOKUP(A907,'DGS10'!A:A,'DGS10'!B:B,"",-1)</f>
        <v>1.86</v>
      </c>
      <c r="H907">
        <f t="shared" si="114"/>
        <v>7.0000000000000062E-2</v>
      </c>
      <c r="I907" s="2">
        <f>_xlfn.XLOOKUP(A907,T10Y3M!A:A,T10Y3M!B:B,"",-1)</f>
        <v>0.3</v>
      </c>
      <c r="J907" s="2">
        <f>_xlfn.XLOOKUP(A907,BAMLC0A4CBBB!A:A,BAMLC0A4CBBB!B:B,"",-1)</f>
        <v>1.45</v>
      </c>
      <c r="K907" s="2">
        <f>_xlfn.XLOOKUP(A907,CPIAUCSL!A:A,CPIAUCSL!B:B,"",-1)</f>
        <v>257.87900000000002</v>
      </c>
      <c r="L907">
        <f>_xlfn.XLOOKUP(A907,DFF!A:A,DFF!B:B,"",-1)</f>
        <v>1.56</v>
      </c>
      <c r="M907">
        <f>_xlfn.XLOOKUP(A907,'DGS2'!A:A,'DGS2'!B:B,"",-1)</f>
        <v>1.63</v>
      </c>
      <c r="N907">
        <f t="shared" si="115"/>
        <v>2.9999999999999805E-2</v>
      </c>
      <c r="O907">
        <f t="shared" si="116"/>
        <v>7.0252584059171674E-4</v>
      </c>
      <c r="P907">
        <f t="shared" si="117"/>
        <v>1</v>
      </c>
      <c r="Q907">
        <f t="shared" si="118"/>
        <v>0</v>
      </c>
    </row>
    <row r="908" spans="1:17">
      <c r="A908" s="1">
        <v>43775</v>
      </c>
      <c r="B908">
        <v>3076.78</v>
      </c>
      <c r="C908">
        <f t="shared" si="112"/>
        <v>7.0252584059171674E-4</v>
      </c>
      <c r="D908">
        <f t="shared" si="119"/>
        <v>3.2182229018784536E-3</v>
      </c>
      <c r="E908">
        <f>_xlfn.XLOOKUP(A908,VIX!A:A,VIX!B:B,"",-1)</f>
        <v>12.62</v>
      </c>
      <c r="F908">
        <f t="shared" si="113"/>
        <v>-0.48000000000000043</v>
      </c>
      <c r="G908">
        <f>_xlfn.XLOOKUP(A908,'DGS10'!A:A,'DGS10'!B:B,"",-1)</f>
        <v>1.81</v>
      </c>
      <c r="H908">
        <f t="shared" si="114"/>
        <v>-5.0000000000000044E-2</v>
      </c>
      <c r="I908" s="2">
        <f>_xlfn.XLOOKUP(A908,T10Y3M!A:A,T10Y3M!B:B,"",-1)</f>
        <v>0.25</v>
      </c>
      <c r="J908" s="2">
        <f>_xlfn.XLOOKUP(A908,BAMLC0A4CBBB!A:A,BAMLC0A4CBBB!B:B,"",-1)</f>
        <v>1.45</v>
      </c>
      <c r="K908" s="2">
        <f>_xlfn.XLOOKUP(A908,CPIAUCSL!A:A,CPIAUCSL!B:B,"",-1)</f>
        <v>257.87900000000002</v>
      </c>
      <c r="L908">
        <f>_xlfn.XLOOKUP(A908,DFF!A:A,DFF!B:B,"",-1)</f>
        <v>1.55</v>
      </c>
      <c r="M908">
        <f>_xlfn.XLOOKUP(A908,'DGS2'!A:A,'DGS2'!B:B,"",-1)</f>
        <v>1.61</v>
      </c>
      <c r="N908">
        <f t="shared" si="115"/>
        <v>-1.9999999999999796E-2</v>
      </c>
      <c r="O908">
        <f t="shared" si="116"/>
        <v>2.7301269509030224E-3</v>
      </c>
      <c r="P908">
        <f t="shared" si="117"/>
        <v>1</v>
      </c>
      <c r="Q908">
        <f t="shared" si="118"/>
        <v>0</v>
      </c>
    </row>
    <row r="909" spans="1:17">
      <c r="A909" s="1">
        <v>43776</v>
      </c>
      <c r="B909">
        <v>3085.18</v>
      </c>
      <c r="C909">
        <f t="shared" si="112"/>
        <v>2.7301269509030224E-3</v>
      </c>
      <c r="D909">
        <f t="shared" si="119"/>
        <v>2.2447673530912038E-3</v>
      </c>
      <c r="E909">
        <f>_xlfn.XLOOKUP(A909,VIX!A:A,VIX!B:B,"",-1)</f>
        <v>12.73</v>
      </c>
      <c r="F909">
        <f t="shared" si="113"/>
        <v>0.11000000000000121</v>
      </c>
      <c r="G909">
        <f>_xlfn.XLOOKUP(A909,'DGS10'!A:A,'DGS10'!B:B,"",-1)</f>
        <v>1.92</v>
      </c>
      <c r="H909">
        <f t="shared" si="114"/>
        <v>0.10999999999999988</v>
      </c>
      <c r="I909" s="2">
        <f>_xlfn.XLOOKUP(A909,T10Y3M!A:A,T10Y3M!B:B,"",-1)</f>
        <v>0.36</v>
      </c>
      <c r="J909" s="2">
        <f>_xlfn.XLOOKUP(A909,BAMLC0A4CBBB!A:A,BAMLC0A4CBBB!B:B,"",-1)</f>
        <v>1.43</v>
      </c>
      <c r="K909" s="2">
        <f>_xlfn.XLOOKUP(A909,CPIAUCSL!A:A,CPIAUCSL!B:B,"",-1)</f>
        <v>257.87900000000002</v>
      </c>
      <c r="L909">
        <f>_xlfn.XLOOKUP(A909,DFF!A:A,DFF!B:B,"",-1)</f>
        <v>1.55</v>
      </c>
      <c r="M909">
        <f>_xlfn.XLOOKUP(A909,'DGS2'!A:A,'DGS2'!B:B,"",-1)</f>
        <v>1.68</v>
      </c>
      <c r="N909">
        <f t="shared" si="115"/>
        <v>6.999999999999984E-2</v>
      </c>
      <c r="O909">
        <f t="shared" si="116"/>
        <v>2.5606285532773221E-3</v>
      </c>
      <c r="P909">
        <f t="shared" si="117"/>
        <v>1</v>
      </c>
      <c r="Q909">
        <f t="shared" si="118"/>
        <v>0</v>
      </c>
    </row>
    <row r="910" spans="1:17">
      <c r="A910" s="1">
        <v>43777</v>
      </c>
      <c r="B910">
        <v>3093.08</v>
      </c>
      <c r="C910">
        <f t="shared" si="112"/>
        <v>2.5606285532773221E-3</v>
      </c>
      <c r="D910">
        <f t="shared" si="119"/>
        <v>6.0039939895011329E-3</v>
      </c>
      <c r="E910">
        <f>_xlfn.XLOOKUP(A910,VIX!A:A,VIX!B:B,"",-1)</f>
        <v>12.07</v>
      </c>
      <c r="F910">
        <f t="shared" si="113"/>
        <v>-0.66000000000000014</v>
      </c>
      <c r="G910">
        <f>_xlfn.XLOOKUP(A910,'DGS10'!A:A,'DGS10'!B:B,"",-1)</f>
        <v>1.94</v>
      </c>
      <c r="H910">
        <f t="shared" si="114"/>
        <v>2.0000000000000018E-2</v>
      </c>
      <c r="I910" s="2">
        <f>_xlfn.XLOOKUP(A910,T10Y3M!A:A,T10Y3M!B:B,"",-1)</f>
        <v>0.39</v>
      </c>
      <c r="J910" s="2">
        <f>_xlfn.XLOOKUP(A910,BAMLC0A4CBBB!A:A,BAMLC0A4CBBB!B:B,"",-1)</f>
        <v>1.43</v>
      </c>
      <c r="K910" s="2">
        <f>_xlfn.XLOOKUP(A910,CPIAUCSL!A:A,CPIAUCSL!B:B,"",-1)</f>
        <v>257.87900000000002</v>
      </c>
      <c r="L910">
        <f>_xlfn.XLOOKUP(A910,DFF!A:A,DFF!B:B,"",-1)</f>
        <v>1.55</v>
      </c>
      <c r="M910">
        <f>_xlfn.XLOOKUP(A910,'DGS2'!A:A,'DGS2'!B:B,"",-1)</f>
        <v>1.68</v>
      </c>
      <c r="N910">
        <f t="shared" si="115"/>
        <v>0</v>
      </c>
      <c r="O910">
        <f t="shared" si="116"/>
        <v>-1.9624452002533488E-3</v>
      </c>
      <c r="P910">
        <f t="shared" si="117"/>
        <v>0</v>
      </c>
      <c r="Q910">
        <f t="shared" si="118"/>
        <v>0</v>
      </c>
    </row>
    <row r="911" spans="1:17">
      <c r="A911" s="1">
        <v>43780</v>
      </c>
      <c r="B911">
        <v>3087.01</v>
      </c>
      <c r="C911">
        <f t="shared" si="112"/>
        <v>-1.9624452002533488E-3</v>
      </c>
      <c r="D911">
        <f t="shared" si="119"/>
        <v>3.3249046080643385E-3</v>
      </c>
      <c r="E911">
        <f>_xlfn.XLOOKUP(A911,VIX!A:A,VIX!B:B,"",-1)</f>
        <v>12.69</v>
      </c>
      <c r="F911">
        <f t="shared" si="113"/>
        <v>0.61999999999999922</v>
      </c>
      <c r="G911">
        <f>_xlfn.XLOOKUP(A911,'DGS10'!A:A,'DGS10'!B:B,"",-1)</f>
        <v>0</v>
      </c>
      <c r="H911">
        <f t="shared" si="114"/>
        <v>-1.94</v>
      </c>
      <c r="I911" s="2">
        <f>_xlfn.XLOOKUP(A911,T10Y3M!A:A,T10Y3M!B:B,"",-1)</f>
        <v>0</v>
      </c>
      <c r="J911" s="2">
        <f>_xlfn.XLOOKUP(A911,BAMLC0A4CBBB!A:A,BAMLC0A4CBBB!B:B,"",-1)</f>
        <v>1.42</v>
      </c>
      <c r="K911" s="2">
        <f>_xlfn.XLOOKUP(A911,CPIAUCSL!A:A,CPIAUCSL!B:B,"",-1)</f>
        <v>257.87900000000002</v>
      </c>
      <c r="L911">
        <f>_xlfn.XLOOKUP(A911,DFF!A:A,DFF!B:B,"",-1)</f>
        <v>1.55</v>
      </c>
      <c r="M911">
        <f>_xlfn.XLOOKUP(A911,'DGS2'!A:A,'DGS2'!B:B,"",-1)</f>
        <v>0</v>
      </c>
      <c r="N911">
        <f t="shared" si="115"/>
        <v>-1.68</v>
      </c>
      <c r="O911">
        <f t="shared" si="116"/>
        <v>1.5646207819215441E-3</v>
      </c>
      <c r="P911">
        <f t="shared" si="117"/>
        <v>1</v>
      </c>
      <c r="Q911">
        <f t="shared" si="118"/>
        <v>0</v>
      </c>
    </row>
    <row r="912" spans="1:17">
      <c r="A912" s="1">
        <v>43781</v>
      </c>
      <c r="B912">
        <v>3091.84</v>
      </c>
      <c r="C912">
        <f t="shared" si="112"/>
        <v>1.5646207819215441E-3</v>
      </c>
      <c r="D912">
        <f t="shared" si="119"/>
        <v>2.1587071094717469E-3</v>
      </c>
      <c r="E912">
        <f>_xlfn.XLOOKUP(A912,VIX!A:A,VIX!B:B,"",-1)</f>
        <v>12.68</v>
      </c>
      <c r="F912">
        <f t="shared" si="113"/>
        <v>-9.9999999999997868E-3</v>
      </c>
      <c r="G912">
        <f>_xlfn.XLOOKUP(A912,'DGS10'!A:A,'DGS10'!B:B,"",-1)</f>
        <v>1.92</v>
      </c>
      <c r="H912">
        <f t="shared" si="114"/>
        <v>1.92</v>
      </c>
      <c r="I912" s="2">
        <f>_xlfn.XLOOKUP(A912,T10Y3M!A:A,T10Y3M!B:B,"",-1)</f>
        <v>0.33</v>
      </c>
      <c r="J912" s="2">
        <f>_xlfn.XLOOKUP(A912,BAMLC0A4CBBB!A:A,BAMLC0A4CBBB!B:B,"",-1)</f>
        <v>1.43</v>
      </c>
      <c r="K912" s="2">
        <f>_xlfn.XLOOKUP(A912,CPIAUCSL!A:A,CPIAUCSL!B:B,"",-1)</f>
        <v>257.87900000000002</v>
      </c>
      <c r="L912">
        <f>_xlfn.XLOOKUP(A912,DFF!A:A,DFF!B:B,"",-1)</f>
        <v>1.55</v>
      </c>
      <c r="M912">
        <f>_xlfn.XLOOKUP(A912,'DGS2'!A:A,'DGS2'!B:B,"",-1)</f>
        <v>1.66</v>
      </c>
      <c r="N912">
        <f t="shared" si="115"/>
        <v>1.66</v>
      </c>
      <c r="O912">
        <f t="shared" si="116"/>
        <v>7.1155040364301314E-4</v>
      </c>
      <c r="P912">
        <f t="shared" si="117"/>
        <v>1</v>
      </c>
      <c r="Q912">
        <f t="shared" si="118"/>
        <v>0</v>
      </c>
    </row>
    <row r="913" spans="1:17">
      <c r="A913" s="1">
        <v>43782</v>
      </c>
      <c r="B913">
        <v>3094.04</v>
      </c>
      <c r="C913">
        <f t="shared" si="112"/>
        <v>7.1155040364301314E-4</v>
      </c>
      <c r="D913">
        <f t="shared" si="119"/>
        <v>3.1037024583913109E-4</v>
      </c>
      <c r="E913">
        <f>_xlfn.XLOOKUP(A913,VIX!A:A,VIX!B:B,"",-1)</f>
        <v>13</v>
      </c>
      <c r="F913">
        <f t="shared" si="113"/>
        <v>0.32000000000000028</v>
      </c>
      <c r="G913">
        <f>_xlfn.XLOOKUP(A913,'DGS10'!A:A,'DGS10'!B:B,"",-1)</f>
        <v>1.88</v>
      </c>
      <c r="H913">
        <f t="shared" si="114"/>
        <v>-4.0000000000000036E-2</v>
      </c>
      <c r="I913" s="2">
        <f>_xlfn.XLOOKUP(A913,T10Y3M!A:A,T10Y3M!B:B,"",-1)</f>
        <v>0.31</v>
      </c>
      <c r="J913" s="2">
        <f>_xlfn.XLOOKUP(A913,BAMLC0A4CBBB!A:A,BAMLC0A4CBBB!B:B,"",-1)</f>
        <v>1.44</v>
      </c>
      <c r="K913" s="2">
        <f>_xlfn.XLOOKUP(A913,CPIAUCSL!A:A,CPIAUCSL!B:B,"",-1)</f>
        <v>257.87900000000002</v>
      </c>
      <c r="L913">
        <f>_xlfn.XLOOKUP(A913,DFF!A:A,DFF!B:B,"",-1)</f>
        <v>1.55</v>
      </c>
      <c r="M913">
        <f>_xlfn.XLOOKUP(A913,'DGS2'!A:A,'DGS2'!B:B,"",-1)</f>
        <v>1.63</v>
      </c>
      <c r="N913">
        <f t="shared" si="115"/>
        <v>-3.0000000000000027E-2</v>
      </c>
      <c r="O913">
        <f t="shared" si="116"/>
        <v>8.3709325024883263E-4</v>
      </c>
      <c r="P913">
        <f t="shared" si="117"/>
        <v>1</v>
      </c>
      <c r="Q913">
        <f t="shared" si="118"/>
        <v>0</v>
      </c>
    </row>
    <row r="914" spans="1:17">
      <c r="A914" s="1">
        <v>43783</v>
      </c>
      <c r="B914">
        <v>3096.63</v>
      </c>
      <c r="C914">
        <f t="shared" si="112"/>
        <v>8.3709325024883263E-4</v>
      </c>
      <c r="D914">
        <f t="shared" si="119"/>
        <v>3.1162840418397231E-3</v>
      </c>
      <c r="E914">
        <f>_xlfn.XLOOKUP(A914,VIX!A:A,VIX!B:B,"",-1)</f>
        <v>13.05</v>
      </c>
      <c r="F914">
        <f t="shared" si="113"/>
        <v>5.0000000000000711E-2</v>
      </c>
      <c r="G914">
        <f>_xlfn.XLOOKUP(A914,'DGS10'!A:A,'DGS10'!B:B,"",-1)</f>
        <v>1.82</v>
      </c>
      <c r="H914">
        <f t="shared" si="114"/>
        <v>-5.9999999999999831E-2</v>
      </c>
      <c r="I914" s="2">
        <f>_xlfn.XLOOKUP(A914,T10Y3M!A:A,T10Y3M!B:B,"",-1)</f>
        <v>0.25</v>
      </c>
      <c r="J914" s="2">
        <f>_xlfn.XLOOKUP(A914,BAMLC0A4CBBB!A:A,BAMLC0A4CBBB!B:B,"",-1)</f>
        <v>1.45</v>
      </c>
      <c r="K914" s="2">
        <f>_xlfn.XLOOKUP(A914,CPIAUCSL!A:A,CPIAUCSL!B:B,"",-1)</f>
        <v>257.87900000000002</v>
      </c>
      <c r="L914">
        <f>_xlfn.XLOOKUP(A914,DFF!A:A,DFF!B:B,"",-1)</f>
        <v>1.55</v>
      </c>
      <c r="M914">
        <f>_xlfn.XLOOKUP(A914,'DGS2'!A:A,'DGS2'!B:B,"",-1)</f>
        <v>1.58</v>
      </c>
      <c r="N914">
        <f t="shared" si="115"/>
        <v>-4.9999999999999822E-2</v>
      </c>
      <c r="O914">
        <f t="shared" si="116"/>
        <v>7.6954624866387711E-3</v>
      </c>
      <c r="P914">
        <f t="shared" si="117"/>
        <v>1</v>
      </c>
      <c r="Q914">
        <f t="shared" si="118"/>
        <v>1</v>
      </c>
    </row>
    <row r="915" spans="1:17">
      <c r="A915" s="1">
        <v>43784</v>
      </c>
      <c r="B915">
        <v>3120.46</v>
      </c>
      <c r="C915">
        <f t="shared" si="112"/>
        <v>7.6954624866387711E-3</v>
      </c>
      <c r="D915">
        <f t="shared" si="119"/>
        <v>9.2566238873939E-3</v>
      </c>
      <c r="E915">
        <f>_xlfn.XLOOKUP(A915,VIX!A:A,VIX!B:B,"",-1)</f>
        <v>12.05</v>
      </c>
      <c r="F915">
        <f t="shared" si="113"/>
        <v>-1</v>
      </c>
      <c r="G915">
        <f>_xlfn.XLOOKUP(A915,'DGS10'!A:A,'DGS10'!B:B,"",-1)</f>
        <v>1.84</v>
      </c>
      <c r="H915">
        <f t="shared" si="114"/>
        <v>2.0000000000000018E-2</v>
      </c>
      <c r="I915" s="2">
        <f>_xlfn.XLOOKUP(A915,T10Y3M!A:A,T10Y3M!B:B,"",-1)</f>
        <v>0.27</v>
      </c>
      <c r="J915" s="2">
        <f>_xlfn.XLOOKUP(A915,BAMLC0A4CBBB!A:A,BAMLC0A4CBBB!B:B,"",-1)</f>
        <v>1.44</v>
      </c>
      <c r="K915" s="2">
        <f>_xlfn.XLOOKUP(A915,CPIAUCSL!A:A,CPIAUCSL!B:B,"",-1)</f>
        <v>257.87900000000002</v>
      </c>
      <c r="L915">
        <f>_xlfn.XLOOKUP(A915,DFF!A:A,DFF!B:B,"",-1)</f>
        <v>1.55</v>
      </c>
      <c r="M915">
        <f>_xlfn.XLOOKUP(A915,'DGS2'!A:A,'DGS2'!B:B,"",-1)</f>
        <v>1.61</v>
      </c>
      <c r="N915">
        <f t="shared" si="115"/>
        <v>3.0000000000000027E-2</v>
      </c>
      <c r="O915">
        <f t="shared" si="116"/>
        <v>5.0313094864229413E-4</v>
      </c>
      <c r="P915">
        <f t="shared" si="117"/>
        <v>1</v>
      </c>
      <c r="Q915">
        <f t="shared" si="118"/>
        <v>0</v>
      </c>
    </row>
    <row r="916" spans="1:17">
      <c r="A916" s="1">
        <v>43787</v>
      </c>
      <c r="B916">
        <v>3122.03</v>
      </c>
      <c r="C916">
        <f t="shared" si="112"/>
        <v>5.0313094864229413E-4</v>
      </c>
      <c r="D916">
        <f t="shared" si="119"/>
        <v>9.04642473917594E-3</v>
      </c>
      <c r="E916">
        <f>_xlfn.XLOOKUP(A916,VIX!A:A,VIX!B:B,"",-1)</f>
        <v>12.46</v>
      </c>
      <c r="F916">
        <f t="shared" si="113"/>
        <v>0.41000000000000014</v>
      </c>
      <c r="G916">
        <f>_xlfn.XLOOKUP(A916,'DGS10'!A:A,'DGS10'!B:B,"",-1)</f>
        <v>1.81</v>
      </c>
      <c r="H916">
        <f t="shared" si="114"/>
        <v>-3.0000000000000027E-2</v>
      </c>
      <c r="I916" s="2">
        <f>_xlfn.XLOOKUP(A916,T10Y3M!A:A,T10Y3M!B:B,"",-1)</f>
        <v>0.24</v>
      </c>
      <c r="J916" s="2">
        <f>_xlfn.XLOOKUP(A916,BAMLC0A4CBBB!A:A,BAMLC0A4CBBB!B:B,"",-1)</f>
        <v>1.44</v>
      </c>
      <c r="K916" s="2">
        <f>_xlfn.XLOOKUP(A916,CPIAUCSL!A:A,CPIAUCSL!B:B,"",-1)</f>
        <v>257.87900000000002</v>
      </c>
      <c r="L916">
        <f>_xlfn.XLOOKUP(A916,DFF!A:A,DFF!B:B,"",-1)</f>
        <v>1.55</v>
      </c>
      <c r="M916">
        <f>_xlfn.XLOOKUP(A916,'DGS2'!A:A,'DGS2'!B:B,"",-1)</f>
        <v>1.6</v>
      </c>
      <c r="N916">
        <f t="shared" si="115"/>
        <v>-1.0000000000000009E-2</v>
      </c>
      <c r="O916">
        <f t="shared" si="116"/>
        <v>-5.9256317203881803E-4</v>
      </c>
      <c r="P916">
        <f t="shared" si="117"/>
        <v>0</v>
      </c>
      <c r="Q916">
        <f t="shared" si="118"/>
        <v>0</v>
      </c>
    </row>
    <row r="917" spans="1:17">
      <c r="A917" s="1">
        <v>43788</v>
      </c>
      <c r="B917">
        <v>3120.18</v>
      </c>
      <c r="C917">
        <f t="shared" si="112"/>
        <v>-5.9256317203881803E-4</v>
      </c>
      <c r="D917">
        <f t="shared" si="119"/>
        <v>7.6050416097499518E-3</v>
      </c>
      <c r="E917">
        <f>_xlfn.XLOOKUP(A917,VIX!A:A,VIX!B:B,"",-1)</f>
        <v>12.86</v>
      </c>
      <c r="F917">
        <f t="shared" si="113"/>
        <v>0.39999999999999858</v>
      </c>
      <c r="G917">
        <f>_xlfn.XLOOKUP(A917,'DGS10'!A:A,'DGS10'!B:B,"",-1)</f>
        <v>1.79</v>
      </c>
      <c r="H917">
        <f t="shared" si="114"/>
        <v>-2.0000000000000018E-2</v>
      </c>
      <c r="I917" s="2">
        <f>_xlfn.XLOOKUP(A917,T10Y3M!A:A,T10Y3M!B:B,"",-1)</f>
        <v>0.22</v>
      </c>
      <c r="J917" s="2">
        <f>_xlfn.XLOOKUP(A917,BAMLC0A4CBBB!A:A,BAMLC0A4CBBB!B:B,"",-1)</f>
        <v>1.45</v>
      </c>
      <c r="K917" s="2">
        <f>_xlfn.XLOOKUP(A917,CPIAUCSL!A:A,CPIAUCSL!B:B,"",-1)</f>
        <v>257.87900000000002</v>
      </c>
      <c r="L917">
        <f>_xlfn.XLOOKUP(A917,DFF!A:A,DFF!B:B,"",-1)</f>
        <v>1.55</v>
      </c>
      <c r="M917">
        <f>_xlfn.XLOOKUP(A917,'DGS2'!A:A,'DGS2'!B:B,"",-1)</f>
        <v>1.6</v>
      </c>
      <c r="N917">
        <f t="shared" si="115"/>
        <v>0</v>
      </c>
      <c r="O917">
        <f t="shared" si="116"/>
        <v>-3.7561935529359936E-3</v>
      </c>
      <c r="P917">
        <f t="shared" si="117"/>
        <v>0</v>
      </c>
      <c r="Q917">
        <f t="shared" si="118"/>
        <v>-1</v>
      </c>
    </row>
    <row r="918" spans="1:17">
      <c r="A918" s="1">
        <v>43789</v>
      </c>
      <c r="B918">
        <v>3108.46</v>
      </c>
      <c r="C918">
        <f t="shared" si="112"/>
        <v>-3.7561935529359936E-3</v>
      </c>
      <c r="D918">
        <f t="shared" si="119"/>
        <v>-3.8455868686027017E-3</v>
      </c>
      <c r="E918">
        <f>_xlfn.XLOOKUP(A918,VIX!A:A,VIX!B:B,"",-1)</f>
        <v>12.78</v>
      </c>
      <c r="F918">
        <f t="shared" si="113"/>
        <v>-8.0000000000000071E-2</v>
      </c>
      <c r="G918">
        <f>_xlfn.XLOOKUP(A918,'DGS10'!A:A,'DGS10'!B:B,"",-1)</f>
        <v>1.73</v>
      </c>
      <c r="H918">
        <f t="shared" si="114"/>
        <v>-6.0000000000000053E-2</v>
      </c>
      <c r="I918" s="2">
        <f>_xlfn.XLOOKUP(A918,T10Y3M!A:A,T10Y3M!B:B,"",-1)</f>
        <v>0.16</v>
      </c>
      <c r="J918" s="2">
        <f>_xlfn.XLOOKUP(A918,BAMLC0A4CBBB!A:A,BAMLC0A4CBBB!B:B,"",-1)</f>
        <v>1.46</v>
      </c>
      <c r="K918" s="2">
        <f>_xlfn.XLOOKUP(A918,CPIAUCSL!A:A,CPIAUCSL!B:B,"",-1)</f>
        <v>257.87900000000002</v>
      </c>
      <c r="L918">
        <f>_xlfn.XLOOKUP(A918,DFF!A:A,DFF!B:B,"",-1)</f>
        <v>1.55</v>
      </c>
      <c r="M918">
        <f>_xlfn.XLOOKUP(A918,'DGS2'!A:A,'DGS2'!B:B,"",-1)</f>
        <v>1.56</v>
      </c>
      <c r="N918">
        <f t="shared" si="115"/>
        <v>-4.0000000000000036E-2</v>
      </c>
      <c r="O918">
        <f t="shared" si="116"/>
        <v>-1.5827773238195064E-3</v>
      </c>
      <c r="P918">
        <f t="shared" si="117"/>
        <v>0</v>
      </c>
      <c r="Q918">
        <f t="shared" si="118"/>
        <v>0</v>
      </c>
    </row>
    <row r="919" spans="1:17">
      <c r="A919" s="1">
        <v>43790</v>
      </c>
      <c r="B919">
        <v>3103.54</v>
      </c>
      <c r="C919">
        <f t="shared" si="112"/>
        <v>-1.5827773238195064E-3</v>
      </c>
      <c r="D919">
        <f t="shared" si="119"/>
        <v>-5.9224286762139533E-3</v>
      </c>
      <c r="E919">
        <f>_xlfn.XLOOKUP(A919,VIX!A:A,VIX!B:B,"",-1)</f>
        <v>13.13</v>
      </c>
      <c r="F919">
        <f t="shared" si="113"/>
        <v>0.35000000000000142</v>
      </c>
      <c r="G919">
        <f>_xlfn.XLOOKUP(A919,'DGS10'!A:A,'DGS10'!B:B,"",-1)</f>
        <v>1.77</v>
      </c>
      <c r="H919">
        <f t="shared" si="114"/>
        <v>4.0000000000000036E-2</v>
      </c>
      <c r="I919" s="2">
        <f>_xlfn.XLOOKUP(A919,T10Y3M!A:A,T10Y3M!B:B,"",-1)</f>
        <v>0.19</v>
      </c>
      <c r="J919" s="2">
        <f>_xlfn.XLOOKUP(A919,BAMLC0A4CBBB!A:A,BAMLC0A4CBBB!B:B,"",-1)</f>
        <v>1.46</v>
      </c>
      <c r="K919" s="2">
        <f>_xlfn.XLOOKUP(A919,CPIAUCSL!A:A,CPIAUCSL!B:B,"",-1)</f>
        <v>257.87900000000002</v>
      </c>
      <c r="L919">
        <f>_xlfn.XLOOKUP(A919,DFF!A:A,DFF!B:B,"",-1)</f>
        <v>1.55</v>
      </c>
      <c r="M919">
        <f>_xlfn.XLOOKUP(A919,'DGS2'!A:A,'DGS2'!B:B,"",-1)</f>
        <v>1.6</v>
      </c>
      <c r="N919">
        <f t="shared" si="115"/>
        <v>4.0000000000000036E-2</v>
      </c>
      <c r="O919">
        <f t="shared" si="116"/>
        <v>2.1749357185665286E-3</v>
      </c>
      <c r="P919">
        <f t="shared" si="117"/>
        <v>1</v>
      </c>
      <c r="Q919">
        <f t="shared" si="118"/>
        <v>0</v>
      </c>
    </row>
    <row r="920" spans="1:17">
      <c r="A920" s="1">
        <v>43791</v>
      </c>
      <c r="B920">
        <v>3110.29</v>
      </c>
      <c r="C920">
        <f t="shared" si="112"/>
        <v>2.1749357185665286E-3</v>
      </c>
      <c r="D920">
        <f t="shared" si="119"/>
        <v>-3.1696889282027962E-3</v>
      </c>
      <c r="E920">
        <f>_xlfn.XLOOKUP(A920,VIX!A:A,VIX!B:B,"",-1)</f>
        <v>12.34</v>
      </c>
      <c r="F920">
        <f t="shared" si="113"/>
        <v>-0.79000000000000092</v>
      </c>
      <c r="G920">
        <f>_xlfn.XLOOKUP(A920,'DGS10'!A:A,'DGS10'!B:B,"",-1)</f>
        <v>1.77</v>
      </c>
      <c r="H920">
        <f t="shared" si="114"/>
        <v>0</v>
      </c>
      <c r="I920" s="2">
        <f>_xlfn.XLOOKUP(A920,T10Y3M!A:A,T10Y3M!B:B,"",-1)</f>
        <v>0.19</v>
      </c>
      <c r="J920" s="2">
        <f>_xlfn.XLOOKUP(A920,BAMLC0A4CBBB!A:A,BAMLC0A4CBBB!B:B,"",-1)</f>
        <v>1.46</v>
      </c>
      <c r="K920" s="2">
        <f>_xlfn.XLOOKUP(A920,CPIAUCSL!A:A,CPIAUCSL!B:B,"",-1)</f>
        <v>257.87900000000002</v>
      </c>
      <c r="L920">
        <f>_xlfn.XLOOKUP(A920,DFF!A:A,DFF!B:B,"",-1)</f>
        <v>1.55</v>
      </c>
      <c r="M920">
        <f>_xlfn.XLOOKUP(A920,'DGS2'!A:A,'DGS2'!B:B,"",-1)</f>
        <v>1.61</v>
      </c>
      <c r="N920">
        <f t="shared" si="115"/>
        <v>1.0000000000000009E-2</v>
      </c>
      <c r="O920">
        <f t="shared" si="116"/>
        <v>7.5073385439943241E-3</v>
      </c>
      <c r="P920">
        <f t="shared" si="117"/>
        <v>1</v>
      </c>
      <c r="Q920">
        <f t="shared" si="118"/>
        <v>1</v>
      </c>
    </row>
    <row r="921" spans="1:17">
      <c r="A921" s="1">
        <v>43794</v>
      </c>
      <c r="B921">
        <v>3133.64</v>
      </c>
      <c r="C921">
        <f t="shared" si="112"/>
        <v>7.5073385439943241E-3</v>
      </c>
      <c r="D921">
        <f t="shared" si="119"/>
        <v>8.100474189791651E-3</v>
      </c>
      <c r="E921">
        <f>_xlfn.XLOOKUP(A921,VIX!A:A,VIX!B:B,"",-1)</f>
        <v>11.87</v>
      </c>
      <c r="F921">
        <f t="shared" si="113"/>
        <v>-0.47000000000000064</v>
      </c>
      <c r="G921">
        <f>_xlfn.XLOOKUP(A921,'DGS10'!A:A,'DGS10'!B:B,"",-1)</f>
        <v>1.76</v>
      </c>
      <c r="H921">
        <f t="shared" si="114"/>
        <v>-1.0000000000000009E-2</v>
      </c>
      <c r="I921" s="2">
        <f>_xlfn.XLOOKUP(A921,T10Y3M!A:A,T10Y3M!B:B,"",-1)</f>
        <v>0.15</v>
      </c>
      <c r="J921" s="2">
        <f>_xlfn.XLOOKUP(A921,BAMLC0A4CBBB!A:A,BAMLC0A4CBBB!B:B,"",-1)</f>
        <v>1.44</v>
      </c>
      <c r="K921" s="2">
        <f>_xlfn.XLOOKUP(A921,CPIAUCSL!A:A,CPIAUCSL!B:B,"",-1)</f>
        <v>257.87900000000002</v>
      </c>
      <c r="L921">
        <f>_xlfn.XLOOKUP(A921,DFF!A:A,DFF!B:B,"",-1)</f>
        <v>1.55</v>
      </c>
      <c r="M921">
        <f>_xlfn.XLOOKUP(A921,'DGS2'!A:A,'DGS2'!B:B,"",-1)</f>
        <v>1.61</v>
      </c>
      <c r="N921">
        <f t="shared" si="115"/>
        <v>0</v>
      </c>
      <c r="O921">
        <f t="shared" si="116"/>
        <v>2.1955297992111156E-3</v>
      </c>
      <c r="P921">
        <f t="shared" si="117"/>
        <v>1</v>
      </c>
      <c r="Q921">
        <f t="shared" si="118"/>
        <v>0</v>
      </c>
    </row>
    <row r="922" spans="1:17">
      <c r="A922" s="1">
        <v>43795</v>
      </c>
      <c r="B922">
        <v>3140.52</v>
      </c>
      <c r="C922">
        <f t="shared" si="112"/>
        <v>2.1955297992111156E-3</v>
      </c>
      <c r="D922">
        <f t="shared" si="119"/>
        <v>1.1915425610754093E-2</v>
      </c>
      <c r="E922">
        <f>_xlfn.XLOOKUP(A922,VIX!A:A,VIX!B:B,"",-1)</f>
        <v>11.54</v>
      </c>
      <c r="F922">
        <f t="shared" si="113"/>
        <v>-0.33000000000000007</v>
      </c>
      <c r="G922">
        <f>_xlfn.XLOOKUP(A922,'DGS10'!A:A,'DGS10'!B:B,"",-1)</f>
        <v>1.74</v>
      </c>
      <c r="H922">
        <f t="shared" si="114"/>
        <v>-2.0000000000000018E-2</v>
      </c>
      <c r="I922" s="2">
        <f>_xlfn.XLOOKUP(A922,T10Y3M!A:A,T10Y3M!B:B,"",-1)</f>
        <v>0.14000000000000001</v>
      </c>
      <c r="J922" s="2">
        <f>_xlfn.XLOOKUP(A922,BAMLC0A4CBBB!A:A,BAMLC0A4CBBB!B:B,"",-1)</f>
        <v>1.44</v>
      </c>
      <c r="K922" s="2">
        <f>_xlfn.XLOOKUP(A922,CPIAUCSL!A:A,CPIAUCSL!B:B,"",-1)</f>
        <v>257.87900000000002</v>
      </c>
      <c r="L922">
        <f>_xlfn.XLOOKUP(A922,DFF!A:A,DFF!B:B,"",-1)</f>
        <v>1.55</v>
      </c>
      <c r="M922">
        <f>_xlfn.XLOOKUP(A922,'DGS2'!A:A,'DGS2'!B:B,"",-1)</f>
        <v>1.58</v>
      </c>
      <c r="N922">
        <f t="shared" si="115"/>
        <v>-3.0000000000000027E-2</v>
      </c>
      <c r="O922">
        <f t="shared" si="116"/>
        <v>4.1744679225097503E-3</v>
      </c>
      <c r="P922">
        <f t="shared" si="117"/>
        <v>1</v>
      </c>
      <c r="Q922">
        <f t="shared" si="118"/>
        <v>1</v>
      </c>
    </row>
    <row r="923" spans="1:17">
      <c r="A923" s="1">
        <v>43796</v>
      </c>
      <c r="B923">
        <v>3153.63</v>
      </c>
      <c r="C923">
        <f t="shared" si="112"/>
        <v>4.1744679225097503E-3</v>
      </c>
      <c r="D923">
        <f t="shared" si="119"/>
        <v>1.3934391969880666E-2</v>
      </c>
      <c r="E923">
        <f>_xlfn.XLOOKUP(A923,VIX!A:A,VIX!B:B,"",-1)</f>
        <v>11.75</v>
      </c>
      <c r="F923">
        <f t="shared" si="113"/>
        <v>0.21000000000000085</v>
      </c>
      <c r="G923">
        <f>_xlfn.XLOOKUP(A923,'DGS10'!A:A,'DGS10'!B:B,"",-1)</f>
        <v>1.77</v>
      </c>
      <c r="H923">
        <f t="shared" si="114"/>
        <v>3.0000000000000027E-2</v>
      </c>
      <c r="I923" s="2">
        <f>_xlfn.XLOOKUP(A923,T10Y3M!A:A,T10Y3M!B:B,"",-1)</f>
        <v>0.15</v>
      </c>
      <c r="J923" s="2">
        <f>_xlfn.XLOOKUP(A923,BAMLC0A4CBBB!A:A,BAMLC0A4CBBB!B:B,"",-1)</f>
        <v>1.43</v>
      </c>
      <c r="K923" s="2">
        <f>_xlfn.XLOOKUP(A923,CPIAUCSL!A:A,CPIAUCSL!B:B,"",-1)</f>
        <v>257.87900000000002</v>
      </c>
      <c r="L923">
        <f>_xlfn.XLOOKUP(A923,DFF!A:A,DFF!B:B,"",-1)</f>
        <v>1.55</v>
      </c>
      <c r="M923">
        <f>_xlfn.XLOOKUP(A923,'DGS2'!A:A,'DGS2'!B:B,"",-1)</f>
        <v>1.63</v>
      </c>
      <c r="N923">
        <f t="shared" si="115"/>
        <v>4.9999999999999822E-2</v>
      </c>
      <c r="O923">
        <f t="shared" si="116"/>
        <v>-4.0112505271703291E-3</v>
      </c>
      <c r="P923">
        <f t="shared" si="117"/>
        <v>0</v>
      </c>
      <c r="Q923">
        <f t="shared" si="118"/>
        <v>-1</v>
      </c>
    </row>
    <row r="924" spans="1:17">
      <c r="A924" s="1">
        <v>43798</v>
      </c>
      <c r="B924">
        <v>3140.98</v>
      </c>
      <c r="C924">
        <f t="shared" si="112"/>
        <v>-4.0112505271703291E-3</v>
      </c>
      <c r="D924">
        <f t="shared" si="119"/>
        <v>2.3423239427631248E-3</v>
      </c>
      <c r="E924">
        <f>_xlfn.XLOOKUP(A924,VIX!A:A,VIX!B:B,"",-1)</f>
        <v>12.62</v>
      </c>
      <c r="F924">
        <f t="shared" si="113"/>
        <v>0.86999999999999922</v>
      </c>
      <c r="G924">
        <f>_xlfn.XLOOKUP(A924,'DGS10'!A:A,'DGS10'!B:B,"",-1)</f>
        <v>1.78</v>
      </c>
      <c r="H924">
        <f t="shared" si="114"/>
        <v>1.0000000000000009E-2</v>
      </c>
      <c r="I924" s="2">
        <f>_xlfn.XLOOKUP(A924,T10Y3M!A:A,T10Y3M!B:B,"",-1)</f>
        <v>0.19</v>
      </c>
      <c r="J924" s="2">
        <f>_xlfn.XLOOKUP(A924,BAMLC0A4CBBB!A:A,BAMLC0A4CBBB!B:B,"",-1)</f>
        <v>1.42</v>
      </c>
      <c r="K924" s="2">
        <f>_xlfn.XLOOKUP(A924,CPIAUCSL!A:A,CPIAUCSL!B:B,"",-1)</f>
        <v>257.87900000000002</v>
      </c>
      <c r="L924">
        <f>_xlfn.XLOOKUP(A924,DFF!A:A,DFF!B:B,"",-1)</f>
        <v>1.56</v>
      </c>
      <c r="M924">
        <f>_xlfn.XLOOKUP(A924,'DGS2'!A:A,'DGS2'!B:B,"",-1)</f>
        <v>1.61</v>
      </c>
      <c r="N924">
        <f t="shared" si="115"/>
        <v>-1.9999999999999796E-2</v>
      </c>
      <c r="O924">
        <f t="shared" si="116"/>
        <v>-8.6310641901572449E-3</v>
      </c>
      <c r="P924">
        <f t="shared" si="117"/>
        <v>0</v>
      </c>
      <c r="Q924">
        <f t="shared" si="118"/>
        <v>-1</v>
      </c>
    </row>
    <row r="925" spans="1:17">
      <c r="A925" s="1">
        <v>43801</v>
      </c>
      <c r="B925">
        <v>3113.87</v>
      </c>
      <c r="C925">
        <f t="shared" si="112"/>
        <v>-8.6310641901572449E-3</v>
      </c>
      <c r="D925">
        <f t="shared" si="119"/>
        <v>-8.4858558455287447E-3</v>
      </c>
      <c r="E925">
        <f>_xlfn.XLOOKUP(A925,VIX!A:A,VIX!B:B,"",-1)</f>
        <v>14.91</v>
      </c>
      <c r="F925">
        <f t="shared" si="113"/>
        <v>2.2900000000000009</v>
      </c>
      <c r="G925">
        <f>_xlfn.XLOOKUP(A925,'DGS10'!A:A,'DGS10'!B:B,"",-1)</f>
        <v>1.83</v>
      </c>
      <c r="H925">
        <f t="shared" si="114"/>
        <v>5.0000000000000044E-2</v>
      </c>
      <c r="I925" s="2">
        <f>_xlfn.XLOOKUP(A925,T10Y3M!A:A,T10Y3M!B:B,"",-1)</f>
        <v>0.23</v>
      </c>
      <c r="J925" s="2">
        <f>_xlfn.XLOOKUP(A925,BAMLC0A4CBBB!A:A,BAMLC0A4CBBB!B:B,"",-1)</f>
        <v>1.43</v>
      </c>
      <c r="K925" s="2">
        <f>_xlfn.XLOOKUP(A925,CPIAUCSL!A:A,CPIAUCSL!B:B,"",-1)</f>
        <v>258.63</v>
      </c>
      <c r="L925">
        <f>_xlfn.XLOOKUP(A925,DFF!A:A,DFF!B:B,"",-1)</f>
        <v>1.56</v>
      </c>
      <c r="M925">
        <f>_xlfn.XLOOKUP(A925,'DGS2'!A:A,'DGS2'!B:B,"",-1)</f>
        <v>1.61</v>
      </c>
      <c r="N925">
        <f t="shared" si="115"/>
        <v>0</v>
      </c>
      <c r="O925">
        <f t="shared" si="116"/>
        <v>-6.6380420505672832E-3</v>
      </c>
      <c r="P925">
        <f t="shared" si="117"/>
        <v>0</v>
      </c>
      <c r="Q925">
        <f t="shared" si="118"/>
        <v>-1</v>
      </c>
    </row>
    <row r="926" spans="1:17">
      <c r="A926" s="1">
        <v>43802</v>
      </c>
      <c r="B926">
        <v>3093.2</v>
      </c>
      <c r="C926">
        <f t="shared" si="112"/>
        <v>-6.6380420505672832E-3</v>
      </c>
      <c r="D926">
        <f t="shared" si="119"/>
        <v>-1.9162045008450646E-2</v>
      </c>
      <c r="E926">
        <f>_xlfn.XLOOKUP(A926,VIX!A:A,VIX!B:B,"",-1)</f>
        <v>15.96</v>
      </c>
      <c r="F926">
        <f t="shared" si="113"/>
        <v>1.0500000000000007</v>
      </c>
      <c r="G926">
        <f>_xlfn.XLOOKUP(A926,'DGS10'!A:A,'DGS10'!B:B,"",-1)</f>
        <v>1.72</v>
      </c>
      <c r="H926">
        <f t="shared" si="114"/>
        <v>-0.1100000000000001</v>
      </c>
      <c r="I926" s="2">
        <f>_xlfn.XLOOKUP(A926,T10Y3M!A:A,T10Y3M!B:B,"",-1)</f>
        <v>0.15</v>
      </c>
      <c r="J926" s="2">
        <f>_xlfn.XLOOKUP(A926,BAMLC0A4CBBB!A:A,BAMLC0A4CBBB!B:B,"",-1)</f>
        <v>1.45</v>
      </c>
      <c r="K926" s="2">
        <f>_xlfn.XLOOKUP(A926,CPIAUCSL!A:A,CPIAUCSL!B:B,"",-1)</f>
        <v>258.63</v>
      </c>
      <c r="L926">
        <f>_xlfn.XLOOKUP(A926,DFF!A:A,DFF!B:B,"",-1)</f>
        <v>1.55</v>
      </c>
      <c r="M926">
        <f>_xlfn.XLOOKUP(A926,'DGS2'!A:A,'DGS2'!B:B,"",-1)</f>
        <v>1.53</v>
      </c>
      <c r="N926">
        <f t="shared" si="115"/>
        <v>-8.0000000000000071E-2</v>
      </c>
      <c r="O926">
        <f t="shared" si="116"/>
        <v>6.323548428811776E-3</v>
      </c>
      <c r="P926">
        <f t="shared" si="117"/>
        <v>1</v>
      </c>
      <c r="Q926">
        <f t="shared" si="118"/>
        <v>1</v>
      </c>
    </row>
    <row r="927" spans="1:17">
      <c r="A927" s="1">
        <v>43803</v>
      </c>
      <c r="B927">
        <v>3112.76</v>
      </c>
      <c r="C927">
        <f t="shared" si="112"/>
        <v>6.323548428811776E-3</v>
      </c>
      <c r="D927">
        <f t="shared" si="119"/>
        <v>-8.9844570802742885E-3</v>
      </c>
      <c r="E927">
        <f>_xlfn.XLOOKUP(A927,VIX!A:A,VIX!B:B,"",-1)</f>
        <v>14.8</v>
      </c>
      <c r="F927">
        <f t="shared" si="113"/>
        <v>-1.1600000000000001</v>
      </c>
      <c r="G927">
        <f>_xlfn.XLOOKUP(A927,'DGS10'!A:A,'DGS10'!B:B,"",-1)</f>
        <v>1.77</v>
      </c>
      <c r="H927">
        <f t="shared" si="114"/>
        <v>5.0000000000000044E-2</v>
      </c>
      <c r="I927" s="2">
        <f>_xlfn.XLOOKUP(A927,T10Y3M!A:A,T10Y3M!B:B,"",-1)</f>
        <v>0.22</v>
      </c>
      <c r="J927" s="2">
        <f>_xlfn.XLOOKUP(A927,BAMLC0A4CBBB!A:A,BAMLC0A4CBBB!B:B,"",-1)</f>
        <v>1.43</v>
      </c>
      <c r="K927" s="2">
        <f>_xlfn.XLOOKUP(A927,CPIAUCSL!A:A,CPIAUCSL!B:B,"",-1)</f>
        <v>258.63</v>
      </c>
      <c r="L927">
        <f>_xlfn.XLOOKUP(A927,DFF!A:A,DFF!B:B,"",-1)</f>
        <v>1.55</v>
      </c>
      <c r="M927">
        <f>_xlfn.XLOOKUP(A927,'DGS2'!A:A,'DGS2'!B:B,"",-1)</f>
        <v>1.58</v>
      </c>
      <c r="N927">
        <f t="shared" si="115"/>
        <v>5.0000000000000044E-2</v>
      </c>
      <c r="O927">
        <f t="shared" si="116"/>
        <v>1.500276282141666E-3</v>
      </c>
      <c r="P927">
        <f t="shared" si="117"/>
        <v>1</v>
      </c>
      <c r="Q927">
        <f t="shared" si="118"/>
        <v>0</v>
      </c>
    </row>
    <row r="928" spans="1:17">
      <c r="A928" s="1">
        <v>43804</v>
      </c>
      <c r="B928">
        <v>3117.43</v>
      </c>
      <c r="C928">
        <f t="shared" si="112"/>
        <v>1.500276282141666E-3</v>
      </c>
      <c r="D928">
        <f t="shared" si="119"/>
        <v>1.143271877117602E-3</v>
      </c>
      <c r="E928">
        <f>_xlfn.XLOOKUP(A928,VIX!A:A,VIX!B:B,"",-1)</f>
        <v>14.52</v>
      </c>
      <c r="F928">
        <f t="shared" si="113"/>
        <v>-0.28000000000000114</v>
      </c>
      <c r="G928">
        <f>_xlfn.XLOOKUP(A928,'DGS10'!A:A,'DGS10'!B:B,"",-1)</f>
        <v>1.8</v>
      </c>
      <c r="H928">
        <f t="shared" si="114"/>
        <v>3.0000000000000027E-2</v>
      </c>
      <c r="I928" s="2">
        <f>_xlfn.XLOOKUP(A928,T10Y3M!A:A,T10Y3M!B:B,"",-1)</f>
        <v>0.26</v>
      </c>
      <c r="J928" s="2">
        <f>_xlfn.XLOOKUP(A928,BAMLC0A4CBBB!A:A,BAMLC0A4CBBB!B:B,"",-1)</f>
        <v>1.42</v>
      </c>
      <c r="K928" s="2">
        <f>_xlfn.XLOOKUP(A928,CPIAUCSL!A:A,CPIAUCSL!B:B,"",-1)</f>
        <v>258.63</v>
      </c>
      <c r="L928">
        <f>_xlfn.XLOOKUP(A928,DFF!A:A,DFF!B:B,"",-1)</f>
        <v>1.55</v>
      </c>
      <c r="M928">
        <f>_xlfn.XLOOKUP(A928,'DGS2'!A:A,'DGS2'!B:B,"",-1)</f>
        <v>1.58</v>
      </c>
      <c r="N928">
        <f t="shared" si="115"/>
        <v>0</v>
      </c>
      <c r="O928">
        <f t="shared" si="116"/>
        <v>9.1357303933048417E-3</v>
      </c>
      <c r="P928">
        <f t="shared" si="117"/>
        <v>1</v>
      </c>
      <c r="Q928">
        <f t="shared" si="118"/>
        <v>1</v>
      </c>
    </row>
    <row r="929" spans="1:17">
      <c r="A929" s="1">
        <v>43805</v>
      </c>
      <c r="B929">
        <v>3145.91</v>
      </c>
      <c r="C929">
        <f t="shared" si="112"/>
        <v>9.1357303933048417E-3</v>
      </c>
      <c r="D929">
        <f t="shared" si="119"/>
        <v>1.7040605198499925E-2</v>
      </c>
      <c r="E929">
        <f>_xlfn.XLOOKUP(A929,VIX!A:A,VIX!B:B,"",-1)</f>
        <v>13.62</v>
      </c>
      <c r="F929">
        <f t="shared" si="113"/>
        <v>-0.90000000000000036</v>
      </c>
      <c r="G929">
        <f>_xlfn.XLOOKUP(A929,'DGS10'!A:A,'DGS10'!B:B,"",-1)</f>
        <v>1.84</v>
      </c>
      <c r="H929">
        <f t="shared" si="114"/>
        <v>4.0000000000000036E-2</v>
      </c>
      <c r="I929" s="2">
        <f>_xlfn.XLOOKUP(A929,T10Y3M!A:A,T10Y3M!B:B,"",-1)</f>
        <v>0.31</v>
      </c>
      <c r="J929" s="2">
        <f>_xlfn.XLOOKUP(A929,BAMLC0A4CBBB!A:A,BAMLC0A4CBBB!B:B,"",-1)</f>
        <v>1.4</v>
      </c>
      <c r="K929" s="2">
        <f>_xlfn.XLOOKUP(A929,CPIAUCSL!A:A,CPIAUCSL!B:B,"",-1)</f>
        <v>258.63</v>
      </c>
      <c r="L929">
        <f>_xlfn.XLOOKUP(A929,DFF!A:A,DFF!B:B,"",-1)</f>
        <v>1.55</v>
      </c>
      <c r="M929">
        <f>_xlfn.XLOOKUP(A929,'DGS2'!A:A,'DGS2'!B:B,"",-1)</f>
        <v>1.61</v>
      </c>
      <c r="N929">
        <f t="shared" si="115"/>
        <v>3.0000000000000027E-2</v>
      </c>
      <c r="O929">
        <f t="shared" si="116"/>
        <v>-3.1628368262283102E-3</v>
      </c>
      <c r="P929">
        <f t="shared" si="117"/>
        <v>0</v>
      </c>
      <c r="Q929">
        <f t="shared" si="118"/>
        <v>-1</v>
      </c>
    </row>
    <row r="930" spans="1:17">
      <c r="A930" s="1">
        <v>43808</v>
      </c>
      <c r="B930">
        <v>3135.96</v>
      </c>
      <c r="C930">
        <f t="shared" si="112"/>
        <v>-3.1628368262283102E-3</v>
      </c>
      <c r="D930">
        <f t="shared" si="119"/>
        <v>7.453192665030306E-3</v>
      </c>
      <c r="E930">
        <f>_xlfn.XLOOKUP(A930,VIX!A:A,VIX!B:B,"",-1)</f>
        <v>15.86</v>
      </c>
      <c r="F930">
        <f t="shared" si="113"/>
        <v>2.2400000000000002</v>
      </c>
      <c r="G930">
        <f>_xlfn.XLOOKUP(A930,'DGS10'!A:A,'DGS10'!B:B,"",-1)</f>
        <v>1.83</v>
      </c>
      <c r="H930">
        <f t="shared" si="114"/>
        <v>-1.0000000000000009E-2</v>
      </c>
      <c r="I930" s="2">
        <f>_xlfn.XLOOKUP(A930,T10Y3M!A:A,T10Y3M!B:B,"",-1)</f>
        <v>0.28999999999999998</v>
      </c>
      <c r="J930" s="2">
        <f>_xlfn.XLOOKUP(A930,BAMLC0A4CBBB!A:A,BAMLC0A4CBBB!B:B,"",-1)</f>
        <v>1.4</v>
      </c>
      <c r="K930" s="2">
        <f>_xlfn.XLOOKUP(A930,CPIAUCSL!A:A,CPIAUCSL!B:B,"",-1)</f>
        <v>258.63</v>
      </c>
      <c r="L930">
        <f>_xlfn.XLOOKUP(A930,DFF!A:A,DFF!B:B,"",-1)</f>
        <v>1.55</v>
      </c>
      <c r="M930">
        <f>_xlfn.XLOOKUP(A930,'DGS2'!A:A,'DGS2'!B:B,"",-1)</f>
        <v>1.63</v>
      </c>
      <c r="N930">
        <f t="shared" si="115"/>
        <v>1.9999999999999796E-2</v>
      </c>
      <c r="O930">
        <f t="shared" si="116"/>
        <v>-1.0969527672547441E-3</v>
      </c>
      <c r="P930">
        <f t="shared" si="117"/>
        <v>0</v>
      </c>
      <c r="Q930">
        <f t="shared" si="118"/>
        <v>0</v>
      </c>
    </row>
    <row r="931" spans="1:17">
      <c r="A931" s="1">
        <v>43809</v>
      </c>
      <c r="B931">
        <v>3132.52</v>
      </c>
      <c r="C931">
        <f t="shared" si="112"/>
        <v>-1.0969527672547441E-3</v>
      </c>
      <c r="D931">
        <f t="shared" si="119"/>
        <v>4.840525689430164E-3</v>
      </c>
      <c r="E931">
        <f>_xlfn.XLOOKUP(A931,VIX!A:A,VIX!B:B,"",-1)</f>
        <v>15.68</v>
      </c>
      <c r="F931">
        <f t="shared" si="113"/>
        <v>-0.17999999999999972</v>
      </c>
      <c r="G931">
        <f>_xlfn.XLOOKUP(A931,'DGS10'!A:A,'DGS10'!B:B,"",-1)</f>
        <v>1.85</v>
      </c>
      <c r="H931">
        <f t="shared" si="114"/>
        <v>2.0000000000000018E-2</v>
      </c>
      <c r="I931" s="2">
        <f>_xlfn.XLOOKUP(A931,T10Y3M!A:A,T10Y3M!B:B,"",-1)</f>
        <v>0.28999999999999998</v>
      </c>
      <c r="J931" s="2">
        <f>_xlfn.XLOOKUP(A931,BAMLC0A4CBBB!A:A,BAMLC0A4CBBB!B:B,"",-1)</f>
        <v>1.39</v>
      </c>
      <c r="K931" s="2">
        <f>_xlfn.XLOOKUP(A931,CPIAUCSL!A:A,CPIAUCSL!B:B,"",-1)</f>
        <v>258.63</v>
      </c>
      <c r="L931">
        <f>_xlfn.XLOOKUP(A931,DFF!A:A,DFF!B:B,"",-1)</f>
        <v>1.55</v>
      </c>
      <c r="M931">
        <f>_xlfn.XLOOKUP(A931,'DGS2'!A:A,'DGS2'!B:B,"",-1)</f>
        <v>1.65</v>
      </c>
      <c r="N931">
        <f t="shared" si="115"/>
        <v>2.0000000000000018E-2</v>
      </c>
      <c r="O931">
        <f t="shared" si="116"/>
        <v>2.9082017034209873E-3</v>
      </c>
      <c r="P931">
        <f t="shared" si="117"/>
        <v>1</v>
      </c>
      <c r="Q931">
        <f t="shared" si="118"/>
        <v>0</v>
      </c>
    </row>
    <row r="932" spans="1:17">
      <c r="A932" s="1">
        <v>43810</v>
      </c>
      <c r="B932">
        <v>3141.63</v>
      </c>
      <c r="C932">
        <f t="shared" si="112"/>
        <v>2.9082017034209873E-3</v>
      </c>
      <c r="D932">
        <f t="shared" si="119"/>
        <v>-1.36049664484994E-3</v>
      </c>
      <c r="E932">
        <f>_xlfn.XLOOKUP(A932,VIX!A:A,VIX!B:B,"",-1)</f>
        <v>14.99</v>
      </c>
      <c r="F932">
        <f t="shared" si="113"/>
        <v>-0.6899999999999995</v>
      </c>
      <c r="G932">
        <f>_xlfn.XLOOKUP(A932,'DGS10'!A:A,'DGS10'!B:B,"",-1)</f>
        <v>1.79</v>
      </c>
      <c r="H932">
        <f t="shared" si="114"/>
        <v>-6.0000000000000053E-2</v>
      </c>
      <c r="I932" s="2">
        <f>_xlfn.XLOOKUP(A932,T10Y3M!A:A,T10Y3M!B:B,"",-1)</f>
        <v>0.22</v>
      </c>
      <c r="J932" s="2">
        <f>_xlfn.XLOOKUP(A932,BAMLC0A4CBBB!A:A,BAMLC0A4CBBB!B:B,"",-1)</f>
        <v>1.39</v>
      </c>
      <c r="K932" s="2">
        <f>_xlfn.XLOOKUP(A932,CPIAUCSL!A:A,CPIAUCSL!B:B,"",-1)</f>
        <v>258.63</v>
      </c>
      <c r="L932">
        <f>_xlfn.XLOOKUP(A932,DFF!A:A,DFF!B:B,"",-1)</f>
        <v>1.55</v>
      </c>
      <c r="M932">
        <f>_xlfn.XLOOKUP(A932,'DGS2'!A:A,'DGS2'!B:B,"",-1)</f>
        <v>1.61</v>
      </c>
      <c r="N932">
        <f t="shared" si="115"/>
        <v>-3.9999999999999813E-2</v>
      </c>
      <c r="O932">
        <f t="shared" si="116"/>
        <v>8.5751663945150547E-3</v>
      </c>
      <c r="P932">
        <f t="shared" si="117"/>
        <v>1</v>
      </c>
      <c r="Q932">
        <f t="shared" si="118"/>
        <v>1</v>
      </c>
    </row>
    <row r="933" spans="1:17">
      <c r="A933" s="1">
        <v>43811</v>
      </c>
      <c r="B933">
        <v>3168.57</v>
      </c>
      <c r="C933">
        <f t="shared" si="112"/>
        <v>8.5751663945150547E-3</v>
      </c>
      <c r="D933">
        <f t="shared" si="119"/>
        <v>1.0398729575632482E-2</v>
      </c>
      <c r="E933">
        <f>_xlfn.XLOOKUP(A933,VIX!A:A,VIX!B:B,"",-1)</f>
        <v>13.94</v>
      </c>
      <c r="F933">
        <f t="shared" si="113"/>
        <v>-1.0500000000000007</v>
      </c>
      <c r="G933">
        <f>_xlfn.XLOOKUP(A933,'DGS10'!A:A,'DGS10'!B:B,"",-1)</f>
        <v>1.9</v>
      </c>
      <c r="H933">
        <f t="shared" si="114"/>
        <v>0.10999999999999988</v>
      </c>
      <c r="I933" s="2">
        <f>_xlfn.XLOOKUP(A933,T10Y3M!A:A,T10Y3M!B:B,"",-1)</f>
        <v>0.34</v>
      </c>
      <c r="J933" s="2">
        <f>_xlfn.XLOOKUP(A933,BAMLC0A4CBBB!A:A,BAMLC0A4CBBB!B:B,"",-1)</f>
        <v>1.37</v>
      </c>
      <c r="K933" s="2">
        <f>_xlfn.XLOOKUP(A933,CPIAUCSL!A:A,CPIAUCSL!B:B,"",-1)</f>
        <v>258.63</v>
      </c>
      <c r="L933">
        <f>_xlfn.XLOOKUP(A933,DFF!A:A,DFF!B:B,"",-1)</f>
        <v>1.55</v>
      </c>
      <c r="M933">
        <f>_xlfn.XLOOKUP(A933,'DGS2'!A:A,'DGS2'!B:B,"",-1)</f>
        <v>1.66</v>
      </c>
      <c r="N933">
        <f t="shared" si="115"/>
        <v>4.9999999999999822E-2</v>
      </c>
      <c r="O933">
        <f t="shared" si="116"/>
        <v>7.258794976916505E-5</v>
      </c>
      <c r="P933">
        <f t="shared" si="117"/>
        <v>1</v>
      </c>
      <c r="Q933">
        <f t="shared" si="118"/>
        <v>0</v>
      </c>
    </row>
    <row r="934" spans="1:17">
      <c r="A934" s="1">
        <v>43812</v>
      </c>
      <c r="B934">
        <v>3168.8</v>
      </c>
      <c r="C934">
        <f t="shared" si="112"/>
        <v>7.258794976916505E-5</v>
      </c>
      <c r="D934">
        <f t="shared" si="119"/>
        <v>1.1581729725588463E-2</v>
      </c>
      <c r="E934">
        <f>_xlfn.XLOOKUP(A934,VIX!A:A,VIX!B:B,"",-1)</f>
        <v>12.63</v>
      </c>
      <c r="F934">
        <f t="shared" si="113"/>
        <v>-1.3099999999999987</v>
      </c>
      <c r="G934">
        <f>_xlfn.XLOOKUP(A934,'DGS10'!A:A,'DGS10'!B:B,"",-1)</f>
        <v>1.82</v>
      </c>
      <c r="H934">
        <f t="shared" si="114"/>
        <v>-7.9999999999999849E-2</v>
      </c>
      <c r="I934" s="2">
        <f>_xlfn.XLOOKUP(A934,T10Y3M!A:A,T10Y3M!B:B,"",-1)</f>
        <v>0.25</v>
      </c>
      <c r="J934" s="2">
        <f>_xlfn.XLOOKUP(A934,BAMLC0A4CBBB!A:A,BAMLC0A4CBBB!B:B,"",-1)</f>
        <v>1.36</v>
      </c>
      <c r="K934" s="2">
        <f>_xlfn.XLOOKUP(A934,CPIAUCSL!A:A,CPIAUCSL!B:B,"",-1)</f>
        <v>258.63</v>
      </c>
      <c r="L934">
        <f>_xlfn.XLOOKUP(A934,DFF!A:A,DFF!B:B,"",-1)</f>
        <v>1.55</v>
      </c>
      <c r="M934">
        <f>_xlfn.XLOOKUP(A934,'DGS2'!A:A,'DGS2'!B:B,"",-1)</f>
        <v>1.61</v>
      </c>
      <c r="N934">
        <f t="shared" si="115"/>
        <v>-4.9999999999999822E-2</v>
      </c>
      <c r="O934">
        <f t="shared" si="116"/>
        <v>7.1478162080280683E-3</v>
      </c>
      <c r="P934">
        <f t="shared" si="117"/>
        <v>1</v>
      </c>
      <c r="Q934">
        <f t="shared" si="118"/>
        <v>1</v>
      </c>
    </row>
    <row r="935" spans="1:17">
      <c r="A935" s="1">
        <v>43815</v>
      </c>
      <c r="B935">
        <v>3191.45</v>
      </c>
      <c r="C935">
        <f t="shared" si="112"/>
        <v>7.1478162080280683E-3</v>
      </c>
      <c r="D935">
        <f t="shared" si="119"/>
        <v>1.5858010013909851E-2</v>
      </c>
      <c r="E935">
        <f>_xlfn.XLOOKUP(A935,VIX!A:A,VIX!B:B,"",-1)</f>
        <v>12.14</v>
      </c>
      <c r="F935">
        <f t="shared" si="113"/>
        <v>-0.49000000000000021</v>
      </c>
      <c r="G935">
        <f>_xlfn.XLOOKUP(A935,'DGS10'!A:A,'DGS10'!B:B,"",-1)</f>
        <v>1.89</v>
      </c>
      <c r="H935">
        <f t="shared" si="114"/>
        <v>6.999999999999984E-2</v>
      </c>
      <c r="I935" s="2">
        <f>_xlfn.XLOOKUP(A935,T10Y3M!A:A,T10Y3M!B:B,"",-1)</f>
        <v>0.32</v>
      </c>
      <c r="J935" s="2">
        <f>_xlfn.XLOOKUP(A935,BAMLC0A4CBBB!A:A,BAMLC0A4CBBB!B:B,"",-1)</f>
        <v>1.34</v>
      </c>
      <c r="K935" s="2">
        <f>_xlfn.XLOOKUP(A935,CPIAUCSL!A:A,CPIAUCSL!B:B,"",-1)</f>
        <v>258.63</v>
      </c>
      <c r="L935">
        <f>_xlfn.XLOOKUP(A935,DFF!A:A,DFF!B:B,"",-1)</f>
        <v>1.56</v>
      </c>
      <c r="M935">
        <f>_xlfn.XLOOKUP(A935,'DGS2'!A:A,'DGS2'!B:B,"",-1)</f>
        <v>1.65</v>
      </c>
      <c r="N935">
        <f t="shared" si="115"/>
        <v>3.9999999999999813E-2</v>
      </c>
      <c r="O935">
        <f t="shared" si="116"/>
        <v>3.3527080167328194E-4</v>
      </c>
      <c r="P935">
        <f t="shared" si="117"/>
        <v>1</v>
      </c>
      <c r="Q935">
        <f t="shared" si="118"/>
        <v>0</v>
      </c>
    </row>
    <row r="936" spans="1:17">
      <c r="A936" s="1">
        <v>43816</v>
      </c>
      <c r="B936">
        <v>3192.52</v>
      </c>
      <c r="C936">
        <f t="shared" si="112"/>
        <v>3.3527080167328194E-4</v>
      </c>
      <c r="D936">
        <f t="shared" si="119"/>
        <v>7.5586147694384209E-3</v>
      </c>
      <c r="E936">
        <f>_xlfn.XLOOKUP(A936,VIX!A:A,VIX!B:B,"",-1)</f>
        <v>12.29</v>
      </c>
      <c r="F936">
        <f t="shared" si="113"/>
        <v>0.14999999999999858</v>
      </c>
      <c r="G936">
        <f>_xlfn.XLOOKUP(A936,'DGS10'!A:A,'DGS10'!B:B,"",-1)</f>
        <v>1.89</v>
      </c>
      <c r="H936">
        <f t="shared" si="114"/>
        <v>0</v>
      </c>
      <c r="I936" s="2">
        <f>_xlfn.XLOOKUP(A936,T10Y3M!A:A,T10Y3M!B:B,"",-1)</f>
        <v>0.33</v>
      </c>
      <c r="J936" s="2">
        <f>_xlfn.XLOOKUP(A936,BAMLC0A4CBBB!A:A,BAMLC0A4CBBB!B:B,"",-1)</f>
        <v>1.32</v>
      </c>
      <c r="K936" s="2">
        <f>_xlfn.XLOOKUP(A936,CPIAUCSL!A:A,CPIAUCSL!B:B,"",-1)</f>
        <v>258.63</v>
      </c>
      <c r="L936">
        <f>_xlfn.XLOOKUP(A936,DFF!A:A,DFF!B:B,"",-1)</f>
        <v>1.55</v>
      </c>
      <c r="M936">
        <f>_xlfn.XLOOKUP(A936,'DGS2'!A:A,'DGS2'!B:B,"",-1)</f>
        <v>1.63</v>
      </c>
      <c r="N936">
        <f t="shared" si="115"/>
        <v>-2.0000000000000018E-2</v>
      </c>
      <c r="O936">
        <f t="shared" si="116"/>
        <v>-4.3226040870536497E-4</v>
      </c>
      <c r="P936">
        <f t="shared" si="117"/>
        <v>0</v>
      </c>
      <c r="Q936">
        <f t="shared" si="118"/>
        <v>0</v>
      </c>
    </row>
    <row r="937" spans="1:17">
      <c r="A937" s="1">
        <v>43817</v>
      </c>
      <c r="B937">
        <v>3191.14</v>
      </c>
      <c r="C937">
        <f t="shared" si="112"/>
        <v>-4.3226040870536497E-4</v>
      </c>
      <c r="D937">
        <f t="shared" si="119"/>
        <v>7.049987376924971E-3</v>
      </c>
      <c r="E937">
        <f>_xlfn.XLOOKUP(A937,VIX!A:A,VIX!B:B,"",-1)</f>
        <v>12.58</v>
      </c>
      <c r="F937">
        <f t="shared" si="113"/>
        <v>0.29000000000000092</v>
      </c>
      <c r="G937">
        <f>_xlfn.XLOOKUP(A937,'DGS10'!A:A,'DGS10'!B:B,"",-1)</f>
        <v>1.92</v>
      </c>
      <c r="H937">
        <f t="shared" si="114"/>
        <v>3.0000000000000027E-2</v>
      </c>
      <c r="I937" s="2">
        <f>_xlfn.XLOOKUP(A937,T10Y3M!A:A,T10Y3M!B:B,"",-1)</f>
        <v>0.36</v>
      </c>
      <c r="J937" s="2">
        <f>_xlfn.XLOOKUP(A937,BAMLC0A4CBBB!A:A,BAMLC0A4CBBB!B:B,"",-1)</f>
        <v>1.31</v>
      </c>
      <c r="K937" s="2">
        <f>_xlfn.XLOOKUP(A937,CPIAUCSL!A:A,CPIAUCSL!B:B,"",-1)</f>
        <v>258.63</v>
      </c>
      <c r="L937">
        <f>_xlfn.XLOOKUP(A937,DFF!A:A,DFF!B:B,"",-1)</f>
        <v>1.55</v>
      </c>
      <c r="M937">
        <f>_xlfn.XLOOKUP(A937,'DGS2'!A:A,'DGS2'!B:B,"",-1)</f>
        <v>1.63</v>
      </c>
      <c r="N937">
        <f t="shared" si="115"/>
        <v>0</v>
      </c>
      <c r="O937">
        <f t="shared" si="116"/>
        <v>4.4592214694434418E-3</v>
      </c>
      <c r="P937">
        <f t="shared" si="117"/>
        <v>1</v>
      </c>
      <c r="Q937">
        <f t="shared" si="118"/>
        <v>1</v>
      </c>
    </row>
    <row r="938" spans="1:17">
      <c r="A938" s="1">
        <v>43818</v>
      </c>
      <c r="B938">
        <v>3205.37</v>
      </c>
      <c r="C938">
        <f t="shared" si="112"/>
        <v>4.4592214694434418E-3</v>
      </c>
      <c r="D938">
        <f t="shared" si="119"/>
        <v>4.3616537937301025E-3</v>
      </c>
      <c r="E938">
        <f>_xlfn.XLOOKUP(A938,VIX!A:A,VIX!B:B,"",-1)</f>
        <v>12.5</v>
      </c>
      <c r="F938">
        <f t="shared" si="113"/>
        <v>-8.0000000000000071E-2</v>
      </c>
      <c r="G938">
        <f>_xlfn.XLOOKUP(A938,'DGS10'!A:A,'DGS10'!B:B,"",-1)</f>
        <v>1.92</v>
      </c>
      <c r="H938">
        <f t="shared" si="114"/>
        <v>0</v>
      </c>
      <c r="I938" s="2">
        <f>_xlfn.XLOOKUP(A938,T10Y3M!A:A,T10Y3M!B:B,"",-1)</f>
        <v>0.35</v>
      </c>
      <c r="J938" s="2">
        <f>_xlfn.XLOOKUP(A938,BAMLC0A4CBBB!A:A,BAMLC0A4CBBB!B:B,"",-1)</f>
        <v>1.3</v>
      </c>
      <c r="K938" s="2">
        <f>_xlfn.XLOOKUP(A938,CPIAUCSL!A:A,CPIAUCSL!B:B,"",-1)</f>
        <v>258.63</v>
      </c>
      <c r="L938">
        <f>_xlfn.XLOOKUP(A938,DFF!A:A,DFF!B:B,"",-1)</f>
        <v>1.55</v>
      </c>
      <c r="M938">
        <f>_xlfn.XLOOKUP(A938,'DGS2'!A:A,'DGS2'!B:B,"",-1)</f>
        <v>1.62</v>
      </c>
      <c r="N938">
        <f t="shared" si="115"/>
        <v>-9.9999999999997868E-3</v>
      </c>
      <c r="O938">
        <f t="shared" si="116"/>
        <v>4.9448269622538454E-3</v>
      </c>
      <c r="P938">
        <f t="shared" si="117"/>
        <v>1</v>
      </c>
      <c r="Q938">
        <f t="shared" si="118"/>
        <v>1</v>
      </c>
    </row>
    <row r="939" spans="1:17">
      <c r="A939" s="1">
        <v>43819</v>
      </c>
      <c r="B939">
        <v>3221.22</v>
      </c>
      <c r="C939">
        <f t="shared" si="112"/>
        <v>4.9448269622538454E-3</v>
      </c>
      <c r="D939">
        <f t="shared" si="119"/>
        <v>8.9897635723503733E-3</v>
      </c>
      <c r="E939">
        <f>_xlfn.XLOOKUP(A939,VIX!A:A,VIX!B:B,"",-1)</f>
        <v>12.51</v>
      </c>
      <c r="F939">
        <f t="shared" si="113"/>
        <v>9.9999999999997868E-3</v>
      </c>
      <c r="G939">
        <f>_xlfn.XLOOKUP(A939,'DGS10'!A:A,'DGS10'!B:B,"",-1)</f>
        <v>1.92</v>
      </c>
      <c r="H939">
        <f t="shared" si="114"/>
        <v>0</v>
      </c>
      <c r="I939" s="2">
        <f>_xlfn.XLOOKUP(A939,T10Y3M!A:A,T10Y3M!B:B,"",-1)</f>
        <v>0.34</v>
      </c>
      <c r="J939" s="2">
        <f>_xlfn.XLOOKUP(A939,BAMLC0A4CBBB!A:A,BAMLC0A4CBBB!B:B,"",-1)</f>
        <v>1.3</v>
      </c>
      <c r="K939" s="2">
        <f>_xlfn.XLOOKUP(A939,CPIAUCSL!A:A,CPIAUCSL!B:B,"",-1)</f>
        <v>258.63</v>
      </c>
      <c r="L939">
        <f>_xlfn.XLOOKUP(A939,DFF!A:A,DFF!B:B,"",-1)</f>
        <v>1.55</v>
      </c>
      <c r="M939">
        <f>_xlfn.XLOOKUP(A939,'DGS2'!A:A,'DGS2'!B:B,"",-1)</f>
        <v>1.63</v>
      </c>
      <c r="N939">
        <f t="shared" si="115"/>
        <v>9.9999999999997868E-3</v>
      </c>
      <c r="O939">
        <f t="shared" si="116"/>
        <v>8.6613146571812294E-4</v>
      </c>
      <c r="P939">
        <f t="shared" si="117"/>
        <v>1</v>
      </c>
      <c r="Q939">
        <f t="shared" si="118"/>
        <v>0</v>
      </c>
    </row>
    <row r="940" spans="1:17">
      <c r="A940" s="1">
        <v>43822</v>
      </c>
      <c r="B940">
        <v>3224.01</v>
      </c>
      <c r="C940">
        <f t="shared" si="112"/>
        <v>8.6613146571812294E-4</v>
      </c>
      <c r="D940">
        <f t="shared" si="119"/>
        <v>1.0300394216486985E-2</v>
      </c>
      <c r="E940">
        <f>_xlfn.XLOOKUP(A940,VIX!A:A,VIX!B:B,"",-1)</f>
        <v>12.61</v>
      </c>
      <c r="F940">
        <f t="shared" si="113"/>
        <v>9.9999999999999645E-2</v>
      </c>
      <c r="G940">
        <f>_xlfn.XLOOKUP(A940,'DGS10'!A:A,'DGS10'!B:B,"",-1)</f>
        <v>1.93</v>
      </c>
      <c r="H940">
        <f t="shared" si="114"/>
        <v>1.0000000000000009E-2</v>
      </c>
      <c r="I940" s="2">
        <f>_xlfn.XLOOKUP(A940,T10Y3M!A:A,T10Y3M!B:B,"",-1)</f>
        <v>0.34</v>
      </c>
      <c r="J940" s="2">
        <f>_xlfn.XLOOKUP(A940,BAMLC0A4CBBB!A:A,BAMLC0A4CBBB!B:B,"",-1)</f>
        <v>1.3</v>
      </c>
      <c r="K940" s="2">
        <f>_xlfn.XLOOKUP(A940,CPIAUCSL!A:A,CPIAUCSL!B:B,"",-1)</f>
        <v>258.63</v>
      </c>
      <c r="L940">
        <f>_xlfn.XLOOKUP(A940,DFF!A:A,DFF!B:B,"",-1)</f>
        <v>1.55</v>
      </c>
      <c r="M940">
        <f>_xlfn.XLOOKUP(A940,'DGS2'!A:A,'DGS2'!B:B,"",-1)</f>
        <v>1.64</v>
      </c>
      <c r="N940">
        <f t="shared" si="115"/>
        <v>1.0000000000000009E-2</v>
      </c>
      <c r="O940">
        <f t="shared" si="116"/>
        <v>-1.9540882317370389E-4</v>
      </c>
      <c r="P940">
        <f t="shared" si="117"/>
        <v>0</v>
      </c>
      <c r="Q940">
        <f t="shared" si="118"/>
        <v>0</v>
      </c>
    </row>
    <row r="941" spans="1:17">
      <c r="A941" s="1">
        <v>43823</v>
      </c>
      <c r="B941">
        <v>3223.38</v>
      </c>
      <c r="C941">
        <f t="shared" si="112"/>
        <v>-1.9540882317370389E-4</v>
      </c>
      <c r="D941">
        <f t="shared" si="119"/>
        <v>5.6186961255644263E-3</v>
      </c>
      <c r="E941">
        <f>_xlfn.XLOOKUP(A941,VIX!A:A,VIX!B:B,"",-1)</f>
        <v>12.67</v>
      </c>
      <c r="F941">
        <f t="shared" si="113"/>
        <v>6.0000000000000497E-2</v>
      </c>
      <c r="G941">
        <f>_xlfn.XLOOKUP(A941,'DGS10'!A:A,'DGS10'!B:B,"",-1)</f>
        <v>1.9</v>
      </c>
      <c r="H941">
        <f t="shared" si="114"/>
        <v>-3.0000000000000027E-2</v>
      </c>
      <c r="I941" s="2">
        <f>_xlfn.XLOOKUP(A941,T10Y3M!A:A,T10Y3M!B:B,"",-1)</f>
        <v>0.32</v>
      </c>
      <c r="J941" s="2">
        <f>_xlfn.XLOOKUP(A941,BAMLC0A4CBBB!A:A,BAMLC0A4CBBB!B:B,"",-1)</f>
        <v>1.29</v>
      </c>
      <c r="K941" s="2">
        <f>_xlfn.XLOOKUP(A941,CPIAUCSL!A:A,CPIAUCSL!B:B,"",-1)</f>
        <v>258.63</v>
      </c>
      <c r="L941">
        <f>_xlfn.XLOOKUP(A941,DFF!A:A,DFF!B:B,"",-1)</f>
        <v>1.55</v>
      </c>
      <c r="M941">
        <f>_xlfn.XLOOKUP(A941,'DGS2'!A:A,'DGS2'!B:B,"",-1)</f>
        <v>1.62</v>
      </c>
      <c r="N941">
        <f t="shared" si="115"/>
        <v>-1.9999999999999796E-2</v>
      </c>
      <c r="O941">
        <f t="shared" si="116"/>
        <v>5.1281573999961694E-3</v>
      </c>
      <c r="P941">
        <f t="shared" si="117"/>
        <v>1</v>
      </c>
      <c r="Q941">
        <f t="shared" si="118"/>
        <v>1</v>
      </c>
    </row>
    <row r="942" spans="1:17">
      <c r="A942" s="1">
        <v>43825</v>
      </c>
      <c r="B942">
        <v>3239.91</v>
      </c>
      <c r="C942">
        <f t="shared" si="112"/>
        <v>5.1281573999961694E-3</v>
      </c>
      <c r="D942">
        <f t="shared" si="119"/>
        <v>5.8021494961535414E-3</v>
      </c>
      <c r="E942">
        <f>_xlfn.XLOOKUP(A942,VIX!A:A,VIX!B:B,"",-1)</f>
        <v>12.65</v>
      </c>
      <c r="F942">
        <f t="shared" si="113"/>
        <v>-1.9999999999999574E-2</v>
      </c>
      <c r="G942">
        <f>_xlfn.XLOOKUP(A942,'DGS10'!A:A,'DGS10'!B:B,"",-1)</f>
        <v>1.9</v>
      </c>
      <c r="H942">
        <f t="shared" si="114"/>
        <v>0</v>
      </c>
      <c r="I942" s="2">
        <f>_xlfn.XLOOKUP(A942,T10Y3M!A:A,T10Y3M!B:B,"",-1)</f>
        <v>0.32</v>
      </c>
      <c r="J942" s="2">
        <f>_xlfn.XLOOKUP(A942,BAMLC0A4CBBB!A:A,BAMLC0A4CBBB!B:B,"",-1)</f>
        <v>1.29</v>
      </c>
      <c r="K942" s="2">
        <f>_xlfn.XLOOKUP(A942,CPIAUCSL!A:A,CPIAUCSL!B:B,"",-1)</f>
        <v>258.63</v>
      </c>
      <c r="L942">
        <f>_xlfn.XLOOKUP(A942,DFF!A:A,DFF!B:B,"",-1)</f>
        <v>1.55</v>
      </c>
      <c r="M942">
        <f>_xlfn.XLOOKUP(A942,'DGS2'!A:A,'DGS2'!B:B,"",-1)</f>
        <v>1.64</v>
      </c>
      <c r="N942">
        <f t="shared" si="115"/>
        <v>1.9999999999999796E-2</v>
      </c>
      <c r="O942">
        <f t="shared" si="116"/>
        <v>3.3951560382883272E-5</v>
      </c>
      <c r="P942">
        <f t="shared" si="117"/>
        <v>1</v>
      </c>
      <c r="Q942">
        <f t="shared" si="118"/>
        <v>0</v>
      </c>
    </row>
    <row r="943" spans="1:17">
      <c r="A943" s="1">
        <v>43826</v>
      </c>
      <c r="B943">
        <v>3240.02</v>
      </c>
      <c r="C943">
        <f t="shared" si="112"/>
        <v>3.3951560382883272E-5</v>
      </c>
      <c r="D943">
        <f t="shared" si="119"/>
        <v>4.9658654904916055E-3</v>
      </c>
      <c r="E943">
        <f>_xlfn.XLOOKUP(A943,VIX!A:A,VIX!B:B,"",-1)</f>
        <v>13.43</v>
      </c>
      <c r="F943">
        <f t="shared" si="113"/>
        <v>0.77999999999999936</v>
      </c>
      <c r="G943">
        <f>_xlfn.XLOOKUP(A943,'DGS10'!A:A,'DGS10'!B:B,"",-1)</f>
        <v>1.88</v>
      </c>
      <c r="H943">
        <f t="shared" si="114"/>
        <v>-2.0000000000000018E-2</v>
      </c>
      <c r="I943" s="2">
        <f>_xlfn.XLOOKUP(A943,T10Y3M!A:A,T10Y3M!B:B,"",-1)</f>
        <v>0.31</v>
      </c>
      <c r="J943" s="2">
        <f>_xlfn.XLOOKUP(A943,BAMLC0A4CBBB!A:A,BAMLC0A4CBBB!B:B,"",-1)</f>
        <v>1.29</v>
      </c>
      <c r="K943" s="2">
        <f>_xlfn.XLOOKUP(A943,CPIAUCSL!A:A,CPIAUCSL!B:B,"",-1)</f>
        <v>258.63</v>
      </c>
      <c r="L943">
        <f>_xlfn.XLOOKUP(A943,DFF!A:A,DFF!B:B,"",-1)</f>
        <v>1.55</v>
      </c>
      <c r="M943">
        <f>_xlfn.XLOOKUP(A943,'DGS2'!A:A,'DGS2'!B:B,"",-1)</f>
        <v>1.59</v>
      </c>
      <c r="N943">
        <f t="shared" si="115"/>
        <v>-4.9999999999999822E-2</v>
      </c>
      <c r="O943">
        <f t="shared" si="116"/>
        <v>-5.7808285134042237E-3</v>
      </c>
      <c r="P943">
        <f t="shared" si="117"/>
        <v>0</v>
      </c>
      <c r="Q943">
        <f t="shared" si="118"/>
        <v>-1</v>
      </c>
    </row>
    <row r="944" spans="1:17">
      <c r="A944" s="1">
        <v>43829</v>
      </c>
      <c r="B944">
        <v>3221.29</v>
      </c>
      <c r="C944">
        <f t="shared" si="112"/>
        <v>-5.7808285134042237E-3</v>
      </c>
      <c r="D944">
        <f t="shared" si="119"/>
        <v>-6.4838771724096134E-4</v>
      </c>
      <c r="E944">
        <f>_xlfn.XLOOKUP(A944,VIX!A:A,VIX!B:B,"",-1)</f>
        <v>14.82</v>
      </c>
      <c r="F944">
        <f t="shared" si="113"/>
        <v>1.3900000000000006</v>
      </c>
      <c r="G944">
        <f>_xlfn.XLOOKUP(A944,'DGS10'!A:A,'DGS10'!B:B,"",-1)</f>
        <v>1.9</v>
      </c>
      <c r="H944">
        <f t="shared" si="114"/>
        <v>2.0000000000000018E-2</v>
      </c>
      <c r="I944" s="2">
        <f>_xlfn.XLOOKUP(A944,T10Y3M!A:A,T10Y3M!B:B,"",-1)</f>
        <v>0.33</v>
      </c>
      <c r="J944" s="2">
        <f>_xlfn.XLOOKUP(A944,BAMLC0A4CBBB!A:A,BAMLC0A4CBBB!B:B,"",-1)</f>
        <v>1.29</v>
      </c>
      <c r="K944" s="2">
        <f>_xlfn.XLOOKUP(A944,CPIAUCSL!A:A,CPIAUCSL!B:B,"",-1)</f>
        <v>258.63</v>
      </c>
      <c r="L944">
        <f>_xlfn.XLOOKUP(A944,DFF!A:A,DFF!B:B,"",-1)</f>
        <v>1.55</v>
      </c>
      <c r="M944">
        <f>_xlfn.XLOOKUP(A944,'DGS2'!A:A,'DGS2'!B:B,"",-1)</f>
        <v>1.58</v>
      </c>
      <c r="N944">
        <f t="shared" si="115"/>
        <v>-1.0000000000000009E-2</v>
      </c>
      <c r="O944">
        <f t="shared" si="116"/>
        <v>2.9460247292234509E-3</v>
      </c>
      <c r="P944">
        <f t="shared" si="117"/>
        <v>1</v>
      </c>
      <c r="Q944">
        <f t="shared" si="118"/>
        <v>0</v>
      </c>
    </row>
    <row r="945" spans="1:17">
      <c r="A945" s="1">
        <v>43830</v>
      </c>
      <c r="B945">
        <v>3230.78</v>
      </c>
      <c r="C945">
        <f t="shared" si="112"/>
        <v>2.9460247292234509E-3</v>
      </c>
      <c r="D945">
        <f t="shared" si="119"/>
        <v>-2.817979511776425E-3</v>
      </c>
      <c r="E945">
        <f>_xlfn.XLOOKUP(A945,VIX!A:A,VIX!B:B,"",-1)</f>
        <v>13.78</v>
      </c>
      <c r="F945">
        <f t="shared" si="113"/>
        <v>-1.0400000000000009</v>
      </c>
      <c r="G945">
        <f>_xlfn.XLOOKUP(A945,'DGS10'!A:A,'DGS10'!B:B,"",-1)</f>
        <v>1.92</v>
      </c>
      <c r="H945">
        <f t="shared" si="114"/>
        <v>2.0000000000000018E-2</v>
      </c>
      <c r="I945" s="2">
        <f>_xlfn.XLOOKUP(A945,T10Y3M!A:A,T10Y3M!B:B,"",-1)</f>
        <v>0.37</v>
      </c>
      <c r="J945" s="2">
        <f>_xlfn.XLOOKUP(A945,BAMLC0A4CBBB!A:A,BAMLC0A4CBBB!B:B,"",-1)</f>
        <v>1.3</v>
      </c>
      <c r="K945" s="2">
        <f>_xlfn.XLOOKUP(A945,CPIAUCSL!A:A,CPIAUCSL!B:B,"",-1)</f>
        <v>258.63</v>
      </c>
      <c r="L945">
        <f>_xlfn.XLOOKUP(A945,DFF!A:A,DFF!B:B,"",-1)</f>
        <v>1.55</v>
      </c>
      <c r="M945">
        <f>_xlfn.XLOOKUP(A945,'DGS2'!A:A,'DGS2'!B:B,"",-1)</f>
        <v>1.58</v>
      </c>
      <c r="N945">
        <f t="shared" si="115"/>
        <v>0</v>
      </c>
      <c r="O945">
        <f t="shared" si="116"/>
        <v>8.3787815945375321E-3</v>
      </c>
      <c r="P945">
        <f t="shared" si="117"/>
        <v>1</v>
      </c>
      <c r="Q945">
        <f t="shared" si="118"/>
        <v>1</v>
      </c>
    </row>
    <row r="946" spans="1:17">
      <c r="A946" s="1">
        <v>43832</v>
      </c>
      <c r="B946">
        <v>3257.85</v>
      </c>
      <c r="C946">
        <f t="shared" si="112"/>
        <v>8.3787815945375321E-3</v>
      </c>
      <c r="D946">
        <f t="shared" si="119"/>
        <v>5.5030524502934774E-3</v>
      </c>
      <c r="E946">
        <f>_xlfn.XLOOKUP(A946,VIX!A:A,VIX!B:B,"",-1)</f>
        <v>12.47</v>
      </c>
      <c r="F946">
        <f t="shared" si="113"/>
        <v>-1.3099999999999987</v>
      </c>
      <c r="G946">
        <f>_xlfn.XLOOKUP(A946,'DGS10'!A:A,'DGS10'!B:B,"",-1)</f>
        <v>1.88</v>
      </c>
      <c r="H946">
        <f t="shared" si="114"/>
        <v>-4.0000000000000036E-2</v>
      </c>
      <c r="I946" s="2">
        <f>_xlfn.XLOOKUP(A946,T10Y3M!A:A,T10Y3M!B:B,"",-1)</f>
        <v>0.34</v>
      </c>
      <c r="J946" s="2">
        <f>_xlfn.XLOOKUP(A946,BAMLC0A4CBBB!A:A,BAMLC0A4CBBB!B:B,"",-1)</f>
        <v>1.3</v>
      </c>
      <c r="K946" s="2">
        <f>_xlfn.XLOOKUP(A946,CPIAUCSL!A:A,CPIAUCSL!B:B,"",-1)</f>
        <v>259.12700000000001</v>
      </c>
      <c r="L946">
        <f>_xlfn.XLOOKUP(A946,DFF!A:A,DFF!B:B,"",-1)</f>
        <v>1.55</v>
      </c>
      <c r="M946">
        <f>_xlfn.XLOOKUP(A946,'DGS2'!A:A,'DGS2'!B:B,"",-1)</f>
        <v>1.58</v>
      </c>
      <c r="N946">
        <f t="shared" si="115"/>
        <v>0</v>
      </c>
      <c r="O946">
        <f t="shared" si="116"/>
        <v>-7.059870773669763E-3</v>
      </c>
      <c r="P946">
        <f t="shared" si="117"/>
        <v>0</v>
      </c>
      <c r="Q946">
        <f t="shared" si="118"/>
        <v>-1</v>
      </c>
    </row>
    <row r="947" spans="1:17">
      <c r="A947" s="1">
        <v>43833</v>
      </c>
      <c r="B947">
        <v>3234.85</v>
      </c>
      <c r="C947">
        <f t="shared" si="112"/>
        <v>-7.059870773669763E-3</v>
      </c>
      <c r="D947">
        <f t="shared" si="119"/>
        <v>4.209493712146406E-3</v>
      </c>
      <c r="E947">
        <f>_xlfn.XLOOKUP(A947,VIX!A:A,VIX!B:B,"",-1)</f>
        <v>14.02</v>
      </c>
      <c r="F947">
        <f t="shared" si="113"/>
        <v>1.5499999999999989</v>
      </c>
      <c r="G947">
        <f>_xlfn.XLOOKUP(A947,'DGS10'!A:A,'DGS10'!B:B,"",-1)</f>
        <v>1.8</v>
      </c>
      <c r="H947">
        <f t="shared" si="114"/>
        <v>-7.9999999999999849E-2</v>
      </c>
      <c r="I947" s="2">
        <f>_xlfn.XLOOKUP(A947,T10Y3M!A:A,T10Y3M!B:B,"",-1)</f>
        <v>0.28000000000000003</v>
      </c>
      <c r="J947" s="2">
        <f>_xlfn.XLOOKUP(A947,BAMLC0A4CBBB!A:A,BAMLC0A4CBBB!B:B,"",-1)</f>
        <v>1.32</v>
      </c>
      <c r="K947" s="2">
        <f>_xlfn.XLOOKUP(A947,CPIAUCSL!A:A,CPIAUCSL!B:B,"",-1)</f>
        <v>259.12700000000001</v>
      </c>
      <c r="L947">
        <f>_xlfn.XLOOKUP(A947,DFF!A:A,DFF!B:B,"",-1)</f>
        <v>1.55</v>
      </c>
      <c r="M947">
        <f>_xlfn.XLOOKUP(A947,'DGS2'!A:A,'DGS2'!B:B,"",-1)</f>
        <v>1.53</v>
      </c>
      <c r="N947">
        <f t="shared" si="115"/>
        <v>-5.0000000000000044E-2</v>
      </c>
      <c r="O947">
        <f t="shared" si="116"/>
        <v>3.5333941295578875E-3</v>
      </c>
      <c r="P947">
        <f t="shared" si="117"/>
        <v>1</v>
      </c>
      <c r="Q947">
        <f t="shared" si="118"/>
        <v>1</v>
      </c>
    </row>
    <row r="948" spans="1:17">
      <c r="A948" s="1">
        <v>43836</v>
      </c>
      <c r="B948">
        <v>3246.28</v>
      </c>
      <c r="C948">
        <f t="shared" si="112"/>
        <v>3.5333941295578875E-3</v>
      </c>
      <c r="D948">
        <f t="shared" si="119"/>
        <v>4.7976030556089455E-3</v>
      </c>
      <c r="E948">
        <f>_xlfn.XLOOKUP(A948,VIX!A:A,VIX!B:B,"",-1)</f>
        <v>13.85</v>
      </c>
      <c r="F948">
        <f t="shared" si="113"/>
        <v>-0.16999999999999993</v>
      </c>
      <c r="G948">
        <f>_xlfn.XLOOKUP(A948,'DGS10'!A:A,'DGS10'!B:B,"",-1)</f>
        <v>1.81</v>
      </c>
      <c r="H948">
        <f t="shared" si="114"/>
        <v>1.0000000000000009E-2</v>
      </c>
      <c r="I948" s="2">
        <f>_xlfn.XLOOKUP(A948,T10Y3M!A:A,T10Y3M!B:B,"",-1)</f>
        <v>0.25</v>
      </c>
      <c r="J948" s="2">
        <f>_xlfn.XLOOKUP(A948,BAMLC0A4CBBB!A:A,BAMLC0A4CBBB!B:B,"",-1)</f>
        <v>1.32</v>
      </c>
      <c r="K948" s="2">
        <f>_xlfn.XLOOKUP(A948,CPIAUCSL!A:A,CPIAUCSL!B:B,"",-1)</f>
        <v>259.12700000000001</v>
      </c>
      <c r="L948">
        <f>_xlfn.XLOOKUP(A948,DFF!A:A,DFF!B:B,"",-1)</f>
        <v>1.55</v>
      </c>
      <c r="M948">
        <f>_xlfn.XLOOKUP(A948,'DGS2'!A:A,'DGS2'!B:B,"",-1)</f>
        <v>1.54</v>
      </c>
      <c r="N948">
        <f t="shared" si="115"/>
        <v>1.0000000000000009E-2</v>
      </c>
      <c r="O948">
        <f t="shared" si="116"/>
        <v>-2.8032085956850583E-3</v>
      </c>
      <c r="P948">
        <f t="shared" si="117"/>
        <v>0</v>
      </c>
      <c r="Q948">
        <f t="shared" si="118"/>
        <v>0</v>
      </c>
    </row>
    <row r="949" spans="1:17">
      <c r="A949" s="1">
        <v>43837</v>
      </c>
      <c r="B949">
        <v>3237.18</v>
      </c>
      <c r="C949">
        <f t="shared" si="112"/>
        <v>-2.8032085956850583E-3</v>
      </c>
      <c r="D949">
        <f t="shared" si="119"/>
        <v>-6.3446751692066705E-3</v>
      </c>
      <c r="E949">
        <f>_xlfn.XLOOKUP(A949,VIX!A:A,VIX!B:B,"",-1)</f>
        <v>13.79</v>
      </c>
      <c r="F949">
        <f t="shared" si="113"/>
        <v>-6.0000000000000497E-2</v>
      </c>
      <c r="G949">
        <f>_xlfn.XLOOKUP(A949,'DGS10'!A:A,'DGS10'!B:B,"",-1)</f>
        <v>1.83</v>
      </c>
      <c r="H949">
        <f t="shared" si="114"/>
        <v>2.0000000000000018E-2</v>
      </c>
      <c r="I949" s="2">
        <f>_xlfn.XLOOKUP(A949,T10Y3M!A:A,T10Y3M!B:B,"",-1)</f>
        <v>0.28999999999999998</v>
      </c>
      <c r="J949" s="2">
        <f>_xlfn.XLOOKUP(A949,BAMLC0A4CBBB!A:A,BAMLC0A4CBBB!B:B,"",-1)</f>
        <v>1.33</v>
      </c>
      <c r="K949" s="2">
        <f>_xlfn.XLOOKUP(A949,CPIAUCSL!A:A,CPIAUCSL!B:B,"",-1)</f>
        <v>259.12700000000001</v>
      </c>
      <c r="L949">
        <f>_xlfn.XLOOKUP(A949,DFF!A:A,DFF!B:B,"",-1)</f>
        <v>1.55</v>
      </c>
      <c r="M949">
        <f>_xlfn.XLOOKUP(A949,'DGS2'!A:A,'DGS2'!B:B,"",-1)</f>
        <v>1.54</v>
      </c>
      <c r="N949">
        <f t="shared" si="115"/>
        <v>0</v>
      </c>
      <c r="O949">
        <f t="shared" si="116"/>
        <v>4.9024150649641385E-3</v>
      </c>
      <c r="P949">
        <f t="shared" si="117"/>
        <v>1</v>
      </c>
      <c r="Q949">
        <f t="shared" si="118"/>
        <v>1</v>
      </c>
    </row>
    <row r="950" spans="1:17">
      <c r="A950" s="1">
        <v>43838</v>
      </c>
      <c r="B950">
        <v>3253.05</v>
      </c>
      <c r="C950">
        <f t="shared" si="112"/>
        <v>4.9024150649641385E-3</v>
      </c>
      <c r="D950">
        <f t="shared" si="119"/>
        <v>5.6262268729616594E-3</v>
      </c>
      <c r="E950">
        <f>_xlfn.XLOOKUP(A950,VIX!A:A,VIX!B:B,"",-1)</f>
        <v>13.45</v>
      </c>
      <c r="F950">
        <f t="shared" si="113"/>
        <v>-0.33999999999999986</v>
      </c>
      <c r="G950">
        <f>_xlfn.XLOOKUP(A950,'DGS10'!A:A,'DGS10'!B:B,"",-1)</f>
        <v>1.87</v>
      </c>
      <c r="H950">
        <f t="shared" si="114"/>
        <v>4.0000000000000036E-2</v>
      </c>
      <c r="I950" s="2">
        <f>_xlfn.XLOOKUP(A950,T10Y3M!A:A,T10Y3M!B:B,"",-1)</f>
        <v>0.33</v>
      </c>
      <c r="J950" s="2">
        <f>_xlfn.XLOOKUP(A950,BAMLC0A4CBBB!A:A,BAMLC0A4CBBB!B:B,"",-1)</f>
        <v>1.32</v>
      </c>
      <c r="K950" s="2">
        <f>_xlfn.XLOOKUP(A950,CPIAUCSL!A:A,CPIAUCSL!B:B,"",-1)</f>
        <v>259.12700000000001</v>
      </c>
      <c r="L950">
        <f>_xlfn.XLOOKUP(A950,DFF!A:A,DFF!B:B,"",-1)</f>
        <v>1.55</v>
      </c>
      <c r="M950">
        <f>_xlfn.XLOOKUP(A950,'DGS2'!A:A,'DGS2'!B:B,"",-1)</f>
        <v>1.58</v>
      </c>
      <c r="N950">
        <f t="shared" si="115"/>
        <v>4.0000000000000036E-2</v>
      </c>
      <c r="O950">
        <f t="shared" si="116"/>
        <v>6.6552927252885308E-3</v>
      </c>
      <c r="P950">
        <f t="shared" si="117"/>
        <v>1</v>
      </c>
      <c r="Q950">
        <f t="shared" si="118"/>
        <v>1</v>
      </c>
    </row>
    <row r="951" spans="1:17">
      <c r="A951" s="1">
        <v>43839</v>
      </c>
      <c r="B951">
        <v>3274.7</v>
      </c>
      <c r="C951">
        <f t="shared" si="112"/>
        <v>6.6552927252885308E-3</v>
      </c>
      <c r="D951">
        <f t="shared" si="119"/>
        <v>8.7546360757542185E-3</v>
      </c>
      <c r="E951">
        <f>_xlfn.XLOOKUP(A951,VIX!A:A,VIX!B:B,"",-1)</f>
        <v>12.54</v>
      </c>
      <c r="F951">
        <f t="shared" si="113"/>
        <v>-0.91000000000000014</v>
      </c>
      <c r="G951">
        <f>_xlfn.XLOOKUP(A951,'DGS10'!A:A,'DGS10'!B:B,"",-1)</f>
        <v>1.85</v>
      </c>
      <c r="H951">
        <f t="shared" si="114"/>
        <v>-2.0000000000000018E-2</v>
      </c>
      <c r="I951" s="2">
        <f>_xlfn.XLOOKUP(A951,T10Y3M!A:A,T10Y3M!B:B,"",-1)</f>
        <v>0.31</v>
      </c>
      <c r="J951" s="2">
        <f>_xlfn.XLOOKUP(A951,BAMLC0A4CBBB!A:A,BAMLC0A4CBBB!B:B,"",-1)</f>
        <v>1.31</v>
      </c>
      <c r="K951" s="2">
        <f>_xlfn.XLOOKUP(A951,CPIAUCSL!A:A,CPIAUCSL!B:B,"",-1)</f>
        <v>259.12700000000001</v>
      </c>
      <c r="L951">
        <f>_xlfn.XLOOKUP(A951,DFF!A:A,DFF!B:B,"",-1)</f>
        <v>1.55</v>
      </c>
      <c r="M951">
        <f>_xlfn.XLOOKUP(A951,'DGS2'!A:A,'DGS2'!B:B,"",-1)</f>
        <v>1.58</v>
      </c>
      <c r="N951">
        <f t="shared" si="115"/>
        <v>0</v>
      </c>
      <c r="O951">
        <f t="shared" si="116"/>
        <v>-2.8552233792408233E-3</v>
      </c>
      <c r="P951">
        <f t="shared" si="117"/>
        <v>0</v>
      </c>
      <c r="Q951">
        <f t="shared" si="118"/>
        <v>0</v>
      </c>
    </row>
    <row r="952" spans="1:17">
      <c r="A952" s="1">
        <v>43840</v>
      </c>
      <c r="B952">
        <v>3265.35</v>
      </c>
      <c r="C952">
        <f t="shared" si="112"/>
        <v>-2.8552233792408233E-3</v>
      </c>
      <c r="D952">
        <f t="shared" si="119"/>
        <v>8.7020184234427589E-3</v>
      </c>
      <c r="E952">
        <f>_xlfn.XLOOKUP(A952,VIX!A:A,VIX!B:B,"",-1)</f>
        <v>12.56</v>
      </c>
      <c r="F952">
        <f t="shared" si="113"/>
        <v>2.000000000000135E-2</v>
      </c>
      <c r="G952">
        <f>_xlfn.XLOOKUP(A952,'DGS10'!A:A,'DGS10'!B:B,"",-1)</f>
        <v>1.83</v>
      </c>
      <c r="H952">
        <f t="shared" si="114"/>
        <v>-2.0000000000000018E-2</v>
      </c>
      <c r="I952" s="2">
        <f>_xlfn.XLOOKUP(A952,T10Y3M!A:A,T10Y3M!B:B,"",-1)</f>
        <v>0.28999999999999998</v>
      </c>
      <c r="J952" s="2">
        <f>_xlfn.XLOOKUP(A952,BAMLC0A4CBBB!A:A,BAMLC0A4CBBB!B:B,"",-1)</f>
        <v>1.3</v>
      </c>
      <c r="K952" s="2">
        <f>_xlfn.XLOOKUP(A952,CPIAUCSL!A:A,CPIAUCSL!B:B,"",-1)</f>
        <v>259.12700000000001</v>
      </c>
      <c r="L952">
        <f>_xlfn.XLOOKUP(A952,DFF!A:A,DFF!B:B,"",-1)</f>
        <v>1.54</v>
      </c>
      <c r="M952">
        <f>_xlfn.XLOOKUP(A952,'DGS2'!A:A,'DGS2'!B:B,"",-1)</f>
        <v>1.56</v>
      </c>
      <c r="N952">
        <f t="shared" si="115"/>
        <v>-2.0000000000000018E-2</v>
      </c>
      <c r="O952">
        <f t="shared" si="116"/>
        <v>6.9762812562206289E-3</v>
      </c>
      <c r="P952">
        <f t="shared" si="117"/>
        <v>1</v>
      </c>
      <c r="Q952">
        <f t="shared" si="118"/>
        <v>1</v>
      </c>
    </row>
    <row r="953" spans="1:17">
      <c r="A953" s="1">
        <v>43843</v>
      </c>
      <c r="B953">
        <v>3288.13</v>
      </c>
      <c r="C953">
        <f t="shared" si="112"/>
        <v>6.9762812562206289E-3</v>
      </c>
      <c r="D953">
        <f t="shared" si="119"/>
        <v>1.0783726041714736E-2</v>
      </c>
      <c r="E953">
        <f>_xlfn.XLOOKUP(A953,VIX!A:A,VIX!B:B,"",-1)</f>
        <v>12.32</v>
      </c>
      <c r="F953">
        <f t="shared" si="113"/>
        <v>-0.24000000000000021</v>
      </c>
      <c r="G953">
        <f>_xlfn.XLOOKUP(A953,'DGS10'!A:A,'DGS10'!B:B,"",-1)</f>
        <v>1.85</v>
      </c>
      <c r="H953">
        <f t="shared" si="114"/>
        <v>2.0000000000000018E-2</v>
      </c>
      <c r="I953" s="2">
        <f>_xlfn.XLOOKUP(A953,T10Y3M!A:A,T10Y3M!B:B,"",-1)</f>
        <v>0.28000000000000003</v>
      </c>
      <c r="J953" s="2">
        <f>_xlfn.XLOOKUP(A953,BAMLC0A4CBBB!A:A,BAMLC0A4CBBB!B:B,"",-1)</f>
        <v>1.29</v>
      </c>
      <c r="K953" s="2">
        <f>_xlfn.XLOOKUP(A953,CPIAUCSL!A:A,CPIAUCSL!B:B,"",-1)</f>
        <v>259.12700000000001</v>
      </c>
      <c r="L953">
        <f>_xlfn.XLOOKUP(A953,DFF!A:A,DFF!B:B,"",-1)</f>
        <v>1.54</v>
      </c>
      <c r="M953">
        <f>_xlfn.XLOOKUP(A953,'DGS2'!A:A,'DGS2'!B:B,"",-1)</f>
        <v>1.58</v>
      </c>
      <c r="N953">
        <f t="shared" si="115"/>
        <v>2.0000000000000018E-2</v>
      </c>
      <c r="O953">
        <f t="shared" si="116"/>
        <v>-1.5145386587512855E-3</v>
      </c>
      <c r="P953">
        <f t="shared" si="117"/>
        <v>0</v>
      </c>
      <c r="Q953">
        <f t="shared" si="118"/>
        <v>0</v>
      </c>
    </row>
    <row r="954" spans="1:17">
      <c r="A954" s="1">
        <v>43844</v>
      </c>
      <c r="B954">
        <v>3283.15</v>
      </c>
      <c r="C954">
        <f t="shared" si="112"/>
        <v>-1.5145386587512855E-3</v>
      </c>
      <c r="D954">
        <f t="shared" si="119"/>
        <v>2.5803890432711807E-3</v>
      </c>
      <c r="E954">
        <f>_xlfn.XLOOKUP(A954,VIX!A:A,VIX!B:B,"",-1)</f>
        <v>12.39</v>
      </c>
      <c r="F954">
        <f t="shared" si="113"/>
        <v>7.0000000000000284E-2</v>
      </c>
      <c r="G954">
        <f>_xlfn.XLOOKUP(A954,'DGS10'!A:A,'DGS10'!B:B,"",-1)</f>
        <v>1.82</v>
      </c>
      <c r="H954">
        <f t="shared" si="114"/>
        <v>-3.0000000000000027E-2</v>
      </c>
      <c r="I954" s="2">
        <f>_xlfn.XLOOKUP(A954,T10Y3M!A:A,T10Y3M!B:B,"",-1)</f>
        <v>0.25</v>
      </c>
      <c r="J954" s="2">
        <f>_xlfn.XLOOKUP(A954,BAMLC0A4CBBB!A:A,BAMLC0A4CBBB!B:B,"",-1)</f>
        <v>1.3</v>
      </c>
      <c r="K954" s="2">
        <f>_xlfn.XLOOKUP(A954,CPIAUCSL!A:A,CPIAUCSL!B:B,"",-1)</f>
        <v>259.12700000000001</v>
      </c>
      <c r="L954">
        <f>_xlfn.XLOOKUP(A954,DFF!A:A,DFF!B:B,"",-1)</f>
        <v>1.54</v>
      </c>
      <c r="M954">
        <f>_xlfn.XLOOKUP(A954,'DGS2'!A:A,'DGS2'!B:B,"",-1)</f>
        <v>1.58</v>
      </c>
      <c r="N954">
        <f t="shared" si="115"/>
        <v>0</v>
      </c>
      <c r="O954">
        <f t="shared" si="116"/>
        <v>1.870155186330269E-3</v>
      </c>
      <c r="P954">
        <f t="shared" si="117"/>
        <v>1</v>
      </c>
      <c r="Q954">
        <f t="shared" si="118"/>
        <v>0</v>
      </c>
    </row>
    <row r="955" spans="1:17">
      <c r="A955" s="1">
        <v>43845</v>
      </c>
      <c r="B955">
        <v>3289.29</v>
      </c>
      <c r="C955">
        <f t="shared" si="112"/>
        <v>1.870155186330269E-3</v>
      </c>
      <c r="D955">
        <f t="shared" si="119"/>
        <v>7.3315264826128157E-3</v>
      </c>
      <c r="E955">
        <f>_xlfn.XLOOKUP(A955,VIX!A:A,VIX!B:B,"",-1)</f>
        <v>12.42</v>
      </c>
      <c r="F955">
        <f t="shared" si="113"/>
        <v>2.9999999999999361E-2</v>
      </c>
      <c r="G955">
        <f>_xlfn.XLOOKUP(A955,'DGS10'!A:A,'DGS10'!B:B,"",-1)</f>
        <v>1.79</v>
      </c>
      <c r="H955">
        <f t="shared" si="114"/>
        <v>-3.0000000000000027E-2</v>
      </c>
      <c r="I955" s="2">
        <f>_xlfn.XLOOKUP(A955,T10Y3M!A:A,T10Y3M!B:B,"",-1)</f>
        <v>0.22</v>
      </c>
      <c r="J955" s="2">
        <f>_xlfn.XLOOKUP(A955,BAMLC0A4CBBB!A:A,BAMLC0A4CBBB!B:B,"",-1)</f>
        <v>1.3</v>
      </c>
      <c r="K955" s="2">
        <f>_xlfn.XLOOKUP(A955,CPIAUCSL!A:A,CPIAUCSL!B:B,"",-1)</f>
        <v>259.12700000000001</v>
      </c>
      <c r="L955">
        <f>_xlfn.XLOOKUP(A955,DFF!A:A,DFF!B:B,"",-1)</f>
        <v>1.54</v>
      </c>
      <c r="M955">
        <f>_xlfn.XLOOKUP(A955,'DGS2'!A:A,'DGS2'!B:B,"",-1)</f>
        <v>1.56</v>
      </c>
      <c r="N955">
        <f t="shared" si="115"/>
        <v>-2.0000000000000018E-2</v>
      </c>
      <c r="O955">
        <f t="shared" si="116"/>
        <v>8.3665471879950104E-3</v>
      </c>
      <c r="P955">
        <f t="shared" si="117"/>
        <v>1</v>
      </c>
      <c r="Q955">
        <f t="shared" si="118"/>
        <v>1</v>
      </c>
    </row>
    <row r="956" spans="1:17">
      <c r="A956" s="1">
        <v>43846</v>
      </c>
      <c r="B956">
        <v>3316.81</v>
      </c>
      <c r="C956">
        <f t="shared" si="112"/>
        <v>8.3665471879950104E-3</v>
      </c>
      <c r="D956">
        <f t="shared" si="119"/>
        <v>8.7222828781099437E-3</v>
      </c>
      <c r="E956">
        <f>_xlfn.XLOOKUP(A956,VIX!A:A,VIX!B:B,"",-1)</f>
        <v>12.32</v>
      </c>
      <c r="F956">
        <f t="shared" si="113"/>
        <v>-9.9999999999999645E-2</v>
      </c>
      <c r="G956">
        <f>_xlfn.XLOOKUP(A956,'DGS10'!A:A,'DGS10'!B:B,"",-1)</f>
        <v>1.81</v>
      </c>
      <c r="H956">
        <f t="shared" si="114"/>
        <v>2.0000000000000018E-2</v>
      </c>
      <c r="I956" s="2">
        <f>_xlfn.XLOOKUP(A956,T10Y3M!A:A,T10Y3M!B:B,"",-1)</f>
        <v>0.26</v>
      </c>
      <c r="J956" s="2">
        <f>_xlfn.XLOOKUP(A956,BAMLC0A4CBBB!A:A,BAMLC0A4CBBB!B:B,"",-1)</f>
        <v>1.29</v>
      </c>
      <c r="K956" s="2">
        <f>_xlfn.XLOOKUP(A956,CPIAUCSL!A:A,CPIAUCSL!B:B,"",-1)</f>
        <v>259.12700000000001</v>
      </c>
      <c r="L956">
        <f>_xlfn.XLOOKUP(A956,DFF!A:A,DFF!B:B,"",-1)</f>
        <v>1.54</v>
      </c>
      <c r="M956">
        <f>_xlfn.XLOOKUP(A956,'DGS2'!A:A,'DGS2'!B:B,"",-1)</f>
        <v>1.58</v>
      </c>
      <c r="N956">
        <f t="shared" si="115"/>
        <v>2.0000000000000018E-2</v>
      </c>
      <c r="O956">
        <f t="shared" si="116"/>
        <v>3.862144651035182E-3</v>
      </c>
      <c r="P956">
        <f t="shared" si="117"/>
        <v>1</v>
      </c>
      <c r="Q956">
        <f t="shared" si="118"/>
        <v>1</v>
      </c>
    </row>
    <row r="957" spans="1:17">
      <c r="A957" s="1">
        <v>43847</v>
      </c>
      <c r="B957">
        <v>3329.62</v>
      </c>
      <c r="C957">
        <f t="shared" si="112"/>
        <v>3.862144651035182E-3</v>
      </c>
      <c r="D957">
        <f t="shared" si="119"/>
        <v>1.4154089822274285E-2</v>
      </c>
      <c r="E957">
        <f>_xlfn.XLOOKUP(A957,VIX!A:A,VIX!B:B,"",-1)</f>
        <v>12.1</v>
      </c>
      <c r="F957">
        <f t="shared" si="113"/>
        <v>-0.22000000000000064</v>
      </c>
      <c r="G957">
        <f>_xlfn.XLOOKUP(A957,'DGS10'!A:A,'DGS10'!B:B,"",-1)</f>
        <v>1.84</v>
      </c>
      <c r="H957">
        <f t="shared" si="114"/>
        <v>3.0000000000000027E-2</v>
      </c>
      <c r="I957" s="2">
        <f>_xlfn.XLOOKUP(A957,T10Y3M!A:A,T10Y3M!B:B,"",-1)</f>
        <v>0.28000000000000003</v>
      </c>
      <c r="J957" s="2">
        <f>_xlfn.XLOOKUP(A957,BAMLC0A4CBBB!A:A,BAMLC0A4CBBB!B:B,"",-1)</f>
        <v>1.27</v>
      </c>
      <c r="K957" s="2">
        <f>_xlfn.XLOOKUP(A957,CPIAUCSL!A:A,CPIAUCSL!B:B,"",-1)</f>
        <v>259.12700000000001</v>
      </c>
      <c r="L957">
        <f>_xlfn.XLOOKUP(A957,DFF!A:A,DFF!B:B,"",-1)</f>
        <v>1.55</v>
      </c>
      <c r="M957">
        <f>_xlfn.XLOOKUP(A957,'DGS2'!A:A,'DGS2'!B:B,"",-1)</f>
        <v>1.58</v>
      </c>
      <c r="N957">
        <f t="shared" si="115"/>
        <v>0</v>
      </c>
      <c r="O957">
        <f t="shared" si="116"/>
        <v>-2.6519542770646609E-3</v>
      </c>
      <c r="P957">
        <f t="shared" si="117"/>
        <v>0</v>
      </c>
      <c r="Q957">
        <f t="shared" si="118"/>
        <v>0</v>
      </c>
    </row>
    <row r="958" spans="1:17">
      <c r="A958" s="1">
        <v>43851</v>
      </c>
      <c r="B958">
        <v>3320.79</v>
      </c>
      <c r="C958">
        <f t="shared" si="112"/>
        <v>-2.6519542770646609E-3</v>
      </c>
      <c r="D958">
        <f t="shared" si="119"/>
        <v>9.5765347537006829E-3</v>
      </c>
      <c r="E958">
        <f>_xlfn.XLOOKUP(A958,VIX!A:A,VIX!B:B,"",-1)</f>
        <v>12.85</v>
      </c>
      <c r="F958">
        <f t="shared" si="113"/>
        <v>0.75</v>
      </c>
      <c r="G958">
        <f>_xlfn.XLOOKUP(A958,'DGS10'!A:A,'DGS10'!B:B,"",-1)</f>
        <v>1.78</v>
      </c>
      <c r="H958">
        <f t="shared" si="114"/>
        <v>-6.0000000000000053E-2</v>
      </c>
      <c r="I958" s="2">
        <f>_xlfn.XLOOKUP(A958,T10Y3M!A:A,T10Y3M!B:B,"",-1)</f>
        <v>0.22</v>
      </c>
      <c r="J958" s="2">
        <f>_xlfn.XLOOKUP(A958,BAMLC0A4CBBB!A:A,BAMLC0A4CBBB!B:B,"",-1)</f>
        <v>1.27</v>
      </c>
      <c r="K958" s="2">
        <f>_xlfn.XLOOKUP(A958,CPIAUCSL!A:A,CPIAUCSL!B:B,"",-1)</f>
        <v>259.12700000000001</v>
      </c>
      <c r="L958">
        <f>_xlfn.XLOOKUP(A958,DFF!A:A,DFF!B:B,"",-1)</f>
        <v>1.55</v>
      </c>
      <c r="M958">
        <f>_xlfn.XLOOKUP(A958,'DGS2'!A:A,'DGS2'!B:B,"",-1)</f>
        <v>1.53</v>
      </c>
      <c r="N958">
        <f t="shared" si="115"/>
        <v>-5.0000000000000044E-2</v>
      </c>
      <c r="O958">
        <f t="shared" si="116"/>
        <v>2.8908783753256451E-4</v>
      </c>
      <c r="P958">
        <f t="shared" si="117"/>
        <v>1</v>
      </c>
      <c r="Q958">
        <f t="shared" si="118"/>
        <v>0</v>
      </c>
    </row>
    <row r="959" spans="1:17">
      <c r="A959" s="1">
        <v>43852</v>
      </c>
      <c r="B959">
        <v>3321.75</v>
      </c>
      <c r="C959">
        <f t="shared" si="112"/>
        <v>2.8908783753256451E-4</v>
      </c>
      <c r="D959">
        <f t="shared" si="119"/>
        <v>1.489382870891065E-3</v>
      </c>
      <c r="E959">
        <f>_xlfn.XLOOKUP(A959,VIX!A:A,VIX!B:B,"",-1)</f>
        <v>12.91</v>
      </c>
      <c r="F959">
        <f t="shared" si="113"/>
        <v>6.0000000000000497E-2</v>
      </c>
      <c r="G959">
        <f>_xlfn.XLOOKUP(A959,'DGS10'!A:A,'DGS10'!B:B,"",-1)</f>
        <v>1.77</v>
      </c>
      <c r="H959">
        <f t="shared" si="114"/>
        <v>-1.0000000000000009E-2</v>
      </c>
      <c r="I959" s="2">
        <f>_xlfn.XLOOKUP(A959,T10Y3M!A:A,T10Y3M!B:B,"",-1)</f>
        <v>0.22</v>
      </c>
      <c r="J959" s="2">
        <f>_xlfn.XLOOKUP(A959,BAMLC0A4CBBB!A:A,BAMLC0A4CBBB!B:B,"",-1)</f>
        <v>1.27</v>
      </c>
      <c r="K959" s="2">
        <f>_xlfn.XLOOKUP(A959,CPIAUCSL!A:A,CPIAUCSL!B:B,"",-1)</f>
        <v>259.12700000000001</v>
      </c>
      <c r="L959">
        <f>_xlfn.XLOOKUP(A959,DFF!A:A,DFF!B:B,"",-1)</f>
        <v>1.55</v>
      </c>
      <c r="M959">
        <f>_xlfn.XLOOKUP(A959,'DGS2'!A:A,'DGS2'!B:B,"",-1)</f>
        <v>1.53</v>
      </c>
      <c r="N959">
        <f t="shared" si="115"/>
        <v>0</v>
      </c>
      <c r="O959">
        <f t="shared" si="116"/>
        <v>1.1409648528637462E-3</v>
      </c>
      <c r="P959">
        <f t="shared" si="117"/>
        <v>1</v>
      </c>
      <c r="Q959">
        <f t="shared" si="118"/>
        <v>0</v>
      </c>
    </row>
    <row r="960" spans="1:17">
      <c r="A960" s="1">
        <v>43853</v>
      </c>
      <c r="B960">
        <v>3325.54</v>
      </c>
      <c r="C960">
        <f t="shared" si="112"/>
        <v>1.1409648528637462E-3</v>
      </c>
      <c r="D960">
        <f t="shared" si="119"/>
        <v>-1.2253650566731444E-3</v>
      </c>
      <c r="E960">
        <f>_xlfn.XLOOKUP(A960,VIX!A:A,VIX!B:B,"",-1)</f>
        <v>12.98</v>
      </c>
      <c r="F960">
        <f t="shared" si="113"/>
        <v>7.0000000000000284E-2</v>
      </c>
      <c r="G960">
        <f>_xlfn.XLOOKUP(A960,'DGS10'!A:A,'DGS10'!B:B,"",-1)</f>
        <v>1.74</v>
      </c>
      <c r="H960">
        <f t="shared" si="114"/>
        <v>-3.0000000000000027E-2</v>
      </c>
      <c r="I960" s="2">
        <f>_xlfn.XLOOKUP(A960,T10Y3M!A:A,T10Y3M!B:B,"",-1)</f>
        <v>0.19</v>
      </c>
      <c r="J960" s="2">
        <f>_xlfn.XLOOKUP(A960,BAMLC0A4CBBB!A:A,BAMLC0A4CBBB!B:B,"",-1)</f>
        <v>1.28</v>
      </c>
      <c r="K960" s="2">
        <f>_xlfn.XLOOKUP(A960,CPIAUCSL!A:A,CPIAUCSL!B:B,"",-1)</f>
        <v>259.12700000000001</v>
      </c>
      <c r="L960">
        <f>_xlfn.XLOOKUP(A960,DFF!A:A,DFF!B:B,"",-1)</f>
        <v>1.55</v>
      </c>
      <c r="M960">
        <f>_xlfn.XLOOKUP(A960,'DGS2'!A:A,'DGS2'!B:B,"",-1)</f>
        <v>1.51</v>
      </c>
      <c r="N960">
        <f t="shared" si="115"/>
        <v>-2.0000000000000018E-2</v>
      </c>
      <c r="O960">
        <f t="shared" si="116"/>
        <v>-9.0421405245464381E-3</v>
      </c>
      <c r="P960">
        <f t="shared" si="117"/>
        <v>0</v>
      </c>
      <c r="Q960">
        <f t="shared" si="118"/>
        <v>-1</v>
      </c>
    </row>
    <row r="961" spans="1:17">
      <c r="A961" s="1">
        <v>43854</v>
      </c>
      <c r="B961">
        <v>3295.47</v>
      </c>
      <c r="C961">
        <f t="shared" si="112"/>
        <v>-9.0421405245464381E-3</v>
      </c>
      <c r="D961">
        <f t="shared" si="119"/>
        <v>-7.624691714923304E-3</v>
      </c>
      <c r="E961">
        <f>_xlfn.XLOOKUP(A961,VIX!A:A,VIX!B:B,"",-1)</f>
        <v>14.56</v>
      </c>
      <c r="F961">
        <f t="shared" si="113"/>
        <v>1.58</v>
      </c>
      <c r="G961">
        <f>_xlfn.XLOOKUP(A961,'DGS10'!A:A,'DGS10'!B:B,"",-1)</f>
        <v>1.7</v>
      </c>
      <c r="H961">
        <f t="shared" si="114"/>
        <v>-4.0000000000000036E-2</v>
      </c>
      <c r="I961" s="2">
        <f>_xlfn.XLOOKUP(A961,T10Y3M!A:A,T10Y3M!B:B,"",-1)</f>
        <v>0.16</v>
      </c>
      <c r="J961" s="2">
        <f>_xlfn.XLOOKUP(A961,BAMLC0A4CBBB!A:A,BAMLC0A4CBBB!B:B,"",-1)</f>
        <v>1.29</v>
      </c>
      <c r="K961" s="2">
        <f>_xlfn.XLOOKUP(A961,CPIAUCSL!A:A,CPIAUCSL!B:B,"",-1)</f>
        <v>259.12700000000001</v>
      </c>
      <c r="L961">
        <f>_xlfn.XLOOKUP(A961,DFF!A:A,DFF!B:B,"",-1)</f>
        <v>1.55</v>
      </c>
      <c r="M961">
        <f>_xlfn.XLOOKUP(A961,'DGS2'!A:A,'DGS2'!B:B,"",-1)</f>
        <v>1.49</v>
      </c>
      <c r="N961">
        <f t="shared" si="115"/>
        <v>-2.0000000000000018E-2</v>
      </c>
      <c r="O961">
        <f t="shared" si="116"/>
        <v>-1.5730684849202037E-2</v>
      </c>
      <c r="P961">
        <f t="shared" si="117"/>
        <v>0</v>
      </c>
      <c r="Q961">
        <f t="shared" si="118"/>
        <v>-1</v>
      </c>
    </row>
    <row r="962" spans="1:17">
      <c r="A962" s="1">
        <v>43857</v>
      </c>
      <c r="B962">
        <v>3243.63</v>
      </c>
      <c r="C962">
        <f t="shared" si="112"/>
        <v>-1.5730684849202037E-2</v>
      </c>
      <c r="D962">
        <f t="shared" si="119"/>
        <v>-2.3517724091216996E-2</v>
      </c>
      <c r="E962">
        <f>_xlfn.XLOOKUP(A962,VIX!A:A,VIX!B:B,"",-1)</f>
        <v>18.23</v>
      </c>
      <c r="F962">
        <f t="shared" si="113"/>
        <v>3.67</v>
      </c>
      <c r="G962">
        <f>_xlfn.XLOOKUP(A962,'DGS10'!A:A,'DGS10'!B:B,"",-1)</f>
        <v>1.61</v>
      </c>
      <c r="H962">
        <f t="shared" si="114"/>
        <v>-8.9999999999999858E-2</v>
      </c>
      <c r="I962" s="2">
        <f>_xlfn.XLOOKUP(A962,T10Y3M!A:A,T10Y3M!B:B,"",-1)</f>
        <v>0.06</v>
      </c>
      <c r="J962" s="2">
        <f>_xlfn.XLOOKUP(A962,BAMLC0A4CBBB!A:A,BAMLC0A4CBBB!B:B,"",-1)</f>
        <v>1.34</v>
      </c>
      <c r="K962" s="2">
        <f>_xlfn.XLOOKUP(A962,CPIAUCSL!A:A,CPIAUCSL!B:B,"",-1)</f>
        <v>259.12700000000001</v>
      </c>
      <c r="L962">
        <f>_xlfn.XLOOKUP(A962,DFF!A:A,DFF!B:B,"",-1)</f>
        <v>1.55</v>
      </c>
      <c r="M962">
        <f>_xlfn.XLOOKUP(A962,'DGS2'!A:A,'DGS2'!B:B,"",-1)</f>
        <v>1.44</v>
      </c>
      <c r="N962">
        <f t="shared" si="115"/>
        <v>-5.0000000000000044E-2</v>
      </c>
      <c r="O962">
        <f t="shared" si="116"/>
        <v>1.0053551114029613E-2</v>
      </c>
      <c r="P962">
        <f t="shared" si="117"/>
        <v>1</v>
      </c>
      <c r="Q962">
        <f t="shared" si="118"/>
        <v>1</v>
      </c>
    </row>
    <row r="963" spans="1:17">
      <c r="A963" s="1">
        <v>43858</v>
      </c>
      <c r="B963">
        <v>3276.24</v>
      </c>
      <c r="C963">
        <f t="shared" si="112"/>
        <v>1.0053551114029613E-2</v>
      </c>
      <c r="D963">
        <f t="shared" si="119"/>
        <v>-1.4824660055209105E-2</v>
      </c>
      <c r="E963">
        <f>_xlfn.XLOOKUP(A963,VIX!A:A,VIX!B:B,"",-1)</f>
        <v>16.28</v>
      </c>
      <c r="F963">
        <f t="shared" si="113"/>
        <v>-1.9499999999999993</v>
      </c>
      <c r="G963">
        <f>_xlfn.XLOOKUP(A963,'DGS10'!A:A,'DGS10'!B:B,"",-1)</f>
        <v>1.65</v>
      </c>
      <c r="H963">
        <f t="shared" si="114"/>
        <v>3.9999999999999813E-2</v>
      </c>
      <c r="I963" s="2">
        <f>_xlfn.XLOOKUP(A963,T10Y3M!A:A,T10Y3M!B:B,"",-1)</f>
        <v>0.08</v>
      </c>
      <c r="J963" s="2">
        <f>_xlfn.XLOOKUP(A963,BAMLC0A4CBBB!A:A,BAMLC0A4CBBB!B:B,"",-1)</f>
        <v>1.33</v>
      </c>
      <c r="K963" s="2">
        <f>_xlfn.XLOOKUP(A963,CPIAUCSL!A:A,CPIAUCSL!B:B,"",-1)</f>
        <v>259.12700000000001</v>
      </c>
      <c r="L963">
        <f>_xlfn.XLOOKUP(A963,DFF!A:A,DFF!B:B,"",-1)</f>
        <v>1.55</v>
      </c>
      <c r="M963">
        <f>_xlfn.XLOOKUP(A963,'DGS2'!A:A,'DGS2'!B:B,"",-1)</f>
        <v>1.45</v>
      </c>
      <c r="N963">
        <f t="shared" si="115"/>
        <v>1.0000000000000009E-2</v>
      </c>
      <c r="O963">
        <f t="shared" si="116"/>
        <v>-8.6684736160957954E-4</v>
      </c>
      <c r="P963">
        <f t="shared" si="117"/>
        <v>0</v>
      </c>
      <c r="Q963">
        <f t="shared" si="118"/>
        <v>0</v>
      </c>
    </row>
    <row r="964" spans="1:17">
      <c r="A964" s="1">
        <v>43859</v>
      </c>
      <c r="B964">
        <v>3273.4</v>
      </c>
      <c r="C964">
        <f t="shared" ref="C964:C1027" si="120">IF(OR(B964="",B963=""),"",(B964/B963)-1)</f>
        <v>-8.6684736160957954E-4</v>
      </c>
      <c r="D964">
        <f t="shared" si="119"/>
        <v>-6.697072041317198E-3</v>
      </c>
      <c r="E964">
        <f>_xlfn.XLOOKUP(A964,VIX!A:A,VIX!B:B,"",-1)</f>
        <v>16.39</v>
      </c>
      <c r="F964">
        <f t="shared" ref="F964:F1027" si="121">IF(OR(E964="",E963=""),"",E964-E963)</f>
        <v>0.10999999999999943</v>
      </c>
      <c r="G964">
        <f>_xlfn.XLOOKUP(A964,'DGS10'!A:A,'DGS10'!B:B,"",-1)</f>
        <v>1.6</v>
      </c>
      <c r="H964">
        <f t="shared" ref="H964:H1027" si="122">IF(OR(G964="",G963=""),"",G964-G963)</f>
        <v>-4.9999999999999822E-2</v>
      </c>
      <c r="I964" s="2">
        <f>_xlfn.XLOOKUP(A964,T10Y3M!A:A,T10Y3M!B:B,"",-1)</f>
        <v>0.04</v>
      </c>
      <c r="J964" s="2">
        <f>_xlfn.XLOOKUP(A964,BAMLC0A4CBBB!A:A,BAMLC0A4CBBB!B:B,"",-1)</f>
        <v>1.33</v>
      </c>
      <c r="K964" s="2">
        <f>_xlfn.XLOOKUP(A964,CPIAUCSL!A:A,CPIAUCSL!B:B,"",-1)</f>
        <v>259.12700000000001</v>
      </c>
      <c r="L964">
        <f>_xlfn.XLOOKUP(A964,DFF!A:A,DFF!B:B,"",-1)</f>
        <v>1.55</v>
      </c>
      <c r="M964">
        <f>_xlfn.XLOOKUP(A964,'DGS2'!A:A,'DGS2'!B:B,"",-1)</f>
        <v>1.42</v>
      </c>
      <c r="N964">
        <f t="shared" ref="N964:N1027" si="123">IF(OR(M964="",M963=""),"",M964-M963)</f>
        <v>-3.0000000000000027E-2</v>
      </c>
      <c r="O964">
        <f t="shared" ref="O964:O1027" si="124">IF(OR(B965="",B964=""),"",(B965/B964)-1)</f>
        <v>3.1343557157694768E-3</v>
      </c>
      <c r="P964">
        <f t="shared" ref="P964:P1027" si="125">IF(O964="","",IF(O964&gt;0,1,0))</f>
        <v>1</v>
      </c>
      <c r="Q964">
        <f t="shared" ref="Q964:Q1027" si="126">IF(O964="","",IF(O964&gt;0.003,1,IF(O964&lt;-0.003,-1,0)))</f>
        <v>1</v>
      </c>
    </row>
    <row r="965" spans="1:17">
      <c r="A965" s="1">
        <v>43860</v>
      </c>
      <c r="B965">
        <v>3283.66</v>
      </c>
      <c r="C965">
        <f t="shared" si="120"/>
        <v>3.1343557157694768E-3</v>
      </c>
      <c r="D965">
        <f t="shared" si="119"/>
        <v>1.2341111655768344E-2</v>
      </c>
      <c r="E965">
        <f>_xlfn.XLOOKUP(A965,VIX!A:A,VIX!B:B,"",-1)</f>
        <v>15.49</v>
      </c>
      <c r="F965">
        <f t="shared" si="121"/>
        <v>-0.90000000000000036</v>
      </c>
      <c r="G965">
        <f>_xlfn.XLOOKUP(A965,'DGS10'!A:A,'DGS10'!B:B,"",-1)</f>
        <v>1.57</v>
      </c>
      <c r="H965">
        <f t="shared" si="122"/>
        <v>-3.0000000000000027E-2</v>
      </c>
      <c r="I965" s="2">
        <f>_xlfn.XLOOKUP(A965,T10Y3M!A:A,T10Y3M!B:B,"",-1)</f>
        <v>0</v>
      </c>
      <c r="J965" s="2">
        <f>_xlfn.XLOOKUP(A965,BAMLC0A4CBBB!A:A,BAMLC0A4CBBB!B:B,"",-1)</f>
        <v>1.35</v>
      </c>
      <c r="K965" s="2">
        <f>_xlfn.XLOOKUP(A965,CPIAUCSL!A:A,CPIAUCSL!B:B,"",-1)</f>
        <v>259.12700000000001</v>
      </c>
      <c r="L965">
        <f>_xlfn.XLOOKUP(A965,DFF!A:A,DFF!B:B,"",-1)</f>
        <v>1.6</v>
      </c>
      <c r="M965">
        <f>_xlfn.XLOOKUP(A965,'DGS2'!A:A,'DGS2'!B:B,"",-1)</f>
        <v>1.41</v>
      </c>
      <c r="N965">
        <f t="shared" si="123"/>
        <v>-1.0000000000000009E-2</v>
      </c>
      <c r="O965">
        <f t="shared" si="124"/>
        <v>-1.7705852615678808E-2</v>
      </c>
      <c r="P965">
        <f t="shared" si="125"/>
        <v>0</v>
      </c>
      <c r="Q965">
        <f t="shared" si="126"/>
        <v>-1</v>
      </c>
    </row>
    <row r="966" spans="1:17">
      <c r="A966" s="1">
        <v>43861</v>
      </c>
      <c r="B966">
        <v>3225.52</v>
      </c>
      <c r="C966">
        <f t="shared" si="120"/>
        <v>-1.7705852615678808E-2</v>
      </c>
      <c r="D966">
        <f t="shared" ref="D966:D1029" si="127">IF(OR(B966="",B963=""),"",(B966/B963)-1)</f>
        <v>-1.5481161331282189E-2</v>
      </c>
      <c r="E966">
        <f>_xlfn.XLOOKUP(A966,VIX!A:A,VIX!B:B,"",-1)</f>
        <v>18.84</v>
      </c>
      <c r="F966">
        <f t="shared" si="121"/>
        <v>3.3499999999999996</v>
      </c>
      <c r="G966">
        <f>_xlfn.XLOOKUP(A966,'DGS10'!A:A,'DGS10'!B:B,"",-1)</f>
        <v>1.51</v>
      </c>
      <c r="H966">
        <f t="shared" si="122"/>
        <v>-6.0000000000000053E-2</v>
      </c>
      <c r="I966" s="2">
        <f>_xlfn.XLOOKUP(A966,T10Y3M!A:A,T10Y3M!B:B,"",-1)</f>
        <v>-0.04</v>
      </c>
      <c r="J966" s="2">
        <f>_xlfn.XLOOKUP(A966,BAMLC0A4CBBB!A:A,BAMLC0A4CBBB!B:B,"",-1)</f>
        <v>1.39</v>
      </c>
      <c r="K966" s="2">
        <f>_xlfn.XLOOKUP(A966,CPIAUCSL!A:A,CPIAUCSL!B:B,"",-1)</f>
        <v>259.12700000000001</v>
      </c>
      <c r="L966">
        <f>_xlfn.XLOOKUP(A966,DFF!A:A,DFF!B:B,"",-1)</f>
        <v>1.59</v>
      </c>
      <c r="M966">
        <f>_xlfn.XLOOKUP(A966,'DGS2'!A:A,'DGS2'!B:B,"",-1)</f>
        <v>1.33</v>
      </c>
      <c r="N966">
        <f t="shared" si="123"/>
        <v>-7.9999999999999849E-2</v>
      </c>
      <c r="O966">
        <f t="shared" si="124"/>
        <v>7.2546442124061805E-3</v>
      </c>
      <c r="P966">
        <f t="shared" si="125"/>
        <v>1</v>
      </c>
      <c r="Q966">
        <f t="shared" si="126"/>
        <v>1</v>
      </c>
    </row>
    <row r="967" spans="1:17">
      <c r="A967" s="1">
        <v>43864</v>
      </c>
      <c r="B967">
        <v>3248.92</v>
      </c>
      <c r="C967">
        <f t="shared" si="120"/>
        <v>7.2546442124061805E-3</v>
      </c>
      <c r="D967">
        <f t="shared" si="127"/>
        <v>-7.4784627604326248E-3</v>
      </c>
      <c r="E967">
        <f>_xlfn.XLOOKUP(A967,VIX!A:A,VIX!B:B,"",-1)</f>
        <v>17.97</v>
      </c>
      <c r="F967">
        <f t="shared" si="121"/>
        <v>-0.87000000000000099</v>
      </c>
      <c r="G967">
        <f>_xlfn.XLOOKUP(A967,'DGS10'!A:A,'DGS10'!B:B,"",-1)</f>
        <v>1.54</v>
      </c>
      <c r="H967">
        <f t="shared" si="122"/>
        <v>3.0000000000000027E-2</v>
      </c>
      <c r="I967" s="2">
        <f>_xlfn.XLOOKUP(A967,T10Y3M!A:A,T10Y3M!B:B,"",-1)</f>
        <v>-0.03</v>
      </c>
      <c r="J967" s="2">
        <f>_xlfn.XLOOKUP(A967,BAMLC0A4CBBB!A:A,BAMLC0A4CBBB!B:B,"",-1)</f>
        <v>1.39</v>
      </c>
      <c r="K967" s="2">
        <f>_xlfn.XLOOKUP(A967,CPIAUCSL!A:A,CPIAUCSL!B:B,"",-1)</f>
        <v>259.25</v>
      </c>
      <c r="L967">
        <f>_xlfn.XLOOKUP(A967,DFF!A:A,DFF!B:B,"",-1)</f>
        <v>1.59</v>
      </c>
      <c r="M967">
        <f>_xlfn.XLOOKUP(A967,'DGS2'!A:A,'DGS2'!B:B,"",-1)</f>
        <v>1.36</v>
      </c>
      <c r="N967">
        <f t="shared" si="123"/>
        <v>3.0000000000000027E-2</v>
      </c>
      <c r="O967">
        <f t="shared" si="124"/>
        <v>1.4980362705145023E-2</v>
      </c>
      <c r="P967">
        <f t="shared" si="125"/>
        <v>1</v>
      </c>
      <c r="Q967">
        <f t="shared" si="126"/>
        <v>1</v>
      </c>
    </row>
    <row r="968" spans="1:17">
      <c r="A968" s="1">
        <v>43865</v>
      </c>
      <c r="B968">
        <v>3297.59</v>
      </c>
      <c r="C968">
        <f t="shared" si="120"/>
        <v>1.4980362705145023E-2</v>
      </c>
      <c r="D968">
        <f t="shared" si="127"/>
        <v>4.2422175255660832E-3</v>
      </c>
      <c r="E968">
        <f>_xlfn.XLOOKUP(A968,VIX!A:A,VIX!B:B,"",-1)</f>
        <v>16.05</v>
      </c>
      <c r="F968">
        <f t="shared" si="121"/>
        <v>-1.9199999999999982</v>
      </c>
      <c r="G968">
        <f>_xlfn.XLOOKUP(A968,'DGS10'!A:A,'DGS10'!B:B,"",-1)</f>
        <v>1.61</v>
      </c>
      <c r="H968">
        <f t="shared" si="122"/>
        <v>7.0000000000000062E-2</v>
      </c>
      <c r="I968" s="2">
        <f>_xlfn.XLOOKUP(A968,T10Y3M!A:A,T10Y3M!B:B,"",-1)</f>
        <v>0.04</v>
      </c>
      <c r="J968" s="2">
        <f>_xlfn.XLOOKUP(A968,BAMLC0A4CBBB!A:A,BAMLC0A4CBBB!B:B,"",-1)</f>
        <v>1.36</v>
      </c>
      <c r="K968" s="2">
        <f>_xlfn.XLOOKUP(A968,CPIAUCSL!A:A,CPIAUCSL!B:B,"",-1)</f>
        <v>259.25</v>
      </c>
      <c r="L968">
        <f>_xlfn.XLOOKUP(A968,DFF!A:A,DFF!B:B,"",-1)</f>
        <v>1.59</v>
      </c>
      <c r="M968">
        <f>_xlfn.XLOOKUP(A968,'DGS2'!A:A,'DGS2'!B:B,"",-1)</f>
        <v>1.41</v>
      </c>
      <c r="N968">
        <f t="shared" si="123"/>
        <v>4.9999999999999822E-2</v>
      </c>
      <c r="O968">
        <f t="shared" si="124"/>
        <v>1.1250640619361318E-2</v>
      </c>
      <c r="P968">
        <f t="shared" si="125"/>
        <v>1</v>
      </c>
      <c r="Q968">
        <f t="shared" si="126"/>
        <v>1</v>
      </c>
    </row>
    <row r="969" spans="1:17">
      <c r="A969" s="1">
        <v>43866</v>
      </c>
      <c r="B969">
        <v>3334.69</v>
      </c>
      <c r="C969">
        <f t="shared" si="120"/>
        <v>1.1250640619361318E-2</v>
      </c>
      <c r="D969">
        <f t="shared" si="127"/>
        <v>3.3845705498648293E-2</v>
      </c>
      <c r="E969">
        <f>_xlfn.XLOOKUP(A969,VIX!A:A,VIX!B:B,"",-1)</f>
        <v>15.15</v>
      </c>
      <c r="F969">
        <f t="shared" si="121"/>
        <v>-0.90000000000000036</v>
      </c>
      <c r="G969">
        <f>_xlfn.XLOOKUP(A969,'DGS10'!A:A,'DGS10'!B:B,"",-1)</f>
        <v>1.66</v>
      </c>
      <c r="H969">
        <f t="shared" si="122"/>
        <v>4.9999999999999822E-2</v>
      </c>
      <c r="I969" s="2">
        <f>_xlfn.XLOOKUP(A969,T10Y3M!A:A,T10Y3M!B:B,"",-1)</f>
        <v>0.09</v>
      </c>
      <c r="J969" s="2">
        <f>_xlfn.XLOOKUP(A969,BAMLC0A4CBBB!A:A,BAMLC0A4CBBB!B:B,"",-1)</f>
        <v>1.34</v>
      </c>
      <c r="K969" s="2">
        <f>_xlfn.XLOOKUP(A969,CPIAUCSL!A:A,CPIAUCSL!B:B,"",-1)</f>
        <v>259.25</v>
      </c>
      <c r="L969">
        <f>_xlfn.XLOOKUP(A969,DFF!A:A,DFF!B:B,"",-1)</f>
        <v>1.59</v>
      </c>
      <c r="M969">
        <f>_xlfn.XLOOKUP(A969,'DGS2'!A:A,'DGS2'!B:B,"",-1)</f>
        <v>1.44</v>
      </c>
      <c r="N969">
        <f t="shared" si="123"/>
        <v>3.0000000000000027E-2</v>
      </c>
      <c r="O969">
        <f t="shared" si="124"/>
        <v>3.3256464618900416E-3</v>
      </c>
      <c r="P969">
        <f t="shared" si="125"/>
        <v>1</v>
      </c>
      <c r="Q969">
        <f t="shared" si="126"/>
        <v>1</v>
      </c>
    </row>
    <row r="970" spans="1:17">
      <c r="A970" s="1">
        <v>43867</v>
      </c>
      <c r="B970">
        <v>3345.78</v>
      </c>
      <c r="C970">
        <f t="shared" si="120"/>
        <v>3.3256464618900416E-3</v>
      </c>
      <c r="D970">
        <f t="shared" si="127"/>
        <v>2.9812984006993171E-2</v>
      </c>
      <c r="E970">
        <f>_xlfn.XLOOKUP(A970,VIX!A:A,VIX!B:B,"",-1)</f>
        <v>14.96</v>
      </c>
      <c r="F970">
        <f t="shared" si="121"/>
        <v>-0.1899999999999995</v>
      </c>
      <c r="G970">
        <f>_xlfn.XLOOKUP(A970,'DGS10'!A:A,'DGS10'!B:B,"",-1)</f>
        <v>1.65</v>
      </c>
      <c r="H970">
        <f t="shared" si="122"/>
        <v>-1.0000000000000009E-2</v>
      </c>
      <c r="I970" s="2">
        <f>_xlfn.XLOOKUP(A970,T10Y3M!A:A,T10Y3M!B:B,"",-1)</f>
        <v>0.08</v>
      </c>
      <c r="J970" s="2">
        <f>_xlfn.XLOOKUP(A970,BAMLC0A4CBBB!A:A,BAMLC0A4CBBB!B:B,"",-1)</f>
        <v>1.33</v>
      </c>
      <c r="K970" s="2">
        <f>_xlfn.XLOOKUP(A970,CPIAUCSL!A:A,CPIAUCSL!B:B,"",-1)</f>
        <v>259.25</v>
      </c>
      <c r="L970">
        <f>_xlfn.XLOOKUP(A970,DFF!A:A,DFF!B:B,"",-1)</f>
        <v>1.59</v>
      </c>
      <c r="M970">
        <f>_xlfn.XLOOKUP(A970,'DGS2'!A:A,'DGS2'!B:B,"",-1)</f>
        <v>1.44</v>
      </c>
      <c r="N970">
        <f t="shared" si="123"/>
        <v>0</v>
      </c>
      <c r="O970">
        <f t="shared" si="124"/>
        <v>-5.4008332885008281E-3</v>
      </c>
      <c r="P970">
        <f t="shared" si="125"/>
        <v>0</v>
      </c>
      <c r="Q970">
        <f t="shared" si="126"/>
        <v>-1</v>
      </c>
    </row>
    <row r="971" spans="1:17">
      <c r="A971" s="1">
        <v>43868</v>
      </c>
      <c r="B971">
        <v>3327.71</v>
      </c>
      <c r="C971">
        <f t="shared" si="120"/>
        <v>-5.4008332885008281E-3</v>
      </c>
      <c r="D971">
        <f t="shared" si="127"/>
        <v>9.1339432737240767E-3</v>
      </c>
      <c r="E971">
        <f>_xlfn.XLOOKUP(A971,VIX!A:A,VIX!B:B,"",-1)</f>
        <v>15.47</v>
      </c>
      <c r="F971">
        <f t="shared" si="121"/>
        <v>0.50999999999999979</v>
      </c>
      <c r="G971">
        <f>_xlfn.XLOOKUP(A971,'DGS10'!A:A,'DGS10'!B:B,"",-1)</f>
        <v>1.59</v>
      </c>
      <c r="H971">
        <f t="shared" si="122"/>
        <v>-5.9999999999999831E-2</v>
      </c>
      <c r="I971" s="2">
        <f>_xlfn.XLOOKUP(A971,T10Y3M!A:A,T10Y3M!B:B,"",-1)</f>
        <v>0.03</v>
      </c>
      <c r="J971" s="2">
        <f>_xlfn.XLOOKUP(A971,BAMLC0A4CBBB!A:A,BAMLC0A4CBBB!B:B,"",-1)</f>
        <v>1.33</v>
      </c>
      <c r="K971" s="2">
        <f>_xlfn.XLOOKUP(A971,CPIAUCSL!A:A,CPIAUCSL!B:B,"",-1)</f>
        <v>259.25</v>
      </c>
      <c r="L971">
        <f>_xlfn.XLOOKUP(A971,DFF!A:A,DFF!B:B,"",-1)</f>
        <v>1.58</v>
      </c>
      <c r="M971">
        <f>_xlfn.XLOOKUP(A971,'DGS2'!A:A,'DGS2'!B:B,"",-1)</f>
        <v>1.41</v>
      </c>
      <c r="N971">
        <f t="shared" si="123"/>
        <v>-3.0000000000000027E-2</v>
      </c>
      <c r="O971">
        <f t="shared" si="124"/>
        <v>7.3263595685921779E-3</v>
      </c>
      <c r="P971">
        <f t="shared" si="125"/>
        <v>1</v>
      </c>
      <c r="Q971">
        <f t="shared" si="126"/>
        <v>1</v>
      </c>
    </row>
    <row r="972" spans="1:17">
      <c r="A972" s="1">
        <v>43871</v>
      </c>
      <c r="B972">
        <v>3352.09</v>
      </c>
      <c r="C972">
        <f t="shared" si="120"/>
        <v>7.3263595685921779E-3</v>
      </c>
      <c r="D972">
        <f t="shared" si="127"/>
        <v>5.2178763243360127E-3</v>
      </c>
      <c r="E972">
        <f>_xlfn.XLOOKUP(A972,VIX!A:A,VIX!B:B,"",-1)</f>
        <v>15.04</v>
      </c>
      <c r="F972">
        <f t="shared" si="121"/>
        <v>-0.43000000000000149</v>
      </c>
      <c r="G972">
        <f>_xlfn.XLOOKUP(A972,'DGS10'!A:A,'DGS10'!B:B,"",-1)</f>
        <v>1.56</v>
      </c>
      <c r="H972">
        <f t="shared" si="122"/>
        <v>-3.0000000000000027E-2</v>
      </c>
      <c r="I972" s="2">
        <f>_xlfn.XLOOKUP(A972,T10Y3M!A:A,T10Y3M!B:B,"",-1)</f>
        <v>-0.02</v>
      </c>
      <c r="J972" s="2">
        <f>_xlfn.XLOOKUP(A972,BAMLC0A4CBBB!A:A,BAMLC0A4CBBB!B:B,"",-1)</f>
        <v>1.34</v>
      </c>
      <c r="K972" s="2">
        <f>_xlfn.XLOOKUP(A972,CPIAUCSL!A:A,CPIAUCSL!B:B,"",-1)</f>
        <v>259.25</v>
      </c>
      <c r="L972">
        <f>_xlfn.XLOOKUP(A972,DFF!A:A,DFF!B:B,"",-1)</f>
        <v>1.58</v>
      </c>
      <c r="M972">
        <f>_xlfn.XLOOKUP(A972,'DGS2'!A:A,'DGS2'!B:B,"",-1)</f>
        <v>1.37</v>
      </c>
      <c r="N972">
        <f t="shared" si="123"/>
        <v>-3.9999999999999813E-2</v>
      </c>
      <c r="O972">
        <f t="shared" si="124"/>
        <v>1.6884988171557147E-3</v>
      </c>
      <c r="P972">
        <f t="shared" si="125"/>
        <v>1</v>
      </c>
      <c r="Q972">
        <f t="shared" si="126"/>
        <v>0</v>
      </c>
    </row>
    <row r="973" spans="1:17">
      <c r="A973" s="1">
        <v>43872</v>
      </c>
      <c r="B973">
        <v>3357.75</v>
      </c>
      <c r="C973">
        <f t="shared" si="120"/>
        <v>1.6884988171557147E-3</v>
      </c>
      <c r="D973">
        <f t="shared" si="127"/>
        <v>3.5776410881767085E-3</v>
      </c>
      <c r="E973">
        <f>_xlfn.XLOOKUP(A973,VIX!A:A,VIX!B:B,"",-1)</f>
        <v>15.18</v>
      </c>
      <c r="F973">
        <f t="shared" si="121"/>
        <v>0.14000000000000057</v>
      </c>
      <c r="G973">
        <f>_xlfn.XLOOKUP(A973,'DGS10'!A:A,'DGS10'!B:B,"",-1)</f>
        <v>1.59</v>
      </c>
      <c r="H973">
        <f t="shared" si="122"/>
        <v>3.0000000000000027E-2</v>
      </c>
      <c r="I973" s="2">
        <f>_xlfn.XLOOKUP(A973,T10Y3M!A:A,T10Y3M!B:B,"",-1)</f>
        <v>0.02</v>
      </c>
      <c r="J973" s="2">
        <f>_xlfn.XLOOKUP(A973,BAMLC0A4CBBB!A:A,BAMLC0A4CBBB!B:B,"",-1)</f>
        <v>1.33</v>
      </c>
      <c r="K973" s="2">
        <f>_xlfn.XLOOKUP(A973,CPIAUCSL!A:A,CPIAUCSL!B:B,"",-1)</f>
        <v>259.25</v>
      </c>
      <c r="L973">
        <f>_xlfn.XLOOKUP(A973,DFF!A:A,DFF!B:B,"",-1)</f>
        <v>1.58</v>
      </c>
      <c r="M973">
        <f>_xlfn.XLOOKUP(A973,'DGS2'!A:A,'DGS2'!B:B,"",-1)</f>
        <v>1.41</v>
      </c>
      <c r="N973">
        <f t="shared" si="123"/>
        <v>3.9999999999999813E-2</v>
      </c>
      <c r="O973">
        <f t="shared" si="124"/>
        <v>6.4626610081155444E-3</v>
      </c>
      <c r="P973">
        <f t="shared" si="125"/>
        <v>1</v>
      </c>
      <c r="Q973">
        <f t="shared" si="126"/>
        <v>1</v>
      </c>
    </row>
    <row r="974" spans="1:17">
      <c r="A974" s="1">
        <v>43873</v>
      </c>
      <c r="B974">
        <v>3379.45</v>
      </c>
      <c r="C974">
        <f t="shared" si="120"/>
        <v>6.4626610081155444E-3</v>
      </c>
      <c r="D974">
        <f t="shared" si="127"/>
        <v>1.5548229863780128E-2</v>
      </c>
      <c r="E974">
        <f>_xlfn.XLOOKUP(A974,VIX!A:A,VIX!B:B,"",-1)</f>
        <v>13.74</v>
      </c>
      <c r="F974">
        <f t="shared" si="121"/>
        <v>-1.4399999999999995</v>
      </c>
      <c r="G974">
        <f>_xlfn.XLOOKUP(A974,'DGS10'!A:A,'DGS10'!B:B,"",-1)</f>
        <v>1.62</v>
      </c>
      <c r="H974">
        <f t="shared" si="122"/>
        <v>3.0000000000000027E-2</v>
      </c>
      <c r="I974" s="2">
        <f>_xlfn.XLOOKUP(A974,T10Y3M!A:A,T10Y3M!B:B,"",-1)</f>
        <v>0.04</v>
      </c>
      <c r="J974" s="2">
        <f>_xlfn.XLOOKUP(A974,BAMLC0A4CBBB!A:A,BAMLC0A4CBBB!B:B,"",-1)</f>
        <v>1.31</v>
      </c>
      <c r="K974" s="2">
        <f>_xlfn.XLOOKUP(A974,CPIAUCSL!A:A,CPIAUCSL!B:B,"",-1)</f>
        <v>259.25</v>
      </c>
      <c r="L974">
        <f>_xlfn.XLOOKUP(A974,DFF!A:A,DFF!B:B,"",-1)</f>
        <v>1.58</v>
      </c>
      <c r="M974">
        <f>_xlfn.XLOOKUP(A974,'DGS2'!A:A,'DGS2'!B:B,"",-1)</f>
        <v>1.44</v>
      </c>
      <c r="N974">
        <f t="shared" si="123"/>
        <v>3.0000000000000027E-2</v>
      </c>
      <c r="O974">
        <f t="shared" si="124"/>
        <v>-1.6304428235363044E-3</v>
      </c>
      <c r="P974">
        <f t="shared" si="125"/>
        <v>0</v>
      </c>
      <c r="Q974">
        <f t="shared" si="126"/>
        <v>0</v>
      </c>
    </row>
    <row r="975" spans="1:17">
      <c r="A975" s="1">
        <v>43874</v>
      </c>
      <c r="B975">
        <v>3373.94</v>
      </c>
      <c r="C975">
        <f t="shared" si="120"/>
        <v>-1.6304428235363044E-3</v>
      </c>
      <c r="D975">
        <f t="shared" si="127"/>
        <v>6.5183214054513883E-3</v>
      </c>
      <c r="E975">
        <f>_xlfn.XLOOKUP(A975,VIX!A:A,VIX!B:B,"",-1)</f>
        <v>14.15</v>
      </c>
      <c r="F975">
        <f t="shared" si="121"/>
        <v>0.41000000000000014</v>
      </c>
      <c r="G975">
        <f>_xlfn.XLOOKUP(A975,'DGS10'!A:A,'DGS10'!B:B,"",-1)</f>
        <v>1.61</v>
      </c>
      <c r="H975">
        <f t="shared" si="122"/>
        <v>-1.0000000000000009E-2</v>
      </c>
      <c r="I975" s="2">
        <f>_xlfn.XLOOKUP(A975,T10Y3M!A:A,T10Y3M!B:B,"",-1)</f>
        <v>0.02</v>
      </c>
      <c r="J975" s="2">
        <f>_xlfn.XLOOKUP(A975,BAMLC0A4CBBB!A:A,BAMLC0A4CBBB!B:B,"",-1)</f>
        <v>1.31</v>
      </c>
      <c r="K975" s="2">
        <f>_xlfn.XLOOKUP(A975,CPIAUCSL!A:A,CPIAUCSL!B:B,"",-1)</f>
        <v>259.25</v>
      </c>
      <c r="L975">
        <f>_xlfn.XLOOKUP(A975,DFF!A:A,DFF!B:B,"",-1)</f>
        <v>1.58</v>
      </c>
      <c r="M975">
        <f>_xlfn.XLOOKUP(A975,'DGS2'!A:A,'DGS2'!B:B,"",-1)</f>
        <v>1.44</v>
      </c>
      <c r="N975">
        <f t="shared" si="123"/>
        <v>0</v>
      </c>
      <c r="O975">
        <f t="shared" si="124"/>
        <v>1.8435419717006685E-3</v>
      </c>
      <c r="P975">
        <f t="shared" si="125"/>
        <v>1</v>
      </c>
      <c r="Q975">
        <f t="shared" si="126"/>
        <v>0</v>
      </c>
    </row>
    <row r="976" spans="1:17">
      <c r="A976" s="1">
        <v>43875</v>
      </c>
      <c r="B976">
        <v>3380.16</v>
      </c>
      <c r="C976">
        <f t="shared" si="120"/>
        <v>1.8435419717006685E-3</v>
      </c>
      <c r="D976">
        <f t="shared" si="127"/>
        <v>6.6741121286575389E-3</v>
      </c>
      <c r="E976">
        <f>_xlfn.XLOOKUP(A976,VIX!A:A,VIX!B:B,"",-1)</f>
        <v>13.68</v>
      </c>
      <c r="F976">
        <f t="shared" si="121"/>
        <v>-0.47000000000000064</v>
      </c>
      <c r="G976">
        <f>_xlfn.XLOOKUP(A976,'DGS10'!A:A,'DGS10'!B:B,"",-1)</f>
        <v>1.59</v>
      </c>
      <c r="H976">
        <f t="shared" si="122"/>
        <v>-2.0000000000000018E-2</v>
      </c>
      <c r="I976" s="2">
        <f>_xlfn.XLOOKUP(A976,T10Y3M!A:A,T10Y3M!B:B,"",-1)</f>
        <v>0.01</v>
      </c>
      <c r="J976" s="2">
        <f>_xlfn.XLOOKUP(A976,BAMLC0A4CBBB!A:A,BAMLC0A4CBBB!B:B,"",-1)</f>
        <v>1.31</v>
      </c>
      <c r="K976" s="2">
        <f>_xlfn.XLOOKUP(A976,CPIAUCSL!A:A,CPIAUCSL!B:B,"",-1)</f>
        <v>259.25</v>
      </c>
      <c r="L976">
        <f>_xlfn.XLOOKUP(A976,DFF!A:A,DFF!B:B,"",-1)</f>
        <v>1.58</v>
      </c>
      <c r="M976">
        <f>_xlfn.XLOOKUP(A976,'DGS2'!A:A,'DGS2'!B:B,"",-1)</f>
        <v>1.42</v>
      </c>
      <c r="N976">
        <f t="shared" si="123"/>
        <v>-2.0000000000000018E-2</v>
      </c>
      <c r="O976">
        <f t="shared" si="124"/>
        <v>-2.9199801192842934E-3</v>
      </c>
      <c r="P976">
        <f t="shared" si="125"/>
        <v>0</v>
      </c>
      <c r="Q976">
        <f t="shared" si="126"/>
        <v>0</v>
      </c>
    </row>
    <row r="977" spans="1:17">
      <c r="A977" s="1">
        <v>43879</v>
      </c>
      <c r="B977">
        <v>3370.29</v>
      </c>
      <c r="C977">
        <f t="shared" si="120"/>
        <v>-2.9199801192842934E-3</v>
      </c>
      <c r="D977">
        <f t="shared" si="127"/>
        <v>-2.7105002293271729E-3</v>
      </c>
      <c r="E977">
        <f>_xlfn.XLOOKUP(A977,VIX!A:A,VIX!B:B,"",-1)</f>
        <v>14.83</v>
      </c>
      <c r="F977">
        <f t="shared" si="121"/>
        <v>1.1500000000000004</v>
      </c>
      <c r="G977">
        <f>_xlfn.XLOOKUP(A977,'DGS10'!A:A,'DGS10'!B:B,"",-1)</f>
        <v>1.55</v>
      </c>
      <c r="H977">
        <f t="shared" si="122"/>
        <v>-4.0000000000000036E-2</v>
      </c>
      <c r="I977" s="2">
        <f>_xlfn.XLOOKUP(A977,T10Y3M!A:A,T10Y3M!B:B,"",-1)</f>
        <v>-0.03</v>
      </c>
      <c r="J977" s="2">
        <f>_xlfn.XLOOKUP(A977,BAMLC0A4CBBB!A:A,BAMLC0A4CBBB!B:B,"",-1)</f>
        <v>1.31</v>
      </c>
      <c r="K977" s="2">
        <f>_xlfn.XLOOKUP(A977,CPIAUCSL!A:A,CPIAUCSL!B:B,"",-1)</f>
        <v>259.25</v>
      </c>
      <c r="L977">
        <f>_xlfn.XLOOKUP(A977,DFF!A:A,DFF!B:B,"",-1)</f>
        <v>1.59</v>
      </c>
      <c r="M977">
        <f>_xlfn.XLOOKUP(A977,'DGS2'!A:A,'DGS2'!B:B,"",-1)</f>
        <v>1.41</v>
      </c>
      <c r="N977">
        <f t="shared" si="123"/>
        <v>-1.0000000000000009E-2</v>
      </c>
      <c r="O977">
        <f t="shared" si="124"/>
        <v>4.7058265015771372E-3</v>
      </c>
      <c r="P977">
        <f t="shared" si="125"/>
        <v>1</v>
      </c>
      <c r="Q977">
        <f t="shared" si="126"/>
        <v>1</v>
      </c>
    </row>
    <row r="978" spans="1:17">
      <c r="A978" s="1">
        <v>43880</v>
      </c>
      <c r="B978">
        <v>3386.15</v>
      </c>
      <c r="C978">
        <f t="shared" si="120"/>
        <v>4.7058265015771372E-3</v>
      </c>
      <c r="D978">
        <f t="shared" si="127"/>
        <v>3.6189143849623129E-3</v>
      </c>
      <c r="E978">
        <f>_xlfn.XLOOKUP(A978,VIX!A:A,VIX!B:B,"",-1)</f>
        <v>14.38</v>
      </c>
      <c r="F978">
        <f t="shared" si="121"/>
        <v>-0.44999999999999929</v>
      </c>
      <c r="G978">
        <f>_xlfn.XLOOKUP(A978,'DGS10'!A:A,'DGS10'!B:B,"",-1)</f>
        <v>1.56</v>
      </c>
      <c r="H978">
        <f t="shared" si="122"/>
        <v>1.0000000000000009E-2</v>
      </c>
      <c r="I978" s="2">
        <f>_xlfn.XLOOKUP(A978,T10Y3M!A:A,T10Y3M!B:B,"",-1)</f>
        <v>-0.02</v>
      </c>
      <c r="J978" s="2">
        <f>_xlfn.XLOOKUP(A978,BAMLC0A4CBBB!A:A,BAMLC0A4CBBB!B:B,"",-1)</f>
        <v>1.31</v>
      </c>
      <c r="K978" s="2">
        <f>_xlfn.XLOOKUP(A978,CPIAUCSL!A:A,CPIAUCSL!B:B,"",-1)</f>
        <v>259.25</v>
      </c>
      <c r="L978">
        <f>_xlfn.XLOOKUP(A978,DFF!A:A,DFF!B:B,"",-1)</f>
        <v>1.59</v>
      </c>
      <c r="M978">
        <f>_xlfn.XLOOKUP(A978,'DGS2'!A:A,'DGS2'!B:B,"",-1)</f>
        <v>1.42</v>
      </c>
      <c r="N978">
        <f t="shared" si="123"/>
        <v>1.0000000000000009E-2</v>
      </c>
      <c r="O978">
        <f t="shared" si="124"/>
        <v>-3.8155427255142094E-3</v>
      </c>
      <c r="P978">
        <f t="shared" si="125"/>
        <v>0</v>
      </c>
      <c r="Q978">
        <f t="shared" si="126"/>
        <v>-1</v>
      </c>
    </row>
    <row r="979" spans="1:17">
      <c r="A979" s="1">
        <v>43881</v>
      </c>
      <c r="B979">
        <v>3373.23</v>
      </c>
      <c r="C979">
        <f t="shared" si="120"/>
        <v>-3.8155427255142094E-3</v>
      </c>
      <c r="D979">
        <f t="shared" si="127"/>
        <v>-2.0501988071569555E-3</v>
      </c>
      <c r="E979">
        <f>_xlfn.XLOOKUP(A979,VIX!A:A,VIX!B:B,"",-1)</f>
        <v>15.56</v>
      </c>
      <c r="F979">
        <f t="shared" si="121"/>
        <v>1.1799999999999997</v>
      </c>
      <c r="G979">
        <f>_xlfn.XLOOKUP(A979,'DGS10'!A:A,'DGS10'!B:B,"",-1)</f>
        <v>1.52</v>
      </c>
      <c r="H979">
        <f t="shared" si="122"/>
        <v>-4.0000000000000036E-2</v>
      </c>
      <c r="I979" s="2">
        <f>_xlfn.XLOOKUP(A979,T10Y3M!A:A,T10Y3M!B:B,"",-1)</f>
        <v>-0.06</v>
      </c>
      <c r="J979" s="2">
        <f>_xlfn.XLOOKUP(A979,BAMLC0A4CBBB!A:A,BAMLC0A4CBBB!B:B,"",-1)</f>
        <v>1.33</v>
      </c>
      <c r="K979" s="2">
        <f>_xlfn.XLOOKUP(A979,CPIAUCSL!A:A,CPIAUCSL!B:B,"",-1)</f>
        <v>259.25</v>
      </c>
      <c r="L979">
        <f>_xlfn.XLOOKUP(A979,DFF!A:A,DFF!B:B,"",-1)</f>
        <v>1.59</v>
      </c>
      <c r="M979">
        <f>_xlfn.XLOOKUP(A979,'DGS2'!A:A,'DGS2'!B:B,"",-1)</f>
        <v>1.39</v>
      </c>
      <c r="N979">
        <f t="shared" si="123"/>
        <v>-3.0000000000000027E-2</v>
      </c>
      <c r="O979">
        <f t="shared" si="124"/>
        <v>-1.0518108756295885E-2</v>
      </c>
      <c r="P979">
        <f t="shared" si="125"/>
        <v>0</v>
      </c>
      <c r="Q979">
        <f t="shared" si="126"/>
        <v>-1</v>
      </c>
    </row>
    <row r="980" spans="1:17">
      <c r="A980" s="1">
        <v>43882</v>
      </c>
      <c r="B980">
        <v>3337.75</v>
      </c>
      <c r="C980">
        <f t="shared" si="120"/>
        <v>-1.0518108756295885E-2</v>
      </c>
      <c r="D980">
        <f t="shared" si="127"/>
        <v>-9.6549555082796612E-3</v>
      </c>
      <c r="E980">
        <f>_xlfn.XLOOKUP(A980,VIX!A:A,VIX!B:B,"",-1)</f>
        <v>17.079999999999998</v>
      </c>
      <c r="F980">
        <f t="shared" si="121"/>
        <v>1.5199999999999978</v>
      </c>
      <c r="G980">
        <f>_xlfn.XLOOKUP(A980,'DGS10'!A:A,'DGS10'!B:B,"",-1)</f>
        <v>1.46</v>
      </c>
      <c r="H980">
        <f t="shared" si="122"/>
        <v>-6.0000000000000053E-2</v>
      </c>
      <c r="I980" s="2">
        <f>_xlfn.XLOOKUP(A980,T10Y3M!A:A,T10Y3M!B:B,"",-1)</f>
        <v>-0.1</v>
      </c>
      <c r="J980" s="2">
        <f>_xlfn.XLOOKUP(A980,BAMLC0A4CBBB!A:A,BAMLC0A4CBBB!B:B,"",-1)</f>
        <v>1.35</v>
      </c>
      <c r="K980" s="2">
        <f>_xlfn.XLOOKUP(A980,CPIAUCSL!A:A,CPIAUCSL!B:B,"",-1)</f>
        <v>259.25</v>
      </c>
      <c r="L980">
        <f>_xlfn.XLOOKUP(A980,DFF!A:A,DFF!B:B,"",-1)</f>
        <v>1.58</v>
      </c>
      <c r="M980">
        <f>_xlfn.XLOOKUP(A980,'DGS2'!A:A,'DGS2'!B:B,"",-1)</f>
        <v>1.34</v>
      </c>
      <c r="N980">
        <f t="shared" si="123"/>
        <v>-4.9999999999999822E-2</v>
      </c>
      <c r="O980">
        <f t="shared" si="124"/>
        <v>-3.3513594487304399E-2</v>
      </c>
      <c r="P980">
        <f t="shared" si="125"/>
        <v>0</v>
      </c>
      <c r="Q980">
        <f t="shared" si="126"/>
        <v>-1</v>
      </c>
    </row>
    <row r="981" spans="1:17">
      <c r="A981" s="1">
        <v>43885</v>
      </c>
      <c r="B981">
        <v>3225.89</v>
      </c>
      <c r="C981">
        <f t="shared" si="120"/>
        <v>-3.3513594487304399E-2</v>
      </c>
      <c r="D981">
        <f t="shared" si="127"/>
        <v>-4.7328086469884734E-2</v>
      </c>
      <c r="E981">
        <f>_xlfn.XLOOKUP(A981,VIX!A:A,VIX!B:B,"",-1)</f>
        <v>25.03</v>
      </c>
      <c r="F981">
        <f t="shared" si="121"/>
        <v>7.9500000000000028</v>
      </c>
      <c r="G981">
        <f>_xlfn.XLOOKUP(A981,'DGS10'!A:A,'DGS10'!B:B,"",-1)</f>
        <v>1.38</v>
      </c>
      <c r="H981">
        <f t="shared" si="122"/>
        <v>-8.0000000000000071E-2</v>
      </c>
      <c r="I981" s="2">
        <f>_xlfn.XLOOKUP(A981,T10Y3M!A:A,T10Y3M!B:B,"",-1)</f>
        <v>-0.15</v>
      </c>
      <c r="J981" s="2">
        <f>_xlfn.XLOOKUP(A981,BAMLC0A4CBBB!A:A,BAMLC0A4CBBB!B:B,"",-1)</f>
        <v>1.4</v>
      </c>
      <c r="K981" s="2">
        <f>_xlfn.XLOOKUP(A981,CPIAUCSL!A:A,CPIAUCSL!B:B,"",-1)</f>
        <v>259.25</v>
      </c>
      <c r="L981">
        <f>_xlfn.XLOOKUP(A981,DFF!A:A,DFF!B:B,"",-1)</f>
        <v>1.58</v>
      </c>
      <c r="M981">
        <f>_xlfn.XLOOKUP(A981,'DGS2'!A:A,'DGS2'!B:B,"",-1)</f>
        <v>1.26</v>
      </c>
      <c r="N981">
        <f t="shared" si="123"/>
        <v>-8.0000000000000071E-2</v>
      </c>
      <c r="O981">
        <f t="shared" si="124"/>
        <v>-3.0280015747592093E-2</v>
      </c>
      <c r="P981">
        <f t="shared" si="125"/>
        <v>0</v>
      </c>
      <c r="Q981">
        <f t="shared" si="126"/>
        <v>-1</v>
      </c>
    </row>
    <row r="982" spans="1:17">
      <c r="A982" s="1">
        <v>43886</v>
      </c>
      <c r="B982">
        <v>3128.21</v>
      </c>
      <c r="C982">
        <f t="shared" si="120"/>
        <v>-3.0280015747592093E-2</v>
      </c>
      <c r="D982">
        <f t="shared" si="127"/>
        <v>-7.2636612386347776E-2</v>
      </c>
      <c r="E982">
        <f>_xlfn.XLOOKUP(A982,VIX!A:A,VIX!B:B,"",-1)</f>
        <v>27.85</v>
      </c>
      <c r="F982">
        <f t="shared" si="121"/>
        <v>2.8200000000000003</v>
      </c>
      <c r="G982">
        <f>_xlfn.XLOOKUP(A982,'DGS10'!A:A,'DGS10'!B:B,"",-1)</f>
        <v>1.33</v>
      </c>
      <c r="H982">
        <f t="shared" si="122"/>
        <v>-4.9999999999999822E-2</v>
      </c>
      <c r="I982" s="2">
        <f>_xlfn.XLOOKUP(A982,T10Y3M!A:A,T10Y3M!B:B,"",-1)</f>
        <v>-0.2</v>
      </c>
      <c r="J982" s="2">
        <f>_xlfn.XLOOKUP(A982,BAMLC0A4CBBB!A:A,BAMLC0A4CBBB!B:B,"",-1)</f>
        <v>1.44</v>
      </c>
      <c r="K982" s="2">
        <f>_xlfn.XLOOKUP(A982,CPIAUCSL!A:A,CPIAUCSL!B:B,"",-1)</f>
        <v>259.25</v>
      </c>
      <c r="L982">
        <f>_xlfn.XLOOKUP(A982,DFF!A:A,DFF!B:B,"",-1)</f>
        <v>1.58</v>
      </c>
      <c r="M982">
        <f>_xlfn.XLOOKUP(A982,'DGS2'!A:A,'DGS2'!B:B,"",-1)</f>
        <v>1.2</v>
      </c>
      <c r="N982">
        <f t="shared" si="123"/>
        <v>-6.0000000000000053E-2</v>
      </c>
      <c r="O982">
        <f t="shared" si="124"/>
        <v>-3.7785187055856539E-3</v>
      </c>
      <c r="P982">
        <f t="shared" si="125"/>
        <v>0</v>
      </c>
      <c r="Q982">
        <f t="shared" si="126"/>
        <v>-1</v>
      </c>
    </row>
    <row r="983" spans="1:17">
      <c r="A983" s="1">
        <v>43887</v>
      </c>
      <c r="B983">
        <v>3116.39</v>
      </c>
      <c r="C983">
        <f t="shared" si="120"/>
        <v>-3.7785187055856539E-3</v>
      </c>
      <c r="D983">
        <f t="shared" si="127"/>
        <v>-6.632012583327096E-2</v>
      </c>
      <c r="E983">
        <f>_xlfn.XLOOKUP(A983,VIX!A:A,VIX!B:B,"",-1)</f>
        <v>27.56</v>
      </c>
      <c r="F983">
        <f t="shared" si="121"/>
        <v>-0.2900000000000027</v>
      </c>
      <c r="G983">
        <f>_xlfn.XLOOKUP(A983,'DGS10'!A:A,'DGS10'!B:B,"",-1)</f>
        <v>1.33</v>
      </c>
      <c r="H983">
        <f t="shared" si="122"/>
        <v>0</v>
      </c>
      <c r="I983" s="2">
        <f>_xlfn.XLOOKUP(A983,T10Y3M!A:A,T10Y3M!B:B,"",-1)</f>
        <v>-0.2</v>
      </c>
      <c r="J983" s="2">
        <f>_xlfn.XLOOKUP(A983,BAMLC0A4CBBB!A:A,BAMLC0A4CBBB!B:B,"",-1)</f>
        <v>1.46</v>
      </c>
      <c r="K983" s="2">
        <f>_xlfn.XLOOKUP(A983,CPIAUCSL!A:A,CPIAUCSL!B:B,"",-1)</f>
        <v>259.25</v>
      </c>
      <c r="L983">
        <f>_xlfn.XLOOKUP(A983,DFF!A:A,DFF!B:B,"",-1)</f>
        <v>1.58</v>
      </c>
      <c r="M983">
        <f>_xlfn.XLOOKUP(A983,'DGS2'!A:A,'DGS2'!B:B,"",-1)</f>
        <v>1.1599999999999999</v>
      </c>
      <c r="N983">
        <f t="shared" si="123"/>
        <v>-4.0000000000000036E-2</v>
      </c>
      <c r="O983">
        <f t="shared" si="124"/>
        <v>-4.4163278665378725E-2</v>
      </c>
      <c r="P983">
        <f t="shared" si="125"/>
        <v>0</v>
      </c>
      <c r="Q983">
        <f t="shared" si="126"/>
        <v>-1</v>
      </c>
    </row>
    <row r="984" spans="1:17">
      <c r="A984" s="1">
        <v>43888</v>
      </c>
      <c r="B984">
        <v>2978.76</v>
      </c>
      <c r="C984">
        <f t="shared" si="120"/>
        <v>-4.4163278665378725E-2</v>
      </c>
      <c r="D984">
        <f t="shared" si="127"/>
        <v>-7.6608315844619468E-2</v>
      </c>
      <c r="E984">
        <f>_xlfn.XLOOKUP(A984,VIX!A:A,VIX!B:B,"",-1)</f>
        <v>39.159999999999997</v>
      </c>
      <c r="F984">
        <f t="shared" si="121"/>
        <v>11.599999999999998</v>
      </c>
      <c r="G984">
        <f>_xlfn.XLOOKUP(A984,'DGS10'!A:A,'DGS10'!B:B,"",-1)</f>
        <v>1.3</v>
      </c>
      <c r="H984">
        <f t="shared" si="122"/>
        <v>-3.0000000000000027E-2</v>
      </c>
      <c r="I984" s="2">
        <f>_xlfn.XLOOKUP(A984,T10Y3M!A:A,T10Y3M!B:B,"",-1)</f>
        <v>-0.15</v>
      </c>
      <c r="J984" s="2">
        <f>_xlfn.XLOOKUP(A984,BAMLC0A4CBBB!A:A,BAMLC0A4CBBB!B:B,"",-1)</f>
        <v>1.54</v>
      </c>
      <c r="K984" s="2">
        <f>_xlfn.XLOOKUP(A984,CPIAUCSL!A:A,CPIAUCSL!B:B,"",-1)</f>
        <v>259.25</v>
      </c>
      <c r="L984">
        <f>_xlfn.XLOOKUP(A984,DFF!A:A,DFF!B:B,"",-1)</f>
        <v>1.58</v>
      </c>
      <c r="M984">
        <f>_xlfn.XLOOKUP(A984,'DGS2'!A:A,'DGS2'!B:B,"",-1)</f>
        <v>1.1100000000000001</v>
      </c>
      <c r="N984">
        <f t="shared" si="123"/>
        <v>-4.9999999999999822E-2</v>
      </c>
      <c r="O984">
        <f t="shared" si="124"/>
        <v>-8.2383273576925875E-3</v>
      </c>
      <c r="P984">
        <f t="shared" si="125"/>
        <v>0</v>
      </c>
      <c r="Q984">
        <f t="shared" si="126"/>
        <v>-1</v>
      </c>
    </row>
    <row r="985" spans="1:17">
      <c r="A985" s="1">
        <v>43889</v>
      </c>
      <c r="B985">
        <v>2954.22</v>
      </c>
      <c r="C985">
        <f t="shared" si="120"/>
        <v>-8.2383273576925875E-3</v>
      </c>
      <c r="D985">
        <f t="shared" si="127"/>
        <v>-5.5619667477567081E-2</v>
      </c>
      <c r="E985">
        <f>_xlfn.XLOOKUP(A985,VIX!A:A,VIX!B:B,"",-1)</f>
        <v>40.11</v>
      </c>
      <c r="F985">
        <f t="shared" si="121"/>
        <v>0.95000000000000284</v>
      </c>
      <c r="G985">
        <f>_xlfn.XLOOKUP(A985,'DGS10'!A:A,'DGS10'!B:B,"",-1)</f>
        <v>1.1299999999999999</v>
      </c>
      <c r="H985">
        <f t="shared" si="122"/>
        <v>-0.17000000000000015</v>
      </c>
      <c r="I985" s="2">
        <f>_xlfn.XLOOKUP(A985,T10Y3M!A:A,T10Y3M!B:B,"",-1)</f>
        <v>-0.14000000000000001</v>
      </c>
      <c r="J985" s="2">
        <f>_xlfn.XLOOKUP(A985,BAMLC0A4CBBB!A:A,BAMLC0A4CBBB!B:B,"",-1)</f>
        <v>1.65</v>
      </c>
      <c r="K985" s="2">
        <f>_xlfn.XLOOKUP(A985,CPIAUCSL!A:A,CPIAUCSL!B:B,"",-1)</f>
        <v>259.25</v>
      </c>
      <c r="L985">
        <f>_xlfn.XLOOKUP(A985,DFF!A:A,DFF!B:B,"",-1)</f>
        <v>1.58</v>
      </c>
      <c r="M985">
        <f>_xlfn.XLOOKUP(A985,'DGS2'!A:A,'DGS2'!B:B,"",-1)</f>
        <v>0.86</v>
      </c>
      <c r="N985">
        <f t="shared" si="123"/>
        <v>-0.25000000000000011</v>
      </c>
      <c r="O985">
        <f t="shared" si="124"/>
        <v>4.6039225243888371E-2</v>
      </c>
      <c r="P985">
        <f t="shared" si="125"/>
        <v>1</v>
      </c>
      <c r="Q985">
        <f t="shared" si="126"/>
        <v>1</v>
      </c>
    </row>
    <row r="986" spans="1:17">
      <c r="A986" s="1">
        <v>43892</v>
      </c>
      <c r="B986">
        <v>3090.23</v>
      </c>
      <c r="C986">
        <f t="shared" si="120"/>
        <v>4.6039225243888371E-2</v>
      </c>
      <c r="D986">
        <f t="shared" si="127"/>
        <v>-8.3943280526506125E-3</v>
      </c>
      <c r="E986">
        <f>_xlfn.XLOOKUP(A986,VIX!A:A,VIX!B:B,"",-1)</f>
        <v>33.42</v>
      </c>
      <c r="F986">
        <f t="shared" si="121"/>
        <v>-6.6899999999999977</v>
      </c>
      <c r="G986">
        <f>_xlfn.XLOOKUP(A986,'DGS10'!A:A,'DGS10'!B:B,"",-1)</f>
        <v>1.1000000000000001</v>
      </c>
      <c r="H986">
        <f t="shared" si="122"/>
        <v>-2.9999999999999805E-2</v>
      </c>
      <c r="I986" s="2">
        <f>_xlfn.XLOOKUP(A986,T10Y3M!A:A,T10Y3M!B:B,"",-1)</f>
        <v>-0.03</v>
      </c>
      <c r="J986" s="2">
        <f>_xlfn.XLOOKUP(A986,BAMLC0A4CBBB!A:A,BAMLC0A4CBBB!B:B,"",-1)</f>
        <v>1.68</v>
      </c>
      <c r="K986" s="2">
        <f>_xlfn.XLOOKUP(A986,CPIAUCSL!A:A,CPIAUCSL!B:B,"",-1)</f>
        <v>258.07600000000002</v>
      </c>
      <c r="L986">
        <f>_xlfn.XLOOKUP(A986,DFF!A:A,DFF!B:B,"",-1)</f>
        <v>1.59</v>
      </c>
      <c r="M986">
        <f>_xlfn.XLOOKUP(A986,'DGS2'!A:A,'DGS2'!B:B,"",-1)</f>
        <v>0.84</v>
      </c>
      <c r="N986">
        <f t="shared" si="123"/>
        <v>-2.0000000000000018E-2</v>
      </c>
      <c r="O986">
        <f t="shared" si="124"/>
        <v>-2.8107940185681968E-2</v>
      </c>
      <c r="P986">
        <f t="shared" si="125"/>
        <v>0</v>
      </c>
      <c r="Q986">
        <f t="shared" si="126"/>
        <v>-1</v>
      </c>
    </row>
    <row r="987" spans="1:17">
      <c r="A987" s="1">
        <v>43893</v>
      </c>
      <c r="B987">
        <v>3003.37</v>
      </c>
      <c r="C987">
        <f t="shared" si="120"/>
        <v>-2.8107940185681968E-2</v>
      </c>
      <c r="D987">
        <f t="shared" si="127"/>
        <v>8.2618270689815976E-3</v>
      </c>
      <c r="E987">
        <f>_xlfn.XLOOKUP(A987,VIX!A:A,VIX!B:B,"",-1)</f>
        <v>36.82</v>
      </c>
      <c r="F987">
        <f t="shared" si="121"/>
        <v>3.3999999999999986</v>
      </c>
      <c r="G987">
        <f>_xlfn.XLOOKUP(A987,'DGS10'!A:A,'DGS10'!B:B,"",-1)</f>
        <v>1.02</v>
      </c>
      <c r="H987">
        <f t="shared" si="122"/>
        <v>-8.0000000000000071E-2</v>
      </c>
      <c r="I987" s="2">
        <f>_xlfn.XLOOKUP(A987,T10Y3M!A:A,T10Y3M!B:B,"",-1)</f>
        <v>7.0000000000000007E-2</v>
      </c>
      <c r="J987" s="2">
        <f>_xlfn.XLOOKUP(A987,BAMLC0A4CBBB!A:A,BAMLC0A4CBBB!B:B,"",-1)</f>
        <v>1.67</v>
      </c>
      <c r="K987" s="2">
        <f>_xlfn.XLOOKUP(A987,CPIAUCSL!A:A,CPIAUCSL!B:B,"",-1)</f>
        <v>258.07600000000002</v>
      </c>
      <c r="L987">
        <f>_xlfn.XLOOKUP(A987,DFF!A:A,DFF!B:B,"",-1)</f>
        <v>1.59</v>
      </c>
      <c r="M987">
        <f>_xlfn.XLOOKUP(A987,'DGS2'!A:A,'DGS2'!B:B,"",-1)</f>
        <v>0.71</v>
      </c>
      <c r="N987">
        <f t="shared" si="123"/>
        <v>-0.13</v>
      </c>
      <c r="O987">
        <f t="shared" si="124"/>
        <v>4.2202592421180185E-2</v>
      </c>
      <c r="P987">
        <f t="shared" si="125"/>
        <v>1</v>
      </c>
      <c r="Q987">
        <f t="shared" si="126"/>
        <v>1</v>
      </c>
    </row>
    <row r="988" spans="1:17">
      <c r="A988" s="1">
        <v>43894</v>
      </c>
      <c r="B988">
        <v>3130.12</v>
      </c>
      <c r="C988">
        <f t="shared" si="120"/>
        <v>4.2202592421180185E-2</v>
      </c>
      <c r="D988">
        <f t="shared" si="127"/>
        <v>5.9541943389456398E-2</v>
      </c>
      <c r="E988">
        <f>_xlfn.XLOOKUP(A988,VIX!A:A,VIX!B:B,"",-1)</f>
        <v>31.99</v>
      </c>
      <c r="F988">
        <f t="shared" si="121"/>
        <v>-4.8300000000000018</v>
      </c>
      <c r="G988">
        <f>_xlfn.XLOOKUP(A988,'DGS10'!A:A,'DGS10'!B:B,"",-1)</f>
        <v>1.02</v>
      </c>
      <c r="H988">
        <f t="shared" si="122"/>
        <v>0</v>
      </c>
      <c r="I988" s="2">
        <f>_xlfn.XLOOKUP(A988,T10Y3M!A:A,T10Y3M!B:B,"",-1)</f>
        <v>0.3</v>
      </c>
      <c r="J988" s="2">
        <f>_xlfn.XLOOKUP(A988,BAMLC0A4CBBB!A:A,BAMLC0A4CBBB!B:B,"",-1)</f>
        <v>1.66</v>
      </c>
      <c r="K988" s="2">
        <f>_xlfn.XLOOKUP(A988,CPIAUCSL!A:A,CPIAUCSL!B:B,"",-1)</f>
        <v>258.07600000000002</v>
      </c>
      <c r="L988">
        <f>_xlfn.XLOOKUP(A988,DFF!A:A,DFF!B:B,"",-1)</f>
        <v>1.0900000000000001</v>
      </c>
      <c r="M988">
        <f>_xlfn.XLOOKUP(A988,'DGS2'!A:A,'DGS2'!B:B,"",-1)</f>
        <v>0.67</v>
      </c>
      <c r="N988">
        <f t="shared" si="123"/>
        <v>-3.9999999999999925E-2</v>
      </c>
      <c r="O988">
        <f t="shared" si="124"/>
        <v>-3.3922022158894838E-2</v>
      </c>
      <c r="P988">
        <f t="shared" si="125"/>
        <v>0</v>
      </c>
      <c r="Q988">
        <f t="shared" si="126"/>
        <v>-1</v>
      </c>
    </row>
    <row r="989" spans="1:17">
      <c r="A989" s="1">
        <v>43895</v>
      </c>
      <c r="B989">
        <v>3023.94</v>
      </c>
      <c r="C989">
        <f t="shared" si="120"/>
        <v>-3.3922022158894838E-2</v>
      </c>
      <c r="D989">
        <f t="shared" si="127"/>
        <v>-2.1451477721722956E-2</v>
      </c>
      <c r="E989">
        <f>_xlfn.XLOOKUP(A989,VIX!A:A,VIX!B:B,"",-1)</f>
        <v>39.619999999999997</v>
      </c>
      <c r="F989">
        <f t="shared" si="121"/>
        <v>7.629999999999999</v>
      </c>
      <c r="G989">
        <f>_xlfn.XLOOKUP(A989,'DGS10'!A:A,'DGS10'!B:B,"",-1)</f>
        <v>0.92</v>
      </c>
      <c r="H989">
        <f t="shared" si="122"/>
        <v>-9.9999999999999978E-2</v>
      </c>
      <c r="I989" s="2">
        <f>_xlfn.XLOOKUP(A989,T10Y3M!A:A,T10Y3M!B:B,"",-1)</f>
        <v>0.3</v>
      </c>
      <c r="J989" s="2">
        <f>_xlfn.XLOOKUP(A989,BAMLC0A4CBBB!A:A,BAMLC0A4CBBB!B:B,"",-1)</f>
        <v>1.71</v>
      </c>
      <c r="K989" s="2">
        <f>_xlfn.XLOOKUP(A989,CPIAUCSL!A:A,CPIAUCSL!B:B,"",-1)</f>
        <v>258.07600000000002</v>
      </c>
      <c r="L989">
        <f>_xlfn.XLOOKUP(A989,DFF!A:A,DFF!B:B,"",-1)</f>
        <v>1.0900000000000001</v>
      </c>
      <c r="M989">
        <f>_xlfn.XLOOKUP(A989,'DGS2'!A:A,'DGS2'!B:B,"",-1)</f>
        <v>0.59</v>
      </c>
      <c r="N989">
        <f t="shared" si="123"/>
        <v>-8.0000000000000071E-2</v>
      </c>
      <c r="O989">
        <f t="shared" si="124"/>
        <v>-1.7053909799797706E-2</v>
      </c>
      <c r="P989">
        <f t="shared" si="125"/>
        <v>0</v>
      </c>
      <c r="Q989">
        <f t="shared" si="126"/>
        <v>-1</v>
      </c>
    </row>
    <row r="990" spans="1:17">
      <c r="A990" s="1">
        <v>43896</v>
      </c>
      <c r="B990">
        <v>2972.37</v>
      </c>
      <c r="C990">
        <f t="shared" si="120"/>
        <v>-1.7053909799797706E-2</v>
      </c>
      <c r="D990">
        <f t="shared" si="127"/>
        <v>-1.0321738580328144E-2</v>
      </c>
      <c r="E990">
        <f>_xlfn.XLOOKUP(A990,VIX!A:A,VIX!B:B,"",-1)</f>
        <v>41.94</v>
      </c>
      <c r="F990">
        <f t="shared" si="121"/>
        <v>2.3200000000000003</v>
      </c>
      <c r="G990">
        <f>_xlfn.XLOOKUP(A990,'DGS10'!A:A,'DGS10'!B:B,"",-1)</f>
        <v>0.74</v>
      </c>
      <c r="H990">
        <f t="shared" si="122"/>
        <v>-0.18000000000000005</v>
      </c>
      <c r="I990" s="2">
        <f>_xlfn.XLOOKUP(A990,T10Y3M!A:A,T10Y3M!B:B,"",-1)</f>
        <v>0.28999999999999998</v>
      </c>
      <c r="J990" s="2">
        <f>_xlfn.XLOOKUP(A990,BAMLC0A4CBBB!A:A,BAMLC0A4CBBB!B:B,"",-1)</f>
        <v>1.87</v>
      </c>
      <c r="K990" s="2">
        <f>_xlfn.XLOOKUP(A990,CPIAUCSL!A:A,CPIAUCSL!B:B,"",-1)</f>
        <v>258.07600000000002</v>
      </c>
      <c r="L990">
        <f>_xlfn.XLOOKUP(A990,DFF!A:A,DFF!B:B,"",-1)</f>
        <v>1.0900000000000001</v>
      </c>
      <c r="M990">
        <f>_xlfn.XLOOKUP(A990,'DGS2'!A:A,'DGS2'!B:B,"",-1)</f>
        <v>0.49</v>
      </c>
      <c r="N990">
        <f t="shared" si="123"/>
        <v>-9.9999999999999978E-2</v>
      </c>
      <c r="O990">
        <f t="shared" si="124"/>
        <v>-7.5969680759797709E-2</v>
      </c>
      <c r="P990">
        <f t="shared" si="125"/>
        <v>0</v>
      </c>
      <c r="Q990">
        <f t="shared" si="126"/>
        <v>-1</v>
      </c>
    </row>
    <row r="991" spans="1:17">
      <c r="A991" s="1">
        <v>43899</v>
      </c>
      <c r="B991">
        <v>2746.56</v>
      </c>
      <c r="C991">
        <f t="shared" si="120"/>
        <v>-7.5969680759797709E-2</v>
      </c>
      <c r="D991">
        <f t="shared" si="127"/>
        <v>-0.1225384330313215</v>
      </c>
      <c r="E991">
        <f>_xlfn.XLOOKUP(A991,VIX!A:A,VIX!B:B,"",-1)</f>
        <v>54.46</v>
      </c>
      <c r="F991">
        <f t="shared" si="121"/>
        <v>12.520000000000003</v>
      </c>
      <c r="G991">
        <f>_xlfn.XLOOKUP(A991,'DGS10'!A:A,'DGS10'!B:B,"",-1)</f>
        <v>0.54</v>
      </c>
      <c r="H991">
        <f t="shared" si="122"/>
        <v>-0.19999999999999996</v>
      </c>
      <c r="I991" s="2">
        <f>_xlfn.XLOOKUP(A991,T10Y3M!A:A,T10Y3M!B:B,"",-1)</f>
        <v>0.21</v>
      </c>
      <c r="J991" s="2">
        <f>_xlfn.XLOOKUP(A991,BAMLC0A4CBBB!A:A,BAMLC0A4CBBB!B:B,"",-1)</f>
        <v>2.37</v>
      </c>
      <c r="K991" s="2">
        <f>_xlfn.XLOOKUP(A991,CPIAUCSL!A:A,CPIAUCSL!B:B,"",-1)</f>
        <v>258.07600000000002</v>
      </c>
      <c r="L991">
        <f>_xlfn.XLOOKUP(A991,DFF!A:A,DFF!B:B,"",-1)</f>
        <v>1.0900000000000001</v>
      </c>
      <c r="M991">
        <f>_xlfn.XLOOKUP(A991,'DGS2'!A:A,'DGS2'!B:B,"",-1)</f>
        <v>0.38</v>
      </c>
      <c r="N991">
        <f t="shared" si="123"/>
        <v>-0.10999999999999999</v>
      </c>
      <c r="O991">
        <f t="shared" si="124"/>
        <v>4.9396335780030221E-2</v>
      </c>
      <c r="P991">
        <f t="shared" si="125"/>
        <v>1</v>
      </c>
      <c r="Q991">
        <f t="shared" si="126"/>
        <v>1</v>
      </c>
    </row>
    <row r="992" spans="1:17">
      <c r="A992" s="1">
        <v>43900</v>
      </c>
      <c r="B992">
        <v>2882.23</v>
      </c>
      <c r="C992">
        <f t="shared" si="120"/>
        <v>4.9396335780030221E-2</v>
      </c>
      <c r="D992">
        <f t="shared" si="127"/>
        <v>-4.686270230229439E-2</v>
      </c>
      <c r="E992">
        <f>_xlfn.XLOOKUP(A992,VIX!A:A,VIX!B:B,"",-1)</f>
        <v>47.3</v>
      </c>
      <c r="F992">
        <f t="shared" si="121"/>
        <v>-7.1600000000000037</v>
      </c>
      <c r="G992">
        <f>_xlfn.XLOOKUP(A992,'DGS10'!A:A,'DGS10'!B:B,"",-1)</f>
        <v>0.76</v>
      </c>
      <c r="H992">
        <f t="shared" si="122"/>
        <v>0.21999999999999997</v>
      </c>
      <c r="I992" s="2">
        <f>_xlfn.XLOOKUP(A992,T10Y3M!A:A,T10Y3M!B:B,"",-1)</f>
        <v>0.32</v>
      </c>
      <c r="J992" s="2">
        <f>_xlfn.XLOOKUP(A992,BAMLC0A4CBBB!A:A,BAMLC0A4CBBB!B:B,"",-1)</f>
        <v>2.37</v>
      </c>
      <c r="K992" s="2">
        <f>_xlfn.XLOOKUP(A992,CPIAUCSL!A:A,CPIAUCSL!B:B,"",-1)</f>
        <v>258.07600000000002</v>
      </c>
      <c r="L992">
        <f>_xlfn.XLOOKUP(A992,DFF!A:A,DFF!B:B,"",-1)</f>
        <v>1.0900000000000001</v>
      </c>
      <c r="M992">
        <f>_xlfn.XLOOKUP(A992,'DGS2'!A:A,'DGS2'!B:B,"",-1)</f>
        <v>0.5</v>
      </c>
      <c r="N992">
        <f t="shared" si="123"/>
        <v>0.12</v>
      </c>
      <c r="O992">
        <f t="shared" si="124"/>
        <v>-4.8868410917935035E-2</v>
      </c>
      <c r="P992">
        <f t="shared" si="125"/>
        <v>0</v>
      </c>
      <c r="Q992">
        <f t="shared" si="126"/>
        <v>-1</v>
      </c>
    </row>
    <row r="993" spans="1:17">
      <c r="A993" s="1">
        <v>43901</v>
      </c>
      <c r="B993">
        <v>2741.38</v>
      </c>
      <c r="C993">
        <f t="shared" si="120"/>
        <v>-4.8868410917935035E-2</v>
      </c>
      <c r="D993">
        <f t="shared" si="127"/>
        <v>-7.7712397850873138E-2</v>
      </c>
      <c r="E993">
        <f>_xlfn.XLOOKUP(A993,VIX!A:A,VIX!B:B,"",-1)</f>
        <v>53.9</v>
      </c>
      <c r="F993">
        <f t="shared" si="121"/>
        <v>6.6000000000000014</v>
      </c>
      <c r="G993">
        <f>_xlfn.XLOOKUP(A993,'DGS10'!A:A,'DGS10'!B:B,"",-1)</f>
        <v>0.82</v>
      </c>
      <c r="H993">
        <f t="shared" si="122"/>
        <v>5.9999999999999942E-2</v>
      </c>
      <c r="I993" s="2">
        <f>_xlfn.XLOOKUP(A993,T10Y3M!A:A,T10Y3M!B:B,"",-1)</f>
        <v>0.4</v>
      </c>
      <c r="J993" s="2">
        <f>_xlfn.XLOOKUP(A993,BAMLC0A4CBBB!A:A,BAMLC0A4CBBB!B:B,"",-1)</f>
        <v>2.4700000000000002</v>
      </c>
      <c r="K993" s="2">
        <f>_xlfn.XLOOKUP(A993,CPIAUCSL!A:A,CPIAUCSL!B:B,"",-1)</f>
        <v>258.07600000000002</v>
      </c>
      <c r="L993">
        <f>_xlfn.XLOOKUP(A993,DFF!A:A,DFF!B:B,"",-1)</f>
        <v>1.0900000000000001</v>
      </c>
      <c r="M993">
        <f>_xlfn.XLOOKUP(A993,'DGS2'!A:A,'DGS2'!B:B,"",-1)</f>
        <v>0.5</v>
      </c>
      <c r="N993">
        <f t="shared" si="123"/>
        <v>0</v>
      </c>
      <c r="O993">
        <f t="shared" si="124"/>
        <v>-9.5112680474797484E-2</v>
      </c>
      <c r="P993">
        <f t="shared" si="125"/>
        <v>0</v>
      </c>
      <c r="Q993">
        <f t="shared" si="126"/>
        <v>-1</v>
      </c>
    </row>
    <row r="994" spans="1:17">
      <c r="A994" s="1">
        <v>43902</v>
      </c>
      <c r="B994">
        <v>2480.64</v>
      </c>
      <c r="C994">
        <f t="shared" si="120"/>
        <v>-9.5112680474797484E-2</v>
      </c>
      <c r="D994">
        <f t="shared" si="127"/>
        <v>-9.6819293953163243E-2</v>
      </c>
      <c r="E994">
        <f>_xlfn.XLOOKUP(A994,VIX!A:A,VIX!B:B,"",-1)</f>
        <v>75.47</v>
      </c>
      <c r="F994">
        <f t="shared" si="121"/>
        <v>21.57</v>
      </c>
      <c r="G994">
        <f>_xlfn.XLOOKUP(A994,'DGS10'!A:A,'DGS10'!B:B,"",-1)</f>
        <v>0.88</v>
      </c>
      <c r="H994">
        <f t="shared" si="122"/>
        <v>6.0000000000000053E-2</v>
      </c>
      <c r="I994" s="2">
        <f>_xlfn.XLOOKUP(A994,T10Y3M!A:A,T10Y3M!B:B,"",-1)</f>
        <v>0.55000000000000004</v>
      </c>
      <c r="J994" s="2">
        <f>_xlfn.XLOOKUP(A994,BAMLC0A4CBBB!A:A,BAMLC0A4CBBB!B:B,"",-1)</f>
        <v>2.77</v>
      </c>
      <c r="K994" s="2">
        <f>_xlfn.XLOOKUP(A994,CPIAUCSL!A:A,CPIAUCSL!B:B,"",-1)</f>
        <v>258.07600000000002</v>
      </c>
      <c r="L994">
        <f>_xlfn.XLOOKUP(A994,DFF!A:A,DFF!B:B,"",-1)</f>
        <v>1.1000000000000001</v>
      </c>
      <c r="M994">
        <f>_xlfn.XLOOKUP(A994,'DGS2'!A:A,'DGS2'!B:B,"",-1)</f>
        <v>0.5</v>
      </c>
      <c r="N994">
        <f t="shared" si="123"/>
        <v>0</v>
      </c>
      <c r="O994">
        <f t="shared" si="124"/>
        <v>9.2871194530443901E-2</v>
      </c>
      <c r="P994">
        <f t="shared" si="125"/>
        <v>1</v>
      </c>
      <c r="Q994">
        <f t="shared" si="126"/>
        <v>1</v>
      </c>
    </row>
    <row r="995" spans="1:17">
      <c r="A995" s="1">
        <v>43903</v>
      </c>
      <c r="B995">
        <v>2711.02</v>
      </c>
      <c r="C995">
        <f t="shared" si="120"/>
        <v>9.2871194530443901E-2</v>
      </c>
      <c r="D995">
        <f t="shared" si="127"/>
        <v>-5.9401921428893667E-2</v>
      </c>
      <c r="E995">
        <f>_xlfn.XLOOKUP(A995,VIX!A:A,VIX!B:B,"",-1)</f>
        <v>57.83</v>
      </c>
      <c r="F995">
        <f t="shared" si="121"/>
        <v>-17.64</v>
      </c>
      <c r="G995">
        <f>_xlfn.XLOOKUP(A995,'DGS10'!A:A,'DGS10'!B:B,"",-1)</f>
        <v>0.94</v>
      </c>
      <c r="H995">
        <f t="shared" si="122"/>
        <v>5.9999999999999942E-2</v>
      </c>
      <c r="I995" s="2">
        <f>_xlfn.XLOOKUP(A995,T10Y3M!A:A,T10Y3M!B:B,"",-1)</f>
        <v>0.66</v>
      </c>
      <c r="J995" s="2">
        <f>_xlfn.XLOOKUP(A995,BAMLC0A4CBBB!A:A,BAMLC0A4CBBB!B:B,"",-1)</f>
        <v>2.84</v>
      </c>
      <c r="K995" s="2">
        <f>_xlfn.XLOOKUP(A995,CPIAUCSL!A:A,CPIAUCSL!B:B,"",-1)</f>
        <v>258.07600000000002</v>
      </c>
      <c r="L995">
        <f>_xlfn.XLOOKUP(A995,DFF!A:A,DFF!B:B,"",-1)</f>
        <v>1.1000000000000001</v>
      </c>
      <c r="M995">
        <f>_xlfn.XLOOKUP(A995,'DGS2'!A:A,'DGS2'!B:B,"",-1)</f>
        <v>0.49</v>
      </c>
      <c r="N995">
        <f t="shared" si="123"/>
        <v>-1.0000000000000009E-2</v>
      </c>
      <c r="O995">
        <f t="shared" si="124"/>
        <v>-0.11984050283657066</v>
      </c>
      <c r="P995">
        <f t="shared" si="125"/>
        <v>0</v>
      </c>
      <c r="Q995">
        <f t="shared" si="126"/>
        <v>-1</v>
      </c>
    </row>
    <row r="996" spans="1:17">
      <c r="A996" s="1">
        <v>43906</v>
      </c>
      <c r="B996">
        <v>2386.13</v>
      </c>
      <c r="C996">
        <f t="shared" si="120"/>
        <v>-0.11984050283657066</v>
      </c>
      <c r="D996">
        <f t="shared" si="127"/>
        <v>-0.12958801771370621</v>
      </c>
      <c r="E996">
        <f>_xlfn.XLOOKUP(A996,VIX!A:A,VIX!B:B,"",-1)</f>
        <v>82.69</v>
      </c>
      <c r="F996">
        <f t="shared" si="121"/>
        <v>24.86</v>
      </c>
      <c r="G996">
        <f>_xlfn.XLOOKUP(A996,'DGS10'!A:A,'DGS10'!B:B,"",-1)</f>
        <v>0.73</v>
      </c>
      <c r="H996">
        <f t="shared" si="122"/>
        <v>-0.20999999999999996</v>
      </c>
      <c r="I996" s="2">
        <f>_xlfn.XLOOKUP(A996,T10Y3M!A:A,T10Y3M!B:B,"",-1)</f>
        <v>0.49</v>
      </c>
      <c r="J996" s="2">
        <f>_xlfn.XLOOKUP(A996,BAMLC0A4CBBB!A:A,BAMLC0A4CBBB!B:B,"",-1)</f>
        <v>3.13</v>
      </c>
      <c r="K996" s="2">
        <f>_xlfn.XLOOKUP(A996,CPIAUCSL!A:A,CPIAUCSL!B:B,"",-1)</f>
        <v>258.07600000000002</v>
      </c>
      <c r="L996">
        <f>_xlfn.XLOOKUP(A996,DFF!A:A,DFF!B:B,"",-1)</f>
        <v>0.25</v>
      </c>
      <c r="M996">
        <f>_xlfn.XLOOKUP(A996,'DGS2'!A:A,'DGS2'!B:B,"",-1)</f>
        <v>0.36</v>
      </c>
      <c r="N996">
        <f t="shared" si="123"/>
        <v>-0.13</v>
      </c>
      <c r="O996">
        <f t="shared" si="124"/>
        <v>5.9954822243549089E-2</v>
      </c>
      <c r="P996">
        <f t="shared" si="125"/>
        <v>1</v>
      </c>
      <c r="Q996">
        <f t="shared" si="126"/>
        <v>1</v>
      </c>
    </row>
    <row r="997" spans="1:17">
      <c r="A997" s="1">
        <v>43907</v>
      </c>
      <c r="B997">
        <v>2529.19</v>
      </c>
      <c r="C997">
        <f t="shared" si="120"/>
        <v>5.9954822243549089E-2</v>
      </c>
      <c r="D997">
        <f t="shared" si="127"/>
        <v>1.9571562177502555E-2</v>
      </c>
      <c r="E997">
        <f>_xlfn.XLOOKUP(A997,VIX!A:A,VIX!B:B,"",-1)</f>
        <v>75.91</v>
      </c>
      <c r="F997">
        <f t="shared" si="121"/>
        <v>-6.7800000000000011</v>
      </c>
      <c r="G997">
        <f>_xlfn.XLOOKUP(A997,'DGS10'!A:A,'DGS10'!B:B,"",-1)</f>
        <v>1.02</v>
      </c>
      <c r="H997">
        <f t="shared" si="122"/>
        <v>0.29000000000000004</v>
      </c>
      <c r="I997" s="2">
        <f>_xlfn.XLOOKUP(A997,T10Y3M!A:A,T10Y3M!B:B,"",-1)</f>
        <v>0.83</v>
      </c>
      <c r="J997" s="2">
        <f>_xlfn.XLOOKUP(A997,BAMLC0A4CBBB!A:A,BAMLC0A4CBBB!B:B,"",-1)</f>
        <v>3.34</v>
      </c>
      <c r="K997" s="2">
        <f>_xlfn.XLOOKUP(A997,CPIAUCSL!A:A,CPIAUCSL!B:B,"",-1)</f>
        <v>258.07600000000002</v>
      </c>
      <c r="L997">
        <f>_xlfn.XLOOKUP(A997,DFF!A:A,DFF!B:B,"",-1)</f>
        <v>0.25</v>
      </c>
      <c r="M997">
        <f>_xlfn.XLOOKUP(A997,'DGS2'!A:A,'DGS2'!B:B,"",-1)</f>
        <v>0.47</v>
      </c>
      <c r="N997">
        <f t="shared" si="123"/>
        <v>0.10999999999999999</v>
      </c>
      <c r="O997">
        <f t="shared" si="124"/>
        <v>-5.1830823307066787E-2</v>
      </c>
      <c r="P997">
        <f t="shared" si="125"/>
        <v>0</v>
      </c>
      <c r="Q997">
        <f t="shared" si="126"/>
        <v>-1</v>
      </c>
    </row>
    <row r="998" spans="1:17">
      <c r="A998" s="1">
        <v>43908</v>
      </c>
      <c r="B998">
        <v>2398.1</v>
      </c>
      <c r="C998">
        <f t="shared" si="120"/>
        <v>-5.1830823307066787E-2</v>
      </c>
      <c r="D998">
        <f t="shared" si="127"/>
        <v>-0.11542519051869782</v>
      </c>
      <c r="E998">
        <f>_xlfn.XLOOKUP(A998,VIX!A:A,VIX!B:B,"",-1)</f>
        <v>76.45</v>
      </c>
      <c r="F998">
        <f t="shared" si="121"/>
        <v>0.54000000000000625</v>
      </c>
      <c r="G998">
        <f>_xlfn.XLOOKUP(A998,'DGS10'!A:A,'DGS10'!B:B,"",-1)</f>
        <v>1.18</v>
      </c>
      <c r="H998">
        <f t="shared" si="122"/>
        <v>0.15999999999999992</v>
      </c>
      <c r="I998" s="2">
        <f>_xlfn.XLOOKUP(A998,T10Y3M!A:A,T10Y3M!B:B,"",-1)</f>
        <v>1.1599999999999999</v>
      </c>
      <c r="J998" s="2">
        <f>_xlfn.XLOOKUP(A998,BAMLC0A4CBBB!A:A,BAMLC0A4CBBB!B:B,"",-1)</f>
        <v>3.68</v>
      </c>
      <c r="K998" s="2">
        <f>_xlfn.XLOOKUP(A998,CPIAUCSL!A:A,CPIAUCSL!B:B,"",-1)</f>
        <v>258.07600000000002</v>
      </c>
      <c r="L998">
        <f>_xlfn.XLOOKUP(A998,DFF!A:A,DFF!B:B,"",-1)</f>
        <v>0.25</v>
      </c>
      <c r="M998">
        <f>_xlfn.XLOOKUP(A998,'DGS2'!A:A,'DGS2'!B:B,"",-1)</f>
        <v>0.54</v>
      </c>
      <c r="N998">
        <f t="shared" si="123"/>
        <v>7.0000000000000062E-2</v>
      </c>
      <c r="O998">
        <f t="shared" si="124"/>
        <v>4.707893749218206E-3</v>
      </c>
      <c r="P998">
        <f t="shared" si="125"/>
        <v>1</v>
      </c>
      <c r="Q998">
        <f t="shared" si="126"/>
        <v>1</v>
      </c>
    </row>
    <row r="999" spans="1:17">
      <c r="A999" s="1">
        <v>43909</v>
      </c>
      <c r="B999">
        <v>2409.39</v>
      </c>
      <c r="C999">
        <f t="shared" si="120"/>
        <v>4.707893749218206E-3</v>
      </c>
      <c r="D999">
        <f t="shared" si="127"/>
        <v>9.7480019948619212E-3</v>
      </c>
      <c r="E999">
        <f>_xlfn.XLOOKUP(A999,VIX!A:A,VIX!B:B,"",-1)</f>
        <v>72</v>
      </c>
      <c r="F999">
        <f t="shared" si="121"/>
        <v>-4.4500000000000028</v>
      </c>
      <c r="G999">
        <f>_xlfn.XLOOKUP(A999,'DGS10'!A:A,'DGS10'!B:B,"",-1)</f>
        <v>1.1200000000000001</v>
      </c>
      <c r="H999">
        <f t="shared" si="122"/>
        <v>-5.9999999999999831E-2</v>
      </c>
      <c r="I999" s="2">
        <f>_xlfn.XLOOKUP(A999,T10Y3M!A:A,T10Y3M!B:B,"",-1)</f>
        <v>1.08</v>
      </c>
      <c r="J999" s="2">
        <f>_xlfn.XLOOKUP(A999,BAMLC0A4CBBB!A:A,BAMLC0A4CBBB!B:B,"",-1)</f>
        <v>4.25</v>
      </c>
      <c r="K999" s="2">
        <f>_xlfn.XLOOKUP(A999,CPIAUCSL!A:A,CPIAUCSL!B:B,"",-1)</f>
        <v>258.07600000000002</v>
      </c>
      <c r="L999">
        <f>_xlfn.XLOOKUP(A999,DFF!A:A,DFF!B:B,"",-1)</f>
        <v>0.2</v>
      </c>
      <c r="M999">
        <f>_xlfn.XLOOKUP(A999,'DGS2'!A:A,'DGS2'!B:B,"",-1)</f>
        <v>0.44</v>
      </c>
      <c r="N999">
        <f t="shared" si="123"/>
        <v>-0.10000000000000003</v>
      </c>
      <c r="O999">
        <f t="shared" si="124"/>
        <v>-4.3359522534749395E-2</v>
      </c>
      <c r="P999">
        <f t="shared" si="125"/>
        <v>0</v>
      </c>
      <c r="Q999">
        <f t="shared" si="126"/>
        <v>-1</v>
      </c>
    </row>
    <row r="1000" spans="1:17">
      <c r="A1000" s="1">
        <v>43910</v>
      </c>
      <c r="B1000">
        <v>2304.92</v>
      </c>
      <c r="C1000">
        <f t="shared" si="120"/>
        <v>-4.3359522534749395E-2</v>
      </c>
      <c r="D1000">
        <f t="shared" si="127"/>
        <v>-8.8672658044670394E-2</v>
      </c>
      <c r="E1000">
        <f>_xlfn.XLOOKUP(A1000,VIX!A:A,VIX!B:B,"",-1)</f>
        <v>66.040000000000006</v>
      </c>
      <c r="F1000">
        <f t="shared" si="121"/>
        <v>-5.9599999999999937</v>
      </c>
      <c r="G1000">
        <f>_xlfn.XLOOKUP(A1000,'DGS10'!A:A,'DGS10'!B:B,"",-1)</f>
        <v>0.92</v>
      </c>
      <c r="H1000">
        <f t="shared" si="122"/>
        <v>-0.20000000000000007</v>
      </c>
      <c r="I1000" s="2">
        <f>_xlfn.XLOOKUP(A1000,T10Y3M!A:A,T10Y3M!B:B,"",-1)</f>
        <v>0.87</v>
      </c>
      <c r="J1000" s="2">
        <f>_xlfn.XLOOKUP(A1000,BAMLC0A4CBBB!A:A,BAMLC0A4CBBB!B:B,"",-1)</f>
        <v>4.6500000000000004</v>
      </c>
      <c r="K1000" s="2">
        <f>_xlfn.XLOOKUP(A1000,CPIAUCSL!A:A,CPIAUCSL!B:B,"",-1)</f>
        <v>258.07600000000002</v>
      </c>
      <c r="L1000">
        <f>_xlfn.XLOOKUP(A1000,DFF!A:A,DFF!B:B,"",-1)</f>
        <v>0.15</v>
      </c>
      <c r="M1000">
        <f>_xlfn.XLOOKUP(A1000,'DGS2'!A:A,'DGS2'!B:B,"",-1)</f>
        <v>0.37</v>
      </c>
      <c r="N1000">
        <f t="shared" si="123"/>
        <v>-7.0000000000000007E-2</v>
      </c>
      <c r="O1000">
        <f t="shared" si="124"/>
        <v>-2.9293858355170621E-2</v>
      </c>
      <c r="P1000">
        <f t="shared" si="125"/>
        <v>0</v>
      </c>
      <c r="Q1000">
        <f t="shared" si="126"/>
        <v>-1</v>
      </c>
    </row>
    <row r="1001" spans="1:17">
      <c r="A1001" s="1">
        <v>43913</v>
      </c>
      <c r="B1001">
        <v>2237.4</v>
      </c>
      <c r="C1001">
        <f t="shared" si="120"/>
        <v>-2.9293858355170621E-2</v>
      </c>
      <c r="D1001">
        <f t="shared" si="127"/>
        <v>-6.7011384012343078E-2</v>
      </c>
      <c r="E1001">
        <f>_xlfn.XLOOKUP(A1001,VIX!A:A,VIX!B:B,"",-1)</f>
        <v>61.59</v>
      </c>
      <c r="F1001">
        <f t="shared" si="121"/>
        <v>-4.4500000000000028</v>
      </c>
      <c r="G1001">
        <f>_xlfn.XLOOKUP(A1001,'DGS10'!A:A,'DGS10'!B:B,"",-1)</f>
        <v>0.76</v>
      </c>
      <c r="H1001">
        <f t="shared" si="122"/>
        <v>-0.16000000000000003</v>
      </c>
      <c r="I1001" s="2">
        <f>_xlfn.XLOOKUP(A1001,T10Y3M!A:A,T10Y3M!B:B,"",-1)</f>
        <v>0.74</v>
      </c>
      <c r="J1001" s="2">
        <f>_xlfn.XLOOKUP(A1001,BAMLC0A4CBBB!A:A,BAMLC0A4CBBB!B:B,"",-1)</f>
        <v>4.88</v>
      </c>
      <c r="K1001" s="2">
        <f>_xlfn.XLOOKUP(A1001,CPIAUCSL!A:A,CPIAUCSL!B:B,"",-1)</f>
        <v>258.07600000000002</v>
      </c>
      <c r="L1001">
        <f>_xlfn.XLOOKUP(A1001,DFF!A:A,DFF!B:B,"",-1)</f>
        <v>0.15</v>
      </c>
      <c r="M1001">
        <f>_xlfn.XLOOKUP(A1001,'DGS2'!A:A,'DGS2'!B:B,"",-1)</f>
        <v>0.28000000000000003</v>
      </c>
      <c r="N1001">
        <f t="shared" si="123"/>
        <v>-8.9999999999999969E-2</v>
      </c>
      <c r="O1001">
        <f t="shared" si="124"/>
        <v>9.3827657101993367E-2</v>
      </c>
      <c r="P1001">
        <f t="shared" si="125"/>
        <v>1</v>
      </c>
      <c r="Q1001">
        <f t="shared" si="126"/>
        <v>1</v>
      </c>
    </row>
    <row r="1002" spans="1:17">
      <c r="A1002" s="1">
        <v>43914</v>
      </c>
      <c r="B1002">
        <v>2447.33</v>
      </c>
      <c r="C1002">
        <f t="shared" si="120"/>
        <v>9.3827657101993367E-2</v>
      </c>
      <c r="D1002">
        <f t="shared" si="127"/>
        <v>1.5746724274608992E-2</v>
      </c>
      <c r="E1002">
        <f>_xlfn.XLOOKUP(A1002,VIX!A:A,VIX!B:B,"",-1)</f>
        <v>61.67</v>
      </c>
      <c r="F1002">
        <f t="shared" si="121"/>
        <v>7.9999999999998295E-2</v>
      </c>
      <c r="G1002">
        <f>_xlfn.XLOOKUP(A1002,'DGS10'!A:A,'DGS10'!B:B,"",-1)</f>
        <v>0.84</v>
      </c>
      <c r="H1002">
        <f t="shared" si="122"/>
        <v>7.999999999999996E-2</v>
      </c>
      <c r="I1002" s="2">
        <f>_xlfn.XLOOKUP(A1002,T10Y3M!A:A,T10Y3M!B:B,"",-1)</f>
        <v>0.83</v>
      </c>
      <c r="J1002" s="2">
        <f>_xlfn.XLOOKUP(A1002,BAMLC0A4CBBB!A:A,BAMLC0A4CBBB!B:B,"",-1)</f>
        <v>4.74</v>
      </c>
      <c r="K1002" s="2">
        <f>_xlfn.XLOOKUP(A1002,CPIAUCSL!A:A,CPIAUCSL!B:B,"",-1)</f>
        <v>258.07600000000002</v>
      </c>
      <c r="L1002">
        <f>_xlfn.XLOOKUP(A1002,DFF!A:A,DFF!B:B,"",-1)</f>
        <v>0.12</v>
      </c>
      <c r="M1002">
        <f>_xlfn.XLOOKUP(A1002,'DGS2'!A:A,'DGS2'!B:B,"",-1)</f>
        <v>0.38</v>
      </c>
      <c r="N1002">
        <f t="shared" si="123"/>
        <v>9.9999999999999978E-2</v>
      </c>
      <c r="O1002">
        <f t="shared" si="124"/>
        <v>1.1535019797084933E-2</v>
      </c>
      <c r="P1002">
        <f t="shared" si="125"/>
        <v>1</v>
      </c>
      <c r="Q1002">
        <f t="shared" si="126"/>
        <v>1</v>
      </c>
    </row>
    <row r="1003" spans="1:17">
      <c r="A1003" s="1">
        <v>43915</v>
      </c>
      <c r="B1003">
        <v>2475.56</v>
      </c>
      <c r="C1003">
        <f t="shared" si="120"/>
        <v>1.1535019797084933E-2</v>
      </c>
      <c r="D1003">
        <f t="shared" si="127"/>
        <v>7.4032938236467949E-2</v>
      </c>
      <c r="E1003">
        <f>_xlfn.XLOOKUP(A1003,VIX!A:A,VIX!B:B,"",-1)</f>
        <v>63.95</v>
      </c>
      <c r="F1003">
        <f t="shared" si="121"/>
        <v>2.2800000000000011</v>
      </c>
      <c r="G1003">
        <f>_xlfn.XLOOKUP(A1003,'DGS10'!A:A,'DGS10'!B:B,"",-1)</f>
        <v>0.88</v>
      </c>
      <c r="H1003">
        <f t="shared" si="122"/>
        <v>4.0000000000000036E-2</v>
      </c>
      <c r="I1003" s="2">
        <f>_xlfn.XLOOKUP(A1003,T10Y3M!A:A,T10Y3M!B:B,"",-1)</f>
        <v>0.88</v>
      </c>
      <c r="J1003" s="2">
        <f>_xlfn.XLOOKUP(A1003,BAMLC0A4CBBB!A:A,BAMLC0A4CBBB!B:B,"",-1)</f>
        <v>4.4800000000000004</v>
      </c>
      <c r="K1003" s="2">
        <f>_xlfn.XLOOKUP(A1003,CPIAUCSL!A:A,CPIAUCSL!B:B,"",-1)</f>
        <v>258.07600000000002</v>
      </c>
      <c r="L1003">
        <f>_xlfn.XLOOKUP(A1003,DFF!A:A,DFF!B:B,"",-1)</f>
        <v>0.1</v>
      </c>
      <c r="M1003">
        <f>_xlfn.XLOOKUP(A1003,'DGS2'!A:A,'DGS2'!B:B,"",-1)</f>
        <v>0.34</v>
      </c>
      <c r="N1003">
        <f t="shared" si="123"/>
        <v>-3.999999999999998E-2</v>
      </c>
      <c r="O1003">
        <f t="shared" si="124"/>
        <v>6.2414160836336219E-2</v>
      </c>
      <c r="P1003">
        <f t="shared" si="125"/>
        <v>1</v>
      </c>
      <c r="Q1003">
        <f t="shared" si="126"/>
        <v>1</v>
      </c>
    </row>
    <row r="1004" spans="1:17">
      <c r="A1004" s="1">
        <v>43916</v>
      </c>
      <c r="B1004">
        <v>2630.07</v>
      </c>
      <c r="C1004">
        <f t="shared" si="120"/>
        <v>6.2414160836336219E-2</v>
      </c>
      <c r="D1004">
        <f t="shared" si="127"/>
        <v>0.17550281576830251</v>
      </c>
      <c r="E1004">
        <f>_xlfn.XLOOKUP(A1004,VIX!A:A,VIX!B:B,"",-1)</f>
        <v>61</v>
      </c>
      <c r="F1004">
        <f t="shared" si="121"/>
        <v>-2.9500000000000028</v>
      </c>
      <c r="G1004">
        <f>_xlfn.XLOOKUP(A1004,'DGS10'!A:A,'DGS10'!B:B,"",-1)</f>
        <v>0.83</v>
      </c>
      <c r="H1004">
        <f t="shared" si="122"/>
        <v>-5.0000000000000044E-2</v>
      </c>
      <c r="I1004" s="2">
        <f>_xlfn.XLOOKUP(A1004,T10Y3M!A:A,T10Y3M!B:B,"",-1)</f>
        <v>0.83</v>
      </c>
      <c r="J1004" s="2">
        <f>_xlfn.XLOOKUP(A1004,BAMLC0A4CBBB!A:A,BAMLC0A4CBBB!B:B,"",-1)</f>
        <v>4.24</v>
      </c>
      <c r="K1004" s="2">
        <f>_xlfn.XLOOKUP(A1004,CPIAUCSL!A:A,CPIAUCSL!B:B,"",-1)</f>
        <v>258.07600000000002</v>
      </c>
      <c r="L1004">
        <f>_xlfn.XLOOKUP(A1004,DFF!A:A,DFF!B:B,"",-1)</f>
        <v>0.1</v>
      </c>
      <c r="M1004">
        <f>_xlfn.XLOOKUP(A1004,'DGS2'!A:A,'DGS2'!B:B,"",-1)</f>
        <v>0.3</v>
      </c>
      <c r="N1004">
        <f t="shared" si="123"/>
        <v>-4.0000000000000036E-2</v>
      </c>
      <c r="O1004">
        <f t="shared" si="124"/>
        <v>-3.36873163071707E-2</v>
      </c>
      <c r="P1004">
        <f t="shared" si="125"/>
        <v>0</v>
      </c>
      <c r="Q1004">
        <f t="shared" si="126"/>
        <v>-1</v>
      </c>
    </row>
    <row r="1005" spans="1:17">
      <c r="A1005" s="1">
        <v>43917</v>
      </c>
      <c r="B1005">
        <v>2541.4699999999998</v>
      </c>
      <c r="C1005">
        <f t="shared" si="120"/>
        <v>-3.36873163071707E-2</v>
      </c>
      <c r="D1005">
        <f t="shared" si="127"/>
        <v>3.846641033289333E-2</v>
      </c>
      <c r="E1005">
        <f>_xlfn.XLOOKUP(A1005,VIX!A:A,VIX!B:B,"",-1)</f>
        <v>65.540000000000006</v>
      </c>
      <c r="F1005">
        <f t="shared" si="121"/>
        <v>4.5400000000000063</v>
      </c>
      <c r="G1005">
        <f>_xlfn.XLOOKUP(A1005,'DGS10'!A:A,'DGS10'!B:B,"",-1)</f>
        <v>0.72</v>
      </c>
      <c r="H1005">
        <f t="shared" si="122"/>
        <v>-0.10999999999999999</v>
      </c>
      <c r="I1005" s="2">
        <f>_xlfn.XLOOKUP(A1005,T10Y3M!A:A,T10Y3M!B:B,"",-1)</f>
        <v>0.69</v>
      </c>
      <c r="J1005" s="2">
        <f>_xlfn.XLOOKUP(A1005,BAMLC0A4CBBB!A:A,BAMLC0A4CBBB!B:B,"",-1)</f>
        <v>4.1399999999999997</v>
      </c>
      <c r="K1005" s="2">
        <f>_xlfn.XLOOKUP(A1005,CPIAUCSL!A:A,CPIAUCSL!B:B,"",-1)</f>
        <v>258.07600000000002</v>
      </c>
      <c r="L1005">
        <f>_xlfn.XLOOKUP(A1005,DFF!A:A,DFF!B:B,"",-1)</f>
        <v>0.1</v>
      </c>
      <c r="M1005">
        <f>_xlfn.XLOOKUP(A1005,'DGS2'!A:A,'DGS2'!B:B,"",-1)</f>
        <v>0.25</v>
      </c>
      <c r="N1005">
        <f t="shared" si="123"/>
        <v>-4.9999999999999989E-2</v>
      </c>
      <c r="O1005">
        <f t="shared" si="124"/>
        <v>3.3516035994916482E-2</v>
      </c>
      <c r="P1005">
        <f t="shared" si="125"/>
        <v>1</v>
      </c>
      <c r="Q1005">
        <f t="shared" si="126"/>
        <v>1</v>
      </c>
    </row>
    <row r="1006" spans="1:17">
      <c r="A1006" s="1">
        <v>43920</v>
      </c>
      <c r="B1006">
        <v>2626.65</v>
      </c>
      <c r="C1006">
        <f t="shared" si="120"/>
        <v>3.3516035994916482E-2</v>
      </c>
      <c r="D1006">
        <f t="shared" si="127"/>
        <v>6.1032655237602818E-2</v>
      </c>
      <c r="E1006">
        <f>_xlfn.XLOOKUP(A1006,VIX!A:A,VIX!B:B,"",-1)</f>
        <v>57.08</v>
      </c>
      <c r="F1006">
        <f t="shared" si="121"/>
        <v>-8.460000000000008</v>
      </c>
      <c r="G1006">
        <f>_xlfn.XLOOKUP(A1006,'DGS10'!A:A,'DGS10'!B:B,"",-1)</f>
        <v>0.7</v>
      </c>
      <c r="H1006">
        <f t="shared" si="122"/>
        <v>-2.0000000000000018E-2</v>
      </c>
      <c r="I1006" s="2">
        <f>_xlfn.XLOOKUP(A1006,T10Y3M!A:A,T10Y3M!B:B,"",-1)</f>
        <v>0.57999999999999996</v>
      </c>
      <c r="J1006" s="2">
        <f>_xlfn.XLOOKUP(A1006,BAMLC0A4CBBB!A:A,BAMLC0A4CBBB!B:B,"",-1)</f>
        <v>4.05</v>
      </c>
      <c r="K1006" s="2">
        <f>_xlfn.XLOOKUP(A1006,CPIAUCSL!A:A,CPIAUCSL!B:B,"",-1)</f>
        <v>258.07600000000002</v>
      </c>
      <c r="L1006">
        <f>_xlfn.XLOOKUP(A1006,DFF!A:A,DFF!B:B,"",-1)</f>
        <v>0.09</v>
      </c>
      <c r="M1006">
        <f>_xlfn.XLOOKUP(A1006,'DGS2'!A:A,'DGS2'!B:B,"",-1)</f>
        <v>0.23</v>
      </c>
      <c r="N1006">
        <f t="shared" si="123"/>
        <v>-1.999999999999999E-2</v>
      </c>
      <c r="O1006">
        <f t="shared" si="124"/>
        <v>-1.60127919593398E-2</v>
      </c>
      <c r="P1006">
        <f t="shared" si="125"/>
        <v>0</v>
      </c>
      <c r="Q1006">
        <f t="shared" si="126"/>
        <v>-1</v>
      </c>
    </row>
    <row r="1007" spans="1:17">
      <c r="A1007" s="1">
        <v>43921</v>
      </c>
      <c r="B1007">
        <v>2584.59</v>
      </c>
      <c r="C1007">
        <f t="shared" si="120"/>
        <v>-1.60127919593398E-2</v>
      </c>
      <c r="D1007">
        <f t="shared" si="127"/>
        <v>-1.7292315413658166E-2</v>
      </c>
      <c r="E1007">
        <f>_xlfn.XLOOKUP(A1007,VIX!A:A,VIX!B:B,"",-1)</f>
        <v>53.54</v>
      </c>
      <c r="F1007">
        <f t="shared" si="121"/>
        <v>-3.5399999999999991</v>
      </c>
      <c r="G1007">
        <f>_xlfn.XLOOKUP(A1007,'DGS10'!A:A,'DGS10'!B:B,"",-1)</f>
        <v>0.7</v>
      </c>
      <c r="H1007">
        <f t="shared" si="122"/>
        <v>0</v>
      </c>
      <c r="I1007" s="2">
        <f>_xlfn.XLOOKUP(A1007,T10Y3M!A:A,T10Y3M!B:B,"",-1)</f>
        <v>0.59</v>
      </c>
      <c r="J1007" s="2">
        <f>_xlfn.XLOOKUP(A1007,BAMLC0A4CBBB!A:A,BAMLC0A4CBBB!B:B,"",-1)</f>
        <v>3.96</v>
      </c>
      <c r="K1007" s="2">
        <f>_xlfn.XLOOKUP(A1007,CPIAUCSL!A:A,CPIAUCSL!B:B,"",-1)</f>
        <v>258.07600000000002</v>
      </c>
      <c r="L1007">
        <f>_xlfn.XLOOKUP(A1007,DFF!A:A,DFF!B:B,"",-1)</f>
        <v>0.08</v>
      </c>
      <c r="M1007">
        <f>_xlfn.XLOOKUP(A1007,'DGS2'!A:A,'DGS2'!B:B,"",-1)</f>
        <v>0.23</v>
      </c>
      <c r="N1007">
        <f t="shared" si="123"/>
        <v>0</v>
      </c>
      <c r="O1007">
        <f t="shared" si="124"/>
        <v>-4.4142397827121593E-2</v>
      </c>
      <c r="P1007">
        <f t="shared" si="125"/>
        <v>0</v>
      </c>
      <c r="Q1007">
        <f t="shared" si="126"/>
        <v>-1</v>
      </c>
    </row>
    <row r="1008" spans="1:17">
      <c r="A1008" s="1">
        <v>43922</v>
      </c>
      <c r="B1008">
        <v>2470.5</v>
      </c>
      <c r="C1008">
        <f t="shared" si="120"/>
        <v>-4.4142397827121593E-2</v>
      </c>
      <c r="D1008">
        <f t="shared" si="127"/>
        <v>-2.792478368818041E-2</v>
      </c>
      <c r="E1008">
        <f>_xlfn.XLOOKUP(A1008,VIX!A:A,VIX!B:B,"",-1)</f>
        <v>57.06</v>
      </c>
      <c r="F1008">
        <f t="shared" si="121"/>
        <v>3.5200000000000031</v>
      </c>
      <c r="G1008">
        <f>_xlfn.XLOOKUP(A1008,'DGS10'!A:A,'DGS10'!B:B,"",-1)</f>
        <v>0.62</v>
      </c>
      <c r="H1008">
        <f t="shared" si="122"/>
        <v>-7.999999999999996E-2</v>
      </c>
      <c r="I1008" s="2">
        <f>_xlfn.XLOOKUP(A1008,T10Y3M!A:A,T10Y3M!B:B,"",-1)</f>
        <v>0.53</v>
      </c>
      <c r="J1008" s="2">
        <f>_xlfn.XLOOKUP(A1008,BAMLC0A4CBBB!A:A,BAMLC0A4CBBB!B:B,"",-1)</f>
        <v>3.98</v>
      </c>
      <c r="K1008" s="2">
        <f>_xlfn.XLOOKUP(A1008,CPIAUCSL!A:A,CPIAUCSL!B:B,"",-1)</f>
        <v>256.03199999999998</v>
      </c>
      <c r="L1008">
        <f>_xlfn.XLOOKUP(A1008,DFF!A:A,DFF!B:B,"",-1)</f>
        <v>0.06</v>
      </c>
      <c r="M1008">
        <f>_xlfn.XLOOKUP(A1008,'DGS2'!A:A,'DGS2'!B:B,"",-1)</f>
        <v>0.23</v>
      </c>
      <c r="N1008">
        <f t="shared" si="123"/>
        <v>0</v>
      </c>
      <c r="O1008">
        <f t="shared" si="124"/>
        <v>2.2829386763812964E-2</v>
      </c>
      <c r="P1008">
        <f t="shared" si="125"/>
        <v>1</v>
      </c>
      <c r="Q1008">
        <f t="shared" si="126"/>
        <v>1</v>
      </c>
    </row>
    <row r="1009" spans="1:17">
      <c r="A1009" s="1">
        <v>43923</v>
      </c>
      <c r="B1009">
        <v>2526.9</v>
      </c>
      <c r="C1009">
        <f t="shared" si="120"/>
        <v>2.2829386763812964E-2</v>
      </c>
      <c r="D1009">
        <f t="shared" si="127"/>
        <v>-3.7976129290160476E-2</v>
      </c>
      <c r="E1009">
        <f>_xlfn.XLOOKUP(A1009,VIX!A:A,VIX!B:B,"",-1)</f>
        <v>50.91</v>
      </c>
      <c r="F1009">
        <f t="shared" si="121"/>
        <v>-6.1500000000000057</v>
      </c>
      <c r="G1009">
        <f>_xlfn.XLOOKUP(A1009,'DGS10'!A:A,'DGS10'!B:B,"",-1)</f>
        <v>0.63</v>
      </c>
      <c r="H1009">
        <f t="shared" si="122"/>
        <v>1.0000000000000009E-2</v>
      </c>
      <c r="I1009" s="2">
        <f>_xlfn.XLOOKUP(A1009,T10Y3M!A:A,T10Y3M!B:B,"",-1)</f>
        <v>0.54</v>
      </c>
      <c r="J1009" s="2">
        <f>_xlfn.XLOOKUP(A1009,BAMLC0A4CBBB!A:A,BAMLC0A4CBBB!B:B,"",-1)</f>
        <v>3.99</v>
      </c>
      <c r="K1009" s="2">
        <f>_xlfn.XLOOKUP(A1009,CPIAUCSL!A:A,CPIAUCSL!B:B,"",-1)</f>
        <v>256.03199999999998</v>
      </c>
      <c r="L1009">
        <f>_xlfn.XLOOKUP(A1009,DFF!A:A,DFF!B:B,"",-1)</f>
        <v>0.05</v>
      </c>
      <c r="M1009">
        <f>_xlfn.XLOOKUP(A1009,'DGS2'!A:A,'DGS2'!B:B,"",-1)</f>
        <v>0.23</v>
      </c>
      <c r="N1009">
        <f t="shared" si="123"/>
        <v>0</v>
      </c>
      <c r="O1009">
        <f t="shared" si="124"/>
        <v>-1.5137124539950086E-2</v>
      </c>
      <c r="P1009">
        <f t="shared" si="125"/>
        <v>0</v>
      </c>
      <c r="Q1009">
        <f t="shared" si="126"/>
        <v>-1</v>
      </c>
    </row>
    <row r="1010" spans="1:17">
      <c r="A1010" s="1">
        <v>43924</v>
      </c>
      <c r="B1010">
        <v>2488.65</v>
      </c>
      <c r="C1010">
        <f t="shared" si="120"/>
        <v>-1.5137124539950086E-2</v>
      </c>
      <c r="D1010">
        <f t="shared" si="127"/>
        <v>-3.7120007428644408E-2</v>
      </c>
      <c r="E1010">
        <f>_xlfn.XLOOKUP(A1010,VIX!A:A,VIX!B:B,"",-1)</f>
        <v>46.8</v>
      </c>
      <c r="F1010">
        <f t="shared" si="121"/>
        <v>-4.1099999999999994</v>
      </c>
      <c r="G1010">
        <f>_xlfn.XLOOKUP(A1010,'DGS10'!A:A,'DGS10'!B:B,"",-1)</f>
        <v>0.62</v>
      </c>
      <c r="H1010">
        <f t="shared" si="122"/>
        <v>-1.0000000000000009E-2</v>
      </c>
      <c r="I1010" s="2">
        <f>_xlfn.XLOOKUP(A1010,T10Y3M!A:A,T10Y3M!B:B,"",-1)</f>
        <v>0.52</v>
      </c>
      <c r="J1010" s="2">
        <f>_xlfn.XLOOKUP(A1010,BAMLC0A4CBBB!A:A,BAMLC0A4CBBB!B:B,"",-1)</f>
        <v>4.01</v>
      </c>
      <c r="K1010" s="2">
        <f>_xlfn.XLOOKUP(A1010,CPIAUCSL!A:A,CPIAUCSL!B:B,"",-1)</f>
        <v>256.03199999999998</v>
      </c>
      <c r="L1010">
        <f>_xlfn.XLOOKUP(A1010,DFF!A:A,DFF!B:B,"",-1)</f>
        <v>0.05</v>
      </c>
      <c r="M1010">
        <f>_xlfn.XLOOKUP(A1010,'DGS2'!A:A,'DGS2'!B:B,"",-1)</f>
        <v>0.23</v>
      </c>
      <c r="N1010">
        <f t="shared" si="123"/>
        <v>0</v>
      </c>
      <c r="O1010">
        <f t="shared" si="124"/>
        <v>7.0331304120707872E-2</v>
      </c>
      <c r="P1010">
        <f t="shared" si="125"/>
        <v>1</v>
      </c>
      <c r="Q1010">
        <f t="shared" si="126"/>
        <v>1</v>
      </c>
    </row>
    <row r="1011" spans="1:17">
      <c r="A1011" s="1">
        <v>43927</v>
      </c>
      <c r="B1011">
        <v>2663.68</v>
      </c>
      <c r="C1011">
        <f t="shared" si="120"/>
        <v>7.0331304120707872E-2</v>
      </c>
      <c r="D1011">
        <f t="shared" si="127"/>
        <v>7.8194697429670112E-2</v>
      </c>
      <c r="E1011">
        <f>_xlfn.XLOOKUP(A1011,VIX!A:A,VIX!B:B,"",-1)</f>
        <v>45.24</v>
      </c>
      <c r="F1011">
        <f t="shared" si="121"/>
        <v>-1.5599999999999952</v>
      </c>
      <c r="G1011">
        <f>_xlfn.XLOOKUP(A1011,'DGS10'!A:A,'DGS10'!B:B,"",-1)</f>
        <v>0.67</v>
      </c>
      <c r="H1011">
        <f t="shared" si="122"/>
        <v>5.0000000000000044E-2</v>
      </c>
      <c r="I1011" s="2">
        <f>_xlfn.XLOOKUP(A1011,T10Y3M!A:A,T10Y3M!B:B,"",-1)</f>
        <v>0.52</v>
      </c>
      <c r="J1011" s="2">
        <f>_xlfn.XLOOKUP(A1011,BAMLC0A4CBBB!A:A,BAMLC0A4CBBB!B:B,"",-1)</f>
        <v>3.96</v>
      </c>
      <c r="K1011" s="2">
        <f>_xlfn.XLOOKUP(A1011,CPIAUCSL!A:A,CPIAUCSL!B:B,"",-1)</f>
        <v>256.03199999999998</v>
      </c>
      <c r="L1011">
        <f>_xlfn.XLOOKUP(A1011,DFF!A:A,DFF!B:B,"",-1)</f>
        <v>0.05</v>
      </c>
      <c r="M1011">
        <f>_xlfn.XLOOKUP(A1011,'DGS2'!A:A,'DGS2'!B:B,"",-1)</f>
        <v>0.27</v>
      </c>
      <c r="N1011">
        <f t="shared" si="123"/>
        <v>4.0000000000000008E-2</v>
      </c>
      <c r="O1011">
        <f t="shared" si="124"/>
        <v>-1.6030454108602044E-3</v>
      </c>
      <c r="P1011">
        <f t="shared" si="125"/>
        <v>0</v>
      </c>
      <c r="Q1011">
        <f t="shared" si="126"/>
        <v>0</v>
      </c>
    </row>
    <row r="1012" spans="1:17">
      <c r="A1012" s="1">
        <v>43928</v>
      </c>
      <c r="B1012">
        <v>2659.41</v>
      </c>
      <c r="C1012">
        <f t="shared" si="120"/>
        <v>-1.6030454108602044E-3</v>
      </c>
      <c r="D1012">
        <f t="shared" si="127"/>
        <v>5.2439748308203527E-2</v>
      </c>
      <c r="E1012">
        <f>_xlfn.XLOOKUP(A1012,VIX!A:A,VIX!B:B,"",-1)</f>
        <v>46.7</v>
      </c>
      <c r="F1012">
        <f t="shared" si="121"/>
        <v>1.4600000000000009</v>
      </c>
      <c r="G1012">
        <f>_xlfn.XLOOKUP(A1012,'DGS10'!A:A,'DGS10'!B:B,"",-1)</f>
        <v>0.75</v>
      </c>
      <c r="H1012">
        <f t="shared" si="122"/>
        <v>7.999999999999996E-2</v>
      </c>
      <c r="I1012" s="2">
        <f>_xlfn.XLOOKUP(A1012,T10Y3M!A:A,T10Y3M!B:B,"",-1)</f>
        <v>0.61</v>
      </c>
      <c r="J1012" s="2">
        <f>_xlfn.XLOOKUP(A1012,BAMLC0A4CBBB!A:A,BAMLC0A4CBBB!B:B,"",-1)</f>
        <v>3.83</v>
      </c>
      <c r="K1012" s="2">
        <f>_xlfn.XLOOKUP(A1012,CPIAUCSL!A:A,CPIAUCSL!B:B,"",-1)</f>
        <v>256.03199999999998</v>
      </c>
      <c r="L1012">
        <f>_xlfn.XLOOKUP(A1012,DFF!A:A,DFF!B:B,"",-1)</f>
        <v>0.05</v>
      </c>
      <c r="M1012">
        <f>_xlfn.XLOOKUP(A1012,'DGS2'!A:A,'DGS2'!B:B,"",-1)</f>
        <v>0.28000000000000003</v>
      </c>
      <c r="N1012">
        <f t="shared" si="123"/>
        <v>1.0000000000000009E-2</v>
      </c>
      <c r="O1012">
        <f t="shared" si="124"/>
        <v>3.4056426049386967E-2</v>
      </c>
      <c r="P1012">
        <f t="shared" si="125"/>
        <v>1</v>
      </c>
      <c r="Q1012">
        <f t="shared" si="126"/>
        <v>1</v>
      </c>
    </row>
    <row r="1013" spans="1:17">
      <c r="A1013" s="1">
        <v>43929</v>
      </c>
      <c r="B1013">
        <v>2749.98</v>
      </c>
      <c r="C1013">
        <f t="shared" si="120"/>
        <v>3.4056426049386967E-2</v>
      </c>
      <c r="D1013">
        <f t="shared" si="127"/>
        <v>0.10500873967813873</v>
      </c>
      <c r="E1013">
        <f>_xlfn.XLOOKUP(A1013,VIX!A:A,VIX!B:B,"",-1)</f>
        <v>43.35</v>
      </c>
      <c r="F1013">
        <f t="shared" si="121"/>
        <v>-3.3500000000000014</v>
      </c>
      <c r="G1013">
        <f>_xlfn.XLOOKUP(A1013,'DGS10'!A:A,'DGS10'!B:B,"",-1)</f>
        <v>0.77</v>
      </c>
      <c r="H1013">
        <f t="shared" si="122"/>
        <v>2.0000000000000018E-2</v>
      </c>
      <c r="I1013" s="2">
        <f>_xlfn.XLOOKUP(A1013,T10Y3M!A:A,T10Y3M!B:B,"",-1)</f>
        <v>0.55000000000000004</v>
      </c>
      <c r="J1013" s="2">
        <f>_xlfn.XLOOKUP(A1013,BAMLC0A4CBBB!A:A,BAMLC0A4CBBB!B:B,"",-1)</f>
        <v>3.72</v>
      </c>
      <c r="K1013" s="2">
        <f>_xlfn.XLOOKUP(A1013,CPIAUCSL!A:A,CPIAUCSL!B:B,"",-1)</f>
        <v>256.03199999999998</v>
      </c>
      <c r="L1013">
        <f>_xlfn.XLOOKUP(A1013,DFF!A:A,DFF!B:B,"",-1)</f>
        <v>0.05</v>
      </c>
      <c r="M1013">
        <f>_xlfn.XLOOKUP(A1013,'DGS2'!A:A,'DGS2'!B:B,"",-1)</f>
        <v>0.27</v>
      </c>
      <c r="N1013">
        <f t="shared" si="123"/>
        <v>-1.0000000000000009E-2</v>
      </c>
      <c r="O1013">
        <f t="shared" si="124"/>
        <v>1.448737809002254E-2</v>
      </c>
      <c r="P1013">
        <f t="shared" si="125"/>
        <v>1</v>
      </c>
      <c r="Q1013">
        <f t="shared" si="126"/>
        <v>1</v>
      </c>
    </row>
    <row r="1014" spans="1:17">
      <c r="A1014" s="1">
        <v>43930</v>
      </c>
      <c r="B1014">
        <v>2789.82</v>
      </c>
      <c r="C1014">
        <f t="shared" si="120"/>
        <v>1.448737809002254E-2</v>
      </c>
      <c r="D1014">
        <f t="shared" si="127"/>
        <v>4.7355538202787262E-2</v>
      </c>
      <c r="E1014">
        <f>_xlfn.XLOOKUP(A1014,VIX!A:A,VIX!B:B,"",-1)</f>
        <v>41.67</v>
      </c>
      <c r="F1014">
        <f t="shared" si="121"/>
        <v>-1.6799999999999997</v>
      </c>
      <c r="G1014">
        <f>_xlfn.XLOOKUP(A1014,'DGS10'!A:A,'DGS10'!B:B,"",-1)</f>
        <v>0.73</v>
      </c>
      <c r="H1014">
        <f t="shared" si="122"/>
        <v>-4.0000000000000036E-2</v>
      </c>
      <c r="I1014" s="2">
        <f>_xlfn.XLOOKUP(A1014,T10Y3M!A:A,T10Y3M!B:B,"",-1)</f>
        <v>0.48</v>
      </c>
      <c r="J1014" s="2">
        <f>_xlfn.XLOOKUP(A1014,BAMLC0A4CBBB!A:A,BAMLC0A4CBBB!B:B,"",-1)</f>
        <v>3.43</v>
      </c>
      <c r="K1014" s="2">
        <f>_xlfn.XLOOKUP(A1014,CPIAUCSL!A:A,CPIAUCSL!B:B,"",-1)</f>
        <v>256.03199999999998</v>
      </c>
      <c r="L1014">
        <f>_xlfn.XLOOKUP(A1014,DFF!A:A,DFF!B:B,"",-1)</f>
        <v>0.05</v>
      </c>
      <c r="M1014">
        <f>_xlfn.XLOOKUP(A1014,'DGS2'!A:A,'DGS2'!B:B,"",-1)</f>
        <v>0.23</v>
      </c>
      <c r="N1014">
        <f t="shared" si="123"/>
        <v>-4.0000000000000008E-2</v>
      </c>
      <c r="O1014">
        <f t="shared" si="124"/>
        <v>-1.0104594561656355E-2</v>
      </c>
      <c r="P1014">
        <f t="shared" si="125"/>
        <v>0</v>
      </c>
      <c r="Q1014">
        <f t="shared" si="126"/>
        <v>-1</v>
      </c>
    </row>
    <row r="1015" spans="1:17">
      <c r="A1015" s="1">
        <v>43934</v>
      </c>
      <c r="B1015">
        <v>2761.63</v>
      </c>
      <c r="C1015">
        <f t="shared" si="120"/>
        <v>-1.0104594561656355E-2</v>
      </c>
      <c r="D1015">
        <f t="shared" si="127"/>
        <v>3.8437096950075578E-2</v>
      </c>
      <c r="E1015">
        <f>_xlfn.XLOOKUP(A1015,VIX!A:A,VIX!B:B,"",-1)</f>
        <v>41.17</v>
      </c>
      <c r="F1015">
        <f t="shared" si="121"/>
        <v>-0.5</v>
      </c>
      <c r="G1015">
        <f>_xlfn.XLOOKUP(A1015,'DGS10'!A:A,'DGS10'!B:B,"",-1)</f>
        <v>0.76</v>
      </c>
      <c r="H1015">
        <f t="shared" si="122"/>
        <v>3.0000000000000027E-2</v>
      </c>
      <c r="I1015" s="2">
        <f>_xlfn.XLOOKUP(A1015,T10Y3M!A:A,T10Y3M!B:B,"",-1)</f>
        <v>0.5</v>
      </c>
      <c r="J1015" s="2">
        <f>_xlfn.XLOOKUP(A1015,BAMLC0A4CBBB!A:A,BAMLC0A4CBBB!B:B,"",-1)</f>
        <v>3.24</v>
      </c>
      <c r="K1015" s="2">
        <f>_xlfn.XLOOKUP(A1015,CPIAUCSL!A:A,CPIAUCSL!B:B,"",-1)</f>
        <v>256.03199999999998</v>
      </c>
      <c r="L1015">
        <f>_xlfn.XLOOKUP(A1015,DFF!A:A,DFF!B:B,"",-1)</f>
        <v>0.05</v>
      </c>
      <c r="M1015">
        <f>_xlfn.XLOOKUP(A1015,'DGS2'!A:A,'DGS2'!B:B,"",-1)</f>
        <v>0.25</v>
      </c>
      <c r="N1015">
        <f t="shared" si="123"/>
        <v>1.999999999999999E-2</v>
      </c>
      <c r="O1015">
        <f t="shared" si="124"/>
        <v>3.0572524197665762E-2</v>
      </c>
      <c r="P1015">
        <f t="shared" si="125"/>
        <v>1</v>
      </c>
      <c r="Q1015">
        <f t="shared" si="126"/>
        <v>1</v>
      </c>
    </row>
    <row r="1016" spans="1:17">
      <c r="A1016" s="1">
        <v>43935</v>
      </c>
      <c r="B1016">
        <v>2846.06</v>
      </c>
      <c r="C1016">
        <f t="shared" si="120"/>
        <v>3.0572524197665762E-2</v>
      </c>
      <c r="D1016">
        <f t="shared" si="127"/>
        <v>3.4938435915897514E-2</v>
      </c>
      <c r="E1016">
        <f>_xlfn.XLOOKUP(A1016,VIX!A:A,VIX!B:B,"",-1)</f>
        <v>37.76</v>
      </c>
      <c r="F1016">
        <f t="shared" si="121"/>
        <v>-3.4100000000000037</v>
      </c>
      <c r="G1016">
        <f>_xlfn.XLOOKUP(A1016,'DGS10'!A:A,'DGS10'!B:B,"",-1)</f>
        <v>0.76</v>
      </c>
      <c r="H1016">
        <f t="shared" si="122"/>
        <v>0</v>
      </c>
      <c r="I1016" s="2">
        <f>_xlfn.XLOOKUP(A1016,T10Y3M!A:A,T10Y3M!B:B,"",-1)</f>
        <v>0.56000000000000005</v>
      </c>
      <c r="J1016" s="2">
        <f>_xlfn.XLOOKUP(A1016,BAMLC0A4CBBB!A:A,BAMLC0A4CBBB!B:B,"",-1)</f>
        <v>3.11</v>
      </c>
      <c r="K1016" s="2">
        <f>_xlfn.XLOOKUP(A1016,CPIAUCSL!A:A,CPIAUCSL!B:B,"",-1)</f>
        <v>256.03199999999998</v>
      </c>
      <c r="L1016">
        <f>_xlfn.XLOOKUP(A1016,DFF!A:A,DFF!B:B,"",-1)</f>
        <v>0.05</v>
      </c>
      <c r="M1016">
        <f>_xlfn.XLOOKUP(A1016,'DGS2'!A:A,'DGS2'!B:B,"",-1)</f>
        <v>0.23</v>
      </c>
      <c r="N1016">
        <f t="shared" si="123"/>
        <v>-1.999999999999999E-2</v>
      </c>
      <c r="O1016">
        <f t="shared" si="124"/>
        <v>-2.2030456139364496E-2</v>
      </c>
      <c r="P1016">
        <f t="shared" si="125"/>
        <v>0</v>
      </c>
      <c r="Q1016">
        <f t="shared" si="126"/>
        <v>-1</v>
      </c>
    </row>
    <row r="1017" spans="1:17">
      <c r="A1017" s="1">
        <v>43936</v>
      </c>
      <c r="B1017">
        <v>2783.36</v>
      </c>
      <c r="C1017">
        <f t="shared" si="120"/>
        <v>-2.2030456139364496E-2</v>
      </c>
      <c r="D1017">
        <f t="shared" si="127"/>
        <v>-2.3155615774494986E-3</v>
      </c>
      <c r="E1017">
        <f>_xlfn.XLOOKUP(A1017,VIX!A:A,VIX!B:B,"",-1)</f>
        <v>40.840000000000003</v>
      </c>
      <c r="F1017">
        <f t="shared" si="121"/>
        <v>3.0800000000000054</v>
      </c>
      <c r="G1017">
        <f>_xlfn.XLOOKUP(A1017,'DGS10'!A:A,'DGS10'!B:B,"",-1)</f>
        <v>0.63</v>
      </c>
      <c r="H1017">
        <f t="shared" si="122"/>
        <v>-0.13</v>
      </c>
      <c r="I1017" s="2">
        <f>_xlfn.XLOOKUP(A1017,T10Y3M!A:A,T10Y3M!B:B,"",-1)</f>
        <v>0.49</v>
      </c>
      <c r="J1017" s="2">
        <f>_xlfn.XLOOKUP(A1017,BAMLC0A4CBBB!A:A,BAMLC0A4CBBB!B:B,"",-1)</f>
        <v>3.13</v>
      </c>
      <c r="K1017" s="2">
        <f>_xlfn.XLOOKUP(A1017,CPIAUCSL!A:A,CPIAUCSL!B:B,"",-1)</f>
        <v>256.03199999999998</v>
      </c>
      <c r="L1017">
        <f>_xlfn.XLOOKUP(A1017,DFF!A:A,DFF!B:B,"",-1)</f>
        <v>0.05</v>
      </c>
      <c r="M1017">
        <f>_xlfn.XLOOKUP(A1017,'DGS2'!A:A,'DGS2'!B:B,"",-1)</f>
        <v>0.2</v>
      </c>
      <c r="N1017">
        <f t="shared" si="123"/>
        <v>-0.03</v>
      </c>
      <c r="O1017">
        <f t="shared" si="124"/>
        <v>5.8167107381006389E-3</v>
      </c>
      <c r="P1017">
        <f t="shared" si="125"/>
        <v>1</v>
      </c>
      <c r="Q1017">
        <f t="shared" si="126"/>
        <v>1</v>
      </c>
    </row>
    <row r="1018" spans="1:17">
      <c r="A1018" s="1">
        <v>43937</v>
      </c>
      <c r="B1018">
        <v>2799.55</v>
      </c>
      <c r="C1018">
        <f t="shared" si="120"/>
        <v>5.8167107381006389E-3</v>
      </c>
      <c r="D1018">
        <f t="shared" si="127"/>
        <v>1.3731021172278757E-2</v>
      </c>
      <c r="E1018">
        <f>_xlfn.XLOOKUP(A1018,VIX!A:A,VIX!B:B,"",-1)</f>
        <v>40.11</v>
      </c>
      <c r="F1018">
        <f t="shared" si="121"/>
        <v>-0.73000000000000398</v>
      </c>
      <c r="G1018">
        <f>_xlfn.XLOOKUP(A1018,'DGS10'!A:A,'DGS10'!B:B,"",-1)</f>
        <v>0.61</v>
      </c>
      <c r="H1018">
        <f t="shared" si="122"/>
        <v>-2.0000000000000018E-2</v>
      </c>
      <c r="I1018" s="2">
        <f>_xlfn.XLOOKUP(A1018,T10Y3M!A:A,T10Y3M!B:B,"",-1)</f>
        <v>0.47</v>
      </c>
      <c r="J1018" s="2">
        <f>_xlfn.XLOOKUP(A1018,BAMLC0A4CBBB!A:A,BAMLC0A4CBBB!B:B,"",-1)</f>
        <v>3.1</v>
      </c>
      <c r="K1018" s="2">
        <f>_xlfn.XLOOKUP(A1018,CPIAUCSL!A:A,CPIAUCSL!B:B,"",-1)</f>
        <v>256.03199999999998</v>
      </c>
      <c r="L1018">
        <f>_xlfn.XLOOKUP(A1018,DFF!A:A,DFF!B:B,"",-1)</f>
        <v>0.05</v>
      </c>
      <c r="M1018">
        <f>_xlfn.XLOOKUP(A1018,'DGS2'!A:A,'DGS2'!B:B,"",-1)</f>
        <v>0.2</v>
      </c>
      <c r="N1018">
        <f t="shared" si="123"/>
        <v>0</v>
      </c>
      <c r="O1018">
        <f t="shared" si="124"/>
        <v>2.6793591827257934E-2</v>
      </c>
      <c r="P1018">
        <f t="shared" si="125"/>
        <v>1</v>
      </c>
      <c r="Q1018">
        <f t="shared" si="126"/>
        <v>1</v>
      </c>
    </row>
    <row r="1019" spans="1:17">
      <c r="A1019" s="1">
        <v>43938</v>
      </c>
      <c r="B1019">
        <v>2874.56</v>
      </c>
      <c r="C1019">
        <f t="shared" si="120"/>
        <v>2.6793591827257934E-2</v>
      </c>
      <c r="D1019">
        <f t="shared" si="127"/>
        <v>1.0013843699711256E-2</v>
      </c>
      <c r="E1019">
        <f>_xlfn.XLOOKUP(A1019,VIX!A:A,VIX!B:B,"",-1)</f>
        <v>38.15</v>
      </c>
      <c r="F1019">
        <f t="shared" si="121"/>
        <v>-1.9600000000000009</v>
      </c>
      <c r="G1019">
        <f>_xlfn.XLOOKUP(A1019,'DGS10'!A:A,'DGS10'!B:B,"",-1)</f>
        <v>0.65</v>
      </c>
      <c r="H1019">
        <f t="shared" si="122"/>
        <v>4.0000000000000036E-2</v>
      </c>
      <c r="I1019" s="2">
        <f>_xlfn.XLOOKUP(A1019,T10Y3M!A:A,T10Y3M!B:B,"",-1)</f>
        <v>0.53</v>
      </c>
      <c r="J1019" s="2">
        <f>_xlfn.XLOOKUP(A1019,BAMLC0A4CBBB!A:A,BAMLC0A4CBBB!B:B,"",-1)</f>
        <v>3.07</v>
      </c>
      <c r="K1019" s="2">
        <f>_xlfn.XLOOKUP(A1019,CPIAUCSL!A:A,CPIAUCSL!B:B,"",-1)</f>
        <v>256.03199999999998</v>
      </c>
      <c r="L1019">
        <f>_xlfn.XLOOKUP(A1019,DFF!A:A,DFF!B:B,"",-1)</f>
        <v>0.05</v>
      </c>
      <c r="M1019">
        <f>_xlfn.XLOOKUP(A1019,'DGS2'!A:A,'DGS2'!B:B,"",-1)</f>
        <v>0.2</v>
      </c>
      <c r="N1019">
        <f t="shared" si="123"/>
        <v>0</v>
      </c>
      <c r="O1019">
        <f t="shared" si="124"/>
        <v>-1.7880997439608137E-2</v>
      </c>
      <c r="P1019">
        <f t="shared" si="125"/>
        <v>0</v>
      </c>
      <c r="Q1019">
        <f t="shared" si="126"/>
        <v>-1</v>
      </c>
    </row>
    <row r="1020" spans="1:17">
      <c r="A1020" s="1">
        <v>43941</v>
      </c>
      <c r="B1020">
        <v>2823.16</v>
      </c>
      <c r="C1020">
        <f t="shared" si="120"/>
        <v>-1.7880997439608137E-2</v>
      </c>
      <c r="D1020">
        <f t="shared" si="127"/>
        <v>1.4299264198666339E-2</v>
      </c>
      <c r="E1020">
        <f>_xlfn.XLOOKUP(A1020,VIX!A:A,VIX!B:B,"",-1)</f>
        <v>43.83</v>
      </c>
      <c r="F1020">
        <f t="shared" si="121"/>
        <v>5.68</v>
      </c>
      <c r="G1020">
        <f>_xlfn.XLOOKUP(A1020,'DGS10'!A:A,'DGS10'!B:B,"",-1)</f>
        <v>0.63</v>
      </c>
      <c r="H1020">
        <f t="shared" si="122"/>
        <v>-2.0000000000000018E-2</v>
      </c>
      <c r="I1020" s="2">
        <f>_xlfn.XLOOKUP(A1020,T10Y3M!A:A,T10Y3M!B:B,"",-1)</f>
        <v>0.51</v>
      </c>
      <c r="J1020" s="2">
        <f>_xlfn.XLOOKUP(A1020,BAMLC0A4CBBB!A:A,BAMLC0A4CBBB!B:B,"",-1)</f>
        <v>3.1</v>
      </c>
      <c r="K1020" s="2">
        <f>_xlfn.XLOOKUP(A1020,CPIAUCSL!A:A,CPIAUCSL!B:B,"",-1)</f>
        <v>256.03199999999998</v>
      </c>
      <c r="L1020">
        <f>_xlfn.XLOOKUP(A1020,DFF!A:A,DFF!B:B,"",-1)</f>
        <v>0.05</v>
      </c>
      <c r="M1020">
        <f>_xlfn.XLOOKUP(A1020,'DGS2'!A:A,'DGS2'!B:B,"",-1)</f>
        <v>0.2</v>
      </c>
      <c r="N1020">
        <f t="shared" si="123"/>
        <v>0</v>
      </c>
      <c r="O1020">
        <f t="shared" si="124"/>
        <v>-3.0674846625766805E-2</v>
      </c>
      <c r="P1020">
        <f t="shared" si="125"/>
        <v>0</v>
      </c>
      <c r="Q1020">
        <f t="shared" si="126"/>
        <v>-1</v>
      </c>
    </row>
    <row r="1021" spans="1:17">
      <c r="A1021" s="1">
        <v>43942</v>
      </c>
      <c r="B1021">
        <v>2736.56</v>
      </c>
      <c r="C1021">
        <f t="shared" si="120"/>
        <v>-3.0674846625766805E-2</v>
      </c>
      <c r="D1021">
        <f t="shared" si="127"/>
        <v>-2.250004465003308E-2</v>
      </c>
      <c r="E1021">
        <f>_xlfn.XLOOKUP(A1021,VIX!A:A,VIX!B:B,"",-1)</f>
        <v>45.41</v>
      </c>
      <c r="F1021">
        <f t="shared" si="121"/>
        <v>1.5799999999999983</v>
      </c>
      <c r="G1021">
        <f>_xlfn.XLOOKUP(A1021,'DGS10'!A:A,'DGS10'!B:B,"",-1)</f>
        <v>0.57999999999999996</v>
      </c>
      <c r="H1021">
        <f t="shared" si="122"/>
        <v>-5.0000000000000044E-2</v>
      </c>
      <c r="I1021" s="2">
        <f>_xlfn.XLOOKUP(A1021,T10Y3M!A:A,T10Y3M!B:B,"",-1)</f>
        <v>0.47</v>
      </c>
      <c r="J1021" s="2">
        <f>_xlfn.XLOOKUP(A1021,BAMLC0A4CBBB!A:A,BAMLC0A4CBBB!B:B,"",-1)</f>
        <v>3.16</v>
      </c>
      <c r="K1021" s="2">
        <f>_xlfn.XLOOKUP(A1021,CPIAUCSL!A:A,CPIAUCSL!B:B,"",-1)</f>
        <v>256.03199999999998</v>
      </c>
      <c r="L1021">
        <f>_xlfn.XLOOKUP(A1021,DFF!A:A,DFF!B:B,"",-1)</f>
        <v>0.05</v>
      </c>
      <c r="M1021">
        <f>_xlfn.XLOOKUP(A1021,'DGS2'!A:A,'DGS2'!B:B,"",-1)</f>
        <v>0.2</v>
      </c>
      <c r="N1021">
        <f t="shared" si="123"/>
        <v>0</v>
      </c>
      <c r="O1021">
        <f t="shared" si="124"/>
        <v>2.2930248194813929E-2</v>
      </c>
      <c r="P1021">
        <f t="shared" si="125"/>
        <v>1</v>
      </c>
      <c r="Q1021">
        <f t="shared" si="126"/>
        <v>1</v>
      </c>
    </row>
    <row r="1022" spans="1:17">
      <c r="A1022" s="1">
        <v>43943</v>
      </c>
      <c r="B1022">
        <v>2799.31</v>
      </c>
      <c r="C1022">
        <f t="shared" si="120"/>
        <v>2.2930248194813929E-2</v>
      </c>
      <c r="D1022">
        <f t="shared" si="127"/>
        <v>-2.6177919403317373E-2</v>
      </c>
      <c r="E1022">
        <f>_xlfn.XLOOKUP(A1022,VIX!A:A,VIX!B:B,"",-1)</f>
        <v>41.98</v>
      </c>
      <c r="F1022">
        <f t="shared" si="121"/>
        <v>-3.4299999999999997</v>
      </c>
      <c r="G1022">
        <f>_xlfn.XLOOKUP(A1022,'DGS10'!A:A,'DGS10'!B:B,"",-1)</f>
        <v>0.63</v>
      </c>
      <c r="H1022">
        <f t="shared" si="122"/>
        <v>5.0000000000000044E-2</v>
      </c>
      <c r="I1022" s="2">
        <f>_xlfn.XLOOKUP(A1022,T10Y3M!A:A,T10Y3M!B:B,"",-1)</f>
        <v>0.51</v>
      </c>
      <c r="J1022" s="2">
        <f>_xlfn.XLOOKUP(A1022,BAMLC0A4CBBB!A:A,BAMLC0A4CBBB!B:B,"",-1)</f>
        <v>3.14</v>
      </c>
      <c r="K1022" s="2">
        <f>_xlfn.XLOOKUP(A1022,CPIAUCSL!A:A,CPIAUCSL!B:B,"",-1)</f>
        <v>256.03199999999998</v>
      </c>
      <c r="L1022">
        <f>_xlfn.XLOOKUP(A1022,DFF!A:A,DFF!B:B,"",-1)</f>
        <v>0.05</v>
      </c>
      <c r="M1022">
        <f>_xlfn.XLOOKUP(A1022,'DGS2'!A:A,'DGS2'!B:B,"",-1)</f>
        <v>0.22</v>
      </c>
      <c r="N1022">
        <f t="shared" si="123"/>
        <v>1.999999999999999E-2</v>
      </c>
      <c r="O1022">
        <f t="shared" si="124"/>
        <v>-5.3941864245110605E-4</v>
      </c>
      <c r="P1022">
        <f t="shared" si="125"/>
        <v>0</v>
      </c>
      <c r="Q1022">
        <f t="shared" si="126"/>
        <v>0</v>
      </c>
    </row>
    <row r="1023" spans="1:17">
      <c r="A1023" s="1">
        <v>43944</v>
      </c>
      <c r="B1023">
        <v>2797.8</v>
      </c>
      <c r="C1023">
        <f t="shared" si="120"/>
        <v>-5.3941864245110605E-4</v>
      </c>
      <c r="D1023">
        <f t="shared" si="127"/>
        <v>-8.9828419218179745E-3</v>
      </c>
      <c r="E1023">
        <f>_xlfn.XLOOKUP(A1023,VIX!A:A,VIX!B:B,"",-1)</f>
        <v>41.38</v>
      </c>
      <c r="F1023">
        <f t="shared" si="121"/>
        <v>-0.59999999999999432</v>
      </c>
      <c r="G1023">
        <f>_xlfn.XLOOKUP(A1023,'DGS10'!A:A,'DGS10'!B:B,"",-1)</f>
        <v>0.61</v>
      </c>
      <c r="H1023">
        <f t="shared" si="122"/>
        <v>-2.0000000000000018E-2</v>
      </c>
      <c r="I1023" s="2">
        <f>_xlfn.XLOOKUP(A1023,T10Y3M!A:A,T10Y3M!B:B,"",-1)</f>
        <v>0.5</v>
      </c>
      <c r="J1023" s="2">
        <f>_xlfn.XLOOKUP(A1023,BAMLC0A4CBBB!A:A,BAMLC0A4CBBB!B:B,"",-1)</f>
        <v>3.11</v>
      </c>
      <c r="K1023" s="2">
        <f>_xlfn.XLOOKUP(A1023,CPIAUCSL!A:A,CPIAUCSL!B:B,"",-1)</f>
        <v>256.03199999999998</v>
      </c>
      <c r="L1023">
        <f>_xlfn.XLOOKUP(A1023,DFF!A:A,DFF!B:B,"",-1)</f>
        <v>0.04</v>
      </c>
      <c r="M1023">
        <f>_xlfn.XLOOKUP(A1023,'DGS2'!A:A,'DGS2'!B:B,"",-1)</f>
        <v>0.22</v>
      </c>
      <c r="N1023">
        <f t="shared" si="123"/>
        <v>0</v>
      </c>
      <c r="O1023">
        <f t="shared" si="124"/>
        <v>1.3918078490242181E-2</v>
      </c>
      <c r="P1023">
        <f t="shared" si="125"/>
        <v>1</v>
      </c>
      <c r="Q1023">
        <f t="shared" si="126"/>
        <v>1</v>
      </c>
    </row>
    <row r="1024" spans="1:17">
      <c r="A1024" s="1">
        <v>43945</v>
      </c>
      <c r="B1024">
        <v>2836.74</v>
      </c>
      <c r="C1024">
        <f t="shared" si="120"/>
        <v>1.3918078490242181E-2</v>
      </c>
      <c r="D1024">
        <f t="shared" si="127"/>
        <v>3.6608004209664591E-2</v>
      </c>
      <c r="E1024">
        <f>_xlfn.XLOOKUP(A1024,VIX!A:A,VIX!B:B,"",-1)</f>
        <v>35.93</v>
      </c>
      <c r="F1024">
        <f t="shared" si="121"/>
        <v>-5.4500000000000028</v>
      </c>
      <c r="G1024">
        <f>_xlfn.XLOOKUP(A1024,'DGS10'!A:A,'DGS10'!B:B,"",-1)</f>
        <v>0.6</v>
      </c>
      <c r="H1024">
        <f t="shared" si="122"/>
        <v>-1.0000000000000009E-2</v>
      </c>
      <c r="I1024" s="2">
        <f>_xlfn.XLOOKUP(A1024,T10Y3M!A:A,T10Y3M!B:B,"",-1)</f>
        <v>0.48</v>
      </c>
      <c r="J1024" s="2">
        <f>_xlfn.XLOOKUP(A1024,BAMLC0A4CBBB!A:A,BAMLC0A4CBBB!B:B,"",-1)</f>
        <v>3.11</v>
      </c>
      <c r="K1024" s="2">
        <f>_xlfn.XLOOKUP(A1024,CPIAUCSL!A:A,CPIAUCSL!B:B,"",-1)</f>
        <v>256.03199999999998</v>
      </c>
      <c r="L1024">
        <f>_xlfn.XLOOKUP(A1024,DFF!A:A,DFF!B:B,"",-1)</f>
        <v>0.05</v>
      </c>
      <c r="M1024">
        <f>_xlfn.XLOOKUP(A1024,'DGS2'!A:A,'DGS2'!B:B,"",-1)</f>
        <v>0.22</v>
      </c>
      <c r="N1024">
        <f t="shared" si="123"/>
        <v>0</v>
      </c>
      <c r="O1024">
        <f t="shared" si="124"/>
        <v>1.4714073196697708E-2</v>
      </c>
      <c r="P1024">
        <f t="shared" si="125"/>
        <v>1</v>
      </c>
      <c r="Q1024">
        <f t="shared" si="126"/>
        <v>1</v>
      </c>
    </row>
    <row r="1025" spans="1:17">
      <c r="A1025" s="1">
        <v>43948</v>
      </c>
      <c r="B1025">
        <v>2878.48</v>
      </c>
      <c r="C1025">
        <f t="shared" si="120"/>
        <v>1.4714073196697708E-2</v>
      </c>
      <c r="D1025">
        <f t="shared" si="127"/>
        <v>2.8281969485337566E-2</v>
      </c>
      <c r="E1025">
        <f>_xlfn.XLOOKUP(A1025,VIX!A:A,VIX!B:B,"",-1)</f>
        <v>33.29</v>
      </c>
      <c r="F1025">
        <f t="shared" si="121"/>
        <v>-2.6400000000000006</v>
      </c>
      <c r="G1025">
        <f>_xlfn.XLOOKUP(A1025,'DGS10'!A:A,'DGS10'!B:B,"",-1)</f>
        <v>0.67</v>
      </c>
      <c r="H1025">
        <f t="shared" si="122"/>
        <v>7.0000000000000062E-2</v>
      </c>
      <c r="I1025" s="2">
        <f>_xlfn.XLOOKUP(A1025,T10Y3M!A:A,T10Y3M!B:B,"",-1)</f>
        <v>0.55000000000000004</v>
      </c>
      <c r="J1025" s="2">
        <f>_xlfn.XLOOKUP(A1025,BAMLC0A4CBBB!A:A,BAMLC0A4CBBB!B:B,"",-1)</f>
        <v>3.1</v>
      </c>
      <c r="K1025" s="2">
        <f>_xlfn.XLOOKUP(A1025,CPIAUCSL!A:A,CPIAUCSL!B:B,"",-1)</f>
        <v>256.03199999999998</v>
      </c>
      <c r="L1025">
        <f>_xlfn.XLOOKUP(A1025,DFF!A:A,DFF!B:B,"",-1)</f>
        <v>0.04</v>
      </c>
      <c r="M1025">
        <f>_xlfn.XLOOKUP(A1025,'DGS2'!A:A,'DGS2'!B:B,"",-1)</f>
        <v>0.24</v>
      </c>
      <c r="N1025">
        <f t="shared" si="123"/>
        <v>1.999999999999999E-2</v>
      </c>
      <c r="O1025">
        <f t="shared" si="124"/>
        <v>-5.2423501292349073E-3</v>
      </c>
      <c r="P1025">
        <f t="shared" si="125"/>
        <v>0</v>
      </c>
      <c r="Q1025">
        <f t="shared" si="126"/>
        <v>-1</v>
      </c>
    </row>
    <row r="1026" spans="1:17">
      <c r="A1026" s="1">
        <v>43949</v>
      </c>
      <c r="B1026">
        <v>2863.39</v>
      </c>
      <c r="C1026">
        <f t="shared" si="120"/>
        <v>-5.2423501292349073E-3</v>
      </c>
      <c r="D1026">
        <f t="shared" si="127"/>
        <v>2.3443419829866308E-2</v>
      </c>
      <c r="E1026">
        <f>_xlfn.XLOOKUP(A1026,VIX!A:A,VIX!B:B,"",-1)</f>
        <v>33.57</v>
      </c>
      <c r="F1026">
        <f t="shared" si="121"/>
        <v>0.28000000000000114</v>
      </c>
      <c r="G1026">
        <f>_xlfn.XLOOKUP(A1026,'DGS10'!A:A,'DGS10'!B:B,"",-1)</f>
        <v>0.62</v>
      </c>
      <c r="H1026">
        <f t="shared" si="122"/>
        <v>-5.0000000000000044E-2</v>
      </c>
      <c r="I1026" s="2">
        <f>_xlfn.XLOOKUP(A1026,T10Y3M!A:A,T10Y3M!B:B,"",-1)</f>
        <v>0.51</v>
      </c>
      <c r="J1026" s="2">
        <f>_xlfn.XLOOKUP(A1026,BAMLC0A4CBBB!A:A,BAMLC0A4CBBB!B:B,"",-1)</f>
        <v>3.09</v>
      </c>
      <c r="K1026" s="2">
        <f>_xlfn.XLOOKUP(A1026,CPIAUCSL!A:A,CPIAUCSL!B:B,"",-1)</f>
        <v>256.03199999999998</v>
      </c>
      <c r="L1026">
        <f>_xlfn.XLOOKUP(A1026,DFF!A:A,DFF!B:B,"",-1)</f>
        <v>0.04</v>
      </c>
      <c r="M1026">
        <f>_xlfn.XLOOKUP(A1026,'DGS2'!A:A,'DGS2'!B:B,"",-1)</f>
        <v>0.2</v>
      </c>
      <c r="N1026">
        <f t="shared" si="123"/>
        <v>-3.999999999999998E-2</v>
      </c>
      <c r="O1026">
        <f t="shared" si="124"/>
        <v>2.6583874358714787E-2</v>
      </c>
      <c r="P1026">
        <f t="shared" si="125"/>
        <v>1</v>
      </c>
      <c r="Q1026">
        <f t="shared" si="126"/>
        <v>1</v>
      </c>
    </row>
    <row r="1027" spans="1:17">
      <c r="A1027" s="1">
        <v>43950</v>
      </c>
      <c r="B1027">
        <v>2939.51</v>
      </c>
      <c r="C1027">
        <f t="shared" si="120"/>
        <v>2.6583874358714787E-2</v>
      </c>
      <c r="D1027">
        <f t="shared" si="127"/>
        <v>3.6228205616306131E-2</v>
      </c>
      <c r="E1027">
        <f>_xlfn.XLOOKUP(A1027,VIX!A:A,VIX!B:B,"",-1)</f>
        <v>31.23</v>
      </c>
      <c r="F1027">
        <f t="shared" si="121"/>
        <v>-2.34</v>
      </c>
      <c r="G1027">
        <f>_xlfn.XLOOKUP(A1027,'DGS10'!A:A,'DGS10'!B:B,"",-1)</f>
        <v>0.63</v>
      </c>
      <c r="H1027">
        <f t="shared" si="122"/>
        <v>1.0000000000000009E-2</v>
      </c>
      <c r="I1027" s="2">
        <f>_xlfn.XLOOKUP(A1027,T10Y3M!A:A,T10Y3M!B:B,"",-1)</f>
        <v>0.53</v>
      </c>
      <c r="J1027" s="2">
        <f>_xlfn.XLOOKUP(A1027,BAMLC0A4CBBB!A:A,BAMLC0A4CBBB!B:B,"",-1)</f>
        <v>3.06</v>
      </c>
      <c r="K1027" s="2">
        <f>_xlfn.XLOOKUP(A1027,CPIAUCSL!A:A,CPIAUCSL!B:B,"",-1)</f>
        <v>256.03199999999998</v>
      </c>
      <c r="L1027">
        <f>_xlfn.XLOOKUP(A1027,DFF!A:A,DFF!B:B,"",-1)</f>
        <v>0.04</v>
      </c>
      <c r="M1027">
        <f>_xlfn.XLOOKUP(A1027,'DGS2'!A:A,'DGS2'!B:B,"",-1)</f>
        <v>0.2</v>
      </c>
      <c r="N1027">
        <f t="shared" si="123"/>
        <v>0</v>
      </c>
      <c r="O1027">
        <f t="shared" si="124"/>
        <v>-9.2124197570344624E-3</v>
      </c>
      <c r="P1027">
        <f t="shared" si="125"/>
        <v>0</v>
      </c>
      <c r="Q1027">
        <f t="shared" si="126"/>
        <v>-1</v>
      </c>
    </row>
    <row r="1028" spans="1:17">
      <c r="A1028" s="1">
        <v>43951</v>
      </c>
      <c r="B1028">
        <v>2912.43</v>
      </c>
      <c r="C1028">
        <f t="shared" ref="C1028:C1091" si="128">IF(OR(B1028="",B1027=""),"",(B1028/B1027)-1)</f>
        <v>-9.2124197570344624E-3</v>
      </c>
      <c r="D1028">
        <f t="shared" si="127"/>
        <v>1.179441927684044E-2</v>
      </c>
      <c r="E1028">
        <f>_xlfn.XLOOKUP(A1028,VIX!A:A,VIX!B:B,"",-1)</f>
        <v>34.15</v>
      </c>
      <c r="F1028">
        <f t="shared" ref="F1028:F1091" si="129">IF(OR(E1028="",E1027=""),"",E1028-E1027)</f>
        <v>2.9199999999999982</v>
      </c>
      <c r="G1028">
        <f>_xlfn.XLOOKUP(A1028,'DGS10'!A:A,'DGS10'!B:B,"",-1)</f>
        <v>0.64</v>
      </c>
      <c r="H1028">
        <f t="shared" ref="H1028:H1091" si="130">IF(OR(G1028="",G1027=""),"",G1028-G1027)</f>
        <v>1.0000000000000009E-2</v>
      </c>
      <c r="I1028" s="2">
        <f>_xlfn.XLOOKUP(A1028,T10Y3M!A:A,T10Y3M!B:B,"",-1)</f>
        <v>0.55000000000000004</v>
      </c>
      <c r="J1028" s="2">
        <f>_xlfn.XLOOKUP(A1028,BAMLC0A4CBBB!A:A,BAMLC0A4CBBB!B:B,"",-1)</f>
        <v>2.82</v>
      </c>
      <c r="K1028" s="2">
        <f>_xlfn.XLOOKUP(A1028,CPIAUCSL!A:A,CPIAUCSL!B:B,"",-1)</f>
        <v>256.03199999999998</v>
      </c>
      <c r="L1028">
        <f>_xlfn.XLOOKUP(A1028,DFF!A:A,DFF!B:B,"",-1)</f>
        <v>0.05</v>
      </c>
      <c r="M1028">
        <f>_xlfn.XLOOKUP(A1028,'DGS2'!A:A,'DGS2'!B:B,"",-1)</f>
        <v>0.2</v>
      </c>
      <c r="N1028">
        <f t="shared" ref="N1028:N1091" si="131">IF(OR(M1028="",M1027=""),"",M1028-M1027)</f>
        <v>0</v>
      </c>
      <c r="O1028">
        <f t="shared" ref="O1028:O1091" si="132">IF(OR(B1029="",B1028=""),"",(B1029/B1028)-1)</f>
        <v>-2.8059043479156554E-2</v>
      </c>
      <c r="P1028">
        <f t="shared" ref="P1028:P1091" si="133">IF(O1028="","",IF(O1028&gt;0,1,0))</f>
        <v>0</v>
      </c>
      <c r="Q1028">
        <f t="shared" ref="Q1028:Q1091" si="134">IF(O1028="","",IF(O1028&gt;0.003,1,IF(O1028&lt;-0.003,-1,0)))</f>
        <v>-1</v>
      </c>
    </row>
    <row r="1029" spans="1:17">
      <c r="A1029" s="1">
        <v>43952</v>
      </c>
      <c r="B1029">
        <v>2830.71</v>
      </c>
      <c r="C1029">
        <f t="shared" si="128"/>
        <v>-2.8059043479156554E-2</v>
      </c>
      <c r="D1029">
        <f t="shared" si="127"/>
        <v>-1.1413045376284736E-2</v>
      </c>
      <c r="E1029">
        <f>_xlfn.XLOOKUP(A1029,VIX!A:A,VIX!B:B,"",-1)</f>
        <v>37.19</v>
      </c>
      <c r="F1029">
        <f t="shared" si="129"/>
        <v>3.0399999999999991</v>
      </c>
      <c r="G1029">
        <f>_xlfn.XLOOKUP(A1029,'DGS10'!A:A,'DGS10'!B:B,"",-1)</f>
        <v>0.64</v>
      </c>
      <c r="H1029">
        <f t="shared" si="130"/>
        <v>0</v>
      </c>
      <c r="I1029" s="2">
        <f>_xlfn.XLOOKUP(A1029,T10Y3M!A:A,T10Y3M!B:B,"",-1)</f>
        <v>0.52</v>
      </c>
      <c r="J1029" s="2">
        <f>_xlfn.XLOOKUP(A1029,BAMLC0A4CBBB!A:A,BAMLC0A4CBBB!B:B,"",-1)</f>
        <v>2.83</v>
      </c>
      <c r="K1029" s="2">
        <f>_xlfn.XLOOKUP(A1029,CPIAUCSL!A:A,CPIAUCSL!B:B,"",-1)</f>
        <v>255.80199999999999</v>
      </c>
      <c r="L1029">
        <f>_xlfn.XLOOKUP(A1029,DFF!A:A,DFF!B:B,"",-1)</f>
        <v>0.05</v>
      </c>
      <c r="M1029">
        <f>_xlfn.XLOOKUP(A1029,'DGS2'!A:A,'DGS2'!B:B,"",-1)</f>
        <v>0.2</v>
      </c>
      <c r="N1029">
        <f t="shared" si="131"/>
        <v>0</v>
      </c>
      <c r="O1029">
        <f t="shared" si="132"/>
        <v>4.2498171836746756E-3</v>
      </c>
      <c r="P1029">
        <f t="shared" si="133"/>
        <v>1</v>
      </c>
      <c r="Q1029">
        <f t="shared" si="134"/>
        <v>1</v>
      </c>
    </row>
    <row r="1030" spans="1:17">
      <c r="A1030" s="1">
        <v>43955</v>
      </c>
      <c r="B1030">
        <v>2842.74</v>
      </c>
      <c r="C1030">
        <f t="shared" si="128"/>
        <v>4.2498171836746756E-3</v>
      </c>
      <c r="D1030">
        <f t="shared" ref="D1030:D1093" si="135">IF(OR(B1030="",B1027=""),"",(B1030/B1027)-1)</f>
        <v>-3.292045272851607E-2</v>
      </c>
      <c r="E1030">
        <f>_xlfn.XLOOKUP(A1030,VIX!A:A,VIX!B:B,"",-1)</f>
        <v>35.97</v>
      </c>
      <c r="F1030">
        <f t="shared" si="129"/>
        <v>-1.2199999999999989</v>
      </c>
      <c r="G1030">
        <f>_xlfn.XLOOKUP(A1030,'DGS10'!A:A,'DGS10'!B:B,"",-1)</f>
        <v>0.64</v>
      </c>
      <c r="H1030">
        <f t="shared" si="130"/>
        <v>0</v>
      </c>
      <c r="I1030" s="2">
        <f>_xlfn.XLOOKUP(A1030,T10Y3M!A:A,T10Y3M!B:B,"",-1)</f>
        <v>0.51</v>
      </c>
      <c r="J1030" s="2">
        <f>_xlfn.XLOOKUP(A1030,BAMLC0A4CBBB!A:A,BAMLC0A4CBBB!B:B,"",-1)</f>
        <v>2.85</v>
      </c>
      <c r="K1030" s="2">
        <f>_xlfn.XLOOKUP(A1030,CPIAUCSL!A:A,CPIAUCSL!B:B,"",-1)</f>
        <v>255.80199999999999</v>
      </c>
      <c r="L1030">
        <f>_xlfn.XLOOKUP(A1030,DFF!A:A,DFF!B:B,"",-1)</f>
        <v>0.05</v>
      </c>
      <c r="M1030">
        <f>_xlfn.XLOOKUP(A1030,'DGS2'!A:A,'DGS2'!B:B,"",-1)</f>
        <v>0.19</v>
      </c>
      <c r="N1030">
        <f t="shared" si="131"/>
        <v>-1.0000000000000009E-2</v>
      </c>
      <c r="O1030">
        <f t="shared" si="132"/>
        <v>9.0405735311707147E-3</v>
      </c>
      <c r="P1030">
        <f t="shared" si="133"/>
        <v>1</v>
      </c>
      <c r="Q1030">
        <f t="shared" si="134"/>
        <v>1</v>
      </c>
    </row>
    <row r="1031" spans="1:17">
      <c r="A1031" s="1">
        <v>43956</v>
      </c>
      <c r="B1031">
        <v>2868.44</v>
      </c>
      <c r="C1031">
        <f t="shared" si="128"/>
        <v>9.0405735311707147E-3</v>
      </c>
      <c r="D1031">
        <f t="shared" si="135"/>
        <v>-1.5104225680960481E-2</v>
      </c>
      <c r="E1031">
        <f>_xlfn.XLOOKUP(A1031,VIX!A:A,VIX!B:B,"",-1)</f>
        <v>33.61</v>
      </c>
      <c r="F1031">
        <f t="shared" si="129"/>
        <v>-2.3599999999999994</v>
      </c>
      <c r="G1031">
        <f>_xlfn.XLOOKUP(A1031,'DGS10'!A:A,'DGS10'!B:B,"",-1)</f>
        <v>0.66</v>
      </c>
      <c r="H1031">
        <f t="shared" si="130"/>
        <v>2.0000000000000018E-2</v>
      </c>
      <c r="I1031" s="2">
        <f>_xlfn.XLOOKUP(A1031,T10Y3M!A:A,T10Y3M!B:B,"",-1)</f>
        <v>0.53</v>
      </c>
      <c r="J1031" s="2">
        <f>_xlfn.XLOOKUP(A1031,BAMLC0A4CBBB!A:A,BAMLC0A4CBBB!B:B,"",-1)</f>
        <v>2.83</v>
      </c>
      <c r="K1031" s="2">
        <f>_xlfn.XLOOKUP(A1031,CPIAUCSL!A:A,CPIAUCSL!B:B,"",-1)</f>
        <v>255.80199999999999</v>
      </c>
      <c r="L1031">
        <f>_xlfn.XLOOKUP(A1031,DFF!A:A,DFF!B:B,"",-1)</f>
        <v>0.05</v>
      </c>
      <c r="M1031">
        <f>_xlfn.XLOOKUP(A1031,'DGS2'!A:A,'DGS2'!B:B,"",-1)</f>
        <v>0.19</v>
      </c>
      <c r="N1031">
        <f t="shared" si="131"/>
        <v>0</v>
      </c>
      <c r="O1031">
        <f t="shared" si="132"/>
        <v>-6.9794034388029891E-3</v>
      </c>
      <c r="P1031">
        <f t="shared" si="133"/>
        <v>0</v>
      </c>
      <c r="Q1031">
        <f t="shared" si="134"/>
        <v>-1</v>
      </c>
    </row>
    <row r="1032" spans="1:17">
      <c r="A1032" s="1">
        <v>43957</v>
      </c>
      <c r="B1032">
        <v>2848.42</v>
      </c>
      <c r="C1032">
        <f t="shared" si="128"/>
        <v>-6.9794034388029891E-3</v>
      </c>
      <c r="D1032">
        <f t="shared" si="135"/>
        <v>6.2563809079700938E-3</v>
      </c>
      <c r="E1032">
        <f>_xlfn.XLOOKUP(A1032,VIX!A:A,VIX!B:B,"",-1)</f>
        <v>34.119999999999997</v>
      </c>
      <c r="F1032">
        <f t="shared" si="129"/>
        <v>0.50999999999999801</v>
      </c>
      <c r="G1032">
        <f>_xlfn.XLOOKUP(A1032,'DGS10'!A:A,'DGS10'!B:B,"",-1)</f>
        <v>0.72</v>
      </c>
      <c r="H1032">
        <f t="shared" si="130"/>
        <v>5.9999999999999942E-2</v>
      </c>
      <c r="I1032" s="2">
        <f>_xlfn.XLOOKUP(A1032,T10Y3M!A:A,T10Y3M!B:B,"",-1)</f>
        <v>0.6</v>
      </c>
      <c r="J1032" s="2">
        <f>_xlfn.XLOOKUP(A1032,BAMLC0A4CBBB!A:A,BAMLC0A4CBBB!B:B,"",-1)</f>
        <v>2.83</v>
      </c>
      <c r="K1032" s="2">
        <f>_xlfn.XLOOKUP(A1032,CPIAUCSL!A:A,CPIAUCSL!B:B,"",-1)</f>
        <v>255.80199999999999</v>
      </c>
      <c r="L1032">
        <f>_xlfn.XLOOKUP(A1032,DFF!A:A,DFF!B:B,"",-1)</f>
        <v>0.05</v>
      </c>
      <c r="M1032">
        <f>_xlfn.XLOOKUP(A1032,'DGS2'!A:A,'DGS2'!B:B,"",-1)</f>
        <v>0.17</v>
      </c>
      <c r="N1032">
        <f t="shared" si="131"/>
        <v>-1.999999999999999E-2</v>
      </c>
      <c r="O1032">
        <f t="shared" si="132"/>
        <v>1.1504623615899323E-2</v>
      </c>
      <c r="P1032">
        <f t="shared" si="133"/>
        <v>1</v>
      </c>
      <c r="Q1032">
        <f t="shared" si="134"/>
        <v>1</v>
      </c>
    </row>
    <row r="1033" spans="1:17">
      <c r="A1033" s="1">
        <v>43958</v>
      </c>
      <c r="B1033">
        <v>2881.19</v>
      </c>
      <c r="C1033">
        <f t="shared" si="128"/>
        <v>1.1504623615899323E-2</v>
      </c>
      <c r="D1033">
        <f t="shared" si="135"/>
        <v>1.3525682967840957E-2</v>
      </c>
      <c r="E1033">
        <f>_xlfn.XLOOKUP(A1033,VIX!A:A,VIX!B:B,"",-1)</f>
        <v>31.44</v>
      </c>
      <c r="F1033">
        <f t="shared" si="129"/>
        <v>-2.6799999999999962</v>
      </c>
      <c r="G1033">
        <f>_xlfn.XLOOKUP(A1033,'DGS10'!A:A,'DGS10'!B:B,"",-1)</f>
        <v>0.63</v>
      </c>
      <c r="H1033">
        <f t="shared" si="130"/>
        <v>-8.9999999999999969E-2</v>
      </c>
      <c r="I1033" s="2">
        <f>_xlfn.XLOOKUP(A1033,T10Y3M!A:A,T10Y3M!B:B,"",-1)</f>
        <v>0.52</v>
      </c>
      <c r="J1033" s="2">
        <f>_xlfn.XLOOKUP(A1033,BAMLC0A4CBBB!A:A,BAMLC0A4CBBB!B:B,"",-1)</f>
        <v>2.86</v>
      </c>
      <c r="K1033" s="2">
        <f>_xlfn.XLOOKUP(A1033,CPIAUCSL!A:A,CPIAUCSL!B:B,"",-1)</f>
        <v>255.80199999999999</v>
      </c>
      <c r="L1033">
        <f>_xlfn.XLOOKUP(A1033,DFF!A:A,DFF!B:B,"",-1)</f>
        <v>0.05</v>
      </c>
      <c r="M1033">
        <f>_xlfn.XLOOKUP(A1033,'DGS2'!A:A,'DGS2'!B:B,"",-1)</f>
        <v>0.13</v>
      </c>
      <c r="N1033">
        <f t="shared" si="131"/>
        <v>-4.0000000000000008E-2</v>
      </c>
      <c r="O1033">
        <f t="shared" si="132"/>
        <v>1.6871501011734846E-2</v>
      </c>
      <c r="P1033">
        <f t="shared" si="133"/>
        <v>1</v>
      </c>
      <c r="Q1033">
        <f t="shared" si="134"/>
        <v>1</v>
      </c>
    </row>
    <row r="1034" spans="1:17">
      <c r="A1034" s="1">
        <v>43959</v>
      </c>
      <c r="B1034">
        <v>2929.8</v>
      </c>
      <c r="C1034">
        <f t="shared" si="128"/>
        <v>1.6871501011734846E-2</v>
      </c>
      <c r="D1034">
        <f t="shared" si="135"/>
        <v>2.1391418331915713E-2</v>
      </c>
      <c r="E1034">
        <f>_xlfn.XLOOKUP(A1034,VIX!A:A,VIX!B:B,"",-1)</f>
        <v>27.98</v>
      </c>
      <c r="F1034">
        <f t="shared" si="129"/>
        <v>-3.4600000000000009</v>
      </c>
      <c r="G1034">
        <f>_xlfn.XLOOKUP(A1034,'DGS10'!A:A,'DGS10'!B:B,"",-1)</f>
        <v>0.69</v>
      </c>
      <c r="H1034">
        <f t="shared" si="130"/>
        <v>5.9999999999999942E-2</v>
      </c>
      <c r="I1034" s="2">
        <f>_xlfn.XLOOKUP(A1034,T10Y3M!A:A,T10Y3M!B:B,"",-1)</f>
        <v>0.56999999999999995</v>
      </c>
      <c r="J1034" s="2">
        <f>_xlfn.XLOOKUP(A1034,BAMLC0A4CBBB!A:A,BAMLC0A4CBBB!B:B,"",-1)</f>
        <v>2.87</v>
      </c>
      <c r="K1034" s="2">
        <f>_xlfn.XLOOKUP(A1034,CPIAUCSL!A:A,CPIAUCSL!B:B,"",-1)</f>
        <v>255.80199999999999</v>
      </c>
      <c r="L1034">
        <f>_xlfn.XLOOKUP(A1034,DFF!A:A,DFF!B:B,"",-1)</f>
        <v>0.05</v>
      </c>
      <c r="M1034">
        <f>_xlfn.XLOOKUP(A1034,'DGS2'!A:A,'DGS2'!B:B,"",-1)</f>
        <v>0.16</v>
      </c>
      <c r="N1034">
        <f t="shared" si="131"/>
        <v>0.03</v>
      </c>
      <c r="O1034">
        <f t="shared" si="132"/>
        <v>1.7748651785098879E-4</v>
      </c>
      <c r="P1034">
        <f t="shared" si="133"/>
        <v>1</v>
      </c>
      <c r="Q1034">
        <f t="shared" si="134"/>
        <v>0</v>
      </c>
    </row>
    <row r="1035" spans="1:17">
      <c r="A1035" s="1">
        <v>43962</v>
      </c>
      <c r="B1035">
        <v>2930.32</v>
      </c>
      <c r="C1035">
        <f t="shared" si="128"/>
        <v>1.7748651785098879E-4</v>
      </c>
      <c r="D1035">
        <f t="shared" si="135"/>
        <v>2.8752782244191533E-2</v>
      </c>
      <c r="E1035">
        <f>_xlfn.XLOOKUP(A1035,VIX!A:A,VIX!B:B,"",-1)</f>
        <v>27.57</v>
      </c>
      <c r="F1035">
        <f t="shared" si="129"/>
        <v>-0.41000000000000014</v>
      </c>
      <c r="G1035">
        <f>_xlfn.XLOOKUP(A1035,'DGS10'!A:A,'DGS10'!B:B,"",-1)</f>
        <v>0.73</v>
      </c>
      <c r="H1035">
        <f t="shared" si="130"/>
        <v>4.0000000000000036E-2</v>
      </c>
      <c r="I1035" s="2">
        <f>_xlfn.XLOOKUP(A1035,T10Y3M!A:A,T10Y3M!B:B,"",-1)</f>
        <v>0.61</v>
      </c>
      <c r="J1035" s="2">
        <f>_xlfn.XLOOKUP(A1035,BAMLC0A4CBBB!A:A,BAMLC0A4CBBB!B:B,"",-1)</f>
        <v>2.88</v>
      </c>
      <c r="K1035" s="2">
        <f>_xlfn.XLOOKUP(A1035,CPIAUCSL!A:A,CPIAUCSL!B:B,"",-1)</f>
        <v>255.80199999999999</v>
      </c>
      <c r="L1035">
        <f>_xlfn.XLOOKUP(A1035,DFF!A:A,DFF!B:B,"",-1)</f>
        <v>0.05</v>
      </c>
      <c r="M1035">
        <f>_xlfn.XLOOKUP(A1035,'DGS2'!A:A,'DGS2'!B:B,"",-1)</f>
        <v>0.17</v>
      </c>
      <c r="N1035">
        <f t="shared" si="131"/>
        <v>1.0000000000000009E-2</v>
      </c>
      <c r="O1035">
        <f t="shared" si="132"/>
        <v>-2.054383139042848E-2</v>
      </c>
      <c r="P1035">
        <f t="shared" si="133"/>
        <v>0</v>
      </c>
      <c r="Q1035">
        <f t="shared" si="134"/>
        <v>-1</v>
      </c>
    </row>
    <row r="1036" spans="1:17">
      <c r="A1036" s="1">
        <v>43963</v>
      </c>
      <c r="B1036">
        <v>2870.12</v>
      </c>
      <c r="C1036">
        <f t="shared" si="128"/>
        <v>-2.054383139042848E-2</v>
      </c>
      <c r="D1036">
        <f t="shared" si="135"/>
        <v>-3.8421624398252696E-3</v>
      </c>
      <c r="E1036">
        <f>_xlfn.XLOOKUP(A1036,VIX!A:A,VIX!B:B,"",-1)</f>
        <v>33.04</v>
      </c>
      <c r="F1036">
        <f t="shared" si="129"/>
        <v>5.4699999999999989</v>
      </c>
      <c r="G1036">
        <f>_xlfn.XLOOKUP(A1036,'DGS10'!A:A,'DGS10'!B:B,"",-1)</f>
        <v>0.69</v>
      </c>
      <c r="H1036">
        <f t="shared" si="130"/>
        <v>-4.0000000000000036E-2</v>
      </c>
      <c r="I1036" s="2">
        <f>_xlfn.XLOOKUP(A1036,T10Y3M!A:A,T10Y3M!B:B,"",-1)</f>
        <v>0.56000000000000005</v>
      </c>
      <c r="J1036" s="2">
        <f>_xlfn.XLOOKUP(A1036,BAMLC0A4CBBB!A:A,BAMLC0A4CBBB!B:B,"",-1)</f>
        <v>2.87</v>
      </c>
      <c r="K1036" s="2">
        <f>_xlfn.XLOOKUP(A1036,CPIAUCSL!A:A,CPIAUCSL!B:B,"",-1)</f>
        <v>255.80199999999999</v>
      </c>
      <c r="L1036">
        <f>_xlfn.XLOOKUP(A1036,DFF!A:A,DFF!B:B,"",-1)</f>
        <v>0.05</v>
      </c>
      <c r="M1036">
        <f>_xlfn.XLOOKUP(A1036,'DGS2'!A:A,'DGS2'!B:B,"",-1)</f>
        <v>0.17</v>
      </c>
      <c r="N1036">
        <f t="shared" si="131"/>
        <v>0</v>
      </c>
      <c r="O1036">
        <f t="shared" si="132"/>
        <v>-1.7462684487059787E-2</v>
      </c>
      <c r="P1036">
        <f t="shared" si="133"/>
        <v>0</v>
      </c>
      <c r="Q1036">
        <f t="shared" si="134"/>
        <v>-1</v>
      </c>
    </row>
    <row r="1037" spans="1:17">
      <c r="A1037" s="1">
        <v>43964</v>
      </c>
      <c r="B1037">
        <v>2820</v>
      </c>
      <c r="C1037">
        <f t="shared" si="128"/>
        <v>-1.7462684487059787E-2</v>
      </c>
      <c r="D1037">
        <f t="shared" si="135"/>
        <v>-3.7476960884702093E-2</v>
      </c>
      <c r="E1037">
        <f>_xlfn.XLOOKUP(A1037,VIX!A:A,VIX!B:B,"",-1)</f>
        <v>35.28</v>
      </c>
      <c r="F1037">
        <f t="shared" si="129"/>
        <v>2.240000000000002</v>
      </c>
      <c r="G1037">
        <f>_xlfn.XLOOKUP(A1037,'DGS10'!A:A,'DGS10'!B:B,"",-1)</f>
        <v>0.64</v>
      </c>
      <c r="H1037">
        <f t="shared" si="130"/>
        <v>-4.9999999999999933E-2</v>
      </c>
      <c r="I1037" s="2">
        <f>_xlfn.XLOOKUP(A1037,T10Y3M!A:A,T10Y3M!B:B,"",-1)</f>
        <v>0.51</v>
      </c>
      <c r="J1037" s="2">
        <f>_xlfn.XLOOKUP(A1037,BAMLC0A4CBBB!A:A,BAMLC0A4CBBB!B:B,"",-1)</f>
        <v>2.86</v>
      </c>
      <c r="K1037" s="2">
        <f>_xlfn.XLOOKUP(A1037,CPIAUCSL!A:A,CPIAUCSL!B:B,"",-1)</f>
        <v>255.80199999999999</v>
      </c>
      <c r="L1037">
        <f>_xlfn.XLOOKUP(A1037,DFF!A:A,DFF!B:B,"",-1)</f>
        <v>0.05</v>
      </c>
      <c r="M1037">
        <f>_xlfn.XLOOKUP(A1037,'DGS2'!A:A,'DGS2'!B:B,"",-1)</f>
        <v>0.16</v>
      </c>
      <c r="N1037">
        <f t="shared" si="131"/>
        <v>-1.0000000000000009E-2</v>
      </c>
      <c r="O1037">
        <f t="shared" si="132"/>
        <v>1.1524822695035519E-2</v>
      </c>
      <c r="P1037">
        <f t="shared" si="133"/>
        <v>1</v>
      </c>
      <c r="Q1037">
        <f t="shared" si="134"/>
        <v>1</v>
      </c>
    </row>
    <row r="1038" spans="1:17">
      <c r="A1038" s="1">
        <v>43965</v>
      </c>
      <c r="B1038">
        <v>2852.5</v>
      </c>
      <c r="C1038">
        <f t="shared" si="128"/>
        <v>1.1524822695035519E-2</v>
      </c>
      <c r="D1038">
        <f t="shared" si="135"/>
        <v>-2.6556826558191693E-2</v>
      </c>
      <c r="E1038">
        <f>_xlfn.XLOOKUP(A1038,VIX!A:A,VIX!B:B,"",-1)</f>
        <v>32.61</v>
      </c>
      <c r="F1038">
        <f t="shared" si="129"/>
        <v>-2.6700000000000017</v>
      </c>
      <c r="G1038">
        <f>_xlfn.XLOOKUP(A1038,'DGS10'!A:A,'DGS10'!B:B,"",-1)</f>
        <v>0.63</v>
      </c>
      <c r="H1038">
        <f t="shared" si="130"/>
        <v>-1.0000000000000009E-2</v>
      </c>
      <c r="I1038" s="2">
        <f>_xlfn.XLOOKUP(A1038,T10Y3M!A:A,T10Y3M!B:B,"",-1)</f>
        <v>0.51</v>
      </c>
      <c r="J1038" s="2">
        <f>_xlfn.XLOOKUP(A1038,BAMLC0A4CBBB!A:A,BAMLC0A4CBBB!B:B,"",-1)</f>
        <v>2.87</v>
      </c>
      <c r="K1038" s="2">
        <f>_xlfn.XLOOKUP(A1038,CPIAUCSL!A:A,CPIAUCSL!B:B,"",-1)</f>
        <v>255.80199999999999</v>
      </c>
      <c r="L1038">
        <f>_xlfn.XLOOKUP(A1038,DFF!A:A,DFF!B:B,"",-1)</f>
        <v>0.05</v>
      </c>
      <c r="M1038">
        <f>_xlfn.XLOOKUP(A1038,'DGS2'!A:A,'DGS2'!B:B,"",-1)</f>
        <v>0.16</v>
      </c>
      <c r="N1038">
        <f t="shared" si="131"/>
        <v>0</v>
      </c>
      <c r="O1038">
        <f t="shared" si="132"/>
        <v>3.9263803680980036E-3</v>
      </c>
      <c r="P1038">
        <f t="shared" si="133"/>
        <v>1</v>
      </c>
      <c r="Q1038">
        <f t="shared" si="134"/>
        <v>1</v>
      </c>
    </row>
    <row r="1039" spans="1:17">
      <c r="A1039" s="1">
        <v>43966</v>
      </c>
      <c r="B1039">
        <v>2863.7</v>
      </c>
      <c r="C1039">
        <f t="shared" si="128"/>
        <v>3.9263803680980036E-3</v>
      </c>
      <c r="D1039">
        <f t="shared" si="135"/>
        <v>-2.2368402714869617E-3</v>
      </c>
      <c r="E1039">
        <f>_xlfn.XLOOKUP(A1039,VIX!A:A,VIX!B:B,"",-1)</f>
        <v>31.89</v>
      </c>
      <c r="F1039">
        <f t="shared" si="129"/>
        <v>-0.71999999999999886</v>
      </c>
      <c r="G1039">
        <f>_xlfn.XLOOKUP(A1039,'DGS10'!A:A,'DGS10'!B:B,"",-1)</f>
        <v>0.64</v>
      </c>
      <c r="H1039">
        <f t="shared" si="130"/>
        <v>1.0000000000000009E-2</v>
      </c>
      <c r="I1039" s="2">
        <f>_xlfn.XLOOKUP(A1039,T10Y3M!A:A,T10Y3M!B:B,"",-1)</f>
        <v>0.52</v>
      </c>
      <c r="J1039" s="2">
        <f>_xlfn.XLOOKUP(A1039,BAMLC0A4CBBB!A:A,BAMLC0A4CBBB!B:B,"",-1)</f>
        <v>2.85</v>
      </c>
      <c r="K1039" s="2">
        <f>_xlfn.XLOOKUP(A1039,CPIAUCSL!A:A,CPIAUCSL!B:B,"",-1)</f>
        <v>255.80199999999999</v>
      </c>
      <c r="L1039">
        <f>_xlfn.XLOOKUP(A1039,DFF!A:A,DFF!B:B,"",-1)</f>
        <v>0.05</v>
      </c>
      <c r="M1039">
        <f>_xlfn.XLOOKUP(A1039,'DGS2'!A:A,'DGS2'!B:B,"",-1)</f>
        <v>0.16</v>
      </c>
      <c r="N1039">
        <f t="shared" si="131"/>
        <v>0</v>
      </c>
      <c r="O1039">
        <f t="shared" si="132"/>
        <v>3.1501204735132848E-2</v>
      </c>
      <c r="P1039">
        <f t="shared" si="133"/>
        <v>1</v>
      </c>
      <c r="Q1039">
        <f t="shared" si="134"/>
        <v>1</v>
      </c>
    </row>
    <row r="1040" spans="1:17">
      <c r="A1040" s="1">
        <v>43969</v>
      </c>
      <c r="B1040">
        <v>2953.91</v>
      </c>
      <c r="C1040">
        <f t="shared" si="128"/>
        <v>3.1501204735132848E-2</v>
      </c>
      <c r="D1040">
        <f t="shared" si="135"/>
        <v>4.7485815602836823E-2</v>
      </c>
      <c r="E1040">
        <f>_xlfn.XLOOKUP(A1040,VIX!A:A,VIX!B:B,"",-1)</f>
        <v>29.3</v>
      </c>
      <c r="F1040">
        <f t="shared" si="129"/>
        <v>-2.59</v>
      </c>
      <c r="G1040">
        <f>_xlfn.XLOOKUP(A1040,'DGS10'!A:A,'DGS10'!B:B,"",-1)</f>
        <v>0.73</v>
      </c>
      <c r="H1040">
        <f t="shared" si="130"/>
        <v>8.9999999999999969E-2</v>
      </c>
      <c r="I1040" s="2">
        <f>_xlfn.XLOOKUP(A1040,T10Y3M!A:A,T10Y3M!B:B,"",-1)</f>
        <v>0.6</v>
      </c>
      <c r="J1040" s="2">
        <f>_xlfn.XLOOKUP(A1040,BAMLC0A4CBBB!A:A,BAMLC0A4CBBB!B:B,"",-1)</f>
        <v>2.76</v>
      </c>
      <c r="K1040" s="2">
        <f>_xlfn.XLOOKUP(A1040,CPIAUCSL!A:A,CPIAUCSL!B:B,"",-1)</f>
        <v>255.80199999999999</v>
      </c>
      <c r="L1040">
        <f>_xlfn.XLOOKUP(A1040,DFF!A:A,DFF!B:B,"",-1)</f>
        <v>0.05</v>
      </c>
      <c r="M1040">
        <f>_xlfn.XLOOKUP(A1040,'DGS2'!A:A,'DGS2'!B:B,"",-1)</f>
        <v>0.18</v>
      </c>
      <c r="N1040">
        <f t="shared" si="131"/>
        <v>1.999999999999999E-2</v>
      </c>
      <c r="O1040">
        <f t="shared" si="132"/>
        <v>-1.0484408800538914E-2</v>
      </c>
      <c r="P1040">
        <f t="shared" si="133"/>
        <v>0</v>
      </c>
      <c r="Q1040">
        <f t="shared" si="134"/>
        <v>-1</v>
      </c>
    </row>
    <row r="1041" spans="1:17">
      <c r="A1041" s="1">
        <v>43970</v>
      </c>
      <c r="B1041">
        <v>2922.94</v>
      </c>
      <c r="C1041">
        <f t="shared" si="128"/>
        <v>-1.0484408800538914E-2</v>
      </c>
      <c r="D1041">
        <f t="shared" si="135"/>
        <v>2.4694127957931578E-2</v>
      </c>
      <c r="E1041">
        <f>_xlfn.XLOOKUP(A1041,VIX!A:A,VIX!B:B,"",-1)</f>
        <v>30.53</v>
      </c>
      <c r="F1041">
        <f t="shared" si="129"/>
        <v>1.2300000000000004</v>
      </c>
      <c r="G1041">
        <f>_xlfn.XLOOKUP(A1041,'DGS10'!A:A,'DGS10'!B:B,"",-1)</f>
        <v>0.7</v>
      </c>
      <c r="H1041">
        <f t="shared" si="130"/>
        <v>-3.0000000000000027E-2</v>
      </c>
      <c r="I1041" s="2">
        <f>_xlfn.XLOOKUP(A1041,T10Y3M!A:A,T10Y3M!B:B,"",-1)</f>
        <v>0.56999999999999995</v>
      </c>
      <c r="J1041" s="2">
        <f>_xlfn.XLOOKUP(A1041,BAMLC0A4CBBB!A:A,BAMLC0A4CBBB!B:B,"",-1)</f>
        <v>2.7</v>
      </c>
      <c r="K1041" s="2">
        <f>_xlfn.XLOOKUP(A1041,CPIAUCSL!A:A,CPIAUCSL!B:B,"",-1)</f>
        <v>255.80199999999999</v>
      </c>
      <c r="L1041">
        <f>_xlfn.XLOOKUP(A1041,DFF!A:A,DFF!B:B,"",-1)</f>
        <v>0.05</v>
      </c>
      <c r="M1041">
        <f>_xlfn.XLOOKUP(A1041,'DGS2'!A:A,'DGS2'!B:B,"",-1)</f>
        <v>0.17</v>
      </c>
      <c r="N1041">
        <f t="shared" si="131"/>
        <v>-9.9999999999999811E-3</v>
      </c>
      <c r="O1041">
        <f t="shared" si="132"/>
        <v>1.6651043127809739E-2</v>
      </c>
      <c r="P1041">
        <f t="shared" si="133"/>
        <v>1</v>
      </c>
      <c r="Q1041">
        <f t="shared" si="134"/>
        <v>1</v>
      </c>
    </row>
    <row r="1042" spans="1:17">
      <c r="A1042" s="1">
        <v>43971</v>
      </c>
      <c r="B1042">
        <v>2971.61</v>
      </c>
      <c r="C1042">
        <f t="shared" si="128"/>
        <v>1.6651043127809739E-2</v>
      </c>
      <c r="D1042">
        <f t="shared" si="135"/>
        <v>3.7682019764640362E-2</v>
      </c>
      <c r="E1042">
        <f>_xlfn.XLOOKUP(A1042,VIX!A:A,VIX!B:B,"",-1)</f>
        <v>27.99</v>
      </c>
      <c r="F1042">
        <f t="shared" si="129"/>
        <v>-2.5400000000000027</v>
      </c>
      <c r="G1042">
        <f>_xlfn.XLOOKUP(A1042,'DGS10'!A:A,'DGS10'!B:B,"",-1)</f>
        <v>0.68</v>
      </c>
      <c r="H1042">
        <f t="shared" si="130"/>
        <v>-1.9999999999999907E-2</v>
      </c>
      <c r="I1042" s="2">
        <f>_xlfn.XLOOKUP(A1042,T10Y3M!A:A,T10Y3M!B:B,"",-1)</f>
        <v>0.56000000000000005</v>
      </c>
      <c r="J1042" s="2">
        <f>_xlfn.XLOOKUP(A1042,BAMLC0A4CBBB!A:A,BAMLC0A4CBBB!B:B,"",-1)</f>
        <v>2.63</v>
      </c>
      <c r="K1042" s="2">
        <f>_xlfn.XLOOKUP(A1042,CPIAUCSL!A:A,CPIAUCSL!B:B,"",-1)</f>
        <v>255.80199999999999</v>
      </c>
      <c r="L1042">
        <f>_xlfn.XLOOKUP(A1042,DFF!A:A,DFF!B:B,"",-1)</f>
        <v>0.05</v>
      </c>
      <c r="M1042">
        <f>_xlfn.XLOOKUP(A1042,'DGS2'!A:A,'DGS2'!B:B,"",-1)</f>
        <v>0.16</v>
      </c>
      <c r="N1042">
        <f t="shared" si="131"/>
        <v>-1.0000000000000009E-2</v>
      </c>
      <c r="O1042">
        <f t="shared" si="132"/>
        <v>-7.7735638256701822E-3</v>
      </c>
      <c r="P1042">
        <f t="shared" si="133"/>
        <v>0</v>
      </c>
      <c r="Q1042">
        <f t="shared" si="134"/>
        <v>-1</v>
      </c>
    </row>
    <row r="1043" spans="1:17">
      <c r="A1043" s="1">
        <v>43972</v>
      </c>
      <c r="B1043">
        <v>2948.51</v>
      </c>
      <c r="C1043">
        <f t="shared" si="128"/>
        <v>-7.7735638256701822E-3</v>
      </c>
      <c r="D1043">
        <f t="shared" si="135"/>
        <v>-1.8280854866937757E-3</v>
      </c>
      <c r="E1043">
        <f>_xlfn.XLOOKUP(A1043,VIX!A:A,VIX!B:B,"",-1)</f>
        <v>29.53</v>
      </c>
      <c r="F1043">
        <f t="shared" si="129"/>
        <v>1.5400000000000027</v>
      </c>
      <c r="G1043">
        <f>_xlfn.XLOOKUP(A1043,'DGS10'!A:A,'DGS10'!B:B,"",-1)</f>
        <v>0.68</v>
      </c>
      <c r="H1043">
        <f t="shared" si="130"/>
        <v>0</v>
      </c>
      <c r="I1043" s="2">
        <f>_xlfn.XLOOKUP(A1043,T10Y3M!A:A,T10Y3M!B:B,"",-1)</f>
        <v>0.56000000000000005</v>
      </c>
      <c r="J1043" s="2">
        <f>_xlfn.XLOOKUP(A1043,BAMLC0A4CBBB!A:A,BAMLC0A4CBBB!B:B,"",-1)</f>
        <v>2.59</v>
      </c>
      <c r="K1043" s="2">
        <f>_xlfn.XLOOKUP(A1043,CPIAUCSL!A:A,CPIAUCSL!B:B,"",-1)</f>
        <v>255.80199999999999</v>
      </c>
      <c r="L1043">
        <f>_xlfn.XLOOKUP(A1043,DFF!A:A,DFF!B:B,"",-1)</f>
        <v>0.05</v>
      </c>
      <c r="M1043">
        <f>_xlfn.XLOOKUP(A1043,'DGS2'!A:A,'DGS2'!B:B,"",-1)</f>
        <v>0.17</v>
      </c>
      <c r="N1043">
        <f t="shared" si="131"/>
        <v>1.0000000000000009E-2</v>
      </c>
      <c r="O1043">
        <f t="shared" si="132"/>
        <v>2.3537312066093108E-3</v>
      </c>
      <c r="P1043">
        <f t="shared" si="133"/>
        <v>1</v>
      </c>
      <c r="Q1043">
        <f t="shared" si="134"/>
        <v>0</v>
      </c>
    </row>
    <row r="1044" spans="1:17">
      <c r="A1044" s="1">
        <v>43973</v>
      </c>
      <c r="B1044">
        <v>2955.45</v>
      </c>
      <c r="C1044">
        <f t="shared" si="128"/>
        <v>2.3537312066093108E-3</v>
      </c>
      <c r="D1044">
        <f t="shared" si="135"/>
        <v>1.1122363100166233E-2</v>
      </c>
      <c r="E1044">
        <f>_xlfn.XLOOKUP(A1044,VIX!A:A,VIX!B:B,"",-1)</f>
        <v>28.16</v>
      </c>
      <c r="F1044">
        <f t="shared" si="129"/>
        <v>-1.370000000000001</v>
      </c>
      <c r="G1044">
        <f>_xlfn.XLOOKUP(A1044,'DGS10'!A:A,'DGS10'!B:B,"",-1)</f>
        <v>0.66</v>
      </c>
      <c r="H1044">
        <f t="shared" si="130"/>
        <v>-2.0000000000000018E-2</v>
      </c>
      <c r="I1044" s="2">
        <f>_xlfn.XLOOKUP(A1044,T10Y3M!A:A,T10Y3M!B:B,"",-1)</f>
        <v>0.54</v>
      </c>
      <c r="J1044" s="2">
        <f>_xlfn.XLOOKUP(A1044,BAMLC0A4CBBB!A:A,BAMLC0A4CBBB!B:B,"",-1)</f>
        <v>2.57</v>
      </c>
      <c r="K1044" s="2">
        <f>_xlfn.XLOOKUP(A1044,CPIAUCSL!A:A,CPIAUCSL!B:B,"",-1)</f>
        <v>255.80199999999999</v>
      </c>
      <c r="L1044">
        <f>_xlfn.XLOOKUP(A1044,DFF!A:A,DFF!B:B,"",-1)</f>
        <v>0.05</v>
      </c>
      <c r="M1044">
        <f>_xlfn.XLOOKUP(A1044,'DGS2'!A:A,'DGS2'!B:B,"",-1)</f>
        <v>0.17</v>
      </c>
      <c r="N1044">
        <f t="shared" si="131"/>
        <v>0</v>
      </c>
      <c r="O1044">
        <f t="shared" si="132"/>
        <v>1.2289160703107926E-2</v>
      </c>
      <c r="P1044">
        <f t="shared" si="133"/>
        <v>1</v>
      </c>
      <c r="Q1044">
        <f t="shared" si="134"/>
        <v>1</v>
      </c>
    </row>
    <row r="1045" spans="1:17">
      <c r="A1045" s="1">
        <v>43977</v>
      </c>
      <c r="B1045">
        <v>2991.77</v>
      </c>
      <c r="C1045">
        <f t="shared" si="128"/>
        <v>1.2289160703107926E-2</v>
      </c>
      <c r="D1045">
        <f t="shared" si="135"/>
        <v>6.784201156948555E-3</v>
      </c>
      <c r="E1045">
        <f>_xlfn.XLOOKUP(A1045,VIX!A:A,VIX!B:B,"",-1)</f>
        <v>28.01</v>
      </c>
      <c r="F1045">
        <f t="shared" si="129"/>
        <v>-0.14999999999999858</v>
      </c>
      <c r="G1045">
        <f>_xlfn.XLOOKUP(A1045,'DGS10'!A:A,'DGS10'!B:B,"",-1)</f>
        <v>0.69</v>
      </c>
      <c r="H1045">
        <f t="shared" si="130"/>
        <v>2.9999999999999916E-2</v>
      </c>
      <c r="I1045" s="2">
        <f>_xlfn.XLOOKUP(A1045,T10Y3M!A:A,T10Y3M!B:B,"",-1)</f>
        <v>0.55000000000000004</v>
      </c>
      <c r="J1045" s="2">
        <f>_xlfn.XLOOKUP(A1045,BAMLC0A4CBBB!A:A,BAMLC0A4CBBB!B:B,"",-1)</f>
        <v>2.52</v>
      </c>
      <c r="K1045" s="2">
        <f>_xlfn.XLOOKUP(A1045,CPIAUCSL!A:A,CPIAUCSL!B:B,"",-1)</f>
        <v>255.80199999999999</v>
      </c>
      <c r="L1045">
        <f>_xlfn.XLOOKUP(A1045,DFF!A:A,DFF!B:B,"",-1)</f>
        <v>0.05</v>
      </c>
      <c r="M1045">
        <f>_xlfn.XLOOKUP(A1045,'DGS2'!A:A,'DGS2'!B:B,"",-1)</f>
        <v>0.18</v>
      </c>
      <c r="N1045">
        <f t="shared" si="131"/>
        <v>9.9999999999999811E-3</v>
      </c>
      <c r="O1045">
        <f t="shared" si="132"/>
        <v>1.4827343010993532E-2</v>
      </c>
      <c r="P1045">
        <f t="shared" si="133"/>
        <v>1</v>
      </c>
      <c r="Q1045">
        <f t="shared" si="134"/>
        <v>1</v>
      </c>
    </row>
    <row r="1046" spans="1:17">
      <c r="A1046" s="1">
        <v>43978</v>
      </c>
      <c r="B1046">
        <v>3036.13</v>
      </c>
      <c r="C1046">
        <f t="shared" si="128"/>
        <v>1.4827343010993532E-2</v>
      </c>
      <c r="D1046">
        <f t="shared" si="135"/>
        <v>2.9716704369325386E-2</v>
      </c>
      <c r="E1046">
        <f>_xlfn.XLOOKUP(A1046,VIX!A:A,VIX!B:B,"",-1)</f>
        <v>27.62</v>
      </c>
      <c r="F1046">
        <f t="shared" si="129"/>
        <v>-0.39000000000000057</v>
      </c>
      <c r="G1046">
        <f>_xlfn.XLOOKUP(A1046,'DGS10'!A:A,'DGS10'!B:B,"",-1)</f>
        <v>0.68</v>
      </c>
      <c r="H1046">
        <f t="shared" si="130"/>
        <v>-9.9999999999998979E-3</v>
      </c>
      <c r="I1046" s="2">
        <f>_xlfn.XLOOKUP(A1046,T10Y3M!A:A,T10Y3M!B:B,"",-1)</f>
        <v>0.53</v>
      </c>
      <c r="J1046" s="2">
        <f>_xlfn.XLOOKUP(A1046,BAMLC0A4CBBB!A:A,BAMLC0A4CBBB!B:B,"",-1)</f>
        <v>2.48</v>
      </c>
      <c r="K1046" s="2">
        <f>_xlfn.XLOOKUP(A1046,CPIAUCSL!A:A,CPIAUCSL!B:B,"",-1)</f>
        <v>255.80199999999999</v>
      </c>
      <c r="L1046">
        <f>_xlfn.XLOOKUP(A1046,DFF!A:A,DFF!B:B,"",-1)</f>
        <v>0.05</v>
      </c>
      <c r="M1046">
        <f>_xlfn.XLOOKUP(A1046,'DGS2'!A:A,'DGS2'!B:B,"",-1)</f>
        <v>0.19</v>
      </c>
      <c r="N1046">
        <f t="shared" si="131"/>
        <v>1.0000000000000009E-2</v>
      </c>
      <c r="O1046">
        <f t="shared" si="132"/>
        <v>-2.1079466294262605E-3</v>
      </c>
      <c r="P1046">
        <f t="shared" si="133"/>
        <v>0</v>
      </c>
      <c r="Q1046">
        <f t="shared" si="134"/>
        <v>0</v>
      </c>
    </row>
    <row r="1047" spans="1:17">
      <c r="A1047" s="1">
        <v>43979</v>
      </c>
      <c r="B1047">
        <v>3029.73</v>
      </c>
      <c r="C1047">
        <f t="shared" si="128"/>
        <v>-2.1079466294262605E-3</v>
      </c>
      <c r="D1047">
        <f t="shared" si="135"/>
        <v>2.5133228442369315E-2</v>
      </c>
      <c r="E1047">
        <f>_xlfn.XLOOKUP(A1047,VIX!A:A,VIX!B:B,"",-1)</f>
        <v>28.59</v>
      </c>
      <c r="F1047">
        <f t="shared" si="129"/>
        <v>0.96999999999999886</v>
      </c>
      <c r="G1047">
        <f>_xlfn.XLOOKUP(A1047,'DGS10'!A:A,'DGS10'!B:B,"",-1)</f>
        <v>0.7</v>
      </c>
      <c r="H1047">
        <f t="shared" si="130"/>
        <v>1.9999999999999907E-2</v>
      </c>
      <c r="I1047" s="2">
        <f>_xlfn.XLOOKUP(A1047,T10Y3M!A:A,T10Y3M!B:B,"",-1)</f>
        <v>0.55000000000000004</v>
      </c>
      <c r="J1047" s="2">
        <f>_xlfn.XLOOKUP(A1047,BAMLC0A4CBBB!A:A,BAMLC0A4CBBB!B:B,"",-1)</f>
        <v>2.4500000000000002</v>
      </c>
      <c r="K1047" s="2">
        <f>_xlfn.XLOOKUP(A1047,CPIAUCSL!A:A,CPIAUCSL!B:B,"",-1)</f>
        <v>255.80199999999999</v>
      </c>
      <c r="L1047">
        <f>_xlfn.XLOOKUP(A1047,DFF!A:A,DFF!B:B,"",-1)</f>
        <v>0.05</v>
      </c>
      <c r="M1047">
        <f>_xlfn.XLOOKUP(A1047,'DGS2'!A:A,'DGS2'!B:B,"",-1)</f>
        <v>0.17</v>
      </c>
      <c r="N1047">
        <f t="shared" si="131"/>
        <v>-1.999999999999999E-2</v>
      </c>
      <c r="O1047">
        <f t="shared" si="132"/>
        <v>4.8123100078225622E-3</v>
      </c>
      <c r="P1047">
        <f t="shared" si="133"/>
        <v>1</v>
      </c>
      <c r="Q1047">
        <f t="shared" si="134"/>
        <v>1</v>
      </c>
    </row>
    <row r="1048" spans="1:17">
      <c r="A1048" s="1">
        <v>43980</v>
      </c>
      <c r="B1048">
        <v>3044.31</v>
      </c>
      <c r="C1048">
        <f t="shared" si="128"/>
        <v>4.8123100078225622E-3</v>
      </c>
      <c r="D1048">
        <f t="shared" si="135"/>
        <v>1.7561510410225356E-2</v>
      </c>
      <c r="E1048">
        <f>_xlfn.XLOOKUP(A1048,VIX!A:A,VIX!B:B,"",-1)</f>
        <v>27.51</v>
      </c>
      <c r="F1048">
        <f t="shared" si="129"/>
        <v>-1.0799999999999983</v>
      </c>
      <c r="G1048">
        <f>_xlfn.XLOOKUP(A1048,'DGS10'!A:A,'DGS10'!B:B,"",-1)</f>
        <v>0.65</v>
      </c>
      <c r="H1048">
        <f t="shared" si="130"/>
        <v>-4.9999999999999933E-2</v>
      </c>
      <c r="I1048" s="2">
        <f>_xlfn.XLOOKUP(A1048,T10Y3M!A:A,T10Y3M!B:B,"",-1)</f>
        <v>0.51</v>
      </c>
      <c r="J1048" s="2">
        <f>_xlfn.XLOOKUP(A1048,BAMLC0A4CBBB!A:A,BAMLC0A4CBBB!B:B,"",-1)</f>
        <v>2.42</v>
      </c>
      <c r="K1048" s="2">
        <f>_xlfn.XLOOKUP(A1048,CPIAUCSL!A:A,CPIAUCSL!B:B,"",-1)</f>
        <v>255.80199999999999</v>
      </c>
      <c r="L1048">
        <f>_xlfn.XLOOKUP(A1048,DFF!A:A,DFF!B:B,"",-1)</f>
        <v>0.05</v>
      </c>
      <c r="M1048">
        <f>_xlfn.XLOOKUP(A1048,'DGS2'!A:A,'DGS2'!B:B,"",-1)</f>
        <v>0.16</v>
      </c>
      <c r="N1048">
        <f t="shared" si="131"/>
        <v>-1.0000000000000009E-2</v>
      </c>
      <c r="O1048">
        <f t="shared" si="132"/>
        <v>3.7512605483673855E-3</v>
      </c>
      <c r="P1048">
        <f t="shared" si="133"/>
        <v>1</v>
      </c>
      <c r="Q1048">
        <f t="shared" si="134"/>
        <v>1</v>
      </c>
    </row>
    <row r="1049" spans="1:17">
      <c r="A1049" s="1">
        <v>43983</v>
      </c>
      <c r="B1049">
        <v>3055.73</v>
      </c>
      <c r="C1049">
        <f t="shared" si="128"/>
        <v>3.7512605483673855E-3</v>
      </c>
      <c r="D1049">
        <f t="shared" si="135"/>
        <v>6.455586552617909E-3</v>
      </c>
      <c r="E1049">
        <f>_xlfn.XLOOKUP(A1049,VIX!A:A,VIX!B:B,"",-1)</f>
        <v>28.23</v>
      </c>
      <c r="F1049">
        <f t="shared" si="129"/>
        <v>0.71999999999999886</v>
      </c>
      <c r="G1049">
        <f>_xlfn.XLOOKUP(A1049,'DGS10'!A:A,'DGS10'!B:B,"",-1)</f>
        <v>0.66</v>
      </c>
      <c r="H1049">
        <f t="shared" si="130"/>
        <v>1.0000000000000009E-2</v>
      </c>
      <c r="I1049" s="2">
        <f>_xlfn.XLOOKUP(A1049,T10Y3M!A:A,T10Y3M!B:B,"",-1)</f>
        <v>0.52</v>
      </c>
      <c r="J1049" s="2">
        <f>_xlfn.XLOOKUP(A1049,BAMLC0A4CBBB!A:A,BAMLC0A4CBBB!B:B,"",-1)</f>
        <v>2.41</v>
      </c>
      <c r="K1049" s="2">
        <f>_xlfn.XLOOKUP(A1049,CPIAUCSL!A:A,CPIAUCSL!B:B,"",-1)</f>
        <v>257.04199999999997</v>
      </c>
      <c r="L1049">
        <f>_xlfn.XLOOKUP(A1049,DFF!A:A,DFF!B:B,"",-1)</f>
        <v>0.05</v>
      </c>
      <c r="M1049">
        <f>_xlfn.XLOOKUP(A1049,'DGS2'!A:A,'DGS2'!B:B,"",-1)</f>
        <v>0.14000000000000001</v>
      </c>
      <c r="N1049">
        <f t="shared" si="131"/>
        <v>-1.999999999999999E-2</v>
      </c>
      <c r="O1049">
        <f t="shared" si="132"/>
        <v>8.2108039650099496E-3</v>
      </c>
      <c r="P1049">
        <f t="shared" si="133"/>
        <v>1</v>
      </c>
      <c r="Q1049">
        <f t="shared" si="134"/>
        <v>1</v>
      </c>
    </row>
    <row r="1050" spans="1:17">
      <c r="A1050" s="1">
        <v>43984</v>
      </c>
      <c r="B1050">
        <v>3080.82</v>
      </c>
      <c r="C1050">
        <f t="shared" si="128"/>
        <v>8.2108039650099496E-3</v>
      </c>
      <c r="D1050">
        <f t="shared" si="135"/>
        <v>1.6862888772266826E-2</v>
      </c>
      <c r="E1050">
        <f>_xlfn.XLOOKUP(A1050,VIX!A:A,VIX!B:B,"",-1)</f>
        <v>26.84</v>
      </c>
      <c r="F1050">
        <f t="shared" si="129"/>
        <v>-1.3900000000000006</v>
      </c>
      <c r="G1050">
        <f>_xlfn.XLOOKUP(A1050,'DGS10'!A:A,'DGS10'!B:B,"",-1)</f>
        <v>0.68</v>
      </c>
      <c r="H1050">
        <f t="shared" si="130"/>
        <v>2.0000000000000018E-2</v>
      </c>
      <c r="I1050" s="2">
        <f>_xlfn.XLOOKUP(A1050,T10Y3M!A:A,T10Y3M!B:B,"",-1)</f>
        <v>0.53</v>
      </c>
      <c r="J1050" s="2">
        <f>_xlfn.XLOOKUP(A1050,BAMLC0A4CBBB!A:A,BAMLC0A4CBBB!B:B,"",-1)</f>
        <v>2.36</v>
      </c>
      <c r="K1050" s="2">
        <f>_xlfn.XLOOKUP(A1050,CPIAUCSL!A:A,CPIAUCSL!B:B,"",-1)</f>
        <v>257.04199999999997</v>
      </c>
      <c r="L1050">
        <f>_xlfn.XLOOKUP(A1050,DFF!A:A,DFF!B:B,"",-1)</f>
        <v>0.06</v>
      </c>
      <c r="M1050">
        <f>_xlfn.XLOOKUP(A1050,'DGS2'!A:A,'DGS2'!B:B,"",-1)</f>
        <v>0.17</v>
      </c>
      <c r="N1050">
        <f t="shared" si="131"/>
        <v>0.03</v>
      </c>
      <c r="O1050">
        <f t="shared" si="132"/>
        <v>1.3648963587616247E-2</v>
      </c>
      <c r="P1050">
        <f t="shared" si="133"/>
        <v>1</v>
      </c>
      <c r="Q1050">
        <f t="shared" si="134"/>
        <v>1</v>
      </c>
    </row>
    <row r="1051" spans="1:17">
      <c r="A1051" s="1">
        <v>43985</v>
      </c>
      <c r="B1051">
        <v>3122.87</v>
      </c>
      <c r="C1051">
        <f t="shared" si="128"/>
        <v>1.3648963587616247E-2</v>
      </c>
      <c r="D1051">
        <f t="shared" si="135"/>
        <v>2.5805519148838219E-2</v>
      </c>
      <c r="E1051">
        <f>_xlfn.XLOOKUP(A1051,VIX!A:A,VIX!B:B,"",-1)</f>
        <v>25.66</v>
      </c>
      <c r="F1051">
        <f t="shared" si="129"/>
        <v>-1.1799999999999997</v>
      </c>
      <c r="G1051">
        <f>_xlfn.XLOOKUP(A1051,'DGS10'!A:A,'DGS10'!B:B,"",-1)</f>
        <v>0.77</v>
      </c>
      <c r="H1051">
        <f t="shared" si="130"/>
        <v>8.9999999999999969E-2</v>
      </c>
      <c r="I1051" s="2">
        <f>_xlfn.XLOOKUP(A1051,T10Y3M!A:A,T10Y3M!B:B,"",-1)</f>
        <v>0.61</v>
      </c>
      <c r="J1051" s="2">
        <f>_xlfn.XLOOKUP(A1051,BAMLC0A4CBBB!A:A,BAMLC0A4CBBB!B:B,"",-1)</f>
        <v>2.27</v>
      </c>
      <c r="K1051" s="2">
        <f>_xlfn.XLOOKUP(A1051,CPIAUCSL!A:A,CPIAUCSL!B:B,"",-1)</f>
        <v>257.04199999999997</v>
      </c>
      <c r="L1051">
        <f>_xlfn.XLOOKUP(A1051,DFF!A:A,DFF!B:B,"",-1)</f>
        <v>0.06</v>
      </c>
      <c r="M1051">
        <f>_xlfn.XLOOKUP(A1051,'DGS2'!A:A,'DGS2'!B:B,"",-1)</f>
        <v>0.19</v>
      </c>
      <c r="N1051">
        <f t="shared" si="131"/>
        <v>1.999999999999999E-2</v>
      </c>
      <c r="O1051">
        <f t="shared" si="132"/>
        <v>-3.3686961032639573E-3</v>
      </c>
      <c r="P1051">
        <f t="shared" si="133"/>
        <v>0</v>
      </c>
      <c r="Q1051">
        <f t="shared" si="134"/>
        <v>-1</v>
      </c>
    </row>
    <row r="1052" spans="1:17">
      <c r="A1052" s="1">
        <v>43986</v>
      </c>
      <c r="B1052">
        <v>3112.35</v>
      </c>
      <c r="C1052">
        <f t="shared" si="128"/>
        <v>-3.3686961032639573E-3</v>
      </c>
      <c r="D1052">
        <f t="shared" si="135"/>
        <v>1.8529123973649364E-2</v>
      </c>
      <c r="E1052">
        <f>_xlfn.XLOOKUP(A1052,VIX!A:A,VIX!B:B,"",-1)</f>
        <v>25.81</v>
      </c>
      <c r="F1052">
        <f t="shared" si="129"/>
        <v>0.14999999999999858</v>
      </c>
      <c r="G1052">
        <f>_xlfn.XLOOKUP(A1052,'DGS10'!A:A,'DGS10'!B:B,"",-1)</f>
        <v>0.82</v>
      </c>
      <c r="H1052">
        <f t="shared" si="130"/>
        <v>4.9999999999999933E-2</v>
      </c>
      <c r="I1052" s="2">
        <f>_xlfn.XLOOKUP(A1052,T10Y3M!A:A,T10Y3M!B:B,"",-1)</f>
        <v>0.67</v>
      </c>
      <c r="J1052" s="2">
        <f>_xlfn.XLOOKUP(A1052,BAMLC0A4CBBB!A:A,BAMLC0A4CBBB!B:B,"",-1)</f>
        <v>2.21</v>
      </c>
      <c r="K1052" s="2">
        <f>_xlfn.XLOOKUP(A1052,CPIAUCSL!A:A,CPIAUCSL!B:B,"",-1)</f>
        <v>257.04199999999997</v>
      </c>
      <c r="L1052">
        <f>_xlfn.XLOOKUP(A1052,DFF!A:A,DFF!B:B,"",-1)</f>
        <v>0.06</v>
      </c>
      <c r="M1052">
        <f>_xlfn.XLOOKUP(A1052,'DGS2'!A:A,'DGS2'!B:B,"",-1)</f>
        <v>0.19</v>
      </c>
      <c r="N1052">
        <f t="shared" si="131"/>
        <v>0</v>
      </c>
      <c r="O1052">
        <f t="shared" si="132"/>
        <v>2.621170498176606E-2</v>
      </c>
      <c r="P1052">
        <f t="shared" si="133"/>
        <v>1</v>
      </c>
      <c r="Q1052">
        <f t="shared" si="134"/>
        <v>1</v>
      </c>
    </row>
    <row r="1053" spans="1:17">
      <c r="A1053" s="1">
        <v>43987</v>
      </c>
      <c r="B1053">
        <v>3193.93</v>
      </c>
      <c r="C1053">
        <f t="shared" si="128"/>
        <v>2.621170498176606E-2</v>
      </c>
      <c r="D1053">
        <f t="shared" si="135"/>
        <v>3.6714251400601139E-2</v>
      </c>
      <c r="E1053">
        <f>_xlfn.XLOOKUP(A1053,VIX!A:A,VIX!B:B,"",-1)</f>
        <v>24.52</v>
      </c>
      <c r="F1053">
        <f t="shared" si="129"/>
        <v>-1.2899999999999991</v>
      </c>
      <c r="G1053">
        <f>_xlfn.XLOOKUP(A1053,'DGS10'!A:A,'DGS10'!B:B,"",-1)</f>
        <v>0.91</v>
      </c>
      <c r="H1053">
        <f t="shared" si="130"/>
        <v>9.000000000000008E-2</v>
      </c>
      <c r="I1053" s="2">
        <f>_xlfn.XLOOKUP(A1053,T10Y3M!A:A,T10Y3M!B:B,"",-1)</f>
        <v>0.76</v>
      </c>
      <c r="J1053" s="2">
        <f>_xlfn.XLOOKUP(A1053,BAMLC0A4CBBB!A:A,BAMLC0A4CBBB!B:B,"",-1)</f>
        <v>2.08</v>
      </c>
      <c r="K1053" s="2">
        <f>_xlfn.XLOOKUP(A1053,CPIAUCSL!A:A,CPIAUCSL!B:B,"",-1)</f>
        <v>257.04199999999997</v>
      </c>
      <c r="L1053">
        <f>_xlfn.XLOOKUP(A1053,DFF!A:A,DFF!B:B,"",-1)</f>
        <v>7.0000000000000007E-2</v>
      </c>
      <c r="M1053">
        <f>_xlfn.XLOOKUP(A1053,'DGS2'!A:A,'DGS2'!B:B,"",-1)</f>
        <v>0.22</v>
      </c>
      <c r="N1053">
        <f t="shared" si="131"/>
        <v>0.03</v>
      </c>
      <c r="O1053">
        <f t="shared" si="132"/>
        <v>1.2041591393674889E-2</v>
      </c>
      <c r="P1053">
        <f t="shared" si="133"/>
        <v>1</v>
      </c>
      <c r="Q1053">
        <f t="shared" si="134"/>
        <v>1</v>
      </c>
    </row>
    <row r="1054" spans="1:17">
      <c r="A1054" s="1">
        <v>43990</v>
      </c>
      <c r="B1054">
        <v>3232.39</v>
      </c>
      <c r="C1054">
        <f t="shared" si="128"/>
        <v>1.2041591393674889E-2</v>
      </c>
      <c r="D1054">
        <f t="shared" si="135"/>
        <v>3.5070303919151335E-2</v>
      </c>
      <c r="E1054">
        <f>_xlfn.XLOOKUP(A1054,VIX!A:A,VIX!B:B,"",-1)</f>
        <v>25.81</v>
      </c>
      <c r="F1054">
        <f t="shared" si="129"/>
        <v>1.2899999999999991</v>
      </c>
      <c r="G1054">
        <f>_xlfn.XLOOKUP(A1054,'DGS10'!A:A,'DGS10'!B:B,"",-1)</f>
        <v>0.88</v>
      </c>
      <c r="H1054">
        <f t="shared" si="130"/>
        <v>-3.0000000000000027E-2</v>
      </c>
      <c r="I1054" s="2">
        <f>_xlfn.XLOOKUP(A1054,T10Y3M!A:A,T10Y3M!B:B,"",-1)</f>
        <v>0.71</v>
      </c>
      <c r="J1054" s="2">
        <f>_xlfn.XLOOKUP(A1054,BAMLC0A4CBBB!A:A,BAMLC0A4CBBB!B:B,"",-1)</f>
        <v>2.0299999999999998</v>
      </c>
      <c r="K1054" s="2">
        <f>_xlfn.XLOOKUP(A1054,CPIAUCSL!A:A,CPIAUCSL!B:B,"",-1)</f>
        <v>257.04199999999997</v>
      </c>
      <c r="L1054">
        <f>_xlfn.XLOOKUP(A1054,DFF!A:A,DFF!B:B,"",-1)</f>
        <v>7.0000000000000007E-2</v>
      </c>
      <c r="M1054">
        <f>_xlfn.XLOOKUP(A1054,'DGS2'!A:A,'DGS2'!B:B,"",-1)</f>
        <v>0.22</v>
      </c>
      <c r="N1054">
        <f t="shared" si="131"/>
        <v>0</v>
      </c>
      <c r="O1054">
        <f t="shared" si="132"/>
        <v>-7.7991826481333959E-3</v>
      </c>
      <c r="P1054">
        <f t="shared" si="133"/>
        <v>0</v>
      </c>
      <c r="Q1054">
        <f t="shared" si="134"/>
        <v>-1</v>
      </c>
    </row>
    <row r="1055" spans="1:17">
      <c r="A1055" s="1">
        <v>43991</v>
      </c>
      <c r="B1055">
        <v>3207.18</v>
      </c>
      <c r="C1055">
        <f t="shared" si="128"/>
        <v>-7.7991826481333959E-3</v>
      </c>
      <c r="D1055">
        <f t="shared" si="135"/>
        <v>3.0468938262084855E-2</v>
      </c>
      <c r="E1055">
        <f>_xlfn.XLOOKUP(A1055,VIX!A:A,VIX!B:B,"",-1)</f>
        <v>27.57</v>
      </c>
      <c r="F1055">
        <f t="shared" si="129"/>
        <v>1.7600000000000016</v>
      </c>
      <c r="G1055">
        <f>_xlfn.XLOOKUP(A1055,'DGS10'!A:A,'DGS10'!B:B,"",-1)</f>
        <v>0.84</v>
      </c>
      <c r="H1055">
        <f t="shared" si="130"/>
        <v>-4.0000000000000036E-2</v>
      </c>
      <c r="I1055" s="2">
        <f>_xlfn.XLOOKUP(A1055,T10Y3M!A:A,T10Y3M!B:B,"",-1)</f>
        <v>0.65</v>
      </c>
      <c r="J1055" s="2">
        <f>_xlfn.XLOOKUP(A1055,BAMLC0A4CBBB!A:A,BAMLC0A4CBBB!B:B,"",-1)</f>
        <v>2.06</v>
      </c>
      <c r="K1055" s="2">
        <f>_xlfn.XLOOKUP(A1055,CPIAUCSL!A:A,CPIAUCSL!B:B,"",-1)</f>
        <v>257.04199999999997</v>
      </c>
      <c r="L1055">
        <f>_xlfn.XLOOKUP(A1055,DFF!A:A,DFF!B:B,"",-1)</f>
        <v>7.0000000000000007E-2</v>
      </c>
      <c r="M1055">
        <f>_xlfn.XLOOKUP(A1055,'DGS2'!A:A,'DGS2'!B:B,"",-1)</f>
        <v>0.2</v>
      </c>
      <c r="N1055">
        <f t="shared" si="131"/>
        <v>-1.999999999999999E-2</v>
      </c>
      <c r="O1055">
        <f t="shared" si="132"/>
        <v>-5.3130787794885004E-3</v>
      </c>
      <c r="P1055">
        <f t="shared" si="133"/>
        <v>0</v>
      </c>
      <c r="Q1055">
        <f t="shared" si="134"/>
        <v>-1</v>
      </c>
    </row>
    <row r="1056" spans="1:17">
      <c r="A1056" s="1">
        <v>43992</v>
      </c>
      <c r="B1056">
        <v>3190.14</v>
      </c>
      <c r="C1056">
        <f t="shared" si="128"/>
        <v>-5.3130787794885004E-3</v>
      </c>
      <c r="D1056">
        <f t="shared" si="135"/>
        <v>-1.186625880967962E-3</v>
      </c>
      <c r="E1056">
        <f>_xlfn.XLOOKUP(A1056,VIX!A:A,VIX!B:B,"",-1)</f>
        <v>27.57</v>
      </c>
      <c r="F1056">
        <f t="shared" si="129"/>
        <v>0</v>
      </c>
      <c r="G1056">
        <f>_xlfn.XLOOKUP(A1056,'DGS10'!A:A,'DGS10'!B:B,"",-1)</f>
        <v>0.75</v>
      </c>
      <c r="H1056">
        <f t="shared" si="130"/>
        <v>-8.9999999999999969E-2</v>
      </c>
      <c r="I1056" s="2">
        <f>_xlfn.XLOOKUP(A1056,T10Y3M!A:A,T10Y3M!B:B,"",-1)</f>
        <v>0.57999999999999996</v>
      </c>
      <c r="J1056" s="2">
        <f>_xlfn.XLOOKUP(A1056,BAMLC0A4CBBB!A:A,BAMLC0A4CBBB!B:B,"",-1)</f>
        <v>2.08</v>
      </c>
      <c r="K1056" s="2">
        <f>_xlfn.XLOOKUP(A1056,CPIAUCSL!A:A,CPIAUCSL!B:B,"",-1)</f>
        <v>257.04199999999997</v>
      </c>
      <c r="L1056">
        <f>_xlfn.XLOOKUP(A1056,DFF!A:A,DFF!B:B,"",-1)</f>
        <v>0.08</v>
      </c>
      <c r="M1056">
        <f>_xlfn.XLOOKUP(A1056,'DGS2'!A:A,'DGS2'!B:B,"",-1)</f>
        <v>0.17</v>
      </c>
      <c r="N1056">
        <f t="shared" si="131"/>
        <v>-0.03</v>
      </c>
      <c r="O1056">
        <f t="shared" si="132"/>
        <v>-5.8944121574601716E-2</v>
      </c>
      <c r="P1056">
        <f t="shared" si="133"/>
        <v>0</v>
      </c>
      <c r="Q1056">
        <f t="shared" si="134"/>
        <v>-1</v>
      </c>
    </row>
    <row r="1057" spans="1:17">
      <c r="A1057" s="1">
        <v>43993</v>
      </c>
      <c r="B1057">
        <v>3002.1</v>
      </c>
      <c r="C1057">
        <f t="shared" si="128"/>
        <v>-5.8944121574601716E-2</v>
      </c>
      <c r="D1057">
        <f t="shared" si="135"/>
        <v>-7.1244497105856675E-2</v>
      </c>
      <c r="E1057">
        <f>_xlfn.XLOOKUP(A1057,VIX!A:A,VIX!B:B,"",-1)</f>
        <v>40.79</v>
      </c>
      <c r="F1057">
        <f t="shared" si="129"/>
        <v>13.219999999999999</v>
      </c>
      <c r="G1057">
        <f>_xlfn.XLOOKUP(A1057,'DGS10'!A:A,'DGS10'!B:B,"",-1)</f>
        <v>0.66</v>
      </c>
      <c r="H1057">
        <f t="shared" si="130"/>
        <v>-8.9999999999999969E-2</v>
      </c>
      <c r="I1057" s="2">
        <f>_xlfn.XLOOKUP(A1057,T10Y3M!A:A,T10Y3M!B:B,"",-1)</f>
        <v>0.49</v>
      </c>
      <c r="J1057" s="2">
        <f>_xlfn.XLOOKUP(A1057,BAMLC0A4CBBB!A:A,BAMLC0A4CBBB!B:B,"",-1)</f>
        <v>2.1800000000000002</v>
      </c>
      <c r="K1057" s="2">
        <f>_xlfn.XLOOKUP(A1057,CPIAUCSL!A:A,CPIAUCSL!B:B,"",-1)</f>
        <v>257.04199999999997</v>
      </c>
      <c r="L1057">
        <f>_xlfn.XLOOKUP(A1057,DFF!A:A,DFF!B:B,"",-1)</f>
        <v>0.08</v>
      </c>
      <c r="M1057">
        <f>_xlfn.XLOOKUP(A1057,'DGS2'!A:A,'DGS2'!B:B,"",-1)</f>
        <v>0.19</v>
      </c>
      <c r="N1057">
        <f t="shared" si="131"/>
        <v>1.999999999999999E-2</v>
      </c>
      <c r="O1057">
        <f t="shared" si="132"/>
        <v>1.3060857399820103E-2</v>
      </c>
      <c r="P1057">
        <f t="shared" si="133"/>
        <v>1</v>
      </c>
      <c r="Q1057">
        <f t="shared" si="134"/>
        <v>1</v>
      </c>
    </row>
    <row r="1058" spans="1:17">
      <c r="A1058" s="1">
        <v>43994</v>
      </c>
      <c r="B1058">
        <v>3041.31</v>
      </c>
      <c r="C1058">
        <f t="shared" si="128"/>
        <v>1.3060857399820103E-2</v>
      </c>
      <c r="D1058">
        <f t="shared" si="135"/>
        <v>-5.1718331992591571E-2</v>
      </c>
      <c r="E1058">
        <f>_xlfn.XLOOKUP(A1058,VIX!A:A,VIX!B:B,"",-1)</f>
        <v>36.090000000000003</v>
      </c>
      <c r="F1058">
        <f t="shared" si="129"/>
        <v>-4.6999999999999957</v>
      </c>
      <c r="G1058">
        <f>_xlfn.XLOOKUP(A1058,'DGS10'!A:A,'DGS10'!B:B,"",-1)</f>
        <v>0.71</v>
      </c>
      <c r="H1058">
        <f t="shared" si="130"/>
        <v>4.9999999999999933E-2</v>
      </c>
      <c r="I1058" s="2">
        <f>_xlfn.XLOOKUP(A1058,T10Y3M!A:A,T10Y3M!B:B,"",-1)</f>
        <v>0.55000000000000004</v>
      </c>
      <c r="J1058" s="2">
        <f>_xlfn.XLOOKUP(A1058,BAMLC0A4CBBB!A:A,BAMLC0A4CBBB!B:B,"",-1)</f>
        <v>2.1800000000000002</v>
      </c>
      <c r="K1058" s="2">
        <f>_xlfn.XLOOKUP(A1058,CPIAUCSL!A:A,CPIAUCSL!B:B,"",-1)</f>
        <v>257.04199999999997</v>
      </c>
      <c r="L1058">
        <f>_xlfn.XLOOKUP(A1058,DFF!A:A,DFF!B:B,"",-1)</f>
        <v>0.08</v>
      </c>
      <c r="M1058">
        <f>_xlfn.XLOOKUP(A1058,'DGS2'!A:A,'DGS2'!B:B,"",-1)</f>
        <v>0.19</v>
      </c>
      <c r="N1058">
        <f t="shared" si="131"/>
        <v>0</v>
      </c>
      <c r="O1058">
        <f t="shared" si="132"/>
        <v>8.3122075684491925E-3</v>
      </c>
      <c r="P1058">
        <f t="shared" si="133"/>
        <v>1</v>
      </c>
      <c r="Q1058">
        <f t="shared" si="134"/>
        <v>1</v>
      </c>
    </row>
    <row r="1059" spans="1:17">
      <c r="A1059" s="1">
        <v>43997</v>
      </c>
      <c r="B1059">
        <v>3066.59</v>
      </c>
      <c r="C1059">
        <f t="shared" si="128"/>
        <v>8.3122075684491925E-3</v>
      </c>
      <c r="D1059">
        <f t="shared" si="135"/>
        <v>-3.8728707831004239E-2</v>
      </c>
      <c r="E1059">
        <f>_xlfn.XLOOKUP(A1059,VIX!A:A,VIX!B:B,"",-1)</f>
        <v>34.4</v>
      </c>
      <c r="F1059">
        <f t="shared" si="129"/>
        <v>-1.6900000000000048</v>
      </c>
      <c r="G1059">
        <f>_xlfn.XLOOKUP(A1059,'DGS10'!A:A,'DGS10'!B:B,"",-1)</f>
        <v>0.71</v>
      </c>
      <c r="H1059">
        <f t="shared" si="130"/>
        <v>0</v>
      </c>
      <c r="I1059" s="2">
        <f>_xlfn.XLOOKUP(A1059,T10Y3M!A:A,T10Y3M!B:B,"",-1)</f>
        <v>0.53</v>
      </c>
      <c r="J1059" s="2">
        <f>_xlfn.XLOOKUP(A1059,BAMLC0A4CBBB!A:A,BAMLC0A4CBBB!B:B,"",-1)</f>
        <v>2.1800000000000002</v>
      </c>
      <c r="K1059" s="2">
        <f>_xlfn.XLOOKUP(A1059,CPIAUCSL!A:A,CPIAUCSL!B:B,"",-1)</f>
        <v>257.04199999999997</v>
      </c>
      <c r="L1059">
        <f>_xlfn.XLOOKUP(A1059,DFF!A:A,DFF!B:B,"",-1)</f>
        <v>0.09</v>
      </c>
      <c r="M1059">
        <f>_xlfn.XLOOKUP(A1059,'DGS2'!A:A,'DGS2'!B:B,"",-1)</f>
        <v>0.19</v>
      </c>
      <c r="N1059">
        <f t="shared" si="131"/>
        <v>0</v>
      </c>
      <c r="O1059">
        <f t="shared" si="132"/>
        <v>1.8962430582503575E-2</v>
      </c>
      <c r="P1059">
        <f t="shared" si="133"/>
        <v>1</v>
      </c>
      <c r="Q1059">
        <f t="shared" si="134"/>
        <v>1</v>
      </c>
    </row>
    <row r="1060" spans="1:17">
      <c r="A1060" s="1">
        <v>43998</v>
      </c>
      <c r="B1060">
        <v>3124.74</v>
      </c>
      <c r="C1060">
        <f t="shared" si="128"/>
        <v>1.8962430582503575E-2</v>
      </c>
      <c r="D1060">
        <f t="shared" si="135"/>
        <v>4.0851404017187898E-2</v>
      </c>
      <c r="E1060">
        <f>_xlfn.XLOOKUP(A1060,VIX!A:A,VIX!B:B,"",-1)</f>
        <v>33.67</v>
      </c>
      <c r="F1060">
        <f t="shared" si="129"/>
        <v>-0.72999999999999687</v>
      </c>
      <c r="G1060">
        <f>_xlfn.XLOOKUP(A1060,'DGS10'!A:A,'DGS10'!B:B,"",-1)</f>
        <v>0.75</v>
      </c>
      <c r="H1060">
        <f t="shared" si="130"/>
        <v>4.0000000000000036E-2</v>
      </c>
      <c r="I1060" s="2">
        <f>_xlfn.XLOOKUP(A1060,T10Y3M!A:A,T10Y3M!B:B,"",-1)</f>
        <v>0.57999999999999996</v>
      </c>
      <c r="J1060" s="2">
        <f>_xlfn.XLOOKUP(A1060,BAMLC0A4CBBB!A:A,BAMLC0A4CBBB!B:B,"",-1)</f>
        <v>2.04</v>
      </c>
      <c r="K1060" s="2">
        <f>_xlfn.XLOOKUP(A1060,CPIAUCSL!A:A,CPIAUCSL!B:B,"",-1)</f>
        <v>257.04199999999997</v>
      </c>
      <c r="L1060">
        <f>_xlfn.XLOOKUP(A1060,DFF!A:A,DFF!B:B,"",-1)</f>
        <v>0.09</v>
      </c>
      <c r="M1060">
        <f>_xlfn.XLOOKUP(A1060,'DGS2'!A:A,'DGS2'!B:B,"",-1)</f>
        <v>0.21</v>
      </c>
      <c r="N1060">
        <f t="shared" si="131"/>
        <v>1.999999999999999E-2</v>
      </c>
      <c r="O1060">
        <f t="shared" si="132"/>
        <v>-3.6002995449221364E-3</v>
      </c>
      <c r="P1060">
        <f t="shared" si="133"/>
        <v>0</v>
      </c>
      <c r="Q1060">
        <f t="shared" si="134"/>
        <v>-1</v>
      </c>
    </row>
    <row r="1061" spans="1:17">
      <c r="A1061" s="1">
        <v>43999</v>
      </c>
      <c r="B1061">
        <v>3113.49</v>
      </c>
      <c r="C1061">
        <f t="shared" si="128"/>
        <v>-3.6002995449221364E-3</v>
      </c>
      <c r="D1061">
        <f t="shared" si="135"/>
        <v>2.3733193919725393E-2</v>
      </c>
      <c r="E1061">
        <f>_xlfn.XLOOKUP(A1061,VIX!A:A,VIX!B:B,"",-1)</f>
        <v>33.47</v>
      </c>
      <c r="F1061">
        <f t="shared" si="129"/>
        <v>-0.20000000000000284</v>
      </c>
      <c r="G1061">
        <f>_xlfn.XLOOKUP(A1061,'DGS10'!A:A,'DGS10'!B:B,"",-1)</f>
        <v>0.74</v>
      </c>
      <c r="H1061">
        <f t="shared" si="130"/>
        <v>-1.0000000000000009E-2</v>
      </c>
      <c r="I1061" s="2">
        <f>_xlfn.XLOOKUP(A1061,T10Y3M!A:A,T10Y3M!B:B,"",-1)</f>
        <v>0.56999999999999995</v>
      </c>
      <c r="J1061" s="2">
        <f>_xlfn.XLOOKUP(A1061,BAMLC0A4CBBB!A:A,BAMLC0A4CBBB!B:B,"",-1)</f>
        <v>2.0299999999999998</v>
      </c>
      <c r="K1061" s="2">
        <f>_xlfn.XLOOKUP(A1061,CPIAUCSL!A:A,CPIAUCSL!B:B,"",-1)</f>
        <v>257.04199999999997</v>
      </c>
      <c r="L1061">
        <f>_xlfn.XLOOKUP(A1061,DFF!A:A,DFF!B:B,"",-1)</f>
        <v>0.09</v>
      </c>
      <c r="M1061">
        <f>_xlfn.XLOOKUP(A1061,'DGS2'!A:A,'DGS2'!B:B,"",-1)</f>
        <v>0.19</v>
      </c>
      <c r="N1061">
        <f t="shared" si="131"/>
        <v>-1.999999999999999E-2</v>
      </c>
      <c r="O1061">
        <f t="shared" si="132"/>
        <v>5.9418851513903803E-4</v>
      </c>
      <c r="P1061">
        <f t="shared" si="133"/>
        <v>1</v>
      </c>
      <c r="Q1061">
        <f t="shared" si="134"/>
        <v>0</v>
      </c>
    </row>
    <row r="1062" spans="1:17">
      <c r="A1062" s="1">
        <v>44000</v>
      </c>
      <c r="B1062">
        <v>3115.34</v>
      </c>
      <c r="C1062">
        <f t="shared" si="128"/>
        <v>5.9418851513903803E-4</v>
      </c>
      <c r="D1062">
        <f t="shared" si="135"/>
        <v>1.5897136558848723E-2</v>
      </c>
      <c r="E1062">
        <f>_xlfn.XLOOKUP(A1062,VIX!A:A,VIX!B:B,"",-1)</f>
        <v>32.94</v>
      </c>
      <c r="F1062">
        <f t="shared" si="129"/>
        <v>-0.53000000000000114</v>
      </c>
      <c r="G1062">
        <f>_xlfn.XLOOKUP(A1062,'DGS10'!A:A,'DGS10'!B:B,"",-1)</f>
        <v>0.71</v>
      </c>
      <c r="H1062">
        <f t="shared" si="130"/>
        <v>-3.0000000000000027E-2</v>
      </c>
      <c r="I1062" s="2">
        <f>_xlfn.XLOOKUP(A1062,T10Y3M!A:A,T10Y3M!B:B,"",-1)</f>
        <v>0.55000000000000004</v>
      </c>
      <c r="J1062" s="2">
        <f>_xlfn.XLOOKUP(A1062,BAMLC0A4CBBB!A:A,BAMLC0A4CBBB!B:B,"",-1)</f>
        <v>2.04</v>
      </c>
      <c r="K1062" s="2">
        <f>_xlfn.XLOOKUP(A1062,CPIAUCSL!A:A,CPIAUCSL!B:B,"",-1)</f>
        <v>257.04199999999997</v>
      </c>
      <c r="L1062">
        <f>_xlfn.XLOOKUP(A1062,DFF!A:A,DFF!B:B,"",-1)</f>
        <v>0.09</v>
      </c>
      <c r="M1062">
        <f>_xlfn.XLOOKUP(A1062,'DGS2'!A:A,'DGS2'!B:B,"",-1)</f>
        <v>0.19</v>
      </c>
      <c r="N1062">
        <f t="shared" si="131"/>
        <v>0</v>
      </c>
      <c r="O1062">
        <f t="shared" si="132"/>
        <v>-5.6494636219482919E-3</v>
      </c>
      <c r="P1062">
        <f t="shared" si="133"/>
        <v>0</v>
      </c>
      <c r="Q1062">
        <f t="shared" si="134"/>
        <v>-1</v>
      </c>
    </row>
    <row r="1063" spans="1:17">
      <c r="A1063" s="1">
        <v>44001</v>
      </c>
      <c r="B1063">
        <v>3097.74</v>
      </c>
      <c r="C1063">
        <f t="shared" si="128"/>
        <v>-5.6494636219482919E-3</v>
      </c>
      <c r="D1063">
        <f t="shared" si="135"/>
        <v>-8.6407189078131497E-3</v>
      </c>
      <c r="E1063">
        <f>_xlfn.XLOOKUP(A1063,VIX!A:A,VIX!B:B,"",-1)</f>
        <v>35.119999999999997</v>
      </c>
      <c r="F1063">
        <f t="shared" si="129"/>
        <v>2.1799999999999997</v>
      </c>
      <c r="G1063">
        <f>_xlfn.XLOOKUP(A1063,'DGS10'!A:A,'DGS10'!B:B,"",-1)</f>
        <v>0.7</v>
      </c>
      <c r="H1063">
        <f t="shared" si="130"/>
        <v>-1.0000000000000009E-2</v>
      </c>
      <c r="I1063" s="2">
        <f>_xlfn.XLOOKUP(A1063,T10Y3M!A:A,T10Y3M!B:B,"",-1)</f>
        <v>0.55000000000000004</v>
      </c>
      <c r="J1063" s="2">
        <f>_xlfn.XLOOKUP(A1063,BAMLC0A4CBBB!A:A,BAMLC0A4CBBB!B:B,"",-1)</f>
        <v>2.0299999999999998</v>
      </c>
      <c r="K1063" s="2">
        <f>_xlfn.XLOOKUP(A1063,CPIAUCSL!A:A,CPIAUCSL!B:B,"",-1)</f>
        <v>257.04199999999997</v>
      </c>
      <c r="L1063">
        <f>_xlfn.XLOOKUP(A1063,DFF!A:A,DFF!B:B,"",-1)</f>
        <v>0.09</v>
      </c>
      <c r="M1063">
        <f>_xlfn.XLOOKUP(A1063,'DGS2'!A:A,'DGS2'!B:B,"",-1)</f>
        <v>0.19</v>
      </c>
      <c r="N1063">
        <f t="shared" si="131"/>
        <v>0</v>
      </c>
      <c r="O1063">
        <f t="shared" si="132"/>
        <v>6.4950576872171428E-3</v>
      </c>
      <c r="P1063">
        <f t="shared" si="133"/>
        <v>1</v>
      </c>
      <c r="Q1063">
        <f t="shared" si="134"/>
        <v>1</v>
      </c>
    </row>
    <row r="1064" spans="1:17">
      <c r="A1064" s="1">
        <v>44004</v>
      </c>
      <c r="B1064">
        <v>3117.86</v>
      </c>
      <c r="C1064">
        <f t="shared" si="128"/>
        <v>6.4950576872171428E-3</v>
      </c>
      <c r="D1064">
        <f t="shared" si="135"/>
        <v>1.4035696276526455E-3</v>
      </c>
      <c r="E1064">
        <f>_xlfn.XLOOKUP(A1064,VIX!A:A,VIX!B:B,"",-1)</f>
        <v>31.77</v>
      </c>
      <c r="F1064">
        <f t="shared" si="129"/>
        <v>-3.3499999999999979</v>
      </c>
      <c r="G1064">
        <f>_xlfn.XLOOKUP(A1064,'DGS10'!A:A,'DGS10'!B:B,"",-1)</f>
        <v>0.71</v>
      </c>
      <c r="H1064">
        <f t="shared" si="130"/>
        <v>1.0000000000000009E-2</v>
      </c>
      <c r="I1064" s="2">
        <f>_xlfn.XLOOKUP(A1064,T10Y3M!A:A,T10Y3M!B:B,"",-1)</f>
        <v>0.55000000000000004</v>
      </c>
      <c r="J1064" s="2">
        <f>_xlfn.XLOOKUP(A1064,BAMLC0A4CBBB!A:A,BAMLC0A4CBBB!B:B,"",-1)</f>
        <v>2.0299999999999998</v>
      </c>
      <c r="K1064" s="2">
        <f>_xlfn.XLOOKUP(A1064,CPIAUCSL!A:A,CPIAUCSL!B:B,"",-1)</f>
        <v>257.04199999999997</v>
      </c>
      <c r="L1064">
        <f>_xlfn.XLOOKUP(A1064,DFF!A:A,DFF!B:B,"",-1)</f>
        <v>0.08</v>
      </c>
      <c r="M1064">
        <f>_xlfn.XLOOKUP(A1064,'DGS2'!A:A,'DGS2'!B:B,"",-1)</f>
        <v>0.19</v>
      </c>
      <c r="N1064">
        <f t="shared" si="131"/>
        <v>0</v>
      </c>
      <c r="O1064">
        <f t="shared" si="132"/>
        <v>4.3074416426651663E-3</v>
      </c>
      <c r="P1064">
        <f t="shared" si="133"/>
        <v>1</v>
      </c>
      <c r="Q1064">
        <f t="shared" si="134"/>
        <v>1</v>
      </c>
    </row>
    <row r="1065" spans="1:17">
      <c r="A1065" s="1">
        <v>44005</v>
      </c>
      <c r="B1065">
        <v>3131.29</v>
      </c>
      <c r="C1065">
        <f t="shared" si="128"/>
        <v>4.3074416426651663E-3</v>
      </c>
      <c r="D1065">
        <f t="shared" si="135"/>
        <v>5.1198264073903932E-3</v>
      </c>
      <c r="E1065">
        <f>_xlfn.XLOOKUP(A1065,VIX!A:A,VIX!B:B,"",-1)</f>
        <v>31.37</v>
      </c>
      <c r="F1065">
        <f t="shared" si="129"/>
        <v>-0.39999999999999858</v>
      </c>
      <c r="G1065">
        <f>_xlfn.XLOOKUP(A1065,'DGS10'!A:A,'DGS10'!B:B,"",-1)</f>
        <v>0.72</v>
      </c>
      <c r="H1065">
        <f t="shared" si="130"/>
        <v>1.0000000000000009E-2</v>
      </c>
      <c r="I1065" s="2">
        <f>_xlfn.XLOOKUP(A1065,T10Y3M!A:A,T10Y3M!B:B,"",-1)</f>
        <v>0.56000000000000005</v>
      </c>
      <c r="J1065" s="2">
        <f>_xlfn.XLOOKUP(A1065,BAMLC0A4CBBB!A:A,BAMLC0A4CBBB!B:B,"",-1)</f>
        <v>2.02</v>
      </c>
      <c r="K1065" s="2">
        <f>_xlfn.XLOOKUP(A1065,CPIAUCSL!A:A,CPIAUCSL!B:B,"",-1)</f>
        <v>257.04199999999997</v>
      </c>
      <c r="L1065">
        <f>_xlfn.XLOOKUP(A1065,DFF!A:A,DFF!B:B,"",-1)</f>
        <v>0.08</v>
      </c>
      <c r="M1065">
        <f>_xlfn.XLOOKUP(A1065,'DGS2'!A:A,'DGS2'!B:B,"",-1)</f>
        <v>0.18</v>
      </c>
      <c r="N1065">
        <f t="shared" si="131"/>
        <v>-1.0000000000000009E-2</v>
      </c>
      <c r="O1065">
        <f t="shared" si="132"/>
        <v>-2.5855158736495243E-2</v>
      </c>
      <c r="P1065">
        <f t="shared" si="133"/>
        <v>0</v>
      </c>
      <c r="Q1065">
        <f t="shared" si="134"/>
        <v>-1</v>
      </c>
    </row>
    <row r="1066" spans="1:17">
      <c r="A1066" s="1">
        <v>44006</v>
      </c>
      <c r="B1066">
        <v>3050.33</v>
      </c>
      <c r="C1066">
        <f t="shared" si="128"/>
        <v>-2.5855158736495243E-2</v>
      </c>
      <c r="D1066">
        <f t="shared" si="135"/>
        <v>-1.5304706011479263E-2</v>
      </c>
      <c r="E1066">
        <f>_xlfn.XLOOKUP(A1066,VIX!A:A,VIX!B:B,"",-1)</f>
        <v>33.840000000000003</v>
      </c>
      <c r="F1066">
        <f t="shared" si="129"/>
        <v>2.4700000000000024</v>
      </c>
      <c r="G1066">
        <f>_xlfn.XLOOKUP(A1066,'DGS10'!A:A,'DGS10'!B:B,"",-1)</f>
        <v>0.69</v>
      </c>
      <c r="H1066">
        <f t="shared" si="130"/>
        <v>-3.0000000000000027E-2</v>
      </c>
      <c r="I1066" s="2">
        <f>_xlfn.XLOOKUP(A1066,T10Y3M!A:A,T10Y3M!B:B,"",-1)</f>
        <v>0.54</v>
      </c>
      <c r="J1066" s="2">
        <f>_xlfn.XLOOKUP(A1066,BAMLC0A4CBBB!A:A,BAMLC0A4CBBB!B:B,"",-1)</f>
        <v>2.06</v>
      </c>
      <c r="K1066" s="2">
        <f>_xlfn.XLOOKUP(A1066,CPIAUCSL!A:A,CPIAUCSL!B:B,"",-1)</f>
        <v>257.04199999999997</v>
      </c>
      <c r="L1066">
        <f>_xlfn.XLOOKUP(A1066,DFF!A:A,DFF!B:B,"",-1)</f>
        <v>0.08</v>
      </c>
      <c r="M1066">
        <f>_xlfn.XLOOKUP(A1066,'DGS2'!A:A,'DGS2'!B:B,"",-1)</f>
        <v>0.19</v>
      </c>
      <c r="N1066">
        <f t="shared" si="131"/>
        <v>1.0000000000000009E-2</v>
      </c>
      <c r="O1066">
        <f t="shared" si="132"/>
        <v>1.0959469958988111E-2</v>
      </c>
      <c r="P1066">
        <f t="shared" si="133"/>
        <v>1</v>
      </c>
      <c r="Q1066">
        <f t="shared" si="134"/>
        <v>1</v>
      </c>
    </row>
    <row r="1067" spans="1:17">
      <c r="A1067" s="1">
        <v>44007</v>
      </c>
      <c r="B1067">
        <v>3083.76</v>
      </c>
      <c r="C1067">
        <f t="shared" si="128"/>
        <v>1.0959469958988111E-2</v>
      </c>
      <c r="D1067">
        <f t="shared" si="135"/>
        <v>-1.0936988832083494E-2</v>
      </c>
      <c r="E1067">
        <f>_xlfn.XLOOKUP(A1067,VIX!A:A,VIX!B:B,"",-1)</f>
        <v>32.22</v>
      </c>
      <c r="F1067">
        <f t="shared" si="129"/>
        <v>-1.6200000000000045</v>
      </c>
      <c r="G1067">
        <f>_xlfn.XLOOKUP(A1067,'DGS10'!A:A,'DGS10'!B:B,"",-1)</f>
        <v>0.68</v>
      </c>
      <c r="H1067">
        <f t="shared" si="130"/>
        <v>-9.9999999999998979E-3</v>
      </c>
      <c r="I1067" s="2">
        <f>_xlfn.XLOOKUP(A1067,T10Y3M!A:A,T10Y3M!B:B,"",-1)</f>
        <v>0.52</v>
      </c>
      <c r="J1067" s="2">
        <f>_xlfn.XLOOKUP(A1067,BAMLC0A4CBBB!A:A,BAMLC0A4CBBB!B:B,"",-1)</f>
        <v>2.0699999999999998</v>
      </c>
      <c r="K1067" s="2">
        <f>_xlfn.XLOOKUP(A1067,CPIAUCSL!A:A,CPIAUCSL!B:B,"",-1)</f>
        <v>257.04199999999997</v>
      </c>
      <c r="L1067">
        <f>_xlfn.XLOOKUP(A1067,DFF!A:A,DFF!B:B,"",-1)</f>
        <v>0.08</v>
      </c>
      <c r="M1067">
        <f>_xlfn.XLOOKUP(A1067,'DGS2'!A:A,'DGS2'!B:B,"",-1)</f>
        <v>0.17</v>
      </c>
      <c r="N1067">
        <f t="shared" si="131"/>
        <v>-1.999999999999999E-2</v>
      </c>
      <c r="O1067">
        <f t="shared" si="132"/>
        <v>-2.4226917788673585E-2</v>
      </c>
      <c r="P1067">
        <f t="shared" si="133"/>
        <v>0</v>
      </c>
      <c r="Q1067">
        <f t="shared" si="134"/>
        <v>-1</v>
      </c>
    </row>
    <row r="1068" spans="1:17">
      <c r="A1068" s="1">
        <v>44008</v>
      </c>
      <c r="B1068">
        <v>3009.05</v>
      </c>
      <c r="C1068">
        <f t="shared" si="128"/>
        <v>-2.4226917788673585E-2</v>
      </c>
      <c r="D1068">
        <f t="shared" si="135"/>
        <v>-3.9038223863008481E-2</v>
      </c>
      <c r="E1068">
        <f>_xlfn.XLOOKUP(A1068,VIX!A:A,VIX!B:B,"",-1)</f>
        <v>34.729999999999997</v>
      </c>
      <c r="F1068">
        <f t="shared" si="129"/>
        <v>2.509999999999998</v>
      </c>
      <c r="G1068">
        <f>_xlfn.XLOOKUP(A1068,'DGS10'!A:A,'DGS10'!B:B,"",-1)</f>
        <v>0.64</v>
      </c>
      <c r="H1068">
        <f t="shared" si="130"/>
        <v>-4.0000000000000036E-2</v>
      </c>
      <c r="I1068" s="2">
        <f>_xlfn.XLOOKUP(A1068,T10Y3M!A:A,T10Y3M!B:B,"",-1)</f>
        <v>0.5</v>
      </c>
      <c r="J1068" s="2">
        <f>_xlfn.XLOOKUP(A1068,BAMLC0A4CBBB!A:A,BAMLC0A4CBBB!B:B,"",-1)</f>
        <v>2.09</v>
      </c>
      <c r="K1068" s="2">
        <f>_xlfn.XLOOKUP(A1068,CPIAUCSL!A:A,CPIAUCSL!B:B,"",-1)</f>
        <v>257.04199999999997</v>
      </c>
      <c r="L1068">
        <f>_xlfn.XLOOKUP(A1068,DFF!A:A,DFF!B:B,"",-1)</f>
        <v>0.08</v>
      </c>
      <c r="M1068">
        <f>_xlfn.XLOOKUP(A1068,'DGS2'!A:A,'DGS2'!B:B,"",-1)</f>
        <v>0.17</v>
      </c>
      <c r="N1068">
        <f t="shared" si="131"/>
        <v>0</v>
      </c>
      <c r="O1068">
        <f t="shared" si="132"/>
        <v>1.468569814393228E-2</v>
      </c>
      <c r="P1068">
        <f t="shared" si="133"/>
        <v>1</v>
      </c>
      <c r="Q1068">
        <f t="shared" si="134"/>
        <v>1</v>
      </c>
    </row>
    <row r="1069" spans="1:17">
      <c r="A1069" s="1">
        <v>44011</v>
      </c>
      <c r="B1069">
        <v>3053.24</v>
      </c>
      <c r="C1069">
        <f t="shared" si="128"/>
        <v>1.468569814393228E-2</v>
      </c>
      <c r="D1069">
        <f t="shared" si="135"/>
        <v>9.5399514150917852E-4</v>
      </c>
      <c r="E1069">
        <f>_xlfn.XLOOKUP(A1069,VIX!A:A,VIX!B:B,"",-1)</f>
        <v>31.78</v>
      </c>
      <c r="F1069">
        <f t="shared" si="129"/>
        <v>-2.9499999999999957</v>
      </c>
      <c r="G1069">
        <f>_xlfn.XLOOKUP(A1069,'DGS10'!A:A,'DGS10'!B:B,"",-1)</f>
        <v>0.64</v>
      </c>
      <c r="H1069">
        <f t="shared" si="130"/>
        <v>0</v>
      </c>
      <c r="I1069" s="2">
        <f>_xlfn.XLOOKUP(A1069,T10Y3M!A:A,T10Y3M!B:B,"",-1)</f>
        <v>0.5</v>
      </c>
      <c r="J1069" s="2">
        <f>_xlfn.XLOOKUP(A1069,BAMLC0A4CBBB!A:A,BAMLC0A4CBBB!B:B,"",-1)</f>
        <v>2.09</v>
      </c>
      <c r="K1069" s="2">
        <f>_xlfn.XLOOKUP(A1069,CPIAUCSL!A:A,CPIAUCSL!B:B,"",-1)</f>
        <v>257.04199999999997</v>
      </c>
      <c r="L1069">
        <f>_xlfn.XLOOKUP(A1069,DFF!A:A,DFF!B:B,"",-1)</f>
        <v>0.08</v>
      </c>
      <c r="M1069">
        <f>_xlfn.XLOOKUP(A1069,'DGS2'!A:A,'DGS2'!B:B,"",-1)</f>
        <v>0.16</v>
      </c>
      <c r="N1069">
        <f t="shared" si="131"/>
        <v>-1.0000000000000009E-2</v>
      </c>
      <c r="O1069">
        <f t="shared" si="132"/>
        <v>1.5409859690034278E-2</v>
      </c>
      <c r="P1069">
        <f t="shared" si="133"/>
        <v>1</v>
      </c>
      <c r="Q1069">
        <f t="shared" si="134"/>
        <v>1</v>
      </c>
    </row>
    <row r="1070" spans="1:17">
      <c r="A1070" s="1">
        <v>44012</v>
      </c>
      <c r="B1070">
        <v>3100.29</v>
      </c>
      <c r="C1070">
        <f t="shared" si="128"/>
        <v>1.5409859690034278E-2</v>
      </c>
      <c r="D1070">
        <f t="shared" si="135"/>
        <v>5.360339326017538E-3</v>
      </c>
      <c r="E1070">
        <f>_xlfn.XLOOKUP(A1070,VIX!A:A,VIX!B:B,"",-1)</f>
        <v>30.43</v>
      </c>
      <c r="F1070">
        <f t="shared" si="129"/>
        <v>-1.3500000000000014</v>
      </c>
      <c r="G1070">
        <f>_xlfn.XLOOKUP(A1070,'DGS10'!A:A,'DGS10'!B:B,"",-1)</f>
        <v>0.66</v>
      </c>
      <c r="H1070">
        <f t="shared" si="130"/>
        <v>2.0000000000000018E-2</v>
      </c>
      <c r="I1070" s="2">
        <f>_xlfn.XLOOKUP(A1070,T10Y3M!A:A,T10Y3M!B:B,"",-1)</f>
        <v>0.5</v>
      </c>
      <c r="J1070" s="2">
        <f>_xlfn.XLOOKUP(A1070,BAMLC0A4CBBB!A:A,BAMLC0A4CBBB!B:B,"",-1)</f>
        <v>2.0699999999999998</v>
      </c>
      <c r="K1070" s="2">
        <f>_xlfn.XLOOKUP(A1070,CPIAUCSL!A:A,CPIAUCSL!B:B,"",-1)</f>
        <v>257.04199999999997</v>
      </c>
      <c r="L1070">
        <f>_xlfn.XLOOKUP(A1070,DFF!A:A,DFF!B:B,"",-1)</f>
        <v>0.08</v>
      </c>
      <c r="M1070">
        <f>_xlfn.XLOOKUP(A1070,'DGS2'!A:A,'DGS2'!B:B,"",-1)</f>
        <v>0.16</v>
      </c>
      <c r="N1070">
        <f t="shared" si="131"/>
        <v>0</v>
      </c>
      <c r="O1070">
        <f t="shared" si="132"/>
        <v>5.022110834792981E-3</v>
      </c>
      <c r="P1070">
        <f t="shared" si="133"/>
        <v>1</v>
      </c>
      <c r="Q1070">
        <f t="shared" si="134"/>
        <v>1</v>
      </c>
    </row>
    <row r="1071" spans="1:17">
      <c r="A1071" s="1">
        <v>44013</v>
      </c>
      <c r="B1071">
        <v>3115.86</v>
      </c>
      <c r="C1071">
        <f t="shared" si="128"/>
        <v>5.022110834792981E-3</v>
      </c>
      <c r="D1071">
        <f t="shared" si="135"/>
        <v>3.5496252970206532E-2</v>
      </c>
      <c r="E1071">
        <f>_xlfn.XLOOKUP(A1071,VIX!A:A,VIX!B:B,"",-1)</f>
        <v>28.62</v>
      </c>
      <c r="F1071">
        <f t="shared" si="129"/>
        <v>-1.8099999999999987</v>
      </c>
      <c r="G1071">
        <f>_xlfn.XLOOKUP(A1071,'DGS10'!A:A,'DGS10'!B:B,"",-1)</f>
        <v>0.69</v>
      </c>
      <c r="H1071">
        <f t="shared" si="130"/>
        <v>2.9999999999999916E-2</v>
      </c>
      <c r="I1071" s="2">
        <f>_xlfn.XLOOKUP(A1071,T10Y3M!A:A,T10Y3M!B:B,"",-1)</f>
        <v>0.55000000000000004</v>
      </c>
      <c r="J1071" s="2">
        <f>_xlfn.XLOOKUP(A1071,BAMLC0A4CBBB!A:A,BAMLC0A4CBBB!B:B,"",-1)</f>
        <v>2.04</v>
      </c>
      <c r="K1071" s="2">
        <f>_xlfn.XLOOKUP(A1071,CPIAUCSL!A:A,CPIAUCSL!B:B,"",-1)</f>
        <v>258.35199999999998</v>
      </c>
      <c r="L1071">
        <f>_xlfn.XLOOKUP(A1071,DFF!A:A,DFF!B:B,"",-1)</f>
        <v>0.08</v>
      </c>
      <c r="M1071">
        <f>_xlfn.XLOOKUP(A1071,'DGS2'!A:A,'DGS2'!B:B,"",-1)</f>
        <v>0.17</v>
      </c>
      <c r="N1071">
        <f t="shared" si="131"/>
        <v>1.0000000000000009E-2</v>
      </c>
      <c r="O1071">
        <f t="shared" si="132"/>
        <v>4.5412823425956539E-3</v>
      </c>
      <c r="P1071">
        <f t="shared" si="133"/>
        <v>1</v>
      </c>
      <c r="Q1071">
        <f t="shared" si="134"/>
        <v>1</v>
      </c>
    </row>
    <row r="1072" spans="1:17">
      <c r="A1072" s="1">
        <v>44014</v>
      </c>
      <c r="B1072">
        <v>3130.01</v>
      </c>
      <c r="C1072">
        <f t="shared" si="128"/>
        <v>4.5412823425956539E-3</v>
      </c>
      <c r="D1072">
        <f t="shared" si="135"/>
        <v>2.514378168765008E-2</v>
      </c>
      <c r="E1072">
        <f>_xlfn.XLOOKUP(A1072,VIX!A:A,VIX!B:B,"",-1)</f>
        <v>27.68</v>
      </c>
      <c r="F1072">
        <f t="shared" si="129"/>
        <v>-0.94000000000000128</v>
      </c>
      <c r="G1072">
        <f>_xlfn.XLOOKUP(A1072,'DGS10'!A:A,'DGS10'!B:B,"",-1)</f>
        <v>0.68</v>
      </c>
      <c r="H1072">
        <f t="shared" si="130"/>
        <v>-9.9999999999998979E-3</v>
      </c>
      <c r="I1072" s="2">
        <f>_xlfn.XLOOKUP(A1072,T10Y3M!A:A,T10Y3M!B:B,"",-1)</f>
        <v>0.54</v>
      </c>
      <c r="J1072" s="2">
        <f>_xlfn.XLOOKUP(A1072,BAMLC0A4CBBB!A:A,BAMLC0A4CBBB!B:B,"",-1)</f>
        <v>2.0099999999999998</v>
      </c>
      <c r="K1072" s="2">
        <f>_xlfn.XLOOKUP(A1072,CPIAUCSL!A:A,CPIAUCSL!B:B,"",-1)</f>
        <v>258.35199999999998</v>
      </c>
      <c r="L1072">
        <f>_xlfn.XLOOKUP(A1072,DFF!A:A,DFF!B:B,"",-1)</f>
        <v>0.09</v>
      </c>
      <c r="M1072">
        <f>_xlfn.XLOOKUP(A1072,'DGS2'!A:A,'DGS2'!B:B,"",-1)</f>
        <v>0.16</v>
      </c>
      <c r="N1072">
        <f t="shared" si="131"/>
        <v>-1.0000000000000009E-2</v>
      </c>
      <c r="O1072">
        <f t="shared" si="132"/>
        <v>1.5881738397001799E-2</v>
      </c>
      <c r="P1072">
        <f t="shared" si="133"/>
        <v>1</v>
      </c>
      <c r="Q1072">
        <f t="shared" si="134"/>
        <v>1</v>
      </c>
    </row>
    <row r="1073" spans="1:17">
      <c r="A1073" s="1">
        <v>44018</v>
      </c>
      <c r="B1073">
        <v>3179.72</v>
      </c>
      <c r="C1073">
        <f t="shared" si="128"/>
        <v>1.5881738397001799E-2</v>
      </c>
      <c r="D1073">
        <f t="shared" si="135"/>
        <v>2.5620183918278583E-2</v>
      </c>
      <c r="E1073">
        <f>_xlfn.XLOOKUP(A1073,VIX!A:A,VIX!B:B,"",-1)</f>
        <v>27.94</v>
      </c>
      <c r="F1073">
        <f t="shared" si="129"/>
        <v>0.26000000000000156</v>
      </c>
      <c r="G1073">
        <f>_xlfn.XLOOKUP(A1073,'DGS10'!A:A,'DGS10'!B:B,"",-1)</f>
        <v>0.69</v>
      </c>
      <c r="H1073">
        <f t="shared" si="130"/>
        <v>9.9999999999998979E-3</v>
      </c>
      <c r="I1073" s="2">
        <f>_xlfn.XLOOKUP(A1073,T10Y3M!A:A,T10Y3M!B:B,"",-1)</f>
        <v>0.54</v>
      </c>
      <c r="J1073" s="2">
        <f>_xlfn.XLOOKUP(A1073,BAMLC0A4CBBB!A:A,BAMLC0A4CBBB!B:B,"",-1)</f>
        <v>1.97</v>
      </c>
      <c r="K1073" s="2">
        <f>_xlfn.XLOOKUP(A1073,CPIAUCSL!A:A,CPIAUCSL!B:B,"",-1)</f>
        <v>258.35199999999998</v>
      </c>
      <c r="L1073">
        <f>_xlfn.XLOOKUP(A1073,DFF!A:A,DFF!B:B,"",-1)</f>
        <v>0.09</v>
      </c>
      <c r="M1073">
        <f>_xlfn.XLOOKUP(A1073,'DGS2'!A:A,'DGS2'!B:B,"",-1)</f>
        <v>0.16</v>
      </c>
      <c r="N1073">
        <f t="shared" si="131"/>
        <v>0</v>
      </c>
      <c r="O1073">
        <f t="shared" si="132"/>
        <v>-1.0818562640735552E-2</v>
      </c>
      <c r="P1073">
        <f t="shared" si="133"/>
        <v>0</v>
      </c>
      <c r="Q1073">
        <f t="shared" si="134"/>
        <v>-1</v>
      </c>
    </row>
    <row r="1074" spans="1:17">
      <c r="A1074" s="1">
        <v>44019</v>
      </c>
      <c r="B1074">
        <v>3145.32</v>
      </c>
      <c r="C1074">
        <f t="shared" si="128"/>
        <v>-1.0818562640735552E-2</v>
      </c>
      <c r="D1074">
        <f t="shared" si="135"/>
        <v>9.4548535556797653E-3</v>
      </c>
      <c r="E1074">
        <f>_xlfn.XLOOKUP(A1074,VIX!A:A,VIX!B:B,"",-1)</f>
        <v>29.43</v>
      </c>
      <c r="F1074">
        <f t="shared" si="129"/>
        <v>1.4899999999999984</v>
      </c>
      <c r="G1074">
        <f>_xlfn.XLOOKUP(A1074,'DGS10'!A:A,'DGS10'!B:B,"",-1)</f>
        <v>0.65</v>
      </c>
      <c r="H1074">
        <f t="shared" si="130"/>
        <v>-3.9999999999999925E-2</v>
      </c>
      <c r="I1074" s="2">
        <f>_xlfn.XLOOKUP(A1074,T10Y3M!A:A,T10Y3M!B:B,"",-1)</f>
        <v>0.5</v>
      </c>
      <c r="J1074" s="2">
        <f>_xlfn.XLOOKUP(A1074,BAMLC0A4CBBB!A:A,BAMLC0A4CBBB!B:B,"",-1)</f>
        <v>1.97</v>
      </c>
      <c r="K1074" s="2">
        <f>_xlfn.XLOOKUP(A1074,CPIAUCSL!A:A,CPIAUCSL!B:B,"",-1)</f>
        <v>258.35199999999998</v>
      </c>
      <c r="L1074">
        <f>_xlfn.XLOOKUP(A1074,DFF!A:A,DFF!B:B,"",-1)</f>
        <v>0.09</v>
      </c>
      <c r="M1074">
        <f>_xlfn.XLOOKUP(A1074,'DGS2'!A:A,'DGS2'!B:B,"",-1)</f>
        <v>0.16</v>
      </c>
      <c r="N1074">
        <f t="shared" si="131"/>
        <v>0</v>
      </c>
      <c r="O1074">
        <f t="shared" si="132"/>
        <v>7.8275024480816136E-3</v>
      </c>
      <c r="P1074">
        <f t="shared" si="133"/>
        <v>1</v>
      </c>
      <c r="Q1074">
        <f t="shared" si="134"/>
        <v>1</v>
      </c>
    </row>
    <row r="1075" spans="1:17">
      <c r="A1075" s="1">
        <v>44020</v>
      </c>
      <c r="B1075">
        <v>3169.94</v>
      </c>
      <c r="C1075">
        <f t="shared" si="128"/>
        <v>7.8275024480816136E-3</v>
      </c>
      <c r="D1075">
        <f t="shared" si="135"/>
        <v>1.2757147740741992E-2</v>
      </c>
      <c r="E1075">
        <f>_xlfn.XLOOKUP(A1075,VIX!A:A,VIX!B:B,"",-1)</f>
        <v>28.08</v>
      </c>
      <c r="F1075">
        <f t="shared" si="129"/>
        <v>-1.3500000000000014</v>
      </c>
      <c r="G1075">
        <f>_xlfn.XLOOKUP(A1075,'DGS10'!A:A,'DGS10'!B:B,"",-1)</f>
        <v>0.67</v>
      </c>
      <c r="H1075">
        <f t="shared" si="130"/>
        <v>2.0000000000000018E-2</v>
      </c>
      <c r="I1075" s="2">
        <f>_xlfn.XLOOKUP(A1075,T10Y3M!A:A,T10Y3M!B:B,"",-1)</f>
        <v>0.52</v>
      </c>
      <c r="J1075" s="2">
        <f>_xlfn.XLOOKUP(A1075,BAMLC0A4CBBB!A:A,BAMLC0A4CBBB!B:B,"",-1)</f>
        <v>1.97</v>
      </c>
      <c r="K1075" s="2">
        <f>_xlfn.XLOOKUP(A1075,CPIAUCSL!A:A,CPIAUCSL!B:B,"",-1)</f>
        <v>258.35199999999998</v>
      </c>
      <c r="L1075">
        <f>_xlfn.XLOOKUP(A1075,DFF!A:A,DFF!B:B,"",-1)</f>
        <v>0.09</v>
      </c>
      <c r="M1075">
        <f>_xlfn.XLOOKUP(A1075,'DGS2'!A:A,'DGS2'!B:B,"",-1)</f>
        <v>0.16</v>
      </c>
      <c r="N1075">
        <f t="shared" si="131"/>
        <v>0</v>
      </c>
      <c r="O1075">
        <f t="shared" si="132"/>
        <v>-5.6436399427117756E-3</v>
      </c>
      <c r="P1075">
        <f t="shared" si="133"/>
        <v>0</v>
      </c>
      <c r="Q1075">
        <f t="shared" si="134"/>
        <v>-1</v>
      </c>
    </row>
    <row r="1076" spans="1:17">
      <c r="A1076" s="1">
        <v>44021</v>
      </c>
      <c r="B1076">
        <v>3152.05</v>
      </c>
      <c r="C1076">
        <f t="shared" si="128"/>
        <v>-5.6436399427117756E-3</v>
      </c>
      <c r="D1076">
        <f t="shared" si="135"/>
        <v>-8.7020240775915747E-3</v>
      </c>
      <c r="E1076">
        <f>_xlfn.XLOOKUP(A1076,VIX!A:A,VIX!B:B,"",-1)</f>
        <v>29.26</v>
      </c>
      <c r="F1076">
        <f t="shared" si="129"/>
        <v>1.1800000000000033</v>
      </c>
      <c r="G1076">
        <f>_xlfn.XLOOKUP(A1076,'DGS10'!A:A,'DGS10'!B:B,"",-1)</f>
        <v>0.62</v>
      </c>
      <c r="H1076">
        <f t="shared" si="130"/>
        <v>-5.0000000000000044E-2</v>
      </c>
      <c r="I1076" s="2">
        <f>_xlfn.XLOOKUP(A1076,T10Y3M!A:A,T10Y3M!B:B,"",-1)</f>
        <v>0.49</v>
      </c>
      <c r="J1076" s="2">
        <f>_xlfn.XLOOKUP(A1076,BAMLC0A4CBBB!A:A,BAMLC0A4CBBB!B:B,"",-1)</f>
        <v>1.98</v>
      </c>
      <c r="K1076" s="2">
        <f>_xlfn.XLOOKUP(A1076,CPIAUCSL!A:A,CPIAUCSL!B:B,"",-1)</f>
        <v>258.35199999999998</v>
      </c>
      <c r="L1076">
        <f>_xlfn.XLOOKUP(A1076,DFF!A:A,DFF!B:B,"",-1)</f>
        <v>0.09</v>
      </c>
      <c r="M1076">
        <f>_xlfn.XLOOKUP(A1076,'DGS2'!A:A,'DGS2'!B:B,"",-1)</f>
        <v>0.16</v>
      </c>
      <c r="N1076">
        <f t="shared" si="131"/>
        <v>0</v>
      </c>
      <c r="O1076">
        <f t="shared" si="132"/>
        <v>1.046620453355751E-2</v>
      </c>
      <c r="P1076">
        <f t="shared" si="133"/>
        <v>1</v>
      </c>
      <c r="Q1076">
        <f t="shared" si="134"/>
        <v>1</v>
      </c>
    </row>
    <row r="1077" spans="1:17">
      <c r="A1077" s="1">
        <v>44022</v>
      </c>
      <c r="B1077">
        <v>3185.04</v>
      </c>
      <c r="C1077">
        <f t="shared" si="128"/>
        <v>1.046620453355751E-2</v>
      </c>
      <c r="D1077">
        <f t="shared" si="135"/>
        <v>1.2628285834191733E-2</v>
      </c>
      <c r="E1077">
        <f>_xlfn.XLOOKUP(A1077,VIX!A:A,VIX!B:B,"",-1)</f>
        <v>27.29</v>
      </c>
      <c r="F1077">
        <f t="shared" si="129"/>
        <v>-1.9700000000000024</v>
      </c>
      <c r="G1077">
        <f>_xlfn.XLOOKUP(A1077,'DGS10'!A:A,'DGS10'!B:B,"",-1)</f>
        <v>0.65</v>
      </c>
      <c r="H1077">
        <f t="shared" si="130"/>
        <v>3.0000000000000027E-2</v>
      </c>
      <c r="I1077" s="2">
        <f>_xlfn.XLOOKUP(A1077,T10Y3M!A:A,T10Y3M!B:B,"",-1)</f>
        <v>0.52</v>
      </c>
      <c r="J1077" s="2">
        <f>_xlfn.XLOOKUP(A1077,BAMLC0A4CBBB!A:A,BAMLC0A4CBBB!B:B,"",-1)</f>
        <v>1.98</v>
      </c>
      <c r="K1077" s="2">
        <f>_xlfn.XLOOKUP(A1077,CPIAUCSL!A:A,CPIAUCSL!B:B,"",-1)</f>
        <v>258.35199999999998</v>
      </c>
      <c r="L1077">
        <f>_xlfn.XLOOKUP(A1077,DFF!A:A,DFF!B:B,"",-1)</f>
        <v>0.09</v>
      </c>
      <c r="M1077">
        <f>_xlfn.XLOOKUP(A1077,'DGS2'!A:A,'DGS2'!B:B,"",-1)</f>
        <v>0.16</v>
      </c>
      <c r="N1077">
        <f t="shared" si="131"/>
        <v>0</v>
      </c>
      <c r="O1077">
        <f t="shared" si="132"/>
        <v>-9.3625197799713789E-3</v>
      </c>
      <c r="P1077">
        <f t="shared" si="133"/>
        <v>0</v>
      </c>
      <c r="Q1077">
        <f t="shared" si="134"/>
        <v>-1</v>
      </c>
    </row>
    <row r="1078" spans="1:17">
      <c r="A1078" s="1">
        <v>44025</v>
      </c>
      <c r="B1078">
        <v>3155.22</v>
      </c>
      <c r="C1078">
        <f t="shared" si="128"/>
        <v>-9.3625197799713789E-3</v>
      </c>
      <c r="D1078">
        <f t="shared" si="135"/>
        <v>-4.6436210149088941E-3</v>
      </c>
      <c r="E1078">
        <f>_xlfn.XLOOKUP(A1078,VIX!A:A,VIX!B:B,"",-1)</f>
        <v>32.19</v>
      </c>
      <c r="F1078">
        <f t="shared" si="129"/>
        <v>4.8999999999999986</v>
      </c>
      <c r="G1078">
        <f>_xlfn.XLOOKUP(A1078,'DGS10'!A:A,'DGS10'!B:B,"",-1)</f>
        <v>0.64</v>
      </c>
      <c r="H1078">
        <f t="shared" si="130"/>
        <v>-1.0000000000000009E-2</v>
      </c>
      <c r="I1078" s="2">
        <f>_xlfn.XLOOKUP(A1078,T10Y3M!A:A,T10Y3M!B:B,"",-1)</f>
        <v>0.5</v>
      </c>
      <c r="J1078" s="2">
        <f>_xlfn.XLOOKUP(A1078,BAMLC0A4CBBB!A:A,BAMLC0A4CBBB!B:B,"",-1)</f>
        <v>1.96</v>
      </c>
      <c r="K1078" s="2">
        <f>_xlfn.XLOOKUP(A1078,CPIAUCSL!A:A,CPIAUCSL!B:B,"",-1)</f>
        <v>258.35199999999998</v>
      </c>
      <c r="L1078">
        <f>_xlfn.XLOOKUP(A1078,DFF!A:A,DFF!B:B,"",-1)</f>
        <v>0.09</v>
      </c>
      <c r="M1078">
        <f>_xlfn.XLOOKUP(A1078,'DGS2'!A:A,'DGS2'!B:B,"",-1)</f>
        <v>0.16</v>
      </c>
      <c r="N1078">
        <f t="shared" si="131"/>
        <v>0</v>
      </c>
      <c r="O1078">
        <f t="shared" si="132"/>
        <v>1.3406355182839835E-2</v>
      </c>
      <c r="P1078">
        <f t="shared" si="133"/>
        <v>1</v>
      </c>
      <c r="Q1078">
        <f t="shared" si="134"/>
        <v>1</v>
      </c>
    </row>
    <row r="1079" spans="1:17">
      <c r="A1079" s="1">
        <v>44026</v>
      </c>
      <c r="B1079">
        <v>3197.52</v>
      </c>
      <c r="C1079">
        <f t="shared" si="128"/>
        <v>1.3406355182839835E-2</v>
      </c>
      <c r="D1079">
        <f t="shared" si="135"/>
        <v>1.4425532589901646E-2</v>
      </c>
      <c r="E1079">
        <f>_xlfn.XLOOKUP(A1079,VIX!A:A,VIX!B:B,"",-1)</f>
        <v>29.52</v>
      </c>
      <c r="F1079">
        <f t="shared" si="129"/>
        <v>-2.6699999999999982</v>
      </c>
      <c r="G1079">
        <f>_xlfn.XLOOKUP(A1079,'DGS10'!A:A,'DGS10'!B:B,"",-1)</f>
        <v>0.63</v>
      </c>
      <c r="H1079">
        <f t="shared" si="130"/>
        <v>-1.0000000000000009E-2</v>
      </c>
      <c r="I1079" s="2">
        <f>_xlfn.XLOOKUP(A1079,T10Y3M!A:A,T10Y3M!B:B,"",-1)</f>
        <v>0.48</v>
      </c>
      <c r="J1079" s="2">
        <f>_xlfn.XLOOKUP(A1079,BAMLC0A4CBBB!A:A,BAMLC0A4CBBB!B:B,"",-1)</f>
        <v>1.96</v>
      </c>
      <c r="K1079" s="2">
        <f>_xlfn.XLOOKUP(A1079,CPIAUCSL!A:A,CPIAUCSL!B:B,"",-1)</f>
        <v>258.35199999999998</v>
      </c>
      <c r="L1079">
        <f>_xlfn.XLOOKUP(A1079,DFF!A:A,DFF!B:B,"",-1)</f>
        <v>0.09</v>
      </c>
      <c r="M1079">
        <f>_xlfn.XLOOKUP(A1079,'DGS2'!A:A,'DGS2'!B:B,"",-1)</f>
        <v>0.14000000000000001</v>
      </c>
      <c r="N1079">
        <f t="shared" si="131"/>
        <v>-1.999999999999999E-2</v>
      </c>
      <c r="O1079">
        <f t="shared" si="132"/>
        <v>9.0820385798993097E-3</v>
      </c>
      <c r="P1079">
        <f t="shared" si="133"/>
        <v>1</v>
      </c>
      <c r="Q1079">
        <f t="shared" si="134"/>
        <v>1</v>
      </c>
    </row>
    <row r="1080" spans="1:17">
      <c r="A1080" s="1">
        <v>44027</v>
      </c>
      <c r="B1080">
        <v>3226.56</v>
      </c>
      <c r="C1080">
        <f t="shared" si="128"/>
        <v>9.0820385798993097E-3</v>
      </c>
      <c r="D1080">
        <f t="shared" si="135"/>
        <v>1.3035943033682384E-2</v>
      </c>
      <c r="E1080">
        <f>_xlfn.XLOOKUP(A1080,VIX!A:A,VIX!B:B,"",-1)</f>
        <v>27.76</v>
      </c>
      <c r="F1080">
        <f t="shared" si="129"/>
        <v>-1.759999999999998</v>
      </c>
      <c r="G1080">
        <f>_xlfn.XLOOKUP(A1080,'DGS10'!A:A,'DGS10'!B:B,"",-1)</f>
        <v>0.64</v>
      </c>
      <c r="H1080">
        <f t="shared" si="130"/>
        <v>1.0000000000000009E-2</v>
      </c>
      <c r="I1080" s="2">
        <f>_xlfn.XLOOKUP(A1080,T10Y3M!A:A,T10Y3M!B:B,"",-1)</f>
        <v>0.48</v>
      </c>
      <c r="J1080" s="2">
        <f>_xlfn.XLOOKUP(A1080,BAMLC0A4CBBB!A:A,BAMLC0A4CBBB!B:B,"",-1)</f>
        <v>1.94</v>
      </c>
      <c r="K1080" s="2">
        <f>_xlfn.XLOOKUP(A1080,CPIAUCSL!A:A,CPIAUCSL!B:B,"",-1)</f>
        <v>258.35199999999998</v>
      </c>
      <c r="L1080">
        <f>_xlfn.XLOOKUP(A1080,DFF!A:A,DFF!B:B,"",-1)</f>
        <v>0.1</v>
      </c>
      <c r="M1080">
        <f>_xlfn.XLOOKUP(A1080,'DGS2'!A:A,'DGS2'!B:B,"",-1)</f>
        <v>0.16</v>
      </c>
      <c r="N1080">
        <f t="shared" si="131"/>
        <v>1.999999999999999E-2</v>
      </c>
      <c r="O1080">
        <f t="shared" si="132"/>
        <v>-3.4061043340275488E-3</v>
      </c>
      <c r="P1080">
        <f t="shared" si="133"/>
        <v>0</v>
      </c>
      <c r="Q1080">
        <f t="shared" si="134"/>
        <v>-1</v>
      </c>
    </row>
    <row r="1081" spans="1:17">
      <c r="A1081" s="1">
        <v>44028</v>
      </c>
      <c r="B1081">
        <v>3215.57</v>
      </c>
      <c r="C1081">
        <f t="shared" si="128"/>
        <v>-3.4061043340275488E-3</v>
      </c>
      <c r="D1081">
        <f t="shared" si="135"/>
        <v>1.9127033931073179E-2</v>
      </c>
      <c r="E1081">
        <f>_xlfn.XLOOKUP(A1081,VIX!A:A,VIX!B:B,"",-1)</f>
        <v>28</v>
      </c>
      <c r="F1081">
        <f t="shared" si="129"/>
        <v>0.23999999999999844</v>
      </c>
      <c r="G1081">
        <f>_xlfn.XLOOKUP(A1081,'DGS10'!A:A,'DGS10'!B:B,"",-1)</f>
        <v>0.62</v>
      </c>
      <c r="H1081">
        <f t="shared" si="130"/>
        <v>-2.0000000000000018E-2</v>
      </c>
      <c r="I1081" s="2">
        <f>_xlfn.XLOOKUP(A1081,T10Y3M!A:A,T10Y3M!B:B,"",-1)</f>
        <v>0.51</v>
      </c>
      <c r="J1081" s="2">
        <f>_xlfn.XLOOKUP(A1081,BAMLC0A4CBBB!A:A,BAMLC0A4CBBB!B:B,"",-1)</f>
        <v>1.93</v>
      </c>
      <c r="K1081" s="2">
        <f>_xlfn.XLOOKUP(A1081,CPIAUCSL!A:A,CPIAUCSL!B:B,"",-1)</f>
        <v>258.35199999999998</v>
      </c>
      <c r="L1081">
        <f>_xlfn.XLOOKUP(A1081,DFF!A:A,DFF!B:B,"",-1)</f>
        <v>0.1</v>
      </c>
      <c r="M1081">
        <f>_xlfn.XLOOKUP(A1081,'DGS2'!A:A,'DGS2'!B:B,"",-1)</f>
        <v>0.16</v>
      </c>
      <c r="N1081">
        <f t="shared" si="131"/>
        <v>0</v>
      </c>
      <c r="O1081">
        <f t="shared" si="132"/>
        <v>2.8486395880045201E-3</v>
      </c>
      <c r="P1081">
        <f t="shared" si="133"/>
        <v>1</v>
      </c>
      <c r="Q1081">
        <f t="shared" si="134"/>
        <v>0</v>
      </c>
    </row>
    <row r="1082" spans="1:17">
      <c r="A1082" s="1">
        <v>44029</v>
      </c>
      <c r="B1082">
        <v>3224.73</v>
      </c>
      <c r="C1082">
        <f t="shared" si="128"/>
        <v>2.8486395880045201E-3</v>
      </c>
      <c r="D1082">
        <f t="shared" si="135"/>
        <v>8.5097200330255252E-3</v>
      </c>
      <c r="E1082">
        <f>_xlfn.XLOOKUP(A1082,VIX!A:A,VIX!B:B,"",-1)</f>
        <v>25.68</v>
      </c>
      <c r="F1082">
        <f t="shared" si="129"/>
        <v>-2.3200000000000003</v>
      </c>
      <c r="G1082">
        <f>_xlfn.XLOOKUP(A1082,'DGS10'!A:A,'DGS10'!B:B,"",-1)</f>
        <v>0.64</v>
      </c>
      <c r="H1082">
        <f t="shared" si="130"/>
        <v>2.0000000000000018E-2</v>
      </c>
      <c r="I1082" s="2">
        <f>_xlfn.XLOOKUP(A1082,T10Y3M!A:A,T10Y3M!B:B,"",-1)</f>
        <v>0.53</v>
      </c>
      <c r="J1082" s="2">
        <f>_xlfn.XLOOKUP(A1082,BAMLC0A4CBBB!A:A,BAMLC0A4CBBB!B:B,"",-1)</f>
        <v>1.91</v>
      </c>
      <c r="K1082" s="2">
        <f>_xlfn.XLOOKUP(A1082,CPIAUCSL!A:A,CPIAUCSL!B:B,"",-1)</f>
        <v>258.35199999999998</v>
      </c>
      <c r="L1082">
        <f>_xlfn.XLOOKUP(A1082,DFF!A:A,DFF!B:B,"",-1)</f>
        <v>0.09</v>
      </c>
      <c r="M1082">
        <f>_xlfn.XLOOKUP(A1082,'DGS2'!A:A,'DGS2'!B:B,"",-1)</f>
        <v>0.14000000000000001</v>
      </c>
      <c r="N1082">
        <f t="shared" si="131"/>
        <v>-1.999999999999999E-2</v>
      </c>
      <c r="O1082">
        <f t="shared" si="132"/>
        <v>8.4069053843267572E-3</v>
      </c>
      <c r="P1082">
        <f t="shared" si="133"/>
        <v>1</v>
      </c>
      <c r="Q1082">
        <f t="shared" si="134"/>
        <v>1</v>
      </c>
    </row>
    <row r="1083" spans="1:17">
      <c r="A1083" s="1">
        <v>44032</v>
      </c>
      <c r="B1083">
        <v>3251.84</v>
      </c>
      <c r="C1083">
        <f t="shared" si="128"/>
        <v>8.4069053843267572E-3</v>
      </c>
      <c r="D1083">
        <f t="shared" si="135"/>
        <v>7.8349697510662342E-3</v>
      </c>
      <c r="E1083">
        <f>_xlfn.XLOOKUP(A1083,VIX!A:A,VIX!B:B,"",-1)</f>
        <v>24.46</v>
      </c>
      <c r="F1083">
        <f t="shared" si="129"/>
        <v>-1.2199999999999989</v>
      </c>
      <c r="G1083">
        <f>_xlfn.XLOOKUP(A1083,'DGS10'!A:A,'DGS10'!B:B,"",-1)</f>
        <v>0.62</v>
      </c>
      <c r="H1083">
        <f t="shared" si="130"/>
        <v>-2.0000000000000018E-2</v>
      </c>
      <c r="I1083" s="2">
        <f>_xlfn.XLOOKUP(A1083,T10Y3M!A:A,T10Y3M!B:B,"",-1)</f>
        <v>0.49</v>
      </c>
      <c r="J1083" s="2">
        <f>_xlfn.XLOOKUP(A1083,BAMLC0A4CBBB!A:A,BAMLC0A4CBBB!B:B,"",-1)</f>
        <v>1.88</v>
      </c>
      <c r="K1083" s="2">
        <f>_xlfn.XLOOKUP(A1083,CPIAUCSL!A:A,CPIAUCSL!B:B,"",-1)</f>
        <v>258.35199999999998</v>
      </c>
      <c r="L1083">
        <f>_xlfn.XLOOKUP(A1083,DFF!A:A,DFF!B:B,"",-1)</f>
        <v>0.1</v>
      </c>
      <c r="M1083">
        <f>_xlfn.XLOOKUP(A1083,'DGS2'!A:A,'DGS2'!B:B,"",-1)</f>
        <v>0.16</v>
      </c>
      <c r="N1083">
        <f t="shared" si="131"/>
        <v>1.999999999999999E-2</v>
      </c>
      <c r="O1083">
        <f t="shared" si="132"/>
        <v>1.6790493997245193E-3</v>
      </c>
      <c r="P1083">
        <f t="shared" si="133"/>
        <v>1</v>
      </c>
      <c r="Q1083">
        <f t="shared" si="134"/>
        <v>0</v>
      </c>
    </row>
    <row r="1084" spans="1:17">
      <c r="A1084" s="1">
        <v>44033</v>
      </c>
      <c r="B1084">
        <v>3257.3</v>
      </c>
      <c r="C1084">
        <f t="shared" si="128"/>
        <v>1.6790493997245193E-3</v>
      </c>
      <c r="D1084">
        <f t="shared" si="135"/>
        <v>1.2977481441859506E-2</v>
      </c>
      <c r="E1084">
        <f>_xlfn.XLOOKUP(A1084,VIX!A:A,VIX!B:B,"",-1)</f>
        <v>24.84</v>
      </c>
      <c r="F1084">
        <f t="shared" si="129"/>
        <v>0.37999999999999901</v>
      </c>
      <c r="G1084">
        <f>_xlfn.XLOOKUP(A1084,'DGS10'!A:A,'DGS10'!B:B,"",-1)</f>
        <v>0.61</v>
      </c>
      <c r="H1084">
        <f t="shared" si="130"/>
        <v>-1.0000000000000009E-2</v>
      </c>
      <c r="I1084" s="2">
        <f>_xlfn.XLOOKUP(A1084,T10Y3M!A:A,T10Y3M!B:B,"",-1)</f>
        <v>0.48</v>
      </c>
      <c r="J1084" s="2">
        <f>_xlfn.XLOOKUP(A1084,BAMLC0A4CBBB!A:A,BAMLC0A4CBBB!B:B,"",-1)</f>
        <v>1.85</v>
      </c>
      <c r="K1084" s="2">
        <f>_xlfn.XLOOKUP(A1084,CPIAUCSL!A:A,CPIAUCSL!B:B,"",-1)</f>
        <v>258.35199999999998</v>
      </c>
      <c r="L1084">
        <f>_xlfn.XLOOKUP(A1084,DFF!A:A,DFF!B:B,"",-1)</f>
        <v>0.1</v>
      </c>
      <c r="M1084">
        <f>_xlfn.XLOOKUP(A1084,'DGS2'!A:A,'DGS2'!B:B,"",-1)</f>
        <v>0.14000000000000001</v>
      </c>
      <c r="N1084">
        <f t="shared" si="131"/>
        <v>-1.999999999999999E-2</v>
      </c>
      <c r="O1084">
        <f t="shared" si="132"/>
        <v>5.7470911491110943E-3</v>
      </c>
      <c r="P1084">
        <f t="shared" si="133"/>
        <v>1</v>
      </c>
      <c r="Q1084">
        <f t="shared" si="134"/>
        <v>1</v>
      </c>
    </row>
    <row r="1085" spans="1:17">
      <c r="A1085" s="1">
        <v>44034</v>
      </c>
      <c r="B1085">
        <v>3276.02</v>
      </c>
      <c r="C1085">
        <f t="shared" si="128"/>
        <v>5.7470911491110943E-3</v>
      </c>
      <c r="D1085">
        <f t="shared" si="135"/>
        <v>1.5905207567765256E-2</v>
      </c>
      <c r="E1085">
        <f>_xlfn.XLOOKUP(A1085,VIX!A:A,VIX!B:B,"",-1)</f>
        <v>24.32</v>
      </c>
      <c r="F1085">
        <f t="shared" si="129"/>
        <v>-0.51999999999999957</v>
      </c>
      <c r="G1085">
        <f>_xlfn.XLOOKUP(A1085,'DGS10'!A:A,'DGS10'!B:B,"",-1)</f>
        <v>0.6</v>
      </c>
      <c r="H1085">
        <f t="shared" si="130"/>
        <v>-1.0000000000000009E-2</v>
      </c>
      <c r="I1085" s="2">
        <f>_xlfn.XLOOKUP(A1085,T10Y3M!A:A,T10Y3M!B:B,"",-1)</f>
        <v>0.47</v>
      </c>
      <c r="J1085" s="2">
        <f>_xlfn.XLOOKUP(A1085,BAMLC0A4CBBB!A:A,BAMLC0A4CBBB!B:B,"",-1)</f>
        <v>1.83</v>
      </c>
      <c r="K1085" s="2">
        <f>_xlfn.XLOOKUP(A1085,CPIAUCSL!A:A,CPIAUCSL!B:B,"",-1)</f>
        <v>258.35199999999998</v>
      </c>
      <c r="L1085">
        <f>_xlfn.XLOOKUP(A1085,DFF!A:A,DFF!B:B,"",-1)</f>
        <v>0.09</v>
      </c>
      <c r="M1085">
        <f>_xlfn.XLOOKUP(A1085,'DGS2'!A:A,'DGS2'!B:B,"",-1)</f>
        <v>0.14000000000000001</v>
      </c>
      <c r="N1085">
        <f t="shared" si="131"/>
        <v>0</v>
      </c>
      <c r="O1085">
        <f t="shared" si="132"/>
        <v>-1.2319827107282633E-2</v>
      </c>
      <c r="P1085">
        <f t="shared" si="133"/>
        <v>0</v>
      </c>
      <c r="Q1085">
        <f t="shared" si="134"/>
        <v>-1</v>
      </c>
    </row>
    <row r="1086" spans="1:17">
      <c r="A1086" s="1">
        <v>44035</v>
      </c>
      <c r="B1086">
        <v>3235.66</v>
      </c>
      <c r="C1086">
        <f t="shared" si="128"/>
        <v>-1.2319827107282633E-2</v>
      </c>
      <c r="D1086">
        <f t="shared" si="135"/>
        <v>-4.9756445581579101E-3</v>
      </c>
      <c r="E1086">
        <f>_xlfn.XLOOKUP(A1086,VIX!A:A,VIX!B:B,"",-1)</f>
        <v>26.08</v>
      </c>
      <c r="F1086">
        <f t="shared" si="129"/>
        <v>1.759999999999998</v>
      </c>
      <c r="G1086">
        <f>_xlfn.XLOOKUP(A1086,'DGS10'!A:A,'DGS10'!B:B,"",-1)</f>
        <v>0.59</v>
      </c>
      <c r="H1086">
        <f t="shared" si="130"/>
        <v>-1.0000000000000009E-2</v>
      </c>
      <c r="I1086" s="2">
        <f>_xlfn.XLOOKUP(A1086,T10Y3M!A:A,T10Y3M!B:B,"",-1)</f>
        <v>0.47</v>
      </c>
      <c r="J1086" s="2">
        <f>_xlfn.XLOOKUP(A1086,BAMLC0A4CBBB!A:A,BAMLC0A4CBBB!B:B,"",-1)</f>
        <v>1.82</v>
      </c>
      <c r="K1086" s="2">
        <f>_xlfn.XLOOKUP(A1086,CPIAUCSL!A:A,CPIAUCSL!B:B,"",-1)</f>
        <v>258.35199999999998</v>
      </c>
      <c r="L1086">
        <f>_xlfn.XLOOKUP(A1086,DFF!A:A,DFF!B:B,"",-1)</f>
        <v>0.09</v>
      </c>
      <c r="M1086">
        <f>_xlfn.XLOOKUP(A1086,'DGS2'!A:A,'DGS2'!B:B,"",-1)</f>
        <v>0.16</v>
      </c>
      <c r="N1086">
        <f t="shared" si="131"/>
        <v>1.999999999999999E-2</v>
      </c>
      <c r="O1086">
        <f t="shared" si="132"/>
        <v>-6.1903908321639944E-3</v>
      </c>
      <c r="P1086">
        <f t="shared" si="133"/>
        <v>0</v>
      </c>
      <c r="Q1086">
        <f t="shared" si="134"/>
        <v>-1</v>
      </c>
    </row>
    <row r="1087" spans="1:17">
      <c r="A1087" s="1">
        <v>44036</v>
      </c>
      <c r="B1087">
        <v>3215.63</v>
      </c>
      <c r="C1087">
        <f t="shared" si="128"/>
        <v>-6.1903908321639944E-3</v>
      </c>
      <c r="D1087">
        <f t="shared" si="135"/>
        <v>-1.2792803855954382E-2</v>
      </c>
      <c r="E1087">
        <f>_xlfn.XLOOKUP(A1087,VIX!A:A,VIX!B:B,"",-1)</f>
        <v>25.84</v>
      </c>
      <c r="F1087">
        <f t="shared" si="129"/>
        <v>-0.23999999999999844</v>
      </c>
      <c r="G1087">
        <f>_xlfn.XLOOKUP(A1087,'DGS10'!A:A,'DGS10'!B:B,"",-1)</f>
        <v>0.59</v>
      </c>
      <c r="H1087">
        <f t="shared" si="130"/>
        <v>0</v>
      </c>
      <c r="I1087" s="2">
        <f>_xlfn.XLOOKUP(A1087,T10Y3M!A:A,T10Y3M!B:B,"",-1)</f>
        <v>0.48</v>
      </c>
      <c r="J1087" s="2">
        <f>_xlfn.XLOOKUP(A1087,BAMLC0A4CBBB!A:A,BAMLC0A4CBBB!B:B,"",-1)</f>
        <v>1.83</v>
      </c>
      <c r="K1087" s="2">
        <f>_xlfn.XLOOKUP(A1087,CPIAUCSL!A:A,CPIAUCSL!B:B,"",-1)</f>
        <v>258.35199999999998</v>
      </c>
      <c r="L1087">
        <f>_xlfn.XLOOKUP(A1087,DFF!A:A,DFF!B:B,"",-1)</f>
        <v>0.09</v>
      </c>
      <c r="M1087">
        <f>_xlfn.XLOOKUP(A1087,'DGS2'!A:A,'DGS2'!B:B,"",-1)</f>
        <v>0.14000000000000001</v>
      </c>
      <c r="N1087">
        <f t="shared" si="131"/>
        <v>-1.999999999999999E-2</v>
      </c>
      <c r="O1087">
        <f t="shared" si="132"/>
        <v>7.3951294147647229E-3</v>
      </c>
      <c r="P1087">
        <f t="shared" si="133"/>
        <v>1</v>
      </c>
      <c r="Q1087">
        <f t="shared" si="134"/>
        <v>1</v>
      </c>
    </row>
    <row r="1088" spans="1:17">
      <c r="A1088" s="1">
        <v>44039</v>
      </c>
      <c r="B1088">
        <v>3239.41</v>
      </c>
      <c r="C1088">
        <f t="shared" si="128"/>
        <v>7.3951294147647229E-3</v>
      </c>
      <c r="D1088">
        <f t="shared" si="135"/>
        <v>-1.1175145450882495E-2</v>
      </c>
      <c r="E1088">
        <f>_xlfn.XLOOKUP(A1088,VIX!A:A,VIX!B:B,"",-1)</f>
        <v>24.74</v>
      </c>
      <c r="F1088">
        <f t="shared" si="129"/>
        <v>-1.1000000000000014</v>
      </c>
      <c r="G1088">
        <f>_xlfn.XLOOKUP(A1088,'DGS10'!A:A,'DGS10'!B:B,"",-1)</f>
        <v>0.62</v>
      </c>
      <c r="H1088">
        <f t="shared" si="130"/>
        <v>3.0000000000000027E-2</v>
      </c>
      <c r="I1088" s="2">
        <f>_xlfn.XLOOKUP(A1088,T10Y3M!A:A,T10Y3M!B:B,"",-1)</f>
        <v>0.51</v>
      </c>
      <c r="J1088" s="2">
        <f>_xlfn.XLOOKUP(A1088,BAMLC0A4CBBB!A:A,BAMLC0A4CBBB!B:B,"",-1)</f>
        <v>1.83</v>
      </c>
      <c r="K1088" s="2">
        <f>_xlfn.XLOOKUP(A1088,CPIAUCSL!A:A,CPIAUCSL!B:B,"",-1)</f>
        <v>258.35199999999998</v>
      </c>
      <c r="L1088">
        <f>_xlfn.XLOOKUP(A1088,DFF!A:A,DFF!B:B,"",-1)</f>
        <v>0.1</v>
      </c>
      <c r="M1088">
        <f>_xlfn.XLOOKUP(A1088,'DGS2'!A:A,'DGS2'!B:B,"",-1)</f>
        <v>0.15</v>
      </c>
      <c r="N1088">
        <f t="shared" si="131"/>
        <v>9.9999999999999811E-3</v>
      </c>
      <c r="O1088">
        <f t="shared" si="132"/>
        <v>-6.4734010205561576E-3</v>
      </c>
      <c r="P1088">
        <f t="shared" si="133"/>
        <v>0</v>
      </c>
      <c r="Q1088">
        <f t="shared" si="134"/>
        <v>-1</v>
      </c>
    </row>
    <row r="1089" spans="1:17">
      <c r="A1089" s="1">
        <v>44040</v>
      </c>
      <c r="B1089">
        <v>3218.44</v>
      </c>
      <c r="C1089">
        <f t="shared" si="128"/>
        <v>-6.4734010205561576E-3</v>
      </c>
      <c r="D1089">
        <f t="shared" si="135"/>
        <v>-5.3219435911064927E-3</v>
      </c>
      <c r="E1089">
        <f>_xlfn.XLOOKUP(A1089,VIX!A:A,VIX!B:B,"",-1)</f>
        <v>25.44</v>
      </c>
      <c r="F1089">
        <f t="shared" si="129"/>
        <v>0.70000000000000284</v>
      </c>
      <c r="G1089">
        <f>_xlfn.XLOOKUP(A1089,'DGS10'!A:A,'DGS10'!B:B,"",-1)</f>
        <v>0.59</v>
      </c>
      <c r="H1089">
        <f t="shared" si="130"/>
        <v>-3.0000000000000027E-2</v>
      </c>
      <c r="I1089" s="2">
        <f>_xlfn.XLOOKUP(A1089,T10Y3M!A:A,T10Y3M!B:B,"",-1)</f>
        <v>0.48</v>
      </c>
      <c r="J1089" s="2">
        <f>_xlfn.XLOOKUP(A1089,BAMLC0A4CBBB!A:A,BAMLC0A4CBBB!B:B,"",-1)</f>
        <v>1.84</v>
      </c>
      <c r="K1089" s="2">
        <f>_xlfn.XLOOKUP(A1089,CPIAUCSL!A:A,CPIAUCSL!B:B,"",-1)</f>
        <v>258.35199999999998</v>
      </c>
      <c r="L1089">
        <f>_xlfn.XLOOKUP(A1089,DFF!A:A,DFF!B:B,"",-1)</f>
        <v>0.1</v>
      </c>
      <c r="M1089">
        <f>_xlfn.XLOOKUP(A1089,'DGS2'!A:A,'DGS2'!B:B,"",-1)</f>
        <v>0.14000000000000001</v>
      </c>
      <c r="N1089">
        <f t="shared" si="131"/>
        <v>-9.9999999999999811E-3</v>
      </c>
      <c r="O1089">
        <f t="shared" si="132"/>
        <v>1.2428381451883519E-2</v>
      </c>
      <c r="P1089">
        <f t="shared" si="133"/>
        <v>1</v>
      </c>
      <c r="Q1089">
        <f t="shared" si="134"/>
        <v>1</v>
      </c>
    </row>
    <row r="1090" spans="1:17">
      <c r="A1090" s="1">
        <v>44041</v>
      </c>
      <c r="B1090">
        <v>3258.44</v>
      </c>
      <c r="C1090">
        <f t="shared" si="128"/>
        <v>1.2428381451883519E-2</v>
      </c>
      <c r="D1090">
        <f t="shared" si="135"/>
        <v>1.3313098832888004E-2</v>
      </c>
      <c r="E1090">
        <f>_xlfn.XLOOKUP(A1090,VIX!A:A,VIX!B:B,"",-1)</f>
        <v>24.1</v>
      </c>
      <c r="F1090">
        <f t="shared" si="129"/>
        <v>-1.3399999999999999</v>
      </c>
      <c r="G1090">
        <f>_xlfn.XLOOKUP(A1090,'DGS10'!A:A,'DGS10'!B:B,"",-1)</f>
        <v>0.57999999999999996</v>
      </c>
      <c r="H1090">
        <f t="shared" si="130"/>
        <v>-1.0000000000000009E-2</v>
      </c>
      <c r="I1090" s="2">
        <f>_xlfn.XLOOKUP(A1090,T10Y3M!A:A,T10Y3M!B:B,"",-1)</f>
        <v>0.47</v>
      </c>
      <c r="J1090" s="2">
        <f>_xlfn.XLOOKUP(A1090,BAMLC0A4CBBB!A:A,BAMLC0A4CBBB!B:B,"",-1)</f>
        <v>1.83</v>
      </c>
      <c r="K1090" s="2">
        <f>_xlfn.XLOOKUP(A1090,CPIAUCSL!A:A,CPIAUCSL!B:B,"",-1)</f>
        <v>258.35199999999998</v>
      </c>
      <c r="L1090">
        <f>_xlfn.XLOOKUP(A1090,DFF!A:A,DFF!B:B,"",-1)</f>
        <v>0.1</v>
      </c>
      <c r="M1090">
        <f>_xlfn.XLOOKUP(A1090,'DGS2'!A:A,'DGS2'!B:B,"",-1)</f>
        <v>0.12</v>
      </c>
      <c r="N1090">
        <f t="shared" si="131"/>
        <v>-2.0000000000000018E-2</v>
      </c>
      <c r="O1090">
        <f t="shared" si="132"/>
        <v>-3.7502608610255894E-3</v>
      </c>
      <c r="P1090">
        <f t="shared" si="133"/>
        <v>0</v>
      </c>
      <c r="Q1090">
        <f t="shared" si="134"/>
        <v>-1</v>
      </c>
    </row>
    <row r="1091" spans="1:17">
      <c r="A1091" s="1">
        <v>44042</v>
      </c>
      <c r="B1091">
        <v>3246.22</v>
      </c>
      <c r="C1091">
        <f t="shared" si="128"/>
        <v>-3.7502608610255894E-3</v>
      </c>
      <c r="D1091">
        <f t="shared" si="135"/>
        <v>2.1022346661891955E-3</v>
      </c>
      <c r="E1091">
        <f>_xlfn.XLOOKUP(A1091,VIX!A:A,VIX!B:B,"",-1)</f>
        <v>24.76</v>
      </c>
      <c r="F1091">
        <f t="shared" si="129"/>
        <v>0.66000000000000014</v>
      </c>
      <c r="G1091">
        <f>_xlfn.XLOOKUP(A1091,'DGS10'!A:A,'DGS10'!B:B,"",-1)</f>
        <v>0.55000000000000004</v>
      </c>
      <c r="H1091">
        <f t="shared" si="130"/>
        <v>-2.9999999999999916E-2</v>
      </c>
      <c r="I1091" s="2">
        <f>_xlfn.XLOOKUP(A1091,T10Y3M!A:A,T10Y3M!B:B,"",-1)</f>
        <v>0.46</v>
      </c>
      <c r="J1091" s="2">
        <f>_xlfn.XLOOKUP(A1091,BAMLC0A4CBBB!A:A,BAMLC0A4CBBB!B:B,"",-1)</f>
        <v>1.84</v>
      </c>
      <c r="K1091" s="2">
        <f>_xlfn.XLOOKUP(A1091,CPIAUCSL!A:A,CPIAUCSL!B:B,"",-1)</f>
        <v>258.35199999999998</v>
      </c>
      <c r="L1091">
        <f>_xlfn.XLOOKUP(A1091,DFF!A:A,DFF!B:B,"",-1)</f>
        <v>0.1</v>
      </c>
      <c r="M1091">
        <f>_xlfn.XLOOKUP(A1091,'DGS2'!A:A,'DGS2'!B:B,"",-1)</f>
        <v>0.11</v>
      </c>
      <c r="N1091">
        <f t="shared" si="131"/>
        <v>-9.999999999999995E-3</v>
      </c>
      <c r="O1091">
        <f t="shared" si="132"/>
        <v>7.6704597963170862E-3</v>
      </c>
      <c r="P1091">
        <f t="shared" si="133"/>
        <v>1</v>
      </c>
      <c r="Q1091">
        <f t="shared" si="134"/>
        <v>1</v>
      </c>
    </row>
    <row r="1092" spans="1:17">
      <c r="A1092" s="1">
        <v>44043</v>
      </c>
      <c r="B1092">
        <v>3271.12</v>
      </c>
      <c r="C1092">
        <f t="shared" ref="C1092:C1155" si="136">IF(OR(B1092="",B1091=""),"",(B1092/B1091)-1)</f>
        <v>7.6704597963170862E-3</v>
      </c>
      <c r="D1092">
        <f t="shared" si="135"/>
        <v>1.636817837213056E-2</v>
      </c>
      <c r="E1092">
        <f>_xlfn.XLOOKUP(A1092,VIX!A:A,VIX!B:B,"",-1)</f>
        <v>24.46</v>
      </c>
      <c r="F1092">
        <f t="shared" ref="F1092:F1155" si="137">IF(OR(E1092="",E1091=""),"",E1092-E1091)</f>
        <v>-0.30000000000000071</v>
      </c>
      <c r="G1092">
        <f>_xlfn.XLOOKUP(A1092,'DGS10'!A:A,'DGS10'!B:B,"",-1)</f>
        <v>0.55000000000000004</v>
      </c>
      <c r="H1092">
        <f t="shared" ref="H1092:H1155" si="138">IF(OR(G1092="",G1091=""),"",G1092-G1091)</f>
        <v>0</v>
      </c>
      <c r="I1092" s="2">
        <f>_xlfn.XLOOKUP(A1092,T10Y3M!A:A,T10Y3M!B:B,"",-1)</f>
        <v>0.46</v>
      </c>
      <c r="J1092" s="2">
        <f>_xlfn.XLOOKUP(A1092,BAMLC0A4CBBB!A:A,BAMLC0A4CBBB!B:B,"",-1)</f>
        <v>1.85</v>
      </c>
      <c r="K1092" s="2">
        <f>_xlfn.XLOOKUP(A1092,CPIAUCSL!A:A,CPIAUCSL!B:B,"",-1)</f>
        <v>258.35199999999998</v>
      </c>
      <c r="L1092">
        <f>_xlfn.XLOOKUP(A1092,DFF!A:A,DFF!B:B,"",-1)</f>
        <v>0.1</v>
      </c>
      <c r="M1092">
        <f>_xlfn.XLOOKUP(A1092,'DGS2'!A:A,'DGS2'!B:B,"",-1)</f>
        <v>0.11</v>
      </c>
      <c r="N1092">
        <f t="shared" ref="N1092:N1155" si="139">IF(OR(M1092="",M1091=""),"",M1092-M1091)</f>
        <v>0</v>
      </c>
      <c r="O1092">
        <f t="shared" ref="O1092:O1155" si="140">IF(OR(B1093="",B1092=""),"",(B1093/B1092)-1)</f>
        <v>7.1810266819927193E-3</v>
      </c>
      <c r="P1092">
        <f t="shared" ref="P1092:P1155" si="141">IF(O1092="","",IF(O1092&gt;0,1,0))</f>
        <v>1</v>
      </c>
      <c r="Q1092">
        <f t="shared" ref="Q1092:Q1155" si="142">IF(O1092="","",IF(O1092&gt;0.003,1,IF(O1092&lt;-0.003,-1,0)))</f>
        <v>1</v>
      </c>
    </row>
    <row r="1093" spans="1:17">
      <c r="A1093" s="1">
        <v>44046</v>
      </c>
      <c r="B1093">
        <v>3294.61</v>
      </c>
      <c r="C1093">
        <f t="shared" si="136"/>
        <v>7.1810266819927193E-3</v>
      </c>
      <c r="D1093">
        <f t="shared" si="135"/>
        <v>1.11004038742466E-2</v>
      </c>
      <c r="E1093">
        <f>_xlfn.XLOOKUP(A1093,VIX!A:A,VIX!B:B,"",-1)</f>
        <v>24.28</v>
      </c>
      <c r="F1093">
        <f t="shared" si="137"/>
        <v>-0.17999999999999972</v>
      </c>
      <c r="G1093">
        <f>_xlfn.XLOOKUP(A1093,'DGS10'!A:A,'DGS10'!B:B,"",-1)</f>
        <v>0.56000000000000005</v>
      </c>
      <c r="H1093">
        <f t="shared" si="138"/>
        <v>1.0000000000000009E-2</v>
      </c>
      <c r="I1093" s="2">
        <f>_xlfn.XLOOKUP(A1093,T10Y3M!A:A,T10Y3M!B:B,"",-1)</f>
        <v>0.46</v>
      </c>
      <c r="J1093" s="2">
        <f>_xlfn.XLOOKUP(A1093,BAMLC0A4CBBB!A:A,BAMLC0A4CBBB!B:B,"",-1)</f>
        <v>1.83</v>
      </c>
      <c r="K1093" s="2">
        <f>_xlfn.XLOOKUP(A1093,CPIAUCSL!A:A,CPIAUCSL!B:B,"",-1)</f>
        <v>259.31599999999997</v>
      </c>
      <c r="L1093">
        <f>_xlfn.XLOOKUP(A1093,DFF!A:A,DFF!B:B,"",-1)</f>
        <v>0.1</v>
      </c>
      <c r="M1093">
        <f>_xlfn.XLOOKUP(A1093,'DGS2'!A:A,'DGS2'!B:B,"",-1)</f>
        <v>0.11</v>
      </c>
      <c r="N1093">
        <f t="shared" si="139"/>
        <v>0</v>
      </c>
      <c r="O1093">
        <f t="shared" si="140"/>
        <v>3.6119601409574376E-3</v>
      </c>
      <c r="P1093">
        <f t="shared" si="141"/>
        <v>1</v>
      </c>
      <c r="Q1093">
        <f t="shared" si="142"/>
        <v>1</v>
      </c>
    </row>
    <row r="1094" spans="1:17">
      <c r="A1094" s="1">
        <v>44047</v>
      </c>
      <c r="B1094">
        <v>3306.51</v>
      </c>
      <c r="C1094">
        <f t="shared" si="136"/>
        <v>3.6119601409574376E-3</v>
      </c>
      <c r="D1094">
        <f t="shared" ref="D1094:D1157" si="143">IF(OR(B1094="",B1091=""),"",(B1094/B1091)-1)</f>
        <v>1.8572370326102483E-2</v>
      </c>
      <c r="E1094">
        <f>_xlfn.XLOOKUP(A1094,VIX!A:A,VIX!B:B,"",-1)</f>
        <v>23.76</v>
      </c>
      <c r="F1094">
        <f t="shared" si="137"/>
        <v>-0.51999999999999957</v>
      </c>
      <c r="G1094">
        <f>_xlfn.XLOOKUP(A1094,'DGS10'!A:A,'DGS10'!B:B,"",-1)</f>
        <v>0.52</v>
      </c>
      <c r="H1094">
        <f t="shared" si="138"/>
        <v>-4.0000000000000036E-2</v>
      </c>
      <c r="I1094" s="2">
        <f>_xlfn.XLOOKUP(A1094,T10Y3M!A:A,T10Y3M!B:B,"",-1)</f>
        <v>0.43</v>
      </c>
      <c r="J1094" s="2">
        <f>_xlfn.XLOOKUP(A1094,BAMLC0A4CBBB!A:A,BAMLC0A4CBBB!B:B,"",-1)</f>
        <v>1.83</v>
      </c>
      <c r="K1094" s="2">
        <f>_xlfn.XLOOKUP(A1094,CPIAUCSL!A:A,CPIAUCSL!B:B,"",-1)</f>
        <v>259.31599999999997</v>
      </c>
      <c r="L1094">
        <f>_xlfn.XLOOKUP(A1094,DFF!A:A,DFF!B:B,"",-1)</f>
        <v>0.1</v>
      </c>
      <c r="M1094">
        <f>_xlfn.XLOOKUP(A1094,'DGS2'!A:A,'DGS2'!B:B,"",-1)</f>
        <v>0.11</v>
      </c>
      <c r="N1094">
        <f t="shared" si="139"/>
        <v>0</v>
      </c>
      <c r="O1094">
        <f t="shared" si="140"/>
        <v>6.4297401187354275E-3</v>
      </c>
      <c r="P1094">
        <f t="shared" si="141"/>
        <v>1</v>
      </c>
      <c r="Q1094">
        <f t="shared" si="142"/>
        <v>1</v>
      </c>
    </row>
    <row r="1095" spans="1:17">
      <c r="A1095" s="1">
        <v>44048</v>
      </c>
      <c r="B1095">
        <v>3327.77</v>
      </c>
      <c r="C1095">
        <f t="shared" si="136"/>
        <v>6.4297401187354275E-3</v>
      </c>
      <c r="D1095">
        <f t="shared" si="143"/>
        <v>1.7318227396121211E-2</v>
      </c>
      <c r="E1095">
        <f>_xlfn.XLOOKUP(A1095,VIX!A:A,VIX!B:B,"",-1)</f>
        <v>22.99</v>
      </c>
      <c r="F1095">
        <f t="shared" si="137"/>
        <v>-0.77000000000000313</v>
      </c>
      <c r="G1095">
        <f>_xlfn.XLOOKUP(A1095,'DGS10'!A:A,'DGS10'!B:B,"",-1)</f>
        <v>0.55000000000000004</v>
      </c>
      <c r="H1095">
        <f t="shared" si="138"/>
        <v>3.0000000000000027E-2</v>
      </c>
      <c r="I1095" s="2">
        <f>_xlfn.XLOOKUP(A1095,T10Y3M!A:A,T10Y3M!B:B,"",-1)</f>
        <v>0.45</v>
      </c>
      <c r="J1095" s="2">
        <f>_xlfn.XLOOKUP(A1095,BAMLC0A4CBBB!A:A,BAMLC0A4CBBB!B:B,"",-1)</f>
        <v>1.8</v>
      </c>
      <c r="K1095" s="2">
        <f>_xlfn.XLOOKUP(A1095,CPIAUCSL!A:A,CPIAUCSL!B:B,"",-1)</f>
        <v>259.31599999999997</v>
      </c>
      <c r="L1095">
        <f>_xlfn.XLOOKUP(A1095,DFF!A:A,DFF!B:B,"",-1)</f>
        <v>0.1</v>
      </c>
      <c r="M1095">
        <f>_xlfn.XLOOKUP(A1095,'DGS2'!A:A,'DGS2'!B:B,"",-1)</f>
        <v>0.11</v>
      </c>
      <c r="N1095">
        <f t="shared" si="139"/>
        <v>0</v>
      </c>
      <c r="O1095">
        <f t="shared" si="140"/>
        <v>6.4277278778279712E-3</v>
      </c>
      <c r="P1095">
        <f t="shared" si="141"/>
        <v>1</v>
      </c>
      <c r="Q1095">
        <f t="shared" si="142"/>
        <v>1</v>
      </c>
    </row>
    <row r="1096" spans="1:17">
      <c r="A1096" s="1">
        <v>44049</v>
      </c>
      <c r="B1096">
        <v>3349.16</v>
      </c>
      <c r="C1096">
        <f t="shared" si="136"/>
        <v>6.4277278778279712E-3</v>
      </c>
      <c r="D1096">
        <f t="shared" si="143"/>
        <v>1.6557346696574049E-2</v>
      </c>
      <c r="E1096">
        <f>_xlfn.XLOOKUP(A1096,VIX!A:A,VIX!B:B,"",-1)</f>
        <v>22.65</v>
      </c>
      <c r="F1096">
        <f t="shared" si="137"/>
        <v>-0.33999999999999986</v>
      </c>
      <c r="G1096">
        <f>_xlfn.XLOOKUP(A1096,'DGS10'!A:A,'DGS10'!B:B,"",-1)</f>
        <v>0.55000000000000004</v>
      </c>
      <c r="H1096">
        <f t="shared" si="138"/>
        <v>0</v>
      </c>
      <c r="I1096" s="2">
        <f>_xlfn.XLOOKUP(A1096,T10Y3M!A:A,T10Y3M!B:B,"",-1)</f>
        <v>0.45</v>
      </c>
      <c r="J1096" s="2">
        <f>_xlfn.XLOOKUP(A1096,BAMLC0A4CBBB!A:A,BAMLC0A4CBBB!B:B,"",-1)</f>
        <v>1.79</v>
      </c>
      <c r="K1096" s="2">
        <f>_xlfn.XLOOKUP(A1096,CPIAUCSL!A:A,CPIAUCSL!B:B,"",-1)</f>
        <v>259.31599999999997</v>
      </c>
      <c r="L1096">
        <f>_xlfn.XLOOKUP(A1096,DFF!A:A,DFF!B:B,"",-1)</f>
        <v>0.1</v>
      </c>
      <c r="M1096">
        <f>_xlfn.XLOOKUP(A1096,'DGS2'!A:A,'DGS2'!B:B,"",-1)</f>
        <v>0.11</v>
      </c>
      <c r="N1096">
        <f t="shared" si="139"/>
        <v>0</v>
      </c>
      <c r="O1096">
        <f t="shared" si="140"/>
        <v>6.329945419150107E-4</v>
      </c>
      <c r="P1096">
        <f t="shared" si="141"/>
        <v>1</v>
      </c>
      <c r="Q1096">
        <f t="shared" si="142"/>
        <v>0</v>
      </c>
    </row>
    <row r="1097" spans="1:17">
      <c r="A1097" s="1">
        <v>44050</v>
      </c>
      <c r="B1097">
        <v>3351.28</v>
      </c>
      <c r="C1097">
        <f t="shared" si="136"/>
        <v>6.329945419150107E-4</v>
      </c>
      <c r="D1097">
        <f t="shared" si="143"/>
        <v>1.3539956026142441E-2</v>
      </c>
      <c r="E1097">
        <f>_xlfn.XLOOKUP(A1097,VIX!A:A,VIX!B:B,"",-1)</f>
        <v>22.21</v>
      </c>
      <c r="F1097">
        <f t="shared" si="137"/>
        <v>-0.43999999999999773</v>
      </c>
      <c r="G1097">
        <f>_xlfn.XLOOKUP(A1097,'DGS10'!A:A,'DGS10'!B:B,"",-1)</f>
        <v>0.56999999999999995</v>
      </c>
      <c r="H1097">
        <f t="shared" si="138"/>
        <v>1.9999999999999907E-2</v>
      </c>
      <c r="I1097" s="2">
        <f>_xlfn.XLOOKUP(A1097,T10Y3M!A:A,T10Y3M!B:B,"",-1)</f>
        <v>0.47</v>
      </c>
      <c r="J1097" s="2">
        <f>_xlfn.XLOOKUP(A1097,BAMLC0A4CBBB!A:A,BAMLC0A4CBBB!B:B,"",-1)</f>
        <v>1.77</v>
      </c>
      <c r="K1097" s="2">
        <f>_xlfn.XLOOKUP(A1097,CPIAUCSL!A:A,CPIAUCSL!B:B,"",-1)</f>
        <v>259.31599999999997</v>
      </c>
      <c r="L1097">
        <f>_xlfn.XLOOKUP(A1097,DFF!A:A,DFF!B:B,"",-1)</f>
        <v>0.1</v>
      </c>
      <c r="M1097">
        <f>_xlfn.XLOOKUP(A1097,'DGS2'!A:A,'DGS2'!B:B,"",-1)</f>
        <v>0.13</v>
      </c>
      <c r="N1097">
        <f t="shared" si="139"/>
        <v>2.0000000000000004E-2</v>
      </c>
      <c r="O1097">
        <f t="shared" si="140"/>
        <v>2.7422358024395965E-3</v>
      </c>
      <c r="P1097">
        <f t="shared" si="141"/>
        <v>1</v>
      </c>
      <c r="Q1097">
        <f t="shared" si="142"/>
        <v>0</v>
      </c>
    </row>
    <row r="1098" spans="1:17">
      <c r="A1098" s="1">
        <v>44053</v>
      </c>
      <c r="B1098">
        <v>3360.47</v>
      </c>
      <c r="C1098">
        <f t="shared" si="136"/>
        <v>2.7422358024395965E-3</v>
      </c>
      <c r="D1098">
        <f t="shared" si="143"/>
        <v>9.8264002620371826E-3</v>
      </c>
      <c r="E1098">
        <f>_xlfn.XLOOKUP(A1098,VIX!A:A,VIX!B:B,"",-1)</f>
        <v>22.13</v>
      </c>
      <c r="F1098">
        <f t="shared" si="137"/>
        <v>-8.0000000000001847E-2</v>
      </c>
      <c r="G1098">
        <f>_xlfn.XLOOKUP(A1098,'DGS10'!A:A,'DGS10'!B:B,"",-1)</f>
        <v>0.59</v>
      </c>
      <c r="H1098">
        <f t="shared" si="138"/>
        <v>2.0000000000000018E-2</v>
      </c>
      <c r="I1098" s="2">
        <f>_xlfn.XLOOKUP(A1098,T10Y3M!A:A,T10Y3M!B:B,"",-1)</f>
        <v>0.48</v>
      </c>
      <c r="J1098" s="2">
        <f>_xlfn.XLOOKUP(A1098,BAMLC0A4CBBB!A:A,BAMLC0A4CBBB!B:B,"",-1)</f>
        <v>1.76</v>
      </c>
      <c r="K1098" s="2">
        <f>_xlfn.XLOOKUP(A1098,CPIAUCSL!A:A,CPIAUCSL!B:B,"",-1)</f>
        <v>259.31599999999997</v>
      </c>
      <c r="L1098">
        <f>_xlfn.XLOOKUP(A1098,DFF!A:A,DFF!B:B,"",-1)</f>
        <v>0.1</v>
      </c>
      <c r="M1098">
        <f>_xlfn.XLOOKUP(A1098,'DGS2'!A:A,'DGS2'!B:B,"",-1)</f>
        <v>0.14000000000000001</v>
      </c>
      <c r="N1098">
        <f t="shared" si="139"/>
        <v>1.0000000000000009E-2</v>
      </c>
      <c r="O1098">
        <f t="shared" si="140"/>
        <v>-7.9691233666718819E-3</v>
      </c>
      <c r="P1098">
        <f t="shared" si="141"/>
        <v>0</v>
      </c>
      <c r="Q1098">
        <f t="shared" si="142"/>
        <v>-1</v>
      </c>
    </row>
    <row r="1099" spans="1:17">
      <c r="A1099" s="1">
        <v>44054</v>
      </c>
      <c r="B1099">
        <v>3333.69</v>
      </c>
      <c r="C1099">
        <f t="shared" si="136"/>
        <v>-7.9691233666718819E-3</v>
      </c>
      <c r="D1099">
        <f t="shared" si="143"/>
        <v>-4.6190686619927979E-3</v>
      </c>
      <c r="E1099">
        <f>_xlfn.XLOOKUP(A1099,VIX!A:A,VIX!B:B,"",-1)</f>
        <v>24.03</v>
      </c>
      <c r="F1099">
        <f t="shared" si="137"/>
        <v>1.9000000000000021</v>
      </c>
      <c r="G1099">
        <f>_xlfn.XLOOKUP(A1099,'DGS10'!A:A,'DGS10'!B:B,"",-1)</f>
        <v>0.64</v>
      </c>
      <c r="H1099">
        <f t="shared" si="138"/>
        <v>5.0000000000000044E-2</v>
      </c>
      <c r="I1099" s="2">
        <f>_xlfn.XLOOKUP(A1099,T10Y3M!A:A,T10Y3M!B:B,"",-1)</f>
        <v>0.53</v>
      </c>
      <c r="J1099" s="2">
        <f>_xlfn.XLOOKUP(A1099,BAMLC0A4CBBB!A:A,BAMLC0A4CBBB!B:B,"",-1)</f>
        <v>1.74</v>
      </c>
      <c r="K1099" s="2">
        <f>_xlfn.XLOOKUP(A1099,CPIAUCSL!A:A,CPIAUCSL!B:B,"",-1)</f>
        <v>259.31599999999997</v>
      </c>
      <c r="L1099">
        <f>_xlfn.XLOOKUP(A1099,DFF!A:A,DFF!B:B,"",-1)</f>
        <v>0.1</v>
      </c>
      <c r="M1099">
        <f>_xlfn.XLOOKUP(A1099,'DGS2'!A:A,'DGS2'!B:B,"",-1)</f>
        <v>0.16</v>
      </c>
      <c r="N1099">
        <f t="shared" si="139"/>
        <v>1.999999999999999E-2</v>
      </c>
      <c r="O1099">
        <f t="shared" si="140"/>
        <v>1.3996502374245878E-2</v>
      </c>
      <c r="P1099">
        <f t="shared" si="141"/>
        <v>1</v>
      </c>
      <c r="Q1099">
        <f t="shared" si="142"/>
        <v>1</v>
      </c>
    </row>
    <row r="1100" spans="1:17">
      <c r="A1100" s="1">
        <v>44055</v>
      </c>
      <c r="B1100">
        <v>3380.35</v>
      </c>
      <c r="C1100">
        <f t="shared" si="136"/>
        <v>1.3996502374245878E-2</v>
      </c>
      <c r="D1100">
        <f t="shared" si="143"/>
        <v>8.674297581819479E-3</v>
      </c>
      <c r="E1100">
        <f>_xlfn.XLOOKUP(A1100,VIX!A:A,VIX!B:B,"",-1)</f>
        <v>22.28</v>
      </c>
      <c r="F1100">
        <f t="shared" si="137"/>
        <v>-1.75</v>
      </c>
      <c r="G1100">
        <f>_xlfn.XLOOKUP(A1100,'DGS10'!A:A,'DGS10'!B:B,"",-1)</f>
        <v>0.69</v>
      </c>
      <c r="H1100">
        <f t="shared" si="138"/>
        <v>4.9999999999999933E-2</v>
      </c>
      <c r="I1100" s="2">
        <f>_xlfn.XLOOKUP(A1100,T10Y3M!A:A,T10Y3M!B:B,"",-1)</f>
        <v>0.57999999999999996</v>
      </c>
      <c r="J1100" s="2">
        <f>_xlfn.XLOOKUP(A1100,BAMLC0A4CBBB!A:A,BAMLC0A4CBBB!B:B,"",-1)</f>
        <v>1.74</v>
      </c>
      <c r="K1100" s="2">
        <f>_xlfn.XLOOKUP(A1100,CPIAUCSL!A:A,CPIAUCSL!B:B,"",-1)</f>
        <v>259.31599999999997</v>
      </c>
      <c r="L1100">
        <f>_xlfn.XLOOKUP(A1100,DFF!A:A,DFF!B:B,"",-1)</f>
        <v>0.1</v>
      </c>
      <c r="M1100">
        <f>_xlfn.XLOOKUP(A1100,'DGS2'!A:A,'DGS2'!B:B,"",-1)</f>
        <v>0.16</v>
      </c>
      <c r="N1100">
        <f t="shared" si="139"/>
        <v>0</v>
      </c>
      <c r="O1100">
        <f t="shared" si="140"/>
        <v>-2.0471252976762555E-3</v>
      </c>
      <c r="P1100">
        <f t="shared" si="141"/>
        <v>0</v>
      </c>
      <c r="Q1100">
        <f t="shared" si="142"/>
        <v>0</v>
      </c>
    </row>
    <row r="1101" spans="1:17">
      <c r="A1101" s="1">
        <v>44056</v>
      </c>
      <c r="B1101">
        <v>3373.43</v>
      </c>
      <c r="C1101">
        <f t="shared" si="136"/>
        <v>-2.0471252976762555E-3</v>
      </c>
      <c r="D1101">
        <f t="shared" si="143"/>
        <v>3.8566033917875053E-3</v>
      </c>
      <c r="E1101">
        <f>_xlfn.XLOOKUP(A1101,VIX!A:A,VIX!B:B,"",-1)</f>
        <v>22.13</v>
      </c>
      <c r="F1101">
        <f t="shared" si="137"/>
        <v>-0.15000000000000213</v>
      </c>
      <c r="G1101">
        <f>_xlfn.XLOOKUP(A1101,'DGS10'!A:A,'DGS10'!B:B,"",-1)</f>
        <v>0.71</v>
      </c>
      <c r="H1101">
        <f t="shared" si="138"/>
        <v>2.0000000000000018E-2</v>
      </c>
      <c r="I1101" s="2">
        <f>_xlfn.XLOOKUP(A1101,T10Y3M!A:A,T10Y3M!B:B,"",-1)</f>
        <v>0.61</v>
      </c>
      <c r="J1101" s="2">
        <f>_xlfn.XLOOKUP(A1101,BAMLC0A4CBBB!A:A,BAMLC0A4CBBB!B:B,"",-1)</f>
        <v>1.74</v>
      </c>
      <c r="K1101" s="2">
        <f>_xlfn.XLOOKUP(A1101,CPIAUCSL!A:A,CPIAUCSL!B:B,"",-1)</f>
        <v>259.31599999999997</v>
      </c>
      <c r="L1101">
        <f>_xlfn.XLOOKUP(A1101,DFF!A:A,DFF!B:B,"",-1)</f>
        <v>0.1</v>
      </c>
      <c r="M1101">
        <f>_xlfn.XLOOKUP(A1101,'DGS2'!A:A,'DGS2'!B:B,"",-1)</f>
        <v>0.16</v>
      </c>
      <c r="N1101">
        <f t="shared" si="139"/>
        <v>0</v>
      </c>
      <c r="O1101">
        <f t="shared" si="140"/>
        <v>-1.7193183199293305E-4</v>
      </c>
      <c r="P1101">
        <f t="shared" si="141"/>
        <v>0</v>
      </c>
      <c r="Q1101">
        <f t="shared" si="142"/>
        <v>0</v>
      </c>
    </row>
    <row r="1102" spans="1:17">
      <c r="A1102" s="1">
        <v>44057</v>
      </c>
      <c r="B1102">
        <v>3372.85</v>
      </c>
      <c r="C1102">
        <f t="shared" si="136"/>
        <v>-1.7193183199293305E-4</v>
      </c>
      <c r="D1102">
        <f t="shared" si="143"/>
        <v>1.1746743098488333E-2</v>
      </c>
      <c r="E1102">
        <f>_xlfn.XLOOKUP(A1102,VIX!A:A,VIX!B:B,"",-1)</f>
        <v>22.05</v>
      </c>
      <c r="F1102">
        <f t="shared" si="137"/>
        <v>-7.9999999999998295E-2</v>
      </c>
      <c r="G1102">
        <f>_xlfn.XLOOKUP(A1102,'DGS10'!A:A,'DGS10'!B:B,"",-1)</f>
        <v>0.71</v>
      </c>
      <c r="H1102">
        <f t="shared" si="138"/>
        <v>0</v>
      </c>
      <c r="I1102" s="2">
        <f>_xlfn.XLOOKUP(A1102,T10Y3M!A:A,T10Y3M!B:B,"",-1)</f>
        <v>0.61</v>
      </c>
      <c r="J1102" s="2">
        <f>_xlfn.XLOOKUP(A1102,BAMLC0A4CBBB!A:A,BAMLC0A4CBBB!B:B,"",-1)</f>
        <v>1.76</v>
      </c>
      <c r="K1102" s="2">
        <f>_xlfn.XLOOKUP(A1102,CPIAUCSL!A:A,CPIAUCSL!B:B,"",-1)</f>
        <v>259.31599999999997</v>
      </c>
      <c r="L1102">
        <f>_xlfn.XLOOKUP(A1102,DFF!A:A,DFF!B:B,"",-1)</f>
        <v>0.1</v>
      </c>
      <c r="M1102">
        <f>_xlfn.XLOOKUP(A1102,'DGS2'!A:A,'DGS2'!B:B,"",-1)</f>
        <v>0.14000000000000001</v>
      </c>
      <c r="N1102">
        <f t="shared" si="139"/>
        <v>-1.999999999999999E-2</v>
      </c>
      <c r="O1102">
        <f t="shared" si="140"/>
        <v>2.7098744385312123E-3</v>
      </c>
      <c r="P1102">
        <f t="shared" si="141"/>
        <v>1</v>
      </c>
      <c r="Q1102">
        <f t="shared" si="142"/>
        <v>0</v>
      </c>
    </row>
    <row r="1103" spans="1:17">
      <c r="A1103" s="1">
        <v>44060</v>
      </c>
      <c r="B1103">
        <v>3381.99</v>
      </c>
      <c r="C1103">
        <f t="shared" si="136"/>
        <v>2.7098744385312123E-3</v>
      </c>
      <c r="D1103">
        <f t="shared" si="143"/>
        <v>4.8515686245509393E-4</v>
      </c>
      <c r="E1103">
        <f>_xlfn.XLOOKUP(A1103,VIX!A:A,VIX!B:B,"",-1)</f>
        <v>21.35</v>
      </c>
      <c r="F1103">
        <f t="shared" si="137"/>
        <v>-0.69999999999999929</v>
      </c>
      <c r="G1103">
        <f>_xlfn.XLOOKUP(A1103,'DGS10'!A:A,'DGS10'!B:B,"",-1)</f>
        <v>0.69</v>
      </c>
      <c r="H1103">
        <f t="shared" si="138"/>
        <v>-2.0000000000000018E-2</v>
      </c>
      <c r="I1103" s="2">
        <f>_xlfn.XLOOKUP(A1103,T10Y3M!A:A,T10Y3M!B:B,"",-1)</f>
        <v>0.59</v>
      </c>
      <c r="J1103" s="2">
        <f>_xlfn.XLOOKUP(A1103,BAMLC0A4CBBB!A:A,BAMLC0A4CBBB!B:B,"",-1)</f>
        <v>1.77</v>
      </c>
      <c r="K1103" s="2">
        <f>_xlfn.XLOOKUP(A1103,CPIAUCSL!A:A,CPIAUCSL!B:B,"",-1)</f>
        <v>259.31599999999997</v>
      </c>
      <c r="L1103">
        <f>_xlfn.XLOOKUP(A1103,DFF!A:A,DFF!B:B,"",-1)</f>
        <v>0.1</v>
      </c>
      <c r="M1103">
        <f>_xlfn.XLOOKUP(A1103,'DGS2'!A:A,'DGS2'!B:B,"",-1)</f>
        <v>0.14000000000000001</v>
      </c>
      <c r="N1103">
        <f t="shared" si="139"/>
        <v>0</v>
      </c>
      <c r="O1103">
        <f t="shared" si="140"/>
        <v>2.3033775972136628E-3</v>
      </c>
      <c r="P1103">
        <f t="shared" si="141"/>
        <v>1</v>
      </c>
      <c r="Q1103">
        <f t="shared" si="142"/>
        <v>0</v>
      </c>
    </row>
    <row r="1104" spans="1:17">
      <c r="A1104" s="1">
        <v>44061</v>
      </c>
      <c r="B1104">
        <v>3389.78</v>
      </c>
      <c r="C1104">
        <f t="shared" si="136"/>
        <v>2.3033775972136628E-3</v>
      </c>
      <c r="D1104">
        <f t="shared" si="143"/>
        <v>4.8466990570430468E-3</v>
      </c>
      <c r="E1104">
        <f>_xlfn.XLOOKUP(A1104,VIX!A:A,VIX!B:B,"",-1)</f>
        <v>21.51</v>
      </c>
      <c r="F1104">
        <f t="shared" si="137"/>
        <v>0.16000000000000014</v>
      </c>
      <c r="G1104">
        <f>_xlfn.XLOOKUP(A1104,'DGS10'!A:A,'DGS10'!B:B,"",-1)</f>
        <v>0.67</v>
      </c>
      <c r="H1104">
        <f t="shared" si="138"/>
        <v>-1.9999999999999907E-2</v>
      </c>
      <c r="I1104" s="2">
        <f>_xlfn.XLOOKUP(A1104,T10Y3M!A:A,T10Y3M!B:B,"",-1)</f>
        <v>0.57999999999999996</v>
      </c>
      <c r="J1104" s="2">
        <f>_xlfn.XLOOKUP(A1104,BAMLC0A4CBBB!A:A,BAMLC0A4CBBB!B:B,"",-1)</f>
        <v>1.78</v>
      </c>
      <c r="K1104" s="2">
        <f>_xlfn.XLOOKUP(A1104,CPIAUCSL!A:A,CPIAUCSL!B:B,"",-1)</f>
        <v>259.31599999999997</v>
      </c>
      <c r="L1104">
        <f>_xlfn.XLOOKUP(A1104,DFF!A:A,DFF!B:B,"",-1)</f>
        <v>0.09</v>
      </c>
      <c r="M1104">
        <f>_xlfn.XLOOKUP(A1104,'DGS2'!A:A,'DGS2'!B:B,"",-1)</f>
        <v>0.14000000000000001</v>
      </c>
      <c r="N1104">
        <f t="shared" si="139"/>
        <v>0</v>
      </c>
      <c r="O1104">
        <f t="shared" si="140"/>
        <v>-4.4044156257928568E-3</v>
      </c>
      <c r="P1104">
        <f t="shared" si="141"/>
        <v>0</v>
      </c>
      <c r="Q1104">
        <f t="shared" si="142"/>
        <v>-1</v>
      </c>
    </row>
    <row r="1105" spans="1:17">
      <c r="A1105" s="1">
        <v>44062</v>
      </c>
      <c r="B1105">
        <v>3374.85</v>
      </c>
      <c r="C1105">
        <f t="shared" si="136"/>
        <v>-4.4044156257928568E-3</v>
      </c>
      <c r="D1105">
        <f t="shared" si="143"/>
        <v>5.9297033665894894E-4</v>
      </c>
      <c r="E1105">
        <f>_xlfn.XLOOKUP(A1105,VIX!A:A,VIX!B:B,"",-1)</f>
        <v>22.54</v>
      </c>
      <c r="F1105">
        <f t="shared" si="137"/>
        <v>1.0299999999999976</v>
      </c>
      <c r="G1105">
        <f>_xlfn.XLOOKUP(A1105,'DGS10'!A:A,'DGS10'!B:B,"",-1)</f>
        <v>0.68</v>
      </c>
      <c r="H1105">
        <f t="shared" si="138"/>
        <v>1.0000000000000009E-2</v>
      </c>
      <c r="I1105" s="2">
        <f>_xlfn.XLOOKUP(A1105,T10Y3M!A:A,T10Y3M!B:B,"",-1)</f>
        <v>0.56999999999999995</v>
      </c>
      <c r="J1105" s="2">
        <f>_xlfn.XLOOKUP(A1105,BAMLC0A4CBBB!A:A,BAMLC0A4CBBB!B:B,"",-1)</f>
        <v>1.78</v>
      </c>
      <c r="K1105" s="2">
        <f>_xlfn.XLOOKUP(A1105,CPIAUCSL!A:A,CPIAUCSL!B:B,"",-1)</f>
        <v>259.31599999999997</v>
      </c>
      <c r="L1105">
        <f>_xlfn.XLOOKUP(A1105,DFF!A:A,DFF!B:B,"",-1)</f>
        <v>0.09</v>
      </c>
      <c r="M1105">
        <f>_xlfn.XLOOKUP(A1105,'DGS2'!A:A,'DGS2'!B:B,"",-1)</f>
        <v>0.14000000000000001</v>
      </c>
      <c r="N1105">
        <f t="shared" si="139"/>
        <v>0</v>
      </c>
      <c r="O1105">
        <f t="shared" si="140"/>
        <v>3.1586589033587575E-3</v>
      </c>
      <c r="P1105">
        <f t="shared" si="141"/>
        <v>1</v>
      </c>
      <c r="Q1105">
        <f t="shared" si="142"/>
        <v>1</v>
      </c>
    </row>
    <row r="1106" spans="1:17">
      <c r="A1106" s="1">
        <v>44063</v>
      </c>
      <c r="B1106">
        <v>3385.51</v>
      </c>
      <c r="C1106">
        <f t="shared" si="136"/>
        <v>3.1586589033587575E-3</v>
      </c>
      <c r="D1106">
        <f t="shared" si="143"/>
        <v>1.0408073353262992E-3</v>
      </c>
      <c r="E1106">
        <f>_xlfn.XLOOKUP(A1106,VIX!A:A,VIX!B:B,"",-1)</f>
        <v>22.72</v>
      </c>
      <c r="F1106">
        <f t="shared" si="137"/>
        <v>0.17999999999999972</v>
      </c>
      <c r="G1106">
        <f>_xlfn.XLOOKUP(A1106,'DGS10'!A:A,'DGS10'!B:B,"",-1)</f>
        <v>0.65</v>
      </c>
      <c r="H1106">
        <f t="shared" si="138"/>
        <v>-3.0000000000000027E-2</v>
      </c>
      <c r="I1106" s="2">
        <f>_xlfn.XLOOKUP(A1106,T10Y3M!A:A,T10Y3M!B:B,"",-1)</f>
        <v>0.54</v>
      </c>
      <c r="J1106" s="2">
        <f>_xlfn.XLOOKUP(A1106,BAMLC0A4CBBB!A:A,BAMLC0A4CBBB!B:B,"",-1)</f>
        <v>1.79</v>
      </c>
      <c r="K1106" s="2">
        <f>_xlfn.XLOOKUP(A1106,CPIAUCSL!A:A,CPIAUCSL!B:B,"",-1)</f>
        <v>259.31599999999997</v>
      </c>
      <c r="L1106">
        <f>_xlfn.XLOOKUP(A1106,DFF!A:A,DFF!B:B,"",-1)</f>
        <v>0.09</v>
      </c>
      <c r="M1106">
        <f>_xlfn.XLOOKUP(A1106,'DGS2'!A:A,'DGS2'!B:B,"",-1)</f>
        <v>0.13</v>
      </c>
      <c r="N1106">
        <f t="shared" si="139"/>
        <v>-1.0000000000000009E-2</v>
      </c>
      <c r="O1106">
        <f t="shared" si="140"/>
        <v>3.4411358997610275E-3</v>
      </c>
      <c r="P1106">
        <f t="shared" si="141"/>
        <v>1</v>
      </c>
      <c r="Q1106">
        <f t="shared" si="142"/>
        <v>1</v>
      </c>
    </row>
    <row r="1107" spans="1:17">
      <c r="A1107" s="1">
        <v>44064</v>
      </c>
      <c r="B1107">
        <v>3397.16</v>
      </c>
      <c r="C1107">
        <f t="shared" si="136"/>
        <v>3.4411358997610275E-3</v>
      </c>
      <c r="D1107">
        <f t="shared" si="143"/>
        <v>2.1771324392731994E-3</v>
      </c>
      <c r="E1107">
        <f>_xlfn.XLOOKUP(A1107,VIX!A:A,VIX!B:B,"",-1)</f>
        <v>22.54</v>
      </c>
      <c r="F1107">
        <f t="shared" si="137"/>
        <v>-0.17999999999999972</v>
      </c>
      <c r="G1107">
        <f>_xlfn.XLOOKUP(A1107,'DGS10'!A:A,'DGS10'!B:B,"",-1)</f>
        <v>0.64</v>
      </c>
      <c r="H1107">
        <f t="shared" si="138"/>
        <v>-1.0000000000000009E-2</v>
      </c>
      <c r="I1107" s="2">
        <f>_xlfn.XLOOKUP(A1107,T10Y3M!A:A,T10Y3M!B:B,"",-1)</f>
        <v>0.54</v>
      </c>
      <c r="J1107" s="2">
        <f>_xlfn.XLOOKUP(A1107,BAMLC0A4CBBB!A:A,BAMLC0A4CBBB!B:B,"",-1)</f>
        <v>1.78</v>
      </c>
      <c r="K1107" s="2">
        <f>_xlfn.XLOOKUP(A1107,CPIAUCSL!A:A,CPIAUCSL!B:B,"",-1)</f>
        <v>259.31599999999997</v>
      </c>
      <c r="L1107">
        <f>_xlfn.XLOOKUP(A1107,DFF!A:A,DFF!B:B,"",-1)</f>
        <v>0.09</v>
      </c>
      <c r="M1107">
        <f>_xlfn.XLOOKUP(A1107,'DGS2'!A:A,'DGS2'!B:B,"",-1)</f>
        <v>0.16</v>
      </c>
      <c r="N1107">
        <f t="shared" si="139"/>
        <v>0.03</v>
      </c>
      <c r="O1107">
        <f t="shared" si="140"/>
        <v>1.004368354743379E-2</v>
      </c>
      <c r="P1107">
        <f t="shared" si="141"/>
        <v>1</v>
      </c>
      <c r="Q1107">
        <f t="shared" si="142"/>
        <v>1</v>
      </c>
    </row>
    <row r="1108" spans="1:17">
      <c r="A1108" s="1">
        <v>44067</v>
      </c>
      <c r="B1108">
        <v>3431.28</v>
      </c>
      <c r="C1108">
        <f t="shared" si="136"/>
        <v>1.004368354743379E-2</v>
      </c>
      <c r="D1108">
        <f t="shared" si="143"/>
        <v>1.6720743144139849E-2</v>
      </c>
      <c r="E1108">
        <f>_xlfn.XLOOKUP(A1108,VIX!A:A,VIX!B:B,"",-1)</f>
        <v>22.37</v>
      </c>
      <c r="F1108">
        <f t="shared" si="137"/>
        <v>-0.16999999999999815</v>
      </c>
      <c r="G1108">
        <f>_xlfn.XLOOKUP(A1108,'DGS10'!A:A,'DGS10'!B:B,"",-1)</f>
        <v>0.65</v>
      </c>
      <c r="H1108">
        <f t="shared" si="138"/>
        <v>1.0000000000000009E-2</v>
      </c>
      <c r="I1108" s="2">
        <f>_xlfn.XLOOKUP(A1108,T10Y3M!A:A,T10Y3M!B:B,"",-1)</f>
        <v>0.53</v>
      </c>
      <c r="J1108" s="2">
        <f>_xlfn.XLOOKUP(A1108,BAMLC0A4CBBB!A:A,BAMLC0A4CBBB!B:B,"",-1)</f>
        <v>1.78</v>
      </c>
      <c r="K1108" s="2">
        <f>_xlfn.XLOOKUP(A1108,CPIAUCSL!A:A,CPIAUCSL!B:B,"",-1)</f>
        <v>259.31599999999997</v>
      </c>
      <c r="L1108">
        <f>_xlfn.XLOOKUP(A1108,DFF!A:A,DFF!B:B,"",-1)</f>
        <v>0.09</v>
      </c>
      <c r="M1108">
        <f>_xlfn.XLOOKUP(A1108,'DGS2'!A:A,'DGS2'!B:B,"",-1)</f>
        <v>0.14000000000000001</v>
      </c>
      <c r="N1108">
        <f t="shared" si="139"/>
        <v>-1.999999999999999E-2</v>
      </c>
      <c r="O1108">
        <f t="shared" si="140"/>
        <v>3.5963255694666518E-3</v>
      </c>
      <c r="P1108">
        <f t="shared" si="141"/>
        <v>1</v>
      </c>
      <c r="Q1108">
        <f t="shared" si="142"/>
        <v>1</v>
      </c>
    </row>
    <row r="1109" spans="1:17">
      <c r="A1109" s="1">
        <v>44068</v>
      </c>
      <c r="B1109">
        <v>3443.62</v>
      </c>
      <c r="C1109">
        <f t="shared" si="136"/>
        <v>3.5963255694666518E-3</v>
      </c>
      <c r="D1109">
        <f t="shared" si="143"/>
        <v>1.7164326792713513E-2</v>
      </c>
      <c r="E1109">
        <f>_xlfn.XLOOKUP(A1109,VIX!A:A,VIX!B:B,"",-1)</f>
        <v>22.03</v>
      </c>
      <c r="F1109">
        <f t="shared" si="137"/>
        <v>-0.33999999999999986</v>
      </c>
      <c r="G1109">
        <f>_xlfn.XLOOKUP(A1109,'DGS10'!A:A,'DGS10'!B:B,"",-1)</f>
        <v>0.69</v>
      </c>
      <c r="H1109">
        <f t="shared" si="138"/>
        <v>3.9999999999999925E-2</v>
      </c>
      <c r="I1109" s="2">
        <f>_xlfn.XLOOKUP(A1109,T10Y3M!A:A,T10Y3M!B:B,"",-1)</f>
        <v>0.57999999999999996</v>
      </c>
      <c r="J1109" s="2">
        <f>_xlfn.XLOOKUP(A1109,BAMLC0A4CBBB!A:A,BAMLC0A4CBBB!B:B,"",-1)</f>
        <v>1.77</v>
      </c>
      <c r="K1109" s="2">
        <f>_xlfn.XLOOKUP(A1109,CPIAUCSL!A:A,CPIAUCSL!B:B,"",-1)</f>
        <v>259.31599999999997</v>
      </c>
      <c r="L1109">
        <f>_xlfn.XLOOKUP(A1109,DFF!A:A,DFF!B:B,"",-1)</f>
        <v>0.09</v>
      </c>
      <c r="M1109">
        <f>_xlfn.XLOOKUP(A1109,'DGS2'!A:A,'DGS2'!B:B,"",-1)</f>
        <v>0.15</v>
      </c>
      <c r="N1109">
        <f t="shared" si="139"/>
        <v>9.9999999999999811E-3</v>
      </c>
      <c r="O1109">
        <f t="shared" si="140"/>
        <v>1.0195666188487662E-2</v>
      </c>
      <c r="P1109">
        <f t="shared" si="141"/>
        <v>1</v>
      </c>
      <c r="Q1109">
        <f t="shared" si="142"/>
        <v>1</v>
      </c>
    </row>
    <row r="1110" spans="1:17">
      <c r="A1110" s="1">
        <v>44069</v>
      </c>
      <c r="B1110">
        <v>3478.73</v>
      </c>
      <c r="C1110">
        <f t="shared" si="136"/>
        <v>1.0195666188487662E-2</v>
      </c>
      <c r="D1110">
        <f t="shared" si="143"/>
        <v>2.4011232912197311E-2</v>
      </c>
      <c r="E1110">
        <f>_xlfn.XLOOKUP(A1110,VIX!A:A,VIX!B:B,"",-1)</f>
        <v>23.27</v>
      </c>
      <c r="F1110">
        <f t="shared" si="137"/>
        <v>1.2399999999999984</v>
      </c>
      <c r="G1110">
        <f>_xlfn.XLOOKUP(A1110,'DGS10'!A:A,'DGS10'!B:B,"",-1)</f>
        <v>0.69</v>
      </c>
      <c r="H1110">
        <f t="shared" si="138"/>
        <v>0</v>
      </c>
      <c r="I1110" s="2">
        <f>_xlfn.XLOOKUP(A1110,T10Y3M!A:A,T10Y3M!B:B,"",-1)</f>
        <v>0.57999999999999996</v>
      </c>
      <c r="J1110" s="2">
        <f>_xlfn.XLOOKUP(A1110,BAMLC0A4CBBB!A:A,BAMLC0A4CBBB!B:B,"",-1)</f>
        <v>1.78</v>
      </c>
      <c r="K1110" s="2">
        <f>_xlfn.XLOOKUP(A1110,CPIAUCSL!A:A,CPIAUCSL!B:B,"",-1)</f>
        <v>259.31599999999997</v>
      </c>
      <c r="L1110">
        <f>_xlfn.XLOOKUP(A1110,DFF!A:A,DFF!B:B,"",-1)</f>
        <v>0.09</v>
      </c>
      <c r="M1110">
        <f>_xlfn.XLOOKUP(A1110,'DGS2'!A:A,'DGS2'!B:B,"",-1)</f>
        <v>0.16</v>
      </c>
      <c r="N1110">
        <f t="shared" si="139"/>
        <v>1.0000000000000009E-2</v>
      </c>
      <c r="O1110">
        <f t="shared" si="140"/>
        <v>1.6730243508407128E-3</v>
      </c>
      <c r="P1110">
        <f t="shared" si="141"/>
        <v>1</v>
      </c>
      <c r="Q1110">
        <f t="shared" si="142"/>
        <v>0</v>
      </c>
    </row>
    <row r="1111" spans="1:17">
      <c r="A1111" s="1">
        <v>44070</v>
      </c>
      <c r="B1111">
        <v>3484.55</v>
      </c>
      <c r="C1111">
        <f t="shared" si="136"/>
        <v>1.6730243508407128E-3</v>
      </c>
      <c r="D1111">
        <f t="shared" si="143"/>
        <v>1.5524818726539324E-2</v>
      </c>
      <c r="E1111">
        <f>_xlfn.XLOOKUP(A1111,VIX!A:A,VIX!B:B,"",-1)</f>
        <v>24.47</v>
      </c>
      <c r="F1111">
        <f t="shared" si="137"/>
        <v>1.1999999999999993</v>
      </c>
      <c r="G1111">
        <f>_xlfn.XLOOKUP(A1111,'DGS10'!A:A,'DGS10'!B:B,"",-1)</f>
        <v>0.74</v>
      </c>
      <c r="H1111">
        <f t="shared" si="138"/>
        <v>5.0000000000000044E-2</v>
      </c>
      <c r="I1111" s="2">
        <f>_xlfn.XLOOKUP(A1111,T10Y3M!A:A,T10Y3M!B:B,"",-1)</f>
        <v>0.63</v>
      </c>
      <c r="J1111" s="2">
        <f>_xlfn.XLOOKUP(A1111,BAMLC0A4CBBB!A:A,BAMLC0A4CBBB!B:B,"",-1)</f>
        <v>1.78</v>
      </c>
      <c r="K1111" s="2">
        <f>_xlfn.XLOOKUP(A1111,CPIAUCSL!A:A,CPIAUCSL!B:B,"",-1)</f>
        <v>259.31599999999997</v>
      </c>
      <c r="L1111">
        <f>_xlfn.XLOOKUP(A1111,DFF!A:A,DFF!B:B,"",-1)</f>
        <v>0.08</v>
      </c>
      <c r="M1111">
        <f>_xlfn.XLOOKUP(A1111,'DGS2'!A:A,'DGS2'!B:B,"",-1)</f>
        <v>0.16</v>
      </c>
      <c r="N1111">
        <f t="shared" si="139"/>
        <v>0</v>
      </c>
      <c r="O1111">
        <f t="shared" si="140"/>
        <v>6.732576659826961E-3</v>
      </c>
      <c r="P1111">
        <f t="shared" si="141"/>
        <v>1</v>
      </c>
      <c r="Q1111">
        <f t="shared" si="142"/>
        <v>1</v>
      </c>
    </row>
    <row r="1112" spans="1:17">
      <c r="A1112" s="1">
        <v>44071</v>
      </c>
      <c r="B1112">
        <v>3508.01</v>
      </c>
      <c r="C1112">
        <f t="shared" si="136"/>
        <v>6.732576659826961E-3</v>
      </c>
      <c r="D1112">
        <f t="shared" si="143"/>
        <v>1.8698346507454389E-2</v>
      </c>
      <c r="E1112">
        <f>_xlfn.XLOOKUP(A1112,VIX!A:A,VIX!B:B,"",-1)</f>
        <v>22.96</v>
      </c>
      <c r="F1112">
        <f t="shared" si="137"/>
        <v>-1.509999999999998</v>
      </c>
      <c r="G1112">
        <f>_xlfn.XLOOKUP(A1112,'DGS10'!A:A,'DGS10'!B:B,"",-1)</f>
        <v>0.74</v>
      </c>
      <c r="H1112">
        <f t="shared" si="138"/>
        <v>0</v>
      </c>
      <c r="I1112" s="2">
        <f>_xlfn.XLOOKUP(A1112,T10Y3M!A:A,T10Y3M!B:B,"",-1)</f>
        <v>0.64</v>
      </c>
      <c r="J1112" s="2">
        <f>_xlfn.XLOOKUP(A1112,BAMLC0A4CBBB!A:A,BAMLC0A4CBBB!B:B,"",-1)</f>
        <v>1.77</v>
      </c>
      <c r="K1112" s="2">
        <f>_xlfn.XLOOKUP(A1112,CPIAUCSL!A:A,CPIAUCSL!B:B,"",-1)</f>
        <v>259.31599999999997</v>
      </c>
      <c r="L1112">
        <f>_xlfn.XLOOKUP(A1112,DFF!A:A,DFF!B:B,"",-1)</f>
        <v>0.09</v>
      </c>
      <c r="M1112">
        <f>_xlfn.XLOOKUP(A1112,'DGS2'!A:A,'DGS2'!B:B,"",-1)</f>
        <v>0.14000000000000001</v>
      </c>
      <c r="N1112">
        <f t="shared" si="139"/>
        <v>-1.999999999999999E-2</v>
      </c>
      <c r="O1112">
        <f t="shared" si="140"/>
        <v>-2.1949766391772263E-3</v>
      </c>
      <c r="P1112">
        <f t="shared" si="141"/>
        <v>0</v>
      </c>
      <c r="Q1112">
        <f t="shared" si="142"/>
        <v>0</v>
      </c>
    </row>
    <row r="1113" spans="1:17">
      <c r="A1113" s="1">
        <v>44074</v>
      </c>
      <c r="B1113">
        <v>3500.31</v>
      </c>
      <c r="C1113">
        <f t="shared" si="136"/>
        <v>-2.1949766391772263E-3</v>
      </c>
      <c r="D1113">
        <f t="shared" si="143"/>
        <v>6.203413314629147E-3</v>
      </c>
      <c r="E1113">
        <f>_xlfn.XLOOKUP(A1113,VIX!A:A,VIX!B:B,"",-1)</f>
        <v>26.41</v>
      </c>
      <c r="F1113">
        <f t="shared" si="137"/>
        <v>3.4499999999999993</v>
      </c>
      <c r="G1113">
        <f>_xlfn.XLOOKUP(A1113,'DGS10'!A:A,'DGS10'!B:B,"",-1)</f>
        <v>0.72</v>
      </c>
      <c r="H1113">
        <f t="shared" si="138"/>
        <v>-2.0000000000000018E-2</v>
      </c>
      <c r="I1113" s="2">
        <f>_xlfn.XLOOKUP(A1113,T10Y3M!A:A,T10Y3M!B:B,"",-1)</f>
        <v>0.61</v>
      </c>
      <c r="J1113" s="2">
        <f>_xlfn.XLOOKUP(A1113,BAMLC0A4CBBB!A:A,BAMLC0A4CBBB!B:B,"",-1)</f>
        <v>1.76</v>
      </c>
      <c r="K1113" s="2">
        <f>_xlfn.XLOOKUP(A1113,CPIAUCSL!A:A,CPIAUCSL!B:B,"",-1)</f>
        <v>259.31599999999997</v>
      </c>
      <c r="L1113">
        <f>_xlfn.XLOOKUP(A1113,DFF!A:A,DFF!B:B,"",-1)</f>
        <v>0.09</v>
      </c>
      <c r="M1113">
        <f>_xlfn.XLOOKUP(A1113,'DGS2'!A:A,'DGS2'!B:B,"",-1)</f>
        <v>0.14000000000000001</v>
      </c>
      <c r="N1113">
        <f t="shared" si="139"/>
        <v>0</v>
      </c>
      <c r="O1113">
        <f t="shared" si="140"/>
        <v>7.5250477814823302E-3</v>
      </c>
      <c r="P1113">
        <f t="shared" si="141"/>
        <v>1</v>
      </c>
      <c r="Q1113">
        <f t="shared" si="142"/>
        <v>1</v>
      </c>
    </row>
    <row r="1114" spans="1:17">
      <c r="A1114" s="1">
        <v>44075</v>
      </c>
      <c r="B1114">
        <v>3526.65</v>
      </c>
      <c r="C1114">
        <f t="shared" si="136"/>
        <v>7.5250477814823302E-3</v>
      </c>
      <c r="D1114">
        <f t="shared" si="143"/>
        <v>1.2081904406594735E-2</v>
      </c>
      <c r="E1114">
        <f>_xlfn.XLOOKUP(A1114,VIX!A:A,VIX!B:B,"",-1)</f>
        <v>26.12</v>
      </c>
      <c r="F1114">
        <f t="shared" si="137"/>
        <v>-0.28999999999999915</v>
      </c>
      <c r="G1114">
        <f>_xlfn.XLOOKUP(A1114,'DGS10'!A:A,'DGS10'!B:B,"",-1)</f>
        <v>0.68</v>
      </c>
      <c r="H1114">
        <f t="shared" si="138"/>
        <v>-3.9999999999999925E-2</v>
      </c>
      <c r="I1114" s="2">
        <f>_xlfn.XLOOKUP(A1114,T10Y3M!A:A,T10Y3M!B:B,"",-1)</f>
        <v>0.56000000000000005</v>
      </c>
      <c r="J1114" s="2">
        <f>_xlfn.XLOOKUP(A1114,BAMLC0A4CBBB!A:A,BAMLC0A4CBBB!B:B,"",-1)</f>
        <v>1.75</v>
      </c>
      <c r="K1114" s="2">
        <f>_xlfn.XLOOKUP(A1114,CPIAUCSL!A:A,CPIAUCSL!B:B,"",-1)</f>
        <v>259.99700000000001</v>
      </c>
      <c r="L1114">
        <f>_xlfn.XLOOKUP(A1114,DFF!A:A,DFF!B:B,"",-1)</f>
        <v>0.09</v>
      </c>
      <c r="M1114">
        <f>_xlfn.XLOOKUP(A1114,'DGS2'!A:A,'DGS2'!B:B,"",-1)</f>
        <v>0.13</v>
      </c>
      <c r="N1114">
        <f t="shared" si="139"/>
        <v>-1.0000000000000009E-2</v>
      </c>
      <c r="O1114">
        <f t="shared" si="140"/>
        <v>1.5365857116526938E-2</v>
      </c>
      <c r="P1114">
        <f t="shared" si="141"/>
        <v>1</v>
      </c>
      <c r="Q1114">
        <f t="shared" si="142"/>
        <v>1</v>
      </c>
    </row>
    <row r="1115" spans="1:17">
      <c r="A1115" s="1">
        <v>44076</v>
      </c>
      <c r="B1115">
        <v>3580.84</v>
      </c>
      <c r="C1115">
        <f t="shared" si="136"/>
        <v>1.5365857116526938E-2</v>
      </c>
      <c r="D1115">
        <f t="shared" si="143"/>
        <v>2.0761058263802035E-2</v>
      </c>
      <c r="E1115">
        <f>_xlfn.XLOOKUP(A1115,VIX!A:A,VIX!B:B,"",-1)</f>
        <v>26.57</v>
      </c>
      <c r="F1115">
        <f t="shared" si="137"/>
        <v>0.44999999999999929</v>
      </c>
      <c r="G1115">
        <f>_xlfn.XLOOKUP(A1115,'DGS10'!A:A,'DGS10'!B:B,"",-1)</f>
        <v>0.66</v>
      </c>
      <c r="H1115">
        <f t="shared" si="138"/>
        <v>-2.0000000000000018E-2</v>
      </c>
      <c r="I1115" s="2">
        <f>_xlfn.XLOOKUP(A1115,T10Y3M!A:A,T10Y3M!B:B,"",-1)</f>
        <v>0.54</v>
      </c>
      <c r="J1115" s="2">
        <f>_xlfn.XLOOKUP(A1115,BAMLC0A4CBBB!A:A,BAMLC0A4CBBB!B:B,"",-1)</f>
        <v>1.73</v>
      </c>
      <c r="K1115" s="2">
        <f>_xlfn.XLOOKUP(A1115,CPIAUCSL!A:A,CPIAUCSL!B:B,"",-1)</f>
        <v>259.99700000000001</v>
      </c>
      <c r="L1115">
        <f>_xlfn.XLOOKUP(A1115,DFF!A:A,DFF!B:B,"",-1)</f>
        <v>0.09</v>
      </c>
      <c r="M1115">
        <f>_xlfn.XLOOKUP(A1115,'DGS2'!A:A,'DGS2'!B:B,"",-1)</f>
        <v>0.14000000000000001</v>
      </c>
      <c r="N1115">
        <f t="shared" si="139"/>
        <v>1.0000000000000009E-2</v>
      </c>
      <c r="O1115">
        <f t="shared" si="140"/>
        <v>-3.5125836395929477E-2</v>
      </c>
      <c r="P1115">
        <f t="shared" si="141"/>
        <v>0</v>
      </c>
      <c r="Q1115">
        <f t="shared" si="142"/>
        <v>-1</v>
      </c>
    </row>
    <row r="1116" spans="1:17">
      <c r="A1116" s="1">
        <v>44077</v>
      </c>
      <c r="B1116">
        <v>3455.06</v>
      </c>
      <c r="C1116">
        <f t="shared" si="136"/>
        <v>-3.5125836395929477E-2</v>
      </c>
      <c r="D1116">
        <f t="shared" si="143"/>
        <v>-1.2927426427944977E-2</v>
      </c>
      <c r="E1116">
        <f>_xlfn.XLOOKUP(A1116,VIX!A:A,VIX!B:B,"",-1)</f>
        <v>33.6</v>
      </c>
      <c r="F1116">
        <f t="shared" si="137"/>
        <v>7.0300000000000011</v>
      </c>
      <c r="G1116">
        <f>_xlfn.XLOOKUP(A1116,'DGS10'!A:A,'DGS10'!B:B,"",-1)</f>
        <v>0.63</v>
      </c>
      <c r="H1116">
        <f t="shared" si="138"/>
        <v>-3.0000000000000027E-2</v>
      </c>
      <c r="I1116" s="2">
        <f>_xlfn.XLOOKUP(A1116,T10Y3M!A:A,T10Y3M!B:B,"",-1)</f>
        <v>0.52</v>
      </c>
      <c r="J1116" s="2">
        <f>_xlfn.XLOOKUP(A1116,BAMLC0A4CBBB!A:A,BAMLC0A4CBBB!B:B,"",-1)</f>
        <v>1.74</v>
      </c>
      <c r="K1116" s="2">
        <f>_xlfn.XLOOKUP(A1116,CPIAUCSL!A:A,CPIAUCSL!B:B,"",-1)</f>
        <v>259.99700000000001</v>
      </c>
      <c r="L1116">
        <f>_xlfn.XLOOKUP(A1116,DFF!A:A,DFF!B:B,"",-1)</f>
        <v>0.09</v>
      </c>
      <c r="M1116">
        <f>_xlfn.XLOOKUP(A1116,'DGS2'!A:A,'DGS2'!B:B,"",-1)</f>
        <v>0.13</v>
      </c>
      <c r="N1116">
        <f t="shared" si="139"/>
        <v>-1.0000000000000009E-2</v>
      </c>
      <c r="O1116">
        <f t="shared" si="140"/>
        <v>-8.1329991374968769E-3</v>
      </c>
      <c r="P1116">
        <f t="shared" si="141"/>
        <v>0</v>
      </c>
      <c r="Q1116">
        <f t="shared" si="142"/>
        <v>-1</v>
      </c>
    </row>
    <row r="1117" spans="1:17">
      <c r="A1117" s="1">
        <v>44078</v>
      </c>
      <c r="B1117">
        <v>3426.96</v>
      </c>
      <c r="C1117">
        <f t="shared" si="136"/>
        <v>-8.1329991374968769E-3</v>
      </c>
      <c r="D1117">
        <f t="shared" si="143"/>
        <v>-2.8267619412190026E-2</v>
      </c>
      <c r="E1117">
        <f>_xlfn.XLOOKUP(A1117,VIX!A:A,VIX!B:B,"",-1)</f>
        <v>30.75</v>
      </c>
      <c r="F1117">
        <f t="shared" si="137"/>
        <v>-2.8500000000000014</v>
      </c>
      <c r="G1117">
        <f>_xlfn.XLOOKUP(A1117,'DGS10'!A:A,'DGS10'!B:B,"",-1)</f>
        <v>0.72</v>
      </c>
      <c r="H1117">
        <f t="shared" si="138"/>
        <v>8.9999999999999969E-2</v>
      </c>
      <c r="I1117" s="2">
        <f>_xlfn.XLOOKUP(A1117,T10Y3M!A:A,T10Y3M!B:B,"",-1)</f>
        <v>0.61</v>
      </c>
      <c r="J1117" s="2">
        <f>_xlfn.XLOOKUP(A1117,BAMLC0A4CBBB!A:A,BAMLC0A4CBBB!B:B,"",-1)</f>
        <v>1.74</v>
      </c>
      <c r="K1117" s="2">
        <f>_xlfn.XLOOKUP(A1117,CPIAUCSL!A:A,CPIAUCSL!B:B,"",-1)</f>
        <v>259.99700000000001</v>
      </c>
      <c r="L1117">
        <f>_xlfn.XLOOKUP(A1117,DFF!A:A,DFF!B:B,"",-1)</f>
        <v>0.09</v>
      </c>
      <c r="M1117">
        <f>_xlfn.XLOOKUP(A1117,'DGS2'!A:A,'DGS2'!B:B,"",-1)</f>
        <v>0.14000000000000001</v>
      </c>
      <c r="N1117">
        <f t="shared" si="139"/>
        <v>1.0000000000000009E-2</v>
      </c>
      <c r="O1117">
        <f t="shared" si="140"/>
        <v>-2.7756378831384043E-2</v>
      </c>
      <c r="P1117">
        <f t="shared" si="141"/>
        <v>0</v>
      </c>
      <c r="Q1117">
        <f t="shared" si="142"/>
        <v>-1</v>
      </c>
    </row>
    <row r="1118" spans="1:17">
      <c r="A1118" s="1">
        <v>44082</v>
      </c>
      <c r="B1118">
        <v>3331.84</v>
      </c>
      <c r="C1118">
        <f t="shared" si="136"/>
        <v>-2.7756378831384043E-2</v>
      </c>
      <c r="D1118">
        <f t="shared" si="143"/>
        <v>-6.9536756738642347E-2</v>
      </c>
      <c r="E1118">
        <f>_xlfn.XLOOKUP(A1118,VIX!A:A,VIX!B:B,"",-1)</f>
        <v>31.46</v>
      </c>
      <c r="F1118">
        <f t="shared" si="137"/>
        <v>0.71000000000000085</v>
      </c>
      <c r="G1118">
        <f>_xlfn.XLOOKUP(A1118,'DGS10'!A:A,'DGS10'!B:B,"",-1)</f>
        <v>0.69</v>
      </c>
      <c r="H1118">
        <f t="shared" si="138"/>
        <v>-3.0000000000000027E-2</v>
      </c>
      <c r="I1118" s="2">
        <f>_xlfn.XLOOKUP(A1118,T10Y3M!A:A,T10Y3M!B:B,"",-1)</f>
        <v>0.56000000000000005</v>
      </c>
      <c r="J1118" s="2">
        <f>_xlfn.XLOOKUP(A1118,BAMLC0A4CBBB!A:A,BAMLC0A4CBBB!B:B,"",-1)</f>
        <v>1.76</v>
      </c>
      <c r="K1118" s="2">
        <f>_xlfn.XLOOKUP(A1118,CPIAUCSL!A:A,CPIAUCSL!B:B,"",-1)</f>
        <v>259.99700000000001</v>
      </c>
      <c r="L1118">
        <f>_xlfn.XLOOKUP(A1118,DFF!A:A,DFF!B:B,"",-1)</f>
        <v>0.09</v>
      </c>
      <c r="M1118">
        <f>_xlfn.XLOOKUP(A1118,'DGS2'!A:A,'DGS2'!B:B,"",-1)</f>
        <v>0.14000000000000001</v>
      </c>
      <c r="N1118">
        <f t="shared" si="139"/>
        <v>0</v>
      </c>
      <c r="O1118">
        <f t="shared" si="140"/>
        <v>2.0145024971186976E-2</v>
      </c>
      <c r="P1118">
        <f t="shared" si="141"/>
        <v>1</v>
      </c>
      <c r="Q1118">
        <f t="shared" si="142"/>
        <v>1</v>
      </c>
    </row>
    <row r="1119" spans="1:17">
      <c r="A1119" s="1">
        <v>44083</v>
      </c>
      <c r="B1119">
        <v>3398.96</v>
      </c>
      <c r="C1119">
        <f t="shared" si="136"/>
        <v>2.0145024971186976E-2</v>
      </c>
      <c r="D1119">
        <f t="shared" si="143"/>
        <v>-1.6237055217564911E-2</v>
      </c>
      <c r="E1119">
        <f>_xlfn.XLOOKUP(A1119,VIX!A:A,VIX!B:B,"",-1)</f>
        <v>28.81</v>
      </c>
      <c r="F1119">
        <f t="shared" si="137"/>
        <v>-2.6500000000000021</v>
      </c>
      <c r="G1119">
        <f>_xlfn.XLOOKUP(A1119,'DGS10'!A:A,'DGS10'!B:B,"",-1)</f>
        <v>0.71</v>
      </c>
      <c r="H1119">
        <f t="shared" si="138"/>
        <v>2.0000000000000018E-2</v>
      </c>
      <c r="I1119" s="2">
        <f>_xlfn.XLOOKUP(A1119,T10Y3M!A:A,T10Y3M!B:B,"",-1)</f>
        <v>0.59</v>
      </c>
      <c r="J1119" s="2">
        <f>_xlfn.XLOOKUP(A1119,BAMLC0A4CBBB!A:A,BAMLC0A4CBBB!B:B,"",-1)</f>
        <v>1.77</v>
      </c>
      <c r="K1119" s="2">
        <f>_xlfn.XLOOKUP(A1119,CPIAUCSL!A:A,CPIAUCSL!B:B,"",-1)</f>
        <v>259.99700000000001</v>
      </c>
      <c r="L1119">
        <f>_xlfn.XLOOKUP(A1119,DFF!A:A,DFF!B:B,"",-1)</f>
        <v>0.09</v>
      </c>
      <c r="M1119">
        <f>_xlfn.XLOOKUP(A1119,'DGS2'!A:A,'DGS2'!B:B,"",-1)</f>
        <v>0.14000000000000001</v>
      </c>
      <c r="N1119">
        <f t="shared" si="139"/>
        <v>0</v>
      </c>
      <c r="O1119">
        <f t="shared" si="140"/>
        <v>-1.7584790641843373E-2</v>
      </c>
      <c r="P1119">
        <f t="shared" si="141"/>
        <v>0</v>
      </c>
      <c r="Q1119">
        <f t="shared" si="142"/>
        <v>-1</v>
      </c>
    </row>
    <row r="1120" spans="1:17">
      <c r="A1120" s="1">
        <v>44084</v>
      </c>
      <c r="B1120">
        <v>3339.19</v>
      </c>
      <c r="C1120">
        <f t="shared" si="136"/>
        <v>-1.7584790641843373E-2</v>
      </c>
      <c r="D1120">
        <f t="shared" si="143"/>
        <v>-2.5611620795107037E-2</v>
      </c>
      <c r="E1120">
        <f>_xlfn.XLOOKUP(A1120,VIX!A:A,VIX!B:B,"",-1)</f>
        <v>29.71</v>
      </c>
      <c r="F1120">
        <f t="shared" si="137"/>
        <v>0.90000000000000213</v>
      </c>
      <c r="G1120">
        <f>_xlfn.XLOOKUP(A1120,'DGS10'!A:A,'DGS10'!B:B,"",-1)</f>
        <v>0.68</v>
      </c>
      <c r="H1120">
        <f t="shared" si="138"/>
        <v>-2.9999999999999916E-2</v>
      </c>
      <c r="I1120" s="2">
        <f>_xlfn.XLOOKUP(A1120,T10Y3M!A:A,T10Y3M!B:B,"",-1)</f>
        <v>0.56000000000000005</v>
      </c>
      <c r="J1120" s="2">
        <f>_xlfn.XLOOKUP(A1120,BAMLC0A4CBBB!A:A,BAMLC0A4CBBB!B:B,"",-1)</f>
        <v>1.77</v>
      </c>
      <c r="K1120" s="2">
        <f>_xlfn.XLOOKUP(A1120,CPIAUCSL!A:A,CPIAUCSL!B:B,"",-1)</f>
        <v>259.99700000000001</v>
      </c>
      <c r="L1120">
        <f>_xlfn.XLOOKUP(A1120,DFF!A:A,DFF!B:B,"",-1)</f>
        <v>0.09</v>
      </c>
      <c r="M1120">
        <f>_xlfn.XLOOKUP(A1120,'DGS2'!A:A,'DGS2'!B:B,"",-1)</f>
        <v>0.14000000000000001</v>
      </c>
      <c r="N1120">
        <f t="shared" si="139"/>
        <v>0</v>
      </c>
      <c r="O1120">
        <f t="shared" si="140"/>
        <v>5.3306340759284865E-4</v>
      </c>
      <c r="P1120">
        <f t="shared" si="141"/>
        <v>1</v>
      </c>
      <c r="Q1120">
        <f t="shared" si="142"/>
        <v>0</v>
      </c>
    </row>
    <row r="1121" spans="1:17">
      <c r="A1121" s="1">
        <v>44085</v>
      </c>
      <c r="B1121">
        <v>3340.97</v>
      </c>
      <c r="C1121">
        <f t="shared" si="136"/>
        <v>5.3306340759284865E-4</v>
      </c>
      <c r="D1121">
        <f t="shared" si="143"/>
        <v>2.7402276219745669E-3</v>
      </c>
      <c r="E1121">
        <f>_xlfn.XLOOKUP(A1121,VIX!A:A,VIX!B:B,"",-1)</f>
        <v>26.87</v>
      </c>
      <c r="F1121">
        <f t="shared" si="137"/>
        <v>-2.84</v>
      </c>
      <c r="G1121">
        <f>_xlfn.XLOOKUP(A1121,'DGS10'!A:A,'DGS10'!B:B,"",-1)</f>
        <v>0.67</v>
      </c>
      <c r="H1121">
        <f t="shared" si="138"/>
        <v>-1.0000000000000009E-2</v>
      </c>
      <c r="I1121" s="2">
        <f>_xlfn.XLOOKUP(A1121,T10Y3M!A:A,T10Y3M!B:B,"",-1)</f>
        <v>0.56000000000000005</v>
      </c>
      <c r="J1121" s="2">
        <f>_xlfn.XLOOKUP(A1121,BAMLC0A4CBBB!A:A,BAMLC0A4CBBB!B:B,"",-1)</f>
        <v>1.77</v>
      </c>
      <c r="K1121" s="2">
        <f>_xlfn.XLOOKUP(A1121,CPIAUCSL!A:A,CPIAUCSL!B:B,"",-1)</f>
        <v>259.99700000000001</v>
      </c>
      <c r="L1121">
        <f>_xlfn.XLOOKUP(A1121,DFF!A:A,DFF!B:B,"",-1)</f>
        <v>0.09</v>
      </c>
      <c r="M1121">
        <f>_xlfn.XLOOKUP(A1121,'DGS2'!A:A,'DGS2'!B:B,"",-1)</f>
        <v>0.13</v>
      </c>
      <c r="N1121">
        <f t="shared" si="139"/>
        <v>-1.0000000000000009E-2</v>
      </c>
      <c r="O1121">
        <f t="shared" si="140"/>
        <v>1.274180851668838E-2</v>
      </c>
      <c r="P1121">
        <f t="shared" si="141"/>
        <v>1</v>
      </c>
      <c r="Q1121">
        <f t="shared" si="142"/>
        <v>1</v>
      </c>
    </row>
    <row r="1122" spans="1:17">
      <c r="A1122" s="1">
        <v>44088</v>
      </c>
      <c r="B1122">
        <v>3383.54</v>
      </c>
      <c r="C1122">
        <f t="shared" si="136"/>
        <v>1.274180851668838E-2</v>
      </c>
      <c r="D1122">
        <f t="shared" si="143"/>
        <v>-4.5366818085532667E-3</v>
      </c>
      <c r="E1122">
        <f>_xlfn.XLOOKUP(A1122,VIX!A:A,VIX!B:B,"",-1)</f>
        <v>25.85</v>
      </c>
      <c r="F1122">
        <f t="shared" si="137"/>
        <v>-1.0199999999999996</v>
      </c>
      <c r="G1122">
        <f>_xlfn.XLOOKUP(A1122,'DGS10'!A:A,'DGS10'!B:B,"",-1)</f>
        <v>0.68</v>
      </c>
      <c r="H1122">
        <f t="shared" si="138"/>
        <v>1.0000000000000009E-2</v>
      </c>
      <c r="I1122" s="2">
        <f>_xlfn.XLOOKUP(A1122,T10Y3M!A:A,T10Y3M!B:B,"",-1)</f>
        <v>0.56999999999999995</v>
      </c>
      <c r="J1122" s="2">
        <f>_xlfn.XLOOKUP(A1122,BAMLC0A4CBBB!A:A,BAMLC0A4CBBB!B:B,"",-1)</f>
        <v>1.76</v>
      </c>
      <c r="K1122" s="2">
        <f>_xlfn.XLOOKUP(A1122,CPIAUCSL!A:A,CPIAUCSL!B:B,"",-1)</f>
        <v>259.99700000000001</v>
      </c>
      <c r="L1122">
        <f>_xlfn.XLOOKUP(A1122,DFF!A:A,DFF!B:B,"",-1)</f>
        <v>0.09</v>
      </c>
      <c r="M1122">
        <f>_xlfn.XLOOKUP(A1122,'DGS2'!A:A,'DGS2'!B:B,"",-1)</f>
        <v>0.14000000000000001</v>
      </c>
      <c r="N1122">
        <f t="shared" si="139"/>
        <v>1.0000000000000009E-2</v>
      </c>
      <c r="O1122">
        <f t="shared" si="140"/>
        <v>5.2193856138835759E-3</v>
      </c>
      <c r="P1122">
        <f t="shared" si="141"/>
        <v>1</v>
      </c>
      <c r="Q1122">
        <f t="shared" si="142"/>
        <v>1</v>
      </c>
    </row>
    <row r="1123" spans="1:17">
      <c r="A1123" s="1">
        <v>44089</v>
      </c>
      <c r="B1123">
        <v>3401.2</v>
      </c>
      <c r="C1123">
        <f t="shared" si="136"/>
        <v>5.2193856138835759E-3</v>
      </c>
      <c r="D1123">
        <f t="shared" si="143"/>
        <v>1.8570371856647894E-2</v>
      </c>
      <c r="E1123">
        <f>_xlfn.XLOOKUP(A1123,VIX!A:A,VIX!B:B,"",-1)</f>
        <v>25.59</v>
      </c>
      <c r="F1123">
        <f t="shared" si="137"/>
        <v>-0.26000000000000156</v>
      </c>
      <c r="G1123">
        <f>_xlfn.XLOOKUP(A1123,'DGS10'!A:A,'DGS10'!B:B,"",-1)</f>
        <v>0.68</v>
      </c>
      <c r="H1123">
        <f t="shared" si="138"/>
        <v>0</v>
      </c>
      <c r="I1123" s="2">
        <f>_xlfn.XLOOKUP(A1123,T10Y3M!A:A,T10Y3M!B:B,"",-1)</f>
        <v>0.56999999999999995</v>
      </c>
      <c r="J1123" s="2">
        <f>_xlfn.XLOOKUP(A1123,BAMLC0A4CBBB!A:A,BAMLC0A4CBBB!B:B,"",-1)</f>
        <v>1.75</v>
      </c>
      <c r="K1123" s="2">
        <f>_xlfn.XLOOKUP(A1123,CPIAUCSL!A:A,CPIAUCSL!B:B,"",-1)</f>
        <v>259.99700000000001</v>
      </c>
      <c r="L1123">
        <f>_xlfn.XLOOKUP(A1123,DFF!A:A,DFF!B:B,"",-1)</f>
        <v>0.09</v>
      </c>
      <c r="M1123">
        <f>_xlfn.XLOOKUP(A1123,'DGS2'!A:A,'DGS2'!B:B,"",-1)</f>
        <v>0.14000000000000001</v>
      </c>
      <c r="N1123">
        <f t="shared" si="139"/>
        <v>0</v>
      </c>
      <c r="O1123">
        <f t="shared" si="140"/>
        <v>-4.6189580148182641E-3</v>
      </c>
      <c r="P1123">
        <f t="shared" si="141"/>
        <v>0</v>
      </c>
      <c r="Q1123">
        <f t="shared" si="142"/>
        <v>-1</v>
      </c>
    </row>
    <row r="1124" spans="1:17">
      <c r="A1124" s="1">
        <v>44090</v>
      </c>
      <c r="B1124">
        <v>3385.49</v>
      </c>
      <c r="C1124">
        <f t="shared" si="136"/>
        <v>-4.6189580148182641E-3</v>
      </c>
      <c r="D1124">
        <f t="shared" si="143"/>
        <v>1.3325471345148276E-2</v>
      </c>
      <c r="E1124">
        <f>_xlfn.XLOOKUP(A1124,VIX!A:A,VIX!B:B,"",-1)</f>
        <v>26.04</v>
      </c>
      <c r="F1124">
        <f t="shared" si="137"/>
        <v>0.44999999999999929</v>
      </c>
      <c r="G1124">
        <f>_xlfn.XLOOKUP(A1124,'DGS10'!A:A,'DGS10'!B:B,"",-1)</f>
        <v>0.69</v>
      </c>
      <c r="H1124">
        <f t="shared" si="138"/>
        <v>9.9999999999998979E-3</v>
      </c>
      <c r="I1124" s="2">
        <f>_xlfn.XLOOKUP(A1124,T10Y3M!A:A,T10Y3M!B:B,"",-1)</f>
        <v>0.56999999999999995</v>
      </c>
      <c r="J1124" s="2">
        <f>_xlfn.XLOOKUP(A1124,BAMLC0A4CBBB!A:A,BAMLC0A4CBBB!B:B,"",-1)</f>
        <v>1.74</v>
      </c>
      <c r="K1124" s="2">
        <f>_xlfn.XLOOKUP(A1124,CPIAUCSL!A:A,CPIAUCSL!B:B,"",-1)</f>
        <v>259.99700000000001</v>
      </c>
      <c r="L1124">
        <f>_xlfn.XLOOKUP(A1124,DFF!A:A,DFF!B:B,"",-1)</f>
        <v>0.09</v>
      </c>
      <c r="M1124">
        <f>_xlfn.XLOOKUP(A1124,'DGS2'!A:A,'DGS2'!B:B,"",-1)</f>
        <v>0.14000000000000001</v>
      </c>
      <c r="N1124">
        <f t="shared" si="139"/>
        <v>0</v>
      </c>
      <c r="O1124">
        <f t="shared" si="140"/>
        <v>-8.4123716212423094E-3</v>
      </c>
      <c r="P1124">
        <f t="shared" si="141"/>
        <v>0</v>
      </c>
      <c r="Q1124">
        <f t="shared" si="142"/>
        <v>-1</v>
      </c>
    </row>
    <row r="1125" spans="1:17">
      <c r="A1125" s="1">
        <v>44091</v>
      </c>
      <c r="B1125">
        <v>3357.01</v>
      </c>
      <c r="C1125">
        <f t="shared" si="136"/>
        <v>-8.4123716212423094E-3</v>
      </c>
      <c r="D1125">
        <f t="shared" si="143"/>
        <v>-7.8409003587956994E-3</v>
      </c>
      <c r="E1125">
        <f>_xlfn.XLOOKUP(A1125,VIX!A:A,VIX!B:B,"",-1)</f>
        <v>26.46</v>
      </c>
      <c r="F1125">
        <f t="shared" si="137"/>
        <v>0.42000000000000171</v>
      </c>
      <c r="G1125">
        <f>_xlfn.XLOOKUP(A1125,'DGS10'!A:A,'DGS10'!B:B,"",-1)</f>
        <v>0.69</v>
      </c>
      <c r="H1125">
        <f t="shared" si="138"/>
        <v>0</v>
      </c>
      <c r="I1125" s="2">
        <f>_xlfn.XLOOKUP(A1125,T10Y3M!A:A,T10Y3M!B:B,"",-1)</f>
        <v>0.6</v>
      </c>
      <c r="J1125" s="2">
        <f>_xlfn.XLOOKUP(A1125,BAMLC0A4CBBB!A:A,BAMLC0A4CBBB!B:B,"",-1)</f>
        <v>1.74</v>
      </c>
      <c r="K1125" s="2">
        <f>_xlfn.XLOOKUP(A1125,CPIAUCSL!A:A,CPIAUCSL!B:B,"",-1)</f>
        <v>259.99700000000001</v>
      </c>
      <c r="L1125">
        <f>_xlfn.XLOOKUP(A1125,DFF!A:A,DFF!B:B,"",-1)</f>
        <v>0.09</v>
      </c>
      <c r="M1125">
        <f>_xlfn.XLOOKUP(A1125,'DGS2'!A:A,'DGS2'!B:B,"",-1)</f>
        <v>0.13</v>
      </c>
      <c r="N1125">
        <f t="shared" si="139"/>
        <v>-1.0000000000000009E-2</v>
      </c>
      <c r="O1125">
        <f t="shared" si="140"/>
        <v>-1.1182570203842279E-2</v>
      </c>
      <c r="P1125">
        <f t="shared" si="141"/>
        <v>0</v>
      </c>
      <c r="Q1125">
        <f t="shared" si="142"/>
        <v>-1</v>
      </c>
    </row>
    <row r="1126" spans="1:17">
      <c r="A1126" s="1">
        <v>44092</v>
      </c>
      <c r="B1126">
        <v>3319.47</v>
      </c>
      <c r="C1126">
        <f t="shared" si="136"/>
        <v>-1.1182570203842279E-2</v>
      </c>
      <c r="D1126">
        <f t="shared" si="143"/>
        <v>-2.4029754204398457E-2</v>
      </c>
      <c r="E1126">
        <f>_xlfn.XLOOKUP(A1126,VIX!A:A,VIX!B:B,"",-1)</f>
        <v>25.83</v>
      </c>
      <c r="F1126">
        <f t="shared" si="137"/>
        <v>-0.63000000000000256</v>
      </c>
      <c r="G1126">
        <f>_xlfn.XLOOKUP(A1126,'DGS10'!A:A,'DGS10'!B:B,"",-1)</f>
        <v>0.7</v>
      </c>
      <c r="H1126">
        <f t="shared" si="138"/>
        <v>1.0000000000000009E-2</v>
      </c>
      <c r="I1126" s="2">
        <f>_xlfn.XLOOKUP(A1126,T10Y3M!A:A,T10Y3M!B:B,"",-1)</f>
        <v>0.6</v>
      </c>
      <c r="J1126" s="2">
        <f>_xlfn.XLOOKUP(A1126,BAMLC0A4CBBB!A:A,BAMLC0A4CBBB!B:B,"",-1)</f>
        <v>1.74</v>
      </c>
      <c r="K1126" s="2">
        <f>_xlfn.XLOOKUP(A1126,CPIAUCSL!A:A,CPIAUCSL!B:B,"",-1)</f>
        <v>259.99700000000001</v>
      </c>
      <c r="L1126">
        <f>_xlfn.XLOOKUP(A1126,DFF!A:A,DFF!B:B,"",-1)</f>
        <v>0.09</v>
      </c>
      <c r="M1126">
        <f>_xlfn.XLOOKUP(A1126,'DGS2'!A:A,'DGS2'!B:B,"",-1)</f>
        <v>0.14000000000000001</v>
      </c>
      <c r="N1126">
        <f t="shared" si="139"/>
        <v>1.0000000000000009E-2</v>
      </c>
      <c r="O1126">
        <f t="shared" si="140"/>
        <v>-1.1571124305988612E-2</v>
      </c>
      <c r="P1126">
        <f t="shared" si="141"/>
        <v>0</v>
      </c>
      <c r="Q1126">
        <f t="shared" si="142"/>
        <v>-1</v>
      </c>
    </row>
    <row r="1127" spans="1:17">
      <c r="A1127" s="1">
        <v>44095</v>
      </c>
      <c r="B1127">
        <v>3281.06</v>
      </c>
      <c r="C1127">
        <f t="shared" si="136"/>
        <v>-1.1571124305988612E-2</v>
      </c>
      <c r="D1127">
        <f t="shared" si="143"/>
        <v>-3.0846347205278901E-2</v>
      </c>
      <c r="E1127">
        <f>_xlfn.XLOOKUP(A1127,VIX!A:A,VIX!B:B,"",-1)</f>
        <v>27.78</v>
      </c>
      <c r="F1127">
        <f t="shared" si="137"/>
        <v>1.9500000000000028</v>
      </c>
      <c r="G1127">
        <f>_xlfn.XLOOKUP(A1127,'DGS10'!A:A,'DGS10'!B:B,"",-1)</f>
        <v>0.68</v>
      </c>
      <c r="H1127">
        <f t="shared" si="138"/>
        <v>-1.9999999999999907E-2</v>
      </c>
      <c r="I1127" s="2">
        <f>_xlfn.XLOOKUP(A1127,T10Y3M!A:A,T10Y3M!B:B,"",-1)</f>
        <v>0.57999999999999996</v>
      </c>
      <c r="J1127" s="2">
        <f>_xlfn.XLOOKUP(A1127,BAMLC0A4CBBB!A:A,BAMLC0A4CBBB!B:B,"",-1)</f>
        <v>1.76</v>
      </c>
      <c r="K1127" s="2">
        <f>_xlfn.XLOOKUP(A1127,CPIAUCSL!A:A,CPIAUCSL!B:B,"",-1)</f>
        <v>259.99700000000001</v>
      </c>
      <c r="L1127">
        <f>_xlfn.XLOOKUP(A1127,DFF!A:A,DFF!B:B,"",-1)</f>
        <v>0.09</v>
      </c>
      <c r="M1127">
        <f>_xlfn.XLOOKUP(A1127,'DGS2'!A:A,'DGS2'!B:B,"",-1)</f>
        <v>0.14000000000000001</v>
      </c>
      <c r="N1127">
        <f t="shared" si="139"/>
        <v>0</v>
      </c>
      <c r="O1127">
        <f t="shared" si="140"/>
        <v>1.0517942372282096E-2</v>
      </c>
      <c r="P1127">
        <f t="shared" si="141"/>
        <v>1</v>
      </c>
      <c r="Q1127">
        <f t="shared" si="142"/>
        <v>1</v>
      </c>
    </row>
    <row r="1128" spans="1:17">
      <c r="A1128" s="1">
        <v>44096</v>
      </c>
      <c r="B1128">
        <v>3315.57</v>
      </c>
      <c r="C1128">
        <f t="shared" si="136"/>
        <v>1.0517942372282096E-2</v>
      </c>
      <c r="D1128">
        <f t="shared" si="143"/>
        <v>-1.234431830706495E-2</v>
      </c>
      <c r="E1128">
        <f>_xlfn.XLOOKUP(A1128,VIX!A:A,VIX!B:B,"",-1)</f>
        <v>26.86</v>
      </c>
      <c r="F1128">
        <f t="shared" si="137"/>
        <v>-0.92000000000000171</v>
      </c>
      <c r="G1128">
        <f>_xlfn.XLOOKUP(A1128,'DGS10'!A:A,'DGS10'!B:B,"",-1)</f>
        <v>0.68</v>
      </c>
      <c r="H1128">
        <f t="shared" si="138"/>
        <v>0</v>
      </c>
      <c r="I1128" s="2">
        <f>_xlfn.XLOOKUP(A1128,T10Y3M!A:A,T10Y3M!B:B,"",-1)</f>
        <v>0.57999999999999996</v>
      </c>
      <c r="J1128" s="2">
        <f>_xlfn.XLOOKUP(A1128,BAMLC0A4CBBB!A:A,BAMLC0A4CBBB!B:B,"",-1)</f>
        <v>1.76</v>
      </c>
      <c r="K1128" s="2">
        <f>_xlfn.XLOOKUP(A1128,CPIAUCSL!A:A,CPIAUCSL!B:B,"",-1)</f>
        <v>259.99700000000001</v>
      </c>
      <c r="L1128">
        <f>_xlfn.XLOOKUP(A1128,DFF!A:A,DFF!B:B,"",-1)</f>
        <v>0.09</v>
      </c>
      <c r="M1128">
        <f>_xlfn.XLOOKUP(A1128,'DGS2'!A:A,'DGS2'!B:B,"",-1)</f>
        <v>0.13</v>
      </c>
      <c r="N1128">
        <f t="shared" si="139"/>
        <v>-1.0000000000000009E-2</v>
      </c>
      <c r="O1128">
        <f t="shared" si="140"/>
        <v>-2.3721411401357861E-2</v>
      </c>
      <c r="P1128">
        <f t="shared" si="141"/>
        <v>0</v>
      </c>
      <c r="Q1128">
        <f t="shared" si="142"/>
        <v>-1</v>
      </c>
    </row>
    <row r="1129" spans="1:17">
      <c r="A1129" s="1">
        <v>44097</v>
      </c>
      <c r="B1129">
        <v>3236.92</v>
      </c>
      <c r="C1129">
        <f t="shared" si="136"/>
        <v>-2.3721411401357861E-2</v>
      </c>
      <c r="D1129">
        <f t="shared" si="143"/>
        <v>-2.4868427791183478E-2</v>
      </c>
      <c r="E1129">
        <f>_xlfn.XLOOKUP(A1129,VIX!A:A,VIX!B:B,"",-1)</f>
        <v>28.58</v>
      </c>
      <c r="F1129">
        <f t="shared" si="137"/>
        <v>1.7199999999999989</v>
      </c>
      <c r="G1129">
        <f>_xlfn.XLOOKUP(A1129,'DGS10'!A:A,'DGS10'!B:B,"",-1)</f>
        <v>0.68</v>
      </c>
      <c r="H1129">
        <f t="shared" si="138"/>
        <v>0</v>
      </c>
      <c r="I1129" s="2">
        <f>_xlfn.XLOOKUP(A1129,T10Y3M!A:A,T10Y3M!B:B,"",-1)</f>
        <v>0.56999999999999995</v>
      </c>
      <c r="J1129" s="2">
        <f>_xlfn.XLOOKUP(A1129,BAMLC0A4CBBB!A:A,BAMLC0A4CBBB!B:B,"",-1)</f>
        <v>1.78</v>
      </c>
      <c r="K1129" s="2">
        <f>_xlfn.XLOOKUP(A1129,CPIAUCSL!A:A,CPIAUCSL!B:B,"",-1)</f>
        <v>259.99700000000001</v>
      </c>
      <c r="L1129">
        <f>_xlfn.XLOOKUP(A1129,DFF!A:A,DFF!B:B,"",-1)</f>
        <v>0.09</v>
      </c>
      <c r="M1129">
        <f>_xlfn.XLOOKUP(A1129,'DGS2'!A:A,'DGS2'!B:B,"",-1)</f>
        <v>0.14000000000000001</v>
      </c>
      <c r="N1129">
        <f t="shared" si="139"/>
        <v>1.0000000000000009E-2</v>
      </c>
      <c r="O1129">
        <f t="shared" si="140"/>
        <v>2.9874077827070078E-3</v>
      </c>
      <c r="P1129">
        <f t="shared" si="141"/>
        <v>1</v>
      </c>
      <c r="Q1129">
        <f t="shared" si="142"/>
        <v>0</v>
      </c>
    </row>
    <row r="1130" spans="1:17">
      <c r="A1130" s="1">
        <v>44098</v>
      </c>
      <c r="B1130">
        <v>3246.59</v>
      </c>
      <c r="C1130">
        <f t="shared" si="136"/>
        <v>2.9874077827070078E-3</v>
      </c>
      <c r="D1130">
        <f t="shared" si="143"/>
        <v>-1.0505751190164059E-2</v>
      </c>
      <c r="E1130">
        <f>_xlfn.XLOOKUP(A1130,VIX!A:A,VIX!B:B,"",-1)</f>
        <v>28.51</v>
      </c>
      <c r="F1130">
        <f t="shared" si="137"/>
        <v>-6.9999999999996732E-2</v>
      </c>
      <c r="G1130">
        <f>_xlfn.XLOOKUP(A1130,'DGS10'!A:A,'DGS10'!B:B,"",-1)</f>
        <v>0.67</v>
      </c>
      <c r="H1130">
        <f t="shared" si="138"/>
        <v>-1.0000000000000009E-2</v>
      </c>
      <c r="I1130" s="2">
        <f>_xlfn.XLOOKUP(A1130,T10Y3M!A:A,T10Y3M!B:B,"",-1)</f>
        <v>0.56999999999999995</v>
      </c>
      <c r="J1130" s="2">
        <f>_xlfn.XLOOKUP(A1130,BAMLC0A4CBBB!A:A,BAMLC0A4CBBB!B:B,"",-1)</f>
        <v>1.83</v>
      </c>
      <c r="K1130" s="2">
        <f>_xlfn.XLOOKUP(A1130,CPIAUCSL!A:A,CPIAUCSL!B:B,"",-1)</f>
        <v>259.99700000000001</v>
      </c>
      <c r="L1130">
        <f>_xlfn.XLOOKUP(A1130,DFF!A:A,DFF!B:B,"",-1)</f>
        <v>0.09</v>
      </c>
      <c r="M1130">
        <f>_xlfn.XLOOKUP(A1130,'DGS2'!A:A,'DGS2'!B:B,"",-1)</f>
        <v>0.14000000000000001</v>
      </c>
      <c r="N1130">
        <f t="shared" si="139"/>
        <v>0</v>
      </c>
      <c r="O1130">
        <f t="shared" si="140"/>
        <v>1.5976763311659203E-2</v>
      </c>
      <c r="P1130">
        <f t="shared" si="141"/>
        <v>1</v>
      </c>
      <c r="Q1130">
        <f t="shared" si="142"/>
        <v>1</v>
      </c>
    </row>
    <row r="1131" spans="1:17">
      <c r="A1131" s="1">
        <v>44099</v>
      </c>
      <c r="B1131">
        <v>3298.46</v>
      </c>
      <c r="C1131">
        <f t="shared" si="136"/>
        <v>1.5976763311659203E-2</v>
      </c>
      <c r="D1131">
        <f t="shared" si="143"/>
        <v>-5.1605003061314658E-3</v>
      </c>
      <c r="E1131">
        <f>_xlfn.XLOOKUP(A1131,VIX!A:A,VIX!B:B,"",-1)</f>
        <v>26.38</v>
      </c>
      <c r="F1131">
        <f t="shared" si="137"/>
        <v>-2.1300000000000026</v>
      </c>
      <c r="G1131">
        <f>_xlfn.XLOOKUP(A1131,'DGS10'!A:A,'DGS10'!B:B,"",-1)</f>
        <v>0.66</v>
      </c>
      <c r="H1131">
        <f t="shared" si="138"/>
        <v>-1.0000000000000009E-2</v>
      </c>
      <c r="I1131" s="2">
        <f>_xlfn.XLOOKUP(A1131,T10Y3M!A:A,T10Y3M!B:B,"",-1)</f>
        <v>0.56000000000000005</v>
      </c>
      <c r="J1131" s="2">
        <f>_xlfn.XLOOKUP(A1131,BAMLC0A4CBBB!A:A,BAMLC0A4CBBB!B:B,"",-1)</f>
        <v>1.86</v>
      </c>
      <c r="K1131" s="2">
        <f>_xlfn.XLOOKUP(A1131,CPIAUCSL!A:A,CPIAUCSL!B:B,"",-1)</f>
        <v>259.99700000000001</v>
      </c>
      <c r="L1131">
        <f>_xlfn.XLOOKUP(A1131,DFF!A:A,DFF!B:B,"",-1)</f>
        <v>0.09</v>
      </c>
      <c r="M1131">
        <f>_xlfn.XLOOKUP(A1131,'DGS2'!A:A,'DGS2'!B:B,"",-1)</f>
        <v>0.12</v>
      </c>
      <c r="N1131">
        <f t="shared" si="139"/>
        <v>-2.0000000000000018E-2</v>
      </c>
      <c r="O1131">
        <f t="shared" si="140"/>
        <v>1.6110548559024496E-2</v>
      </c>
      <c r="P1131">
        <f t="shared" si="141"/>
        <v>1</v>
      </c>
      <c r="Q1131">
        <f t="shared" si="142"/>
        <v>1</v>
      </c>
    </row>
    <row r="1132" spans="1:17">
      <c r="A1132" s="1">
        <v>44102</v>
      </c>
      <c r="B1132">
        <v>3351.6</v>
      </c>
      <c r="C1132">
        <f t="shared" si="136"/>
        <v>1.6110548559024496E-2</v>
      </c>
      <c r="D1132">
        <f t="shared" si="143"/>
        <v>3.5428740901845002E-2</v>
      </c>
      <c r="E1132">
        <f>_xlfn.XLOOKUP(A1132,VIX!A:A,VIX!B:B,"",-1)</f>
        <v>26.19</v>
      </c>
      <c r="F1132">
        <f t="shared" si="137"/>
        <v>-0.18999999999999773</v>
      </c>
      <c r="G1132">
        <f>_xlfn.XLOOKUP(A1132,'DGS10'!A:A,'DGS10'!B:B,"",-1)</f>
        <v>0.67</v>
      </c>
      <c r="H1132">
        <f t="shared" si="138"/>
        <v>1.0000000000000009E-2</v>
      </c>
      <c r="I1132" s="2">
        <f>_xlfn.XLOOKUP(A1132,T10Y3M!A:A,T10Y3M!B:B,"",-1)</f>
        <v>0.56000000000000005</v>
      </c>
      <c r="J1132" s="2">
        <f>_xlfn.XLOOKUP(A1132,BAMLC0A4CBBB!A:A,BAMLC0A4CBBB!B:B,"",-1)</f>
        <v>1.85</v>
      </c>
      <c r="K1132" s="2">
        <f>_xlfn.XLOOKUP(A1132,CPIAUCSL!A:A,CPIAUCSL!B:B,"",-1)</f>
        <v>259.99700000000001</v>
      </c>
      <c r="L1132">
        <f>_xlfn.XLOOKUP(A1132,DFF!A:A,DFF!B:B,"",-1)</f>
        <v>0.09</v>
      </c>
      <c r="M1132">
        <f>_xlfn.XLOOKUP(A1132,'DGS2'!A:A,'DGS2'!B:B,"",-1)</f>
        <v>0.14000000000000001</v>
      </c>
      <c r="N1132">
        <f t="shared" si="139"/>
        <v>2.0000000000000018E-2</v>
      </c>
      <c r="O1132">
        <f t="shared" si="140"/>
        <v>-4.8126268051080778E-3</v>
      </c>
      <c r="P1132">
        <f t="shared" si="141"/>
        <v>0</v>
      </c>
      <c r="Q1132">
        <f t="shared" si="142"/>
        <v>-1</v>
      </c>
    </row>
    <row r="1133" spans="1:17">
      <c r="A1133" s="1">
        <v>44103</v>
      </c>
      <c r="B1133">
        <v>3335.47</v>
      </c>
      <c r="C1133">
        <f t="shared" si="136"/>
        <v>-4.8126268051080778E-3</v>
      </c>
      <c r="D1133">
        <f t="shared" si="143"/>
        <v>2.7376416486220911E-2</v>
      </c>
      <c r="E1133">
        <f>_xlfn.XLOOKUP(A1133,VIX!A:A,VIX!B:B,"",-1)</f>
        <v>26.27</v>
      </c>
      <c r="F1133">
        <f t="shared" si="137"/>
        <v>7.9999999999998295E-2</v>
      </c>
      <c r="G1133">
        <f>_xlfn.XLOOKUP(A1133,'DGS10'!A:A,'DGS10'!B:B,"",-1)</f>
        <v>0.66</v>
      </c>
      <c r="H1133">
        <f t="shared" si="138"/>
        <v>-1.0000000000000009E-2</v>
      </c>
      <c r="I1133" s="2">
        <f>_xlfn.XLOOKUP(A1133,T10Y3M!A:A,T10Y3M!B:B,"",-1)</f>
        <v>0.56999999999999995</v>
      </c>
      <c r="J1133" s="2">
        <f>_xlfn.XLOOKUP(A1133,BAMLC0A4CBBB!A:A,BAMLC0A4CBBB!B:B,"",-1)</f>
        <v>1.85</v>
      </c>
      <c r="K1133" s="2">
        <f>_xlfn.XLOOKUP(A1133,CPIAUCSL!A:A,CPIAUCSL!B:B,"",-1)</f>
        <v>259.99700000000001</v>
      </c>
      <c r="L1133">
        <f>_xlfn.XLOOKUP(A1133,DFF!A:A,DFF!B:B,"",-1)</f>
        <v>0.09</v>
      </c>
      <c r="M1133">
        <f>_xlfn.XLOOKUP(A1133,'DGS2'!A:A,'DGS2'!B:B,"",-1)</f>
        <v>0.11</v>
      </c>
      <c r="N1133">
        <f t="shared" si="139"/>
        <v>-3.0000000000000013E-2</v>
      </c>
      <c r="O1133">
        <f t="shared" si="140"/>
        <v>8.2537093722925281E-3</v>
      </c>
      <c r="P1133">
        <f t="shared" si="141"/>
        <v>1</v>
      </c>
      <c r="Q1133">
        <f t="shared" si="142"/>
        <v>1</v>
      </c>
    </row>
    <row r="1134" spans="1:17">
      <c r="A1134" s="1">
        <v>44104</v>
      </c>
      <c r="B1134">
        <v>3363</v>
      </c>
      <c r="C1134">
        <f t="shared" si="136"/>
        <v>8.2537093722925281E-3</v>
      </c>
      <c r="D1134">
        <f t="shared" si="143"/>
        <v>1.9566706887456542E-2</v>
      </c>
      <c r="E1134">
        <f>_xlfn.XLOOKUP(A1134,VIX!A:A,VIX!B:B,"",-1)</f>
        <v>26.37</v>
      </c>
      <c r="F1134">
        <f t="shared" si="137"/>
        <v>0.10000000000000142</v>
      </c>
      <c r="G1134">
        <f>_xlfn.XLOOKUP(A1134,'DGS10'!A:A,'DGS10'!B:B,"",-1)</f>
        <v>0.69</v>
      </c>
      <c r="H1134">
        <f t="shared" si="138"/>
        <v>2.9999999999999916E-2</v>
      </c>
      <c r="I1134" s="2">
        <f>_xlfn.XLOOKUP(A1134,T10Y3M!A:A,T10Y3M!B:B,"",-1)</f>
        <v>0.59</v>
      </c>
      <c r="J1134" s="2">
        <f>_xlfn.XLOOKUP(A1134,BAMLC0A4CBBB!A:A,BAMLC0A4CBBB!B:B,"",-1)</f>
        <v>1.84</v>
      </c>
      <c r="K1134" s="2">
        <f>_xlfn.XLOOKUP(A1134,CPIAUCSL!A:A,CPIAUCSL!B:B,"",-1)</f>
        <v>259.99700000000001</v>
      </c>
      <c r="L1134">
        <f>_xlfn.XLOOKUP(A1134,DFF!A:A,DFF!B:B,"",-1)</f>
        <v>0.09</v>
      </c>
      <c r="M1134">
        <f>_xlfn.XLOOKUP(A1134,'DGS2'!A:A,'DGS2'!B:B,"",-1)</f>
        <v>0.13</v>
      </c>
      <c r="N1134">
        <f t="shared" si="139"/>
        <v>2.0000000000000004E-2</v>
      </c>
      <c r="O1134">
        <f t="shared" si="140"/>
        <v>5.2928932500744263E-3</v>
      </c>
      <c r="P1134">
        <f t="shared" si="141"/>
        <v>1</v>
      </c>
      <c r="Q1134">
        <f t="shared" si="142"/>
        <v>1</v>
      </c>
    </row>
    <row r="1135" spans="1:17">
      <c r="A1135" s="1">
        <v>44105</v>
      </c>
      <c r="B1135">
        <v>3380.8</v>
      </c>
      <c r="C1135">
        <f t="shared" si="136"/>
        <v>5.2928932500744263E-3</v>
      </c>
      <c r="D1135">
        <f t="shared" si="143"/>
        <v>8.7122568325577188E-3</v>
      </c>
      <c r="E1135">
        <f>_xlfn.XLOOKUP(A1135,VIX!A:A,VIX!B:B,"",-1)</f>
        <v>26.7</v>
      </c>
      <c r="F1135">
        <f t="shared" si="137"/>
        <v>0.32999999999999829</v>
      </c>
      <c r="G1135">
        <f>_xlfn.XLOOKUP(A1135,'DGS10'!A:A,'DGS10'!B:B,"",-1)</f>
        <v>0.68</v>
      </c>
      <c r="H1135">
        <f t="shared" si="138"/>
        <v>-9.9999999999998979E-3</v>
      </c>
      <c r="I1135" s="2">
        <f>_xlfn.XLOOKUP(A1135,T10Y3M!A:A,T10Y3M!B:B,"",-1)</f>
        <v>0.59</v>
      </c>
      <c r="J1135" s="2">
        <f>_xlfn.XLOOKUP(A1135,BAMLC0A4CBBB!A:A,BAMLC0A4CBBB!B:B,"",-1)</f>
        <v>1.83</v>
      </c>
      <c r="K1135" s="2">
        <f>_xlfn.XLOOKUP(A1135,CPIAUCSL!A:A,CPIAUCSL!B:B,"",-1)</f>
        <v>260.31900000000002</v>
      </c>
      <c r="L1135">
        <f>_xlfn.XLOOKUP(A1135,DFF!A:A,DFF!B:B,"",-1)</f>
        <v>0.09</v>
      </c>
      <c r="M1135">
        <f>_xlfn.XLOOKUP(A1135,'DGS2'!A:A,'DGS2'!B:B,"",-1)</f>
        <v>0.14000000000000001</v>
      </c>
      <c r="N1135">
        <f t="shared" si="139"/>
        <v>1.0000000000000009E-2</v>
      </c>
      <c r="O1135">
        <f t="shared" si="140"/>
        <v>-9.571699006152401E-3</v>
      </c>
      <c r="P1135">
        <f t="shared" si="141"/>
        <v>0</v>
      </c>
      <c r="Q1135">
        <f t="shared" si="142"/>
        <v>-1</v>
      </c>
    </row>
    <row r="1136" spans="1:17">
      <c r="A1136" s="1">
        <v>44106</v>
      </c>
      <c r="B1136">
        <v>3348.44</v>
      </c>
      <c r="C1136">
        <f t="shared" si="136"/>
        <v>-9.571699006152401E-3</v>
      </c>
      <c r="D1136">
        <f t="shared" si="143"/>
        <v>3.8885074667138753E-3</v>
      </c>
      <c r="E1136">
        <f>_xlfn.XLOOKUP(A1136,VIX!A:A,VIX!B:B,"",-1)</f>
        <v>27.63</v>
      </c>
      <c r="F1136">
        <f t="shared" si="137"/>
        <v>0.92999999999999972</v>
      </c>
      <c r="G1136">
        <f>_xlfn.XLOOKUP(A1136,'DGS10'!A:A,'DGS10'!B:B,"",-1)</f>
        <v>0.7</v>
      </c>
      <c r="H1136">
        <f t="shared" si="138"/>
        <v>1.9999999999999907E-2</v>
      </c>
      <c r="I1136" s="2">
        <f>_xlfn.XLOOKUP(A1136,T10Y3M!A:A,T10Y3M!B:B,"",-1)</f>
        <v>0.61</v>
      </c>
      <c r="J1136" s="2">
        <f>_xlfn.XLOOKUP(A1136,BAMLC0A4CBBB!A:A,BAMLC0A4CBBB!B:B,"",-1)</f>
        <v>1.83</v>
      </c>
      <c r="K1136" s="2">
        <f>_xlfn.XLOOKUP(A1136,CPIAUCSL!A:A,CPIAUCSL!B:B,"",-1)</f>
        <v>260.31900000000002</v>
      </c>
      <c r="L1136">
        <f>_xlfn.XLOOKUP(A1136,DFF!A:A,DFF!B:B,"",-1)</f>
        <v>0.09</v>
      </c>
      <c r="M1136">
        <f>_xlfn.XLOOKUP(A1136,'DGS2'!A:A,'DGS2'!B:B,"",-1)</f>
        <v>0.13</v>
      </c>
      <c r="N1136">
        <f t="shared" si="139"/>
        <v>-1.0000000000000009E-2</v>
      </c>
      <c r="O1136">
        <f t="shared" si="140"/>
        <v>1.7975534875942278E-2</v>
      </c>
      <c r="P1136">
        <f t="shared" si="141"/>
        <v>1</v>
      </c>
      <c r="Q1136">
        <f t="shared" si="142"/>
        <v>1</v>
      </c>
    </row>
    <row r="1137" spans="1:17">
      <c r="A1137" s="1">
        <v>44109</v>
      </c>
      <c r="B1137">
        <v>3408.63</v>
      </c>
      <c r="C1137">
        <f t="shared" si="136"/>
        <v>1.7975534875942278E-2</v>
      </c>
      <c r="D1137">
        <f t="shared" si="143"/>
        <v>1.3568242640499495E-2</v>
      </c>
      <c r="E1137">
        <f>_xlfn.XLOOKUP(A1137,VIX!A:A,VIX!B:B,"",-1)</f>
        <v>27.96</v>
      </c>
      <c r="F1137">
        <f t="shared" si="137"/>
        <v>0.33000000000000185</v>
      </c>
      <c r="G1137">
        <f>_xlfn.XLOOKUP(A1137,'DGS10'!A:A,'DGS10'!B:B,"",-1)</f>
        <v>0.78</v>
      </c>
      <c r="H1137">
        <f t="shared" si="138"/>
        <v>8.0000000000000071E-2</v>
      </c>
      <c r="I1137" s="2">
        <f>_xlfn.XLOOKUP(A1137,T10Y3M!A:A,T10Y3M!B:B,"",-1)</f>
        <v>0.68</v>
      </c>
      <c r="J1137" s="2">
        <f>_xlfn.XLOOKUP(A1137,BAMLC0A4CBBB!A:A,BAMLC0A4CBBB!B:B,"",-1)</f>
        <v>1.8</v>
      </c>
      <c r="K1137" s="2">
        <f>_xlfn.XLOOKUP(A1137,CPIAUCSL!A:A,CPIAUCSL!B:B,"",-1)</f>
        <v>260.31900000000002</v>
      </c>
      <c r="L1137">
        <f>_xlfn.XLOOKUP(A1137,DFF!A:A,DFF!B:B,"",-1)</f>
        <v>0.09</v>
      </c>
      <c r="M1137">
        <f>_xlfn.XLOOKUP(A1137,'DGS2'!A:A,'DGS2'!B:B,"",-1)</f>
        <v>0.14000000000000001</v>
      </c>
      <c r="N1137">
        <f t="shared" si="139"/>
        <v>1.0000000000000009E-2</v>
      </c>
      <c r="O1137">
        <f t="shared" si="140"/>
        <v>-1.3988024514247743E-2</v>
      </c>
      <c r="P1137">
        <f t="shared" si="141"/>
        <v>0</v>
      </c>
      <c r="Q1137">
        <f t="shared" si="142"/>
        <v>-1</v>
      </c>
    </row>
    <row r="1138" spans="1:17">
      <c r="A1138" s="1">
        <v>44110</v>
      </c>
      <c r="B1138">
        <v>3360.95</v>
      </c>
      <c r="C1138">
        <f t="shared" si="136"/>
        <v>-1.3988024514247743E-2</v>
      </c>
      <c r="D1138">
        <f t="shared" si="143"/>
        <v>-5.8713913866541567E-3</v>
      </c>
      <c r="E1138">
        <f>_xlfn.XLOOKUP(A1138,VIX!A:A,VIX!B:B,"",-1)</f>
        <v>29.48</v>
      </c>
      <c r="F1138">
        <f t="shared" si="137"/>
        <v>1.5199999999999996</v>
      </c>
      <c r="G1138">
        <f>_xlfn.XLOOKUP(A1138,'DGS10'!A:A,'DGS10'!B:B,"",-1)</f>
        <v>0.76</v>
      </c>
      <c r="H1138">
        <f t="shared" si="138"/>
        <v>-2.0000000000000018E-2</v>
      </c>
      <c r="I1138" s="2">
        <f>_xlfn.XLOOKUP(A1138,T10Y3M!A:A,T10Y3M!B:B,"",-1)</f>
        <v>0.66</v>
      </c>
      <c r="J1138" s="2">
        <f>_xlfn.XLOOKUP(A1138,BAMLC0A4CBBB!A:A,BAMLC0A4CBBB!B:B,"",-1)</f>
        <v>1.77</v>
      </c>
      <c r="K1138" s="2">
        <f>_xlfn.XLOOKUP(A1138,CPIAUCSL!A:A,CPIAUCSL!B:B,"",-1)</f>
        <v>260.31900000000002</v>
      </c>
      <c r="L1138">
        <f>_xlfn.XLOOKUP(A1138,DFF!A:A,DFF!B:B,"",-1)</f>
        <v>0.09</v>
      </c>
      <c r="M1138">
        <f>_xlfn.XLOOKUP(A1138,'DGS2'!A:A,'DGS2'!B:B,"",-1)</f>
        <v>0.14000000000000001</v>
      </c>
      <c r="N1138">
        <f t="shared" si="139"/>
        <v>0</v>
      </c>
      <c r="O1138">
        <f t="shared" si="140"/>
        <v>1.740579300495404E-2</v>
      </c>
      <c r="P1138">
        <f t="shared" si="141"/>
        <v>1</v>
      </c>
      <c r="Q1138">
        <f t="shared" si="142"/>
        <v>1</v>
      </c>
    </row>
    <row r="1139" spans="1:17">
      <c r="A1139" s="1">
        <v>44111</v>
      </c>
      <c r="B1139">
        <v>3419.45</v>
      </c>
      <c r="C1139">
        <f t="shared" si="136"/>
        <v>1.740579300495404E-2</v>
      </c>
      <c r="D1139">
        <f t="shared" si="143"/>
        <v>2.1206890372830189E-2</v>
      </c>
      <c r="E1139">
        <f>_xlfn.XLOOKUP(A1139,VIX!A:A,VIX!B:B,"",-1)</f>
        <v>28.06</v>
      </c>
      <c r="F1139">
        <f t="shared" si="137"/>
        <v>-1.4200000000000017</v>
      </c>
      <c r="G1139">
        <f>_xlfn.XLOOKUP(A1139,'DGS10'!A:A,'DGS10'!B:B,"",-1)</f>
        <v>0.81</v>
      </c>
      <c r="H1139">
        <f t="shared" si="138"/>
        <v>5.0000000000000044E-2</v>
      </c>
      <c r="I1139" s="2">
        <f>_xlfn.XLOOKUP(A1139,T10Y3M!A:A,T10Y3M!B:B,"",-1)</f>
        <v>0.71</v>
      </c>
      <c r="J1139" s="2">
        <f>_xlfn.XLOOKUP(A1139,BAMLC0A4CBBB!A:A,BAMLC0A4CBBB!B:B,"",-1)</f>
        <v>1.75</v>
      </c>
      <c r="K1139" s="2">
        <f>_xlfn.XLOOKUP(A1139,CPIAUCSL!A:A,CPIAUCSL!B:B,"",-1)</f>
        <v>260.31900000000002</v>
      </c>
      <c r="L1139">
        <f>_xlfn.XLOOKUP(A1139,DFF!A:A,DFF!B:B,"",-1)</f>
        <v>0.09</v>
      </c>
      <c r="M1139">
        <f>_xlfn.XLOOKUP(A1139,'DGS2'!A:A,'DGS2'!B:B,"",-1)</f>
        <v>0.16</v>
      </c>
      <c r="N1139">
        <f t="shared" si="139"/>
        <v>1.999999999999999E-2</v>
      </c>
      <c r="O1139">
        <f t="shared" si="140"/>
        <v>8.0071356504700653E-3</v>
      </c>
      <c r="P1139">
        <f t="shared" si="141"/>
        <v>1</v>
      </c>
      <c r="Q1139">
        <f t="shared" si="142"/>
        <v>1</v>
      </c>
    </row>
    <row r="1140" spans="1:17">
      <c r="A1140" s="1">
        <v>44112</v>
      </c>
      <c r="B1140">
        <v>3446.83</v>
      </c>
      <c r="C1140">
        <f t="shared" si="136"/>
        <v>8.0071356504700653E-3</v>
      </c>
      <c r="D1140">
        <f t="shared" si="143"/>
        <v>1.1206848499250466E-2</v>
      </c>
      <c r="E1140">
        <f>_xlfn.XLOOKUP(A1140,VIX!A:A,VIX!B:B,"",-1)</f>
        <v>26.36</v>
      </c>
      <c r="F1140">
        <f t="shared" si="137"/>
        <v>-1.6999999999999993</v>
      </c>
      <c r="G1140">
        <f>_xlfn.XLOOKUP(A1140,'DGS10'!A:A,'DGS10'!B:B,"",-1)</f>
        <v>0.78</v>
      </c>
      <c r="H1140">
        <f t="shared" si="138"/>
        <v>-3.0000000000000027E-2</v>
      </c>
      <c r="I1140" s="2">
        <f>_xlfn.XLOOKUP(A1140,T10Y3M!A:A,T10Y3M!B:B,"",-1)</f>
        <v>0.69</v>
      </c>
      <c r="J1140" s="2">
        <f>_xlfn.XLOOKUP(A1140,BAMLC0A4CBBB!A:A,BAMLC0A4CBBB!B:B,"",-1)</f>
        <v>1.74</v>
      </c>
      <c r="K1140" s="2">
        <f>_xlfn.XLOOKUP(A1140,CPIAUCSL!A:A,CPIAUCSL!B:B,"",-1)</f>
        <v>260.31900000000002</v>
      </c>
      <c r="L1140">
        <f>_xlfn.XLOOKUP(A1140,DFF!A:A,DFF!B:B,"",-1)</f>
        <v>0.09</v>
      </c>
      <c r="M1140">
        <f>_xlfn.XLOOKUP(A1140,'DGS2'!A:A,'DGS2'!B:B,"",-1)</f>
        <v>0.13</v>
      </c>
      <c r="N1140">
        <f t="shared" si="139"/>
        <v>-0.03</v>
      </c>
      <c r="O1140">
        <f t="shared" si="140"/>
        <v>8.7906859346125188E-3</v>
      </c>
      <c r="P1140">
        <f t="shared" si="141"/>
        <v>1</v>
      </c>
      <c r="Q1140">
        <f t="shared" si="142"/>
        <v>1</v>
      </c>
    </row>
    <row r="1141" spans="1:17">
      <c r="A1141" s="1">
        <v>44113</v>
      </c>
      <c r="B1141">
        <v>3477.13</v>
      </c>
      <c r="C1141">
        <f t="shared" si="136"/>
        <v>8.7906859346125188E-3</v>
      </c>
      <c r="D1141">
        <f t="shared" si="143"/>
        <v>3.4567607372915532E-2</v>
      </c>
      <c r="E1141">
        <f>_xlfn.XLOOKUP(A1141,VIX!A:A,VIX!B:B,"",-1)</f>
        <v>25</v>
      </c>
      <c r="F1141">
        <f t="shared" si="137"/>
        <v>-1.3599999999999994</v>
      </c>
      <c r="G1141">
        <f>_xlfn.XLOOKUP(A1141,'DGS10'!A:A,'DGS10'!B:B,"",-1)</f>
        <v>0.79</v>
      </c>
      <c r="H1141">
        <f t="shared" si="138"/>
        <v>1.0000000000000009E-2</v>
      </c>
      <c r="I1141" s="2">
        <f>_xlfn.XLOOKUP(A1141,T10Y3M!A:A,T10Y3M!B:B,"",-1)</f>
        <v>0.69</v>
      </c>
      <c r="J1141" s="2">
        <f>_xlfn.XLOOKUP(A1141,BAMLC0A4CBBB!A:A,BAMLC0A4CBBB!B:B,"",-1)</f>
        <v>1.73</v>
      </c>
      <c r="K1141" s="2">
        <f>_xlfn.XLOOKUP(A1141,CPIAUCSL!A:A,CPIAUCSL!B:B,"",-1)</f>
        <v>260.31900000000002</v>
      </c>
      <c r="L1141">
        <f>_xlfn.XLOOKUP(A1141,DFF!A:A,DFF!B:B,"",-1)</f>
        <v>0.09</v>
      </c>
      <c r="M1141">
        <f>_xlfn.XLOOKUP(A1141,'DGS2'!A:A,'DGS2'!B:B,"",-1)</f>
        <v>0.16</v>
      </c>
      <c r="N1141">
        <f t="shared" si="139"/>
        <v>0.03</v>
      </c>
      <c r="O1141">
        <f t="shared" si="140"/>
        <v>1.6418713134107588E-2</v>
      </c>
      <c r="P1141">
        <f t="shared" si="141"/>
        <v>1</v>
      </c>
      <c r="Q1141">
        <f t="shared" si="142"/>
        <v>1</v>
      </c>
    </row>
    <row r="1142" spans="1:17">
      <c r="A1142" s="1">
        <v>44116</v>
      </c>
      <c r="B1142">
        <v>3534.22</v>
      </c>
      <c r="C1142">
        <f t="shared" si="136"/>
        <v>1.6418713134107588E-2</v>
      </c>
      <c r="D1142">
        <f t="shared" si="143"/>
        <v>3.3563877231718608E-2</v>
      </c>
      <c r="E1142">
        <f>_xlfn.XLOOKUP(A1142,VIX!A:A,VIX!B:B,"",-1)</f>
        <v>25.07</v>
      </c>
      <c r="F1142">
        <f t="shared" si="137"/>
        <v>7.0000000000000284E-2</v>
      </c>
      <c r="G1142">
        <f>_xlfn.XLOOKUP(A1142,'DGS10'!A:A,'DGS10'!B:B,"",-1)</f>
        <v>0</v>
      </c>
      <c r="H1142">
        <f t="shared" si="138"/>
        <v>-0.79</v>
      </c>
      <c r="I1142" s="2">
        <f>_xlfn.XLOOKUP(A1142,T10Y3M!A:A,T10Y3M!B:B,"",-1)</f>
        <v>0</v>
      </c>
      <c r="J1142" s="2">
        <f>_xlfn.XLOOKUP(A1142,BAMLC0A4CBBB!A:A,BAMLC0A4CBBB!B:B,"",-1)</f>
        <v>1.73</v>
      </c>
      <c r="K1142" s="2">
        <f>_xlfn.XLOOKUP(A1142,CPIAUCSL!A:A,CPIAUCSL!B:B,"",-1)</f>
        <v>260.31900000000002</v>
      </c>
      <c r="L1142">
        <f>_xlfn.XLOOKUP(A1142,DFF!A:A,DFF!B:B,"",-1)</f>
        <v>0.09</v>
      </c>
      <c r="M1142">
        <f>_xlfn.XLOOKUP(A1142,'DGS2'!A:A,'DGS2'!B:B,"",-1)</f>
        <v>0</v>
      </c>
      <c r="N1142">
        <f t="shared" si="139"/>
        <v>-0.16</v>
      </c>
      <c r="O1142">
        <f t="shared" si="140"/>
        <v>-6.3069078891523356E-3</v>
      </c>
      <c r="P1142">
        <f t="shared" si="141"/>
        <v>0</v>
      </c>
      <c r="Q1142">
        <f t="shared" si="142"/>
        <v>-1</v>
      </c>
    </row>
    <row r="1143" spans="1:17">
      <c r="A1143" s="1">
        <v>44117</v>
      </c>
      <c r="B1143">
        <v>3511.93</v>
      </c>
      <c r="C1143">
        <f t="shared" si="136"/>
        <v>-6.3069078891523356E-3</v>
      </c>
      <c r="D1143">
        <f t="shared" si="143"/>
        <v>1.8886919285256321E-2</v>
      </c>
      <c r="E1143">
        <f>_xlfn.XLOOKUP(A1143,VIX!A:A,VIX!B:B,"",-1)</f>
        <v>26.07</v>
      </c>
      <c r="F1143">
        <f t="shared" si="137"/>
        <v>1</v>
      </c>
      <c r="G1143">
        <f>_xlfn.XLOOKUP(A1143,'DGS10'!A:A,'DGS10'!B:B,"",-1)</f>
        <v>0.74</v>
      </c>
      <c r="H1143">
        <f t="shared" si="138"/>
        <v>0.74</v>
      </c>
      <c r="I1143" s="2">
        <f>_xlfn.XLOOKUP(A1143,T10Y3M!A:A,T10Y3M!B:B,"",-1)</f>
        <v>0.63</v>
      </c>
      <c r="J1143" s="2">
        <f>_xlfn.XLOOKUP(A1143,BAMLC0A4CBBB!A:A,BAMLC0A4CBBB!B:B,"",-1)</f>
        <v>1.71</v>
      </c>
      <c r="K1143" s="2">
        <f>_xlfn.XLOOKUP(A1143,CPIAUCSL!A:A,CPIAUCSL!B:B,"",-1)</f>
        <v>260.31900000000002</v>
      </c>
      <c r="L1143">
        <f>_xlfn.XLOOKUP(A1143,DFF!A:A,DFF!B:B,"",-1)</f>
        <v>0.09</v>
      </c>
      <c r="M1143">
        <f>_xlfn.XLOOKUP(A1143,'DGS2'!A:A,'DGS2'!B:B,"",-1)</f>
        <v>0.16</v>
      </c>
      <c r="N1143">
        <f t="shared" si="139"/>
        <v>0.16</v>
      </c>
      <c r="O1143">
        <f t="shared" si="140"/>
        <v>-6.623138843883547E-3</v>
      </c>
      <c r="P1143">
        <f t="shared" si="141"/>
        <v>0</v>
      </c>
      <c r="Q1143">
        <f t="shared" si="142"/>
        <v>-1</v>
      </c>
    </row>
    <row r="1144" spans="1:17">
      <c r="A1144" s="1">
        <v>44118</v>
      </c>
      <c r="B1144">
        <v>3488.67</v>
      </c>
      <c r="C1144">
        <f t="shared" si="136"/>
        <v>-6.623138843883547E-3</v>
      </c>
      <c r="D1144">
        <f t="shared" si="143"/>
        <v>3.3188290342898163E-3</v>
      </c>
      <c r="E1144">
        <f>_xlfn.XLOOKUP(A1144,VIX!A:A,VIX!B:B,"",-1)</f>
        <v>26.4</v>
      </c>
      <c r="F1144">
        <f t="shared" si="137"/>
        <v>0.32999999999999829</v>
      </c>
      <c r="G1144">
        <f>_xlfn.XLOOKUP(A1144,'DGS10'!A:A,'DGS10'!B:B,"",-1)</f>
        <v>0.73</v>
      </c>
      <c r="H1144">
        <f t="shared" si="138"/>
        <v>-1.0000000000000009E-2</v>
      </c>
      <c r="I1144" s="2">
        <f>_xlfn.XLOOKUP(A1144,T10Y3M!A:A,T10Y3M!B:B,"",-1)</f>
        <v>0.61</v>
      </c>
      <c r="J1144" s="2">
        <f>_xlfn.XLOOKUP(A1144,BAMLC0A4CBBB!A:A,BAMLC0A4CBBB!B:B,"",-1)</f>
        <v>1.71</v>
      </c>
      <c r="K1144" s="2">
        <f>_xlfn.XLOOKUP(A1144,CPIAUCSL!A:A,CPIAUCSL!B:B,"",-1)</f>
        <v>260.31900000000002</v>
      </c>
      <c r="L1144">
        <f>_xlfn.XLOOKUP(A1144,DFF!A:A,DFF!B:B,"",-1)</f>
        <v>0.09</v>
      </c>
      <c r="M1144">
        <f>_xlfn.XLOOKUP(A1144,'DGS2'!A:A,'DGS2'!B:B,"",-1)</f>
        <v>0.14000000000000001</v>
      </c>
      <c r="N1144">
        <f t="shared" si="139"/>
        <v>-1.999999999999999E-2</v>
      </c>
      <c r="O1144">
        <f t="shared" si="140"/>
        <v>-1.5278028589691406E-3</v>
      </c>
      <c r="P1144">
        <f t="shared" si="141"/>
        <v>0</v>
      </c>
      <c r="Q1144">
        <f t="shared" si="142"/>
        <v>0</v>
      </c>
    </row>
    <row r="1145" spans="1:17">
      <c r="A1145" s="1">
        <v>44119</v>
      </c>
      <c r="B1145">
        <v>3483.34</v>
      </c>
      <c r="C1145">
        <f t="shared" si="136"/>
        <v>-1.5278028589691406E-3</v>
      </c>
      <c r="D1145">
        <f t="shared" si="143"/>
        <v>-1.4396387321672033E-2</v>
      </c>
      <c r="E1145">
        <f>_xlfn.XLOOKUP(A1145,VIX!A:A,VIX!B:B,"",-1)</f>
        <v>26.97</v>
      </c>
      <c r="F1145">
        <f t="shared" si="137"/>
        <v>0.57000000000000028</v>
      </c>
      <c r="G1145">
        <f>_xlfn.XLOOKUP(A1145,'DGS10'!A:A,'DGS10'!B:B,"",-1)</f>
        <v>0.74</v>
      </c>
      <c r="H1145">
        <f t="shared" si="138"/>
        <v>1.0000000000000009E-2</v>
      </c>
      <c r="I1145" s="2">
        <f>_xlfn.XLOOKUP(A1145,T10Y3M!A:A,T10Y3M!B:B,"",-1)</f>
        <v>0.63</v>
      </c>
      <c r="J1145" s="2">
        <f>_xlfn.XLOOKUP(A1145,BAMLC0A4CBBB!A:A,BAMLC0A4CBBB!B:B,"",-1)</f>
        <v>1.72</v>
      </c>
      <c r="K1145" s="2">
        <f>_xlfn.XLOOKUP(A1145,CPIAUCSL!A:A,CPIAUCSL!B:B,"",-1)</f>
        <v>260.31900000000002</v>
      </c>
      <c r="L1145">
        <f>_xlfn.XLOOKUP(A1145,DFF!A:A,DFF!B:B,"",-1)</f>
        <v>0.09</v>
      </c>
      <c r="M1145">
        <f>_xlfn.XLOOKUP(A1145,'DGS2'!A:A,'DGS2'!B:B,"",-1)</f>
        <v>0.14000000000000001</v>
      </c>
      <c r="N1145">
        <f t="shared" si="139"/>
        <v>0</v>
      </c>
      <c r="O1145">
        <f t="shared" si="140"/>
        <v>1.3492797142955482E-4</v>
      </c>
      <c r="P1145">
        <f t="shared" si="141"/>
        <v>1</v>
      </c>
      <c r="Q1145">
        <f t="shared" si="142"/>
        <v>0</v>
      </c>
    </row>
    <row r="1146" spans="1:17">
      <c r="A1146" s="1">
        <v>44120</v>
      </c>
      <c r="B1146">
        <v>3483.81</v>
      </c>
      <c r="C1146">
        <f t="shared" si="136"/>
        <v>1.3492797142955482E-4</v>
      </c>
      <c r="D1146">
        <f t="shared" si="143"/>
        <v>-8.0069933056752252E-3</v>
      </c>
      <c r="E1146">
        <f>_xlfn.XLOOKUP(A1146,VIX!A:A,VIX!B:B,"",-1)</f>
        <v>27.41</v>
      </c>
      <c r="F1146">
        <f t="shared" si="137"/>
        <v>0.44000000000000128</v>
      </c>
      <c r="G1146">
        <f>_xlfn.XLOOKUP(A1146,'DGS10'!A:A,'DGS10'!B:B,"",-1)</f>
        <v>0.76</v>
      </c>
      <c r="H1146">
        <f t="shared" si="138"/>
        <v>2.0000000000000018E-2</v>
      </c>
      <c r="I1146" s="2">
        <f>_xlfn.XLOOKUP(A1146,T10Y3M!A:A,T10Y3M!B:B,"",-1)</f>
        <v>0.65</v>
      </c>
      <c r="J1146" s="2">
        <f>_xlfn.XLOOKUP(A1146,BAMLC0A4CBBB!A:A,BAMLC0A4CBBB!B:B,"",-1)</f>
        <v>1.71</v>
      </c>
      <c r="K1146" s="2">
        <f>_xlfn.XLOOKUP(A1146,CPIAUCSL!A:A,CPIAUCSL!B:B,"",-1)</f>
        <v>260.31900000000002</v>
      </c>
      <c r="L1146">
        <f>_xlfn.XLOOKUP(A1146,DFF!A:A,DFF!B:B,"",-1)</f>
        <v>0.09</v>
      </c>
      <c r="M1146">
        <f>_xlfn.XLOOKUP(A1146,'DGS2'!A:A,'DGS2'!B:B,"",-1)</f>
        <v>0.14000000000000001</v>
      </c>
      <c r="N1146">
        <f t="shared" si="139"/>
        <v>0</v>
      </c>
      <c r="O1146">
        <f t="shared" si="140"/>
        <v>-1.6329822808936134E-2</v>
      </c>
      <c r="P1146">
        <f t="shared" si="141"/>
        <v>0</v>
      </c>
      <c r="Q1146">
        <f t="shared" si="142"/>
        <v>-1</v>
      </c>
    </row>
    <row r="1147" spans="1:17">
      <c r="A1147" s="1">
        <v>44123</v>
      </c>
      <c r="B1147">
        <v>3426.92</v>
      </c>
      <c r="C1147">
        <f t="shared" si="136"/>
        <v>-1.6329822808936134E-2</v>
      </c>
      <c r="D1147">
        <f t="shared" si="143"/>
        <v>-1.7700155073423374E-2</v>
      </c>
      <c r="E1147">
        <f>_xlfn.XLOOKUP(A1147,VIX!A:A,VIX!B:B,"",-1)</f>
        <v>29.18</v>
      </c>
      <c r="F1147">
        <f t="shared" si="137"/>
        <v>1.7699999999999996</v>
      </c>
      <c r="G1147">
        <f>_xlfn.XLOOKUP(A1147,'DGS10'!A:A,'DGS10'!B:B,"",-1)</f>
        <v>0.78</v>
      </c>
      <c r="H1147">
        <f t="shared" si="138"/>
        <v>2.0000000000000018E-2</v>
      </c>
      <c r="I1147" s="2">
        <f>_xlfn.XLOOKUP(A1147,T10Y3M!A:A,T10Y3M!B:B,"",-1)</f>
        <v>0.67</v>
      </c>
      <c r="J1147" s="2">
        <f>_xlfn.XLOOKUP(A1147,BAMLC0A4CBBB!A:A,BAMLC0A4CBBB!B:B,"",-1)</f>
        <v>1.7</v>
      </c>
      <c r="K1147" s="2">
        <f>_xlfn.XLOOKUP(A1147,CPIAUCSL!A:A,CPIAUCSL!B:B,"",-1)</f>
        <v>260.31900000000002</v>
      </c>
      <c r="L1147">
        <f>_xlfn.XLOOKUP(A1147,DFF!A:A,DFF!B:B,"",-1)</f>
        <v>0.09</v>
      </c>
      <c r="M1147">
        <f>_xlfn.XLOOKUP(A1147,'DGS2'!A:A,'DGS2'!B:B,"",-1)</f>
        <v>0.16</v>
      </c>
      <c r="N1147">
        <f t="shared" si="139"/>
        <v>1.999999999999999E-2</v>
      </c>
      <c r="O1147">
        <f t="shared" si="140"/>
        <v>4.7272769717412455E-3</v>
      </c>
      <c r="P1147">
        <f t="shared" si="141"/>
        <v>1</v>
      </c>
      <c r="Q1147">
        <f t="shared" si="142"/>
        <v>1</v>
      </c>
    </row>
    <row r="1148" spans="1:17">
      <c r="A1148" s="1">
        <v>44124</v>
      </c>
      <c r="B1148">
        <v>3443.12</v>
      </c>
      <c r="C1148">
        <f t="shared" si="136"/>
        <v>4.7272769717412455E-3</v>
      </c>
      <c r="D1148">
        <f t="shared" si="143"/>
        <v>-1.1546389384900824E-2</v>
      </c>
      <c r="E1148">
        <f>_xlfn.XLOOKUP(A1148,VIX!A:A,VIX!B:B,"",-1)</f>
        <v>29.35</v>
      </c>
      <c r="F1148">
        <f t="shared" si="137"/>
        <v>0.17000000000000171</v>
      </c>
      <c r="G1148">
        <f>_xlfn.XLOOKUP(A1148,'DGS10'!A:A,'DGS10'!B:B,"",-1)</f>
        <v>0.81</v>
      </c>
      <c r="H1148">
        <f t="shared" si="138"/>
        <v>3.0000000000000027E-2</v>
      </c>
      <c r="I1148" s="2">
        <f>_xlfn.XLOOKUP(A1148,T10Y3M!A:A,T10Y3M!B:B,"",-1)</f>
        <v>0.71</v>
      </c>
      <c r="J1148" s="2">
        <f>_xlfn.XLOOKUP(A1148,BAMLC0A4CBBB!A:A,BAMLC0A4CBBB!B:B,"",-1)</f>
        <v>1.7</v>
      </c>
      <c r="K1148" s="2">
        <f>_xlfn.XLOOKUP(A1148,CPIAUCSL!A:A,CPIAUCSL!B:B,"",-1)</f>
        <v>260.31900000000002</v>
      </c>
      <c r="L1148">
        <f>_xlfn.XLOOKUP(A1148,DFF!A:A,DFF!B:B,"",-1)</f>
        <v>0.09</v>
      </c>
      <c r="M1148">
        <f>_xlfn.XLOOKUP(A1148,'DGS2'!A:A,'DGS2'!B:B,"",-1)</f>
        <v>0.14000000000000001</v>
      </c>
      <c r="N1148">
        <f t="shared" si="139"/>
        <v>-1.999999999999999E-2</v>
      </c>
      <c r="O1148">
        <f t="shared" si="140"/>
        <v>-2.1956829851994542E-3</v>
      </c>
      <c r="P1148">
        <f t="shared" si="141"/>
        <v>0</v>
      </c>
      <c r="Q1148">
        <f t="shared" si="142"/>
        <v>0</v>
      </c>
    </row>
    <row r="1149" spans="1:17">
      <c r="A1149" s="1">
        <v>44125</v>
      </c>
      <c r="B1149">
        <v>3435.56</v>
      </c>
      <c r="C1149">
        <f t="shared" si="136"/>
        <v>-2.1956829851994542E-3</v>
      </c>
      <c r="D1149">
        <f t="shared" si="143"/>
        <v>-1.3849779408176666E-2</v>
      </c>
      <c r="E1149">
        <f>_xlfn.XLOOKUP(A1149,VIX!A:A,VIX!B:B,"",-1)</f>
        <v>28.65</v>
      </c>
      <c r="F1149">
        <f t="shared" si="137"/>
        <v>-0.70000000000000284</v>
      </c>
      <c r="G1149">
        <f>_xlfn.XLOOKUP(A1149,'DGS10'!A:A,'DGS10'!B:B,"",-1)</f>
        <v>0.83</v>
      </c>
      <c r="H1149">
        <f t="shared" si="138"/>
        <v>1.9999999999999907E-2</v>
      </c>
      <c r="I1149" s="2">
        <f>_xlfn.XLOOKUP(A1149,T10Y3M!A:A,T10Y3M!B:B,"",-1)</f>
        <v>0.73</v>
      </c>
      <c r="J1149" s="2">
        <f>_xlfn.XLOOKUP(A1149,BAMLC0A4CBBB!A:A,BAMLC0A4CBBB!B:B,"",-1)</f>
        <v>1.69</v>
      </c>
      <c r="K1149" s="2">
        <f>_xlfn.XLOOKUP(A1149,CPIAUCSL!A:A,CPIAUCSL!B:B,"",-1)</f>
        <v>260.31900000000002</v>
      </c>
      <c r="L1149">
        <f>_xlfn.XLOOKUP(A1149,DFF!A:A,DFF!B:B,"",-1)</f>
        <v>0.09</v>
      </c>
      <c r="M1149">
        <f>_xlfn.XLOOKUP(A1149,'DGS2'!A:A,'DGS2'!B:B,"",-1)</f>
        <v>0.14000000000000001</v>
      </c>
      <c r="N1149">
        <f t="shared" si="139"/>
        <v>0</v>
      </c>
      <c r="O1149">
        <f t="shared" si="140"/>
        <v>5.2189453829942778E-3</v>
      </c>
      <c r="P1149">
        <f t="shared" si="141"/>
        <v>1</v>
      </c>
      <c r="Q1149">
        <f t="shared" si="142"/>
        <v>1</v>
      </c>
    </row>
    <row r="1150" spans="1:17">
      <c r="A1150" s="1">
        <v>44126</v>
      </c>
      <c r="B1150">
        <v>3453.49</v>
      </c>
      <c r="C1150">
        <f t="shared" si="136"/>
        <v>5.2189453829942778E-3</v>
      </c>
      <c r="D1150">
        <f t="shared" si="143"/>
        <v>7.7533178480968523E-3</v>
      </c>
      <c r="E1150">
        <f>_xlfn.XLOOKUP(A1150,VIX!A:A,VIX!B:B,"",-1)</f>
        <v>28.11</v>
      </c>
      <c r="F1150">
        <f t="shared" si="137"/>
        <v>-0.53999999999999915</v>
      </c>
      <c r="G1150">
        <f>_xlfn.XLOOKUP(A1150,'DGS10'!A:A,'DGS10'!B:B,"",-1)</f>
        <v>0.87</v>
      </c>
      <c r="H1150">
        <f t="shared" si="138"/>
        <v>4.0000000000000036E-2</v>
      </c>
      <c r="I1150" s="2">
        <f>_xlfn.XLOOKUP(A1150,T10Y3M!A:A,T10Y3M!B:B,"",-1)</f>
        <v>0.78</v>
      </c>
      <c r="J1150" s="2">
        <f>_xlfn.XLOOKUP(A1150,BAMLC0A4CBBB!A:A,BAMLC0A4CBBB!B:B,"",-1)</f>
        <v>1.68</v>
      </c>
      <c r="K1150" s="2">
        <f>_xlfn.XLOOKUP(A1150,CPIAUCSL!A:A,CPIAUCSL!B:B,"",-1)</f>
        <v>260.31900000000002</v>
      </c>
      <c r="L1150">
        <f>_xlfn.XLOOKUP(A1150,DFF!A:A,DFF!B:B,"",-1)</f>
        <v>0.09</v>
      </c>
      <c r="M1150">
        <f>_xlfn.XLOOKUP(A1150,'DGS2'!A:A,'DGS2'!B:B,"",-1)</f>
        <v>0.16</v>
      </c>
      <c r="N1150">
        <f t="shared" si="139"/>
        <v>1.999999999999999E-2</v>
      </c>
      <c r="O1150">
        <f t="shared" si="140"/>
        <v>3.4457896215134287E-3</v>
      </c>
      <c r="P1150">
        <f t="shared" si="141"/>
        <v>1</v>
      </c>
      <c r="Q1150">
        <f t="shared" si="142"/>
        <v>1</v>
      </c>
    </row>
    <row r="1151" spans="1:17">
      <c r="A1151" s="1">
        <v>44127</v>
      </c>
      <c r="B1151">
        <v>3465.39</v>
      </c>
      <c r="C1151">
        <f t="shared" si="136"/>
        <v>3.4457896215134287E-3</v>
      </c>
      <c r="D1151">
        <f t="shared" si="143"/>
        <v>6.4679709101047589E-3</v>
      </c>
      <c r="E1151">
        <f>_xlfn.XLOOKUP(A1151,VIX!A:A,VIX!B:B,"",-1)</f>
        <v>27.55</v>
      </c>
      <c r="F1151">
        <f t="shared" si="137"/>
        <v>-0.55999999999999872</v>
      </c>
      <c r="G1151">
        <f>_xlfn.XLOOKUP(A1151,'DGS10'!A:A,'DGS10'!B:B,"",-1)</f>
        <v>0.85</v>
      </c>
      <c r="H1151">
        <f t="shared" si="138"/>
        <v>-2.0000000000000018E-2</v>
      </c>
      <c r="I1151" s="2">
        <f>_xlfn.XLOOKUP(A1151,T10Y3M!A:A,T10Y3M!B:B,"",-1)</f>
        <v>0.75</v>
      </c>
      <c r="J1151" s="2">
        <f>_xlfn.XLOOKUP(A1151,BAMLC0A4CBBB!A:A,BAMLC0A4CBBB!B:B,"",-1)</f>
        <v>1.67</v>
      </c>
      <c r="K1151" s="2">
        <f>_xlfn.XLOOKUP(A1151,CPIAUCSL!A:A,CPIAUCSL!B:B,"",-1)</f>
        <v>260.31900000000002</v>
      </c>
      <c r="L1151">
        <f>_xlfn.XLOOKUP(A1151,DFF!A:A,DFF!B:B,"",-1)</f>
        <v>0.09</v>
      </c>
      <c r="M1151">
        <f>_xlfn.XLOOKUP(A1151,'DGS2'!A:A,'DGS2'!B:B,"",-1)</f>
        <v>0.18</v>
      </c>
      <c r="N1151">
        <f t="shared" si="139"/>
        <v>1.999999999999999E-2</v>
      </c>
      <c r="O1151">
        <f t="shared" si="140"/>
        <v>-1.8589538262648642E-2</v>
      </c>
      <c r="P1151">
        <f t="shared" si="141"/>
        <v>0</v>
      </c>
      <c r="Q1151">
        <f t="shared" si="142"/>
        <v>-1</v>
      </c>
    </row>
    <row r="1152" spans="1:17">
      <c r="A1152" s="1">
        <v>44130</v>
      </c>
      <c r="B1152">
        <v>3400.97</v>
      </c>
      <c r="C1152">
        <f t="shared" si="136"/>
        <v>-1.8589538262648642E-2</v>
      </c>
      <c r="D1152">
        <f t="shared" si="143"/>
        <v>-1.006822759608339E-2</v>
      </c>
      <c r="E1152">
        <f>_xlfn.XLOOKUP(A1152,VIX!A:A,VIX!B:B,"",-1)</f>
        <v>32.46</v>
      </c>
      <c r="F1152">
        <f t="shared" si="137"/>
        <v>4.91</v>
      </c>
      <c r="G1152">
        <f>_xlfn.XLOOKUP(A1152,'DGS10'!A:A,'DGS10'!B:B,"",-1)</f>
        <v>0.81</v>
      </c>
      <c r="H1152">
        <f t="shared" si="138"/>
        <v>-3.9999999999999925E-2</v>
      </c>
      <c r="I1152" s="2">
        <f>_xlfn.XLOOKUP(A1152,T10Y3M!A:A,T10Y3M!B:B,"",-1)</f>
        <v>0.7</v>
      </c>
      <c r="J1152" s="2">
        <f>_xlfn.XLOOKUP(A1152,BAMLC0A4CBBB!A:A,BAMLC0A4CBBB!B:B,"",-1)</f>
        <v>1.68</v>
      </c>
      <c r="K1152" s="2">
        <f>_xlfn.XLOOKUP(A1152,CPIAUCSL!A:A,CPIAUCSL!B:B,"",-1)</f>
        <v>260.31900000000002</v>
      </c>
      <c r="L1152">
        <f>_xlfn.XLOOKUP(A1152,DFF!A:A,DFF!B:B,"",-1)</f>
        <v>0.09</v>
      </c>
      <c r="M1152">
        <f>_xlfn.XLOOKUP(A1152,'DGS2'!A:A,'DGS2'!B:B,"",-1)</f>
        <v>0.16</v>
      </c>
      <c r="N1152">
        <f t="shared" si="139"/>
        <v>-1.999999999999999E-2</v>
      </c>
      <c r="O1152">
        <f t="shared" si="140"/>
        <v>-3.0256074002417144E-3</v>
      </c>
      <c r="P1152">
        <f t="shared" si="141"/>
        <v>0</v>
      </c>
      <c r="Q1152">
        <f t="shared" si="142"/>
        <v>-1</v>
      </c>
    </row>
    <row r="1153" spans="1:17">
      <c r="A1153" s="1">
        <v>44131</v>
      </c>
      <c r="B1153">
        <v>3390.68</v>
      </c>
      <c r="C1153">
        <f t="shared" si="136"/>
        <v>-3.0256074002417144E-3</v>
      </c>
      <c r="D1153">
        <f t="shared" si="143"/>
        <v>-1.8187398834222712E-2</v>
      </c>
      <c r="E1153">
        <f>_xlfn.XLOOKUP(A1153,VIX!A:A,VIX!B:B,"",-1)</f>
        <v>33.35</v>
      </c>
      <c r="F1153">
        <f t="shared" si="137"/>
        <v>0.89000000000000057</v>
      </c>
      <c r="G1153">
        <f>_xlfn.XLOOKUP(A1153,'DGS10'!A:A,'DGS10'!B:B,"",-1)</f>
        <v>0.79</v>
      </c>
      <c r="H1153">
        <f t="shared" si="138"/>
        <v>-2.0000000000000018E-2</v>
      </c>
      <c r="I1153" s="2">
        <f>_xlfn.XLOOKUP(A1153,T10Y3M!A:A,T10Y3M!B:B,"",-1)</f>
        <v>0.69</v>
      </c>
      <c r="J1153" s="2">
        <f>_xlfn.XLOOKUP(A1153,BAMLC0A4CBBB!A:A,BAMLC0A4CBBB!B:B,"",-1)</f>
        <v>1.67</v>
      </c>
      <c r="K1153" s="2">
        <f>_xlfn.XLOOKUP(A1153,CPIAUCSL!A:A,CPIAUCSL!B:B,"",-1)</f>
        <v>260.31900000000002</v>
      </c>
      <c r="L1153">
        <f>_xlfn.XLOOKUP(A1153,DFF!A:A,DFF!B:B,"",-1)</f>
        <v>0.09</v>
      </c>
      <c r="M1153">
        <f>_xlfn.XLOOKUP(A1153,'DGS2'!A:A,'DGS2'!B:B,"",-1)</f>
        <v>0.16</v>
      </c>
      <c r="N1153">
        <f t="shared" si="139"/>
        <v>0</v>
      </c>
      <c r="O1153">
        <f t="shared" si="140"/>
        <v>-3.5287906850543171E-2</v>
      </c>
      <c r="P1153">
        <f t="shared" si="141"/>
        <v>0</v>
      </c>
      <c r="Q1153">
        <f t="shared" si="142"/>
        <v>-1</v>
      </c>
    </row>
    <row r="1154" spans="1:17">
      <c r="A1154" s="1">
        <v>44132</v>
      </c>
      <c r="B1154">
        <v>3271.03</v>
      </c>
      <c r="C1154">
        <f t="shared" si="136"/>
        <v>-3.5287906850543171E-2</v>
      </c>
      <c r="D1154">
        <f t="shared" si="143"/>
        <v>-5.6086039377963193E-2</v>
      </c>
      <c r="E1154">
        <f>_xlfn.XLOOKUP(A1154,VIX!A:A,VIX!B:B,"",-1)</f>
        <v>40.28</v>
      </c>
      <c r="F1154">
        <f t="shared" si="137"/>
        <v>6.93</v>
      </c>
      <c r="G1154">
        <f>_xlfn.XLOOKUP(A1154,'DGS10'!A:A,'DGS10'!B:B,"",-1)</f>
        <v>0.79</v>
      </c>
      <c r="H1154">
        <f t="shared" si="138"/>
        <v>0</v>
      </c>
      <c r="I1154" s="2">
        <f>_xlfn.XLOOKUP(A1154,T10Y3M!A:A,T10Y3M!B:B,"",-1)</f>
        <v>0.69</v>
      </c>
      <c r="J1154" s="2">
        <f>_xlfn.XLOOKUP(A1154,BAMLC0A4CBBB!A:A,BAMLC0A4CBBB!B:B,"",-1)</f>
        <v>1.7</v>
      </c>
      <c r="K1154" s="2">
        <f>_xlfn.XLOOKUP(A1154,CPIAUCSL!A:A,CPIAUCSL!B:B,"",-1)</f>
        <v>260.31900000000002</v>
      </c>
      <c r="L1154">
        <f>_xlfn.XLOOKUP(A1154,DFF!A:A,DFF!B:B,"",-1)</f>
        <v>0.09</v>
      </c>
      <c r="M1154">
        <f>_xlfn.XLOOKUP(A1154,'DGS2'!A:A,'DGS2'!B:B,"",-1)</f>
        <v>0.16</v>
      </c>
      <c r="N1154">
        <f t="shared" si="139"/>
        <v>0</v>
      </c>
      <c r="O1154">
        <f t="shared" si="140"/>
        <v>1.1947307117329942E-2</v>
      </c>
      <c r="P1154">
        <f t="shared" si="141"/>
        <v>1</v>
      </c>
      <c r="Q1154">
        <f t="shared" si="142"/>
        <v>1</v>
      </c>
    </row>
    <row r="1155" spans="1:17">
      <c r="A1155" s="1">
        <v>44133</v>
      </c>
      <c r="B1155">
        <v>3310.11</v>
      </c>
      <c r="C1155">
        <f t="shared" si="136"/>
        <v>1.1947307117329942E-2</v>
      </c>
      <c r="D1155">
        <f t="shared" si="143"/>
        <v>-2.6715907520501458E-2</v>
      </c>
      <c r="E1155">
        <f>_xlfn.XLOOKUP(A1155,VIX!A:A,VIX!B:B,"",-1)</f>
        <v>37.590000000000003</v>
      </c>
      <c r="F1155">
        <f t="shared" si="137"/>
        <v>-2.6899999999999977</v>
      </c>
      <c r="G1155">
        <f>_xlfn.XLOOKUP(A1155,'DGS10'!A:A,'DGS10'!B:B,"",-1)</f>
        <v>0.85</v>
      </c>
      <c r="H1155">
        <f t="shared" si="138"/>
        <v>5.9999999999999942E-2</v>
      </c>
      <c r="I1155" s="2">
        <f>_xlfn.XLOOKUP(A1155,T10Y3M!A:A,T10Y3M!B:B,"",-1)</f>
        <v>0.76</v>
      </c>
      <c r="J1155" s="2">
        <f>_xlfn.XLOOKUP(A1155,BAMLC0A4CBBB!A:A,BAMLC0A4CBBB!B:B,"",-1)</f>
        <v>1.7</v>
      </c>
      <c r="K1155" s="2">
        <f>_xlfn.XLOOKUP(A1155,CPIAUCSL!A:A,CPIAUCSL!B:B,"",-1)</f>
        <v>260.31900000000002</v>
      </c>
      <c r="L1155">
        <f>_xlfn.XLOOKUP(A1155,DFF!A:A,DFF!B:B,"",-1)</f>
        <v>0.09</v>
      </c>
      <c r="M1155">
        <f>_xlfn.XLOOKUP(A1155,'DGS2'!A:A,'DGS2'!B:B,"",-1)</f>
        <v>0.16</v>
      </c>
      <c r="N1155">
        <f t="shared" si="139"/>
        <v>0</v>
      </c>
      <c r="O1155">
        <f t="shared" si="140"/>
        <v>-1.2129506270184387E-2</v>
      </c>
      <c r="P1155">
        <f t="shared" si="141"/>
        <v>0</v>
      </c>
      <c r="Q1155">
        <f t="shared" si="142"/>
        <v>-1</v>
      </c>
    </row>
    <row r="1156" spans="1:17">
      <c r="A1156" s="1">
        <v>44134</v>
      </c>
      <c r="B1156">
        <v>3269.96</v>
      </c>
      <c r="C1156">
        <f t="shared" ref="C1156:C1219" si="144">IF(OR(B1156="",B1155=""),"",(B1156/B1155)-1)</f>
        <v>-1.2129506270184387E-2</v>
      </c>
      <c r="D1156">
        <f t="shared" si="143"/>
        <v>-3.560347776847117E-2</v>
      </c>
      <c r="E1156">
        <f>_xlfn.XLOOKUP(A1156,VIX!A:A,VIX!B:B,"",-1)</f>
        <v>38.020000000000003</v>
      </c>
      <c r="F1156">
        <f t="shared" ref="F1156:F1219" si="145">IF(OR(E1156="",E1155=""),"",E1156-E1155)</f>
        <v>0.42999999999999972</v>
      </c>
      <c r="G1156">
        <f>_xlfn.XLOOKUP(A1156,'DGS10'!A:A,'DGS10'!B:B,"",-1)</f>
        <v>0.88</v>
      </c>
      <c r="H1156">
        <f t="shared" ref="H1156:H1219" si="146">IF(OR(G1156="",G1155=""),"",G1156-G1155)</f>
        <v>3.0000000000000027E-2</v>
      </c>
      <c r="I1156" s="2">
        <f>_xlfn.XLOOKUP(A1156,T10Y3M!A:A,T10Y3M!B:B,"",-1)</f>
        <v>0.79</v>
      </c>
      <c r="J1156" s="2">
        <f>_xlfn.XLOOKUP(A1156,BAMLC0A4CBBB!A:A,BAMLC0A4CBBB!B:B,"",-1)</f>
        <v>1.71</v>
      </c>
      <c r="K1156" s="2">
        <f>_xlfn.XLOOKUP(A1156,CPIAUCSL!A:A,CPIAUCSL!B:B,"",-1)</f>
        <v>260.31900000000002</v>
      </c>
      <c r="L1156">
        <f>_xlfn.XLOOKUP(A1156,DFF!A:A,DFF!B:B,"",-1)</f>
        <v>0.09</v>
      </c>
      <c r="M1156">
        <f>_xlfn.XLOOKUP(A1156,'DGS2'!A:A,'DGS2'!B:B,"",-1)</f>
        <v>0.14000000000000001</v>
      </c>
      <c r="N1156">
        <f t="shared" ref="N1156:N1219" si="147">IF(OR(M1156="",M1155=""),"",M1156-M1155)</f>
        <v>-1.999999999999999E-2</v>
      </c>
      <c r="O1156">
        <f t="shared" ref="O1156:O1219" si="148">IF(OR(B1157="",B1156=""),"",(B1157/B1156)-1)</f>
        <v>1.231819349472163E-2</v>
      </c>
      <c r="P1156">
        <f t="shared" ref="P1156:P1219" si="149">IF(O1156="","",IF(O1156&gt;0,1,0))</f>
        <v>1</v>
      </c>
      <c r="Q1156">
        <f t="shared" ref="Q1156:Q1219" si="150">IF(O1156="","",IF(O1156&gt;0.003,1,IF(O1156&lt;-0.003,-1,0)))</f>
        <v>1</v>
      </c>
    </row>
    <row r="1157" spans="1:17">
      <c r="A1157" s="1">
        <v>44137</v>
      </c>
      <c r="B1157">
        <v>3310.24</v>
      </c>
      <c r="C1157">
        <f t="shared" si="144"/>
        <v>1.231819349472163E-2</v>
      </c>
      <c r="D1157">
        <f t="shared" si="143"/>
        <v>1.1987049950626938E-2</v>
      </c>
      <c r="E1157">
        <f>_xlfn.XLOOKUP(A1157,VIX!A:A,VIX!B:B,"",-1)</f>
        <v>37.130000000000003</v>
      </c>
      <c r="F1157">
        <f t="shared" si="145"/>
        <v>-0.89000000000000057</v>
      </c>
      <c r="G1157">
        <f>_xlfn.XLOOKUP(A1157,'DGS10'!A:A,'DGS10'!B:B,"",-1)</f>
        <v>0.87</v>
      </c>
      <c r="H1157">
        <f t="shared" si="146"/>
        <v>-1.0000000000000009E-2</v>
      </c>
      <c r="I1157" s="2">
        <f>_xlfn.XLOOKUP(A1157,T10Y3M!A:A,T10Y3M!B:B,"",-1)</f>
        <v>0.78</v>
      </c>
      <c r="J1157" s="2">
        <f>_xlfn.XLOOKUP(A1157,BAMLC0A4CBBB!A:A,BAMLC0A4CBBB!B:B,"",-1)</f>
        <v>1.71</v>
      </c>
      <c r="K1157" s="2">
        <f>_xlfn.XLOOKUP(A1157,CPIAUCSL!A:A,CPIAUCSL!B:B,"",-1)</f>
        <v>260.911</v>
      </c>
      <c r="L1157">
        <f>_xlfn.XLOOKUP(A1157,DFF!A:A,DFF!B:B,"",-1)</f>
        <v>0.09</v>
      </c>
      <c r="M1157">
        <f>_xlfn.XLOOKUP(A1157,'DGS2'!A:A,'DGS2'!B:B,"",-1)</f>
        <v>0.16</v>
      </c>
      <c r="N1157">
        <f t="shared" si="147"/>
        <v>1.999999999999999E-2</v>
      </c>
      <c r="O1157">
        <f t="shared" si="148"/>
        <v>1.7799313644932147E-2</v>
      </c>
      <c r="P1157">
        <f t="shared" si="149"/>
        <v>1</v>
      </c>
      <c r="Q1157">
        <f t="shared" si="150"/>
        <v>1</v>
      </c>
    </row>
    <row r="1158" spans="1:17">
      <c r="A1158" s="1">
        <v>44138</v>
      </c>
      <c r="B1158">
        <v>3369.16</v>
      </c>
      <c r="C1158">
        <f t="shared" si="144"/>
        <v>1.7799313644932147E-2</v>
      </c>
      <c r="D1158">
        <f t="shared" ref="D1158:D1221" si="151">IF(OR(B1158="",B1155=""),"",(B1158/B1155)-1)</f>
        <v>1.7839286307705704E-2</v>
      </c>
      <c r="E1158">
        <f>_xlfn.XLOOKUP(A1158,VIX!A:A,VIX!B:B,"",-1)</f>
        <v>35.549999999999997</v>
      </c>
      <c r="F1158">
        <f t="shared" si="145"/>
        <v>-1.5800000000000054</v>
      </c>
      <c r="G1158">
        <f>_xlfn.XLOOKUP(A1158,'DGS10'!A:A,'DGS10'!B:B,"",-1)</f>
        <v>0.9</v>
      </c>
      <c r="H1158">
        <f t="shared" si="146"/>
        <v>3.0000000000000027E-2</v>
      </c>
      <c r="I1158" s="2">
        <f>_xlfn.XLOOKUP(A1158,T10Y3M!A:A,T10Y3M!B:B,"",-1)</f>
        <v>0.8</v>
      </c>
      <c r="J1158" s="2">
        <f>_xlfn.XLOOKUP(A1158,BAMLC0A4CBBB!A:A,BAMLC0A4CBBB!B:B,"",-1)</f>
        <v>1.69</v>
      </c>
      <c r="K1158" s="2">
        <f>_xlfn.XLOOKUP(A1158,CPIAUCSL!A:A,CPIAUCSL!B:B,"",-1)</f>
        <v>260.911</v>
      </c>
      <c r="L1158">
        <f>_xlfn.XLOOKUP(A1158,DFF!A:A,DFF!B:B,"",-1)</f>
        <v>0.09</v>
      </c>
      <c r="M1158">
        <f>_xlfn.XLOOKUP(A1158,'DGS2'!A:A,'DGS2'!B:B,"",-1)</f>
        <v>0.17</v>
      </c>
      <c r="N1158">
        <f t="shared" si="147"/>
        <v>1.0000000000000009E-2</v>
      </c>
      <c r="O1158">
        <f t="shared" si="148"/>
        <v>2.2047038430944355E-2</v>
      </c>
      <c r="P1158">
        <f t="shared" si="149"/>
        <v>1</v>
      </c>
      <c r="Q1158">
        <f t="shared" si="150"/>
        <v>1</v>
      </c>
    </row>
    <row r="1159" spans="1:17">
      <c r="A1159" s="1">
        <v>44139</v>
      </c>
      <c r="B1159">
        <v>3443.44</v>
      </c>
      <c r="C1159">
        <f t="shared" si="144"/>
        <v>2.2047038430944355E-2</v>
      </c>
      <c r="D1159">
        <f t="shared" si="151"/>
        <v>5.3052636729501224E-2</v>
      </c>
      <c r="E1159">
        <f>_xlfn.XLOOKUP(A1159,VIX!A:A,VIX!B:B,"",-1)</f>
        <v>29.57</v>
      </c>
      <c r="F1159">
        <f t="shared" si="145"/>
        <v>-5.9799999999999969</v>
      </c>
      <c r="G1159">
        <f>_xlfn.XLOOKUP(A1159,'DGS10'!A:A,'DGS10'!B:B,"",-1)</f>
        <v>0.78</v>
      </c>
      <c r="H1159">
        <f t="shared" si="146"/>
        <v>-0.12</v>
      </c>
      <c r="I1159" s="2">
        <f>_xlfn.XLOOKUP(A1159,T10Y3M!A:A,T10Y3M!B:B,"",-1)</f>
        <v>0.68</v>
      </c>
      <c r="J1159" s="2">
        <f>_xlfn.XLOOKUP(A1159,BAMLC0A4CBBB!A:A,BAMLC0A4CBBB!B:B,"",-1)</f>
        <v>1.66</v>
      </c>
      <c r="K1159" s="2">
        <f>_xlfn.XLOOKUP(A1159,CPIAUCSL!A:A,CPIAUCSL!B:B,"",-1)</f>
        <v>260.911</v>
      </c>
      <c r="L1159">
        <f>_xlfn.XLOOKUP(A1159,DFF!A:A,DFF!B:B,"",-1)</f>
        <v>0.09</v>
      </c>
      <c r="M1159">
        <f>_xlfn.XLOOKUP(A1159,'DGS2'!A:A,'DGS2'!B:B,"",-1)</f>
        <v>0.14000000000000001</v>
      </c>
      <c r="N1159">
        <f t="shared" si="147"/>
        <v>-0.03</v>
      </c>
      <c r="O1159">
        <f t="shared" si="148"/>
        <v>1.9460190971818836E-2</v>
      </c>
      <c r="P1159">
        <f t="shared" si="149"/>
        <v>1</v>
      </c>
      <c r="Q1159">
        <f t="shared" si="150"/>
        <v>1</v>
      </c>
    </row>
    <row r="1160" spans="1:17">
      <c r="A1160" s="1">
        <v>44140</v>
      </c>
      <c r="B1160">
        <v>3510.45</v>
      </c>
      <c r="C1160">
        <f t="shared" si="144"/>
        <v>1.9460190971818836E-2</v>
      </c>
      <c r="D1160">
        <f t="shared" si="151"/>
        <v>6.0482019430615264E-2</v>
      </c>
      <c r="E1160">
        <f>_xlfn.XLOOKUP(A1160,VIX!A:A,VIX!B:B,"",-1)</f>
        <v>27.58</v>
      </c>
      <c r="F1160">
        <f t="shared" si="145"/>
        <v>-1.990000000000002</v>
      </c>
      <c r="G1160">
        <f>_xlfn.XLOOKUP(A1160,'DGS10'!A:A,'DGS10'!B:B,"",-1)</f>
        <v>0.79</v>
      </c>
      <c r="H1160">
        <f t="shared" si="146"/>
        <v>1.0000000000000009E-2</v>
      </c>
      <c r="I1160" s="2">
        <f>_xlfn.XLOOKUP(A1160,T10Y3M!A:A,T10Y3M!B:B,"",-1)</f>
        <v>0.69</v>
      </c>
      <c r="J1160" s="2">
        <f>_xlfn.XLOOKUP(A1160,BAMLC0A4CBBB!A:A,BAMLC0A4CBBB!B:B,"",-1)</f>
        <v>1.62</v>
      </c>
      <c r="K1160" s="2">
        <f>_xlfn.XLOOKUP(A1160,CPIAUCSL!A:A,CPIAUCSL!B:B,"",-1)</f>
        <v>260.911</v>
      </c>
      <c r="L1160">
        <f>_xlfn.XLOOKUP(A1160,DFF!A:A,DFF!B:B,"",-1)</f>
        <v>0.09</v>
      </c>
      <c r="M1160">
        <f>_xlfn.XLOOKUP(A1160,'DGS2'!A:A,'DGS2'!B:B,"",-1)</f>
        <v>0.14000000000000001</v>
      </c>
      <c r="N1160">
        <f t="shared" si="147"/>
        <v>0</v>
      </c>
      <c r="O1160">
        <f t="shared" si="148"/>
        <v>-2.8771240154390476E-4</v>
      </c>
      <c r="P1160">
        <f t="shared" si="149"/>
        <v>0</v>
      </c>
      <c r="Q1160">
        <f t="shared" si="150"/>
        <v>0</v>
      </c>
    </row>
    <row r="1161" spans="1:17">
      <c r="A1161" s="1">
        <v>44141</v>
      </c>
      <c r="B1161">
        <v>3509.44</v>
      </c>
      <c r="C1161">
        <f t="shared" si="144"/>
        <v>-2.8771240154390476E-4</v>
      </c>
      <c r="D1161">
        <f t="shared" si="151"/>
        <v>4.1636490994788167E-2</v>
      </c>
      <c r="E1161">
        <f>_xlfn.XLOOKUP(A1161,VIX!A:A,VIX!B:B,"",-1)</f>
        <v>24.86</v>
      </c>
      <c r="F1161">
        <f t="shared" si="145"/>
        <v>-2.7199999999999989</v>
      </c>
      <c r="G1161">
        <f>_xlfn.XLOOKUP(A1161,'DGS10'!A:A,'DGS10'!B:B,"",-1)</f>
        <v>0.83</v>
      </c>
      <c r="H1161">
        <f t="shared" si="146"/>
        <v>3.9999999999999925E-2</v>
      </c>
      <c r="I1161" s="2">
        <f>_xlfn.XLOOKUP(A1161,T10Y3M!A:A,T10Y3M!B:B,"",-1)</f>
        <v>0.73</v>
      </c>
      <c r="J1161" s="2">
        <f>_xlfn.XLOOKUP(A1161,BAMLC0A4CBBB!A:A,BAMLC0A4CBBB!B:B,"",-1)</f>
        <v>1.6</v>
      </c>
      <c r="K1161" s="2">
        <f>_xlfn.XLOOKUP(A1161,CPIAUCSL!A:A,CPIAUCSL!B:B,"",-1)</f>
        <v>260.911</v>
      </c>
      <c r="L1161">
        <f>_xlfn.XLOOKUP(A1161,DFF!A:A,DFF!B:B,"",-1)</f>
        <v>0.09</v>
      </c>
      <c r="M1161">
        <f>_xlfn.XLOOKUP(A1161,'DGS2'!A:A,'DGS2'!B:B,"",-1)</f>
        <v>0.16</v>
      </c>
      <c r="N1161">
        <f t="shared" si="147"/>
        <v>1.999999999999999E-2</v>
      </c>
      <c r="O1161">
        <f t="shared" si="148"/>
        <v>1.1699872344305584E-2</v>
      </c>
      <c r="P1161">
        <f t="shared" si="149"/>
        <v>1</v>
      </c>
      <c r="Q1161">
        <f t="shared" si="150"/>
        <v>1</v>
      </c>
    </row>
    <row r="1162" spans="1:17">
      <c r="A1162" s="1">
        <v>44144</v>
      </c>
      <c r="B1162">
        <v>3550.5</v>
      </c>
      <c r="C1162">
        <f t="shared" si="144"/>
        <v>1.1699872344305584E-2</v>
      </c>
      <c r="D1162">
        <f t="shared" si="151"/>
        <v>3.1091002021234493E-2</v>
      </c>
      <c r="E1162">
        <f>_xlfn.XLOOKUP(A1162,VIX!A:A,VIX!B:B,"",-1)</f>
        <v>25.75</v>
      </c>
      <c r="F1162">
        <f t="shared" si="145"/>
        <v>0.89000000000000057</v>
      </c>
      <c r="G1162">
        <f>_xlfn.XLOOKUP(A1162,'DGS10'!A:A,'DGS10'!B:B,"",-1)</f>
        <v>0.96</v>
      </c>
      <c r="H1162">
        <f t="shared" si="146"/>
        <v>0.13</v>
      </c>
      <c r="I1162" s="2">
        <f>_xlfn.XLOOKUP(A1162,T10Y3M!A:A,T10Y3M!B:B,"",-1)</f>
        <v>0.85</v>
      </c>
      <c r="J1162" s="2">
        <f>_xlfn.XLOOKUP(A1162,BAMLC0A4CBBB!A:A,BAMLC0A4CBBB!B:B,"",-1)</f>
        <v>1.53</v>
      </c>
      <c r="K1162" s="2">
        <f>_xlfn.XLOOKUP(A1162,CPIAUCSL!A:A,CPIAUCSL!B:B,"",-1)</f>
        <v>260.911</v>
      </c>
      <c r="L1162">
        <f>_xlfn.XLOOKUP(A1162,DFF!A:A,DFF!B:B,"",-1)</f>
        <v>0.09</v>
      </c>
      <c r="M1162">
        <f>_xlfn.XLOOKUP(A1162,'DGS2'!A:A,'DGS2'!B:B,"",-1)</f>
        <v>0.17</v>
      </c>
      <c r="N1162">
        <f t="shared" si="147"/>
        <v>1.0000000000000009E-2</v>
      </c>
      <c r="O1162">
        <f t="shared" si="148"/>
        <v>-1.3998028446696731E-3</v>
      </c>
      <c r="P1162">
        <f t="shared" si="149"/>
        <v>0</v>
      </c>
      <c r="Q1162">
        <f t="shared" si="150"/>
        <v>0</v>
      </c>
    </row>
    <row r="1163" spans="1:17">
      <c r="A1163" s="1">
        <v>44145</v>
      </c>
      <c r="B1163">
        <v>3545.53</v>
      </c>
      <c r="C1163">
        <f t="shared" si="144"/>
        <v>-1.3998028446696731E-3</v>
      </c>
      <c r="D1163">
        <f t="shared" si="151"/>
        <v>9.9930208377845275E-3</v>
      </c>
      <c r="E1163">
        <f>_xlfn.XLOOKUP(A1163,VIX!A:A,VIX!B:B,"",-1)</f>
        <v>24.8</v>
      </c>
      <c r="F1163">
        <f t="shared" si="145"/>
        <v>-0.94999999999999929</v>
      </c>
      <c r="G1163">
        <f>_xlfn.XLOOKUP(A1163,'DGS10'!A:A,'DGS10'!B:B,"",-1)</f>
        <v>0.98</v>
      </c>
      <c r="H1163">
        <f t="shared" si="146"/>
        <v>2.0000000000000018E-2</v>
      </c>
      <c r="I1163" s="2">
        <f>_xlfn.XLOOKUP(A1163,T10Y3M!A:A,T10Y3M!B:B,"",-1)</f>
        <v>0.88</v>
      </c>
      <c r="J1163" s="2">
        <f>_xlfn.XLOOKUP(A1163,BAMLC0A4CBBB!A:A,BAMLC0A4CBBB!B:B,"",-1)</f>
        <v>1.52</v>
      </c>
      <c r="K1163" s="2">
        <f>_xlfn.XLOOKUP(A1163,CPIAUCSL!A:A,CPIAUCSL!B:B,"",-1)</f>
        <v>260.911</v>
      </c>
      <c r="L1163">
        <f>_xlfn.XLOOKUP(A1163,DFF!A:A,DFF!B:B,"",-1)</f>
        <v>0.09</v>
      </c>
      <c r="M1163">
        <f>_xlfn.XLOOKUP(A1163,'DGS2'!A:A,'DGS2'!B:B,"",-1)</f>
        <v>0.19</v>
      </c>
      <c r="N1163">
        <f t="shared" si="147"/>
        <v>1.999999999999999E-2</v>
      </c>
      <c r="O1163">
        <f t="shared" si="148"/>
        <v>7.6518884341691962E-3</v>
      </c>
      <c r="P1163">
        <f t="shared" si="149"/>
        <v>1</v>
      </c>
      <c r="Q1163">
        <f t="shared" si="150"/>
        <v>1</v>
      </c>
    </row>
    <row r="1164" spans="1:17">
      <c r="A1164" s="1">
        <v>44146</v>
      </c>
      <c r="B1164">
        <v>3572.66</v>
      </c>
      <c r="C1164">
        <f t="shared" si="144"/>
        <v>7.6518884341691962E-3</v>
      </c>
      <c r="D1164">
        <f t="shared" si="151"/>
        <v>1.801427008297618E-2</v>
      </c>
      <c r="E1164">
        <f>_xlfn.XLOOKUP(A1164,VIX!A:A,VIX!B:B,"",-1)</f>
        <v>23.45</v>
      </c>
      <c r="F1164">
        <f t="shared" si="145"/>
        <v>-1.3500000000000014</v>
      </c>
      <c r="G1164">
        <f>_xlfn.XLOOKUP(A1164,'DGS10'!A:A,'DGS10'!B:B,"",-1)</f>
        <v>0</v>
      </c>
      <c r="H1164">
        <f t="shared" si="146"/>
        <v>-0.98</v>
      </c>
      <c r="I1164" s="2">
        <f>_xlfn.XLOOKUP(A1164,T10Y3M!A:A,T10Y3M!B:B,"",-1)</f>
        <v>0</v>
      </c>
      <c r="J1164" s="2">
        <f>_xlfn.XLOOKUP(A1164,BAMLC0A4CBBB!A:A,BAMLC0A4CBBB!B:B,"",-1)</f>
        <v>1.52</v>
      </c>
      <c r="K1164" s="2">
        <f>_xlfn.XLOOKUP(A1164,CPIAUCSL!A:A,CPIAUCSL!B:B,"",-1)</f>
        <v>260.911</v>
      </c>
      <c r="L1164">
        <f>_xlfn.XLOOKUP(A1164,DFF!A:A,DFF!B:B,"",-1)</f>
        <v>0.09</v>
      </c>
      <c r="M1164">
        <f>_xlfn.XLOOKUP(A1164,'DGS2'!A:A,'DGS2'!B:B,"",-1)</f>
        <v>0</v>
      </c>
      <c r="N1164">
        <f t="shared" si="147"/>
        <v>-0.19</v>
      </c>
      <c r="O1164">
        <f t="shared" si="148"/>
        <v>-9.9785593927212979E-3</v>
      </c>
      <c r="P1164">
        <f t="shared" si="149"/>
        <v>0</v>
      </c>
      <c r="Q1164">
        <f t="shared" si="150"/>
        <v>-1</v>
      </c>
    </row>
    <row r="1165" spans="1:17">
      <c r="A1165" s="1">
        <v>44147</v>
      </c>
      <c r="B1165">
        <v>3537.01</v>
      </c>
      <c r="C1165">
        <f t="shared" si="144"/>
        <v>-9.9785593927212979E-3</v>
      </c>
      <c r="D1165">
        <f t="shared" si="151"/>
        <v>-3.7994648641035411E-3</v>
      </c>
      <c r="E1165">
        <f>_xlfn.XLOOKUP(A1165,VIX!A:A,VIX!B:B,"",-1)</f>
        <v>25.35</v>
      </c>
      <c r="F1165">
        <f t="shared" si="145"/>
        <v>1.9000000000000021</v>
      </c>
      <c r="G1165">
        <f>_xlfn.XLOOKUP(A1165,'DGS10'!A:A,'DGS10'!B:B,"",-1)</f>
        <v>0.88</v>
      </c>
      <c r="H1165">
        <f t="shared" si="146"/>
        <v>0.88</v>
      </c>
      <c r="I1165" s="2">
        <f>_xlfn.XLOOKUP(A1165,T10Y3M!A:A,T10Y3M!B:B,"",-1)</f>
        <v>0.78</v>
      </c>
      <c r="J1165" s="2">
        <f>_xlfn.XLOOKUP(A1165,BAMLC0A4CBBB!A:A,BAMLC0A4CBBB!B:B,"",-1)</f>
        <v>1.54</v>
      </c>
      <c r="K1165" s="2">
        <f>_xlfn.XLOOKUP(A1165,CPIAUCSL!A:A,CPIAUCSL!B:B,"",-1)</f>
        <v>260.911</v>
      </c>
      <c r="L1165">
        <f>_xlfn.XLOOKUP(A1165,DFF!A:A,DFF!B:B,"",-1)</f>
        <v>0.09</v>
      </c>
      <c r="M1165">
        <f>_xlfn.XLOOKUP(A1165,'DGS2'!A:A,'DGS2'!B:B,"",-1)</f>
        <v>0.17</v>
      </c>
      <c r="N1165">
        <f t="shared" si="147"/>
        <v>0.17</v>
      </c>
      <c r="O1165">
        <f t="shared" si="148"/>
        <v>1.3610365817456005E-2</v>
      </c>
      <c r="P1165">
        <f t="shared" si="149"/>
        <v>1</v>
      </c>
      <c r="Q1165">
        <f t="shared" si="150"/>
        <v>1</v>
      </c>
    </row>
    <row r="1166" spans="1:17">
      <c r="A1166" s="1">
        <v>44148</v>
      </c>
      <c r="B1166">
        <v>3585.15</v>
      </c>
      <c r="C1166">
        <f t="shared" si="144"/>
        <v>1.3610365817456005E-2</v>
      </c>
      <c r="D1166">
        <f t="shared" si="151"/>
        <v>1.1174633975738368E-2</v>
      </c>
      <c r="E1166">
        <f>_xlfn.XLOOKUP(A1166,VIX!A:A,VIX!B:B,"",-1)</f>
        <v>23.1</v>
      </c>
      <c r="F1166">
        <f t="shared" si="145"/>
        <v>-2.25</v>
      </c>
      <c r="G1166">
        <f>_xlfn.XLOOKUP(A1166,'DGS10'!A:A,'DGS10'!B:B,"",-1)</f>
        <v>0.89</v>
      </c>
      <c r="H1166">
        <f t="shared" si="146"/>
        <v>1.0000000000000009E-2</v>
      </c>
      <c r="I1166" s="2">
        <f>_xlfn.XLOOKUP(A1166,T10Y3M!A:A,T10Y3M!B:B,"",-1)</f>
        <v>0.8</v>
      </c>
      <c r="J1166" s="2">
        <f>_xlfn.XLOOKUP(A1166,BAMLC0A4CBBB!A:A,BAMLC0A4CBBB!B:B,"",-1)</f>
        <v>1.55</v>
      </c>
      <c r="K1166" s="2">
        <f>_xlfn.XLOOKUP(A1166,CPIAUCSL!A:A,CPIAUCSL!B:B,"",-1)</f>
        <v>260.911</v>
      </c>
      <c r="L1166">
        <f>_xlfn.XLOOKUP(A1166,DFF!A:A,DFF!B:B,"",-1)</f>
        <v>0.09</v>
      </c>
      <c r="M1166">
        <f>_xlfn.XLOOKUP(A1166,'DGS2'!A:A,'DGS2'!B:B,"",-1)</f>
        <v>0.17</v>
      </c>
      <c r="N1166">
        <f t="shared" si="147"/>
        <v>0</v>
      </c>
      <c r="O1166">
        <f t="shared" si="148"/>
        <v>1.1648048198820149E-2</v>
      </c>
      <c r="P1166">
        <f t="shared" si="149"/>
        <v>1</v>
      </c>
      <c r="Q1166">
        <f t="shared" si="150"/>
        <v>1</v>
      </c>
    </row>
    <row r="1167" spans="1:17">
      <c r="A1167" s="1">
        <v>44151</v>
      </c>
      <c r="B1167">
        <v>3626.91</v>
      </c>
      <c r="C1167">
        <f t="shared" si="144"/>
        <v>1.1648048198820149E-2</v>
      </c>
      <c r="D1167">
        <f t="shared" si="151"/>
        <v>1.5184764293271646E-2</v>
      </c>
      <c r="E1167">
        <f>_xlfn.XLOOKUP(A1167,VIX!A:A,VIX!B:B,"",-1)</f>
        <v>22.45</v>
      </c>
      <c r="F1167">
        <f t="shared" si="145"/>
        <v>-0.65000000000000213</v>
      </c>
      <c r="G1167">
        <f>_xlfn.XLOOKUP(A1167,'DGS10'!A:A,'DGS10'!B:B,"",-1)</f>
        <v>0.91</v>
      </c>
      <c r="H1167">
        <f t="shared" si="146"/>
        <v>2.0000000000000018E-2</v>
      </c>
      <c r="I1167" s="2">
        <f>_xlfn.XLOOKUP(A1167,T10Y3M!A:A,T10Y3M!B:B,"",-1)</f>
        <v>0.82</v>
      </c>
      <c r="J1167" s="2">
        <f>_xlfn.XLOOKUP(A1167,BAMLC0A4CBBB!A:A,BAMLC0A4CBBB!B:B,"",-1)</f>
        <v>1.52</v>
      </c>
      <c r="K1167" s="2">
        <f>_xlfn.XLOOKUP(A1167,CPIAUCSL!A:A,CPIAUCSL!B:B,"",-1)</f>
        <v>260.911</v>
      </c>
      <c r="L1167">
        <f>_xlfn.XLOOKUP(A1167,DFF!A:A,DFF!B:B,"",-1)</f>
        <v>0.09</v>
      </c>
      <c r="M1167">
        <f>_xlfn.XLOOKUP(A1167,'DGS2'!A:A,'DGS2'!B:B,"",-1)</f>
        <v>0.19</v>
      </c>
      <c r="N1167">
        <f t="shared" si="147"/>
        <v>1.999999999999999E-2</v>
      </c>
      <c r="O1167">
        <f t="shared" si="148"/>
        <v>-4.7919578925310624E-3</v>
      </c>
      <c r="P1167">
        <f t="shared" si="149"/>
        <v>0</v>
      </c>
      <c r="Q1167">
        <f t="shared" si="150"/>
        <v>-1</v>
      </c>
    </row>
    <row r="1168" spans="1:17">
      <c r="A1168" s="1">
        <v>44152</v>
      </c>
      <c r="B1168">
        <v>3609.53</v>
      </c>
      <c r="C1168">
        <f t="shared" si="144"/>
        <v>-4.7919578925310624E-3</v>
      </c>
      <c r="D1168">
        <f t="shared" si="151"/>
        <v>2.050319337519535E-2</v>
      </c>
      <c r="E1168">
        <f>_xlfn.XLOOKUP(A1168,VIX!A:A,VIX!B:B,"",-1)</f>
        <v>22.71</v>
      </c>
      <c r="F1168">
        <f t="shared" si="145"/>
        <v>0.26000000000000156</v>
      </c>
      <c r="G1168">
        <f>_xlfn.XLOOKUP(A1168,'DGS10'!A:A,'DGS10'!B:B,"",-1)</f>
        <v>0.87</v>
      </c>
      <c r="H1168">
        <f t="shared" si="146"/>
        <v>-4.0000000000000036E-2</v>
      </c>
      <c r="I1168" s="2">
        <f>_xlfn.XLOOKUP(A1168,T10Y3M!A:A,T10Y3M!B:B,"",-1)</f>
        <v>0.78</v>
      </c>
      <c r="J1168" s="2">
        <f>_xlfn.XLOOKUP(A1168,BAMLC0A4CBBB!A:A,BAMLC0A4CBBB!B:B,"",-1)</f>
        <v>1.51</v>
      </c>
      <c r="K1168" s="2">
        <f>_xlfn.XLOOKUP(A1168,CPIAUCSL!A:A,CPIAUCSL!B:B,"",-1)</f>
        <v>260.911</v>
      </c>
      <c r="L1168">
        <f>_xlfn.XLOOKUP(A1168,DFF!A:A,DFF!B:B,"",-1)</f>
        <v>0.09</v>
      </c>
      <c r="M1168">
        <f>_xlfn.XLOOKUP(A1168,'DGS2'!A:A,'DGS2'!B:B,"",-1)</f>
        <v>0.18</v>
      </c>
      <c r="N1168">
        <f t="shared" si="147"/>
        <v>-1.0000000000000009E-2</v>
      </c>
      <c r="O1168">
        <f t="shared" si="148"/>
        <v>-1.156383241031389E-2</v>
      </c>
      <c r="P1168">
        <f t="shared" si="149"/>
        <v>0</v>
      </c>
      <c r="Q1168">
        <f t="shared" si="150"/>
        <v>-1</v>
      </c>
    </row>
    <row r="1169" spans="1:17">
      <c r="A1169" s="1">
        <v>44153</v>
      </c>
      <c r="B1169">
        <v>3567.79</v>
      </c>
      <c r="C1169">
        <f t="shared" si="144"/>
        <v>-1.156383241031389E-2</v>
      </c>
      <c r="D1169">
        <f t="shared" si="151"/>
        <v>-4.8421962818849806E-3</v>
      </c>
      <c r="E1169">
        <f>_xlfn.XLOOKUP(A1169,VIX!A:A,VIX!B:B,"",-1)</f>
        <v>23.84</v>
      </c>
      <c r="F1169">
        <f t="shared" si="145"/>
        <v>1.129999999999999</v>
      </c>
      <c r="G1169">
        <f>_xlfn.XLOOKUP(A1169,'DGS10'!A:A,'DGS10'!B:B,"",-1)</f>
        <v>0.88</v>
      </c>
      <c r="H1169">
        <f t="shared" si="146"/>
        <v>1.0000000000000009E-2</v>
      </c>
      <c r="I1169" s="2">
        <f>_xlfn.XLOOKUP(A1169,T10Y3M!A:A,T10Y3M!B:B,"",-1)</f>
        <v>0.79</v>
      </c>
      <c r="J1169" s="2">
        <f>_xlfn.XLOOKUP(A1169,BAMLC0A4CBBB!A:A,BAMLC0A4CBBB!B:B,"",-1)</f>
        <v>1.49</v>
      </c>
      <c r="K1169" s="2">
        <f>_xlfn.XLOOKUP(A1169,CPIAUCSL!A:A,CPIAUCSL!B:B,"",-1)</f>
        <v>260.911</v>
      </c>
      <c r="L1169">
        <f>_xlfn.XLOOKUP(A1169,DFF!A:A,DFF!B:B,"",-1)</f>
        <v>0.09</v>
      </c>
      <c r="M1169">
        <f>_xlfn.XLOOKUP(A1169,'DGS2'!A:A,'DGS2'!B:B,"",-1)</f>
        <v>0.16</v>
      </c>
      <c r="N1169">
        <f t="shared" si="147"/>
        <v>-1.999999999999999E-2</v>
      </c>
      <c r="O1169">
        <f t="shared" si="148"/>
        <v>3.9464206133208446E-3</v>
      </c>
      <c r="P1169">
        <f t="shared" si="149"/>
        <v>1</v>
      </c>
      <c r="Q1169">
        <f t="shared" si="150"/>
        <v>1</v>
      </c>
    </row>
    <row r="1170" spans="1:17">
      <c r="A1170" s="1">
        <v>44154</v>
      </c>
      <c r="B1170">
        <v>3581.87</v>
      </c>
      <c r="C1170">
        <f t="shared" si="144"/>
        <v>3.9464206133208446E-3</v>
      </c>
      <c r="D1170">
        <f t="shared" si="151"/>
        <v>-1.2418284434959737E-2</v>
      </c>
      <c r="E1170">
        <f>_xlfn.XLOOKUP(A1170,VIX!A:A,VIX!B:B,"",-1)</f>
        <v>23.11</v>
      </c>
      <c r="F1170">
        <f t="shared" si="145"/>
        <v>-0.73000000000000043</v>
      </c>
      <c r="G1170">
        <f>_xlfn.XLOOKUP(A1170,'DGS10'!A:A,'DGS10'!B:B,"",-1)</f>
        <v>0.86</v>
      </c>
      <c r="H1170">
        <f t="shared" si="146"/>
        <v>-2.0000000000000018E-2</v>
      </c>
      <c r="I1170" s="2">
        <f>_xlfn.XLOOKUP(A1170,T10Y3M!A:A,T10Y3M!B:B,"",-1)</f>
        <v>0.79</v>
      </c>
      <c r="J1170" s="2">
        <f>_xlfn.XLOOKUP(A1170,BAMLC0A4CBBB!A:A,BAMLC0A4CBBB!B:B,"",-1)</f>
        <v>1.48</v>
      </c>
      <c r="K1170" s="2">
        <f>_xlfn.XLOOKUP(A1170,CPIAUCSL!A:A,CPIAUCSL!B:B,"",-1)</f>
        <v>260.911</v>
      </c>
      <c r="L1170">
        <f>_xlfn.XLOOKUP(A1170,DFF!A:A,DFF!B:B,"",-1)</f>
        <v>0.08</v>
      </c>
      <c r="M1170">
        <f>_xlfn.XLOOKUP(A1170,'DGS2'!A:A,'DGS2'!B:B,"",-1)</f>
        <v>0.18</v>
      </c>
      <c r="N1170">
        <f t="shared" si="147"/>
        <v>1.999999999999999E-2</v>
      </c>
      <c r="O1170">
        <f t="shared" si="148"/>
        <v>-6.7925413261787915E-3</v>
      </c>
      <c r="P1170">
        <f t="shared" si="149"/>
        <v>0</v>
      </c>
      <c r="Q1170">
        <f t="shared" si="150"/>
        <v>-1</v>
      </c>
    </row>
    <row r="1171" spans="1:17">
      <c r="A1171" s="1">
        <v>44155</v>
      </c>
      <c r="B1171">
        <v>3557.54</v>
      </c>
      <c r="C1171">
        <f t="shared" si="144"/>
        <v>-6.7925413261787915E-3</v>
      </c>
      <c r="D1171">
        <f t="shared" si="151"/>
        <v>-1.4403537302640546E-2</v>
      </c>
      <c r="E1171">
        <f>_xlfn.XLOOKUP(A1171,VIX!A:A,VIX!B:B,"",-1)</f>
        <v>23.7</v>
      </c>
      <c r="F1171">
        <f t="shared" si="145"/>
        <v>0.58999999999999986</v>
      </c>
      <c r="G1171">
        <f>_xlfn.XLOOKUP(A1171,'DGS10'!A:A,'DGS10'!B:B,"",-1)</f>
        <v>0.83</v>
      </c>
      <c r="H1171">
        <f t="shared" si="146"/>
        <v>-3.0000000000000027E-2</v>
      </c>
      <c r="I1171" s="2">
        <f>_xlfn.XLOOKUP(A1171,T10Y3M!A:A,T10Y3M!B:B,"",-1)</f>
        <v>0.76</v>
      </c>
      <c r="J1171" s="2">
        <f>_xlfn.XLOOKUP(A1171,BAMLC0A4CBBB!A:A,BAMLC0A4CBBB!B:B,"",-1)</f>
        <v>1.48</v>
      </c>
      <c r="K1171" s="2">
        <f>_xlfn.XLOOKUP(A1171,CPIAUCSL!A:A,CPIAUCSL!B:B,"",-1)</f>
        <v>260.911</v>
      </c>
      <c r="L1171">
        <f>_xlfn.XLOOKUP(A1171,DFF!A:A,DFF!B:B,"",-1)</f>
        <v>0.08</v>
      </c>
      <c r="M1171">
        <f>_xlfn.XLOOKUP(A1171,'DGS2'!A:A,'DGS2'!B:B,"",-1)</f>
        <v>0.16</v>
      </c>
      <c r="N1171">
        <f t="shared" si="147"/>
        <v>-1.999999999999999E-2</v>
      </c>
      <c r="O1171">
        <f t="shared" si="148"/>
        <v>5.6359169538502396E-3</v>
      </c>
      <c r="P1171">
        <f t="shared" si="149"/>
        <v>1</v>
      </c>
      <c r="Q1171">
        <f t="shared" si="150"/>
        <v>1</v>
      </c>
    </row>
    <row r="1172" spans="1:17">
      <c r="A1172" s="1">
        <v>44158</v>
      </c>
      <c r="B1172">
        <v>3577.59</v>
      </c>
      <c r="C1172">
        <f t="shared" si="144"/>
        <v>5.6359169538502396E-3</v>
      </c>
      <c r="D1172">
        <f t="shared" si="151"/>
        <v>2.7467984382489874E-3</v>
      </c>
      <c r="E1172">
        <f>_xlfn.XLOOKUP(A1172,VIX!A:A,VIX!B:B,"",-1)</f>
        <v>22.66</v>
      </c>
      <c r="F1172">
        <f t="shared" si="145"/>
        <v>-1.0399999999999991</v>
      </c>
      <c r="G1172">
        <f>_xlfn.XLOOKUP(A1172,'DGS10'!A:A,'DGS10'!B:B,"",-1)</f>
        <v>0.86</v>
      </c>
      <c r="H1172">
        <f t="shared" si="146"/>
        <v>3.0000000000000027E-2</v>
      </c>
      <c r="I1172" s="2">
        <f>_xlfn.XLOOKUP(A1172,T10Y3M!A:A,T10Y3M!B:B,"",-1)</f>
        <v>0.78</v>
      </c>
      <c r="J1172" s="2">
        <f>_xlfn.XLOOKUP(A1172,BAMLC0A4CBBB!A:A,BAMLC0A4CBBB!B:B,"",-1)</f>
        <v>1.48</v>
      </c>
      <c r="K1172" s="2">
        <f>_xlfn.XLOOKUP(A1172,CPIAUCSL!A:A,CPIAUCSL!B:B,"",-1)</f>
        <v>260.911</v>
      </c>
      <c r="L1172">
        <f>_xlfn.XLOOKUP(A1172,DFF!A:A,DFF!B:B,"",-1)</f>
        <v>0.08</v>
      </c>
      <c r="M1172">
        <f>_xlfn.XLOOKUP(A1172,'DGS2'!A:A,'DGS2'!B:B,"",-1)</f>
        <v>0.16</v>
      </c>
      <c r="N1172">
        <f t="shared" si="147"/>
        <v>0</v>
      </c>
      <c r="O1172">
        <f t="shared" si="148"/>
        <v>1.6161717804443754E-2</v>
      </c>
      <c r="P1172">
        <f t="shared" si="149"/>
        <v>1</v>
      </c>
      <c r="Q1172">
        <f t="shared" si="150"/>
        <v>1</v>
      </c>
    </row>
    <row r="1173" spans="1:17">
      <c r="A1173" s="1">
        <v>44159</v>
      </c>
      <c r="B1173">
        <v>3635.41</v>
      </c>
      <c r="C1173">
        <f t="shared" si="144"/>
        <v>1.6161717804443754E-2</v>
      </c>
      <c r="D1173">
        <f t="shared" si="151"/>
        <v>1.494749949048968E-2</v>
      </c>
      <c r="E1173">
        <f>_xlfn.XLOOKUP(A1173,VIX!A:A,VIX!B:B,"",-1)</f>
        <v>21.64</v>
      </c>
      <c r="F1173">
        <f t="shared" si="145"/>
        <v>-1.0199999999999996</v>
      </c>
      <c r="G1173">
        <f>_xlfn.XLOOKUP(A1173,'DGS10'!A:A,'DGS10'!B:B,"",-1)</f>
        <v>0.88</v>
      </c>
      <c r="H1173">
        <f t="shared" si="146"/>
        <v>2.0000000000000018E-2</v>
      </c>
      <c r="I1173" s="2">
        <f>_xlfn.XLOOKUP(A1173,T10Y3M!A:A,T10Y3M!B:B,"",-1)</f>
        <v>0.79</v>
      </c>
      <c r="J1173" s="2">
        <f>_xlfn.XLOOKUP(A1173,BAMLC0A4CBBB!A:A,BAMLC0A4CBBB!B:B,"",-1)</f>
        <v>1.46</v>
      </c>
      <c r="K1173" s="2">
        <f>_xlfn.XLOOKUP(A1173,CPIAUCSL!A:A,CPIAUCSL!B:B,"",-1)</f>
        <v>260.911</v>
      </c>
      <c r="L1173">
        <f>_xlfn.XLOOKUP(A1173,DFF!A:A,DFF!B:B,"",-1)</f>
        <v>0.08</v>
      </c>
      <c r="M1173">
        <f>_xlfn.XLOOKUP(A1173,'DGS2'!A:A,'DGS2'!B:B,"",-1)</f>
        <v>0.16</v>
      </c>
      <c r="N1173">
        <f t="shared" si="147"/>
        <v>0</v>
      </c>
      <c r="O1173">
        <f t="shared" si="148"/>
        <v>-1.5844155129681736E-3</v>
      </c>
      <c r="P1173">
        <f t="shared" si="149"/>
        <v>0</v>
      </c>
      <c r="Q1173">
        <f t="shared" si="150"/>
        <v>0</v>
      </c>
    </row>
    <row r="1174" spans="1:17">
      <c r="A1174" s="1">
        <v>44160</v>
      </c>
      <c r="B1174">
        <v>3629.65</v>
      </c>
      <c r="C1174">
        <f t="shared" si="144"/>
        <v>-1.5844155129681736E-3</v>
      </c>
      <c r="D1174">
        <f t="shared" si="151"/>
        <v>2.0269624515817153E-2</v>
      </c>
      <c r="E1174">
        <f>_xlfn.XLOOKUP(A1174,VIX!A:A,VIX!B:B,"",-1)</f>
        <v>21.25</v>
      </c>
      <c r="F1174">
        <f t="shared" si="145"/>
        <v>-0.39000000000000057</v>
      </c>
      <c r="G1174">
        <f>_xlfn.XLOOKUP(A1174,'DGS10'!A:A,'DGS10'!B:B,"",-1)</f>
        <v>0.88</v>
      </c>
      <c r="H1174">
        <f t="shared" si="146"/>
        <v>0</v>
      </c>
      <c r="I1174" s="2">
        <f>_xlfn.XLOOKUP(A1174,T10Y3M!A:A,T10Y3M!B:B,"",-1)</f>
        <v>0.79</v>
      </c>
      <c r="J1174" s="2">
        <f>_xlfn.XLOOKUP(A1174,BAMLC0A4CBBB!A:A,BAMLC0A4CBBB!B:B,"",-1)</f>
        <v>1.44</v>
      </c>
      <c r="K1174" s="2">
        <f>_xlfn.XLOOKUP(A1174,CPIAUCSL!A:A,CPIAUCSL!B:B,"",-1)</f>
        <v>260.911</v>
      </c>
      <c r="L1174">
        <f>_xlfn.XLOOKUP(A1174,DFF!A:A,DFF!B:B,"",-1)</f>
        <v>0.08</v>
      </c>
      <c r="M1174">
        <f>_xlfn.XLOOKUP(A1174,'DGS2'!A:A,'DGS2'!B:B,"",-1)</f>
        <v>0.17</v>
      </c>
      <c r="N1174">
        <f t="shared" si="147"/>
        <v>1.0000000000000009E-2</v>
      </c>
      <c r="O1174">
        <f t="shared" si="148"/>
        <v>2.3969253233782073E-3</v>
      </c>
      <c r="P1174">
        <f t="shared" si="149"/>
        <v>1</v>
      </c>
      <c r="Q1174">
        <f t="shared" si="150"/>
        <v>0</v>
      </c>
    </row>
    <row r="1175" spans="1:17">
      <c r="A1175" s="1">
        <v>44162</v>
      </c>
      <c r="B1175">
        <v>3638.35</v>
      </c>
      <c r="C1175">
        <f t="shared" si="144"/>
        <v>2.3969253233782073E-3</v>
      </c>
      <c r="D1175">
        <f t="shared" si="151"/>
        <v>1.6983500065686608E-2</v>
      </c>
      <c r="E1175">
        <f>_xlfn.XLOOKUP(A1175,VIX!A:A,VIX!B:B,"",-1)</f>
        <v>20.84</v>
      </c>
      <c r="F1175">
        <f t="shared" si="145"/>
        <v>-0.41000000000000014</v>
      </c>
      <c r="G1175">
        <f>_xlfn.XLOOKUP(A1175,'DGS10'!A:A,'DGS10'!B:B,"",-1)</f>
        <v>0.84</v>
      </c>
      <c r="H1175">
        <f t="shared" si="146"/>
        <v>-4.0000000000000036E-2</v>
      </c>
      <c r="I1175" s="2">
        <f>_xlfn.XLOOKUP(A1175,T10Y3M!A:A,T10Y3M!B:B,"",-1)</f>
        <v>0.75</v>
      </c>
      <c r="J1175" s="2">
        <f>_xlfn.XLOOKUP(A1175,BAMLC0A4CBBB!A:A,BAMLC0A4CBBB!B:B,"",-1)</f>
        <v>1.44</v>
      </c>
      <c r="K1175" s="2">
        <f>_xlfn.XLOOKUP(A1175,CPIAUCSL!A:A,CPIAUCSL!B:B,"",-1)</f>
        <v>260.911</v>
      </c>
      <c r="L1175">
        <f>_xlfn.XLOOKUP(A1175,DFF!A:A,DFF!B:B,"",-1)</f>
        <v>0.08</v>
      </c>
      <c r="M1175">
        <f>_xlfn.XLOOKUP(A1175,'DGS2'!A:A,'DGS2'!B:B,"",-1)</f>
        <v>0.16</v>
      </c>
      <c r="N1175">
        <f t="shared" si="147"/>
        <v>-1.0000000000000009E-2</v>
      </c>
      <c r="O1175">
        <f t="shared" si="148"/>
        <v>-4.5954897137437944E-3</v>
      </c>
      <c r="P1175">
        <f t="shared" si="149"/>
        <v>0</v>
      </c>
      <c r="Q1175">
        <f t="shared" si="150"/>
        <v>-1</v>
      </c>
    </row>
    <row r="1176" spans="1:17">
      <c r="A1176" s="1">
        <v>44165</v>
      </c>
      <c r="B1176">
        <v>3621.63</v>
      </c>
      <c r="C1176">
        <f t="shared" si="144"/>
        <v>-4.5954897137437944E-3</v>
      </c>
      <c r="D1176">
        <f t="shared" si="151"/>
        <v>-3.7904940570664403E-3</v>
      </c>
      <c r="E1176">
        <f>_xlfn.XLOOKUP(A1176,VIX!A:A,VIX!B:B,"",-1)</f>
        <v>20.57</v>
      </c>
      <c r="F1176">
        <f t="shared" si="145"/>
        <v>-0.26999999999999957</v>
      </c>
      <c r="G1176">
        <f>_xlfn.XLOOKUP(A1176,'DGS10'!A:A,'DGS10'!B:B,"",-1)</f>
        <v>0.84</v>
      </c>
      <c r="H1176">
        <f t="shared" si="146"/>
        <v>0</v>
      </c>
      <c r="I1176" s="2">
        <f>_xlfn.XLOOKUP(A1176,T10Y3M!A:A,T10Y3M!B:B,"",-1)</f>
        <v>0.76</v>
      </c>
      <c r="J1176" s="2">
        <f>_xlfn.XLOOKUP(A1176,BAMLC0A4CBBB!A:A,BAMLC0A4CBBB!B:B,"",-1)</f>
        <v>1.43</v>
      </c>
      <c r="K1176" s="2">
        <f>_xlfn.XLOOKUP(A1176,CPIAUCSL!A:A,CPIAUCSL!B:B,"",-1)</f>
        <v>260.911</v>
      </c>
      <c r="L1176">
        <f>_xlfn.XLOOKUP(A1176,DFF!A:A,DFF!B:B,"",-1)</f>
        <v>0.09</v>
      </c>
      <c r="M1176">
        <f>_xlfn.XLOOKUP(A1176,'DGS2'!A:A,'DGS2'!B:B,"",-1)</f>
        <v>0.16</v>
      </c>
      <c r="N1176">
        <f t="shared" si="147"/>
        <v>0</v>
      </c>
      <c r="O1176">
        <f t="shared" si="148"/>
        <v>1.1271167954760575E-2</v>
      </c>
      <c r="P1176">
        <f t="shared" si="149"/>
        <v>1</v>
      </c>
      <c r="Q1176">
        <f t="shared" si="150"/>
        <v>1</v>
      </c>
    </row>
    <row r="1177" spans="1:17">
      <c r="A1177" s="1">
        <v>44166</v>
      </c>
      <c r="B1177">
        <v>3662.45</v>
      </c>
      <c r="C1177">
        <f t="shared" si="144"/>
        <v>1.1271167954760575E-2</v>
      </c>
      <c r="D1177">
        <f t="shared" si="151"/>
        <v>9.0366839777940022E-3</v>
      </c>
      <c r="E1177">
        <f>_xlfn.XLOOKUP(A1177,VIX!A:A,VIX!B:B,"",-1)</f>
        <v>20.77</v>
      </c>
      <c r="F1177">
        <f t="shared" si="145"/>
        <v>0.19999999999999929</v>
      </c>
      <c r="G1177">
        <f>_xlfn.XLOOKUP(A1177,'DGS10'!A:A,'DGS10'!B:B,"",-1)</f>
        <v>0.92</v>
      </c>
      <c r="H1177">
        <f t="shared" si="146"/>
        <v>8.0000000000000071E-2</v>
      </c>
      <c r="I1177" s="2">
        <f>_xlfn.XLOOKUP(A1177,T10Y3M!A:A,T10Y3M!B:B,"",-1)</f>
        <v>0.83</v>
      </c>
      <c r="J1177" s="2">
        <f>_xlfn.XLOOKUP(A1177,BAMLC0A4CBBB!A:A,BAMLC0A4CBBB!B:B,"",-1)</f>
        <v>1.39</v>
      </c>
      <c r="K1177" s="2">
        <f>_xlfn.XLOOKUP(A1177,CPIAUCSL!A:A,CPIAUCSL!B:B,"",-1)</f>
        <v>262.04500000000002</v>
      </c>
      <c r="L1177">
        <f>_xlfn.XLOOKUP(A1177,DFF!A:A,DFF!B:B,"",-1)</f>
        <v>0.09</v>
      </c>
      <c r="M1177">
        <f>_xlfn.XLOOKUP(A1177,'DGS2'!A:A,'DGS2'!B:B,"",-1)</f>
        <v>0.17</v>
      </c>
      <c r="N1177">
        <f t="shared" si="147"/>
        <v>1.0000000000000009E-2</v>
      </c>
      <c r="O1177">
        <f t="shared" si="148"/>
        <v>1.7911507324332998E-3</v>
      </c>
      <c r="P1177">
        <f t="shared" si="149"/>
        <v>1</v>
      </c>
      <c r="Q1177">
        <f t="shared" si="150"/>
        <v>0</v>
      </c>
    </row>
    <row r="1178" spans="1:17">
      <c r="A1178" s="1">
        <v>44167</v>
      </c>
      <c r="B1178">
        <v>3669.01</v>
      </c>
      <c r="C1178">
        <f t="shared" si="144"/>
        <v>1.7911507324332998E-3</v>
      </c>
      <c r="D1178">
        <f t="shared" si="151"/>
        <v>8.4268968076188777E-3</v>
      </c>
      <c r="E1178">
        <f>_xlfn.XLOOKUP(A1178,VIX!A:A,VIX!B:B,"",-1)</f>
        <v>21.17</v>
      </c>
      <c r="F1178">
        <f t="shared" si="145"/>
        <v>0.40000000000000213</v>
      </c>
      <c r="G1178">
        <f>_xlfn.XLOOKUP(A1178,'DGS10'!A:A,'DGS10'!B:B,"",-1)</f>
        <v>0.95</v>
      </c>
      <c r="H1178">
        <f t="shared" si="146"/>
        <v>2.9999999999999916E-2</v>
      </c>
      <c r="I1178" s="2">
        <f>_xlfn.XLOOKUP(A1178,T10Y3M!A:A,T10Y3M!B:B,"",-1)</f>
        <v>0.86</v>
      </c>
      <c r="J1178" s="2">
        <f>_xlfn.XLOOKUP(A1178,BAMLC0A4CBBB!A:A,BAMLC0A4CBBB!B:B,"",-1)</f>
        <v>1.37</v>
      </c>
      <c r="K1178" s="2">
        <f>_xlfn.XLOOKUP(A1178,CPIAUCSL!A:A,CPIAUCSL!B:B,"",-1)</f>
        <v>262.04500000000002</v>
      </c>
      <c r="L1178">
        <f>_xlfn.XLOOKUP(A1178,DFF!A:A,DFF!B:B,"",-1)</f>
        <v>0.09</v>
      </c>
      <c r="M1178">
        <f>_xlfn.XLOOKUP(A1178,'DGS2'!A:A,'DGS2'!B:B,"",-1)</f>
        <v>0.16</v>
      </c>
      <c r="N1178">
        <f t="shared" si="147"/>
        <v>-1.0000000000000009E-2</v>
      </c>
      <c r="O1178">
        <f t="shared" si="148"/>
        <v>-6.241465681479097E-4</v>
      </c>
      <c r="P1178">
        <f t="shared" si="149"/>
        <v>0</v>
      </c>
      <c r="Q1178">
        <f t="shared" si="150"/>
        <v>0</v>
      </c>
    </row>
    <row r="1179" spans="1:17">
      <c r="A1179" s="1">
        <v>44168</v>
      </c>
      <c r="B1179">
        <v>3666.72</v>
      </c>
      <c r="C1179">
        <f t="shared" si="144"/>
        <v>-6.241465681479097E-4</v>
      </c>
      <c r="D1179">
        <f t="shared" si="151"/>
        <v>1.2450195077906789E-2</v>
      </c>
      <c r="E1179">
        <f>_xlfn.XLOOKUP(A1179,VIX!A:A,VIX!B:B,"",-1)</f>
        <v>21.28</v>
      </c>
      <c r="F1179">
        <f t="shared" si="145"/>
        <v>0.10999999999999943</v>
      </c>
      <c r="G1179">
        <f>_xlfn.XLOOKUP(A1179,'DGS10'!A:A,'DGS10'!B:B,"",-1)</f>
        <v>0.92</v>
      </c>
      <c r="H1179">
        <f t="shared" si="146"/>
        <v>-2.9999999999999916E-2</v>
      </c>
      <c r="I1179" s="2">
        <f>_xlfn.XLOOKUP(A1179,T10Y3M!A:A,T10Y3M!B:B,"",-1)</f>
        <v>0.84</v>
      </c>
      <c r="J1179" s="2">
        <f>_xlfn.XLOOKUP(A1179,BAMLC0A4CBBB!A:A,BAMLC0A4CBBB!B:B,"",-1)</f>
        <v>1.36</v>
      </c>
      <c r="K1179" s="2">
        <f>_xlfn.XLOOKUP(A1179,CPIAUCSL!A:A,CPIAUCSL!B:B,"",-1)</f>
        <v>262.04500000000002</v>
      </c>
      <c r="L1179">
        <f>_xlfn.XLOOKUP(A1179,DFF!A:A,DFF!B:B,"",-1)</f>
        <v>0.09</v>
      </c>
      <c r="M1179">
        <f>_xlfn.XLOOKUP(A1179,'DGS2'!A:A,'DGS2'!B:B,"",-1)</f>
        <v>0.16</v>
      </c>
      <c r="N1179">
        <f t="shared" si="147"/>
        <v>0</v>
      </c>
      <c r="O1179">
        <f t="shared" si="148"/>
        <v>8.8362351093074221E-3</v>
      </c>
      <c r="P1179">
        <f t="shared" si="149"/>
        <v>1</v>
      </c>
      <c r="Q1179">
        <f t="shared" si="150"/>
        <v>1</v>
      </c>
    </row>
    <row r="1180" spans="1:17">
      <c r="A1180" s="1">
        <v>44169</v>
      </c>
      <c r="B1180">
        <v>3699.12</v>
      </c>
      <c r="C1180">
        <f t="shared" si="144"/>
        <v>8.8362351093074221E-3</v>
      </c>
      <c r="D1180">
        <f t="shared" si="151"/>
        <v>1.0012423377793622E-2</v>
      </c>
      <c r="E1180">
        <f>_xlfn.XLOOKUP(A1180,VIX!A:A,VIX!B:B,"",-1)</f>
        <v>20.79</v>
      </c>
      <c r="F1180">
        <f t="shared" si="145"/>
        <v>-0.49000000000000199</v>
      </c>
      <c r="G1180">
        <f>_xlfn.XLOOKUP(A1180,'DGS10'!A:A,'DGS10'!B:B,"",-1)</f>
        <v>0.97</v>
      </c>
      <c r="H1180">
        <f t="shared" si="146"/>
        <v>4.9999999999999933E-2</v>
      </c>
      <c r="I1180" s="2">
        <f>_xlfn.XLOOKUP(A1180,T10Y3M!A:A,T10Y3M!B:B,"",-1)</f>
        <v>0.88</v>
      </c>
      <c r="J1180" s="2">
        <f>_xlfn.XLOOKUP(A1180,BAMLC0A4CBBB!A:A,BAMLC0A4CBBB!B:B,"",-1)</f>
        <v>1.35</v>
      </c>
      <c r="K1180" s="2">
        <f>_xlfn.XLOOKUP(A1180,CPIAUCSL!A:A,CPIAUCSL!B:B,"",-1)</f>
        <v>262.04500000000002</v>
      </c>
      <c r="L1180">
        <f>_xlfn.XLOOKUP(A1180,DFF!A:A,DFF!B:B,"",-1)</f>
        <v>0.09</v>
      </c>
      <c r="M1180">
        <f>_xlfn.XLOOKUP(A1180,'DGS2'!A:A,'DGS2'!B:B,"",-1)</f>
        <v>0.16</v>
      </c>
      <c r="N1180">
        <f t="shared" si="147"/>
        <v>0</v>
      </c>
      <c r="O1180">
        <f t="shared" si="148"/>
        <v>-1.9355954929820562E-3</v>
      </c>
      <c r="P1180">
        <f t="shared" si="149"/>
        <v>0</v>
      </c>
      <c r="Q1180">
        <f t="shared" si="150"/>
        <v>0</v>
      </c>
    </row>
    <row r="1181" spans="1:17">
      <c r="A1181" s="1">
        <v>44172</v>
      </c>
      <c r="B1181">
        <v>3691.96</v>
      </c>
      <c r="C1181">
        <f t="shared" si="144"/>
        <v>-1.9355954929820562E-3</v>
      </c>
      <c r="D1181">
        <f t="shared" si="151"/>
        <v>6.2550933358045402E-3</v>
      </c>
      <c r="E1181">
        <f>_xlfn.XLOOKUP(A1181,VIX!A:A,VIX!B:B,"",-1)</f>
        <v>21.3</v>
      </c>
      <c r="F1181">
        <f t="shared" si="145"/>
        <v>0.51000000000000156</v>
      </c>
      <c r="G1181">
        <f>_xlfn.XLOOKUP(A1181,'DGS10'!A:A,'DGS10'!B:B,"",-1)</f>
        <v>0.94</v>
      </c>
      <c r="H1181">
        <f t="shared" si="146"/>
        <v>-3.0000000000000027E-2</v>
      </c>
      <c r="I1181" s="2">
        <f>_xlfn.XLOOKUP(A1181,T10Y3M!A:A,T10Y3M!B:B,"",-1)</f>
        <v>0.86</v>
      </c>
      <c r="J1181" s="2">
        <f>_xlfn.XLOOKUP(A1181,BAMLC0A4CBBB!A:A,BAMLC0A4CBBB!B:B,"",-1)</f>
        <v>1.35</v>
      </c>
      <c r="K1181" s="2">
        <f>_xlfn.XLOOKUP(A1181,CPIAUCSL!A:A,CPIAUCSL!B:B,"",-1)</f>
        <v>262.04500000000002</v>
      </c>
      <c r="L1181">
        <f>_xlfn.XLOOKUP(A1181,DFF!A:A,DFF!B:B,"",-1)</f>
        <v>0.09</v>
      </c>
      <c r="M1181">
        <f>_xlfn.XLOOKUP(A1181,'DGS2'!A:A,'DGS2'!B:B,"",-1)</f>
        <v>0.14000000000000001</v>
      </c>
      <c r="N1181">
        <f t="shared" si="147"/>
        <v>-1.999999999999999E-2</v>
      </c>
      <c r="O1181">
        <f t="shared" si="148"/>
        <v>2.7871374554437889E-3</v>
      </c>
      <c r="P1181">
        <f t="shared" si="149"/>
        <v>1</v>
      </c>
      <c r="Q1181">
        <f t="shared" si="150"/>
        <v>0</v>
      </c>
    </row>
    <row r="1182" spans="1:17">
      <c r="A1182" s="1">
        <v>44173</v>
      </c>
      <c r="B1182">
        <v>3702.25</v>
      </c>
      <c r="C1182">
        <f t="shared" si="144"/>
        <v>2.7871374554437889E-3</v>
      </c>
      <c r="D1182">
        <f t="shared" si="151"/>
        <v>9.6898590565956955E-3</v>
      </c>
      <c r="E1182">
        <f>_xlfn.XLOOKUP(A1182,VIX!A:A,VIX!B:B,"",-1)</f>
        <v>20.68</v>
      </c>
      <c r="F1182">
        <f t="shared" si="145"/>
        <v>-0.62000000000000099</v>
      </c>
      <c r="G1182">
        <f>_xlfn.XLOOKUP(A1182,'DGS10'!A:A,'DGS10'!B:B,"",-1)</f>
        <v>0.92</v>
      </c>
      <c r="H1182">
        <f t="shared" si="146"/>
        <v>-1.9999999999999907E-2</v>
      </c>
      <c r="I1182" s="2">
        <f>_xlfn.XLOOKUP(A1182,T10Y3M!A:A,T10Y3M!B:B,"",-1)</f>
        <v>0.83</v>
      </c>
      <c r="J1182" s="2">
        <f>_xlfn.XLOOKUP(A1182,BAMLC0A4CBBB!A:A,BAMLC0A4CBBB!B:B,"",-1)</f>
        <v>1.37</v>
      </c>
      <c r="K1182" s="2">
        <f>_xlfn.XLOOKUP(A1182,CPIAUCSL!A:A,CPIAUCSL!B:B,"",-1)</f>
        <v>262.04500000000002</v>
      </c>
      <c r="L1182">
        <f>_xlfn.XLOOKUP(A1182,DFF!A:A,DFF!B:B,"",-1)</f>
        <v>0.09</v>
      </c>
      <c r="M1182">
        <f>_xlfn.XLOOKUP(A1182,'DGS2'!A:A,'DGS2'!B:B,"",-1)</f>
        <v>0.14000000000000001</v>
      </c>
      <c r="N1182">
        <f t="shared" si="147"/>
        <v>0</v>
      </c>
      <c r="O1182">
        <f t="shared" si="148"/>
        <v>-7.9492200688769943E-3</v>
      </c>
      <c r="P1182">
        <f t="shared" si="149"/>
        <v>0</v>
      </c>
      <c r="Q1182">
        <f t="shared" si="150"/>
        <v>-1</v>
      </c>
    </row>
    <row r="1183" spans="1:17">
      <c r="A1183" s="1">
        <v>44174</v>
      </c>
      <c r="B1183">
        <v>3672.82</v>
      </c>
      <c r="C1183">
        <f t="shared" si="144"/>
        <v>-7.9492200688769943E-3</v>
      </c>
      <c r="D1183">
        <f t="shared" si="151"/>
        <v>-7.1097990873504324E-3</v>
      </c>
      <c r="E1183">
        <f>_xlfn.XLOOKUP(A1183,VIX!A:A,VIX!B:B,"",-1)</f>
        <v>22.27</v>
      </c>
      <c r="F1183">
        <f t="shared" si="145"/>
        <v>1.5899999999999999</v>
      </c>
      <c r="G1183">
        <f>_xlfn.XLOOKUP(A1183,'DGS10'!A:A,'DGS10'!B:B,"",-1)</f>
        <v>0.95</v>
      </c>
      <c r="H1183">
        <f t="shared" si="146"/>
        <v>2.9999999999999916E-2</v>
      </c>
      <c r="I1183" s="2">
        <f>_xlfn.XLOOKUP(A1183,T10Y3M!A:A,T10Y3M!B:B,"",-1)</f>
        <v>0.87</v>
      </c>
      <c r="J1183" s="2">
        <f>_xlfn.XLOOKUP(A1183,BAMLC0A4CBBB!A:A,BAMLC0A4CBBB!B:B,"",-1)</f>
        <v>1.39</v>
      </c>
      <c r="K1183" s="2">
        <f>_xlfn.XLOOKUP(A1183,CPIAUCSL!A:A,CPIAUCSL!B:B,"",-1)</f>
        <v>262.04500000000002</v>
      </c>
      <c r="L1183">
        <f>_xlfn.XLOOKUP(A1183,DFF!A:A,DFF!B:B,"",-1)</f>
        <v>0.09</v>
      </c>
      <c r="M1183">
        <f>_xlfn.XLOOKUP(A1183,'DGS2'!A:A,'DGS2'!B:B,"",-1)</f>
        <v>0.16</v>
      </c>
      <c r="N1183">
        <f t="shared" si="147"/>
        <v>1.999999999999999E-2</v>
      </c>
      <c r="O1183">
        <f t="shared" si="148"/>
        <v>-1.2851160688518437E-3</v>
      </c>
      <c r="P1183">
        <f t="shared" si="149"/>
        <v>0</v>
      </c>
      <c r="Q1183">
        <f t="shared" si="150"/>
        <v>0</v>
      </c>
    </row>
    <row r="1184" spans="1:17">
      <c r="A1184" s="1">
        <v>44175</v>
      </c>
      <c r="B1184">
        <v>3668.1</v>
      </c>
      <c r="C1184">
        <f t="shared" si="144"/>
        <v>-1.2851160688518437E-3</v>
      </c>
      <c r="D1184">
        <f t="shared" si="151"/>
        <v>-6.4626919034875829E-3</v>
      </c>
      <c r="E1184">
        <f>_xlfn.XLOOKUP(A1184,VIX!A:A,VIX!B:B,"",-1)</f>
        <v>22.52</v>
      </c>
      <c r="F1184">
        <f t="shared" si="145"/>
        <v>0.25</v>
      </c>
      <c r="G1184">
        <f>_xlfn.XLOOKUP(A1184,'DGS10'!A:A,'DGS10'!B:B,"",-1)</f>
        <v>0.92</v>
      </c>
      <c r="H1184">
        <f t="shared" si="146"/>
        <v>-2.9999999999999916E-2</v>
      </c>
      <c r="I1184" s="2">
        <f>_xlfn.XLOOKUP(A1184,T10Y3M!A:A,T10Y3M!B:B,"",-1)</f>
        <v>0.84</v>
      </c>
      <c r="J1184" s="2">
        <f>_xlfn.XLOOKUP(A1184,BAMLC0A4CBBB!A:A,BAMLC0A4CBBB!B:B,"",-1)</f>
        <v>1.39</v>
      </c>
      <c r="K1184" s="2">
        <f>_xlfn.XLOOKUP(A1184,CPIAUCSL!A:A,CPIAUCSL!B:B,"",-1)</f>
        <v>262.04500000000002</v>
      </c>
      <c r="L1184">
        <f>_xlfn.XLOOKUP(A1184,DFF!A:A,DFF!B:B,"",-1)</f>
        <v>0.09</v>
      </c>
      <c r="M1184">
        <f>_xlfn.XLOOKUP(A1184,'DGS2'!A:A,'DGS2'!B:B,"",-1)</f>
        <v>0.14000000000000001</v>
      </c>
      <c r="N1184">
        <f t="shared" si="147"/>
        <v>-1.999999999999999E-2</v>
      </c>
      <c r="O1184">
        <f t="shared" si="148"/>
        <v>-1.264960061067022E-3</v>
      </c>
      <c r="P1184">
        <f t="shared" si="149"/>
        <v>0</v>
      </c>
      <c r="Q1184">
        <f t="shared" si="150"/>
        <v>0</v>
      </c>
    </row>
    <row r="1185" spans="1:17">
      <c r="A1185" s="1">
        <v>44176</v>
      </c>
      <c r="B1185">
        <v>3663.46</v>
      </c>
      <c r="C1185">
        <f t="shared" si="144"/>
        <v>-1.264960061067022E-3</v>
      </c>
      <c r="D1185">
        <f t="shared" si="151"/>
        <v>-1.047741238436084E-2</v>
      </c>
      <c r="E1185">
        <f>_xlfn.XLOOKUP(A1185,VIX!A:A,VIX!B:B,"",-1)</f>
        <v>23.31</v>
      </c>
      <c r="F1185">
        <f t="shared" si="145"/>
        <v>0.78999999999999915</v>
      </c>
      <c r="G1185">
        <f>_xlfn.XLOOKUP(A1185,'DGS10'!A:A,'DGS10'!B:B,"",-1)</f>
        <v>0.9</v>
      </c>
      <c r="H1185">
        <f t="shared" si="146"/>
        <v>-2.0000000000000018E-2</v>
      </c>
      <c r="I1185" s="2">
        <f>_xlfn.XLOOKUP(A1185,T10Y3M!A:A,T10Y3M!B:B,"",-1)</f>
        <v>0.82</v>
      </c>
      <c r="J1185" s="2">
        <f>_xlfn.XLOOKUP(A1185,BAMLC0A4CBBB!A:A,BAMLC0A4CBBB!B:B,"",-1)</f>
        <v>1.4</v>
      </c>
      <c r="K1185" s="2">
        <f>_xlfn.XLOOKUP(A1185,CPIAUCSL!A:A,CPIAUCSL!B:B,"",-1)</f>
        <v>262.04500000000002</v>
      </c>
      <c r="L1185">
        <f>_xlfn.XLOOKUP(A1185,DFF!A:A,DFF!B:B,"",-1)</f>
        <v>0.09</v>
      </c>
      <c r="M1185">
        <f>_xlfn.XLOOKUP(A1185,'DGS2'!A:A,'DGS2'!B:B,"",-1)</f>
        <v>0.11</v>
      </c>
      <c r="N1185">
        <f t="shared" si="147"/>
        <v>-3.0000000000000013E-2</v>
      </c>
      <c r="O1185">
        <f t="shared" si="148"/>
        <v>-4.359266922526861E-3</v>
      </c>
      <c r="P1185">
        <f t="shared" si="149"/>
        <v>0</v>
      </c>
      <c r="Q1185">
        <f t="shared" si="150"/>
        <v>-1</v>
      </c>
    </row>
    <row r="1186" spans="1:17">
      <c r="A1186" s="1">
        <v>44179</v>
      </c>
      <c r="B1186">
        <v>3647.49</v>
      </c>
      <c r="C1186">
        <f t="shared" si="144"/>
        <v>-4.359266922526861E-3</v>
      </c>
      <c r="D1186">
        <f t="shared" si="151"/>
        <v>-6.8966080559352827E-3</v>
      </c>
      <c r="E1186">
        <f>_xlfn.XLOOKUP(A1186,VIX!A:A,VIX!B:B,"",-1)</f>
        <v>24.72</v>
      </c>
      <c r="F1186">
        <f t="shared" si="145"/>
        <v>1.4100000000000001</v>
      </c>
      <c r="G1186">
        <f>_xlfn.XLOOKUP(A1186,'DGS10'!A:A,'DGS10'!B:B,"",-1)</f>
        <v>0.9</v>
      </c>
      <c r="H1186">
        <f t="shared" si="146"/>
        <v>0</v>
      </c>
      <c r="I1186" s="2">
        <f>_xlfn.XLOOKUP(A1186,T10Y3M!A:A,T10Y3M!B:B,"",-1)</f>
        <v>0.81</v>
      </c>
      <c r="J1186" s="2">
        <f>_xlfn.XLOOKUP(A1186,BAMLC0A4CBBB!A:A,BAMLC0A4CBBB!B:B,"",-1)</f>
        <v>1.39</v>
      </c>
      <c r="K1186" s="2">
        <f>_xlfn.XLOOKUP(A1186,CPIAUCSL!A:A,CPIAUCSL!B:B,"",-1)</f>
        <v>262.04500000000002</v>
      </c>
      <c r="L1186">
        <f>_xlfn.XLOOKUP(A1186,DFF!A:A,DFF!B:B,"",-1)</f>
        <v>0.09</v>
      </c>
      <c r="M1186">
        <f>_xlfn.XLOOKUP(A1186,'DGS2'!A:A,'DGS2'!B:B,"",-1)</f>
        <v>0.13</v>
      </c>
      <c r="N1186">
        <f t="shared" si="147"/>
        <v>2.0000000000000004E-2</v>
      </c>
      <c r="O1186">
        <f t="shared" si="148"/>
        <v>1.2921214314501217E-2</v>
      </c>
      <c r="P1186">
        <f t="shared" si="149"/>
        <v>1</v>
      </c>
      <c r="Q1186">
        <f t="shared" si="150"/>
        <v>1</v>
      </c>
    </row>
    <row r="1187" spans="1:17">
      <c r="A1187" s="1">
        <v>44180</v>
      </c>
      <c r="B1187">
        <v>3694.62</v>
      </c>
      <c r="C1187">
        <f t="shared" si="144"/>
        <v>1.2921214314501217E-2</v>
      </c>
      <c r="D1187">
        <f t="shared" si="151"/>
        <v>7.2299010386849272E-3</v>
      </c>
      <c r="E1187">
        <f>_xlfn.XLOOKUP(A1187,VIX!A:A,VIX!B:B,"",-1)</f>
        <v>22.89</v>
      </c>
      <c r="F1187">
        <f t="shared" si="145"/>
        <v>-1.8299999999999983</v>
      </c>
      <c r="G1187">
        <f>_xlfn.XLOOKUP(A1187,'DGS10'!A:A,'DGS10'!B:B,"",-1)</f>
        <v>0.92</v>
      </c>
      <c r="H1187">
        <f t="shared" si="146"/>
        <v>2.0000000000000018E-2</v>
      </c>
      <c r="I1187" s="2">
        <f>_xlfn.XLOOKUP(A1187,T10Y3M!A:A,T10Y3M!B:B,"",-1)</f>
        <v>0.84</v>
      </c>
      <c r="J1187" s="2">
        <f>_xlfn.XLOOKUP(A1187,BAMLC0A4CBBB!A:A,BAMLC0A4CBBB!B:B,"",-1)</f>
        <v>1.38</v>
      </c>
      <c r="K1187" s="2">
        <f>_xlfn.XLOOKUP(A1187,CPIAUCSL!A:A,CPIAUCSL!B:B,"",-1)</f>
        <v>262.04500000000002</v>
      </c>
      <c r="L1187">
        <f>_xlfn.XLOOKUP(A1187,DFF!A:A,DFF!B:B,"",-1)</f>
        <v>0.09</v>
      </c>
      <c r="M1187">
        <f>_xlfn.XLOOKUP(A1187,'DGS2'!A:A,'DGS2'!B:B,"",-1)</f>
        <v>0.11</v>
      </c>
      <c r="N1187">
        <f t="shared" si="147"/>
        <v>-2.0000000000000004E-2</v>
      </c>
      <c r="O1187">
        <f t="shared" si="148"/>
        <v>1.7728480872187813E-3</v>
      </c>
      <c r="P1187">
        <f t="shared" si="149"/>
        <v>1</v>
      </c>
      <c r="Q1187">
        <f t="shared" si="150"/>
        <v>0</v>
      </c>
    </row>
    <row r="1188" spans="1:17">
      <c r="A1188" s="1">
        <v>44181</v>
      </c>
      <c r="B1188">
        <v>3701.17</v>
      </c>
      <c r="C1188">
        <f t="shared" si="144"/>
        <v>1.7728480872187813E-3</v>
      </c>
      <c r="D1188">
        <f t="shared" si="151"/>
        <v>1.0293547629836253E-2</v>
      </c>
      <c r="E1188">
        <f>_xlfn.XLOOKUP(A1188,VIX!A:A,VIX!B:B,"",-1)</f>
        <v>22.5</v>
      </c>
      <c r="F1188">
        <f t="shared" si="145"/>
        <v>-0.39000000000000057</v>
      </c>
      <c r="G1188">
        <f>_xlfn.XLOOKUP(A1188,'DGS10'!A:A,'DGS10'!B:B,"",-1)</f>
        <v>0.92</v>
      </c>
      <c r="H1188">
        <f t="shared" si="146"/>
        <v>0</v>
      </c>
      <c r="I1188" s="2">
        <f>_xlfn.XLOOKUP(A1188,T10Y3M!A:A,T10Y3M!B:B,"",-1)</f>
        <v>0.83</v>
      </c>
      <c r="J1188" s="2">
        <f>_xlfn.XLOOKUP(A1188,BAMLC0A4CBBB!A:A,BAMLC0A4CBBB!B:B,"",-1)</f>
        <v>1.36</v>
      </c>
      <c r="K1188" s="2">
        <f>_xlfn.XLOOKUP(A1188,CPIAUCSL!A:A,CPIAUCSL!B:B,"",-1)</f>
        <v>262.04500000000002</v>
      </c>
      <c r="L1188">
        <f>_xlfn.XLOOKUP(A1188,DFF!A:A,DFF!B:B,"",-1)</f>
        <v>0.09</v>
      </c>
      <c r="M1188">
        <f>_xlfn.XLOOKUP(A1188,'DGS2'!A:A,'DGS2'!B:B,"",-1)</f>
        <v>0.13</v>
      </c>
      <c r="N1188">
        <f t="shared" si="147"/>
        <v>2.0000000000000004E-2</v>
      </c>
      <c r="O1188">
        <f t="shared" si="148"/>
        <v>5.7576388007034573E-3</v>
      </c>
      <c r="P1188">
        <f t="shared" si="149"/>
        <v>1</v>
      </c>
      <c r="Q1188">
        <f t="shared" si="150"/>
        <v>1</v>
      </c>
    </row>
    <row r="1189" spans="1:17">
      <c r="A1189" s="1">
        <v>44182</v>
      </c>
      <c r="B1189">
        <v>3722.48</v>
      </c>
      <c r="C1189">
        <f t="shared" si="144"/>
        <v>5.7576388007034573E-3</v>
      </c>
      <c r="D1189">
        <f t="shared" si="151"/>
        <v>2.0559343548577358E-2</v>
      </c>
      <c r="E1189">
        <f>_xlfn.XLOOKUP(A1189,VIX!A:A,VIX!B:B,"",-1)</f>
        <v>21.93</v>
      </c>
      <c r="F1189">
        <f t="shared" si="145"/>
        <v>-0.57000000000000028</v>
      </c>
      <c r="G1189">
        <f>_xlfn.XLOOKUP(A1189,'DGS10'!A:A,'DGS10'!B:B,"",-1)</f>
        <v>0.94</v>
      </c>
      <c r="H1189">
        <f t="shared" si="146"/>
        <v>1.9999999999999907E-2</v>
      </c>
      <c r="I1189" s="2">
        <f>_xlfn.XLOOKUP(A1189,T10Y3M!A:A,T10Y3M!B:B,"",-1)</f>
        <v>0.86</v>
      </c>
      <c r="J1189" s="2">
        <f>_xlfn.XLOOKUP(A1189,BAMLC0A4CBBB!A:A,BAMLC0A4CBBB!B:B,"",-1)</f>
        <v>1.34</v>
      </c>
      <c r="K1189" s="2">
        <f>_xlfn.XLOOKUP(A1189,CPIAUCSL!A:A,CPIAUCSL!B:B,"",-1)</f>
        <v>262.04500000000002</v>
      </c>
      <c r="L1189">
        <f>_xlfn.XLOOKUP(A1189,DFF!A:A,DFF!B:B,"",-1)</f>
        <v>0.09</v>
      </c>
      <c r="M1189">
        <f>_xlfn.XLOOKUP(A1189,'DGS2'!A:A,'DGS2'!B:B,"",-1)</f>
        <v>0.13</v>
      </c>
      <c r="N1189">
        <f t="shared" si="147"/>
        <v>0</v>
      </c>
      <c r="O1189">
        <f t="shared" si="148"/>
        <v>-3.5111001267972286E-3</v>
      </c>
      <c r="P1189">
        <f t="shared" si="149"/>
        <v>0</v>
      </c>
      <c r="Q1189">
        <f t="shared" si="150"/>
        <v>-1</v>
      </c>
    </row>
    <row r="1190" spans="1:17">
      <c r="A1190" s="1">
        <v>44183</v>
      </c>
      <c r="B1190">
        <v>3709.41</v>
      </c>
      <c r="C1190">
        <f t="shared" si="144"/>
        <v>-3.5111001267972286E-3</v>
      </c>
      <c r="D1190">
        <f t="shared" si="151"/>
        <v>4.0031180473227845E-3</v>
      </c>
      <c r="E1190">
        <f>_xlfn.XLOOKUP(A1190,VIX!A:A,VIX!B:B,"",-1)</f>
        <v>21.57</v>
      </c>
      <c r="F1190">
        <f t="shared" si="145"/>
        <v>-0.35999999999999943</v>
      </c>
      <c r="G1190">
        <f>_xlfn.XLOOKUP(A1190,'DGS10'!A:A,'DGS10'!B:B,"",-1)</f>
        <v>0.95</v>
      </c>
      <c r="H1190">
        <f t="shared" si="146"/>
        <v>1.0000000000000009E-2</v>
      </c>
      <c r="I1190" s="2">
        <f>_xlfn.XLOOKUP(A1190,T10Y3M!A:A,T10Y3M!B:B,"",-1)</f>
        <v>0.87</v>
      </c>
      <c r="J1190" s="2">
        <f>_xlfn.XLOOKUP(A1190,BAMLC0A4CBBB!A:A,BAMLC0A4CBBB!B:B,"",-1)</f>
        <v>1.34</v>
      </c>
      <c r="K1190" s="2">
        <f>_xlfn.XLOOKUP(A1190,CPIAUCSL!A:A,CPIAUCSL!B:B,"",-1)</f>
        <v>262.04500000000002</v>
      </c>
      <c r="L1190">
        <f>_xlfn.XLOOKUP(A1190,DFF!A:A,DFF!B:B,"",-1)</f>
        <v>0.09</v>
      </c>
      <c r="M1190">
        <f>_xlfn.XLOOKUP(A1190,'DGS2'!A:A,'DGS2'!B:B,"",-1)</f>
        <v>0.13</v>
      </c>
      <c r="N1190">
        <f t="shared" si="147"/>
        <v>0</v>
      </c>
      <c r="O1190">
        <f t="shared" si="148"/>
        <v>-3.9062815919512772E-3</v>
      </c>
      <c r="P1190">
        <f t="shared" si="149"/>
        <v>0</v>
      </c>
      <c r="Q1190">
        <f t="shared" si="150"/>
        <v>-1</v>
      </c>
    </row>
    <row r="1191" spans="1:17">
      <c r="A1191" s="1">
        <v>44186</v>
      </c>
      <c r="B1191">
        <v>3694.92</v>
      </c>
      <c r="C1191">
        <f t="shared" si="144"/>
        <v>-3.9062815919512772E-3</v>
      </c>
      <c r="D1191">
        <f t="shared" si="151"/>
        <v>-1.6886552090285001E-3</v>
      </c>
      <c r="E1191">
        <f>_xlfn.XLOOKUP(A1191,VIX!A:A,VIX!B:B,"",-1)</f>
        <v>25.16</v>
      </c>
      <c r="F1191">
        <f t="shared" si="145"/>
        <v>3.59</v>
      </c>
      <c r="G1191">
        <f>_xlfn.XLOOKUP(A1191,'DGS10'!A:A,'DGS10'!B:B,"",-1)</f>
        <v>0.95</v>
      </c>
      <c r="H1191">
        <f t="shared" si="146"/>
        <v>0</v>
      </c>
      <c r="I1191" s="2">
        <f>_xlfn.XLOOKUP(A1191,T10Y3M!A:A,T10Y3M!B:B,"",-1)</f>
        <v>0.86</v>
      </c>
      <c r="J1191" s="2">
        <f>_xlfn.XLOOKUP(A1191,BAMLC0A4CBBB!A:A,BAMLC0A4CBBB!B:B,"",-1)</f>
        <v>1.34</v>
      </c>
      <c r="K1191" s="2">
        <f>_xlfn.XLOOKUP(A1191,CPIAUCSL!A:A,CPIAUCSL!B:B,"",-1)</f>
        <v>262.04500000000002</v>
      </c>
      <c r="L1191">
        <f>_xlfn.XLOOKUP(A1191,DFF!A:A,DFF!B:B,"",-1)</f>
        <v>0.09</v>
      </c>
      <c r="M1191">
        <f>_xlfn.XLOOKUP(A1191,'DGS2'!A:A,'DGS2'!B:B,"",-1)</f>
        <v>0.13</v>
      </c>
      <c r="N1191">
        <f t="shared" si="147"/>
        <v>0</v>
      </c>
      <c r="O1191">
        <f t="shared" si="148"/>
        <v>-2.0731166033364223E-3</v>
      </c>
      <c r="P1191">
        <f t="shared" si="149"/>
        <v>0</v>
      </c>
      <c r="Q1191">
        <f t="shared" si="150"/>
        <v>0</v>
      </c>
    </row>
    <row r="1192" spans="1:17">
      <c r="A1192" s="1">
        <v>44187</v>
      </c>
      <c r="B1192">
        <v>3687.26</v>
      </c>
      <c r="C1192">
        <f t="shared" si="144"/>
        <v>-2.0731166033364223E-3</v>
      </c>
      <c r="D1192">
        <f t="shared" si="151"/>
        <v>-9.4614343126087075E-3</v>
      </c>
      <c r="E1192">
        <f>_xlfn.XLOOKUP(A1192,VIX!A:A,VIX!B:B,"",-1)</f>
        <v>24.23</v>
      </c>
      <c r="F1192">
        <f t="shared" si="145"/>
        <v>-0.92999999999999972</v>
      </c>
      <c r="G1192">
        <f>_xlfn.XLOOKUP(A1192,'DGS10'!A:A,'DGS10'!B:B,"",-1)</f>
        <v>0.93</v>
      </c>
      <c r="H1192">
        <f t="shared" si="146"/>
        <v>-1.9999999999999907E-2</v>
      </c>
      <c r="I1192" s="2">
        <f>_xlfn.XLOOKUP(A1192,T10Y3M!A:A,T10Y3M!B:B,"",-1)</f>
        <v>0.84</v>
      </c>
      <c r="J1192" s="2">
        <f>_xlfn.XLOOKUP(A1192,BAMLC0A4CBBB!A:A,BAMLC0A4CBBB!B:B,"",-1)</f>
        <v>1.34</v>
      </c>
      <c r="K1192" s="2">
        <f>_xlfn.XLOOKUP(A1192,CPIAUCSL!A:A,CPIAUCSL!B:B,"",-1)</f>
        <v>262.04500000000002</v>
      </c>
      <c r="L1192">
        <f>_xlfn.XLOOKUP(A1192,DFF!A:A,DFF!B:B,"",-1)</f>
        <v>0.09</v>
      </c>
      <c r="M1192">
        <f>_xlfn.XLOOKUP(A1192,'DGS2'!A:A,'DGS2'!B:B,"",-1)</f>
        <v>0.13</v>
      </c>
      <c r="N1192">
        <f t="shared" si="147"/>
        <v>0</v>
      </c>
      <c r="O1192">
        <f t="shared" si="148"/>
        <v>7.4581125280026583E-4</v>
      </c>
      <c r="P1192">
        <f t="shared" si="149"/>
        <v>1</v>
      </c>
      <c r="Q1192">
        <f t="shared" si="150"/>
        <v>0</v>
      </c>
    </row>
    <row r="1193" spans="1:17">
      <c r="A1193" s="1">
        <v>44188</v>
      </c>
      <c r="B1193">
        <v>3690.01</v>
      </c>
      <c r="C1193">
        <f t="shared" si="144"/>
        <v>7.4581125280026583E-4</v>
      </c>
      <c r="D1193">
        <f t="shared" si="151"/>
        <v>-5.22994222800921E-3</v>
      </c>
      <c r="E1193">
        <f>_xlfn.XLOOKUP(A1193,VIX!A:A,VIX!B:B,"",-1)</f>
        <v>23.31</v>
      </c>
      <c r="F1193">
        <f t="shared" si="145"/>
        <v>-0.92000000000000171</v>
      </c>
      <c r="G1193">
        <f>_xlfn.XLOOKUP(A1193,'DGS10'!A:A,'DGS10'!B:B,"",-1)</f>
        <v>0.96</v>
      </c>
      <c r="H1193">
        <f t="shared" si="146"/>
        <v>2.9999999999999916E-2</v>
      </c>
      <c r="I1193" s="2">
        <f>_xlfn.XLOOKUP(A1193,T10Y3M!A:A,T10Y3M!B:B,"",-1)</f>
        <v>0.87</v>
      </c>
      <c r="J1193" s="2">
        <f>_xlfn.XLOOKUP(A1193,BAMLC0A4CBBB!A:A,BAMLC0A4CBBB!B:B,"",-1)</f>
        <v>1.33</v>
      </c>
      <c r="K1193" s="2">
        <f>_xlfn.XLOOKUP(A1193,CPIAUCSL!A:A,CPIAUCSL!B:B,"",-1)</f>
        <v>262.04500000000002</v>
      </c>
      <c r="L1193">
        <f>_xlfn.XLOOKUP(A1193,DFF!A:A,DFF!B:B,"",-1)</f>
        <v>0.09</v>
      </c>
      <c r="M1193">
        <f>_xlfn.XLOOKUP(A1193,'DGS2'!A:A,'DGS2'!B:B,"",-1)</f>
        <v>0.13</v>
      </c>
      <c r="N1193">
        <f t="shared" si="147"/>
        <v>0</v>
      </c>
      <c r="O1193">
        <f t="shared" si="148"/>
        <v>3.5365757816374632E-3</v>
      </c>
      <c r="P1193">
        <f t="shared" si="149"/>
        <v>1</v>
      </c>
      <c r="Q1193">
        <f t="shared" si="150"/>
        <v>1</v>
      </c>
    </row>
    <row r="1194" spans="1:17">
      <c r="A1194" s="1">
        <v>44189</v>
      </c>
      <c r="B1194">
        <v>3703.06</v>
      </c>
      <c r="C1194">
        <f t="shared" si="144"/>
        <v>3.5365757816374632E-3</v>
      </c>
      <c r="D1194">
        <f t="shared" si="151"/>
        <v>2.2030246933626429E-3</v>
      </c>
      <c r="E1194">
        <f>_xlfn.XLOOKUP(A1194,VIX!A:A,VIX!B:B,"",-1)</f>
        <v>21.53</v>
      </c>
      <c r="F1194">
        <f t="shared" si="145"/>
        <v>-1.7799999999999976</v>
      </c>
      <c r="G1194">
        <f>_xlfn.XLOOKUP(A1194,'DGS10'!A:A,'DGS10'!B:B,"",-1)</f>
        <v>0.94</v>
      </c>
      <c r="H1194">
        <f t="shared" si="146"/>
        <v>-2.0000000000000018E-2</v>
      </c>
      <c r="I1194" s="2">
        <f>_xlfn.XLOOKUP(A1194,T10Y3M!A:A,T10Y3M!B:B,"",-1)</f>
        <v>0.85</v>
      </c>
      <c r="J1194" s="2">
        <f>_xlfn.XLOOKUP(A1194,BAMLC0A4CBBB!A:A,BAMLC0A4CBBB!B:B,"",-1)</f>
        <v>1.33</v>
      </c>
      <c r="K1194" s="2">
        <f>_xlfn.XLOOKUP(A1194,CPIAUCSL!A:A,CPIAUCSL!B:B,"",-1)</f>
        <v>262.04500000000002</v>
      </c>
      <c r="L1194">
        <f>_xlfn.XLOOKUP(A1194,DFF!A:A,DFF!B:B,"",-1)</f>
        <v>0.09</v>
      </c>
      <c r="M1194">
        <f>_xlfn.XLOOKUP(A1194,'DGS2'!A:A,'DGS2'!B:B,"",-1)</f>
        <v>0.13</v>
      </c>
      <c r="N1194">
        <f t="shared" si="147"/>
        <v>0</v>
      </c>
      <c r="O1194">
        <f t="shared" si="148"/>
        <v>8.7225159732762236E-3</v>
      </c>
      <c r="P1194">
        <f t="shared" si="149"/>
        <v>1</v>
      </c>
      <c r="Q1194">
        <f t="shared" si="150"/>
        <v>1</v>
      </c>
    </row>
    <row r="1195" spans="1:17">
      <c r="A1195" s="1">
        <v>44193</v>
      </c>
      <c r="B1195">
        <v>3735.36</v>
      </c>
      <c r="C1195">
        <f t="shared" si="144"/>
        <v>8.7225159732762236E-3</v>
      </c>
      <c r="D1195">
        <f t="shared" si="151"/>
        <v>1.3044916821705055E-2</v>
      </c>
      <c r="E1195">
        <f>_xlfn.XLOOKUP(A1195,VIX!A:A,VIX!B:B,"",-1)</f>
        <v>21.7</v>
      </c>
      <c r="F1195">
        <f t="shared" si="145"/>
        <v>0.16999999999999815</v>
      </c>
      <c r="G1195">
        <f>_xlfn.XLOOKUP(A1195,'DGS10'!A:A,'DGS10'!B:B,"",-1)</f>
        <v>0.94</v>
      </c>
      <c r="H1195">
        <f t="shared" si="146"/>
        <v>0</v>
      </c>
      <c r="I1195" s="2">
        <f>_xlfn.XLOOKUP(A1195,T10Y3M!A:A,T10Y3M!B:B,"",-1)</f>
        <v>0.83</v>
      </c>
      <c r="J1195" s="2">
        <f>_xlfn.XLOOKUP(A1195,BAMLC0A4CBBB!A:A,BAMLC0A4CBBB!B:B,"",-1)</f>
        <v>1.32</v>
      </c>
      <c r="K1195" s="2">
        <f>_xlfn.XLOOKUP(A1195,CPIAUCSL!A:A,CPIAUCSL!B:B,"",-1)</f>
        <v>262.04500000000002</v>
      </c>
      <c r="L1195">
        <f>_xlfn.XLOOKUP(A1195,DFF!A:A,DFF!B:B,"",-1)</f>
        <v>0.09</v>
      </c>
      <c r="M1195">
        <f>_xlfn.XLOOKUP(A1195,'DGS2'!A:A,'DGS2'!B:B,"",-1)</f>
        <v>0.13</v>
      </c>
      <c r="N1195">
        <f t="shared" si="147"/>
        <v>0</v>
      </c>
      <c r="O1195">
        <f t="shared" si="148"/>
        <v>-2.2273622890431888E-3</v>
      </c>
      <c r="P1195">
        <f t="shared" si="149"/>
        <v>0</v>
      </c>
      <c r="Q1195">
        <f t="shared" si="150"/>
        <v>0</v>
      </c>
    </row>
    <row r="1196" spans="1:17">
      <c r="A1196" s="1">
        <v>44194</v>
      </c>
      <c r="B1196">
        <v>3727.04</v>
      </c>
      <c r="C1196">
        <f t="shared" si="144"/>
        <v>-2.2273622890431888E-3</v>
      </c>
      <c r="D1196">
        <f t="shared" si="151"/>
        <v>1.0035203156630867E-2</v>
      </c>
      <c r="E1196">
        <f>_xlfn.XLOOKUP(A1196,VIX!A:A,VIX!B:B,"",-1)</f>
        <v>23.08</v>
      </c>
      <c r="F1196">
        <f t="shared" si="145"/>
        <v>1.379999999999999</v>
      </c>
      <c r="G1196">
        <f>_xlfn.XLOOKUP(A1196,'DGS10'!A:A,'DGS10'!B:B,"",-1)</f>
        <v>0.94</v>
      </c>
      <c r="H1196">
        <f t="shared" si="146"/>
        <v>0</v>
      </c>
      <c r="I1196" s="2">
        <f>_xlfn.XLOOKUP(A1196,T10Y3M!A:A,T10Y3M!B:B,"",-1)</f>
        <v>0.84</v>
      </c>
      <c r="J1196" s="2">
        <f>_xlfn.XLOOKUP(A1196,BAMLC0A4CBBB!A:A,BAMLC0A4CBBB!B:B,"",-1)</f>
        <v>1.31</v>
      </c>
      <c r="K1196" s="2">
        <f>_xlfn.XLOOKUP(A1196,CPIAUCSL!A:A,CPIAUCSL!B:B,"",-1)</f>
        <v>262.04500000000002</v>
      </c>
      <c r="L1196">
        <f>_xlfn.XLOOKUP(A1196,DFF!A:A,DFF!B:B,"",-1)</f>
        <v>0.09</v>
      </c>
      <c r="M1196">
        <f>_xlfn.XLOOKUP(A1196,'DGS2'!A:A,'DGS2'!B:B,"",-1)</f>
        <v>0.12</v>
      </c>
      <c r="N1196">
        <f t="shared" si="147"/>
        <v>-1.0000000000000009E-2</v>
      </c>
      <c r="O1196">
        <f t="shared" si="148"/>
        <v>1.3415471795312772E-3</v>
      </c>
      <c r="P1196">
        <f t="shared" si="149"/>
        <v>1</v>
      </c>
      <c r="Q1196">
        <f t="shared" si="150"/>
        <v>0</v>
      </c>
    </row>
    <row r="1197" spans="1:17">
      <c r="A1197" s="1">
        <v>44195</v>
      </c>
      <c r="B1197">
        <v>3732.04</v>
      </c>
      <c r="C1197">
        <f t="shared" si="144"/>
        <v>1.3415471795312772E-3</v>
      </c>
      <c r="D1197">
        <f t="shared" si="151"/>
        <v>7.8259601518744226E-3</v>
      </c>
      <c r="E1197">
        <f>_xlfn.XLOOKUP(A1197,VIX!A:A,VIX!B:B,"",-1)</f>
        <v>22.77</v>
      </c>
      <c r="F1197">
        <f t="shared" si="145"/>
        <v>-0.30999999999999872</v>
      </c>
      <c r="G1197">
        <f>_xlfn.XLOOKUP(A1197,'DGS10'!A:A,'DGS10'!B:B,"",-1)</f>
        <v>0.93</v>
      </c>
      <c r="H1197">
        <f t="shared" si="146"/>
        <v>-9.9999999999998979E-3</v>
      </c>
      <c r="I1197" s="2">
        <f>_xlfn.XLOOKUP(A1197,T10Y3M!A:A,T10Y3M!B:B,"",-1)</f>
        <v>0.85</v>
      </c>
      <c r="J1197" s="2">
        <f>_xlfn.XLOOKUP(A1197,BAMLC0A4CBBB!A:A,BAMLC0A4CBBB!B:B,"",-1)</f>
        <v>1.3</v>
      </c>
      <c r="K1197" s="2">
        <f>_xlfn.XLOOKUP(A1197,CPIAUCSL!A:A,CPIAUCSL!B:B,"",-1)</f>
        <v>262.04500000000002</v>
      </c>
      <c r="L1197">
        <f>_xlfn.XLOOKUP(A1197,DFF!A:A,DFF!B:B,"",-1)</f>
        <v>0.09</v>
      </c>
      <c r="M1197">
        <f>_xlfn.XLOOKUP(A1197,'DGS2'!A:A,'DGS2'!B:B,"",-1)</f>
        <v>0.12</v>
      </c>
      <c r="N1197">
        <f t="shared" si="147"/>
        <v>0</v>
      </c>
      <c r="O1197">
        <f t="shared" si="148"/>
        <v>6.4388377402171404E-3</v>
      </c>
      <c r="P1197">
        <f t="shared" si="149"/>
        <v>1</v>
      </c>
      <c r="Q1197">
        <f t="shared" si="150"/>
        <v>1</v>
      </c>
    </row>
    <row r="1198" spans="1:17">
      <c r="A1198" s="1">
        <v>44196</v>
      </c>
      <c r="B1198">
        <v>3756.07</v>
      </c>
      <c r="C1198">
        <f t="shared" si="144"/>
        <v>6.4388377402171404E-3</v>
      </c>
      <c r="D1198">
        <f t="shared" si="151"/>
        <v>5.5443116593849595E-3</v>
      </c>
      <c r="E1198">
        <f>_xlfn.XLOOKUP(A1198,VIX!A:A,VIX!B:B,"",-1)</f>
        <v>22.75</v>
      </c>
      <c r="F1198">
        <f t="shared" si="145"/>
        <v>-1.9999999999999574E-2</v>
      </c>
      <c r="G1198">
        <f>_xlfn.XLOOKUP(A1198,'DGS10'!A:A,'DGS10'!B:B,"",-1)</f>
        <v>0.93</v>
      </c>
      <c r="H1198">
        <f t="shared" si="146"/>
        <v>0</v>
      </c>
      <c r="I1198" s="2">
        <f>_xlfn.XLOOKUP(A1198,T10Y3M!A:A,T10Y3M!B:B,"",-1)</f>
        <v>0.84</v>
      </c>
      <c r="J1198" s="2">
        <f>_xlfn.XLOOKUP(A1198,BAMLC0A4CBBB!A:A,BAMLC0A4CBBB!B:B,"",-1)</f>
        <v>1.3</v>
      </c>
      <c r="K1198" s="2">
        <f>_xlfn.XLOOKUP(A1198,CPIAUCSL!A:A,CPIAUCSL!B:B,"",-1)</f>
        <v>262.04500000000002</v>
      </c>
      <c r="L1198">
        <f>_xlfn.XLOOKUP(A1198,DFF!A:A,DFF!B:B,"",-1)</f>
        <v>0.09</v>
      </c>
      <c r="M1198">
        <f>_xlfn.XLOOKUP(A1198,'DGS2'!A:A,'DGS2'!B:B,"",-1)</f>
        <v>0.13</v>
      </c>
      <c r="N1198">
        <f t="shared" si="147"/>
        <v>1.0000000000000009E-2</v>
      </c>
      <c r="O1198">
        <f t="shared" si="148"/>
        <v>-1.475478359029514E-2</v>
      </c>
      <c r="P1198">
        <f t="shared" si="149"/>
        <v>0</v>
      </c>
      <c r="Q1198">
        <f t="shared" si="150"/>
        <v>-1</v>
      </c>
    </row>
    <row r="1199" spans="1:17">
      <c r="A1199" s="1">
        <v>44200</v>
      </c>
      <c r="B1199">
        <v>3700.65</v>
      </c>
      <c r="C1199">
        <f t="shared" si="144"/>
        <v>-1.475478359029514E-2</v>
      </c>
      <c r="D1199">
        <f t="shared" si="151"/>
        <v>-7.0806860135657068E-3</v>
      </c>
      <c r="E1199">
        <f>_xlfn.XLOOKUP(A1199,VIX!A:A,VIX!B:B,"",-1)</f>
        <v>26.97</v>
      </c>
      <c r="F1199">
        <f t="shared" si="145"/>
        <v>4.2199999999999989</v>
      </c>
      <c r="G1199">
        <f>_xlfn.XLOOKUP(A1199,'DGS10'!A:A,'DGS10'!B:B,"",-1)</f>
        <v>0.93</v>
      </c>
      <c r="H1199">
        <f t="shared" si="146"/>
        <v>0</v>
      </c>
      <c r="I1199" s="2">
        <f>_xlfn.XLOOKUP(A1199,T10Y3M!A:A,T10Y3M!B:B,"",-1)</f>
        <v>0.84</v>
      </c>
      <c r="J1199" s="2">
        <f>_xlfn.XLOOKUP(A1199,BAMLC0A4CBBB!A:A,BAMLC0A4CBBB!B:B,"",-1)</f>
        <v>1.31</v>
      </c>
      <c r="K1199" s="2">
        <f>_xlfn.XLOOKUP(A1199,CPIAUCSL!A:A,CPIAUCSL!B:B,"",-1)</f>
        <v>262.68700000000001</v>
      </c>
      <c r="L1199">
        <f>_xlfn.XLOOKUP(A1199,DFF!A:A,DFF!B:B,"",-1)</f>
        <v>0.09</v>
      </c>
      <c r="M1199">
        <f>_xlfn.XLOOKUP(A1199,'DGS2'!A:A,'DGS2'!B:B,"",-1)</f>
        <v>0.11</v>
      </c>
      <c r="N1199">
        <f t="shared" si="147"/>
        <v>-2.0000000000000004E-2</v>
      </c>
      <c r="O1199">
        <f t="shared" si="148"/>
        <v>7.0825395538620661E-3</v>
      </c>
      <c r="P1199">
        <f t="shared" si="149"/>
        <v>1</v>
      </c>
      <c r="Q1199">
        <f t="shared" si="150"/>
        <v>1</v>
      </c>
    </row>
    <row r="1200" spans="1:17">
      <c r="A1200" s="1">
        <v>44201</v>
      </c>
      <c r="B1200">
        <v>3726.86</v>
      </c>
      <c r="C1200">
        <f t="shared" si="144"/>
        <v>7.0825395538620661E-3</v>
      </c>
      <c r="D1200">
        <f t="shared" si="151"/>
        <v>-1.3879808362182722E-3</v>
      </c>
      <c r="E1200">
        <f>_xlfn.XLOOKUP(A1200,VIX!A:A,VIX!B:B,"",-1)</f>
        <v>25.34</v>
      </c>
      <c r="F1200">
        <f t="shared" si="145"/>
        <v>-1.629999999999999</v>
      </c>
      <c r="G1200">
        <f>_xlfn.XLOOKUP(A1200,'DGS10'!A:A,'DGS10'!B:B,"",-1)</f>
        <v>0.96</v>
      </c>
      <c r="H1200">
        <f t="shared" si="146"/>
        <v>2.9999999999999916E-2</v>
      </c>
      <c r="I1200" s="2">
        <f>_xlfn.XLOOKUP(A1200,T10Y3M!A:A,T10Y3M!B:B,"",-1)</f>
        <v>0.87</v>
      </c>
      <c r="J1200" s="2">
        <f>_xlfn.XLOOKUP(A1200,BAMLC0A4CBBB!A:A,BAMLC0A4CBBB!B:B,"",-1)</f>
        <v>1.32</v>
      </c>
      <c r="K1200" s="2">
        <f>_xlfn.XLOOKUP(A1200,CPIAUCSL!A:A,CPIAUCSL!B:B,"",-1)</f>
        <v>262.68700000000001</v>
      </c>
      <c r="L1200">
        <f>_xlfn.XLOOKUP(A1200,DFF!A:A,DFF!B:B,"",-1)</f>
        <v>0.09</v>
      </c>
      <c r="M1200">
        <f>_xlfn.XLOOKUP(A1200,'DGS2'!A:A,'DGS2'!B:B,"",-1)</f>
        <v>0.13</v>
      </c>
      <c r="N1200">
        <f t="shared" si="147"/>
        <v>2.0000000000000004E-2</v>
      </c>
      <c r="O1200">
        <f t="shared" si="148"/>
        <v>5.7099005597205377E-3</v>
      </c>
      <c r="P1200">
        <f t="shared" si="149"/>
        <v>1</v>
      </c>
      <c r="Q1200">
        <f t="shared" si="150"/>
        <v>1</v>
      </c>
    </row>
    <row r="1201" spans="1:17">
      <c r="A1201" s="1">
        <v>44202</v>
      </c>
      <c r="B1201">
        <v>3748.14</v>
      </c>
      <c r="C1201">
        <f t="shared" si="144"/>
        <v>5.7099005597205377E-3</v>
      </c>
      <c r="D1201">
        <f t="shared" si="151"/>
        <v>-2.1112492578679865E-3</v>
      </c>
      <c r="E1201">
        <f>_xlfn.XLOOKUP(A1201,VIX!A:A,VIX!B:B,"",-1)</f>
        <v>25.07</v>
      </c>
      <c r="F1201">
        <f t="shared" si="145"/>
        <v>-0.26999999999999957</v>
      </c>
      <c r="G1201">
        <f>_xlfn.XLOOKUP(A1201,'DGS10'!A:A,'DGS10'!B:B,"",-1)</f>
        <v>1.04</v>
      </c>
      <c r="H1201">
        <f t="shared" si="146"/>
        <v>8.0000000000000071E-2</v>
      </c>
      <c r="I1201" s="2">
        <f>_xlfn.XLOOKUP(A1201,T10Y3M!A:A,T10Y3M!B:B,"",-1)</f>
        <v>0.95</v>
      </c>
      <c r="J1201" s="2">
        <f>_xlfn.XLOOKUP(A1201,BAMLC0A4CBBB!A:A,BAMLC0A4CBBB!B:B,"",-1)</f>
        <v>1.31</v>
      </c>
      <c r="K1201" s="2">
        <f>_xlfn.XLOOKUP(A1201,CPIAUCSL!A:A,CPIAUCSL!B:B,"",-1)</f>
        <v>262.68700000000001</v>
      </c>
      <c r="L1201">
        <f>_xlfn.XLOOKUP(A1201,DFF!A:A,DFF!B:B,"",-1)</f>
        <v>0.09</v>
      </c>
      <c r="M1201">
        <f>_xlfn.XLOOKUP(A1201,'DGS2'!A:A,'DGS2'!B:B,"",-1)</f>
        <v>0.14000000000000001</v>
      </c>
      <c r="N1201">
        <f t="shared" si="147"/>
        <v>1.0000000000000009E-2</v>
      </c>
      <c r="O1201">
        <f t="shared" si="148"/>
        <v>1.484736429268918E-2</v>
      </c>
      <c r="P1201">
        <f t="shared" si="149"/>
        <v>1</v>
      </c>
      <c r="Q1201">
        <f t="shared" si="150"/>
        <v>1</v>
      </c>
    </row>
    <row r="1202" spans="1:17">
      <c r="A1202" s="1">
        <v>44203</v>
      </c>
      <c r="B1202">
        <v>3803.79</v>
      </c>
      <c r="C1202">
        <f t="shared" si="144"/>
        <v>1.484736429268918E-2</v>
      </c>
      <c r="D1202">
        <f t="shared" si="151"/>
        <v>2.7870779457662698E-2</v>
      </c>
      <c r="E1202">
        <f>_xlfn.XLOOKUP(A1202,VIX!A:A,VIX!B:B,"",-1)</f>
        <v>22.37</v>
      </c>
      <c r="F1202">
        <f t="shared" si="145"/>
        <v>-2.6999999999999993</v>
      </c>
      <c r="G1202">
        <f>_xlfn.XLOOKUP(A1202,'DGS10'!A:A,'DGS10'!B:B,"",-1)</f>
        <v>1.08</v>
      </c>
      <c r="H1202">
        <f t="shared" si="146"/>
        <v>4.0000000000000036E-2</v>
      </c>
      <c r="I1202" s="2">
        <f>_xlfn.XLOOKUP(A1202,T10Y3M!A:A,T10Y3M!B:B,"",-1)</f>
        <v>0.99</v>
      </c>
      <c r="J1202" s="2">
        <f>_xlfn.XLOOKUP(A1202,BAMLC0A4CBBB!A:A,BAMLC0A4CBBB!B:B,"",-1)</f>
        <v>1.29</v>
      </c>
      <c r="K1202" s="2">
        <f>_xlfn.XLOOKUP(A1202,CPIAUCSL!A:A,CPIAUCSL!B:B,"",-1)</f>
        <v>262.68700000000001</v>
      </c>
      <c r="L1202">
        <f>_xlfn.XLOOKUP(A1202,DFF!A:A,DFF!B:B,"",-1)</f>
        <v>0.09</v>
      </c>
      <c r="M1202">
        <f>_xlfn.XLOOKUP(A1202,'DGS2'!A:A,'DGS2'!B:B,"",-1)</f>
        <v>0.14000000000000001</v>
      </c>
      <c r="N1202">
        <f t="shared" si="147"/>
        <v>0</v>
      </c>
      <c r="O1202">
        <f t="shared" si="148"/>
        <v>5.4918909824148709E-3</v>
      </c>
      <c r="P1202">
        <f t="shared" si="149"/>
        <v>1</v>
      </c>
      <c r="Q1202">
        <f t="shared" si="150"/>
        <v>1</v>
      </c>
    </row>
    <row r="1203" spans="1:17">
      <c r="A1203" s="1">
        <v>44204</v>
      </c>
      <c r="B1203">
        <v>3824.68</v>
      </c>
      <c r="C1203">
        <f t="shared" si="144"/>
        <v>5.4918909824148709E-3</v>
      </c>
      <c r="D1203">
        <f t="shared" si="151"/>
        <v>2.6247296651872976E-2</v>
      </c>
      <c r="E1203">
        <f>_xlfn.XLOOKUP(A1203,VIX!A:A,VIX!B:B,"",-1)</f>
        <v>21.56</v>
      </c>
      <c r="F1203">
        <f t="shared" si="145"/>
        <v>-0.81000000000000227</v>
      </c>
      <c r="G1203">
        <f>_xlfn.XLOOKUP(A1203,'DGS10'!A:A,'DGS10'!B:B,"",-1)</f>
        <v>1.1299999999999999</v>
      </c>
      <c r="H1203">
        <f t="shared" si="146"/>
        <v>4.9999999999999822E-2</v>
      </c>
      <c r="I1203" s="2">
        <f>_xlfn.XLOOKUP(A1203,T10Y3M!A:A,T10Y3M!B:B,"",-1)</f>
        <v>1.05</v>
      </c>
      <c r="J1203" s="2">
        <f>_xlfn.XLOOKUP(A1203,BAMLC0A4CBBB!A:A,BAMLC0A4CBBB!B:B,"",-1)</f>
        <v>1.28</v>
      </c>
      <c r="K1203" s="2">
        <f>_xlfn.XLOOKUP(A1203,CPIAUCSL!A:A,CPIAUCSL!B:B,"",-1)</f>
        <v>262.68700000000001</v>
      </c>
      <c r="L1203">
        <f>_xlfn.XLOOKUP(A1203,DFF!A:A,DFF!B:B,"",-1)</f>
        <v>0.09</v>
      </c>
      <c r="M1203">
        <f>_xlfn.XLOOKUP(A1203,'DGS2'!A:A,'DGS2'!B:B,"",-1)</f>
        <v>0.14000000000000001</v>
      </c>
      <c r="N1203">
        <f t="shared" si="147"/>
        <v>0</v>
      </c>
      <c r="O1203">
        <f t="shared" si="148"/>
        <v>-6.5547967411652142E-3</v>
      </c>
      <c r="P1203">
        <f t="shared" si="149"/>
        <v>0</v>
      </c>
      <c r="Q1203">
        <f t="shared" si="150"/>
        <v>-1</v>
      </c>
    </row>
    <row r="1204" spans="1:17">
      <c r="A1204" s="1">
        <v>44207</v>
      </c>
      <c r="B1204">
        <v>3799.61</v>
      </c>
      <c r="C1204">
        <f t="shared" si="144"/>
        <v>-6.5547967411652142E-3</v>
      </c>
      <c r="D1204">
        <f t="shared" si="151"/>
        <v>1.3732144476994002E-2</v>
      </c>
      <c r="E1204">
        <f>_xlfn.XLOOKUP(A1204,VIX!A:A,VIX!B:B,"",-1)</f>
        <v>24.08</v>
      </c>
      <c r="F1204">
        <f t="shared" si="145"/>
        <v>2.5199999999999996</v>
      </c>
      <c r="G1204">
        <f>_xlfn.XLOOKUP(A1204,'DGS10'!A:A,'DGS10'!B:B,"",-1)</f>
        <v>1.1499999999999999</v>
      </c>
      <c r="H1204">
        <f t="shared" si="146"/>
        <v>2.0000000000000018E-2</v>
      </c>
      <c r="I1204" s="2">
        <f>_xlfn.XLOOKUP(A1204,T10Y3M!A:A,T10Y3M!B:B,"",-1)</f>
        <v>1.07</v>
      </c>
      <c r="J1204" s="2">
        <f>_xlfn.XLOOKUP(A1204,BAMLC0A4CBBB!A:A,BAMLC0A4CBBB!B:B,"",-1)</f>
        <v>1.27</v>
      </c>
      <c r="K1204" s="2">
        <f>_xlfn.XLOOKUP(A1204,CPIAUCSL!A:A,CPIAUCSL!B:B,"",-1)</f>
        <v>262.68700000000001</v>
      </c>
      <c r="L1204">
        <f>_xlfn.XLOOKUP(A1204,DFF!A:A,DFF!B:B,"",-1)</f>
        <v>0.09</v>
      </c>
      <c r="M1204">
        <f>_xlfn.XLOOKUP(A1204,'DGS2'!A:A,'DGS2'!B:B,"",-1)</f>
        <v>0.14000000000000001</v>
      </c>
      <c r="N1204">
        <f t="shared" si="147"/>
        <v>0</v>
      </c>
      <c r="O1204">
        <f t="shared" si="148"/>
        <v>4.1583215119445072E-4</v>
      </c>
      <c r="P1204">
        <f t="shared" si="149"/>
        <v>1</v>
      </c>
      <c r="Q1204">
        <f t="shared" si="150"/>
        <v>0</v>
      </c>
    </row>
    <row r="1205" spans="1:17">
      <c r="A1205" s="1">
        <v>44208</v>
      </c>
      <c r="B1205">
        <v>3801.19</v>
      </c>
      <c r="C1205">
        <f t="shared" si="144"/>
        <v>4.1583215119445072E-4</v>
      </c>
      <c r="D1205">
        <f t="shared" si="151"/>
        <v>-6.8352879627953111E-4</v>
      </c>
      <c r="E1205">
        <f>_xlfn.XLOOKUP(A1205,VIX!A:A,VIX!B:B,"",-1)</f>
        <v>23.33</v>
      </c>
      <c r="F1205">
        <f t="shared" si="145"/>
        <v>-0.75</v>
      </c>
      <c r="G1205">
        <f>_xlfn.XLOOKUP(A1205,'DGS10'!A:A,'DGS10'!B:B,"",-1)</f>
        <v>1.1499999999999999</v>
      </c>
      <c r="H1205">
        <f t="shared" si="146"/>
        <v>0</v>
      </c>
      <c r="I1205" s="2">
        <f>_xlfn.XLOOKUP(A1205,T10Y3M!A:A,T10Y3M!B:B,"",-1)</f>
        <v>1.06</v>
      </c>
      <c r="J1205" s="2">
        <f>_xlfn.XLOOKUP(A1205,BAMLC0A4CBBB!A:A,BAMLC0A4CBBB!B:B,"",-1)</f>
        <v>1.27</v>
      </c>
      <c r="K1205" s="2">
        <f>_xlfn.XLOOKUP(A1205,CPIAUCSL!A:A,CPIAUCSL!B:B,"",-1)</f>
        <v>262.68700000000001</v>
      </c>
      <c r="L1205">
        <f>_xlfn.XLOOKUP(A1205,DFF!A:A,DFF!B:B,"",-1)</f>
        <v>0.09</v>
      </c>
      <c r="M1205">
        <f>_xlfn.XLOOKUP(A1205,'DGS2'!A:A,'DGS2'!B:B,"",-1)</f>
        <v>0.14000000000000001</v>
      </c>
      <c r="N1205">
        <f t="shared" si="147"/>
        <v>0</v>
      </c>
      <c r="O1205">
        <f t="shared" si="148"/>
        <v>2.2756031663768717E-3</v>
      </c>
      <c r="P1205">
        <f t="shared" si="149"/>
        <v>1</v>
      </c>
      <c r="Q1205">
        <f t="shared" si="150"/>
        <v>0</v>
      </c>
    </row>
    <row r="1206" spans="1:17">
      <c r="A1206" s="1">
        <v>44209</v>
      </c>
      <c r="B1206">
        <v>3809.84</v>
      </c>
      <c r="C1206">
        <f t="shared" si="144"/>
        <v>2.2756031663768717E-3</v>
      </c>
      <c r="D1206">
        <f t="shared" si="151"/>
        <v>-3.8800631686832787E-3</v>
      </c>
      <c r="E1206">
        <f>_xlfn.XLOOKUP(A1206,VIX!A:A,VIX!B:B,"",-1)</f>
        <v>22.21</v>
      </c>
      <c r="F1206">
        <f t="shared" si="145"/>
        <v>-1.1199999999999974</v>
      </c>
      <c r="G1206">
        <f>_xlfn.XLOOKUP(A1206,'DGS10'!A:A,'DGS10'!B:B,"",-1)</f>
        <v>1.1000000000000001</v>
      </c>
      <c r="H1206">
        <f t="shared" si="146"/>
        <v>-4.9999999999999822E-2</v>
      </c>
      <c r="I1206" s="2">
        <f>_xlfn.XLOOKUP(A1206,T10Y3M!A:A,T10Y3M!B:B,"",-1)</f>
        <v>1.01</v>
      </c>
      <c r="J1206" s="2">
        <f>_xlfn.XLOOKUP(A1206,BAMLC0A4CBBB!A:A,BAMLC0A4CBBB!B:B,"",-1)</f>
        <v>1.26</v>
      </c>
      <c r="K1206" s="2">
        <f>_xlfn.XLOOKUP(A1206,CPIAUCSL!A:A,CPIAUCSL!B:B,"",-1)</f>
        <v>262.68700000000001</v>
      </c>
      <c r="L1206">
        <f>_xlfn.XLOOKUP(A1206,DFF!A:A,DFF!B:B,"",-1)</f>
        <v>0.09</v>
      </c>
      <c r="M1206">
        <f>_xlfn.XLOOKUP(A1206,'DGS2'!A:A,'DGS2'!B:B,"",-1)</f>
        <v>0.14000000000000001</v>
      </c>
      <c r="N1206">
        <f t="shared" si="147"/>
        <v>0</v>
      </c>
      <c r="O1206">
        <f t="shared" si="148"/>
        <v>-3.753438464607517E-3</v>
      </c>
      <c r="P1206">
        <f t="shared" si="149"/>
        <v>0</v>
      </c>
      <c r="Q1206">
        <f t="shared" si="150"/>
        <v>-1</v>
      </c>
    </row>
    <row r="1207" spans="1:17">
      <c r="A1207" s="1">
        <v>44210</v>
      </c>
      <c r="B1207">
        <v>3795.54</v>
      </c>
      <c r="C1207">
        <f t="shared" si="144"/>
        <v>-3.753438464607517E-3</v>
      </c>
      <c r="D1207">
        <f t="shared" si="151"/>
        <v>-1.0711625666844915E-3</v>
      </c>
      <c r="E1207">
        <f>_xlfn.XLOOKUP(A1207,VIX!A:A,VIX!B:B,"",-1)</f>
        <v>23.25</v>
      </c>
      <c r="F1207">
        <f t="shared" si="145"/>
        <v>1.0399999999999991</v>
      </c>
      <c r="G1207">
        <f>_xlfn.XLOOKUP(A1207,'DGS10'!A:A,'DGS10'!B:B,"",-1)</f>
        <v>1.1499999999999999</v>
      </c>
      <c r="H1207">
        <f t="shared" si="146"/>
        <v>4.9999999999999822E-2</v>
      </c>
      <c r="I1207" s="2">
        <f>_xlfn.XLOOKUP(A1207,T10Y3M!A:A,T10Y3M!B:B,"",-1)</f>
        <v>1.06</v>
      </c>
      <c r="J1207" s="2">
        <f>_xlfn.XLOOKUP(A1207,BAMLC0A4CBBB!A:A,BAMLC0A4CBBB!B:B,"",-1)</f>
        <v>1.25</v>
      </c>
      <c r="K1207" s="2">
        <f>_xlfn.XLOOKUP(A1207,CPIAUCSL!A:A,CPIAUCSL!B:B,"",-1)</f>
        <v>262.68700000000001</v>
      </c>
      <c r="L1207">
        <f>_xlfn.XLOOKUP(A1207,DFF!A:A,DFF!B:B,"",-1)</f>
        <v>0.09</v>
      </c>
      <c r="M1207">
        <f>_xlfn.XLOOKUP(A1207,'DGS2'!A:A,'DGS2'!B:B,"",-1)</f>
        <v>0.16</v>
      </c>
      <c r="N1207">
        <f t="shared" si="147"/>
        <v>1.999999999999999E-2</v>
      </c>
      <c r="O1207">
        <f t="shared" si="148"/>
        <v>-7.1900177576840196E-3</v>
      </c>
      <c r="P1207">
        <f t="shared" si="149"/>
        <v>0</v>
      </c>
      <c r="Q1207">
        <f t="shared" si="150"/>
        <v>-1</v>
      </c>
    </row>
    <row r="1208" spans="1:17">
      <c r="A1208" s="1">
        <v>44211</v>
      </c>
      <c r="B1208">
        <v>3768.25</v>
      </c>
      <c r="C1208">
        <f t="shared" si="144"/>
        <v>-7.1900177576840196E-3</v>
      </c>
      <c r="D1208">
        <f t="shared" si="151"/>
        <v>-8.6657073179714494E-3</v>
      </c>
      <c r="E1208">
        <f>_xlfn.XLOOKUP(A1208,VIX!A:A,VIX!B:B,"",-1)</f>
        <v>24.34</v>
      </c>
      <c r="F1208">
        <f t="shared" si="145"/>
        <v>1.0899999999999999</v>
      </c>
      <c r="G1208">
        <f>_xlfn.XLOOKUP(A1208,'DGS10'!A:A,'DGS10'!B:B,"",-1)</f>
        <v>1.1100000000000001</v>
      </c>
      <c r="H1208">
        <f t="shared" si="146"/>
        <v>-3.9999999999999813E-2</v>
      </c>
      <c r="I1208" s="2">
        <f>_xlfn.XLOOKUP(A1208,T10Y3M!A:A,T10Y3M!B:B,"",-1)</f>
        <v>1.02</v>
      </c>
      <c r="J1208" s="2">
        <f>_xlfn.XLOOKUP(A1208,BAMLC0A4CBBB!A:A,BAMLC0A4CBBB!B:B,"",-1)</f>
        <v>1.25</v>
      </c>
      <c r="K1208" s="2">
        <f>_xlfn.XLOOKUP(A1208,CPIAUCSL!A:A,CPIAUCSL!B:B,"",-1)</f>
        <v>262.68700000000001</v>
      </c>
      <c r="L1208">
        <f>_xlfn.XLOOKUP(A1208,DFF!A:A,DFF!B:B,"",-1)</f>
        <v>0.09</v>
      </c>
      <c r="M1208">
        <f>_xlfn.XLOOKUP(A1208,'DGS2'!A:A,'DGS2'!B:B,"",-1)</f>
        <v>0.13</v>
      </c>
      <c r="N1208">
        <f t="shared" si="147"/>
        <v>-0.03</v>
      </c>
      <c r="O1208">
        <f t="shared" si="148"/>
        <v>8.136402839514334E-3</v>
      </c>
      <c r="P1208">
        <f t="shared" si="149"/>
        <v>1</v>
      </c>
      <c r="Q1208">
        <f t="shared" si="150"/>
        <v>1</v>
      </c>
    </row>
    <row r="1209" spans="1:17">
      <c r="A1209" s="1">
        <v>44215</v>
      </c>
      <c r="B1209">
        <v>3798.91</v>
      </c>
      <c r="C1209">
        <f t="shared" si="144"/>
        <v>8.136402839514334E-3</v>
      </c>
      <c r="D1209">
        <f t="shared" si="151"/>
        <v>-2.8688868823888436E-3</v>
      </c>
      <c r="E1209">
        <f>_xlfn.XLOOKUP(A1209,VIX!A:A,VIX!B:B,"",-1)</f>
        <v>23.24</v>
      </c>
      <c r="F1209">
        <f t="shared" si="145"/>
        <v>-1.1000000000000014</v>
      </c>
      <c r="G1209">
        <f>_xlfn.XLOOKUP(A1209,'DGS10'!A:A,'DGS10'!B:B,"",-1)</f>
        <v>1.1000000000000001</v>
      </c>
      <c r="H1209">
        <f t="shared" si="146"/>
        <v>-1.0000000000000009E-2</v>
      </c>
      <c r="I1209" s="2">
        <f>_xlfn.XLOOKUP(A1209,T10Y3M!A:A,T10Y3M!B:B,"",-1)</f>
        <v>1.01</v>
      </c>
      <c r="J1209" s="2">
        <f>_xlfn.XLOOKUP(A1209,BAMLC0A4CBBB!A:A,BAMLC0A4CBBB!B:B,"",-1)</f>
        <v>1.24</v>
      </c>
      <c r="K1209" s="2">
        <f>_xlfn.XLOOKUP(A1209,CPIAUCSL!A:A,CPIAUCSL!B:B,"",-1)</f>
        <v>262.68700000000001</v>
      </c>
      <c r="L1209">
        <f>_xlfn.XLOOKUP(A1209,DFF!A:A,DFF!B:B,"",-1)</f>
        <v>0.09</v>
      </c>
      <c r="M1209">
        <f>_xlfn.XLOOKUP(A1209,'DGS2'!A:A,'DGS2'!B:B,"",-1)</f>
        <v>0.14000000000000001</v>
      </c>
      <c r="N1209">
        <f t="shared" si="147"/>
        <v>1.0000000000000009E-2</v>
      </c>
      <c r="O1209">
        <f t="shared" si="148"/>
        <v>1.3935576257400273E-2</v>
      </c>
      <c r="P1209">
        <f t="shared" si="149"/>
        <v>1</v>
      </c>
      <c r="Q1209">
        <f t="shared" si="150"/>
        <v>1</v>
      </c>
    </row>
    <row r="1210" spans="1:17">
      <c r="A1210" s="1">
        <v>44216</v>
      </c>
      <c r="B1210">
        <v>3851.85</v>
      </c>
      <c r="C1210">
        <f t="shared" si="144"/>
        <v>1.3935576257400273E-2</v>
      </c>
      <c r="D1210">
        <f t="shared" si="151"/>
        <v>1.4835833636320572E-2</v>
      </c>
      <c r="E1210">
        <f>_xlfn.XLOOKUP(A1210,VIX!A:A,VIX!B:B,"",-1)</f>
        <v>21.58</v>
      </c>
      <c r="F1210">
        <f t="shared" si="145"/>
        <v>-1.6600000000000001</v>
      </c>
      <c r="G1210">
        <f>_xlfn.XLOOKUP(A1210,'DGS10'!A:A,'DGS10'!B:B,"",-1)</f>
        <v>1.1000000000000001</v>
      </c>
      <c r="H1210">
        <f t="shared" si="146"/>
        <v>0</v>
      </c>
      <c r="I1210" s="2">
        <f>_xlfn.XLOOKUP(A1210,T10Y3M!A:A,T10Y3M!B:B,"",-1)</f>
        <v>1.02</v>
      </c>
      <c r="J1210" s="2">
        <f>_xlfn.XLOOKUP(A1210,BAMLC0A4CBBB!A:A,BAMLC0A4CBBB!B:B,"",-1)</f>
        <v>1.23</v>
      </c>
      <c r="K1210" s="2">
        <f>_xlfn.XLOOKUP(A1210,CPIAUCSL!A:A,CPIAUCSL!B:B,"",-1)</f>
        <v>262.68700000000001</v>
      </c>
      <c r="L1210">
        <f>_xlfn.XLOOKUP(A1210,DFF!A:A,DFF!B:B,"",-1)</f>
        <v>0.09</v>
      </c>
      <c r="M1210">
        <f>_xlfn.XLOOKUP(A1210,'DGS2'!A:A,'DGS2'!B:B,"",-1)</f>
        <v>0.13</v>
      </c>
      <c r="N1210">
        <f t="shared" si="147"/>
        <v>-1.0000000000000009E-2</v>
      </c>
      <c r="O1210">
        <f t="shared" si="148"/>
        <v>3.167309215053038E-4</v>
      </c>
      <c r="P1210">
        <f t="shared" si="149"/>
        <v>1</v>
      </c>
      <c r="Q1210">
        <f t="shared" si="150"/>
        <v>0</v>
      </c>
    </row>
    <row r="1211" spans="1:17">
      <c r="A1211" s="1">
        <v>44217</v>
      </c>
      <c r="B1211">
        <v>3853.07</v>
      </c>
      <c r="C1211">
        <f t="shared" si="144"/>
        <v>3.167309215053038E-4</v>
      </c>
      <c r="D1211">
        <f t="shared" si="151"/>
        <v>2.2509122271611615E-2</v>
      </c>
      <c r="E1211">
        <f>_xlfn.XLOOKUP(A1211,VIX!A:A,VIX!B:B,"",-1)</f>
        <v>21.32</v>
      </c>
      <c r="F1211">
        <f t="shared" si="145"/>
        <v>-0.25999999999999801</v>
      </c>
      <c r="G1211">
        <f>_xlfn.XLOOKUP(A1211,'DGS10'!A:A,'DGS10'!B:B,"",-1)</f>
        <v>1.1200000000000001</v>
      </c>
      <c r="H1211">
        <f t="shared" si="146"/>
        <v>2.0000000000000018E-2</v>
      </c>
      <c r="I1211" s="2">
        <f>_xlfn.XLOOKUP(A1211,T10Y3M!A:A,T10Y3M!B:B,"",-1)</f>
        <v>1.03</v>
      </c>
      <c r="J1211" s="2">
        <f>_xlfn.XLOOKUP(A1211,BAMLC0A4CBBB!A:A,BAMLC0A4CBBB!B:B,"",-1)</f>
        <v>1.24</v>
      </c>
      <c r="K1211" s="2">
        <f>_xlfn.XLOOKUP(A1211,CPIAUCSL!A:A,CPIAUCSL!B:B,"",-1)</f>
        <v>262.68700000000001</v>
      </c>
      <c r="L1211">
        <f>_xlfn.XLOOKUP(A1211,DFF!A:A,DFF!B:B,"",-1)</f>
        <v>0.08</v>
      </c>
      <c r="M1211">
        <f>_xlfn.XLOOKUP(A1211,'DGS2'!A:A,'DGS2'!B:B,"",-1)</f>
        <v>0.13</v>
      </c>
      <c r="N1211">
        <f t="shared" si="147"/>
        <v>0</v>
      </c>
      <c r="O1211">
        <f t="shared" si="148"/>
        <v>-3.0105863636010755E-3</v>
      </c>
      <c r="P1211">
        <f t="shared" si="149"/>
        <v>0</v>
      </c>
      <c r="Q1211">
        <f t="shared" si="150"/>
        <v>-1</v>
      </c>
    </row>
    <row r="1212" spans="1:17">
      <c r="A1212" s="1">
        <v>44218</v>
      </c>
      <c r="B1212">
        <v>3841.47</v>
      </c>
      <c r="C1212">
        <f t="shared" si="144"/>
        <v>-3.0105863636010755E-3</v>
      </c>
      <c r="D1212">
        <f t="shared" si="151"/>
        <v>1.1203213553361291E-2</v>
      </c>
      <c r="E1212">
        <f>_xlfn.XLOOKUP(A1212,VIX!A:A,VIX!B:B,"",-1)</f>
        <v>21.91</v>
      </c>
      <c r="F1212">
        <f t="shared" si="145"/>
        <v>0.58999999999999986</v>
      </c>
      <c r="G1212">
        <f>_xlfn.XLOOKUP(A1212,'DGS10'!A:A,'DGS10'!B:B,"",-1)</f>
        <v>1.1000000000000001</v>
      </c>
      <c r="H1212">
        <f t="shared" si="146"/>
        <v>-2.0000000000000018E-2</v>
      </c>
      <c r="I1212" s="2">
        <f>_xlfn.XLOOKUP(A1212,T10Y3M!A:A,T10Y3M!B:B,"",-1)</f>
        <v>1.02</v>
      </c>
      <c r="J1212" s="2">
        <f>_xlfn.XLOOKUP(A1212,BAMLC0A4CBBB!A:A,BAMLC0A4CBBB!B:B,"",-1)</f>
        <v>1.26</v>
      </c>
      <c r="K1212" s="2">
        <f>_xlfn.XLOOKUP(A1212,CPIAUCSL!A:A,CPIAUCSL!B:B,"",-1)</f>
        <v>262.68700000000001</v>
      </c>
      <c r="L1212">
        <f>_xlfn.XLOOKUP(A1212,DFF!A:A,DFF!B:B,"",-1)</f>
        <v>0.08</v>
      </c>
      <c r="M1212">
        <f>_xlfn.XLOOKUP(A1212,'DGS2'!A:A,'DGS2'!B:B,"",-1)</f>
        <v>0.13</v>
      </c>
      <c r="N1212">
        <f t="shared" si="147"/>
        <v>0</v>
      </c>
      <c r="O1212">
        <f t="shared" si="148"/>
        <v>3.6158033252895461E-3</v>
      </c>
      <c r="P1212">
        <f t="shared" si="149"/>
        <v>1</v>
      </c>
      <c r="Q1212">
        <f t="shared" si="150"/>
        <v>1</v>
      </c>
    </row>
    <row r="1213" spans="1:17">
      <c r="A1213" s="1">
        <v>44221</v>
      </c>
      <c r="B1213">
        <v>3855.36</v>
      </c>
      <c r="C1213">
        <f t="shared" si="144"/>
        <v>3.6158033252895461E-3</v>
      </c>
      <c r="D1213">
        <f t="shared" si="151"/>
        <v>9.1125043810125206E-4</v>
      </c>
      <c r="E1213">
        <f>_xlfn.XLOOKUP(A1213,VIX!A:A,VIX!B:B,"",-1)</f>
        <v>23.19</v>
      </c>
      <c r="F1213">
        <f t="shared" si="145"/>
        <v>1.2800000000000011</v>
      </c>
      <c r="G1213">
        <f>_xlfn.XLOOKUP(A1213,'DGS10'!A:A,'DGS10'!B:B,"",-1)</f>
        <v>1.05</v>
      </c>
      <c r="H1213">
        <f t="shared" si="146"/>
        <v>-5.0000000000000044E-2</v>
      </c>
      <c r="I1213" s="2">
        <f>_xlfn.XLOOKUP(A1213,T10Y3M!A:A,T10Y3M!B:B,"",-1)</f>
        <v>0.96</v>
      </c>
      <c r="J1213" s="2">
        <f>_xlfn.XLOOKUP(A1213,BAMLC0A4CBBB!A:A,BAMLC0A4CBBB!B:B,"",-1)</f>
        <v>1.27</v>
      </c>
      <c r="K1213" s="2">
        <f>_xlfn.XLOOKUP(A1213,CPIAUCSL!A:A,CPIAUCSL!B:B,"",-1)</f>
        <v>262.68700000000001</v>
      </c>
      <c r="L1213">
        <f>_xlfn.XLOOKUP(A1213,DFF!A:A,DFF!B:B,"",-1)</f>
        <v>0.08</v>
      </c>
      <c r="M1213">
        <f>_xlfn.XLOOKUP(A1213,'DGS2'!A:A,'DGS2'!B:B,"",-1)</f>
        <v>0.13</v>
      </c>
      <c r="N1213">
        <f t="shared" si="147"/>
        <v>0</v>
      </c>
      <c r="O1213">
        <f t="shared" si="148"/>
        <v>-1.4888363213811928E-3</v>
      </c>
      <c r="P1213">
        <f t="shared" si="149"/>
        <v>0</v>
      </c>
      <c r="Q1213">
        <f t="shared" si="150"/>
        <v>0</v>
      </c>
    </row>
    <row r="1214" spans="1:17">
      <c r="A1214" s="1">
        <v>44222</v>
      </c>
      <c r="B1214">
        <v>3849.62</v>
      </c>
      <c r="C1214">
        <f t="shared" si="144"/>
        <v>-1.4888363213811928E-3</v>
      </c>
      <c r="D1214">
        <f t="shared" si="151"/>
        <v>-8.9538990986415268E-4</v>
      </c>
      <c r="E1214">
        <f>_xlfn.XLOOKUP(A1214,VIX!A:A,VIX!B:B,"",-1)</f>
        <v>23.02</v>
      </c>
      <c r="F1214">
        <f t="shared" si="145"/>
        <v>-0.17000000000000171</v>
      </c>
      <c r="G1214">
        <f>_xlfn.XLOOKUP(A1214,'DGS10'!A:A,'DGS10'!B:B,"",-1)</f>
        <v>1.05</v>
      </c>
      <c r="H1214">
        <f t="shared" si="146"/>
        <v>0</v>
      </c>
      <c r="I1214" s="2">
        <f>_xlfn.XLOOKUP(A1214,T10Y3M!A:A,T10Y3M!B:B,"",-1)</f>
        <v>0.98</v>
      </c>
      <c r="J1214" s="2">
        <f>_xlfn.XLOOKUP(A1214,BAMLC0A4CBBB!A:A,BAMLC0A4CBBB!B:B,"",-1)</f>
        <v>1.27</v>
      </c>
      <c r="K1214" s="2">
        <f>_xlfn.XLOOKUP(A1214,CPIAUCSL!A:A,CPIAUCSL!B:B,"",-1)</f>
        <v>262.68700000000001</v>
      </c>
      <c r="L1214">
        <f>_xlfn.XLOOKUP(A1214,DFF!A:A,DFF!B:B,"",-1)</f>
        <v>0.08</v>
      </c>
      <c r="M1214">
        <f>_xlfn.XLOOKUP(A1214,'DGS2'!A:A,'DGS2'!B:B,"",-1)</f>
        <v>0.11</v>
      </c>
      <c r="N1214">
        <f t="shared" si="147"/>
        <v>-2.0000000000000004E-2</v>
      </c>
      <c r="O1214">
        <f t="shared" si="148"/>
        <v>-2.5677859113367063E-2</v>
      </c>
      <c r="P1214">
        <f t="shared" si="149"/>
        <v>0</v>
      </c>
      <c r="Q1214">
        <f t="shared" si="150"/>
        <v>-1</v>
      </c>
    </row>
    <row r="1215" spans="1:17">
      <c r="A1215" s="1">
        <v>44223</v>
      </c>
      <c r="B1215">
        <v>3750.77</v>
      </c>
      <c r="C1215">
        <f t="shared" si="144"/>
        <v>-2.5677859113367063E-2</v>
      </c>
      <c r="D1215">
        <f t="shared" si="151"/>
        <v>-2.361075317521677E-2</v>
      </c>
      <c r="E1215">
        <f>_xlfn.XLOOKUP(A1215,VIX!A:A,VIX!B:B,"",-1)</f>
        <v>37.21</v>
      </c>
      <c r="F1215">
        <f t="shared" si="145"/>
        <v>14.190000000000001</v>
      </c>
      <c r="G1215">
        <f>_xlfn.XLOOKUP(A1215,'DGS10'!A:A,'DGS10'!B:B,"",-1)</f>
        <v>1.04</v>
      </c>
      <c r="H1215">
        <f t="shared" si="146"/>
        <v>-1.0000000000000009E-2</v>
      </c>
      <c r="I1215" s="2">
        <f>_xlfn.XLOOKUP(A1215,T10Y3M!A:A,T10Y3M!B:B,"",-1)</f>
        <v>0.96</v>
      </c>
      <c r="J1215" s="2">
        <f>_xlfn.XLOOKUP(A1215,BAMLC0A4CBBB!A:A,BAMLC0A4CBBB!B:B,"",-1)</f>
        <v>1.28</v>
      </c>
      <c r="K1215" s="2">
        <f>_xlfn.XLOOKUP(A1215,CPIAUCSL!A:A,CPIAUCSL!B:B,"",-1)</f>
        <v>262.68700000000001</v>
      </c>
      <c r="L1215">
        <f>_xlfn.XLOOKUP(A1215,DFF!A:A,DFF!B:B,"",-1)</f>
        <v>0.08</v>
      </c>
      <c r="M1215">
        <f>_xlfn.XLOOKUP(A1215,'DGS2'!A:A,'DGS2'!B:B,"",-1)</f>
        <v>0.12</v>
      </c>
      <c r="N1215">
        <f t="shared" si="147"/>
        <v>9.999999999999995E-3</v>
      </c>
      <c r="O1215">
        <f t="shared" si="148"/>
        <v>9.7606624773047823E-3</v>
      </c>
      <c r="P1215">
        <f t="shared" si="149"/>
        <v>1</v>
      </c>
      <c r="Q1215">
        <f t="shared" si="150"/>
        <v>1</v>
      </c>
    </row>
    <row r="1216" spans="1:17">
      <c r="A1216" s="1">
        <v>44224</v>
      </c>
      <c r="B1216">
        <v>3787.38</v>
      </c>
      <c r="C1216">
        <f t="shared" si="144"/>
        <v>9.7606624773047823E-3</v>
      </c>
      <c r="D1216">
        <f t="shared" si="151"/>
        <v>-1.7632594621513897E-2</v>
      </c>
      <c r="E1216">
        <f>_xlfn.XLOOKUP(A1216,VIX!A:A,VIX!B:B,"",-1)</f>
        <v>30.21</v>
      </c>
      <c r="F1216">
        <f t="shared" si="145"/>
        <v>-7</v>
      </c>
      <c r="G1216">
        <f>_xlfn.XLOOKUP(A1216,'DGS10'!A:A,'DGS10'!B:B,"",-1)</f>
        <v>1.07</v>
      </c>
      <c r="H1216">
        <f t="shared" si="146"/>
        <v>3.0000000000000027E-2</v>
      </c>
      <c r="I1216" s="2">
        <f>_xlfn.XLOOKUP(A1216,T10Y3M!A:A,T10Y3M!B:B,"",-1)</f>
        <v>1</v>
      </c>
      <c r="J1216" s="2">
        <f>_xlfn.XLOOKUP(A1216,BAMLC0A4CBBB!A:A,BAMLC0A4CBBB!B:B,"",-1)</f>
        <v>1.28</v>
      </c>
      <c r="K1216" s="2">
        <f>_xlfn.XLOOKUP(A1216,CPIAUCSL!A:A,CPIAUCSL!B:B,"",-1)</f>
        <v>262.68700000000001</v>
      </c>
      <c r="L1216">
        <f>_xlfn.XLOOKUP(A1216,DFF!A:A,DFF!B:B,"",-1)</f>
        <v>7.0000000000000007E-2</v>
      </c>
      <c r="M1216">
        <f>_xlfn.XLOOKUP(A1216,'DGS2'!A:A,'DGS2'!B:B,"",-1)</f>
        <v>0.12</v>
      </c>
      <c r="N1216">
        <f t="shared" si="147"/>
        <v>0</v>
      </c>
      <c r="O1216">
        <f t="shared" si="148"/>
        <v>-1.9311502938707092E-2</v>
      </c>
      <c r="P1216">
        <f t="shared" si="149"/>
        <v>0</v>
      </c>
      <c r="Q1216">
        <f t="shared" si="150"/>
        <v>-1</v>
      </c>
    </row>
    <row r="1217" spans="1:17">
      <c r="A1217" s="1">
        <v>44225</v>
      </c>
      <c r="B1217">
        <v>3714.24</v>
      </c>
      <c r="C1217">
        <f t="shared" si="144"/>
        <v>-1.9311502938707092E-2</v>
      </c>
      <c r="D1217">
        <f t="shared" si="151"/>
        <v>-3.5167107402808595E-2</v>
      </c>
      <c r="E1217">
        <f>_xlfn.XLOOKUP(A1217,VIX!A:A,VIX!B:B,"",-1)</f>
        <v>33.090000000000003</v>
      </c>
      <c r="F1217">
        <f t="shared" si="145"/>
        <v>2.8800000000000026</v>
      </c>
      <c r="G1217">
        <f>_xlfn.XLOOKUP(A1217,'DGS10'!A:A,'DGS10'!B:B,"",-1)</f>
        <v>1.1100000000000001</v>
      </c>
      <c r="H1217">
        <f t="shared" si="146"/>
        <v>4.0000000000000036E-2</v>
      </c>
      <c r="I1217" s="2">
        <f>_xlfn.XLOOKUP(A1217,T10Y3M!A:A,T10Y3M!B:B,"",-1)</f>
        <v>1.05</v>
      </c>
      <c r="J1217" s="2">
        <f>_xlfn.XLOOKUP(A1217,BAMLC0A4CBBB!A:A,BAMLC0A4CBBB!B:B,"",-1)</f>
        <v>1.27</v>
      </c>
      <c r="K1217" s="2">
        <f>_xlfn.XLOOKUP(A1217,CPIAUCSL!A:A,CPIAUCSL!B:B,"",-1)</f>
        <v>262.68700000000001</v>
      </c>
      <c r="L1217">
        <f>_xlfn.XLOOKUP(A1217,DFF!A:A,DFF!B:B,"",-1)</f>
        <v>7.0000000000000007E-2</v>
      </c>
      <c r="M1217">
        <f>_xlfn.XLOOKUP(A1217,'DGS2'!A:A,'DGS2'!B:B,"",-1)</f>
        <v>0.11</v>
      </c>
      <c r="N1217">
        <f t="shared" si="147"/>
        <v>-9.999999999999995E-3</v>
      </c>
      <c r="O1217">
        <f t="shared" si="148"/>
        <v>1.6051736021366558E-2</v>
      </c>
      <c r="P1217">
        <f t="shared" si="149"/>
        <v>1</v>
      </c>
      <c r="Q1217">
        <f t="shared" si="150"/>
        <v>1</v>
      </c>
    </row>
    <row r="1218" spans="1:17">
      <c r="A1218" s="1">
        <v>44228</v>
      </c>
      <c r="B1218">
        <v>3773.86</v>
      </c>
      <c r="C1218">
        <f t="shared" si="144"/>
        <v>1.6051736021366558E-2</v>
      </c>
      <c r="D1218">
        <f t="shared" si="151"/>
        <v>6.1560692871063249E-3</v>
      </c>
      <c r="E1218">
        <f>_xlfn.XLOOKUP(A1218,VIX!A:A,VIX!B:B,"",-1)</f>
        <v>30.24</v>
      </c>
      <c r="F1218">
        <f t="shared" si="145"/>
        <v>-2.850000000000005</v>
      </c>
      <c r="G1218">
        <f>_xlfn.XLOOKUP(A1218,'DGS10'!A:A,'DGS10'!B:B,"",-1)</f>
        <v>1.0900000000000001</v>
      </c>
      <c r="H1218">
        <f t="shared" si="146"/>
        <v>-2.0000000000000018E-2</v>
      </c>
      <c r="I1218" s="2">
        <f>_xlfn.XLOOKUP(A1218,T10Y3M!A:A,T10Y3M!B:B,"",-1)</f>
        <v>1.02</v>
      </c>
      <c r="J1218" s="2">
        <f>_xlfn.XLOOKUP(A1218,BAMLC0A4CBBB!A:A,BAMLC0A4CBBB!B:B,"",-1)</f>
        <v>1.29</v>
      </c>
      <c r="K1218" s="2">
        <f>_xlfn.XLOOKUP(A1218,CPIAUCSL!A:A,CPIAUCSL!B:B,"",-1)</f>
        <v>263.57900000000001</v>
      </c>
      <c r="L1218">
        <f>_xlfn.XLOOKUP(A1218,DFF!A:A,DFF!B:B,"",-1)</f>
        <v>0.08</v>
      </c>
      <c r="M1218">
        <f>_xlfn.XLOOKUP(A1218,'DGS2'!A:A,'DGS2'!B:B,"",-1)</f>
        <v>0.11</v>
      </c>
      <c r="N1218">
        <f t="shared" si="147"/>
        <v>0</v>
      </c>
      <c r="O1218">
        <f t="shared" si="148"/>
        <v>1.3898236818535858E-2</v>
      </c>
      <c r="P1218">
        <f t="shared" si="149"/>
        <v>1</v>
      </c>
      <c r="Q1218">
        <f t="shared" si="150"/>
        <v>1</v>
      </c>
    </row>
    <row r="1219" spans="1:17">
      <c r="A1219" s="1">
        <v>44229</v>
      </c>
      <c r="B1219">
        <v>3826.31</v>
      </c>
      <c r="C1219">
        <f t="shared" si="144"/>
        <v>1.3898236818535858E-2</v>
      </c>
      <c r="D1219">
        <f t="shared" si="151"/>
        <v>1.0278873522065357E-2</v>
      </c>
      <c r="E1219">
        <f>_xlfn.XLOOKUP(A1219,VIX!A:A,VIX!B:B,"",-1)</f>
        <v>25.56</v>
      </c>
      <c r="F1219">
        <f t="shared" si="145"/>
        <v>-4.68</v>
      </c>
      <c r="G1219">
        <f>_xlfn.XLOOKUP(A1219,'DGS10'!A:A,'DGS10'!B:B,"",-1)</f>
        <v>1.1200000000000001</v>
      </c>
      <c r="H1219">
        <f t="shared" si="146"/>
        <v>3.0000000000000027E-2</v>
      </c>
      <c r="I1219" s="2">
        <f>_xlfn.XLOOKUP(A1219,T10Y3M!A:A,T10Y3M!B:B,"",-1)</f>
        <v>1.05</v>
      </c>
      <c r="J1219" s="2">
        <f>_xlfn.XLOOKUP(A1219,BAMLC0A4CBBB!A:A,BAMLC0A4CBBB!B:B,"",-1)</f>
        <v>1.28</v>
      </c>
      <c r="K1219" s="2">
        <f>_xlfn.XLOOKUP(A1219,CPIAUCSL!A:A,CPIAUCSL!B:B,"",-1)</f>
        <v>263.57900000000001</v>
      </c>
      <c r="L1219">
        <f>_xlfn.XLOOKUP(A1219,DFF!A:A,DFF!B:B,"",-1)</f>
        <v>0.08</v>
      </c>
      <c r="M1219">
        <f>_xlfn.XLOOKUP(A1219,'DGS2'!A:A,'DGS2'!B:B,"",-1)</f>
        <v>0.11</v>
      </c>
      <c r="N1219">
        <f t="shared" si="147"/>
        <v>0</v>
      </c>
      <c r="O1219">
        <f t="shared" si="148"/>
        <v>1.0088048276277739E-3</v>
      </c>
      <c r="P1219">
        <f t="shared" si="149"/>
        <v>1</v>
      </c>
      <c r="Q1219">
        <f t="shared" si="150"/>
        <v>0</v>
      </c>
    </row>
    <row r="1220" spans="1:17">
      <c r="A1220" s="1">
        <v>44230</v>
      </c>
      <c r="B1220">
        <v>3830.17</v>
      </c>
      <c r="C1220">
        <f t="shared" ref="C1220:C1283" si="152">IF(OR(B1220="",B1219=""),"",(B1220/B1219)-1)</f>
        <v>1.0088048276277739E-3</v>
      </c>
      <c r="D1220">
        <f t="shared" si="151"/>
        <v>3.1212307228396741E-2</v>
      </c>
      <c r="E1220">
        <f>_xlfn.XLOOKUP(A1220,VIX!A:A,VIX!B:B,"",-1)</f>
        <v>22.91</v>
      </c>
      <c r="F1220">
        <f t="shared" ref="F1220:F1283" si="153">IF(OR(E1220="",E1219=""),"",E1220-E1219)</f>
        <v>-2.6499999999999986</v>
      </c>
      <c r="G1220">
        <f>_xlfn.XLOOKUP(A1220,'DGS10'!A:A,'DGS10'!B:B,"",-1)</f>
        <v>1.1499999999999999</v>
      </c>
      <c r="H1220">
        <f t="shared" ref="H1220:H1283" si="154">IF(OR(G1220="",G1219=""),"",G1220-G1219)</f>
        <v>2.9999999999999805E-2</v>
      </c>
      <c r="I1220" s="2">
        <f>_xlfn.XLOOKUP(A1220,T10Y3M!A:A,T10Y3M!B:B,"",-1)</f>
        <v>1.1100000000000001</v>
      </c>
      <c r="J1220" s="2">
        <f>_xlfn.XLOOKUP(A1220,BAMLC0A4CBBB!A:A,BAMLC0A4CBBB!B:B,"",-1)</f>
        <v>1.27</v>
      </c>
      <c r="K1220" s="2">
        <f>_xlfn.XLOOKUP(A1220,CPIAUCSL!A:A,CPIAUCSL!B:B,"",-1)</f>
        <v>263.57900000000001</v>
      </c>
      <c r="L1220">
        <f>_xlfn.XLOOKUP(A1220,DFF!A:A,DFF!B:B,"",-1)</f>
        <v>0.08</v>
      </c>
      <c r="M1220">
        <f>_xlfn.XLOOKUP(A1220,'DGS2'!A:A,'DGS2'!B:B,"",-1)</f>
        <v>0.11</v>
      </c>
      <c r="N1220">
        <f t="shared" ref="N1220:N1283" si="155">IF(OR(M1220="",M1219=""),"",M1220-M1219)</f>
        <v>0</v>
      </c>
      <c r="O1220">
        <f t="shared" ref="O1220:O1283" si="156">IF(OR(B1221="",B1220=""),"",(B1221/B1220)-1)</f>
        <v>1.0853304161434041E-2</v>
      </c>
      <c r="P1220">
        <f t="shared" ref="P1220:P1283" si="157">IF(O1220="","",IF(O1220&gt;0,1,0))</f>
        <v>1</v>
      </c>
      <c r="Q1220">
        <f t="shared" ref="Q1220:Q1283" si="158">IF(O1220="","",IF(O1220&gt;0.003,1,IF(O1220&lt;-0.003,-1,0)))</f>
        <v>1</v>
      </c>
    </row>
    <row r="1221" spans="1:17">
      <c r="A1221" s="1">
        <v>44231</v>
      </c>
      <c r="B1221">
        <v>3871.74</v>
      </c>
      <c r="C1221">
        <f t="shared" si="152"/>
        <v>1.0853304161434041E-2</v>
      </c>
      <c r="D1221">
        <f t="shared" si="151"/>
        <v>2.593630924305601E-2</v>
      </c>
      <c r="E1221">
        <f>_xlfn.XLOOKUP(A1221,VIX!A:A,VIX!B:B,"",-1)</f>
        <v>21.77</v>
      </c>
      <c r="F1221">
        <f t="shared" si="153"/>
        <v>-1.1400000000000006</v>
      </c>
      <c r="G1221">
        <f>_xlfn.XLOOKUP(A1221,'DGS10'!A:A,'DGS10'!B:B,"",-1)</f>
        <v>1.1499999999999999</v>
      </c>
      <c r="H1221">
        <f t="shared" si="154"/>
        <v>0</v>
      </c>
      <c r="I1221" s="2">
        <f>_xlfn.XLOOKUP(A1221,T10Y3M!A:A,T10Y3M!B:B,"",-1)</f>
        <v>1.1100000000000001</v>
      </c>
      <c r="J1221" s="2">
        <f>_xlfn.XLOOKUP(A1221,BAMLC0A4CBBB!A:A,BAMLC0A4CBBB!B:B,"",-1)</f>
        <v>1.25</v>
      </c>
      <c r="K1221" s="2">
        <f>_xlfn.XLOOKUP(A1221,CPIAUCSL!A:A,CPIAUCSL!B:B,"",-1)</f>
        <v>263.57900000000001</v>
      </c>
      <c r="L1221">
        <f>_xlfn.XLOOKUP(A1221,DFF!A:A,DFF!B:B,"",-1)</f>
        <v>0.08</v>
      </c>
      <c r="M1221">
        <f>_xlfn.XLOOKUP(A1221,'DGS2'!A:A,'DGS2'!B:B,"",-1)</f>
        <v>0.11</v>
      </c>
      <c r="N1221">
        <f t="shared" si="155"/>
        <v>0</v>
      </c>
      <c r="O1221">
        <f t="shared" si="156"/>
        <v>3.897472454245321E-3</v>
      </c>
      <c r="P1221">
        <f t="shared" si="157"/>
        <v>1</v>
      </c>
      <c r="Q1221">
        <f t="shared" si="158"/>
        <v>1</v>
      </c>
    </row>
    <row r="1222" spans="1:17">
      <c r="A1222" s="1">
        <v>44232</v>
      </c>
      <c r="B1222">
        <v>3886.83</v>
      </c>
      <c r="C1222">
        <f t="shared" si="152"/>
        <v>3.897472454245321E-3</v>
      </c>
      <c r="D1222">
        <f t="shared" ref="D1222:D1285" si="159">IF(OR(B1222="",B1219=""),"",(B1222/B1219)-1)</f>
        <v>1.5816805224877273E-2</v>
      </c>
      <c r="E1222">
        <f>_xlfn.XLOOKUP(A1222,VIX!A:A,VIX!B:B,"",-1)</f>
        <v>20.87</v>
      </c>
      <c r="F1222">
        <f t="shared" si="153"/>
        <v>-0.89999999999999858</v>
      </c>
      <c r="G1222">
        <f>_xlfn.XLOOKUP(A1222,'DGS10'!A:A,'DGS10'!B:B,"",-1)</f>
        <v>1.19</v>
      </c>
      <c r="H1222">
        <f t="shared" si="154"/>
        <v>4.0000000000000036E-2</v>
      </c>
      <c r="I1222" s="2">
        <f>_xlfn.XLOOKUP(A1222,T10Y3M!A:A,T10Y3M!B:B,"",-1)</f>
        <v>1.1599999999999999</v>
      </c>
      <c r="J1222" s="2">
        <f>_xlfn.XLOOKUP(A1222,BAMLC0A4CBBB!A:A,BAMLC0A4CBBB!B:B,"",-1)</f>
        <v>1.24</v>
      </c>
      <c r="K1222" s="2">
        <f>_xlfn.XLOOKUP(A1222,CPIAUCSL!A:A,CPIAUCSL!B:B,"",-1)</f>
        <v>263.57900000000001</v>
      </c>
      <c r="L1222">
        <f>_xlfn.XLOOKUP(A1222,DFF!A:A,DFF!B:B,"",-1)</f>
        <v>0.08</v>
      </c>
      <c r="M1222">
        <f>_xlfn.XLOOKUP(A1222,'DGS2'!A:A,'DGS2'!B:B,"",-1)</f>
        <v>0.09</v>
      </c>
      <c r="N1222">
        <f t="shared" si="155"/>
        <v>-2.0000000000000004E-2</v>
      </c>
      <c r="O1222">
        <f t="shared" si="156"/>
        <v>7.3993459966090747E-3</v>
      </c>
      <c r="P1222">
        <f t="shared" si="157"/>
        <v>1</v>
      </c>
      <c r="Q1222">
        <f t="shared" si="158"/>
        <v>1</v>
      </c>
    </row>
    <row r="1223" spans="1:17">
      <c r="A1223" s="1">
        <v>44235</v>
      </c>
      <c r="B1223">
        <v>3915.59</v>
      </c>
      <c r="C1223">
        <f t="shared" si="152"/>
        <v>7.3993459966090747E-3</v>
      </c>
      <c r="D1223">
        <f t="shared" si="159"/>
        <v>2.2301882161888331E-2</v>
      </c>
      <c r="E1223">
        <f>_xlfn.XLOOKUP(A1223,VIX!A:A,VIX!B:B,"",-1)</f>
        <v>21.24</v>
      </c>
      <c r="F1223">
        <f t="shared" si="153"/>
        <v>0.36999999999999744</v>
      </c>
      <c r="G1223">
        <f>_xlfn.XLOOKUP(A1223,'DGS10'!A:A,'DGS10'!B:B,"",-1)</f>
        <v>1.19</v>
      </c>
      <c r="H1223">
        <f t="shared" si="154"/>
        <v>0</v>
      </c>
      <c r="I1223" s="2">
        <f>_xlfn.XLOOKUP(A1223,T10Y3M!A:A,T10Y3M!B:B,"",-1)</f>
        <v>1.1399999999999999</v>
      </c>
      <c r="J1223" s="2">
        <f>_xlfn.XLOOKUP(A1223,BAMLC0A4CBBB!A:A,BAMLC0A4CBBB!B:B,"",-1)</f>
        <v>1.22</v>
      </c>
      <c r="K1223" s="2">
        <f>_xlfn.XLOOKUP(A1223,CPIAUCSL!A:A,CPIAUCSL!B:B,"",-1)</f>
        <v>263.57900000000001</v>
      </c>
      <c r="L1223">
        <f>_xlfn.XLOOKUP(A1223,DFF!A:A,DFF!B:B,"",-1)</f>
        <v>7.0000000000000007E-2</v>
      </c>
      <c r="M1223">
        <f>_xlfn.XLOOKUP(A1223,'DGS2'!A:A,'DGS2'!B:B,"",-1)</f>
        <v>0.11</v>
      </c>
      <c r="N1223">
        <f t="shared" si="155"/>
        <v>2.0000000000000004E-2</v>
      </c>
      <c r="O1223">
        <f t="shared" si="156"/>
        <v>-1.1134975827398197E-3</v>
      </c>
      <c r="P1223">
        <f t="shared" si="157"/>
        <v>0</v>
      </c>
      <c r="Q1223">
        <f t="shared" si="158"/>
        <v>0</v>
      </c>
    </row>
    <row r="1224" spans="1:17">
      <c r="A1224" s="1">
        <v>44236</v>
      </c>
      <c r="B1224">
        <v>3911.23</v>
      </c>
      <c r="C1224">
        <f t="shared" si="152"/>
        <v>-1.1134975827398197E-3</v>
      </c>
      <c r="D1224">
        <f t="shared" si="159"/>
        <v>1.019954852340299E-2</v>
      </c>
      <c r="E1224">
        <f>_xlfn.XLOOKUP(A1224,VIX!A:A,VIX!B:B,"",-1)</f>
        <v>21.63</v>
      </c>
      <c r="F1224">
        <f t="shared" si="153"/>
        <v>0.39000000000000057</v>
      </c>
      <c r="G1224">
        <f>_xlfn.XLOOKUP(A1224,'DGS10'!A:A,'DGS10'!B:B,"",-1)</f>
        <v>1.18</v>
      </c>
      <c r="H1224">
        <f t="shared" si="154"/>
        <v>-1.0000000000000009E-2</v>
      </c>
      <c r="I1224" s="2">
        <f>_xlfn.XLOOKUP(A1224,T10Y3M!A:A,T10Y3M!B:B,"",-1)</f>
        <v>1.1399999999999999</v>
      </c>
      <c r="J1224" s="2">
        <f>_xlfn.XLOOKUP(A1224,BAMLC0A4CBBB!A:A,BAMLC0A4CBBB!B:B,"",-1)</f>
        <v>1.22</v>
      </c>
      <c r="K1224" s="2">
        <f>_xlfn.XLOOKUP(A1224,CPIAUCSL!A:A,CPIAUCSL!B:B,"",-1)</f>
        <v>263.57900000000001</v>
      </c>
      <c r="L1224">
        <f>_xlfn.XLOOKUP(A1224,DFF!A:A,DFF!B:B,"",-1)</f>
        <v>0.08</v>
      </c>
      <c r="M1224">
        <f>_xlfn.XLOOKUP(A1224,'DGS2'!A:A,'DGS2'!B:B,"",-1)</f>
        <v>0.11</v>
      </c>
      <c r="N1224">
        <f t="shared" si="155"/>
        <v>0</v>
      </c>
      <c r="O1224">
        <f t="shared" si="156"/>
        <v>-3.4515996246697878E-4</v>
      </c>
      <c r="P1224">
        <f t="shared" si="157"/>
        <v>0</v>
      </c>
      <c r="Q1224">
        <f t="shared" si="158"/>
        <v>0</v>
      </c>
    </row>
    <row r="1225" spans="1:17">
      <c r="A1225" s="1">
        <v>44237</v>
      </c>
      <c r="B1225">
        <v>3909.88</v>
      </c>
      <c r="C1225">
        <f t="shared" si="152"/>
        <v>-3.4515996246697878E-4</v>
      </c>
      <c r="D1225">
        <f t="shared" si="159"/>
        <v>5.9302825181446472E-3</v>
      </c>
      <c r="E1225">
        <f>_xlfn.XLOOKUP(A1225,VIX!A:A,VIX!B:B,"",-1)</f>
        <v>21.99</v>
      </c>
      <c r="F1225">
        <f t="shared" si="153"/>
        <v>0.35999999999999943</v>
      </c>
      <c r="G1225">
        <f>_xlfn.XLOOKUP(A1225,'DGS10'!A:A,'DGS10'!B:B,"",-1)</f>
        <v>1.1499999999999999</v>
      </c>
      <c r="H1225">
        <f t="shared" si="154"/>
        <v>-3.0000000000000027E-2</v>
      </c>
      <c r="I1225" s="2">
        <f>_xlfn.XLOOKUP(A1225,T10Y3M!A:A,T10Y3M!B:B,"",-1)</f>
        <v>1.1000000000000001</v>
      </c>
      <c r="J1225" s="2">
        <f>_xlfn.XLOOKUP(A1225,BAMLC0A4CBBB!A:A,BAMLC0A4CBBB!B:B,"",-1)</f>
        <v>1.22</v>
      </c>
      <c r="K1225" s="2">
        <f>_xlfn.XLOOKUP(A1225,CPIAUCSL!A:A,CPIAUCSL!B:B,"",-1)</f>
        <v>263.57900000000001</v>
      </c>
      <c r="L1225">
        <f>_xlfn.XLOOKUP(A1225,DFF!A:A,DFF!B:B,"",-1)</f>
        <v>0.08</v>
      </c>
      <c r="M1225">
        <f>_xlfn.XLOOKUP(A1225,'DGS2'!A:A,'DGS2'!B:B,"",-1)</f>
        <v>0.11</v>
      </c>
      <c r="N1225">
        <f t="shared" si="155"/>
        <v>0</v>
      </c>
      <c r="O1225">
        <f t="shared" si="156"/>
        <v>1.6624551137118804E-3</v>
      </c>
      <c r="P1225">
        <f t="shared" si="157"/>
        <v>1</v>
      </c>
      <c r="Q1225">
        <f t="shared" si="158"/>
        <v>0</v>
      </c>
    </row>
    <row r="1226" spans="1:17">
      <c r="A1226" s="1">
        <v>44238</v>
      </c>
      <c r="B1226">
        <v>3916.38</v>
      </c>
      <c r="C1226">
        <f t="shared" si="152"/>
        <v>1.6624551137118804E-3</v>
      </c>
      <c r="D1226">
        <f t="shared" si="159"/>
        <v>2.017575895330026E-4</v>
      </c>
      <c r="E1226">
        <f>_xlfn.XLOOKUP(A1226,VIX!A:A,VIX!B:B,"",-1)</f>
        <v>21.25</v>
      </c>
      <c r="F1226">
        <f t="shared" si="153"/>
        <v>-0.73999999999999844</v>
      </c>
      <c r="G1226">
        <f>_xlfn.XLOOKUP(A1226,'DGS10'!A:A,'DGS10'!B:B,"",-1)</f>
        <v>1.1599999999999999</v>
      </c>
      <c r="H1226">
        <f t="shared" si="154"/>
        <v>1.0000000000000009E-2</v>
      </c>
      <c r="I1226" s="2">
        <f>_xlfn.XLOOKUP(A1226,T10Y3M!A:A,T10Y3M!B:B,"",-1)</f>
        <v>1.1100000000000001</v>
      </c>
      <c r="J1226" s="2">
        <f>_xlfn.XLOOKUP(A1226,BAMLC0A4CBBB!A:A,BAMLC0A4CBBB!B:B,"",-1)</f>
        <v>1.22</v>
      </c>
      <c r="K1226" s="2">
        <f>_xlfn.XLOOKUP(A1226,CPIAUCSL!A:A,CPIAUCSL!B:B,"",-1)</f>
        <v>263.57900000000001</v>
      </c>
      <c r="L1226">
        <f>_xlfn.XLOOKUP(A1226,DFF!A:A,DFF!B:B,"",-1)</f>
        <v>0.08</v>
      </c>
      <c r="M1226">
        <f>_xlfn.XLOOKUP(A1226,'DGS2'!A:A,'DGS2'!B:B,"",-1)</f>
        <v>0.11</v>
      </c>
      <c r="N1226">
        <f t="shared" si="155"/>
        <v>0</v>
      </c>
      <c r="O1226">
        <f t="shared" si="156"/>
        <v>4.7109831017417836E-3</v>
      </c>
      <c r="P1226">
        <f t="shared" si="157"/>
        <v>1</v>
      </c>
      <c r="Q1226">
        <f t="shared" si="158"/>
        <v>1</v>
      </c>
    </row>
    <row r="1227" spans="1:17">
      <c r="A1227" s="1">
        <v>44239</v>
      </c>
      <c r="B1227">
        <v>3934.83</v>
      </c>
      <c r="C1227">
        <f t="shared" si="152"/>
        <v>4.7109831017417836E-3</v>
      </c>
      <c r="D1227">
        <f t="shared" si="159"/>
        <v>6.0339074920165992E-3</v>
      </c>
      <c r="E1227">
        <f>_xlfn.XLOOKUP(A1227,VIX!A:A,VIX!B:B,"",-1)</f>
        <v>19.97</v>
      </c>
      <c r="F1227">
        <f t="shared" si="153"/>
        <v>-1.2800000000000011</v>
      </c>
      <c r="G1227">
        <f>_xlfn.XLOOKUP(A1227,'DGS10'!A:A,'DGS10'!B:B,"",-1)</f>
        <v>1.2</v>
      </c>
      <c r="H1227">
        <f t="shared" si="154"/>
        <v>4.0000000000000036E-2</v>
      </c>
      <c r="I1227" s="2">
        <f>_xlfn.XLOOKUP(A1227,T10Y3M!A:A,T10Y3M!B:B,"",-1)</f>
        <v>1.1599999999999999</v>
      </c>
      <c r="J1227" s="2">
        <f>_xlfn.XLOOKUP(A1227,BAMLC0A4CBBB!A:A,BAMLC0A4CBBB!B:B,"",-1)</f>
        <v>1.22</v>
      </c>
      <c r="K1227" s="2">
        <f>_xlfn.XLOOKUP(A1227,CPIAUCSL!A:A,CPIAUCSL!B:B,"",-1)</f>
        <v>263.57900000000001</v>
      </c>
      <c r="L1227">
        <f>_xlfn.XLOOKUP(A1227,DFF!A:A,DFF!B:B,"",-1)</f>
        <v>0.08</v>
      </c>
      <c r="M1227">
        <f>_xlfn.XLOOKUP(A1227,'DGS2'!A:A,'DGS2'!B:B,"",-1)</f>
        <v>0.11</v>
      </c>
      <c r="N1227">
        <f t="shared" si="155"/>
        <v>0</v>
      </c>
      <c r="O1227">
        <f t="shared" si="156"/>
        <v>-5.6927491149549869E-4</v>
      </c>
      <c r="P1227">
        <f t="shared" si="157"/>
        <v>0</v>
      </c>
      <c r="Q1227">
        <f t="shared" si="158"/>
        <v>0</v>
      </c>
    </row>
    <row r="1228" spans="1:17">
      <c r="A1228" s="1">
        <v>44243</v>
      </c>
      <c r="B1228">
        <v>3932.59</v>
      </c>
      <c r="C1228">
        <f t="shared" si="152"/>
        <v>-5.6927491149549869E-4</v>
      </c>
      <c r="D1228">
        <f t="shared" si="159"/>
        <v>5.8083624049842797E-3</v>
      </c>
      <c r="E1228">
        <f>_xlfn.XLOOKUP(A1228,VIX!A:A,VIX!B:B,"",-1)</f>
        <v>21.46</v>
      </c>
      <c r="F1228">
        <f t="shared" si="153"/>
        <v>1.490000000000002</v>
      </c>
      <c r="G1228">
        <f>_xlfn.XLOOKUP(A1228,'DGS10'!A:A,'DGS10'!B:B,"",-1)</f>
        <v>1.3</v>
      </c>
      <c r="H1228">
        <f t="shared" si="154"/>
        <v>0.10000000000000009</v>
      </c>
      <c r="I1228" s="2">
        <f>_xlfn.XLOOKUP(A1228,T10Y3M!A:A,T10Y3M!B:B,"",-1)</f>
        <v>1.26</v>
      </c>
      <c r="J1228" s="2">
        <f>_xlfn.XLOOKUP(A1228,BAMLC0A4CBBB!A:A,BAMLC0A4CBBB!B:B,"",-1)</f>
        <v>1.19</v>
      </c>
      <c r="K1228" s="2">
        <f>_xlfn.XLOOKUP(A1228,CPIAUCSL!A:A,CPIAUCSL!B:B,"",-1)</f>
        <v>263.57900000000001</v>
      </c>
      <c r="L1228">
        <f>_xlfn.XLOOKUP(A1228,DFF!A:A,DFF!B:B,"",-1)</f>
        <v>0.08</v>
      </c>
      <c r="M1228">
        <f>_xlfn.XLOOKUP(A1228,'DGS2'!A:A,'DGS2'!B:B,"",-1)</f>
        <v>0.13</v>
      </c>
      <c r="N1228">
        <f t="shared" si="155"/>
        <v>2.0000000000000004E-2</v>
      </c>
      <c r="O1228">
        <f t="shared" si="156"/>
        <v>-3.2039953313212077E-4</v>
      </c>
      <c r="P1228">
        <f t="shared" si="157"/>
        <v>0</v>
      </c>
      <c r="Q1228">
        <f t="shared" si="158"/>
        <v>0</v>
      </c>
    </row>
    <row r="1229" spans="1:17">
      <c r="A1229" s="1">
        <v>44244</v>
      </c>
      <c r="B1229">
        <v>3931.33</v>
      </c>
      <c r="C1229">
        <f t="shared" si="152"/>
        <v>-3.2039953313212077E-4</v>
      </c>
      <c r="D1229">
        <f t="shared" si="159"/>
        <v>3.8173006705171098E-3</v>
      </c>
      <c r="E1229">
        <f>_xlfn.XLOOKUP(A1229,VIX!A:A,VIX!B:B,"",-1)</f>
        <v>21.5</v>
      </c>
      <c r="F1229">
        <f t="shared" si="153"/>
        <v>3.9999999999999147E-2</v>
      </c>
      <c r="G1229">
        <f>_xlfn.XLOOKUP(A1229,'DGS10'!A:A,'DGS10'!B:B,"",-1)</f>
        <v>1.29</v>
      </c>
      <c r="H1229">
        <f t="shared" si="154"/>
        <v>-1.0000000000000009E-2</v>
      </c>
      <c r="I1229" s="2">
        <f>_xlfn.XLOOKUP(A1229,T10Y3M!A:A,T10Y3M!B:B,"",-1)</f>
        <v>1.25</v>
      </c>
      <c r="J1229" s="2">
        <f>_xlfn.XLOOKUP(A1229,BAMLC0A4CBBB!A:A,BAMLC0A4CBBB!B:B,"",-1)</f>
        <v>1.18</v>
      </c>
      <c r="K1229" s="2">
        <f>_xlfn.XLOOKUP(A1229,CPIAUCSL!A:A,CPIAUCSL!B:B,"",-1)</f>
        <v>263.57900000000001</v>
      </c>
      <c r="L1229">
        <f>_xlfn.XLOOKUP(A1229,DFF!A:A,DFF!B:B,"",-1)</f>
        <v>0.08</v>
      </c>
      <c r="M1229">
        <f>_xlfn.XLOOKUP(A1229,'DGS2'!A:A,'DGS2'!B:B,"",-1)</f>
        <v>0.11</v>
      </c>
      <c r="N1229">
        <f t="shared" si="155"/>
        <v>-2.0000000000000004E-2</v>
      </c>
      <c r="O1229">
        <f t="shared" si="156"/>
        <v>-4.4158083905446732E-3</v>
      </c>
      <c r="P1229">
        <f t="shared" si="157"/>
        <v>0</v>
      </c>
      <c r="Q1229">
        <f t="shared" si="158"/>
        <v>-1</v>
      </c>
    </row>
    <row r="1230" spans="1:17">
      <c r="A1230" s="1">
        <v>44245</v>
      </c>
      <c r="B1230">
        <v>3913.97</v>
      </c>
      <c r="C1230">
        <f t="shared" si="152"/>
        <v>-4.4158083905446732E-3</v>
      </c>
      <c r="D1230">
        <f t="shared" si="159"/>
        <v>-5.3013726133022132E-3</v>
      </c>
      <c r="E1230">
        <f>_xlfn.XLOOKUP(A1230,VIX!A:A,VIX!B:B,"",-1)</f>
        <v>22.49</v>
      </c>
      <c r="F1230">
        <f t="shared" si="153"/>
        <v>0.98999999999999844</v>
      </c>
      <c r="G1230">
        <f>_xlfn.XLOOKUP(A1230,'DGS10'!A:A,'DGS10'!B:B,"",-1)</f>
        <v>1.29</v>
      </c>
      <c r="H1230">
        <f t="shared" si="154"/>
        <v>0</v>
      </c>
      <c r="I1230" s="2">
        <f>_xlfn.XLOOKUP(A1230,T10Y3M!A:A,T10Y3M!B:B,"",-1)</f>
        <v>1.26</v>
      </c>
      <c r="J1230" s="2">
        <f>_xlfn.XLOOKUP(A1230,BAMLC0A4CBBB!A:A,BAMLC0A4CBBB!B:B,"",-1)</f>
        <v>1.18</v>
      </c>
      <c r="K1230" s="2">
        <f>_xlfn.XLOOKUP(A1230,CPIAUCSL!A:A,CPIAUCSL!B:B,"",-1)</f>
        <v>263.57900000000001</v>
      </c>
      <c r="L1230">
        <f>_xlfn.XLOOKUP(A1230,DFF!A:A,DFF!B:B,"",-1)</f>
        <v>7.0000000000000007E-2</v>
      </c>
      <c r="M1230">
        <f>_xlfn.XLOOKUP(A1230,'DGS2'!A:A,'DGS2'!B:B,"",-1)</f>
        <v>0.11</v>
      </c>
      <c r="N1230">
        <f t="shared" si="155"/>
        <v>0</v>
      </c>
      <c r="O1230">
        <f t="shared" si="156"/>
        <v>-1.8548941356217874E-3</v>
      </c>
      <c r="P1230">
        <f t="shared" si="157"/>
        <v>0</v>
      </c>
      <c r="Q1230">
        <f t="shared" si="158"/>
        <v>0</v>
      </c>
    </row>
    <row r="1231" spans="1:17">
      <c r="A1231" s="1">
        <v>44246</v>
      </c>
      <c r="B1231">
        <v>3906.71</v>
      </c>
      <c r="C1231">
        <f t="shared" si="152"/>
        <v>-1.8548941356217874E-3</v>
      </c>
      <c r="D1231">
        <f t="shared" si="159"/>
        <v>-6.5809046963960505E-3</v>
      </c>
      <c r="E1231">
        <f>_xlfn.XLOOKUP(A1231,VIX!A:A,VIX!B:B,"",-1)</f>
        <v>22.05</v>
      </c>
      <c r="F1231">
        <f t="shared" si="153"/>
        <v>-0.43999999999999773</v>
      </c>
      <c r="G1231">
        <f>_xlfn.XLOOKUP(A1231,'DGS10'!A:A,'DGS10'!B:B,"",-1)</f>
        <v>1.34</v>
      </c>
      <c r="H1231">
        <f t="shared" si="154"/>
        <v>5.0000000000000044E-2</v>
      </c>
      <c r="I1231" s="2">
        <f>_xlfn.XLOOKUP(A1231,T10Y3M!A:A,T10Y3M!B:B,"",-1)</f>
        <v>1.3</v>
      </c>
      <c r="J1231" s="2">
        <f>_xlfn.XLOOKUP(A1231,BAMLC0A4CBBB!A:A,BAMLC0A4CBBB!B:B,"",-1)</f>
        <v>1.18</v>
      </c>
      <c r="K1231" s="2">
        <f>_xlfn.XLOOKUP(A1231,CPIAUCSL!A:A,CPIAUCSL!B:B,"",-1)</f>
        <v>263.57900000000001</v>
      </c>
      <c r="L1231">
        <f>_xlfn.XLOOKUP(A1231,DFF!A:A,DFF!B:B,"",-1)</f>
        <v>7.0000000000000007E-2</v>
      </c>
      <c r="M1231">
        <f>_xlfn.XLOOKUP(A1231,'DGS2'!A:A,'DGS2'!B:B,"",-1)</f>
        <v>0.11</v>
      </c>
      <c r="N1231">
        <f t="shared" si="155"/>
        <v>0</v>
      </c>
      <c r="O1231">
        <f t="shared" si="156"/>
        <v>-7.7328493796570141E-3</v>
      </c>
      <c r="P1231">
        <f t="shared" si="157"/>
        <v>0</v>
      </c>
      <c r="Q1231">
        <f t="shared" si="158"/>
        <v>-1</v>
      </c>
    </row>
    <row r="1232" spans="1:17">
      <c r="A1232" s="1">
        <v>44249</v>
      </c>
      <c r="B1232">
        <v>3876.5</v>
      </c>
      <c r="C1232">
        <f t="shared" si="152"/>
        <v>-7.7328493796570141E-3</v>
      </c>
      <c r="D1232">
        <f t="shared" si="159"/>
        <v>-1.3946933989260613E-2</v>
      </c>
      <c r="E1232">
        <f>_xlfn.XLOOKUP(A1232,VIX!A:A,VIX!B:B,"",-1)</f>
        <v>23.45</v>
      </c>
      <c r="F1232">
        <f t="shared" si="153"/>
        <v>1.3999999999999986</v>
      </c>
      <c r="G1232">
        <f>_xlfn.XLOOKUP(A1232,'DGS10'!A:A,'DGS10'!B:B,"",-1)</f>
        <v>1.37</v>
      </c>
      <c r="H1232">
        <f t="shared" si="154"/>
        <v>3.0000000000000027E-2</v>
      </c>
      <c r="I1232" s="2">
        <f>_xlfn.XLOOKUP(A1232,T10Y3M!A:A,T10Y3M!B:B,"",-1)</f>
        <v>1.34</v>
      </c>
      <c r="J1232" s="2">
        <f>_xlfn.XLOOKUP(A1232,BAMLC0A4CBBB!A:A,BAMLC0A4CBBB!B:B,"",-1)</f>
        <v>1.19</v>
      </c>
      <c r="K1232" s="2">
        <f>_xlfn.XLOOKUP(A1232,CPIAUCSL!A:A,CPIAUCSL!B:B,"",-1)</f>
        <v>263.57900000000001</v>
      </c>
      <c r="L1232">
        <f>_xlfn.XLOOKUP(A1232,DFF!A:A,DFF!B:B,"",-1)</f>
        <v>7.0000000000000007E-2</v>
      </c>
      <c r="M1232">
        <f>_xlfn.XLOOKUP(A1232,'DGS2'!A:A,'DGS2'!B:B,"",-1)</f>
        <v>0.11</v>
      </c>
      <c r="N1232">
        <f t="shared" si="155"/>
        <v>0</v>
      </c>
      <c r="O1232">
        <f t="shared" si="156"/>
        <v>1.2562878885591378E-3</v>
      </c>
      <c r="P1232">
        <f t="shared" si="157"/>
        <v>1</v>
      </c>
      <c r="Q1232">
        <f t="shared" si="158"/>
        <v>0</v>
      </c>
    </row>
    <row r="1233" spans="1:17">
      <c r="A1233" s="1">
        <v>44250</v>
      </c>
      <c r="B1233">
        <v>3881.37</v>
      </c>
      <c r="C1233">
        <f t="shared" si="152"/>
        <v>1.2562878885591378E-3</v>
      </c>
      <c r="D1233">
        <f t="shared" si="159"/>
        <v>-8.3291389560982143E-3</v>
      </c>
      <c r="E1233">
        <f>_xlfn.XLOOKUP(A1233,VIX!A:A,VIX!B:B,"",-1)</f>
        <v>23.11</v>
      </c>
      <c r="F1233">
        <f t="shared" si="153"/>
        <v>-0.33999999999999986</v>
      </c>
      <c r="G1233">
        <f>_xlfn.XLOOKUP(A1233,'DGS10'!A:A,'DGS10'!B:B,"",-1)</f>
        <v>1.37</v>
      </c>
      <c r="H1233">
        <f t="shared" si="154"/>
        <v>0</v>
      </c>
      <c r="I1233" s="2">
        <f>_xlfn.XLOOKUP(A1233,T10Y3M!A:A,T10Y3M!B:B,"",-1)</f>
        <v>1.33</v>
      </c>
      <c r="J1233" s="2">
        <f>_xlfn.XLOOKUP(A1233,BAMLC0A4CBBB!A:A,BAMLC0A4CBBB!B:B,"",-1)</f>
        <v>1.21</v>
      </c>
      <c r="K1233" s="2">
        <f>_xlfn.XLOOKUP(A1233,CPIAUCSL!A:A,CPIAUCSL!B:B,"",-1)</f>
        <v>263.57900000000001</v>
      </c>
      <c r="L1233">
        <f>_xlfn.XLOOKUP(A1233,DFF!A:A,DFF!B:B,"",-1)</f>
        <v>7.0000000000000007E-2</v>
      </c>
      <c r="M1233">
        <f>_xlfn.XLOOKUP(A1233,'DGS2'!A:A,'DGS2'!B:B,"",-1)</f>
        <v>0.11</v>
      </c>
      <c r="N1233">
        <f t="shared" si="155"/>
        <v>0</v>
      </c>
      <c r="O1233">
        <f t="shared" si="156"/>
        <v>1.135166191319037E-2</v>
      </c>
      <c r="P1233">
        <f t="shared" si="157"/>
        <v>1</v>
      </c>
      <c r="Q1233">
        <f t="shared" si="158"/>
        <v>1</v>
      </c>
    </row>
    <row r="1234" spans="1:17">
      <c r="A1234" s="1">
        <v>44251</v>
      </c>
      <c r="B1234">
        <v>3925.43</v>
      </c>
      <c r="C1234">
        <f t="shared" si="152"/>
        <v>1.135166191319037E-2</v>
      </c>
      <c r="D1234">
        <f t="shared" si="159"/>
        <v>4.7917557228460694E-3</v>
      </c>
      <c r="E1234">
        <f>_xlfn.XLOOKUP(A1234,VIX!A:A,VIX!B:B,"",-1)</f>
        <v>21.34</v>
      </c>
      <c r="F1234">
        <f t="shared" si="153"/>
        <v>-1.7699999999999996</v>
      </c>
      <c r="G1234">
        <f>_xlfn.XLOOKUP(A1234,'DGS10'!A:A,'DGS10'!B:B,"",-1)</f>
        <v>1.38</v>
      </c>
      <c r="H1234">
        <f t="shared" si="154"/>
        <v>9.9999999999997868E-3</v>
      </c>
      <c r="I1234" s="2">
        <f>_xlfn.XLOOKUP(A1234,T10Y3M!A:A,T10Y3M!B:B,"",-1)</f>
        <v>1.35</v>
      </c>
      <c r="J1234" s="2">
        <f>_xlfn.XLOOKUP(A1234,BAMLC0A4CBBB!A:A,BAMLC0A4CBBB!B:B,"",-1)</f>
        <v>1.2</v>
      </c>
      <c r="K1234" s="2">
        <f>_xlfn.XLOOKUP(A1234,CPIAUCSL!A:A,CPIAUCSL!B:B,"",-1)</f>
        <v>263.57900000000001</v>
      </c>
      <c r="L1234">
        <f>_xlfn.XLOOKUP(A1234,DFF!A:A,DFF!B:B,"",-1)</f>
        <v>7.0000000000000007E-2</v>
      </c>
      <c r="M1234">
        <f>_xlfn.XLOOKUP(A1234,'DGS2'!A:A,'DGS2'!B:B,"",-1)</f>
        <v>0.12</v>
      </c>
      <c r="N1234">
        <f t="shared" si="155"/>
        <v>9.999999999999995E-3</v>
      </c>
      <c r="O1234">
        <f t="shared" si="156"/>
        <v>-2.4478846903396523E-2</v>
      </c>
      <c r="P1234">
        <f t="shared" si="157"/>
        <v>0</v>
      </c>
      <c r="Q1234">
        <f t="shared" si="158"/>
        <v>-1</v>
      </c>
    </row>
    <row r="1235" spans="1:17">
      <c r="A1235" s="1">
        <v>44252</v>
      </c>
      <c r="B1235">
        <v>3829.34</v>
      </c>
      <c r="C1235">
        <f t="shared" si="152"/>
        <v>-2.4478846903396523E-2</v>
      </c>
      <c r="D1235">
        <f t="shared" si="159"/>
        <v>-1.216561331097632E-2</v>
      </c>
      <c r="E1235">
        <f>_xlfn.XLOOKUP(A1235,VIX!A:A,VIX!B:B,"",-1)</f>
        <v>28.89</v>
      </c>
      <c r="F1235">
        <f t="shared" si="153"/>
        <v>7.5500000000000007</v>
      </c>
      <c r="G1235">
        <f>_xlfn.XLOOKUP(A1235,'DGS10'!A:A,'DGS10'!B:B,"",-1)</f>
        <v>1.54</v>
      </c>
      <c r="H1235">
        <f t="shared" si="154"/>
        <v>0.16000000000000014</v>
      </c>
      <c r="I1235" s="2">
        <f>_xlfn.XLOOKUP(A1235,T10Y3M!A:A,T10Y3M!B:B,"",-1)</f>
        <v>1.5</v>
      </c>
      <c r="J1235" s="2">
        <f>_xlfn.XLOOKUP(A1235,BAMLC0A4CBBB!A:A,BAMLC0A4CBBB!B:B,"",-1)</f>
        <v>1.19</v>
      </c>
      <c r="K1235" s="2">
        <f>_xlfn.XLOOKUP(A1235,CPIAUCSL!A:A,CPIAUCSL!B:B,"",-1)</f>
        <v>263.57900000000001</v>
      </c>
      <c r="L1235">
        <f>_xlfn.XLOOKUP(A1235,DFF!A:A,DFF!B:B,"",-1)</f>
        <v>7.0000000000000007E-2</v>
      </c>
      <c r="M1235">
        <f>_xlfn.XLOOKUP(A1235,'DGS2'!A:A,'DGS2'!B:B,"",-1)</f>
        <v>0.17</v>
      </c>
      <c r="N1235">
        <f t="shared" si="155"/>
        <v>5.0000000000000017E-2</v>
      </c>
      <c r="O1235">
        <f t="shared" si="156"/>
        <v>-4.7501658249202716E-3</v>
      </c>
      <c r="P1235">
        <f t="shared" si="157"/>
        <v>0</v>
      </c>
      <c r="Q1235">
        <f t="shared" si="158"/>
        <v>-1</v>
      </c>
    </row>
    <row r="1236" spans="1:17">
      <c r="A1236" s="1">
        <v>44253</v>
      </c>
      <c r="B1236">
        <v>3811.15</v>
      </c>
      <c r="C1236">
        <f t="shared" si="152"/>
        <v>-4.7501658249202716E-3</v>
      </c>
      <c r="D1236">
        <f t="shared" si="159"/>
        <v>-1.8091550148530033E-2</v>
      </c>
      <c r="E1236">
        <f>_xlfn.XLOOKUP(A1236,VIX!A:A,VIX!B:B,"",-1)</f>
        <v>27.95</v>
      </c>
      <c r="F1236">
        <f t="shared" si="153"/>
        <v>-0.94000000000000128</v>
      </c>
      <c r="G1236">
        <f>_xlfn.XLOOKUP(A1236,'DGS10'!A:A,'DGS10'!B:B,"",-1)</f>
        <v>1.44</v>
      </c>
      <c r="H1236">
        <f t="shared" si="154"/>
        <v>-0.10000000000000009</v>
      </c>
      <c r="I1236" s="2">
        <f>_xlfn.XLOOKUP(A1236,T10Y3M!A:A,T10Y3M!B:B,"",-1)</f>
        <v>1.4</v>
      </c>
      <c r="J1236" s="2">
        <f>_xlfn.XLOOKUP(A1236,BAMLC0A4CBBB!A:A,BAMLC0A4CBBB!B:B,"",-1)</f>
        <v>1.19</v>
      </c>
      <c r="K1236" s="2">
        <f>_xlfn.XLOOKUP(A1236,CPIAUCSL!A:A,CPIAUCSL!B:B,"",-1)</f>
        <v>263.57900000000001</v>
      </c>
      <c r="L1236">
        <f>_xlfn.XLOOKUP(A1236,DFF!A:A,DFF!B:B,"",-1)</f>
        <v>7.0000000000000007E-2</v>
      </c>
      <c r="M1236">
        <f>_xlfn.XLOOKUP(A1236,'DGS2'!A:A,'DGS2'!B:B,"",-1)</f>
        <v>0.14000000000000001</v>
      </c>
      <c r="N1236">
        <f t="shared" si="155"/>
        <v>-0.03</v>
      </c>
      <c r="O1236">
        <f t="shared" si="156"/>
        <v>2.3790719336683086E-2</v>
      </c>
      <c r="P1236">
        <f t="shared" si="157"/>
        <v>1</v>
      </c>
      <c r="Q1236">
        <f t="shared" si="158"/>
        <v>1</v>
      </c>
    </row>
    <row r="1237" spans="1:17">
      <c r="A1237" s="1">
        <v>44256</v>
      </c>
      <c r="B1237">
        <v>3901.82</v>
      </c>
      <c r="C1237">
        <f t="shared" si="152"/>
        <v>2.3790719336683086E-2</v>
      </c>
      <c r="D1237">
        <f t="shared" si="159"/>
        <v>-6.0146276968382484E-3</v>
      </c>
      <c r="E1237">
        <f>_xlfn.XLOOKUP(A1237,VIX!A:A,VIX!B:B,"",-1)</f>
        <v>23.35</v>
      </c>
      <c r="F1237">
        <f t="shared" si="153"/>
        <v>-4.5999999999999979</v>
      </c>
      <c r="G1237">
        <f>_xlfn.XLOOKUP(A1237,'DGS10'!A:A,'DGS10'!B:B,"",-1)</f>
        <v>1.45</v>
      </c>
      <c r="H1237">
        <f t="shared" si="154"/>
        <v>1.0000000000000009E-2</v>
      </c>
      <c r="I1237" s="2">
        <f>_xlfn.XLOOKUP(A1237,T10Y3M!A:A,T10Y3M!B:B,"",-1)</f>
        <v>1.4</v>
      </c>
      <c r="J1237" s="2">
        <f>_xlfn.XLOOKUP(A1237,BAMLC0A4CBBB!A:A,BAMLC0A4CBBB!B:B,"",-1)</f>
        <v>1.2</v>
      </c>
      <c r="K1237" s="2">
        <f>_xlfn.XLOOKUP(A1237,CPIAUCSL!A:A,CPIAUCSL!B:B,"",-1)</f>
        <v>264.96100000000001</v>
      </c>
      <c r="L1237">
        <f>_xlfn.XLOOKUP(A1237,DFF!A:A,DFF!B:B,"",-1)</f>
        <v>7.0000000000000007E-2</v>
      </c>
      <c r="M1237">
        <f>_xlfn.XLOOKUP(A1237,'DGS2'!A:A,'DGS2'!B:B,"",-1)</f>
        <v>0.13</v>
      </c>
      <c r="N1237">
        <f t="shared" si="155"/>
        <v>-1.0000000000000009E-2</v>
      </c>
      <c r="O1237">
        <f t="shared" si="156"/>
        <v>-8.0808443239309691E-3</v>
      </c>
      <c r="P1237">
        <f t="shared" si="157"/>
        <v>0</v>
      </c>
      <c r="Q1237">
        <f t="shared" si="158"/>
        <v>-1</v>
      </c>
    </row>
    <row r="1238" spans="1:17">
      <c r="A1238" s="1">
        <v>44257</v>
      </c>
      <c r="B1238">
        <v>3870.29</v>
      </c>
      <c r="C1238">
        <f t="shared" si="152"/>
        <v>-8.0808443239309691E-3</v>
      </c>
      <c r="D1238">
        <f t="shared" si="159"/>
        <v>1.069374879222007E-2</v>
      </c>
      <c r="E1238">
        <f>_xlfn.XLOOKUP(A1238,VIX!A:A,VIX!B:B,"",-1)</f>
        <v>24.1</v>
      </c>
      <c r="F1238">
        <f t="shared" si="153"/>
        <v>0.75</v>
      </c>
      <c r="G1238">
        <f>_xlfn.XLOOKUP(A1238,'DGS10'!A:A,'DGS10'!B:B,"",-1)</f>
        <v>1.42</v>
      </c>
      <c r="H1238">
        <f t="shared" si="154"/>
        <v>-3.0000000000000027E-2</v>
      </c>
      <c r="I1238" s="2">
        <f>_xlfn.XLOOKUP(A1238,T10Y3M!A:A,T10Y3M!B:B,"",-1)</f>
        <v>1.38</v>
      </c>
      <c r="J1238" s="2">
        <f>_xlfn.XLOOKUP(A1238,BAMLC0A4CBBB!A:A,BAMLC0A4CBBB!B:B,"",-1)</f>
        <v>1.2</v>
      </c>
      <c r="K1238" s="2">
        <f>_xlfn.XLOOKUP(A1238,CPIAUCSL!A:A,CPIAUCSL!B:B,"",-1)</f>
        <v>264.96100000000001</v>
      </c>
      <c r="L1238">
        <f>_xlfn.XLOOKUP(A1238,DFF!A:A,DFF!B:B,"",-1)</f>
        <v>7.0000000000000007E-2</v>
      </c>
      <c r="M1238">
        <f>_xlfn.XLOOKUP(A1238,'DGS2'!A:A,'DGS2'!B:B,"",-1)</f>
        <v>0.13</v>
      </c>
      <c r="N1238">
        <f t="shared" si="155"/>
        <v>0</v>
      </c>
      <c r="O1238">
        <f t="shared" si="156"/>
        <v>-1.306620434127681E-2</v>
      </c>
      <c r="P1238">
        <f t="shared" si="157"/>
        <v>0</v>
      </c>
      <c r="Q1238">
        <f t="shared" si="158"/>
        <v>-1</v>
      </c>
    </row>
    <row r="1239" spans="1:17">
      <c r="A1239" s="1">
        <v>44258</v>
      </c>
      <c r="B1239">
        <v>3819.72</v>
      </c>
      <c r="C1239">
        <f t="shared" si="152"/>
        <v>-1.306620434127681E-2</v>
      </c>
      <c r="D1239">
        <f t="shared" si="159"/>
        <v>2.2486651010849013E-3</v>
      </c>
      <c r="E1239">
        <f>_xlfn.XLOOKUP(A1239,VIX!A:A,VIX!B:B,"",-1)</f>
        <v>26.67</v>
      </c>
      <c r="F1239">
        <f t="shared" si="153"/>
        <v>2.5700000000000003</v>
      </c>
      <c r="G1239">
        <f>_xlfn.XLOOKUP(A1239,'DGS10'!A:A,'DGS10'!B:B,"",-1)</f>
        <v>1.47</v>
      </c>
      <c r="H1239">
        <f t="shared" si="154"/>
        <v>5.0000000000000044E-2</v>
      </c>
      <c r="I1239" s="2">
        <f>_xlfn.XLOOKUP(A1239,T10Y3M!A:A,T10Y3M!B:B,"",-1)</f>
        <v>1.42</v>
      </c>
      <c r="J1239" s="2">
        <f>_xlfn.XLOOKUP(A1239,BAMLC0A4CBBB!A:A,BAMLC0A4CBBB!B:B,"",-1)</f>
        <v>1.19</v>
      </c>
      <c r="K1239" s="2">
        <f>_xlfn.XLOOKUP(A1239,CPIAUCSL!A:A,CPIAUCSL!B:B,"",-1)</f>
        <v>264.96100000000001</v>
      </c>
      <c r="L1239">
        <f>_xlfn.XLOOKUP(A1239,DFF!A:A,DFF!B:B,"",-1)</f>
        <v>7.0000000000000007E-2</v>
      </c>
      <c r="M1239">
        <f>_xlfn.XLOOKUP(A1239,'DGS2'!A:A,'DGS2'!B:B,"",-1)</f>
        <v>0.14000000000000001</v>
      </c>
      <c r="N1239">
        <f t="shared" si="155"/>
        <v>1.0000000000000009E-2</v>
      </c>
      <c r="O1239">
        <f t="shared" si="156"/>
        <v>-1.3417213827191521E-2</v>
      </c>
      <c r="P1239">
        <f t="shared" si="157"/>
        <v>0</v>
      </c>
      <c r="Q1239">
        <f t="shared" si="158"/>
        <v>-1</v>
      </c>
    </row>
    <row r="1240" spans="1:17">
      <c r="A1240" s="1">
        <v>44259</v>
      </c>
      <c r="B1240">
        <v>3768.47</v>
      </c>
      <c r="C1240">
        <f t="shared" si="152"/>
        <v>-1.3417213827191521E-2</v>
      </c>
      <c r="D1240">
        <f t="shared" si="159"/>
        <v>-3.4176358724902878E-2</v>
      </c>
      <c r="E1240">
        <f>_xlfn.XLOOKUP(A1240,VIX!A:A,VIX!B:B,"",-1)</f>
        <v>28.57</v>
      </c>
      <c r="F1240">
        <f t="shared" si="153"/>
        <v>1.8999999999999986</v>
      </c>
      <c r="G1240">
        <f>_xlfn.XLOOKUP(A1240,'DGS10'!A:A,'DGS10'!B:B,"",-1)</f>
        <v>1.54</v>
      </c>
      <c r="H1240">
        <f t="shared" si="154"/>
        <v>7.0000000000000062E-2</v>
      </c>
      <c r="I1240" s="2">
        <f>_xlfn.XLOOKUP(A1240,T10Y3M!A:A,T10Y3M!B:B,"",-1)</f>
        <v>1.5</v>
      </c>
      <c r="J1240" s="2">
        <f>_xlfn.XLOOKUP(A1240,BAMLC0A4CBBB!A:A,BAMLC0A4CBBB!B:B,"",-1)</f>
        <v>1.21</v>
      </c>
      <c r="K1240" s="2">
        <f>_xlfn.XLOOKUP(A1240,CPIAUCSL!A:A,CPIAUCSL!B:B,"",-1)</f>
        <v>264.96100000000001</v>
      </c>
      <c r="L1240">
        <f>_xlfn.XLOOKUP(A1240,DFF!A:A,DFF!B:B,"",-1)</f>
        <v>7.0000000000000007E-2</v>
      </c>
      <c r="M1240">
        <f>_xlfn.XLOOKUP(A1240,'DGS2'!A:A,'DGS2'!B:B,"",-1)</f>
        <v>0.14000000000000001</v>
      </c>
      <c r="N1240">
        <f t="shared" si="155"/>
        <v>0</v>
      </c>
      <c r="O1240">
        <f t="shared" si="156"/>
        <v>1.9495975820425837E-2</v>
      </c>
      <c r="P1240">
        <f t="shared" si="157"/>
        <v>1</v>
      </c>
      <c r="Q1240">
        <f t="shared" si="158"/>
        <v>1</v>
      </c>
    </row>
    <row r="1241" spans="1:17">
      <c r="A1241" s="1">
        <v>44260</v>
      </c>
      <c r="B1241">
        <v>3841.94</v>
      </c>
      <c r="C1241">
        <f t="shared" si="152"/>
        <v>1.9495975820425837E-2</v>
      </c>
      <c r="D1241">
        <f t="shared" si="159"/>
        <v>-7.3250324911052767E-3</v>
      </c>
      <c r="E1241">
        <f>_xlfn.XLOOKUP(A1241,VIX!A:A,VIX!B:B,"",-1)</f>
        <v>24.66</v>
      </c>
      <c r="F1241">
        <f t="shared" si="153"/>
        <v>-3.91</v>
      </c>
      <c r="G1241">
        <f>_xlfn.XLOOKUP(A1241,'DGS10'!A:A,'DGS10'!B:B,"",-1)</f>
        <v>1.56</v>
      </c>
      <c r="H1241">
        <f t="shared" si="154"/>
        <v>2.0000000000000018E-2</v>
      </c>
      <c r="I1241" s="2">
        <f>_xlfn.XLOOKUP(A1241,T10Y3M!A:A,T10Y3M!B:B,"",-1)</f>
        <v>1.52</v>
      </c>
      <c r="J1241" s="2">
        <f>_xlfn.XLOOKUP(A1241,BAMLC0A4CBBB!A:A,BAMLC0A4CBBB!B:B,"",-1)</f>
        <v>1.24</v>
      </c>
      <c r="K1241" s="2">
        <f>_xlfn.XLOOKUP(A1241,CPIAUCSL!A:A,CPIAUCSL!B:B,"",-1)</f>
        <v>264.96100000000001</v>
      </c>
      <c r="L1241">
        <f>_xlfn.XLOOKUP(A1241,DFF!A:A,DFF!B:B,"",-1)</f>
        <v>7.0000000000000007E-2</v>
      </c>
      <c r="M1241">
        <f>_xlfn.XLOOKUP(A1241,'DGS2'!A:A,'DGS2'!B:B,"",-1)</f>
        <v>0.14000000000000001</v>
      </c>
      <c r="N1241">
        <f t="shared" si="155"/>
        <v>0</v>
      </c>
      <c r="O1241">
        <f t="shared" si="156"/>
        <v>-5.3592716179846622E-3</v>
      </c>
      <c r="P1241">
        <f t="shared" si="157"/>
        <v>0</v>
      </c>
      <c r="Q1241">
        <f t="shared" si="158"/>
        <v>-1</v>
      </c>
    </row>
    <row r="1242" spans="1:17">
      <c r="A1242" s="1">
        <v>44263</v>
      </c>
      <c r="B1242">
        <v>3821.35</v>
      </c>
      <c r="C1242">
        <f t="shared" si="152"/>
        <v>-5.3592716179846622E-3</v>
      </c>
      <c r="D1242">
        <f t="shared" si="159"/>
        <v>4.2673284952821078E-4</v>
      </c>
      <c r="E1242">
        <f>_xlfn.XLOOKUP(A1242,VIX!A:A,VIX!B:B,"",-1)</f>
        <v>25.47</v>
      </c>
      <c r="F1242">
        <f t="shared" si="153"/>
        <v>0.80999999999999872</v>
      </c>
      <c r="G1242">
        <f>_xlfn.XLOOKUP(A1242,'DGS10'!A:A,'DGS10'!B:B,"",-1)</f>
        <v>1.59</v>
      </c>
      <c r="H1242">
        <f t="shared" si="154"/>
        <v>3.0000000000000027E-2</v>
      </c>
      <c r="I1242" s="2">
        <f>_xlfn.XLOOKUP(A1242,T10Y3M!A:A,T10Y3M!B:B,"",-1)</f>
        <v>1.54</v>
      </c>
      <c r="J1242" s="2">
        <f>_xlfn.XLOOKUP(A1242,BAMLC0A4CBBB!A:A,BAMLC0A4CBBB!B:B,"",-1)</f>
        <v>1.26</v>
      </c>
      <c r="K1242" s="2">
        <f>_xlfn.XLOOKUP(A1242,CPIAUCSL!A:A,CPIAUCSL!B:B,"",-1)</f>
        <v>264.96100000000001</v>
      </c>
      <c r="L1242">
        <f>_xlfn.XLOOKUP(A1242,DFF!A:A,DFF!B:B,"",-1)</f>
        <v>7.0000000000000007E-2</v>
      </c>
      <c r="M1242">
        <f>_xlfn.XLOOKUP(A1242,'DGS2'!A:A,'DGS2'!B:B,"",-1)</f>
        <v>0.17</v>
      </c>
      <c r="N1242">
        <f t="shared" si="155"/>
        <v>0.03</v>
      </c>
      <c r="O1242">
        <f t="shared" si="156"/>
        <v>1.4154683554241432E-2</v>
      </c>
      <c r="P1242">
        <f t="shared" si="157"/>
        <v>1</v>
      </c>
      <c r="Q1242">
        <f t="shared" si="158"/>
        <v>1</v>
      </c>
    </row>
    <row r="1243" spans="1:17">
      <c r="A1243" s="1">
        <v>44264</v>
      </c>
      <c r="B1243">
        <v>3875.44</v>
      </c>
      <c r="C1243">
        <f t="shared" si="152"/>
        <v>1.4154683554241432E-2</v>
      </c>
      <c r="D1243">
        <f t="shared" si="159"/>
        <v>2.8385525160078195E-2</v>
      </c>
      <c r="E1243">
        <f>_xlfn.XLOOKUP(A1243,VIX!A:A,VIX!B:B,"",-1)</f>
        <v>24.03</v>
      </c>
      <c r="F1243">
        <f t="shared" si="153"/>
        <v>-1.4399999999999977</v>
      </c>
      <c r="G1243">
        <f>_xlfn.XLOOKUP(A1243,'DGS10'!A:A,'DGS10'!B:B,"",-1)</f>
        <v>1.55</v>
      </c>
      <c r="H1243">
        <f t="shared" si="154"/>
        <v>-4.0000000000000036E-2</v>
      </c>
      <c r="I1243" s="2">
        <f>_xlfn.XLOOKUP(A1243,T10Y3M!A:A,T10Y3M!B:B,"",-1)</f>
        <v>1.5</v>
      </c>
      <c r="J1243" s="2">
        <f>_xlfn.XLOOKUP(A1243,BAMLC0A4CBBB!A:A,BAMLC0A4CBBB!B:B,"",-1)</f>
        <v>1.29</v>
      </c>
      <c r="K1243" s="2">
        <f>_xlfn.XLOOKUP(A1243,CPIAUCSL!A:A,CPIAUCSL!B:B,"",-1)</f>
        <v>264.96100000000001</v>
      </c>
      <c r="L1243">
        <f>_xlfn.XLOOKUP(A1243,DFF!A:A,DFF!B:B,"",-1)</f>
        <v>7.0000000000000007E-2</v>
      </c>
      <c r="M1243">
        <f>_xlfn.XLOOKUP(A1243,'DGS2'!A:A,'DGS2'!B:B,"",-1)</f>
        <v>0.17</v>
      </c>
      <c r="N1243">
        <f t="shared" si="155"/>
        <v>0</v>
      </c>
      <c r="O1243">
        <f t="shared" si="156"/>
        <v>6.0302830130256613E-3</v>
      </c>
      <c r="P1243">
        <f t="shared" si="157"/>
        <v>1</v>
      </c>
      <c r="Q1243">
        <f t="shared" si="158"/>
        <v>1</v>
      </c>
    </row>
    <row r="1244" spans="1:17">
      <c r="A1244" s="1">
        <v>44265</v>
      </c>
      <c r="B1244">
        <v>3898.81</v>
      </c>
      <c r="C1244">
        <f t="shared" si="152"/>
        <v>6.0302830130256613E-3</v>
      </c>
      <c r="D1244">
        <f t="shared" si="159"/>
        <v>1.4802417528644307E-2</v>
      </c>
      <c r="E1244">
        <f>_xlfn.XLOOKUP(A1244,VIX!A:A,VIX!B:B,"",-1)</f>
        <v>22.56</v>
      </c>
      <c r="F1244">
        <f t="shared" si="153"/>
        <v>-1.4700000000000024</v>
      </c>
      <c r="G1244">
        <f>_xlfn.XLOOKUP(A1244,'DGS10'!A:A,'DGS10'!B:B,"",-1)</f>
        <v>1.53</v>
      </c>
      <c r="H1244">
        <f t="shared" si="154"/>
        <v>-2.0000000000000018E-2</v>
      </c>
      <c r="I1244" s="2">
        <f>_xlfn.XLOOKUP(A1244,T10Y3M!A:A,T10Y3M!B:B,"",-1)</f>
        <v>1.49</v>
      </c>
      <c r="J1244" s="2">
        <f>_xlfn.XLOOKUP(A1244,BAMLC0A4CBBB!A:A,BAMLC0A4CBBB!B:B,"",-1)</f>
        <v>1.28</v>
      </c>
      <c r="K1244" s="2">
        <f>_xlfn.XLOOKUP(A1244,CPIAUCSL!A:A,CPIAUCSL!B:B,"",-1)</f>
        <v>264.96100000000001</v>
      </c>
      <c r="L1244">
        <f>_xlfn.XLOOKUP(A1244,DFF!A:A,DFF!B:B,"",-1)</f>
        <v>7.0000000000000007E-2</v>
      </c>
      <c r="M1244">
        <f>_xlfn.XLOOKUP(A1244,'DGS2'!A:A,'DGS2'!B:B,"",-1)</f>
        <v>0.16</v>
      </c>
      <c r="N1244">
        <f t="shared" si="155"/>
        <v>-1.0000000000000009E-2</v>
      </c>
      <c r="O1244">
        <f t="shared" si="156"/>
        <v>1.0395479646353678E-2</v>
      </c>
      <c r="P1244">
        <f t="shared" si="157"/>
        <v>1</v>
      </c>
      <c r="Q1244">
        <f t="shared" si="158"/>
        <v>1</v>
      </c>
    </row>
    <row r="1245" spans="1:17">
      <c r="A1245" s="1">
        <v>44266</v>
      </c>
      <c r="B1245">
        <v>3939.34</v>
      </c>
      <c r="C1245">
        <f t="shared" si="152"/>
        <v>1.0395479646353678E-2</v>
      </c>
      <c r="D1245">
        <f t="shared" si="159"/>
        <v>3.0876522694859299E-2</v>
      </c>
      <c r="E1245">
        <f>_xlfn.XLOOKUP(A1245,VIX!A:A,VIX!B:B,"",-1)</f>
        <v>21.91</v>
      </c>
      <c r="F1245">
        <f t="shared" si="153"/>
        <v>-0.64999999999999858</v>
      </c>
      <c r="G1245">
        <f>_xlfn.XLOOKUP(A1245,'DGS10'!A:A,'DGS10'!B:B,"",-1)</f>
        <v>1.54</v>
      </c>
      <c r="H1245">
        <f t="shared" si="154"/>
        <v>1.0000000000000009E-2</v>
      </c>
      <c r="I1245" s="2">
        <f>_xlfn.XLOOKUP(A1245,T10Y3M!A:A,T10Y3M!B:B,"",-1)</f>
        <v>1.5</v>
      </c>
      <c r="J1245" s="2">
        <f>_xlfn.XLOOKUP(A1245,BAMLC0A4CBBB!A:A,BAMLC0A4CBBB!B:B,"",-1)</f>
        <v>1.27</v>
      </c>
      <c r="K1245" s="2">
        <f>_xlfn.XLOOKUP(A1245,CPIAUCSL!A:A,CPIAUCSL!B:B,"",-1)</f>
        <v>264.96100000000001</v>
      </c>
      <c r="L1245">
        <f>_xlfn.XLOOKUP(A1245,DFF!A:A,DFF!B:B,"",-1)</f>
        <v>7.0000000000000007E-2</v>
      </c>
      <c r="M1245">
        <f>_xlfn.XLOOKUP(A1245,'DGS2'!A:A,'DGS2'!B:B,"",-1)</f>
        <v>0.14000000000000001</v>
      </c>
      <c r="N1245">
        <f t="shared" si="155"/>
        <v>-1.999999999999999E-2</v>
      </c>
      <c r="O1245">
        <f t="shared" si="156"/>
        <v>1.0153985185334946E-3</v>
      </c>
      <c r="P1245">
        <f t="shared" si="157"/>
        <v>1</v>
      </c>
      <c r="Q1245">
        <f t="shared" si="158"/>
        <v>0</v>
      </c>
    </row>
    <row r="1246" spans="1:17">
      <c r="A1246" s="1">
        <v>44267</v>
      </c>
      <c r="B1246">
        <v>3943.34</v>
      </c>
      <c r="C1246">
        <f t="shared" si="152"/>
        <v>1.0153985185334946E-3</v>
      </c>
      <c r="D1246">
        <f t="shared" si="159"/>
        <v>1.7520591210288483E-2</v>
      </c>
      <c r="E1246">
        <f>_xlfn.XLOOKUP(A1246,VIX!A:A,VIX!B:B,"",-1)</f>
        <v>20.69</v>
      </c>
      <c r="F1246">
        <f t="shared" si="153"/>
        <v>-1.2199999999999989</v>
      </c>
      <c r="G1246">
        <f>_xlfn.XLOOKUP(A1246,'DGS10'!A:A,'DGS10'!B:B,"",-1)</f>
        <v>1.64</v>
      </c>
      <c r="H1246">
        <f t="shared" si="154"/>
        <v>9.9999999999999867E-2</v>
      </c>
      <c r="I1246" s="2">
        <f>_xlfn.XLOOKUP(A1246,T10Y3M!A:A,T10Y3M!B:B,"",-1)</f>
        <v>1.6</v>
      </c>
      <c r="J1246" s="2">
        <f>_xlfn.XLOOKUP(A1246,BAMLC0A4CBBB!A:A,BAMLC0A4CBBB!B:B,"",-1)</f>
        <v>1.26</v>
      </c>
      <c r="K1246" s="2">
        <f>_xlfn.XLOOKUP(A1246,CPIAUCSL!A:A,CPIAUCSL!B:B,"",-1)</f>
        <v>264.96100000000001</v>
      </c>
      <c r="L1246">
        <f>_xlfn.XLOOKUP(A1246,DFF!A:A,DFF!B:B,"",-1)</f>
        <v>7.0000000000000007E-2</v>
      </c>
      <c r="M1246">
        <f>_xlfn.XLOOKUP(A1246,'DGS2'!A:A,'DGS2'!B:B,"",-1)</f>
        <v>0.14000000000000001</v>
      </c>
      <c r="N1246">
        <f t="shared" si="155"/>
        <v>0</v>
      </c>
      <c r="O1246">
        <f t="shared" si="156"/>
        <v>6.4919585934766211E-3</v>
      </c>
      <c r="P1246">
        <f t="shared" si="157"/>
        <v>1</v>
      </c>
      <c r="Q1246">
        <f t="shared" si="158"/>
        <v>1</v>
      </c>
    </row>
    <row r="1247" spans="1:17">
      <c r="A1247" s="1">
        <v>44270</v>
      </c>
      <c r="B1247">
        <v>3968.94</v>
      </c>
      <c r="C1247">
        <f t="shared" si="152"/>
        <v>6.4919585934766211E-3</v>
      </c>
      <c r="D1247">
        <f t="shared" si="159"/>
        <v>1.7987539787781337E-2</v>
      </c>
      <c r="E1247">
        <f>_xlfn.XLOOKUP(A1247,VIX!A:A,VIX!B:B,"",-1)</f>
        <v>20.03</v>
      </c>
      <c r="F1247">
        <f t="shared" si="153"/>
        <v>-0.66000000000000014</v>
      </c>
      <c r="G1247">
        <f>_xlfn.XLOOKUP(A1247,'DGS10'!A:A,'DGS10'!B:B,"",-1)</f>
        <v>1.62</v>
      </c>
      <c r="H1247">
        <f t="shared" si="154"/>
        <v>-1.9999999999999796E-2</v>
      </c>
      <c r="I1247" s="2">
        <f>_xlfn.XLOOKUP(A1247,T10Y3M!A:A,T10Y3M!B:B,"",-1)</f>
        <v>1.58</v>
      </c>
      <c r="J1247" s="2">
        <f>_xlfn.XLOOKUP(A1247,BAMLC0A4CBBB!A:A,BAMLC0A4CBBB!B:B,"",-1)</f>
        <v>1.26</v>
      </c>
      <c r="K1247" s="2">
        <f>_xlfn.XLOOKUP(A1247,CPIAUCSL!A:A,CPIAUCSL!B:B,"",-1)</f>
        <v>264.96100000000001</v>
      </c>
      <c r="L1247">
        <f>_xlfn.XLOOKUP(A1247,DFF!A:A,DFF!B:B,"",-1)</f>
        <v>7.0000000000000007E-2</v>
      </c>
      <c r="M1247">
        <f>_xlfn.XLOOKUP(A1247,'DGS2'!A:A,'DGS2'!B:B,"",-1)</f>
        <v>0.14000000000000001</v>
      </c>
      <c r="N1247">
        <f t="shared" si="155"/>
        <v>0</v>
      </c>
      <c r="O1247">
        <f t="shared" si="156"/>
        <v>-1.5696886322292825E-3</v>
      </c>
      <c r="P1247">
        <f t="shared" si="157"/>
        <v>0</v>
      </c>
      <c r="Q1247">
        <f t="shared" si="158"/>
        <v>0</v>
      </c>
    </row>
    <row r="1248" spans="1:17">
      <c r="A1248" s="1">
        <v>44271</v>
      </c>
      <c r="B1248">
        <v>3962.71</v>
      </c>
      <c r="C1248">
        <f t="shared" si="152"/>
        <v>-1.5696886322292825E-3</v>
      </c>
      <c r="D1248">
        <f t="shared" si="159"/>
        <v>5.9324658445323308E-3</v>
      </c>
      <c r="E1248">
        <f>_xlfn.XLOOKUP(A1248,VIX!A:A,VIX!B:B,"",-1)</f>
        <v>19.79</v>
      </c>
      <c r="F1248">
        <f t="shared" si="153"/>
        <v>-0.24000000000000199</v>
      </c>
      <c r="G1248">
        <f>_xlfn.XLOOKUP(A1248,'DGS10'!A:A,'DGS10'!B:B,"",-1)</f>
        <v>1.62</v>
      </c>
      <c r="H1248">
        <f t="shared" si="154"/>
        <v>0</v>
      </c>
      <c r="I1248" s="2">
        <f>_xlfn.XLOOKUP(A1248,T10Y3M!A:A,T10Y3M!B:B,"",-1)</f>
        <v>1.6</v>
      </c>
      <c r="J1248" s="2">
        <f>_xlfn.XLOOKUP(A1248,BAMLC0A4CBBB!A:A,BAMLC0A4CBBB!B:B,"",-1)</f>
        <v>1.25</v>
      </c>
      <c r="K1248" s="2">
        <f>_xlfn.XLOOKUP(A1248,CPIAUCSL!A:A,CPIAUCSL!B:B,"",-1)</f>
        <v>264.96100000000001</v>
      </c>
      <c r="L1248">
        <f>_xlfn.XLOOKUP(A1248,DFF!A:A,DFF!B:B,"",-1)</f>
        <v>7.0000000000000007E-2</v>
      </c>
      <c r="M1248">
        <f>_xlfn.XLOOKUP(A1248,'DGS2'!A:A,'DGS2'!B:B,"",-1)</f>
        <v>0.15</v>
      </c>
      <c r="N1248">
        <f t="shared" si="155"/>
        <v>9.9999999999999811E-3</v>
      </c>
      <c r="O1248">
        <f t="shared" si="156"/>
        <v>2.8793426720601367E-3</v>
      </c>
      <c r="P1248">
        <f t="shared" si="157"/>
        <v>1</v>
      </c>
      <c r="Q1248">
        <f t="shared" si="158"/>
        <v>0</v>
      </c>
    </row>
    <row r="1249" spans="1:17">
      <c r="A1249" s="1">
        <v>44272</v>
      </c>
      <c r="B1249">
        <v>3974.12</v>
      </c>
      <c r="C1249">
        <f t="shared" si="152"/>
        <v>2.8793426720601367E-3</v>
      </c>
      <c r="D1249">
        <f t="shared" si="159"/>
        <v>7.8055658401252614E-3</v>
      </c>
      <c r="E1249">
        <f>_xlfn.XLOOKUP(A1249,VIX!A:A,VIX!B:B,"",-1)</f>
        <v>19.23</v>
      </c>
      <c r="F1249">
        <f t="shared" si="153"/>
        <v>-0.55999999999999872</v>
      </c>
      <c r="G1249">
        <f>_xlfn.XLOOKUP(A1249,'DGS10'!A:A,'DGS10'!B:B,"",-1)</f>
        <v>1.63</v>
      </c>
      <c r="H1249">
        <f t="shared" si="154"/>
        <v>9.9999999999997868E-3</v>
      </c>
      <c r="I1249" s="2">
        <f>_xlfn.XLOOKUP(A1249,T10Y3M!A:A,T10Y3M!B:B,"",-1)</f>
        <v>1.61</v>
      </c>
      <c r="J1249" s="2">
        <f>_xlfn.XLOOKUP(A1249,BAMLC0A4CBBB!A:A,BAMLC0A4CBBB!B:B,"",-1)</f>
        <v>1.26</v>
      </c>
      <c r="K1249" s="2">
        <f>_xlfn.XLOOKUP(A1249,CPIAUCSL!A:A,CPIAUCSL!B:B,"",-1)</f>
        <v>264.96100000000001</v>
      </c>
      <c r="L1249">
        <f>_xlfn.XLOOKUP(A1249,DFF!A:A,DFF!B:B,"",-1)</f>
        <v>7.0000000000000007E-2</v>
      </c>
      <c r="M1249">
        <f>_xlfn.XLOOKUP(A1249,'DGS2'!A:A,'DGS2'!B:B,"",-1)</f>
        <v>0.13</v>
      </c>
      <c r="N1249">
        <f t="shared" si="155"/>
        <v>-1.999999999999999E-2</v>
      </c>
      <c r="O1249">
        <f t="shared" si="156"/>
        <v>-1.4760500437832724E-2</v>
      </c>
      <c r="P1249">
        <f t="shared" si="157"/>
        <v>0</v>
      </c>
      <c r="Q1249">
        <f t="shared" si="158"/>
        <v>-1</v>
      </c>
    </row>
    <row r="1250" spans="1:17">
      <c r="A1250" s="1">
        <v>44273</v>
      </c>
      <c r="B1250">
        <v>3915.46</v>
      </c>
      <c r="C1250">
        <f t="shared" si="152"/>
        <v>-1.4760500437832724E-2</v>
      </c>
      <c r="D1250">
        <f t="shared" si="159"/>
        <v>-1.347463050587816E-2</v>
      </c>
      <c r="E1250">
        <f>_xlfn.XLOOKUP(A1250,VIX!A:A,VIX!B:B,"",-1)</f>
        <v>21.58</v>
      </c>
      <c r="F1250">
        <f t="shared" si="153"/>
        <v>2.3499999999999979</v>
      </c>
      <c r="G1250">
        <f>_xlfn.XLOOKUP(A1250,'DGS10'!A:A,'DGS10'!B:B,"",-1)</f>
        <v>1.71</v>
      </c>
      <c r="H1250">
        <f t="shared" si="154"/>
        <v>8.0000000000000071E-2</v>
      </c>
      <c r="I1250" s="2">
        <f>_xlfn.XLOOKUP(A1250,T10Y3M!A:A,T10Y3M!B:B,"",-1)</f>
        <v>1.7</v>
      </c>
      <c r="J1250" s="2">
        <f>_xlfn.XLOOKUP(A1250,BAMLC0A4CBBB!A:A,BAMLC0A4CBBB!B:B,"",-1)</f>
        <v>1.24</v>
      </c>
      <c r="K1250" s="2">
        <f>_xlfn.XLOOKUP(A1250,CPIAUCSL!A:A,CPIAUCSL!B:B,"",-1)</f>
        <v>264.96100000000001</v>
      </c>
      <c r="L1250">
        <f>_xlfn.XLOOKUP(A1250,DFF!A:A,DFF!B:B,"",-1)</f>
        <v>7.0000000000000007E-2</v>
      </c>
      <c r="M1250">
        <f>_xlfn.XLOOKUP(A1250,'DGS2'!A:A,'DGS2'!B:B,"",-1)</f>
        <v>0.16</v>
      </c>
      <c r="N1250">
        <f t="shared" si="155"/>
        <v>0.03</v>
      </c>
      <c r="O1250">
        <f t="shared" si="156"/>
        <v>-6.0273888636330764E-4</v>
      </c>
      <c r="P1250">
        <f t="shared" si="157"/>
        <v>0</v>
      </c>
      <c r="Q1250">
        <f t="shared" si="158"/>
        <v>0</v>
      </c>
    </row>
    <row r="1251" spans="1:17">
      <c r="A1251" s="1">
        <v>44274</v>
      </c>
      <c r="B1251">
        <v>3913.1</v>
      </c>
      <c r="C1251">
        <f t="shared" si="152"/>
        <v>-6.0273888636330764E-4</v>
      </c>
      <c r="D1251">
        <f t="shared" si="159"/>
        <v>-1.2519210338379549E-2</v>
      </c>
      <c r="E1251">
        <f>_xlfn.XLOOKUP(A1251,VIX!A:A,VIX!B:B,"",-1)</f>
        <v>20.95</v>
      </c>
      <c r="F1251">
        <f t="shared" si="153"/>
        <v>-0.62999999999999901</v>
      </c>
      <c r="G1251">
        <f>_xlfn.XLOOKUP(A1251,'DGS10'!A:A,'DGS10'!B:B,"",-1)</f>
        <v>1.74</v>
      </c>
      <c r="H1251">
        <f t="shared" si="154"/>
        <v>3.0000000000000027E-2</v>
      </c>
      <c r="I1251" s="2">
        <f>_xlfn.XLOOKUP(A1251,T10Y3M!A:A,T10Y3M!B:B,"",-1)</f>
        <v>1.73</v>
      </c>
      <c r="J1251" s="2">
        <f>_xlfn.XLOOKUP(A1251,BAMLC0A4CBBB!A:A,BAMLC0A4CBBB!B:B,"",-1)</f>
        <v>1.24</v>
      </c>
      <c r="K1251" s="2">
        <f>_xlfn.XLOOKUP(A1251,CPIAUCSL!A:A,CPIAUCSL!B:B,"",-1)</f>
        <v>264.96100000000001</v>
      </c>
      <c r="L1251">
        <f>_xlfn.XLOOKUP(A1251,DFF!A:A,DFF!B:B,"",-1)</f>
        <v>7.0000000000000007E-2</v>
      </c>
      <c r="M1251">
        <f>_xlfn.XLOOKUP(A1251,'DGS2'!A:A,'DGS2'!B:B,"",-1)</f>
        <v>0.16</v>
      </c>
      <c r="N1251">
        <f t="shared" si="155"/>
        <v>0</v>
      </c>
      <c r="O1251">
        <f t="shared" si="156"/>
        <v>7.0251207482558975E-3</v>
      </c>
      <c r="P1251">
        <f t="shared" si="157"/>
        <v>1</v>
      </c>
      <c r="Q1251">
        <f t="shared" si="158"/>
        <v>1</v>
      </c>
    </row>
    <row r="1252" spans="1:17">
      <c r="A1252" s="1">
        <v>44277</v>
      </c>
      <c r="B1252">
        <v>3940.59</v>
      </c>
      <c r="C1252">
        <f t="shared" si="152"/>
        <v>7.0251207482558975E-3</v>
      </c>
      <c r="D1252">
        <f t="shared" si="159"/>
        <v>-8.4370879590952574E-3</v>
      </c>
      <c r="E1252">
        <f>_xlfn.XLOOKUP(A1252,VIX!A:A,VIX!B:B,"",-1)</f>
        <v>18.88</v>
      </c>
      <c r="F1252">
        <f t="shared" si="153"/>
        <v>-2.0700000000000003</v>
      </c>
      <c r="G1252">
        <f>_xlfn.XLOOKUP(A1252,'DGS10'!A:A,'DGS10'!B:B,"",-1)</f>
        <v>1.69</v>
      </c>
      <c r="H1252">
        <f t="shared" si="154"/>
        <v>-5.0000000000000044E-2</v>
      </c>
      <c r="I1252" s="2">
        <f>_xlfn.XLOOKUP(A1252,T10Y3M!A:A,T10Y3M!B:B,"",-1)</f>
        <v>1.66</v>
      </c>
      <c r="J1252" s="2">
        <f>_xlfn.XLOOKUP(A1252,BAMLC0A4CBBB!A:A,BAMLC0A4CBBB!B:B,"",-1)</f>
        <v>1.23</v>
      </c>
      <c r="K1252" s="2">
        <f>_xlfn.XLOOKUP(A1252,CPIAUCSL!A:A,CPIAUCSL!B:B,"",-1)</f>
        <v>264.96100000000001</v>
      </c>
      <c r="L1252">
        <f>_xlfn.XLOOKUP(A1252,DFF!A:A,DFF!B:B,"",-1)</f>
        <v>7.0000000000000007E-2</v>
      </c>
      <c r="M1252">
        <f>_xlfn.XLOOKUP(A1252,'DGS2'!A:A,'DGS2'!B:B,"",-1)</f>
        <v>0.15</v>
      </c>
      <c r="N1252">
        <f t="shared" si="155"/>
        <v>-1.0000000000000009E-2</v>
      </c>
      <c r="O1252">
        <f t="shared" si="156"/>
        <v>-7.6308370066411335E-3</v>
      </c>
      <c r="P1252">
        <f t="shared" si="157"/>
        <v>0</v>
      </c>
      <c r="Q1252">
        <f t="shared" si="158"/>
        <v>-1</v>
      </c>
    </row>
    <row r="1253" spans="1:17">
      <c r="A1253" s="1">
        <v>44278</v>
      </c>
      <c r="B1253">
        <v>3910.52</v>
      </c>
      <c r="C1253">
        <f t="shared" si="152"/>
        <v>-7.6308370066411335E-3</v>
      </c>
      <c r="D1253">
        <f t="shared" si="159"/>
        <v>-1.2616652960316665E-3</v>
      </c>
      <c r="E1253">
        <f>_xlfn.XLOOKUP(A1253,VIX!A:A,VIX!B:B,"",-1)</f>
        <v>20.3</v>
      </c>
      <c r="F1253">
        <f t="shared" si="153"/>
        <v>1.4200000000000017</v>
      </c>
      <c r="G1253">
        <f>_xlfn.XLOOKUP(A1253,'DGS10'!A:A,'DGS10'!B:B,"",-1)</f>
        <v>1.63</v>
      </c>
      <c r="H1253">
        <f t="shared" si="154"/>
        <v>-6.0000000000000053E-2</v>
      </c>
      <c r="I1253" s="2">
        <f>_xlfn.XLOOKUP(A1253,T10Y3M!A:A,T10Y3M!B:B,"",-1)</f>
        <v>1.62</v>
      </c>
      <c r="J1253" s="2">
        <f>_xlfn.XLOOKUP(A1253,BAMLC0A4CBBB!A:A,BAMLC0A4CBBB!B:B,"",-1)</f>
        <v>1.24</v>
      </c>
      <c r="K1253" s="2">
        <f>_xlfn.XLOOKUP(A1253,CPIAUCSL!A:A,CPIAUCSL!B:B,"",-1)</f>
        <v>264.96100000000001</v>
      </c>
      <c r="L1253">
        <f>_xlfn.XLOOKUP(A1253,DFF!A:A,DFF!B:B,"",-1)</f>
        <v>7.0000000000000007E-2</v>
      </c>
      <c r="M1253">
        <f>_xlfn.XLOOKUP(A1253,'DGS2'!A:A,'DGS2'!B:B,"",-1)</f>
        <v>0.15</v>
      </c>
      <c r="N1253">
        <f t="shared" si="155"/>
        <v>0</v>
      </c>
      <c r="O1253">
        <f t="shared" si="156"/>
        <v>-5.4673035811094728E-3</v>
      </c>
      <c r="P1253">
        <f t="shared" si="157"/>
        <v>0</v>
      </c>
      <c r="Q1253">
        <f t="shared" si="158"/>
        <v>-1</v>
      </c>
    </row>
    <row r="1254" spans="1:17">
      <c r="A1254" s="1">
        <v>44279</v>
      </c>
      <c r="B1254">
        <v>3889.14</v>
      </c>
      <c r="C1254">
        <f t="shared" si="152"/>
        <v>-5.4673035811094728E-3</v>
      </c>
      <c r="D1254">
        <f t="shared" si="159"/>
        <v>-6.1230226674503507E-3</v>
      </c>
      <c r="E1254">
        <f>_xlfn.XLOOKUP(A1254,VIX!A:A,VIX!B:B,"",-1)</f>
        <v>21.2</v>
      </c>
      <c r="F1254">
        <f t="shared" si="153"/>
        <v>0.89999999999999858</v>
      </c>
      <c r="G1254">
        <f>_xlfn.XLOOKUP(A1254,'DGS10'!A:A,'DGS10'!B:B,"",-1)</f>
        <v>1.62</v>
      </c>
      <c r="H1254">
        <f t="shared" si="154"/>
        <v>-9.9999999999997868E-3</v>
      </c>
      <c r="I1254" s="2">
        <f>_xlfn.XLOOKUP(A1254,T10Y3M!A:A,T10Y3M!B:B,"",-1)</f>
        <v>1.6</v>
      </c>
      <c r="J1254" s="2">
        <f>_xlfn.XLOOKUP(A1254,BAMLC0A4CBBB!A:A,BAMLC0A4CBBB!B:B,"",-1)</f>
        <v>1.25</v>
      </c>
      <c r="K1254" s="2">
        <f>_xlfn.XLOOKUP(A1254,CPIAUCSL!A:A,CPIAUCSL!B:B,"",-1)</f>
        <v>264.96100000000001</v>
      </c>
      <c r="L1254">
        <f>_xlfn.XLOOKUP(A1254,DFF!A:A,DFF!B:B,"",-1)</f>
        <v>7.0000000000000007E-2</v>
      </c>
      <c r="M1254">
        <f>_xlfn.XLOOKUP(A1254,'DGS2'!A:A,'DGS2'!B:B,"",-1)</f>
        <v>0.14000000000000001</v>
      </c>
      <c r="N1254">
        <f t="shared" si="155"/>
        <v>-9.9999999999999811E-3</v>
      </c>
      <c r="O1254">
        <f t="shared" si="156"/>
        <v>5.2402330592367097E-3</v>
      </c>
      <c r="P1254">
        <f t="shared" si="157"/>
        <v>1</v>
      </c>
      <c r="Q1254">
        <f t="shared" si="158"/>
        <v>1</v>
      </c>
    </row>
    <row r="1255" spans="1:17">
      <c r="A1255" s="1">
        <v>44280</v>
      </c>
      <c r="B1255">
        <v>3909.52</v>
      </c>
      <c r="C1255">
        <f t="shared" si="152"/>
        <v>5.2402330592367097E-3</v>
      </c>
      <c r="D1255">
        <f t="shared" si="159"/>
        <v>-7.8846061122826994E-3</v>
      </c>
      <c r="E1255">
        <f>_xlfn.XLOOKUP(A1255,VIX!A:A,VIX!B:B,"",-1)</f>
        <v>19.809999999999999</v>
      </c>
      <c r="F1255">
        <f t="shared" si="153"/>
        <v>-1.3900000000000006</v>
      </c>
      <c r="G1255">
        <f>_xlfn.XLOOKUP(A1255,'DGS10'!A:A,'DGS10'!B:B,"",-1)</f>
        <v>1.63</v>
      </c>
      <c r="H1255">
        <f t="shared" si="154"/>
        <v>9.9999999999997868E-3</v>
      </c>
      <c r="I1255" s="2">
        <f>_xlfn.XLOOKUP(A1255,T10Y3M!A:A,T10Y3M!B:B,"",-1)</f>
        <v>1.61</v>
      </c>
      <c r="J1255" s="2">
        <f>_xlfn.XLOOKUP(A1255,BAMLC0A4CBBB!A:A,BAMLC0A4CBBB!B:B,"",-1)</f>
        <v>1.26</v>
      </c>
      <c r="K1255" s="2">
        <f>_xlfn.XLOOKUP(A1255,CPIAUCSL!A:A,CPIAUCSL!B:B,"",-1)</f>
        <v>264.96100000000001</v>
      </c>
      <c r="L1255">
        <f>_xlfn.XLOOKUP(A1255,DFF!A:A,DFF!B:B,"",-1)</f>
        <v>7.0000000000000007E-2</v>
      </c>
      <c r="M1255">
        <f>_xlfn.XLOOKUP(A1255,'DGS2'!A:A,'DGS2'!B:B,"",-1)</f>
        <v>0.14000000000000001</v>
      </c>
      <c r="N1255">
        <f t="shared" si="155"/>
        <v>0</v>
      </c>
      <c r="O1255">
        <f t="shared" si="156"/>
        <v>1.6631197691788335E-2</v>
      </c>
      <c r="P1255">
        <f t="shared" si="157"/>
        <v>1</v>
      </c>
      <c r="Q1255">
        <f t="shared" si="158"/>
        <v>1</v>
      </c>
    </row>
    <row r="1256" spans="1:17">
      <c r="A1256" s="1">
        <v>44281</v>
      </c>
      <c r="B1256">
        <v>3974.54</v>
      </c>
      <c r="C1256">
        <f t="shared" si="152"/>
        <v>1.6631197691788335E-2</v>
      </c>
      <c r="D1256">
        <f t="shared" si="159"/>
        <v>1.6371224287307085E-2</v>
      </c>
      <c r="E1256">
        <f>_xlfn.XLOOKUP(A1256,VIX!A:A,VIX!B:B,"",-1)</f>
        <v>18.86</v>
      </c>
      <c r="F1256">
        <f t="shared" si="153"/>
        <v>-0.94999999999999929</v>
      </c>
      <c r="G1256">
        <f>_xlfn.XLOOKUP(A1256,'DGS10'!A:A,'DGS10'!B:B,"",-1)</f>
        <v>1.67</v>
      </c>
      <c r="H1256">
        <f t="shared" si="154"/>
        <v>4.0000000000000036E-2</v>
      </c>
      <c r="I1256" s="2">
        <f>_xlfn.XLOOKUP(A1256,T10Y3M!A:A,T10Y3M!B:B,"",-1)</f>
        <v>1.65</v>
      </c>
      <c r="J1256" s="2">
        <f>_xlfn.XLOOKUP(A1256,BAMLC0A4CBBB!A:A,BAMLC0A4CBBB!B:B,"",-1)</f>
        <v>1.24</v>
      </c>
      <c r="K1256" s="2">
        <f>_xlfn.XLOOKUP(A1256,CPIAUCSL!A:A,CPIAUCSL!B:B,"",-1)</f>
        <v>264.96100000000001</v>
      </c>
      <c r="L1256">
        <f>_xlfn.XLOOKUP(A1256,DFF!A:A,DFF!B:B,"",-1)</f>
        <v>7.0000000000000007E-2</v>
      </c>
      <c r="M1256">
        <f>_xlfn.XLOOKUP(A1256,'DGS2'!A:A,'DGS2'!B:B,"",-1)</f>
        <v>0.14000000000000001</v>
      </c>
      <c r="N1256">
        <f t="shared" si="155"/>
        <v>0</v>
      </c>
      <c r="O1256">
        <f t="shared" si="156"/>
        <v>-8.6802497899118869E-4</v>
      </c>
      <c r="P1256">
        <f t="shared" si="157"/>
        <v>0</v>
      </c>
      <c r="Q1256">
        <f t="shared" si="158"/>
        <v>0</v>
      </c>
    </row>
    <row r="1257" spans="1:17">
      <c r="A1257" s="1">
        <v>44284</v>
      </c>
      <c r="B1257">
        <v>3971.09</v>
      </c>
      <c r="C1257">
        <f t="shared" si="152"/>
        <v>-8.6802497899118869E-4</v>
      </c>
      <c r="D1257">
        <f t="shared" si="159"/>
        <v>2.107149652622442E-2</v>
      </c>
      <c r="E1257">
        <f>_xlfn.XLOOKUP(A1257,VIX!A:A,VIX!B:B,"",-1)</f>
        <v>20.74</v>
      </c>
      <c r="F1257">
        <f t="shared" si="153"/>
        <v>1.879999999999999</v>
      </c>
      <c r="G1257">
        <f>_xlfn.XLOOKUP(A1257,'DGS10'!A:A,'DGS10'!B:B,"",-1)</f>
        <v>1.73</v>
      </c>
      <c r="H1257">
        <f t="shared" si="154"/>
        <v>6.0000000000000053E-2</v>
      </c>
      <c r="I1257" s="2">
        <f>_xlfn.XLOOKUP(A1257,T10Y3M!A:A,T10Y3M!B:B,"",-1)</f>
        <v>1.7</v>
      </c>
      <c r="J1257" s="2">
        <f>_xlfn.XLOOKUP(A1257,BAMLC0A4CBBB!A:A,BAMLC0A4CBBB!B:B,"",-1)</f>
        <v>1.23</v>
      </c>
      <c r="K1257" s="2">
        <f>_xlfn.XLOOKUP(A1257,CPIAUCSL!A:A,CPIAUCSL!B:B,"",-1)</f>
        <v>264.96100000000001</v>
      </c>
      <c r="L1257">
        <f>_xlfn.XLOOKUP(A1257,DFF!A:A,DFF!B:B,"",-1)</f>
        <v>7.0000000000000007E-2</v>
      </c>
      <c r="M1257">
        <f>_xlfn.XLOOKUP(A1257,'DGS2'!A:A,'DGS2'!B:B,"",-1)</f>
        <v>0.14000000000000001</v>
      </c>
      <c r="N1257">
        <f t="shared" si="155"/>
        <v>0</v>
      </c>
      <c r="O1257">
        <f t="shared" si="156"/>
        <v>-3.1578231669390222E-3</v>
      </c>
      <c r="P1257">
        <f t="shared" si="157"/>
        <v>0</v>
      </c>
      <c r="Q1257">
        <f t="shared" si="158"/>
        <v>-1</v>
      </c>
    </row>
    <row r="1258" spans="1:17">
      <c r="A1258" s="1">
        <v>44285</v>
      </c>
      <c r="B1258">
        <v>3958.55</v>
      </c>
      <c r="C1258">
        <f t="shared" si="152"/>
        <v>-3.1578231669390222E-3</v>
      </c>
      <c r="D1258">
        <f t="shared" si="159"/>
        <v>1.2541181526120937E-2</v>
      </c>
      <c r="E1258">
        <f>_xlfn.XLOOKUP(A1258,VIX!A:A,VIX!B:B,"",-1)</f>
        <v>19.61</v>
      </c>
      <c r="F1258">
        <f t="shared" si="153"/>
        <v>-1.129999999999999</v>
      </c>
      <c r="G1258">
        <f>_xlfn.XLOOKUP(A1258,'DGS10'!A:A,'DGS10'!B:B,"",-1)</f>
        <v>1.73</v>
      </c>
      <c r="H1258">
        <f t="shared" si="154"/>
        <v>0</v>
      </c>
      <c r="I1258" s="2">
        <f>_xlfn.XLOOKUP(A1258,T10Y3M!A:A,T10Y3M!B:B,"",-1)</f>
        <v>1.71</v>
      </c>
      <c r="J1258" s="2">
        <f>_xlfn.XLOOKUP(A1258,BAMLC0A4CBBB!A:A,BAMLC0A4CBBB!B:B,"",-1)</f>
        <v>1.22</v>
      </c>
      <c r="K1258" s="2">
        <f>_xlfn.XLOOKUP(A1258,CPIAUCSL!A:A,CPIAUCSL!B:B,"",-1)</f>
        <v>264.96100000000001</v>
      </c>
      <c r="L1258">
        <f>_xlfn.XLOOKUP(A1258,DFF!A:A,DFF!B:B,"",-1)</f>
        <v>7.0000000000000007E-2</v>
      </c>
      <c r="M1258">
        <f>_xlfn.XLOOKUP(A1258,'DGS2'!A:A,'DGS2'!B:B,"",-1)</f>
        <v>0.16</v>
      </c>
      <c r="N1258">
        <f t="shared" si="155"/>
        <v>1.999999999999999E-2</v>
      </c>
      <c r="O1258">
        <f t="shared" si="156"/>
        <v>3.6225385557842049E-3</v>
      </c>
      <c r="P1258">
        <f t="shared" si="157"/>
        <v>1</v>
      </c>
      <c r="Q1258">
        <f t="shared" si="158"/>
        <v>1</v>
      </c>
    </row>
    <row r="1259" spans="1:17">
      <c r="A1259" s="1">
        <v>44286</v>
      </c>
      <c r="B1259">
        <v>3972.89</v>
      </c>
      <c r="C1259">
        <f t="shared" si="152"/>
        <v>3.6225385557842049E-3</v>
      </c>
      <c r="D1259">
        <f t="shared" si="159"/>
        <v>-4.1514238125672787E-4</v>
      </c>
      <c r="E1259">
        <f>_xlfn.XLOOKUP(A1259,VIX!A:A,VIX!B:B,"",-1)</f>
        <v>19.399999999999999</v>
      </c>
      <c r="F1259">
        <f t="shared" si="153"/>
        <v>-0.21000000000000085</v>
      </c>
      <c r="G1259">
        <f>_xlfn.XLOOKUP(A1259,'DGS10'!A:A,'DGS10'!B:B,"",-1)</f>
        <v>1.74</v>
      </c>
      <c r="H1259">
        <f t="shared" si="154"/>
        <v>1.0000000000000009E-2</v>
      </c>
      <c r="I1259" s="2">
        <f>_xlfn.XLOOKUP(A1259,T10Y3M!A:A,T10Y3M!B:B,"",-1)</f>
        <v>1.71</v>
      </c>
      <c r="J1259" s="2">
        <f>_xlfn.XLOOKUP(A1259,BAMLC0A4CBBB!A:A,BAMLC0A4CBBB!B:B,"",-1)</f>
        <v>1.19</v>
      </c>
      <c r="K1259" s="2">
        <f>_xlfn.XLOOKUP(A1259,CPIAUCSL!A:A,CPIAUCSL!B:B,"",-1)</f>
        <v>264.96100000000001</v>
      </c>
      <c r="L1259">
        <f>_xlfn.XLOOKUP(A1259,DFF!A:A,DFF!B:B,"",-1)</f>
        <v>0.06</v>
      </c>
      <c r="M1259">
        <f>_xlfn.XLOOKUP(A1259,'DGS2'!A:A,'DGS2'!B:B,"",-1)</f>
        <v>0.16</v>
      </c>
      <c r="N1259">
        <f t="shared" si="155"/>
        <v>0</v>
      </c>
      <c r="O1259">
        <f t="shared" si="156"/>
        <v>1.1825144919693331E-2</v>
      </c>
      <c r="P1259">
        <f t="shared" si="157"/>
        <v>1</v>
      </c>
      <c r="Q1259">
        <f t="shared" si="158"/>
        <v>1</v>
      </c>
    </row>
    <row r="1260" spans="1:17">
      <c r="A1260" s="1">
        <v>44287</v>
      </c>
      <c r="B1260">
        <v>4019.87</v>
      </c>
      <c r="C1260">
        <f t="shared" si="152"/>
        <v>1.1825144919693331E-2</v>
      </c>
      <c r="D1260">
        <f t="shared" si="159"/>
        <v>1.2283781027375262E-2</v>
      </c>
      <c r="E1260">
        <f>_xlfn.XLOOKUP(A1260,VIX!A:A,VIX!B:B,"",-1)</f>
        <v>17.329999999999998</v>
      </c>
      <c r="F1260">
        <f t="shared" si="153"/>
        <v>-2.0700000000000003</v>
      </c>
      <c r="G1260">
        <f>_xlfn.XLOOKUP(A1260,'DGS10'!A:A,'DGS10'!B:B,"",-1)</f>
        <v>1.69</v>
      </c>
      <c r="H1260">
        <f t="shared" si="154"/>
        <v>-5.0000000000000044E-2</v>
      </c>
      <c r="I1260" s="2">
        <f>_xlfn.XLOOKUP(A1260,T10Y3M!A:A,T10Y3M!B:B,"",-1)</f>
        <v>1.67</v>
      </c>
      <c r="J1260" s="2">
        <f>_xlfn.XLOOKUP(A1260,BAMLC0A4CBBB!A:A,BAMLC0A4CBBB!B:B,"",-1)</f>
        <v>1.18</v>
      </c>
      <c r="K1260" s="2">
        <f>_xlfn.XLOOKUP(A1260,CPIAUCSL!A:A,CPIAUCSL!B:B,"",-1)</f>
        <v>266.61399999999998</v>
      </c>
      <c r="L1260">
        <f>_xlfn.XLOOKUP(A1260,DFF!A:A,DFF!B:B,"",-1)</f>
        <v>7.0000000000000007E-2</v>
      </c>
      <c r="M1260">
        <f>_xlfn.XLOOKUP(A1260,'DGS2'!A:A,'DGS2'!B:B,"",-1)</f>
        <v>0.17</v>
      </c>
      <c r="N1260">
        <f t="shared" si="155"/>
        <v>1.0000000000000009E-2</v>
      </c>
      <c r="O1260">
        <f t="shared" si="156"/>
        <v>1.4438277854756487E-2</v>
      </c>
      <c r="P1260">
        <f t="shared" si="157"/>
        <v>1</v>
      </c>
      <c r="Q1260">
        <f t="shared" si="158"/>
        <v>1</v>
      </c>
    </row>
    <row r="1261" spans="1:17">
      <c r="A1261" s="1">
        <v>44291</v>
      </c>
      <c r="B1261">
        <v>4077.91</v>
      </c>
      <c r="C1261">
        <f t="shared" si="152"/>
        <v>1.4438277854756487E-2</v>
      </c>
      <c r="D1261">
        <f t="shared" si="159"/>
        <v>3.0152454812999663E-2</v>
      </c>
      <c r="E1261">
        <f>_xlfn.XLOOKUP(A1261,VIX!A:A,VIX!B:B,"",-1)</f>
        <v>17.91</v>
      </c>
      <c r="F1261">
        <f t="shared" si="153"/>
        <v>0.58000000000000185</v>
      </c>
      <c r="G1261">
        <f>_xlfn.XLOOKUP(A1261,'DGS10'!A:A,'DGS10'!B:B,"",-1)</f>
        <v>1.73</v>
      </c>
      <c r="H1261">
        <f t="shared" si="154"/>
        <v>4.0000000000000036E-2</v>
      </c>
      <c r="I1261" s="2">
        <f>_xlfn.XLOOKUP(A1261,T10Y3M!A:A,T10Y3M!B:B,"",-1)</f>
        <v>1.7</v>
      </c>
      <c r="J1261" s="2">
        <f>_xlfn.XLOOKUP(A1261,BAMLC0A4CBBB!A:A,BAMLC0A4CBBB!B:B,"",-1)</f>
        <v>1.17</v>
      </c>
      <c r="K1261" s="2">
        <f>_xlfn.XLOOKUP(A1261,CPIAUCSL!A:A,CPIAUCSL!B:B,"",-1)</f>
        <v>266.61399999999998</v>
      </c>
      <c r="L1261">
        <f>_xlfn.XLOOKUP(A1261,DFF!A:A,DFF!B:B,"",-1)</f>
        <v>7.0000000000000007E-2</v>
      </c>
      <c r="M1261">
        <f>_xlfn.XLOOKUP(A1261,'DGS2'!A:A,'DGS2'!B:B,"",-1)</f>
        <v>0.17</v>
      </c>
      <c r="N1261">
        <f t="shared" si="155"/>
        <v>0</v>
      </c>
      <c r="O1261">
        <f t="shared" si="156"/>
        <v>-9.7353791525556233E-4</v>
      </c>
      <c r="P1261">
        <f t="shared" si="157"/>
        <v>0</v>
      </c>
      <c r="Q1261">
        <f t="shared" si="158"/>
        <v>0</v>
      </c>
    </row>
    <row r="1262" spans="1:17">
      <c r="A1262" s="1">
        <v>44292</v>
      </c>
      <c r="B1262">
        <v>4073.94</v>
      </c>
      <c r="C1262">
        <f t="shared" si="152"/>
        <v>-9.7353791525556233E-4</v>
      </c>
      <c r="D1262">
        <f t="shared" si="159"/>
        <v>2.5434884932630908E-2</v>
      </c>
      <c r="E1262">
        <f>_xlfn.XLOOKUP(A1262,VIX!A:A,VIX!B:B,"",-1)</f>
        <v>18.12</v>
      </c>
      <c r="F1262">
        <f t="shared" si="153"/>
        <v>0.21000000000000085</v>
      </c>
      <c r="G1262">
        <f>_xlfn.XLOOKUP(A1262,'DGS10'!A:A,'DGS10'!B:B,"",-1)</f>
        <v>1.67</v>
      </c>
      <c r="H1262">
        <f t="shared" si="154"/>
        <v>-6.0000000000000053E-2</v>
      </c>
      <c r="I1262" s="2">
        <f>_xlfn.XLOOKUP(A1262,T10Y3M!A:A,T10Y3M!B:B,"",-1)</f>
        <v>1.65</v>
      </c>
      <c r="J1262" s="2">
        <f>_xlfn.XLOOKUP(A1262,BAMLC0A4CBBB!A:A,BAMLC0A4CBBB!B:B,"",-1)</f>
        <v>1.18</v>
      </c>
      <c r="K1262" s="2">
        <f>_xlfn.XLOOKUP(A1262,CPIAUCSL!A:A,CPIAUCSL!B:B,"",-1)</f>
        <v>266.61399999999998</v>
      </c>
      <c r="L1262">
        <f>_xlfn.XLOOKUP(A1262,DFF!A:A,DFF!B:B,"",-1)</f>
        <v>7.0000000000000007E-2</v>
      </c>
      <c r="M1262">
        <f>_xlfn.XLOOKUP(A1262,'DGS2'!A:A,'DGS2'!B:B,"",-1)</f>
        <v>0.16</v>
      </c>
      <c r="N1262">
        <f t="shared" si="155"/>
        <v>-1.0000000000000009E-2</v>
      </c>
      <c r="O1262">
        <f t="shared" si="156"/>
        <v>1.4752303666720756E-3</v>
      </c>
      <c r="P1262">
        <f t="shared" si="157"/>
        <v>1</v>
      </c>
      <c r="Q1262">
        <f t="shared" si="158"/>
        <v>0</v>
      </c>
    </row>
    <row r="1263" spans="1:17">
      <c r="A1263" s="1">
        <v>44293</v>
      </c>
      <c r="B1263">
        <v>4079.95</v>
      </c>
      <c r="C1263">
        <f t="shared" si="152"/>
        <v>1.4752303666720756E-3</v>
      </c>
      <c r="D1263">
        <f t="shared" si="159"/>
        <v>1.494575695233924E-2</v>
      </c>
      <c r="E1263">
        <f>_xlfn.XLOOKUP(A1263,VIX!A:A,VIX!B:B,"",-1)</f>
        <v>17.16</v>
      </c>
      <c r="F1263">
        <f t="shared" si="153"/>
        <v>-0.96000000000000085</v>
      </c>
      <c r="G1263">
        <f>_xlfn.XLOOKUP(A1263,'DGS10'!A:A,'DGS10'!B:B,"",-1)</f>
        <v>1.68</v>
      </c>
      <c r="H1263">
        <f t="shared" si="154"/>
        <v>1.0000000000000009E-2</v>
      </c>
      <c r="I1263" s="2">
        <f>_xlfn.XLOOKUP(A1263,T10Y3M!A:A,T10Y3M!B:B,"",-1)</f>
        <v>1.66</v>
      </c>
      <c r="J1263" s="2">
        <f>_xlfn.XLOOKUP(A1263,BAMLC0A4CBBB!A:A,BAMLC0A4CBBB!B:B,"",-1)</f>
        <v>1.17</v>
      </c>
      <c r="K1263" s="2">
        <f>_xlfn.XLOOKUP(A1263,CPIAUCSL!A:A,CPIAUCSL!B:B,"",-1)</f>
        <v>266.61399999999998</v>
      </c>
      <c r="L1263">
        <f>_xlfn.XLOOKUP(A1263,DFF!A:A,DFF!B:B,"",-1)</f>
        <v>7.0000000000000007E-2</v>
      </c>
      <c r="M1263">
        <f>_xlfn.XLOOKUP(A1263,'DGS2'!A:A,'DGS2'!B:B,"",-1)</f>
        <v>0.16</v>
      </c>
      <c r="N1263">
        <f t="shared" si="155"/>
        <v>0</v>
      </c>
      <c r="O1263">
        <f t="shared" si="156"/>
        <v>4.220639958823158E-3</v>
      </c>
      <c r="P1263">
        <f t="shared" si="157"/>
        <v>1</v>
      </c>
      <c r="Q1263">
        <f t="shared" si="158"/>
        <v>1</v>
      </c>
    </row>
    <row r="1264" spans="1:17">
      <c r="A1264" s="1">
        <v>44294</v>
      </c>
      <c r="B1264">
        <v>4097.17</v>
      </c>
      <c r="C1264">
        <f t="shared" si="152"/>
        <v>4.220639958823158E-3</v>
      </c>
      <c r="D1264">
        <f t="shared" si="159"/>
        <v>4.7230076190991621E-3</v>
      </c>
      <c r="E1264">
        <f>_xlfn.XLOOKUP(A1264,VIX!A:A,VIX!B:B,"",-1)</f>
        <v>16.95</v>
      </c>
      <c r="F1264">
        <f t="shared" si="153"/>
        <v>-0.21000000000000085</v>
      </c>
      <c r="G1264">
        <f>_xlfn.XLOOKUP(A1264,'DGS10'!A:A,'DGS10'!B:B,"",-1)</f>
        <v>1.64</v>
      </c>
      <c r="H1264">
        <f t="shared" si="154"/>
        <v>-4.0000000000000036E-2</v>
      </c>
      <c r="I1264" s="2">
        <f>_xlfn.XLOOKUP(A1264,T10Y3M!A:A,T10Y3M!B:B,"",-1)</f>
        <v>1.63</v>
      </c>
      <c r="J1264" s="2">
        <f>_xlfn.XLOOKUP(A1264,BAMLC0A4CBBB!A:A,BAMLC0A4CBBB!B:B,"",-1)</f>
        <v>1.17</v>
      </c>
      <c r="K1264" s="2">
        <f>_xlfn.XLOOKUP(A1264,CPIAUCSL!A:A,CPIAUCSL!B:B,"",-1)</f>
        <v>266.61399999999998</v>
      </c>
      <c r="L1264">
        <f>_xlfn.XLOOKUP(A1264,DFF!A:A,DFF!B:B,"",-1)</f>
        <v>7.0000000000000007E-2</v>
      </c>
      <c r="M1264">
        <f>_xlfn.XLOOKUP(A1264,'DGS2'!A:A,'DGS2'!B:B,"",-1)</f>
        <v>0.14000000000000001</v>
      </c>
      <c r="N1264">
        <f t="shared" si="155"/>
        <v>-1.999999999999999E-2</v>
      </c>
      <c r="O1264">
        <f t="shared" si="156"/>
        <v>7.7199628035937717E-3</v>
      </c>
      <c r="P1264">
        <f t="shared" si="157"/>
        <v>1</v>
      </c>
      <c r="Q1264">
        <f t="shared" si="158"/>
        <v>1</v>
      </c>
    </row>
    <row r="1265" spans="1:17">
      <c r="A1265" s="1">
        <v>44295</v>
      </c>
      <c r="B1265">
        <v>4128.8</v>
      </c>
      <c r="C1265">
        <f t="shared" si="152"/>
        <v>7.7199628035937717E-3</v>
      </c>
      <c r="D1265">
        <f t="shared" si="159"/>
        <v>1.3466079520071617E-2</v>
      </c>
      <c r="E1265">
        <f>_xlfn.XLOOKUP(A1265,VIX!A:A,VIX!B:B,"",-1)</f>
        <v>16.690000000000001</v>
      </c>
      <c r="F1265">
        <f t="shared" si="153"/>
        <v>-0.25999999999999801</v>
      </c>
      <c r="G1265">
        <f>_xlfn.XLOOKUP(A1265,'DGS10'!A:A,'DGS10'!B:B,"",-1)</f>
        <v>1.67</v>
      </c>
      <c r="H1265">
        <f t="shared" si="154"/>
        <v>3.0000000000000027E-2</v>
      </c>
      <c r="I1265" s="2">
        <f>_xlfn.XLOOKUP(A1265,T10Y3M!A:A,T10Y3M!B:B,"",-1)</f>
        <v>1.65</v>
      </c>
      <c r="J1265" s="2">
        <f>_xlfn.XLOOKUP(A1265,BAMLC0A4CBBB!A:A,BAMLC0A4CBBB!B:B,"",-1)</f>
        <v>1.17</v>
      </c>
      <c r="K1265" s="2">
        <f>_xlfn.XLOOKUP(A1265,CPIAUCSL!A:A,CPIAUCSL!B:B,"",-1)</f>
        <v>266.61399999999998</v>
      </c>
      <c r="L1265">
        <f>_xlfn.XLOOKUP(A1265,DFF!A:A,DFF!B:B,"",-1)</f>
        <v>7.0000000000000007E-2</v>
      </c>
      <c r="M1265">
        <f>_xlfn.XLOOKUP(A1265,'DGS2'!A:A,'DGS2'!B:B,"",-1)</f>
        <v>0.16</v>
      </c>
      <c r="N1265">
        <f t="shared" si="155"/>
        <v>1.999999999999999E-2</v>
      </c>
      <c r="O1265">
        <f t="shared" si="156"/>
        <v>-1.9618291028877799E-4</v>
      </c>
      <c r="P1265">
        <f t="shared" si="157"/>
        <v>0</v>
      </c>
      <c r="Q1265">
        <f t="shared" si="158"/>
        <v>0</v>
      </c>
    </row>
    <row r="1266" spans="1:17">
      <c r="A1266" s="1">
        <v>44298</v>
      </c>
      <c r="B1266">
        <v>4127.99</v>
      </c>
      <c r="C1266">
        <f t="shared" si="152"/>
        <v>-1.9618291028877799E-4</v>
      </c>
      <c r="D1266">
        <f t="shared" si="159"/>
        <v>1.1774654101153192E-2</v>
      </c>
      <c r="E1266">
        <f>_xlfn.XLOOKUP(A1266,VIX!A:A,VIX!B:B,"",-1)</f>
        <v>16.91</v>
      </c>
      <c r="F1266">
        <f t="shared" si="153"/>
        <v>0.21999999999999886</v>
      </c>
      <c r="G1266">
        <f>_xlfn.XLOOKUP(A1266,'DGS10'!A:A,'DGS10'!B:B,"",-1)</f>
        <v>1.69</v>
      </c>
      <c r="H1266">
        <f t="shared" si="154"/>
        <v>2.0000000000000018E-2</v>
      </c>
      <c r="I1266" s="2">
        <f>_xlfn.XLOOKUP(A1266,T10Y3M!A:A,T10Y3M!B:B,"",-1)</f>
        <v>1.67</v>
      </c>
      <c r="J1266" s="2">
        <f>_xlfn.XLOOKUP(A1266,BAMLC0A4CBBB!A:A,BAMLC0A4CBBB!B:B,"",-1)</f>
        <v>1.1599999999999999</v>
      </c>
      <c r="K1266" s="2">
        <f>_xlfn.XLOOKUP(A1266,CPIAUCSL!A:A,CPIAUCSL!B:B,"",-1)</f>
        <v>266.61399999999998</v>
      </c>
      <c r="L1266">
        <f>_xlfn.XLOOKUP(A1266,DFF!A:A,DFF!B:B,"",-1)</f>
        <v>7.0000000000000007E-2</v>
      </c>
      <c r="M1266">
        <f>_xlfn.XLOOKUP(A1266,'DGS2'!A:A,'DGS2'!B:B,"",-1)</f>
        <v>0.18</v>
      </c>
      <c r="N1266">
        <f t="shared" si="155"/>
        <v>1.999999999999999E-2</v>
      </c>
      <c r="O1266">
        <f t="shared" si="156"/>
        <v>3.2945816244711601E-3</v>
      </c>
      <c r="P1266">
        <f t="shared" si="157"/>
        <v>1</v>
      </c>
      <c r="Q1266">
        <f t="shared" si="158"/>
        <v>1</v>
      </c>
    </row>
    <row r="1267" spans="1:17">
      <c r="A1267" s="1">
        <v>44299</v>
      </c>
      <c r="B1267">
        <v>4141.59</v>
      </c>
      <c r="C1267">
        <f t="shared" si="152"/>
        <v>3.2945816244711601E-3</v>
      </c>
      <c r="D1267">
        <f t="shared" si="159"/>
        <v>1.0841629710263367E-2</v>
      </c>
      <c r="E1267">
        <f>_xlfn.XLOOKUP(A1267,VIX!A:A,VIX!B:B,"",-1)</f>
        <v>16.649999999999999</v>
      </c>
      <c r="F1267">
        <f t="shared" si="153"/>
        <v>-0.26000000000000156</v>
      </c>
      <c r="G1267">
        <f>_xlfn.XLOOKUP(A1267,'DGS10'!A:A,'DGS10'!B:B,"",-1)</f>
        <v>1.64</v>
      </c>
      <c r="H1267">
        <f t="shared" si="154"/>
        <v>-5.0000000000000044E-2</v>
      </c>
      <c r="I1267" s="2">
        <f>_xlfn.XLOOKUP(A1267,T10Y3M!A:A,T10Y3M!B:B,"",-1)</f>
        <v>1.61</v>
      </c>
      <c r="J1267" s="2">
        <f>_xlfn.XLOOKUP(A1267,BAMLC0A4CBBB!A:A,BAMLC0A4CBBB!B:B,"",-1)</f>
        <v>1.17</v>
      </c>
      <c r="K1267" s="2">
        <f>_xlfn.XLOOKUP(A1267,CPIAUCSL!A:A,CPIAUCSL!B:B,"",-1)</f>
        <v>266.61399999999998</v>
      </c>
      <c r="L1267">
        <f>_xlfn.XLOOKUP(A1267,DFF!A:A,DFF!B:B,"",-1)</f>
        <v>7.0000000000000007E-2</v>
      </c>
      <c r="M1267">
        <f>_xlfn.XLOOKUP(A1267,'DGS2'!A:A,'DGS2'!B:B,"",-1)</f>
        <v>0.16</v>
      </c>
      <c r="N1267">
        <f t="shared" si="155"/>
        <v>-1.999999999999999E-2</v>
      </c>
      <c r="O1267">
        <f t="shared" si="156"/>
        <v>-4.0878020277237415E-3</v>
      </c>
      <c r="P1267">
        <f t="shared" si="157"/>
        <v>0</v>
      </c>
      <c r="Q1267">
        <f t="shared" si="158"/>
        <v>-1</v>
      </c>
    </row>
    <row r="1268" spans="1:17">
      <c r="A1268" s="1">
        <v>44300</v>
      </c>
      <c r="B1268">
        <v>4124.66</v>
      </c>
      <c r="C1268">
        <f t="shared" si="152"/>
        <v>-4.0878020277237415E-3</v>
      </c>
      <c r="D1268">
        <f t="shared" si="159"/>
        <v>-1.0027126525867791E-3</v>
      </c>
      <c r="E1268">
        <f>_xlfn.XLOOKUP(A1268,VIX!A:A,VIX!B:B,"",-1)</f>
        <v>16.989999999999998</v>
      </c>
      <c r="F1268">
        <f t="shared" si="153"/>
        <v>0.33999999999999986</v>
      </c>
      <c r="G1268">
        <f>_xlfn.XLOOKUP(A1268,'DGS10'!A:A,'DGS10'!B:B,"",-1)</f>
        <v>1.64</v>
      </c>
      <c r="H1268">
        <f t="shared" si="154"/>
        <v>0</v>
      </c>
      <c r="I1268" s="2">
        <f>_xlfn.XLOOKUP(A1268,T10Y3M!A:A,T10Y3M!B:B,"",-1)</f>
        <v>1.62</v>
      </c>
      <c r="J1268" s="2">
        <f>_xlfn.XLOOKUP(A1268,BAMLC0A4CBBB!A:A,BAMLC0A4CBBB!B:B,"",-1)</f>
        <v>1.1599999999999999</v>
      </c>
      <c r="K1268" s="2">
        <f>_xlfn.XLOOKUP(A1268,CPIAUCSL!A:A,CPIAUCSL!B:B,"",-1)</f>
        <v>266.61399999999998</v>
      </c>
      <c r="L1268">
        <f>_xlfn.XLOOKUP(A1268,DFF!A:A,DFF!B:B,"",-1)</f>
        <v>7.0000000000000007E-2</v>
      </c>
      <c r="M1268">
        <f>_xlfn.XLOOKUP(A1268,'DGS2'!A:A,'DGS2'!B:B,"",-1)</f>
        <v>0.16</v>
      </c>
      <c r="N1268">
        <f t="shared" si="155"/>
        <v>0</v>
      </c>
      <c r="O1268">
        <f t="shared" si="156"/>
        <v>1.1094247768300924E-2</v>
      </c>
      <c r="P1268">
        <f t="shared" si="157"/>
        <v>1</v>
      </c>
      <c r="Q1268">
        <f t="shared" si="158"/>
        <v>1</v>
      </c>
    </row>
    <row r="1269" spans="1:17">
      <c r="A1269" s="1">
        <v>44301</v>
      </c>
      <c r="B1269">
        <v>4170.42</v>
      </c>
      <c r="C1269">
        <f t="shared" si="152"/>
        <v>1.1094247768300924E-2</v>
      </c>
      <c r="D1269">
        <f t="shared" si="159"/>
        <v>1.0278610171051916E-2</v>
      </c>
      <c r="E1269">
        <f>_xlfn.XLOOKUP(A1269,VIX!A:A,VIX!B:B,"",-1)</f>
        <v>16.57</v>
      </c>
      <c r="F1269">
        <f t="shared" si="153"/>
        <v>-0.41999999999999815</v>
      </c>
      <c r="G1269">
        <f>_xlfn.XLOOKUP(A1269,'DGS10'!A:A,'DGS10'!B:B,"",-1)</f>
        <v>1.56</v>
      </c>
      <c r="H1269">
        <f t="shared" si="154"/>
        <v>-7.9999999999999849E-2</v>
      </c>
      <c r="I1269" s="2">
        <f>_xlfn.XLOOKUP(A1269,T10Y3M!A:A,T10Y3M!B:B,"",-1)</f>
        <v>1.54</v>
      </c>
      <c r="J1269" s="2">
        <f>_xlfn.XLOOKUP(A1269,BAMLC0A4CBBB!A:A,BAMLC0A4CBBB!B:B,"",-1)</f>
        <v>1.1599999999999999</v>
      </c>
      <c r="K1269" s="2">
        <f>_xlfn.XLOOKUP(A1269,CPIAUCSL!A:A,CPIAUCSL!B:B,"",-1)</f>
        <v>266.61399999999998</v>
      </c>
      <c r="L1269">
        <f>_xlfn.XLOOKUP(A1269,DFF!A:A,DFF!B:B,"",-1)</f>
        <v>7.0000000000000007E-2</v>
      </c>
      <c r="M1269">
        <f>_xlfn.XLOOKUP(A1269,'DGS2'!A:A,'DGS2'!B:B,"",-1)</f>
        <v>0.16</v>
      </c>
      <c r="N1269">
        <f t="shared" si="155"/>
        <v>0</v>
      </c>
      <c r="O1269">
        <f t="shared" si="156"/>
        <v>3.6087492386858155E-3</v>
      </c>
      <c r="P1269">
        <f t="shared" si="157"/>
        <v>1</v>
      </c>
      <c r="Q1269">
        <f t="shared" si="158"/>
        <v>1</v>
      </c>
    </row>
    <row r="1270" spans="1:17">
      <c r="A1270" s="1">
        <v>44302</v>
      </c>
      <c r="B1270">
        <v>4185.47</v>
      </c>
      <c r="C1270">
        <f t="shared" si="152"/>
        <v>3.6087492386858155E-3</v>
      </c>
      <c r="D1270">
        <f t="shared" si="159"/>
        <v>1.0594964735765711E-2</v>
      </c>
      <c r="E1270">
        <f>_xlfn.XLOOKUP(A1270,VIX!A:A,VIX!B:B,"",-1)</f>
        <v>16.25</v>
      </c>
      <c r="F1270">
        <f t="shared" si="153"/>
        <v>-0.32000000000000028</v>
      </c>
      <c r="G1270">
        <f>_xlfn.XLOOKUP(A1270,'DGS10'!A:A,'DGS10'!B:B,"",-1)</f>
        <v>1.59</v>
      </c>
      <c r="H1270">
        <f t="shared" si="154"/>
        <v>3.0000000000000027E-2</v>
      </c>
      <c r="I1270" s="2">
        <f>_xlfn.XLOOKUP(A1270,T10Y3M!A:A,T10Y3M!B:B,"",-1)</f>
        <v>1.57</v>
      </c>
      <c r="J1270" s="2">
        <f>_xlfn.XLOOKUP(A1270,BAMLC0A4CBBB!A:A,BAMLC0A4CBBB!B:B,"",-1)</f>
        <v>1.17</v>
      </c>
      <c r="K1270" s="2">
        <f>_xlfn.XLOOKUP(A1270,CPIAUCSL!A:A,CPIAUCSL!B:B,"",-1)</f>
        <v>266.61399999999998</v>
      </c>
      <c r="L1270">
        <f>_xlfn.XLOOKUP(A1270,DFF!A:A,DFF!B:B,"",-1)</f>
        <v>7.0000000000000007E-2</v>
      </c>
      <c r="M1270">
        <f>_xlfn.XLOOKUP(A1270,'DGS2'!A:A,'DGS2'!B:B,"",-1)</f>
        <v>0.16</v>
      </c>
      <c r="N1270">
        <f t="shared" si="155"/>
        <v>0</v>
      </c>
      <c r="O1270">
        <f t="shared" si="156"/>
        <v>-5.3064530387267883E-3</v>
      </c>
      <c r="P1270">
        <f t="shared" si="157"/>
        <v>0</v>
      </c>
      <c r="Q1270">
        <f t="shared" si="158"/>
        <v>-1</v>
      </c>
    </row>
    <row r="1271" spans="1:17">
      <c r="A1271" s="1">
        <v>44305</v>
      </c>
      <c r="B1271">
        <v>4163.26</v>
      </c>
      <c r="C1271">
        <f t="shared" si="152"/>
        <v>-5.3064530387267883E-3</v>
      </c>
      <c r="D1271">
        <f t="shared" si="159"/>
        <v>9.3583471122469231E-3</v>
      </c>
      <c r="E1271">
        <f>_xlfn.XLOOKUP(A1271,VIX!A:A,VIX!B:B,"",-1)</f>
        <v>17.29</v>
      </c>
      <c r="F1271">
        <f t="shared" si="153"/>
        <v>1.0399999999999991</v>
      </c>
      <c r="G1271">
        <f>_xlfn.XLOOKUP(A1271,'DGS10'!A:A,'DGS10'!B:B,"",-1)</f>
        <v>1.61</v>
      </c>
      <c r="H1271">
        <f t="shared" si="154"/>
        <v>2.0000000000000018E-2</v>
      </c>
      <c r="I1271" s="2">
        <f>_xlfn.XLOOKUP(A1271,T10Y3M!A:A,T10Y3M!B:B,"",-1)</f>
        <v>1.59</v>
      </c>
      <c r="J1271" s="2">
        <f>_xlfn.XLOOKUP(A1271,BAMLC0A4CBBB!A:A,BAMLC0A4CBBB!B:B,"",-1)</f>
        <v>1.18</v>
      </c>
      <c r="K1271" s="2">
        <f>_xlfn.XLOOKUP(A1271,CPIAUCSL!A:A,CPIAUCSL!B:B,"",-1)</f>
        <v>266.61399999999998</v>
      </c>
      <c r="L1271">
        <f>_xlfn.XLOOKUP(A1271,DFF!A:A,DFF!B:B,"",-1)</f>
        <v>7.0000000000000007E-2</v>
      </c>
      <c r="M1271">
        <f>_xlfn.XLOOKUP(A1271,'DGS2'!A:A,'DGS2'!B:B,"",-1)</f>
        <v>0.16</v>
      </c>
      <c r="N1271">
        <f t="shared" si="155"/>
        <v>0</v>
      </c>
      <c r="O1271">
        <f t="shared" si="156"/>
        <v>-6.8023616108532359E-3</v>
      </c>
      <c r="P1271">
        <f t="shared" si="157"/>
        <v>0</v>
      </c>
      <c r="Q1271">
        <f t="shared" si="158"/>
        <v>-1</v>
      </c>
    </row>
    <row r="1272" spans="1:17">
      <c r="A1272" s="1">
        <v>44306</v>
      </c>
      <c r="B1272">
        <v>4134.9399999999996</v>
      </c>
      <c r="C1272">
        <f t="shared" si="152"/>
        <v>-6.8023616108532359E-3</v>
      </c>
      <c r="D1272">
        <f t="shared" si="159"/>
        <v>-8.5075364112009444E-3</v>
      </c>
      <c r="E1272">
        <f>_xlfn.XLOOKUP(A1272,VIX!A:A,VIX!B:B,"",-1)</f>
        <v>18.68</v>
      </c>
      <c r="F1272">
        <f t="shared" si="153"/>
        <v>1.3900000000000006</v>
      </c>
      <c r="G1272">
        <f>_xlfn.XLOOKUP(A1272,'DGS10'!A:A,'DGS10'!B:B,"",-1)</f>
        <v>1.58</v>
      </c>
      <c r="H1272">
        <f t="shared" si="154"/>
        <v>-3.0000000000000027E-2</v>
      </c>
      <c r="I1272" s="2">
        <f>_xlfn.XLOOKUP(A1272,T10Y3M!A:A,T10Y3M!B:B,"",-1)</f>
        <v>1.55</v>
      </c>
      <c r="J1272" s="2">
        <f>_xlfn.XLOOKUP(A1272,BAMLC0A4CBBB!A:A,BAMLC0A4CBBB!B:B,"",-1)</f>
        <v>1.19</v>
      </c>
      <c r="K1272" s="2">
        <f>_xlfn.XLOOKUP(A1272,CPIAUCSL!A:A,CPIAUCSL!B:B,"",-1)</f>
        <v>266.61399999999998</v>
      </c>
      <c r="L1272">
        <f>_xlfn.XLOOKUP(A1272,DFF!A:A,DFF!B:B,"",-1)</f>
        <v>7.0000000000000007E-2</v>
      </c>
      <c r="M1272">
        <f>_xlfn.XLOOKUP(A1272,'DGS2'!A:A,'DGS2'!B:B,"",-1)</f>
        <v>0.15</v>
      </c>
      <c r="N1272">
        <f t="shared" si="155"/>
        <v>-1.0000000000000009E-2</v>
      </c>
      <c r="O1272">
        <f t="shared" si="156"/>
        <v>9.3060600637495661E-3</v>
      </c>
      <c r="P1272">
        <f t="shared" si="157"/>
        <v>1</v>
      </c>
      <c r="Q1272">
        <f t="shared" si="158"/>
        <v>1</v>
      </c>
    </row>
    <row r="1273" spans="1:17">
      <c r="A1273" s="1">
        <v>44307</v>
      </c>
      <c r="B1273">
        <v>4173.42</v>
      </c>
      <c r="C1273">
        <f t="shared" si="152"/>
        <v>9.3060600637495661E-3</v>
      </c>
      <c r="D1273">
        <f t="shared" si="159"/>
        <v>-2.8790076144376009E-3</v>
      </c>
      <c r="E1273">
        <f>_xlfn.XLOOKUP(A1273,VIX!A:A,VIX!B:B,"",-1)</f>
        <v>17.5</v>
      </c>
      <c r="F1273">
        <f t="shared" si="153"/>
        <v>-1.1799999999999997</v>
      </c>
      <c r="G1273">
        <f>_xlfn.XLOOKUP(A1273,'DGS10'!A:A,'DGS10'!B:B,"",-1)</f>
        <v>1.57</v>
      </c>
      <c r="H1273">
        <f t="shared" si="154"/>
        <v>-1.0000000000000009E-2</v>
      </c>
      <c r="I1273" s="2">
        <f>_xlfn.XLOOKUP(A1273,T10Y3M!A:A,T10Y3M!B:B,"",-1)</f>
        <v>1.54</v>
      </c>
      <c r="J1273" s="2">
        <f>_xlfn.XLOOKUP(A1273,BAMLC0A4CBBB!A:A,BAMLC0A4CBBB!B:B,"",-1)</f>
        <v>1.19</v>
      </c>
      <c r="K1273" s="2">
        <f>_xlfn.XLOOKUP(A1273,CPIAUCSL!A:A,CPIAUCSL!B:B,"",-1)</f>
        <v>266.61399999999998</v>
      </c>
      <c r="L1273">
        <f>_xlfn.XLOOKUP(A1273,DFF!A:A,DFF!B:B,"",-1)</f>
        <v>7.0000000000000007E-2</v>
      </c>
      <c r="M1273">
        <f>_xlfn.XLOOKUP(A1273,'DGS2'!A:A,'DGS2'!B:B,"",-1)</f>
        <v>0.15</v>
      </c>
      <c r="N1273">
        <f t="shared" si="155"/>
        <v>0</v>
      </c>
      <c r="O1273">
        <f t="shared" si="156"/>
        <v>-9.2106713438859789E-3</v>
      </c>
      <c r="P1273">
        <f t="shared" si="157"/>
        <v>0</v>
      </c>
      <c r="Q1273">
        <f t="shared" si="158"/>
        <v>-1</v>
      </c>
    </row>
    <row r="1274" spans="1:17">
      <c r="A1274" s="1">
        <v>44308</v>
      </c>
      <c r="B1274">
        <v>4134.9799999999996</v>
      </c>
      <c r="C1274">
        <f t="shared" si="152"/>
        <v>-9.2106713438859789E-3</v>
      </c>
      <c r="D1274">
        <f t="shared" si="159"/>
        <v>-6.7927537554706152E-3</v>
      </c>
      <c r="E1274">
        <f>_xlfn.XLOOKUP(A1274,VIX!A:A,VIX!B:B,"",-1)</f>
        <v>18.71</v>
      </c>
      <c r="F1274">
        <f t="shared" si="153"/>
        <v>1.2100000000000009</v>
      </c>
      <c r="G1274">
        <f>_xlfn.XLOOKUP(A1274,'DGS10'!A:A,'DGS10'!B:B,"",-1)</f>
        <v>1.57</v>
      </c>
      <c r="H1274">
        <f t="shared" si="154"/>
        <v>0</v>
      </c>
      <c r="I1274" s="2">
        <f>_xlfn.XLOOKUP(A1274,T10Y3M!A:A,T10Y3M!B:B,"",-1)</f>
        <v>1.54</v>
      </c>
      <c r="J1274" s="2">
        <f>_xlfn.XLOOKUP(A1274,BAMLC0A4CBBB!A:A,BAMLC0A4CBBB!B:B,"",-1)</f>
        <v>1.18</v>
      </c>
      <c r="K1274" s="2">
        <f>_xlfn.XLOOKUP(A1274,CPIAUCSL!A:A,CPIAUCSL!B:B,"",-1)</f>
        <v>266.61399999999998</v>
      </c>
      <c r="L1274">
        <f>_xlfn.XLOOKUP(A1274,DFF!A:A,DFF!B:B,"",-1)</f>
        <v>7.0000000000000007E-2</v>
      </c>
      <c r="M1274">
        <f>_xlfn.XLOOKUP(A1274,'DGS2'!A:A,'DGS2'!B:B,"",-1)</f>
        <v>0.16</v>
      </c>
      <c r="N1274">
        <f t="shared" si="155"/>
        <v>1.0000000000000009E-2</v>
      </c>
      <c r="O1274">
        <f t="shared" si="156"/>
        <v>1.0928710658818286E-2</v>
      </c>
      <c r="P1274">
        <f t="shared" si="157"/>
        <v>1</v>
      </c>
      <c r="Q1274">
        <f t="shared" si="158"/>
        <v>1</v>
      </c>
    </row>
    <row r="1275" spans="1:17">
      <c r="A1275" s="1">
        <v>44309</v>
      </c>
      <c r="B1275">
        <v>4180.17</v>
      </c>
      <c r="C1275">
        <f t="shared" si="152"/>
        <v>1.0928710658818286E-2</v>
      </c>
      <c r="D1275">
        <f t="shared" si="159"/>
        <v>1.0938490038549631E-2</v>
      </c>
      <c r="E1275">
        <f>_xlfn.XLOOKUP(A1275,VIX!A:A,VIX!B:B,"",-1)</f>
        <v>17.329999999999998</v>
      </c>
      <c r="F1275">
        <f t="shared" si="153"/>
        <v>-1.3800000000000026</v>
      </c>
      <c r="G1275">
        <f>_xlfn.XLOOKUP(A1275,'DGS10'!A:A,'DGS10'!B:B,"",-1)</f>
        <v>1.58</v>
      </c>
      <c r="H1275">
        <f t="shared" si="154"/>
        <v>1.0000000000000009E-2</v>
      </c>
      <c r="I1275" s="2">
        <f>_xlfn.XLOOKUP(A1275,T10Y3M!A:A,T10Y3M!B:B,"",-1)</f>
        <v>1.55</v>
      </c>
      <c r="J1275" s="2">
        <f>_xlfn.XLOOKUP(A1275,BAMLC0A4CBBB!A:A,BAMLC0A4CBBB!B:B,"",-1)</f>
        <v>1.17</v>
      </c>
      <c r="K1275" s="2">
        <f>_xlfn.XLOOKUP(A1275,CPIAUCSL!A:A,CPIAUCSL!B:B,"",-1)</f>
        <v>266.61399999999998</v>
      </c>
      <c r="L1275">
        <f>_xlfn.XLOOKUP(A1275,DFF!A:A,DFF!B:B,"",-1)</f>
        <v>7.0000000000000007E-2</v>
      </c>
      <c r="M1275">
        <f>_xlfn.XLOOKUP(A1275,'DGS2'!A:A,'DGS2'!B:B,"",-1)</f>
        <v>0.16</v>
      </c>
      <c r="N1275">
        <f t="shared" si="155"/>
        <v>0</v>
      </c>
      <c r="O1275">
        <f t="shared" si="156"/>
        <v>1.782224167916624E-3</v>
      </c>
      <c r="P1275">
        <f t="shared" si="157"/>
        <v>1</v>
      </c>
      <c r="Q1275">
        <f t="shared" si="158"/>
        <v>0</v>
      </c>
    </row>
    <row r="1276" spans="1:17">
      <c r="A1276" s="1">
        <v>44312</v>
      </c>
      <c r="B1276">
        <v>4187.62</v>
      </c>
      <c r="C1276">
        <f t="shared" si="152"/>
        <v>1.782224167916624E-3</v>
      </c>
      <c r="D1276">
        <f t="shared" si="159"/>
        <v>3.4024852519036752E-3</v>
      </c>
      <c r="E1276">
        <f>_xlfn.XLOOKUP(A1276,VIX!A:A,VIX!B:B,"",-1)</f>
        <v>17.64</v>
      </c>
      <c r="F1276">
        <f t="shared" si="153"/>
        <v>0.31000000000000227</v>
      </c>
      <c r="G1276">
        <f>_xlfn.XLOOKUP(A1276,'DGS10'!A:A,'DGS10'!B:B,"",-1)</f>
        <v>1.58</v>
      </c>
      <c r="H1276">
        <f t="shared" si="154"/>
        <v>0</v>
      </c>
      <c r="I1276" s="2">
        <f>_xlfn.XLOOKUP(A1276,T10Y3M!A:A,T10Y3M!B:B,"",-1)</f>
        <v>1.55</v>
      </c>
      <c r="J1276" s="2">
        <f>_xlfn.XLOOKUP(A1276,BAMLC0A4CBBB!A:A,BAMLC0A4CBBB!B:B,"",-1)</f>
        <v>1.17</v>
      </c>
      <c r="K1276" s="2">
        <f>_xlfn.XLOOKUP(A1276,CPIAUCSL!A:A,CPIAUCSL!B:B,"",-1)</f>
        <v>266.61399999999998</v>
      </c>
      <c r="L1276">
        <f>_xlfn.XLOOKUP(A1276,DFF!A:A,DFF!B:B,"",-1)</f>
        <v>7.0000000000000007E-2</v>
      </c>
      <c r="M1276">
        <f>_xlfn.XLOOKUP(A1276,'DGS2'!A:A,'DGS2'!B:B,"",-1)</f>
        <v>0.18</v>
      </c>
      <c r="N1276">
        <f t="shared" si="155"/>
        <v>1.999999999999999E-2</v>
      </c>
      <c r="O1276">
        <f t="shared" si="156"/>
        <v>-2.1491921425531579E-4</v>
      </c>
      <c r="P1276">
        <f t="shared" si="157"/>
        <v>0</v>
      </c>
      <c r="Q1276">
        <f t="shared" si="158"/>
        <v>0</v>
      </c>
    </row>
    <row r="1277" spans="1:17">
      <c r="A1277" s="1">
        <v>44313</v>
      </c>
      <c r="B1277">
        <v>4186.72</v>
      </c>
      <c r="C1277">
        <f t="shared" si="152"/>
        <v>-2.1491921425531579E-4</v>
      </c>
      <c r="D1277">
        <f t="shared" si="159"/>
        <v>1.2512757014544462E-2</v>
      </c>
      <c r="E1277">
        <f>_xlfn.XLOOKUP(A1277,VIX!A:A,VIX!B:B,"",-1)</f>
        <v>17.559999999999999</v>
      </c>
      <c r="F1277">
        <f t="shared" si="153"/>
        <v>-8.0000000000001847E-2</v>
      </c>
      <c r="G1277">
        <f>_xlfn.XLOOKUP(A1277,'DGS10'!A:A,'DGS10'!B:B,"",-1)</f>
        <v>1.63</v>
      </c>
      <c r="H1277">
        <f t="shared" si="154"/>
        <v>4.9999999999999822E-2</v>
      </c>
      <c r="I1277" s="2">
        <f>_xlfn.XLOOKUP(A1277,T10Y3M!A:A,T10Y3M!B:B,"",-1)</f>
        <v>1.62</v>
      </c>
      <c r="J1277" s="2">
        <f>_xlfn.XLOOKUP(A1277,BAMLC0A4CBBB!A:A,BAMLC0A4CBBB!B:B,"",-1)</f>
        <v>1.1599999999999999</v>
      </c>
      <c r="K1277" s="2">
        <f>_xlfn.XLOOKUP(A1277,CPIAUCSL!A:A,CPIAUCSL!B:B,"",-1)</f>
        <v>266.61399999999998</v>
      </c>
      <c r="L1277">
        <f>_xlfn.XLOOKUP(A1277,DFF!A:A,DFF!B:B,"",-1)</f>
        <v>7.0000000000000007E-2</v>
      </c>
      <c r="M1277">
        <f>_xlfn.XLOOKUP(A1277,'DGS2'!A:A,'DGS2'!B:B,"",-1)</f>
        <v>0.17</v>
      </c>
      <c r="N1277">
        <f t="shared" si="155"/>
        <v>-9.9999999999999811E-3</v>
      </c>
      <c r="O1277">
        <f t="shared" si="156"/>
        <v>-8.4553063018300012E-4</v>
      </c>
      <c r="P1277">
        <f t="shared" si="157"/>
        <v>0</v>
      </c>
      <c r="Q1277">
        <f t="shared" si="158"/>
        <v>0</v>
      </c>
    </row>
    <row r="1278" spans="1:17">
      <c r="A1278" s="1">
        <v>44314</v>
      </c>
      <c r="B1278">
        <v>4183.18</v>
      </c>
      <c r="C1278">
        <f t="shared" si="152"/>
        <v>-8.4553063018300012E-4</v>
      </c>
      <c r="D1278">
        <f t="shared" si="159"/>
        <v>7.2006640878252703E-4</v>
      </c>
      <c r="E1278">
        <f>_xlfn.XLOOKUP(A1278,VIX!A:A,VIX!B:B,"",-1)</f>
        <v>17.28</v>
      </c>
      <c r="F1278">
        <f t="shared" si="153"/>
        <v>-0.27999999999999758</v>
      </c>
      <c r="G1278">
        <f>_xlfn.XLOOKUP(A1278,'DGS10'!A:A,'DGS10'!B:B,"",-1)</f>
        <v>1.63</v>
      </c>
      <c r="H1278">
        <f t="shared" si="154"/>
        <v>0</v>
      </c>
      <c r="I1278" s="2">
        <f>_xlfn.XLOOKUP(A1278,T10Y3M!A:A,T10Y3M!B:B,"",-1)</f>
        <v>1.62</v>
      </c>
      <c r="J1278" s="2">
        <f>_xlfn.XLOOKUP(A1278,BAMLC0A4CBBB!A:A,BAMLC0A4CBBB!B:B,"",-1)</f>
        <v>1.1599999999999999</v>
      </c>
      <c r="K1278" s="2">
        <f>_xlfn.XLOOKUP(A1278,CPIAUCSL!A:A,CPIAUCSL!B:B,"",-1)</f>
        <v>266.61399999999998</v>
      </c>
      <c r="L1278">
        <f>_xlfn.XLOOKUP(A1278,DFF!A:A,DFF!B:B,"",-1)</f>
        <v>7.0000000000000007E-2</v>
      </c>
      <c r="M1278">
        <f>_xlfn.XLOOKUP(A1278,'DGS2'!A:A,'DGS2'!B:B,"",-1)</f>
        <v>0.17</v>
      </c>
      <c r="N1278">
        <f t="shared" si="155"/>
        <v>0</v>
      </c>
      <c r="O1278">
        <f t="shared" si="156"/>
        <v>6.7627976802335787E-3</v>
      </c>
      <c r="P1278">
        <f t="shared" si="157"/>
        <v>1</v>
      </c>
      <c r="Q1278">
        <f t="shared" si="158"/>
        <v>1</v>
      </c>
    </row>
    <row r="1279" spans="1:17">
      <c r="A1279" s="1">
        <v>44315</v>
      </c>
      <c r="B1279">
        <v>4211.47</v>
      </c>
      <c r="C1279">
        <f t="shared" si="152"/>
        <v>6.7627976802335787E-3</v>
      </c>
      <c r="D1279">
        <f t="shared" si="159"/>
        <v>5.6953591777668677E-3</v>
      </c>
      <c r="E1279">
        <f>_xlfn.XLOOKUP(A1279,VIX!A:A,VIX!B:B,"",-1)</f>
        <v>17.61</v>
      </c>
      <c r="F1279">
        <f t="shared" si="153"/>
        <v>0.32999999999999829</v>
      </c>
      <c r="G1279">
        <f>_xlfn.XLOOKUP(A1279,'DGS10'!A:A,'DGS10'!B:B,"",-1)</f>
        <v>1.65</v>
      </c>
      <c r="H1279">
        <f t="shared" si="154"/>
        <v>2.0000000000000018E-2</v>
      </c>
      <c r="I1279" s="2">
        <f>_xlfn.XLOOKUP(A1279,T10Y3M!A:A,T10Y3M!B:B,"",-1)</f>
        <v>1.64</v>
      </c>
      <c r="J1279" s="2">
        <f>_xlfn.XLOOKUP(A1279,BAMLC0A4CBBB!A:A,BAMLC0A4CBBB!B:B,"",-1)</f>
        <v>1.1599999999999999</v>
      </c>
      <c r="K1279" s="2">
        <f>_xlfn.XLOOKUP(A1279,CPIAUCSL!A:A,CPIAUCSL!B:B,"",-1)</f>
        <v>266.61399999999998</v>
      </c>
      <c r="L1279">
        <f>_xlfn.XLOOKUP(A1279,DFF!A:A,DFF!B:B,"",-1)</f>
        <v>0.06</v>
      </c>
      <c r="M1279">
        <f>_xlfn.XLOOKUP(A1279,'DGS2'!A:A,'DGS2'!B:B,"",-1)</f>
        <v>0.16</v>
      </c>
      <c r="N1279">
        <f t="shared" si="155"/>
        <v>-1.0000000000000009E-2</v>
      </c>
      <c r="O1279">
        <f t="shared" si="156"/>
        <v>-7.1946375018698827E-3</v>
      </c>
      <c r="P1279">
        <f t="shared" si="157"/>
        <v>0</v>
      </c>
      <c r="Q1279">
        <f t="shared" si="158"/>
        <v>-1</v>
      </c>
    </row>
    <row r="1280" spans="1:17">
      <c r="A1280" s="1">
        <v>44316</v>
      </c>
      <c r="B1280">
        <v>4181.17</v>
      </c>
      <c r="C1280">
        <f t="shared" si="152"/>
        <v>-7.1946375018698827E-3</v>
      </c>
      <c r="D1280">
        <f t="shared" si="159"/>
        <v>-1.3256200557955067E-3</v>
      </c>
      <c r="E1280">
        <f>_xlfn.XLOOKUP(A1280,VIX!A:A,VIX!B:B,"",-1)</f>
        <v>18.61</v>
      </c>
      <c r="F1280">
        <f t="shared" si="153"/>
        <v>1</v>
      </c>
      <c r="G1280">
        <f>_xlfn.XLOOKUP(A1280,'DGS10'!A:A,'DGS10'!B:B,"",-1)</f>
        <v>1.65</v>
      </c>
      <c r="H1280">
        <f t="shared" si="154"/>
        <v>0</v>
      </c>
      <c r="I1280" s="2">
        <f>_xlfn.XLOOKUP(A1280,T10Y3M!A:A,T10Y3M!B:B,"",-1)</f>
        <v>1.64</v>
      </c>
      <c r="J1280" s="2">
        <f>_xlfn.XLOOKUP(A1280,BAMLC0A4CBBB!A:A,BAMLC0A4CBBB!B:B,"",-1)</f>
        <v>1.17</v>
      </c>
      <c r="K1280" s="2">
        <f>_xlfn.XLOOKUP(A1280,CPIAUCSL!A:A,CPIAUCSL!B:B,"",-1)</f>
        <v>266.61399999999998</v>
      </c>
      <c r="L1280">
        <f>_xlfn.XLOOKUP(A1280,DFF!A:A,DFF!B:B,"",-1)</f>
        <v>0.05</v>
      </c>
      <c r="M1280">
        <f>_xlfn.XLOOKUP(A1280,'DGS2'!A:A,'DGS2'!B:B,"",-1)</f>
        <v>0.16</v>
      </c>
      <c r="N1280">
        <f t="shared" si="155"/>
        <v>0</v>
      </c>
      <c r="O1280">
        <f t="shared" si="156"/>
        <v>2.7480346410215795E-3</v>
      </c>
      <c r="P1280">
        <f t="shared" si="157"/>
        <v>1</v>
      </c>
      <c r="Q1280">
        <f t="shared" si="158"/>
        <v>0</v>
      </c>
    </row>
    <row r="1281" spans="1:17">
      <c r="A1281" s="1">
        <v>44319</v>
      </c>
      <c r="B1281">
        <v>4192.66</v>
      </c>
      <c r="C1281">
        <f t="shared" si="152"/>
        <v>2.7480346410215795E-3</v>
      </c>
      <c r="D1281">
        <f t="shared" si="159"/>
        <v>2.2662185227504406E-3</v>
      </c>
      <c r="E1281">
        <f>_xlfn.XLOOKUP(A1281,VIX!A:A,VIX!B:B,"",-1)</f>
        <v>18.309999999999999</v>
      </c>
      <c r="F1281">
        <f t="shared" si="153"/>
        <v>-0.30000000000000071</v>
      </c>
      <c r="G1281">
        <f>_xlfn.XLOOKUP(A1281,'DGS10'!A:A,'DGS10'!B:B,"",-1)</f>
        <v>1.63</v>
      </c>
      <c r="H1281">
        <f t="shared" si="154"/>
        <v>-2.0000000000000018E-2</v>
      </c>
      <c r="I1281" s="2">
        <f>_xlfn.XLOOKUP(A1281,T10Y3M!A:A,T10Y3M!B:B,"",-1)</f>
        <v>1.59</v>
      </c>
      <c r="J1281" s="2">
        <f>_xlfn.XLOOKUP(A1281,BAMLC0A4CBBB!A:A,BAMLC0A4CBBB!B:B,"",-1)</f>
        <v>1.1599999999999999</v>
      </c>
      <c r="K1281" s="2">
        <f>_xlfn.XLOOKUP(A1281,CPIAUCSL!A:A,CPIAUCSL!B:B,"",-1)</f>
        <v>268.38299999999998</v>
      </c>
      <c r="L1281">
        <f>_xlfn.XLOOKUP(A1281,DFF!A:A,DFF!B:B,"",-1)</f>
        <v>0.06</v>
      </c>
      <c r="M1281">
        <f>_xlfn.XLOOKUP(A1281,'DGS2'!A:A,'DGS2'!B:B,"",-1)</f>
        <v>0.16</v>
      </c>
      <c r="N1281">
        <f t="shared" si="155"/>
        <v>0</v>
      </c>
      <c r="O1281">
        <f t="shared" si="156"/>
        <v>-6.6783378571121377E-3</v>
      </c>
      <c r="P1281">
        <f t="shared" si="157"/>
        <v>0</v>
      </c>
      <c r="Q1281">
        <f t="shared" si="158"/>
        <v>-1</v>
      </c>
    </row>
    <row r="1282" spans="1:17">
      <c r="A1282" s="1">
        <v>44320</v>
      </c>
      <c r="B1282">
        <v>4164.66</v>
      </c>
      <c r="C1282">
        <f t="shared" si="152"/>
        <v>-6.6783378571121377E-3</v>
      </c>
      <c r="D1282">
        <f t="shared" si="159"/>
        <v>-1.1114883876651271E-2</v>
      </c>
      <c r="E1282">
        <f>_xlfn.XLOOKUP(A1282,VIX!A:A,VIX!B:B,"",-1)</f>
        <v>19.48</v>
      </c>
      <c r="F1282">
        <f t="shared" si="153"/>
        <v>1.1700000000000017</v>
      </c>
      <c r="G1282">
        <f>_xlfn.XLOOKUP(A1282,'DGS10'!A:A,'DGS10'!B:B,"",-1)</f>
        <v>1.61</v>
      </c>
      <c r="H1282">
        <f t="shared" si="154"/>
        <v>-1.9999999999999796E-2</v>
      </c>
      <c r="I1282" s="2">
        <f>_xlfn.XLOOKUP(A1282,T10Y3M!A:A,T10Y3M!B:B,"",-1)</f>
        <v>1.59</v>
      </c>
      <c r="J1282" s="2">
        <f>_xlfn.XLOOKUP(A1282,BAMLC0A4CBBB!A:A,BAMLC0A4CBBB!B:B,"",-1)</f>
        <v>1.17</v>
      </c>
      <c r="K1282" s="2">
        <f>_xlfn.XLOOKUP(A1282,CPIAUCSL!A:A,CPIAUCSL!B:B,"",-1)</f>
        <v>268.38299999999998</v>
      </c>
      <c r="L1282">
        <f>_xlfn.XLOOKUP(A1282,DFF!A:A,DFF!B:B,"",-1)</f>
        <v>0.06</v>
      </c>
      <c r="M1282">
        <f>_xlfn.XLOOKUP(A1282,'DGS2'!A:A,'DGS2'!B:B,"",-1)</f>
        <v>0.16</v>
      </c>
      <c r="N1282">
        <f t="shared" si="155"/>
        <v>0</v>
      </c>
      <c r="O1282">
        <f t="shared" si="156"/>
        <v>7.0353882429774472E-4</v>
      </c>
      <c r="P1282">
        <f t="shared" si="157"/>
        <v>1</v>
      </c>
      <c r="Q1282">
        <f t="shared" si="158"/>
        <v>0</v>
      </c>
    </row>
    <row r="1283" spans="1:17">
      <c r="A1283" s="1">
        <v>44321</v>
      </c>
      <c r="B1283">
        <v>4167.59</v>
      </c>
      <c r="C1283">
        <f t="shared" si="152"/>
        <v>7.0353882429774472E-4</v>
      </c>
      <c r="D1283">
        <f t="shared" si="159"/>
        <v>-3.2478947280306647E-3</v>
      </c>
      <c r="E1283">
        <f>_xlfn.XLOOKUP(A1283,VIX!A:A,VIX!B:B,"",-1)</f>
        <v>19.149999999999999</v>
      </c>
      <c r="F1283">
        <f t="shared" si="153"/>
        <v>-0.33000000000000185</v>
      </c>
      <c r="G1283">
        <f>_xlfn.XLOOKUP(A1283,'DGS10'!A:A,'DGS10'!B:B,"",-1)</f>
        <v>1.59</v>
      </c>
      <c r="H1283">
        <f t="shared" si="154"/>
        <v>-2.0000000000000018E-2</v>
      </c>
      <c r="I1283" s="2">
        <f>_xlfn.XLOOKUP(A1283,T10Y3M!A:A,T10Y3M!B:B,"",-1)</f>
        <v>1.57</v>
      </c>
      <c r="J1283" s="2">
        <f>_xlfn.XLOOKUP(A1283,BAMLC0A4CBBB!A:A,BAMLC0A4CBBB!B:B,"",-1)</f>
        <v>1.1599999999999999</v>
      </c>
      <c r="K1283" s="2">
        <f>_xlfn.XLOOKUP(A1283,CPIAUCSL!A:A,CPIAUCSL!B:B,"",-1)</f>
        <v>268.38299999999998</v>
      </c>
      <c r="L1283">
        <f>_xlfn.XLOOKUP(A1283,DFF!A:A,DFF!B:B,"",-1)</f>
        <v>0.06</v>
      </c>
      <c r="M1283">
        <f>_xlfn.XLOOKUP(A1283,'DGS2'!A:A,'DGS2'!B:B,"",-1)</f>
        <v>0.16</v>
      </c>
      <c r="N1283">
        <f t="shared" si="155"/>
        <v>0</v>
      </c>
      <c r="O1283">
        <f t="shared" si="156"/>
        <v>8.1653905494540879E-3</v>
      </c>
      <c r="P1283">
        <f t="shared" si="157"/>
        <v>1</v>
      </c>
      <c r="Q1283">
        <f t="shared" si="158"/>
        <v>1</v>
      </c>
    </row>
    <row r="1284" spans="1:17">
      <c r="A1284" s="1">
        <v>44322</v>
      </c>
      <c r="B1284">
        <v>4201.62</v>
      </c>
      <c r="C1284">
        <f t="shared" ref="C1284:C1347" si="160">IF(OR(B1284="",B1283=""),"",(B1284/B1283)-1)</f>
        <v>8.1653905494540879E-3</v>
      </c>
      <c r="D1284">
        <f t="shared" si="159"/>
        <v>2.1370681142758308E-3</v>
      </c>
      <c r="E1284">
        <f>_xlfn.XLOOKUP(A1284,VIX!A:A,VIX!B:B,"",-1)</f>
        <v>18.39</v>
      </c>
      <c r="F1284">
        <f t="shared" ref="F1284:F1347" si="161">IF(OR(E1284="",E1283=""),"",E1284-E1283)</f>
        <v>-0.75999999999999801</v>
      </c>
      <c r="G1284">
        <f>_xlfn.XLOOKUP(A1284,'DGS10'!A:A,'DGS10'!B:B,"",-1)</f>
        <v>1.58</v>
      </c>
      <c r="H1284">
        <f t="shared" ref="H1284:H1347" si="162">IF(OR(G1284="",G1283=""),"",G1284-G1283)</f>
        <v>-1.0000000000000009E-2</v>
      </c>
      <c r="I1284" s="2">
        <f>_xlfn.XLOOKUP(A1284,T10Y3M!A:A,T10Y3M!B:B,"",-1)</f>
        <v>1.56</v>
      </c>
      <c r="J1284" s="2">
        <f>_xlfn.XLOOKUP(A1284,BAMLC0A4CBBB!A:A,BAMLC0A4CBBB!B:B,"",-1)</f>
        <v>1.1599999999999999</v>
      </c>
      <c r="K1284" s="2">
        <f>_xlfn.XLOOKUP(A1284,CPIAUCSL!A:A,CPIAUCSL!B:B,"",-1)</f>
        <v>268.38299999999998</v>
      </c>
      <c r="L1284">
        <f>_xlfn.XLOOKUP(A1284,DFF!A:A,DFF!B:B,"",-1)</f>
        <v>0.06</v>
      </c>
      <c r="M1284">
        <f>_xlfn.XLOOKUP(A1284,'DGS2'!A:A,'DGS2'!B:B,"",-1)</f>
        <v>0.16</v>
      </c>
      <c r="N1284">
        <f t="shared" ref="N1284:N1347" si="163">IF(OR(M1284="",M1283=""),"",M1284-M1283)</f>
        <v>0</v>
      </c>
      <c r="O1284">
        <f t="shared" ref="O1284:O1347" si="164">IF(OR(B1285="",B1284=""),"",(B1285/B1284)-1)</f>
        <v>7.3733464711231989E-3</v>
      </c>
      <c r="P1284">
        <f t="shared" ref="P1284:P1347" si="165">IF(O1284="","",IF(O1284&gt;0,1,0))</f>
        <v>1</v>
      </c>
      <c r="Q1284">
        <f t="shared" ref="Q1284:Q1347" si="166">IF(O1284="","",IF(O1284&gt;0.003,1,IF(O1284&lt;-0.003,-1,0)))</f>
        <v>1</v>
      </c>
    </row>
    <row r="1285" spans="1:17">
      <c r="A1285" s="1">
        <v>44323</v>
      </c>
      <c r="B1285">
        <v>4232.6000000000004</v>
      </c>
      <c r="C1285">
        <f t="shared" si="160"/>
        <v>7.3733464711231989E-3</v>
      </c>
      <c r="D1285">
        <f t="shared" si="159"/>
        <v>1.6313456560679729E-2</v>
      </c>
      <c r="E1285">
        <f>_xlfn.XLOOKUP(A1285,VIX!A:A,VIX!B:B,"",-1)</f>
        <v>16.690000000000001</v>
      </c>
      <c r="F1285">
        <f t="shared" si="161"/>
        <v>-1.6999999999999993</v>
      </c>
      <c r="G1285">
        <f>_xlfn.XLOOKUP(A1285,'DGS10'!A:A,'DGS10'!B:B,"",-1)</f>
        <v>1.6</v>
      </c>
      <c r="H1285">
        <f t="shared" si="162"/>
        <v>2.0000000000000018E-2</v>
      </c>
      <c r="I1285" s="2">
        <f>_xlfn.XLOOKUP(A1285,T10Y3M!A:A,T10Y3M!B:B,"",-1)</f>
        <v>1.58</v>
      </c>
      <c r="J1285" s="2">
        <f>_xlfn.XLOOKUP(A1285,BAMLC0A4CBBB!A:A,BAMLC0A4CBBB!B:B,"",-1)</f>
        <v>1.1499999999999999</v>
      </c>
      <c r="K1285" s="2">
        <f>_xlfn.XLOOKUP(A1285,CPIAUCSL!A:A,CPIAUCSL!B:B,"",-1)</f>
        <v>268.38299999999998</v>
      </c>
      <c r="L1285">
        <f>_xlfn.XLOOKUP(A1285,DFF!A:A,DFF!B:B,"",-1)</f>
        <v>0.06</v>
      </c>
      <c r="M1285">
        <f>_xlfn.XLOOKUP(A1285,'DGS2'!A:A,'DGS2'!B:B,"",-1)</f>
        <v>0.14000000000000001</v>
      </c>
      <c r="N1285">
        <f t="shared" si="163"/>
        <v>-1.999999999999999E-2</v>
      </c>
      <c r="O1285">
        <f t="shared" si="164"/>
        <v>-1.0435666020885526E-2</v>
      </c>
      <c r="P1285">
        <f t="shared" si="165"/>
        <v>0</v>
      </c>
      <c r="Q1285">
        <f t="shared" si="166"/>
        <v>-1</v>
      </c>
    </row>
    <row r="1286" spans="1:17">
      <c r="A1286" s="1">
        <v>44326</v>
      </c>
      <c r="B1286">
        <v>4188.43</v>
      </c>
      <c r="C1286">
        <f t="shared" si="160"/>
        <v>-1.0435666020885526E-2</v>
      </c>
      <c r="D1286">
        <f t="shared" ref="D1286:D1349" si="167">IF(OR(B1286="",B1283=""),"",(B1286/B1283)-1)</f>
        <v>5.0004918909969387E-3</v>
      </c>
      <c r="E1286">
        <f>_xlfn.XLOOKUP(A1286,VIX!A:A,VIX!B:B,"",-1)</f>
        <v>19.66</v>
      </c>
      <c r="F1286">
        <f t="shared" si="161"/>
        <v>2.9699999999999989</v>
      </c>
      <c r="G1286">
        <f>_xlfn.XLOOKUP(A1286,'DGS10'!A:A,'DGS10'!B:B,"",-1)</f>
        <v>1.63</v>
      </c>
      <c r="H1286">
        <f t="shared" si="162"/>
        <v>2.9999999999999805E-2</v>
      </c>
      <c r="I1286" s="2">
        <f>_xlfn.XLOOKUP(A1286,T10Y3M!A:A,T10Y3M!B:B,"",-1)</f>
        <v>1.61</v>
      </c>
      <c r="J1286" s="2">
        <f>_xlfn.XLOOKUP(A1286,BAMLC0A4CBBB!A:A,BAMLC0A4CBBB!B:B,"",-1)</f>
        <v>1.1499999999999999</v>
      </c>
      <c r="K1286" s="2">
        <f>_xlfn.XLOOKUP(A1286,CPIAUCSL!A:A,CPIAUCSL!B:B,"",-1)</f>
        <v>268.38299999999998</v>
      </c>
      <c r="L1286">
        <f>_xlfn.XLOOKUP(A1286,DFF!A:A,DFF!B:B,"",-1)</f>
        <v>0.06</v>
      </c>
      <c r="M1286">
        <f>_xlfn.XLOOKUP(A1286,'DGS2'!A:A,'DGS2'!B:B,"",-1)</f>
        <v>0.16</v>
      </c>
      <c r="N1286">
        <f t="shared" si="163"/>
        <v>1.999999999999999E-2</v>
      </c>
      <c r="O1286">
        <f t="shared" si="164"/>
        <v>-8.6738945141735524E-3</v>
      </c>
      <c r="P1286">
        <f t="shared" si="165"/>
        <v>0</v>
      </c>
      <c r="Q1286">
        <f t="shared" si="166"/>
        <v>-1</v>
      </c>
    </row>
    <row r="1287" spans="1:17">
      <c r="A1287" s="1">
        <v>44327</v>
      </c>
      <c r="B1287">
        <v>4152.1000000000004</v>
      </c>
      <c r="C1287">
        <f t="shared" si="160"/>
        <v>-8.6738945141735524E-3</v>
      </c>
      <c r="D1287">
        <f t="shared" si="167"/>
        <v>-1.1785930188831784E-2</v>
      </c>
      <c r="E1287">
        <f>_xlfn.XLOOKUP(A1287,VIX!A:A,VIX!B:B,"",-1)</f>
        <v>21.84</v>
      </c>
      <c r="F1287">
        <f t="shared" si="161"/>
        <v>2.1799999999999997</v>
      </c>
      <c r="G1287">
        <f>_xlfn.XLOOKUP(A1287,'DGS10'!A:A,'DGS10'!B:B,"",-1)</f>
        <v>1.64</v>
      </c>
      <c r="H1287">
        <f t="shared" si="162"/>
        <v>1.0000000000000009E-2</v>
      </c>
      <c r="I1287" s="2">
        <f>_xlfn.XLOOKUP(A1287,T10Y3M!A:A,T10Y3M!B:B,"",-1)</f>
        <v>1.63</v>
      </c>
      <c r="J1287" s="2">
        <f>_xlfn.XLOOKUP(A1287,BAMLC0A4CBBB!A:A,BAMLC0A4CBBB!B:B,"",-1)</f>
        <v>1.1599999999999999</v>
      </c>
      <c r="K1287" s="2">
        <f>_xlfn.XLOOKUP(A1287,CPIAUCSL!A:A,CPIAUCSL!B:B,"",-1)</f>
        <v>268.38299999999998</v>
      </c>
      <c r="L1287">
        <f>_xlfn.XLOOKUP(A1287,DFF!A:A,DFF!B:B,"",-1)</f>
        <v>0.06</v>
      </c>
      <c r="M1287">
        <f>_xlfn.XLOOKUP(A1287,'DGS2'!A:A,'DGS2'!B:B,"",-1)</f>
        <v>0.16</v>
      </c>
      <c r="N1287">
        <f t="shared" si="163"/>
        <v>0</v>
      </c>
      <c r="O1287">
        <f t="shared" si="164"/>
        <v>-2.1449387057151936E-2</v>
      </c>
      <c r="P1287">
        <f t="shared" si="165"/>
        <v>0</v>
      </c>
      <c r="Q1287">
        <f t="shared" si="166"/>
        <v>-1</v>
      </c>
    </row>
    <row r="1288" spans="1:17">
      <c r="A1288" s="1">
        <v>44328</v>
      </c>
      <c r="B1288">
        <v>4063.04</v>
      </c>
      <c r="C1288">
        <f t="shared" si="160"/>
        <v>-2.1449387057151936E-2</v>
      </c>
      <c r="D1288">
        <f t="shared" si="167"/>
        <v>-4.0060482918300888E-2</v>
      </c>
      <c r="E1288">
        <f>_xlfn.XLOOKUP(A1288,VIX!A:A,VIX!B:B,"",-1)</f>
        <v>27.59</v>
      </c>
      <c r="F1288">
        <f t="shared" si="161"/>
        <v>5.75</v>
      </c>
      <c r="G1288">
        <f>_xlfn.XLOOKUP(A1288,'DGS10'!A:A,'DGS10'!B:B,"",-1)</f>
        <v>1.69</v>
      </c>
      <c r="H1288">
        <f t="shared" si="162"/>
        <v>5.0000000000000044E-2</v>
      </c>
      <c r="I1288" s="2">
        <f>_xlfn.XLOOKUP(A1288,T10Y3M!A:A,T10Y3M!B:B,"",-1)</f>
        <v>1.67</v>
      </c>
      <c r="J1288" s="2">
        <f>_xlfn.XLOOKUP(A1288,BAMLC0A4CBBB!A:A,BAMLC0A4CBBB!B:B,"",-1)</f>
        <v>1.1499999999999999</v>
      </c>
      <c r="K1288" s="2">
        <f>_xlfn.XLOOKUP(A1288,CPIAUCSL!A:A,CPIAUCSL!B:B,"",-1)</f>
        <v>268.38299999999998</v>
      </c>
      <c r="L1288">
        <f>_xlfn.XLOOKUP(A1288,DFF!A:A,DFF!B:B,"",-1)</f>
        <v>0.06</v>
      </c>
      <c r="M1288">
        <f>_xlfn.XLOOKUP(A1288,'DGS2'!A:A,'DGS2'!B:B,"",-1)</f>
        <v>0.16</v>
      </c>
      <c r="N1288">
        <f t="shared" si="163"/>
        <v>0</v>
      </c>
      <c r="O1288">
        <f t="shared" si="164"/>
        <v>1.2173151138064053E-2</v>
      </c>
      <c r="P1288">
        <f t="shared" si="165"/>
        <v>1</v>
      </c>
      <c r="Q1288">
        <f t="shared" si="166"/>
        <v>1</v>
      </c>
    </row>
    <row r="1289" spans="1:17">
      <c r="A1289" s="1">
        <v>44329</v>
      </c>
      <c r="B1289">
        <v>4112.5</v>
      </c>
      <c r="C1289">
        <f t="shared" si="160"/>
        <v>1.2173151138064053E-2</v>
      </c>
      <c r="D1289">
        <f t="shared" si="167"/>
        <v>-1.8128511160506511E-2</v>
      </c>
      <c r="E1289">
        <f>_xlfn.XLOOKUP(A1289,VIX!A:A,VIX!B:B,"",-1)</f>
        <v>23.13</v>
      </c>
      <c r="F1289">
        <f t="shared" si="161"/>
        <v>-4.4600000000000009</v>
      </c>
      <c r="G1289">
        <f>_xlfn.XLOOKUP(A1289,'DGS10'!A:A,'DGS10'!B:B,"",-1)</f>
        <v>1.66</v>
      </c>
      <c r="H1289">
        <f t="shared" si="162"/>
        <v>-3.0000000000000027E-2</v>
      </c>
      <c r="I1289" s="2">
        <f>_xlfn.XLOOKUP(A1289,T10Y3M!A:A,T10Y3M!B:B,"",-1)</f>
        <v>1.64</v>
      </c>
      <c r="J1289" s="2">
        <f>_xlfn.XLOOKUP(A1289,BAMLC0A4CBBB!A:A,BAMLC0A4CBBB!B:B,"",-1)</f>
        <v>1.1599999999999999</v>
      </c>
      <c r="K1289" s="2">
        <f>_xlfn.XLOOKUP(A1289,CPIAUCSL!A:A,CPIAUCSL!B:B,"",-1)</f>
        <v>268.38299999999998</v>
      </c>
      <c r="L1289">
        <f>_xlfn.XLOOKUP(A1289,DFF!A:A,DFF!B:B,"",-1)</f>
        <v>0.06</v>
      </c>
      <c r="M1289">
        <f>_xlfn.XLOOKUP(A1289,'DGS2'!A:A,'DGS2'!B:B,"",-1)</f>
        <v>0.16</v>
      </c>
      <c r="N1289">
        <f t="shared" si="163"/>
        <v>0</v>
      </c>
      <c r="O1289">
        <f t="shared" si="164"/>
        <v>1.4917933130699224E-2</v>
      </c>
      <c r="P1289">
        <f t="shared" si="165"/>
        <v>1</v>
      </c>
      <c r="Q1289">
        <f t="shared" si="166"/>
        <v>1</v>
      </c>
    </row>
    <row r="1290" spans="1:17">
      <c r="A1290" s="1">
        <v>44330</v>
      </c>
      <c r="B1290">
        <v>4173.8500000000004</v>
      </c>
      <c r="C1290">
        <f t="shared" si="160"/>
        <v>1.4917933130699224E-2</v>
      </c>
      <c r="D1290">
        <f t="shared" si="167"/>
        <v>5.2383131427471419E-3</v>
      </c>
      <c r="E1290">
        <f>_xlfn.XLOOKUP(A1290,VIX!A:A,VIX!B:B,"",-1)</f>
        <v>18.809999999999999</v>
      </c>
      <c r="F1290">
        <f t="shared" si="161"/>
        <v>-4.32</v>
      </c>
      <c r="G1290">
        <f>_xlfn.XLOOKUP(A1290,'DGS10'!A:A,'DGS10'!B:B,"",-1)</f>
        <v>1.63</v>
      </c>
      <c r="H1290">
        <f t="shared" si="162"/>
        <v>-3.0000000000000027E-2</v>
      </c>
      <c r="I1290" s="2">
        <f>_xlfn.XLOOKUP(A1290,T10Y3M!A:A,T10Y3M!B:B,"",-1)</f>
        <v>1.62</v>
      </c>
      <c r="J1290" s="2">
        <f>_xlfn.XLOOKUP(A1290,BAMLC0A4CBBB!A:A,BAMLC0A4CBBB!B:B,"",-1)</f>
        <v>1.1499999999999999</v>
      </c>
      <c r="K1290" s="2">
        <f>_xlfn.XLOOKUP(A1290,CPIAUCSL!A:A,CPIAUCSL!B:B,"",-1)</f>
        <v>268.38299999999998</v>
      </c>
      <c r="L1290">
        <f>_xlfn.XLOOKUP(A1290,DFF!A:A,DFF!B:B,"",-1)</f>
        <v>0.06</v>
      </c>
      <c r="M1290">
        <f>_xlfn.XLOOKUP(A1290,'DGS2'!A:A,'DGS2'!B:B,"",-1)</f>
        <v>0.16</v>
      </c>
      <c r="N1290">
        <f t="shared" si="163"/>
        <v>0</v>
      </c>
      <c r="O1290">
        <f t="shared" si="164"/>
        <v>-2.5300382141189015E-3</v>
      </c>
      <c r="P1290">
        <f t="shared" si="165"/>
        <v>0</v>
      </c>
      <c r="Q1290">
        <f t="shared" si="166"/>
        <v>0</v>
      </c>
    </row>
    <row r="1291" spans="1:17">
      <c r="A1291" s="1">
        <v>44333</v>
      </c>
      <c r="B1291">
        <v>4163.29</v>
      </c>
      <c r="C1291">
        <f t="shared" si="160"/>
        <v>-2.5300382141189015E-3</v>
      </c>
      <c r="D1291">
        <f t="shared" si="167"/>
        <v>2.4673643380326071E-2</v>
      </c>
      <c r="E1291">
        <f>_xlfn.XLOOKUP(A1291,VIX!A:A,VIX!B:B,"",-1)</f>
        <v>19.72</v>
      </c>
      <c r="F1291">
        <f t="shared" si="161"/>
        <v>0.91000000000000014</v>
      </c>
      <c r="G1291">
        <f>_xlfn.XLOOKUP(A1291,'DGS10'!A:A,'DGS10'!B:B,"",-1)</f>
        <v>1.64</v>
      </c>
      <c r="H1291">
        <f t="shared" si="162"/>
        <v>1.0000000000000009E-2</v>
      </c>
      <c r="I1291" s="2">
        <f>_xlfn.XLOOKUP(A1291,T10Y3M!A:A,T10Y3M!B:B,"",-1)</f>
        <v>1.62</v>
      </c>
      <c r="J1291" s="2">
        <f>_xlfn.XLOOKUP(A1291,BAMLC0A4CBBB!A:A,BAMLC0A4CBBB!B:B,"",-1)</f>
        <v>1.1399999999999999</v>
      </c>
      <c r="K1291" s="2">
        <f>_xlfn.XLOOKUP(A1291,CPIAUCSL!A:A,CPIAUCSL!B:B,"",-1)</f>
        <v>268.38299999999998</v>
      </c>
      <c r="L1291">
        <f>_xlfn.XLOOKUP(A1291,DFF!A:A,DFF!B:B,"",-1)</f>
        <v>0.06</v>
      </c>
      <c r="M1291">
        <f>_xlfn.XLOOKUP(A1291,'DGS2'!A:A,'DGS2'!B:B,"",-1)</f>
        <v>0.16</v>
      </c>
      <c r="N1291">
        <f t="shared" si="163"/>
        <v>0</v>
      </c>
      <c r="O1291">
        <f t="shared" si="164"/>
        <v>-8.5173024218827553E-3</v>
      </c>
      <c r="P1291">
        <f t="shared" si="165"/>
        <v>0</v>
      </c>
      <c r="Q1291">
        <f t="shared" si="166"/>
        <v>-1</v>
      </c>
    </row>
    <row r="1292" spans="1:17">
      <c r="A1292" s="1">
        <v>44334</v>
      </c>
      <c r="B1292">
        <v>4127.83</v>
      </c>
      <c r="C1292">
        <f t="shared" si="160"/>
        <v>-8.5173024218827553E-3</v>
      </c>
      <c r="D1292">
        <f t="shared" si="167"/>
        <v>3.7276595744679675E-3</v>
      </c>
      <c r="E1292">
        <f>_xlfn.XLOOKUP(A1292,VIX!A:A,VIX!B:B,"",-1)</f>
        <v>21.34</v>
      </c>
      <c r="F1292">
        <f t="shared" si="161"/>
        <v>1.620000000000001</v>
      </c>
      <c r="G1292">
        <f>_xlfn.XLOOKUP(A1292,'DGS10'!A:A,'DGS10'!B:B,"",-1)</f>
        <v>1.64</v>
      </c>
      <c r="H1292">
        <f t="shared" si="162"/>
        <v>0</v>
      </c>
      <c r="I1292" s="2">
        <f>_xlfn.XLOOKUP(A1292,T10Y3M!A:A,T10Y3M!B:B,"",-1)</f>
        <v>1.62</v>
      </c>
      <c r="J1292" s="2">
        <f>_xlfn.XLOOKUP(A1292,BAMLC0A4CBBB!A:A,BAMLC0A4CBBB!B:B,"",-1)</f>
        <v>1.1399999999999999</v>
      </c>
      <c r="K1292" s="2">
        <f>_xlfn.XLOOKUP(A1292,CPIAUCSL!A:A,CPIAUCSL!B:B,"",-1)</f>
        <v>268.38299999999998</v>
      </c>
      <c r="L1292">
        <f>_xlfn.XLOOKUP(A1292,DFF!A:A,DFF!B:B,"",-1)</f>
        <v>0.06</v>
      </c>
      <c r="M1292">
        <f>_xlfn.XLOOKUP(A1292,'DGS2'!A:A,'DGS2'!B:B,"",-1)</f>
        <v>0.16</v>
      </c>
      <c r="N1292">
        <f t="shared" si="163"/>
        <v>0</v>
      </c>
      <c r="O1292">
        <f t="shared" si="164"/>
        <v>-2.9434351705374118E-3</v>
      </c>
      <c r="P1292">
        <f t="shared" si="165"/>
        <v>0</v>
      </c>
      <c r="Q1292">
        <f t="shared" si="166"/>
        <v>0</v>
      </c>
    </row>
    <row r="1293" spans="1:17">
      <c r="A1293" s="1">
        <v>44335</v>
      </c>
      <c r="B1293">
        <v>4115.68</v>
      </c>
      <c r="C1293">
        <f t="shared" si="160"/>
        <v>-2.9434351705374118E-3</v>
      </c>
      <c r="D1293">
        <f t="shared" si="167"/>
        <v>-1.3936773003342284E-2</v>
      </c>
      <c r="E1293">
        <f>_xlfn.XLOOKUP(A1293,VIX!A:A,VIX!B:B,"",-1)</f>
        <v>22.18</v>
      </c>
      <c r="F1293">
        <f t="shared" si="161"/>
        <v>0.83999999999999986</v>
      </c>
      <c r="G1293">
        <f>_xlfn.XLOOKUP(A1293,'DGS10'!A:A,'DGS10'!B:B,"",-1)</f>
        <v>1.68</v>
      </c>
      <c r="H1293">
        <f t="shared" si="162"/>
        <v>4.0000000000000036E-2</v>
      </c>
      <c r="I1293" s="2">
        <f>_xlfn.XLOOKUP(A1293,T10Y3M!A:A,T10Y3M!B:B,"",-1)</f>
        <v>1.67</v>
      </c>
      <c r="J1293" s="2">
        <f>_xlfn.XLOOKUP(A1293,BAMLC0A4CBBB!A:A,BAMLC0A4CBBB!B:B,"",-1)</f>
        <v>1.1399999999999999</v>
      </c>
      <c r="K1293" s="2">
        <f>_xlfn.XLOOKUP(A1293,CPIAUCSL!A:A,CPIAUCSL!B:B,"",-1)</f>
        <v>268.38299999999998</v>
      </c>
      <c r="L1293">
        <f>_xlfn.XLOOKUP(A1293,DFF!A:A,DFF!B:B,"",-1)</f>
        <v>0.06</v>
      </c>
      <c r="M1293">
        <f>_xlfn.XLOOKUP(A1293,'DGS2'!A:A,'DGS2'!B:B,"",-1)</f>
        <v>0.16</v>
      </c>
      <c r="N1293">
        <f t="shared" si="163"/>
        <v>0</v>
      </c>
      <c r="O1293">
        <f t="shared" si="164"/>
        <v>1.0554756443649449E-2</v>
      </c>
      <c r="P1293">
        <f t="shared" si="165"/>
        <v>1</v>
      </c>
      <c r="Q1293">
        <f t="shared" si="166"/>
        <v>1</v>
      </c>
    </row>
    <row r="1294" spans="1:17">
      <c r="A1294" s="1">
        <v>44336</v>
      </c>
      <c r="B1294">
        <v>4159.12</v>
      </c>
      <c r="C1294">
        <f t="shared" si="160"/>
        <v>1.0554756443649449E-2</v>
      </c>
      <c r="D1294">
        <f t="shared" si="167"/>
        <v>-1.0016117061266705E-3</v>
      </c>
      <c r="E1294">
        <f>_xlfn.XLOOKUP(A1294,VIX!A:A,VIX!B:B,"",-1)</f>
        <v>20.67</v>
      </c>
      <c r="F1294">
        <f t="shared" si="161"/>
        <v>-1.509999999999998</v>
      </c>
      <c r="G1294">
        <f>_xlfn.XLOOKUP(A1294,'DGS10'!A:A,'DGS10'!B:B,"",-1)</f>
        <v>1.63</v>
      </c>
      <c r="H1294">
        <f t="shared" si="162"/>
        <v>-5.0000000000000044E-2</v>
      </c>
      <c r="I1294" s="2">
        <f>_xlfn.XLOOKUP(A1294,T10Y3M!A:A,T10Y3M!B:B,"",-1)</f>
        <v>1.62</v>
      </c>
      <c r="J1294" s="2">
        <f>_xlfn.XLOOKUP(A1294,BAMLC0A4CBBB!A:A,BAMLC0A4CBBB!B:B,"",-1)</f>
        <v>1.1399999999999999</v>
      </c>
      <c r="K1294" s="2">
        <f>_xlfn.XLOOKUP(A1294,CPIAUCSL!A:A,CPIAUCSL!B:B,"",-1)</f>
        <v>268.38299999999998</v>
      </c>
      <c r="L1294">
        <f>_xlfn.XLOOKUP(A1294,DFF!A:A,DFF!B:B,"",-1)</f>
        <v>0.06</v>
      </c>
      <c r="M1294">
        <f>_xlfn.XLOOKUP(A1294,'DGS2'!A:A,'DGS2'!B:B,"",-1)</f>
        <v>0.15</v>
      </c>
      <c r="N1294">
        <f t="shared" si="163"/>
        <v>-1.0000000000000009E-2</v>
      </c>
      <c r="O1294">
        <f t="shared" si="164"/>
        <v>-7.8381965415763588E-4</v>
      </c>
      <c r="P1294">
        <f t="shared" si="165"/>
        <v>0</v>
      </c>
      <c r="Q1294">
        <f t="shared" si="166"/>
        <v>0</v>
      </c>
    </row>
    <row r="1295" spans="1:17">
      <c r="A1295" s="1">
        <v>44337</v>
      </c>
      <c r="B1295">
        <v>4155.8599999999997</v>
      </c>
      <c r="C1295">
        <f t="shared" si="160"/>
        <v>-7.8381965415763588E-4</v>
      </c>
      <c r="D1295">
        <f t="shared" si="167"/>
        <v>6.7904928255280161E-3</v>
      </c>
      <c r="E1295">
        <f>_xlfn.XLOOKUP(A1295,VIX!A:A,VIX!B:B,"",-1)</f>
        <v>20.149999999999999</v>
      </c>
      <c r="F1295">
        <f t="shared" si="161"/>
        <v>-0.52000000000000313</v>
      </c>
      <c r="G1295">
        <f>_xlfn.XLOOKUP(A1295,'DGS10'!A:A,'DGS10'!B:B,"",-1)</f>
        <v>1.63</v>
      </c>
      <c r="H1295">
        <f t="shared" si="162"/>
        <v>0</v>
      </c>
      <c r="I1295" s="2">
        <f>_xlfn.XLOOKUP(A1295,T10Y3M!A:A,T10Y3M!B:B,"",-1)</f>
        <v>1.62</v>
      </c>
      <c r="J1295" s="2">
        <f>_xlfn.XLOOKUP(A1295,BAMLC0A4CBBB!A:A,BAMLC0A4CBBB!B:B,"",-1)</f>
        <v>1.1399999999999999</v>
      </c>
      <c r="K1295" s="2">
        <f>_xlfn.XLOOKUP(A1295,CPIAUCSL!A:A,CPIAUCSL!B:B,"",-1)</f>
        <v>268.38299999999998</v>
      </c>
      <c r="L1295">
        <f>_xlfn.XLOOKUP(A1295,DFF!A:A,DFF!B:B,"",-1)</f>
        <v>0.06</v>
      </c>
      <c r="M1295">
        <f>_xlfn.XLOOKUP(A1295,'DGS2'!A:A,'DGS2'!B:B,"",-1)</f>
        <v>0.17</v>
      </c>
      <c r="N1295">
        <f t="shared" si="163"/>
        <v>2.0000000000000018E-2</v>
      </c>
      <c r="O1295">
        <f t="shared" si="164"/>
        <v>9.9113059631461553E-3</v>
      </c>
      <c r="P1295">
        <f t="shared" si="165"/>
        <v>1</v>
      </c>
      <c r="Q1295">
        <f t="shared" si="166"/>
        <v>1</v>
      </c>
    </row>
    <row r="1296" spans="1:17">
      <c r="A1296" s="1">
        <v>44340</v>
      </c>
      <c r="B1296">
        <v>4197.05</v>
      </c>
      <c r="C1296">
        <f t="shared" si="160"/>
        <v>9.9113059631461553E-3</v>
      </c>
      <c r="D1296">
        <f t="shared" si="167"/>
        <v>1.9770730474672371E-2</v>
      </c>
      <c r="E1296">
        <f>_xlfn.XLOOKUP(A1296,VIX!A:A,VIX!B:B,"",-1)</f>
        <v>18.399999999999999</v>
      </c>
      <c r="F1296">
        <f t="shared" si="161"/>
        <v>-1.75</v>
      </c>
      <c r="G1296">
        <f>_xlfn.XLOOKUP(A1296,'DGS10'!A:A,'DGS10'!B:B,"",-1)</f>
        <v>1.61</v>
      </c>
      <c r="H1296">
        <f t="shared" si="162"/>
        <v>-1.9999999999999796E-2</v>
      </c>
      <c r="I1296" s="2">
        <f>_xlfn.XLOOKUP(A1296,T10Y3M!A:A,T10Y3M!B:B,"",-1)</f>
        <v>1.59</v>
      </c>
      <c r="J1296" s="2">
        <f>_xlfn.XLOOKUP(A1296,BAMLC0A4CBBB!A:A,BAMLC0A4CBBB!B:B,"",-1)</f>
        <v>1.1299999999999999</v>
      </c>
      <c r="K1296" s="2">
        <f>_xlfn.XLOOKUP(A1296,CPIAUCSL!A:A,CPIAUCSL!B:B,"",-1)</f>
        <v>268.38299999999998</v>
      </c>
      <c r="L1296">
        <f>_xlfn.XLOOKUP(A1296,DFF!A:A,DFF!B:B,"",-1)</f>
        <v>0.06</v>
      </c>
      <c r="M1296">
        <f>_xlfn.XLOOKUP(A1296,'DGS2'!A:A,'DGS2'!B:B,"",-1)</f>
        <v>0.15</v>
      </c>
      <c r="N1296">
        <f t="shared" si="163"/>
        <v>-2.0000000000000018E-2</v>
      </c>
      <c r="O1296">
        <f t="shared" si="164"/>
        <v>-2.1253022956601031E-3</v>
      </c>
      <c r="P1296">
        <f t="shared" si="165"/>
        <v>0</v>
      </c>
      <c r="Q1296">
        <f t="shared" si="166"/>
        <v>0</v>
      </c>
    </row>
    <row r="1297" spans="1:17">
      <c r="A1297" s="1">
        <v>44341</v>
      </c>
      <c r="B1297">
        <v>4188.13</v>
      </c>
      <c r="C1297">
        <f t="shared" si="160"/>
        <v>-2.1253022956601031E-3</v>
      </c>
      <c r="D1297">
        <f t="shared" si="167"/>
        <v>6.9750331800957355E-3</v>
      </c>
      <c r="E1297">
        <f>_xlfn.XLOOKUP(A1297,VIX!A:A,VIX!B:B,"",-1)</f>
        <v>18.84</v>
      </c>
      <c r="F1297">
        <f t="shared" si="161"/>
        <v>0.44000000000000128</v>
      </c>
      <c r="G1297">
        <f>_xlfn.XLOOKUP(A1297,'DGS10'!A:A,'DGS10'!B:B,"",-1)</f>
        <v>1.56</v>
      </c>
      <c r="H1297">
        <f t="shared" si="162"/>
        <v>-5.0000000000000044E-2</v>
      </c>
      <c r="I1297" s="2">
        <f>_xlfn.XLOOKUP(A1297,T10Y3M!A:A,T10Y3M!B:B,"",-1)</f>
        <v>1.54</v>
      </c>
      <c r="J1297" s="2">
        <f>_xlfn.XLOOKUP(A1297,BAMLC0A4CBBB!A:A,BAMLC0A4CBBB!B:B,"",-1)</f>
        <v>1.1299999999999999</v>
      </c>
      <c r="K1297" s="2">
        <f>_xlfn.XLOOKUP(A1297,CPIAUCSL!A:A,CPIAUCSL!B:B,"",-1)</f>
        <v>268.38299999999998</v>
      </c>
      <c r="L1297">
        <f>_xlfn.XLOOKUP(A1297,DFF!A:A,DFF!B:B,"",-1)</f>
        <v>0.06</v>
      </c>
      <c r="M1297">
        <f>_xlfn.XLOOKUP(A1297,'DGS2'!A:A,'DGS2'!B:B,"",-1)</f>
        <v>0.15</v>
      </c>
      <c r="N1297">
        <f t="shared" si="163"/>
        <v>0</v>
      </c>
      <c r="O1297">
        <f t="shared" si="164"/>
        <v>1.876732575158746E-3</v>
      </c>
      <c r="P1297">
        <f t="shared" si="165"/>
        <v>1</v>
      </c>
      <c r="Q1297">
        <f t="shared" si="166"/>
        <v>0</v>
      </c>
    </row>
    <row r="1298" spans="1:17">
      <c r="A1298" s="1">
        <v>44342</v>
      </c>
      <c r="B1298">
        <v>4195.99</v>
      </c>
      <c r="C1298">
        <f t="shared" si="160"/>
        <v>1.876732575158746E-3</v>
      </c>
      <c r="D1298">
        <f t="shared" si="167"/>
        <v>9.6562444355681176E-3</v>
      </c>
      <c r="E1298">
        <f>_xlfn.XLOOKUP(A1298,VIX!A:A,VIX!B:B,"",-1)</f>
        <v>17.36</v>
      </c>
      <c r="F1298">
        <f t="shared" si="161"/>
        <v>-1.4800000000000004</v>
      </c>
      <c r="G1298">
        <f>_xlfn.XLOOKUP(A1298,'DGS10'!A:A,'DGS10'!B:B,"",-1)</f>
        <v>1.58</v>
      </c>
      <c r="H1298">
        <f t="shared" si="162"/>
        <v>2.0000000000000018E-2</v>
      </c>
      <c r="I1298" s="2">
        <f>_xlfn.XLOOKUP(A1298,T10Y3M!A:A,T10Y3M!B:B,"",-1)</f>
        <v>1.56</v>
      </c>
      <c r="J1298" s="2">
        <f>_xlfn.XLOOKUP(A1298,BAMLC0A4CBBB!A:A,BAMLC0A4CBBB!B:B,"",-1)</f>
        <v>1.1299999999999999</v>
      </c>
      <c r="K1298" s="2">
        <f>_xlfn.XLOOKUP(A1298,CPIAUCSL!A:A,CPIAUCSL!B:B,"",-1)</f>
        <v>268.38299999999998</v>
      </c>
      <c r="L1298">
        <f>_xlfn.XLOOKUP(A1298,DFF!A:A,DFF!B:B,"",-1)</f>
        <v>0.06</v>
      </c>
      <c r="M1298">
        <f>_xlfn.XLOOKUP(A1298,'DGS2'!A:A,'DGS2'!B:B,"",-1)</f>
        <v>0.14000000000000001</v>
      </c>
      <c r="N1298">
        <f t="shared" si="163"/>
        <v>-9.9999999999999811E-3</v>
      </c>
      <c r="O1298">
        <f t="shared" si="164"/>
        <v>1.1653983922745859E-3</v>
      </c>
      <c r="P1298">
        <f t="shared" si="165"/>
        <v>1</v>
      </c>
      <c r="Q1298">
        <f t="shared" si="166"/>
        <v>0</v>
      </c>
    </row>
    <row r="1299" spans="1:17">
      <c r="A1299" s="1">
        <v>44343</v>
      </c>
      <c r="B1299">
        <v>4200.88</v>
      </c>
      <c r="C1299">
        <f t="shared" si="160"/>
        <v>1.1653983922745859E-3</v>
      </c>
      <c r="D1299">
        <f t="shared" si="167"/>
        <v>9.125457166343498E-4</v>
      </c>
      <c r="E1299">
        <f>_xlfn.XLOOKUP(A1299,VIX!A:A,VIX!B:B,"",-1)</f>
        <v>16.739999999999998</v>
      </c>
      <c r="F1299">
        <f t="shared" si="161"/>
        <v>-0.62000000000000099</v>
      </c>
      <c r="G1299">
        <f>_xlfn.XLOOKUP(A1299,'DGS10'!A:A,'DGS10'!B:B,"",-1)</f>
        <v>1.61</v>
      </c>
      <c r="H1299">
        <f t="shared" si="162"/>
        <v>3.0000000000000027E-2</v>
      </c>
      <c r="I1299" s="2">
        <f>_xlfn.XLOOKUP(A1299,T10Y3M!A:A,T10Y3M!B:B,"",-1)</f>
        <v>1.59</v>
      </c>
      <c r="J1299" s="2">
        <f>_xlfn.XLOOKUP(A1299,BAMLC0A4CBBB!A:A,BAMLC0A4CBBB!B:B,"",-1)</f>
        <v>1.1299999999999999</v>
      </c>
      <c r="K1299" s="2">
        <f>_xlfn.XLOOKUP(A1299,CPIAUCSL!A:A,CPIAUCSL!B:B,"",-1)</f>
        <v>268.38299999999998</v>
      </c>
      <c r="L1299">
        <f>_xlfn.XLOOKUP(A1299,DFF!A:A,DFF!B:B,"",-1)</f>
        <v>0.06</v>
      </c>
      <c r="M1299">
        <f>_xlfn.XLOOKUP(A1299,'DGS2'!A:A,'DGS2'!B:B,"",-1)</f>
        <v>0.14000000000000001</v>
      </c>
      <c r="N1299">
        <f t="shared" si="163"/>
        <v>0</v>
      </c>
      <c r="O1299">
        <f t="shared" si="164"/>
        <v>7.688865190149663E-4</v>
      </c>
      <c r="P1299">
        <f t="shared" si="165"/>
        <v>1</v>
      </c>
      <c r="Q1299">
        <f t="shared" si="166"/>
        <v>0</v>
      </c>
    </row>
    <row r="1300" spans="1:17">
      <c r="A1300" s="1">
        <v>44344</v>
      </c>
      <c r="B1300">
        <v>4204.1099999999997</v>
      </c>
      <c r="C1300">
        <f t="shared" si="160"/>
        <v>7.688865190149663E-4</v>
      </c>
      <c r="D1300">
        <f t="shared" si="167"/>
        <v>3.8155453627273239E-3</v>
      </c>
      <c r="E1300">
        <f>_xlfn.XLOOKUP(A1300,VIX!A:A,VIX!B:B,"",-1)</f>
        <v>16.760000000000002</v>
      </c>
      <c r="F1300">
        <f t="shared" si="161"/>
        <v>2.0000000000003126E-2</v>
      </c>
      <c r="G1300">
        <f>_xlfn.XLOOKUP(A1300,'DGS10'!A:A,'DGS10'!B:B,"",-1)</f>
        <v>1.58</v>
      </c>
      <c r="H1300">
        <f t="shared" si="162"/>
        <v>-3.0000000000000027E-2</v>
      </c>
      <c r="I1300" s="2">
        <f>_xlfn.XLOOKUP(A1300,T10Y3M!A:A,T10Y3M!B:B,"",-1)</f>
        <v>1.57</v>
      </c>
      <c r="J1300" s="2">
        <f>_xlfn.XLOOKUP(A1300,BAMLC0A4CBBB!A:A,BAMLC0A4CBBB!B:B,"",-1)</f>
        <v>1.1200000000000001</v>
      </c>
      <c r="K1300" s="2">
        <f>_xlfn.XLOOKUP(A1300,CPIAUCSL!A:A,CPIAUCSL!B:B,"",-1)</f>
        <v>268.38299999999998</v>
      </c>
      <c r="L1300">
        <f>_xlfn.XLOOKUP(A1300,DFF!A:A,DFF!B:B,"",-1)</f>
        <v>0.05</v>
      </c>
      <c r="M1300">
        <f>_xlfn.XLOOKUP(A1300,'DGS2'!A:A,'DGS2'!B:B,"",-1)</f>
        <v>0.14000000000000001</v>
      </c>
      <c r="N1300">
        <f t="shared" si="163"/>
        <v>0</v>
      </c>
      <c r="O1300">
        <f t="shared" si="164"/>
        <v>-4.923753184382651E-4</v>
      </c>
      <c r="P1300">
        <f t="shared" si="165"/>
        <v>0</v>
      </c>
      <c r="Q1300">
        <f t="shared" si="166"/>
        <v>0</v>
      </c>
    </row>
    <row r="1301" spans="1:17">
      <c r="A1301" s="1">
        <v>44348</v>
      </c>
      <c r="B1301">
        <v>4202.04</v>
      </c>
      <c r="C1301">
        <f t="shared" si="160"/>
        <v>-4.923753184382651E-4</v>
      </c>
      <c r="D1301">
        <f t="shared" si="167"/>
        <v>1.4418528166177946E-3</v>
      </c>
      <c r="E1301">
        <f>_xlfn.XLOOKUP(A1301,VIX!A:A,VIX!B:B,"",-1)</f>
        <v>17.899999999999999</v>
      </c>
      <c r="F1301">
        <f t="shared" si="161"/>
        <v>1.139999999999997</v>
      </c>
      <c r="G1301">
        <f>_xlfn.XLOOKUP(A1301,'DGS10'!A:A,'DGS10'!B:B,"",-1)</f>
        <v>1.62</v>
      </c>
      <c r="H1301">
        <f t="shared" si="162"/>
        <v>4.0000000000000036E-2</v>
      </c>
      <c r="I1301" s="2">
        <f>_xlfn.XLOOKUP(A1301,T10Y3M!A:A,T10Y3M!B:B,"",-1)</f>
        <v>1.6</v>
      </c>
      <c r="J1301" s="2">
        <f>_xlfn.XLOOKUP(A1301,BAMLC0A4CBBB!A:A,BAMLC0A4CBBB!B:B,"",-1)</f>
        <v>1.1299999999999999</v>
      </c>
      <c r="K1301" s="2">
        <f>_xlfn.XLOOKUP(A1301,CPIAUCSL!A:A,CPIAUCSL!B:B,"",-1)</f>
        <v>270.654</v>
      </c>
      <c r="L1301">
        <f>_xlfn.XLOOKUP(A1301,DFF!A:A,DFF!B:B,"",-1)</f>
        <v>0.06</v>
      </c>
      <c r="M1301">
        <f>_xlfn.XLOOKUP(A1301,'DGS2'!A:A,'DGS2'!B:B,"",-1)</f>
        <v>0.16</v>
      </c>
      <c r="N1301">
        <f t="shared" si="163"/>
        <v>1.999999999999999E-2</v>
      </c>
      <c r="O1301">
        <f t="shared" si="164"/>
        <v>1.4469162597214869E-3</v>
      </c>
      <c r="P1301">
        <f t="shared" si="165"/>
        <v>1</v>
      </c>
      <c r="Q1301">
        <f t="shared" si="166"/>
        <v>0</v>
      </c>
    </row>
    <row r="1302" spans="1:17">
      <c r="A1302" s="1">
        <v>44349</v>
      </c>
      <c r="B1302">
        <v>4208.12</v>
      </c>
      <c r="C1302">
        <f t="shared" si="160"/>
        <v>1.4469162597214869E-3</v>
      </c>
      <c r="D1302">
        <f t="shared" si="167"/>
        <v>1.7234484203310085E-3</v>
      </c>
      <c r="E1302">
        <f>_xlfn.XLOOKUP(A1302,VIX!A:A,VIX!B:B,"",-1)</f>
        <v>17.48</v>
      </c>
      <c r="F1302">
        <f t="shared" si="161"/>
        <v>-0.41999999999999815</v>
      </c>
      <c r="G1302">
        <f>_xlfn.XLOOKUP(A1302,'DGS10'!A:A,'DGS10'!B:B,"",-1)</f>
        <v>1.59</v>
      </c>
      <c r="H1302">
        <f t="shared" si="162"/>
        <v>-3.0000000000000027E-2</v>
      </c>
      <c r="I1302" s="2">
        <f>_xlfn.XLOOKUP(A1302,T10Y3M!A:A,T10Y3M!B:B,"",-1)</f>
        <v>1.57</v>
      </c>
      <c r="J1302" s="2">
        <f>_xlfn.XLOOKUP(A1302,BAMLC0A4CBBB!A:A,BAMLC0A4CBBB!B:B,"",-1)</f>
        <v>1.1299999999999999</v>
      </c>
      <c r="K1302" s="2">
        <f>_xlfn.XLOOKUP(A1302,CPIAUCSL!A:A,CPIAUCSL!B:B,"",-1)</f>
        <v>270.654</v>
      </c>
      <c r="L1302">
        <f>_xlfn.XLOOKUP(A1302,DFF!A:A,DFF!B:B,"",-1)</f>
        <v>0.06</v>
      </c>
      <c r="M1302">
        <f>_xlfn.XLOOKUP(A1302,'DGS2'!A:A,'DGS2'!B:B,"",-1)</f>
        <v>0.13</v>
      </c>
      <c r="N1302">
        <f t="shared" si="163"/>
        <v>-0.03</v>
      </c>
      <c r="O1302">
        <f t="shared" si="164"/>
        <v>-3.6286988013648491E-3</v>
      </c>
      <c r="P1302">
        <f t="shared" si="165"/>
        <v>0</v>
      </c>
      <c r="Q1302">
        <f t="shared" si="166"/>
        <v>-1</v>
      </c>
    </row>
    <row r="1303" spans="1:17">
      <c r="A1303" s="1">
        <v>44350</v>
      </c>
      <c r="B1303">
        <v>4192.8500000000004</v>
      </c>
      <c r="C1303">
        <f t="shared" si="160"/>
        <v>-3.6286988013648491E-3</v>
      </c>
      <c r="D1303">
        <f t="shared" si="167"/>
        <v>-2.6783314423265425E-3</v>
      </c>
      <c r="E1303">
        <f>_xlfn.XLOOKUP(A1303,VIX!A:A,VIX!B:B,"",-1)</f>
        <v>18.04</v>
      </c>
      <c r="F1303">
        <f t="shared" si="161"/>
        <v>0.55999999999999872</v>
      </c>
      <c r="G1303">
        <f>_xlfn.XLOOKUP(A1303,'DGS10'!A:A,'DGS10'!B:B,"",-1)</f>
        <v>1.63</v>
      </c>
      <c r="H1303">
        <f t="shared" si="162"/>
        <v>3.9999999999999813E-2</v>
      </c>
      <c r="I1303" s="2">
        <f>_xlfn.XLOOKUP(A1303,T10Y3M!A:A,T10Y3M!B:B,"",-1)</f>
        <v>1.61</v>
      </c>
      <c r="J1303" s="2">
        <f>_xlfn.XLOOKUP(A1303,BAMLC0A4CBBB!A:A,BAMLC0A4CBBB!B:B,"",-1)</f>
        <v>1.1299999999999999</v>
      </c>
      <c r="K1303" s="2">
        <f>_xlfn.XLOOKUP(A1303,CPIAUCSL!A:A,CPIAUCSL!B:B,"",-1)</f>
        <v>270.654</v>
      </c>
      <c r="L1303">
        <f>_xlfn.XLOOKUP(A1303,DFF!A:A,DFF!B:B,"",-1)</f>
        <v>0.06</v>
      </c>
      <c r="M1303">
        <f>_xlfn.XLOOKUP(A1303,'DGS2'!A:A,'DGS2'!B:B,"",-1)</f>
        <v>0.16</v>
      </c>
      <c r="N1303">
        <f t="shared" si="163"/>
        <v>0.03</v>
      </c>
      <c r="O1303">
        <f t="shared" si="164"/>
        <v>8.8340865998068896E-3</v>
      </c>
      <c r="P1303">
        <f t="shared" si="165"/>
        <v>1</v>
      </c>
      <c r="Q1303">
        <f t="shared" si="166"/>
        <v>1</v>
      </c>
    </row>
    <row r="1304" spans="1:17">
      <c r="A1304" s="1">
        <v>44351</v>
      </c>
      <c r="B1304">
        <v>4229.8900000000003</v>
      </c>
      <c r="C1304">
        <f t="shared" si="160"/>
        <v>8.8340865998068896E-3</v>
      </c>
      <c r="D1304">
        <f t="shared" si="167"/>
        <v>6.6277331962572017E-3</v>
      </c>
      <c r="E1304">
        <f>_xlfn.XLOOKUP(A1304,VIX!A:A,VIX!B:B,"",-1)</f>
        <v>16.420000000000002</v>
      </c>
      <c r="F1304">
        <f t="shared" si="161"/>
        <v>-1.6199999999999974</v>
      </c>
      <c r="G1304">
        <f>_xlfn.XLOOKUP(A1304,'DGS10'!A:A,'DGS10'!B:B,"",-1)</f>
        <v>1.56</v>
      </c>
      <c r="H1304">
        <f t="shared" si="162"/>
        <v>-6.999999999999984E-2</v>
      </c>
      <c r="I1304" s="2">
        <f>_xlfn.XLOOKUP(A1304,T10Y3M!A:A,T10Y3M!B:B,"",-1)</f>
        <v>1.54</v>
      </c>
      <c r="J1304" s="2">
        <f>_xlfn.XLOOKUP(A1304,BAMLC0A4CBBB!A:A,BAMLC0A4CBBB!B:B,"",-1)</f>
        <v>1.1299999999999999</v>
      </c>
      <c r="K1304" s="2">
        <f>_xlfn.XLOOKUP(A1304,CPIAUCSL!A:A,CPIAUCSL!B:B,"",-1)</f>
        <v>270.654</v>
      </c>
      <c r="L1304">
        <f>_xlfn.XLOOKUP(A1304,DFF!A:A,DFF!B:B,"",-1)</f>
        <v>0.06</v>
      </c>
      <c r="M1304">
        <f>_xlfn.XLOOKUP(A1304,'DGS2'!A:A,'DGS2'!B:B,"",-1)</f>
        <v>0.14000000000000001</v>
      </c>
      <c r="N1304">
        <f t="shared" si="163"/>
        <v>-1.999999999999999E-2</v>
      </c>
      <c r="O1304">
        <f t="shared" si="164"/>
        <v>-7.9671102558220852E-4</v>
      </c>
      <c r="P1304">
        <f t="shared" si="165"/>
        <v>0</v>
      </c>
      <c r="Q1304">
        <f t="shared" si="166"/>
        <v>0</v>
      </c>
    </row>
    <row r="1305" spans="1:17">
      <c r="A1305" s="1">
        <v>44354</v>
      </c>
      <c r="B1305">
        <v>4226.5200000000004</v>
      </c>
      <c r="C1305">
        <f t="shared" si="160"/>
        <v>-7.9671102558220852E-4</v>
      </c>
      <c r="D1305">
        <f t="shared" si="167"/>
        <v>4.3724988831117528E-3</v>
      </c>
      <c r="E1305">
        <f>_xlfn.XLOOKUP(A1305,VIX!A:A,VIX!B:B,"",-1)</f>
        <v>16.420000000000002</v>
      </c>
      <c r="F1305">
        <f t="shared" si="161"/>
        <v>0</v>
      </c>
      <c r="G1305">
        <f>_xlfn.XLOOKUP(A1305,'DGS10'!A:A,'DGS10'!B:B,"",-1)</f>
        <v>1.57</v>
      </c>
      <c r="H1305">
        <f t="shared" si="162"/>
        <v>1.0000000000000009E-2</v>
      </c>
      <c r="I1305" s="2">
        <f>_xlfn.XLOOKUP(A1305,T10Y3M!A:A,T10Y3M!B:B,"",-1)</f>
        <v>1.55</v>
      </c>
      <c r="J1305" s="2">
        <f>_xlfn.XLOOKUP(A1305,BAMLC0A4CBBB!A:A,BAMLC0A4CBBB!B:B,"",-1)</f>
        <v>1.1299999999999999</v>
      </c>
      <c r="K1305" s="2">
        <f>_xlfn.XLOOKUP(A1305,CPIAUCSL!A:A,CPIAUCSL!B:B,"",-1)</f>
        <v>270.654</v>
      </c>
      <c r="L1305">
        <f>_xlfn.XLOOKUP(A1305,DFF!A:A,DFF!B:B,"",-1)</f>
        <v>0.06</v>
      </c>
      <c r="M1305">
        <f>_xlfn.XLOOKUP(A1305,'DGS2'!A:A,'DGS2'!B:B,"",-1)</f>
        <v>0.16</v>
      </c>
      <c r="N1305">
        <f t="shared" si="163"/>
        <v>1.999999999999999E-2</v>
      </c>
      <c r="O1305">
        <f t="shared" si="164"/>
        <v>1.7508493985585183E-4</v>
      </c>
      <c r="P1305">
        <f t="shared" si="165"/>
        <v>1</v>
      </c>
      <c r="Q1305">
        <f t="shared" si="166"/>
        <v>0</v>
      </c>
    </row>
    <row r="1306" spans="1:17">
      <c r="A1306" s="1">
        <v>44355</v>
      </c>
      <c r="B1306">
        <v>4227.26</v>
      </c>
      <c r="C1306">
        <f t="shared" si="160"/>
        <v>1.7508493985585183E-4</v>
      </c>
      <c r="D1306">
        <f t="shared" si="167"/>
        <v>8.2068282910192636E-3</v>
      </c>
      <c r="E1306">
        <f>_xlfn.XLOOKUP(A1306,VIX!A:A,VIX!B:B,"",-1)</f>
        <v>17.07</v>
      </c>
      <c r="F1306">
        <f t="shared" si="161"/>
        <v>0.64999999999999858</v>
      </c>
      <c r="G1306">
        <f>_xlfn.XLOOKUP(A1306,'DGS10'!A:A,'DGS10'!B:B,"",-1)</f>
        <v>1.53</v>
      </c>
      <c r="H1306">
        <f t="shared" si="162"/>
        <v>-4.0000000000000036E-2</v>
      </c>
      <c r="I1306" s="2">
        <f>_xlfn.XLOOKUP(A1306,T10Y3M!A:A,T10Y3M!B:B,"",-1)</f>
        <v>1.51</v>
      </c>
      <c r="J1306" s="2">
        <f>_xlfn.XLOOKUP(A1306,BAMLC0A4CBBB!A:A,BAMLC0A4CBBB!B:B,"",-1)</f>
        <v>1.1299999999999999</v>
      </c>
      <c r="K1306" s="2">
        <f>_xlfn.XLOOKUP(A1306,CPIAUCSL!A:A,CPIAUCSL!B:B,"",-1)</f>
        <v>270.654</v>
      </c>
      <c r="L1306">
        <f>_xlfn.XLOOKUP(A1306,DFF!A:A,DFF!B:B,"",-1)</f>
        <v>0.06</v>
      </c>
      <c r="M1306">
        <f>_xlfn.XLOOKUP(A1306,'DGS2'!A:A,'DGS2'!B:B,"",-1)</f>
        <v>0.14000000000000001</v>
      </c>
      <c r="N1306">
        <f t="shared" si="163"/>
        <v>-1.999999999999999E-2</v>
      </c>
      <c r="O1306">
        <f t="shared" si="164"/>
        <v>-1.8238764589828538E-3</v>
      </c>
      <c r="P1306">
        <f t="shared" si="165"/>
        <v>0</v>
      </c>
      <c r="Q1306">
        <f t="shared" si="166"/>
        <v>0</v>
      </c>
    </row>
    <row r="1307" spans="1:17">
      <c r="A1307" s="1">
        <v>44356</v>
      </c>
      <c r="B1307">
        <v>4219.55</v>
      </c>
      <c r="C1307">
        <f t="shared" si="160"/>
        <v>-1.8238764589828538E-3</v>
      </c>
      <c r="D1307">
        <f t="shared" si="167"/>
        <v>-2.4445080132108332E-3</v>
      </c>
      <c r="E1307">
        <f>_xlfn.XLOOKUP(A1307,VIX!A:A,VIX!B:B,"",-1)</f>
        <v>17.89</v>
      </c>
      <c r="F1307">
        <f t="shared" si="161"/>
        <v>0.82000000000000028</v>
      </c>
      <c r="G1307">
        <f>_xlfn.XLOOKUP(A1307,'DGS10'!A:A,'DGS10'!B:B,"",-1)</f>
        <v>1.5</v>
      </c>
      <c r="H1307">
        <f t="shared" si="162"/>
        <v>-3.0000000000000027E-2</v>
      </c>
      <c r="I1307" s="2">
        <f>_xlfn.XLOOKUP(A1307,T10Y3M!A:A,T10Y3M!B:B,"",-1)</f>
        <v>1.47</v>
      </c>
      <c r="J1307" s="2">
        <f>_xlfn.XLOOKUP(A1307,BAMLC0A4CBBB!A:A,BAMLC0A4CBBB!B:B,"",-1)</f>
        <v>1.1299999999999999</v>
      </c>
      <c r="K1307" s="2">
        <f>_xlfn.XLOOKUP(A1307,CPIAUCSL!A:A,CPIAUCSL!B:B,"",-1)</f>
        <v>270.654</v>
      </c>
      <c r="L1307">
        <f>_xlfn.XLOOKUP(A1307,DFF!A:A,DFF!B:B,"",-1)</f>
        <v>0.06</v>
      </c>
      <c r="M1307">
        <f>_xlfn.XLOOKUP(A1307,'DGS2'!A:A,'DGS2'!B:B,"",-1)</f>
        <v>0.16</v>
      </c>
      <c r="N1307">
        <f t="shared" si="163"/>
        <v>1.999999999999999E-2</v>
      </c>
      <c r="O1307">
        <f t="shared" si="164"/>
        <v>4.652154850635748E-3</v>
      </c>
      <c r="P1307">
        <f t="shared" si="165"/>
        <v>1</v>
      </c>
      <c r="Q1307">
        <f t="shared" si="166"/>
        <v>1</v>
      </c>
    </row>
    <row r="1308" spans="1:17">
      <c r="A1308" s="1">
        <v>44357</v>
      </c>
      <c r="B1308">
        <v>4239.18</v>
      </c>
      <c r="C1308">
        <f t="shared" si="160"/>
        <v>4.652154850635748E-3</v>
      </c>
      <c r="D1308">
        <f t="shared" si="167"/>
        <v>2.9953720791573435E-3</v>
      </c>
      <c r="E1308">
        <f>_xlfn.XLOOKUP(A1308,VIX!A:A,VIX!B:B,"",-1)</f>
        <v>16.100000000000001</v>
      </c>
      <c r="F1308">
        <f t="shared" si="161"/>
        <v>-1.7899999999999991</v>
      </c>
      <c r="G1308">
        <f>_xlfn.XLOOKUP(A1308,'DGS10'!A:A,'DGS10'!B:B,"",-1)</f>
        <v>1.45</v>
      </c>
      <c r="H1308">
        <f t="shared" si="162"/>
        <v>-5.0000000000000044E-2</v>
      </c>
      <c r="I1308" s="2">
        <f>_xlfn.XLOOKUP(A1308,T10Y3M!A:A,T10Y3M!B:B,"",-1)</f>
        <v>1.42</v>
      </c>
      <c r="J1308" s="2">
        <f>_xlfn.XLOOKUP(A1308,BAMLC0A4CBBB!A:A,BAMLC0A4CBBB!B:B,"",-1)</f>
        <v>1.1200000000000001</v>
      </c>
      <c r="K1308" s="2">
        <f>_xlfn.XLOOKUP(A1308,CPIAUCSL!A:A,CPIAUCSL!B:B,"",-1)</f>
        <v>270.654</v>
      </c>
      <c r="L1308">
        <f>_xlfn.XLOOKUP(A1308,DFF!A:A,DFF!B:B,"",-1)</f>
        <v>0.06</v>
      </c>
      <c r="M1308">
        <f>_xlfn.XLOOKUP(A1308,'DGS2'!A:A,'DGS2'!B:B,"",-1)</f>
        <v>0.14000000000000001</v>
      </c>
      <c r="N1308">
        <f t="shared" si="163"/>
        <v>-1.999999999999999E-2</v>
      </c>
      <c r="O1308">
        <f t="shared" si="164"/>
        <v>1.9484900381676606E-3</v>
      </c>
      <c r="P1308">
        <f t="shared" si="165"/>
        <v>1</v>
      </c>
      <c r="Q1308">
        <f t="shared" si="166"/>
        <v>0</v>
      </c>
    </row>
    <row r="1309" spans="1:17">
      <c r="A1309" s="1">
        <v>44358</v>
      </c>
      <c r="B1309">
        <v>4247.4399999999996</v>
      </c>
      <c r="C1309">
        <f t="shared" si="160"/>
        <v>1.9484900381676606E-3</v>
      </c>
      <c r="D1309">
        <f t="shared" si="167"/>
        <v>4.7737778135243936E-3</v>
      </c>
      <c r="E1309">
        <f>_xlfn.XLOOKUP(A1309,VIX!A:A,VIX!B:B,"",-1)</f>
        <v>15.65</v>
      </c>
      <c r="F1309">
        <f t="shared" si="161"/>
        <v>-0.45000000000000107</v>
      </c>
      <c r="G1309">
        <f>_xlfn.XLOOKUP(A1309,'DGS10'!A:A,'DGS10'!B:B,"",-1)</f>
        <v>1.47</v>
      </c>
      <c r="H1309">
        <f t="shared" si="162"/>
        <v>2.0000000000000018E-2</v>
      </c>
      <c r="I1309" s="2">
        <f>_xlfn.XLOOKUP(A1309,T10Y3M!A:A,T10Y3M!B:B,"",-1)</f>
        <v>1.44</v>
      </c>
      <c r="J1309" s="2">
        <f>_xlfn.XLOOKUP(A1309,BAMLC0A4CBBB!A:A,BAMLC0A4CBBB!B:B,"",-1)</f>
        <v>1.1100000000000001</v>
      </c>
      <c r="K1309" s="2">
        <f>_xlfn.XLOOKUP(A1309,CPIAUCSL!A:A,CPIAUCSL!B:B,"",-1)</f>
        <v>270.654</v>
      </c>
      <c r="L1309">
        <f>_xlfn.XLOOKUP(A1309,DFF!A:A,DFF!B:B,"",-1)</f>
        <v>0.06</v>
      </c>
      <c r="M1309">
        <f>_xlfn.XLOOKUP(A1309,'DGS2'!A:A,'DGS2'!B:B,"",-1)</f>
        <v>0.16</v>
      </c>
      <c r="N1309">
        <f t="shared" si="163"/>
        <v>1.999999999999999E-2</v>
      </c>
      <c r="O1309">
        <f t="shared" si="164"/>
        <v>1.8152110447704484E-3</v>
      </c>
      <c r="P1309">
        <f t="shared" si="165"/>
        <v>1</v>
      </c>
      <c r="Q1309">
        <f t="shared" si="166"/>
        <v>0</v>
      </c>
    </row>
    <row r="1310" spans="1:17">
      <c r="A1310" s="1">
        <v>44361</v>
      </c>
      <c r="B1310">
        <v>4255.1499999999996</v>
      </c>
      <c r="C1310">
        <f t="shared" si="160"/>
        <v>1.8152110447704484E-3</v>
      </c>
      <c r="D1310">
        <f t="shared" si="167"/>
        <v>8.4369186287636122E-3</v>
      </c>
      <c r="E1310">
        <f>_xlfn.XLOOKUP(A1310,VIX!A:A,VIX!B:B,"",-1)</f>
        <v>16.39</v>
      </c>
      <c r="F1310">
        <f t="shared" si="161"/>
        <v>0.74000000000000021</v>
      </c>
      <c r="G1310">
        <f>_xlfn.XLOOKUP(A1310,'DGS10'!A:A,'DGS10'!B:B,"",-1)</f>
        <v>1.51</v>
      </c>
      <c r="H1310">
        <f t="shared" si="162"/>
        <v>4.0000000000000036E-2</v>
      </c>
      <c r="I1310" s="2">
        <f>_xlfn.XLOOKUP(A1310,T10Y3M!A:A,T10Y3M!B:B,"",-1)</f>
        <v>1.48</v>
      </c>
      <c r="J1310" s="2">
        <f>_xlfn.XLOOKUP(A1310,BAMLC0A4CBBB!A:A,BAMLC0A4CBBB!B:B,"",-1)</f>
        <v>1.1000000000000001</v>
      </c>
      <c r="K1310" s="2">
        <f>_xlfn.XLOOKUP(A1310,CPIAUCSL!A:A,CPIAUCSL!B:B,"",-1)</f>
        <v>270.654</v>
      </c>
      <c r="L1310">
        <f>_xlfn.XLOOKUP(A1310,DFF!A:A,DFF!B:B,"",-1)</f>
        <v>0.06</v>
      </c>
      <c r="M1310">
        <f>_xlfn.XLOOKUP(A1310,'DGS2'!A:A,'DGS2'!B:B,"",-1)</f>
        <v>0.16</v>
      </c>
      <c r="N1310">
        <f t="shared" si="163"/>
        <v>0</v>
      </c>
      <c r="O1310">
        <f t="shared" si="164"/>
        <v>-2.0116799642784233E-3</v>
      </c>
      <c r="P1310">
        <f t="shared" si="165"/>
        <v>0</v>
      </c>
      <c r="Q1310">
        <f t="shared" si="166"/>
        <v>0</v>
      </c>
    </row>
    <row r="1311" spans="1:17">
      <c r="A1311" s="1">
        <v>44362</v>
      </c>
      <c r="B1311">
        <v>4246.59</v>
      </c>
      <c r="C1311">
        <f t="shared" si="160"/>
        <v>-2.0116799642784233E-3</v>
      </c>
      <c r="D1311">
        <f t="shared" si="167"/>
        <v>1.7479795620851668E-3</v>
      </c>
      <c r="E1311">
        <f>_xlfn.XLOOKUP(A1311,VIX!A:A,VIX!B:B,"",-1)</f>
        <v>17.02</v>
      </c>
      <c r="F1311">
        <f t="shared" si="161"/>
        <v>0.62999999999999901</v>
      </c>
      <c r="G1311">
        <f>_xlfn.XLOOKUP(A1311,'DGS10'!A:A,'DGS10'!B:B,"",-1)</f>
        <v>1.51</v>
      </c>
      <c r="H1311">
        <f t="shared" si="162"/>
        <v>0</v>
      </c>
      <c r="I1311" s="2">
        <f>_xlfn.XLOOKUP(A1311,T10Y3M!A:A,T10Y3M!B:B,"",-1)</f>
        <v>1.48</v>
      </c>
      <c r="J1311" s="2">
        <f>_xlfn.XLOOKUP(A1311,BAMLC0A4CBBB!A:A,BAMLC0A4CBBB!B:B,"",-1)</f>
        <v>1.1000000000000001</v>
      </c>
      <c r="K1311" s="2">
        <f>_xlfn.XLOOKUP(A1311,CPIAUCSL!A:A,CPIAUCSL!B:B,"",-1)</f>
        <v>270.654</v>
      </c>
      <c r="L1311">
        <f>_xlfn.XLOOKUP(A1311,DFF!A:A,DFF!B:B,"",-1)</f>
        <v>0.06</v>
      </c>
      <c r="M1311">
        <f>_xlfn.XLOOKUP(A1311,'DGS2'!A:A,'DGS2'!B:B,"",-1)</f>
        <v>0.16</v>
      </c>
      <c r="N1311">
        <f t="shared" si="163"/>
        <v>0</v>
      </c>
      <c r="O1311">
        <f t="shared" si="164"/>
        <v>-5.3902072015429292E-3</v>
      </c>
      <c r="P1311">
        <f t="shared" si="165"/>
        <v>0</v>
      </c>
      <c r="Q1311">
        <f t="shared" si="166"/>
        <v>-1</v>
      </c>
    </row>
    <row r="1312" spans="1:17">
      <c r="A1312" s="1">
        <v>44363</v>
      </c>
      <c r="B1312">
        <v>4223.7</v>
      </c>
      <c r="C1312">
        <f t="shared" si="160"/>
        <v>-5.3902072015429292E-3</v>
      </c>
      <c r="D1312">
        <f t="shared" si="167"/>
        <v>-5.5892490535475181E-3</v>
      </c>
      <c r="E1312">
        <f>_xlfn.XLOOKUP(A1312,VIX!A:A,VIX!B:B,"",-1)</f>
        <v>18.149999999999999</v>
      </c>
      <c r="F1312">
        <f t="shared" si="161"/>
        <v>1.129999999999999</v>
      </c>
      <c r="G1312">
        <f>_xlfn.XLOOKUP(A1312,'DGS10'!A:A,'DGS10'!B:B,"",-1)</f>
        <v>1.57</v>
      </c>
      <c r="H1312">
        <f t="shared" si="162"/>
        <v>6.0000000000000053E-2</v>
      </c>
      <c r="I1312" s="2">
        <f>_xlfn.XLOOKUP(A1312,T10Y3M!A:A,T10Y3M!B:B,"",-1)</f>
        <v>1.53</v>
      </c>
      <c r="J1312" s="2">
        <f>_xlfn.XLOOKUP(A1312,BAMLC0A4CBBB!A:A,BAMLC0A4CBBB!B:B,"",-1)</f>
        <v>1.08</v>
      </c>
      <c r="K1312" s="2">
        <f>_xlfn.XLOOKUP(A1312,CPIAUCSL!A:A,CPIAUCSL!B:B,"",-1)</f>
        <v>270.654</v>
      </c>
      <c r="L1312">
        <f>_xlfn.XLOOKUP(A1312,DFF!A:A,DFF!B:B,"",-1)</f>
        <v>0.06</v>
      </c>
      <c r="M1312">
        <f>_xlfn.XLOOKUP(A1312,'DGS2'!A:A,'DGS2'!B:B,"",-1)</f>
        <v>0.21</v>
      </c>
      <c r="N1312">
        <f t="shared" si="163"/>
        <v>4.9999999999999989E-2</v>
      </c>
      <c r="O1312">
        <f t="shared" si="164"/>
        <v>-4.3563700073401268E-4</v>
      </c>
      <c r="P1312">
        <f t="shared" si="165"/>
        <v>0</v>
      </c>
      <c r="Q1312">
        <f t="shared" si="166"/>
        <v>0</v>
      </c>
    </row>
    <row r="1313" spans="1:17">
      <c r="A1313" s="1">
        <v>44364</v>
      </c>
      <c r="B1313">
        <v>4221.8599999999997</v>
      </c>
      <c r="C1313">
        <f t="shared" si="160"/>
        <v>-4.3563700073401268E-4</v>
      </c>
      <c r="D1313">
        <f t="shared" si="167"/>
        <v>-7.8234609825740264E-3</v>
      </c>
      <c r="E1313">
        <f>_xlfn.XLOOKUP(A1313,VIX!A:A,VIX!B:B,"",-1)</f>
        <v>17.75</v>
      </c>
      <c r="F1313">
        <f t="shared" si="161"/>
        <v>-0.39999999999999858</v>
      </c>
      <c r="G1313">
        <f>_xlfn.XLOOKUP(A1313,'DGS10'!A:A,'DGS10'!B:B,"",-1)</f>
        <v>1.52</v>
      </c>
      <c r="H1313">
        <f t="shared" si="162"/>
        <v>-5.0000000000000044E-2</v>
      </c>
      <c r="I1313" s="2">
        <f>_xlfn.XLOOKUP(A1313,T10Y3M!A:A,T10Y3M!B:B,"",-1)</f>
        <v>1.48</v>
      </c>
      <c r="J1313" s="2">
        <f>_xlfn.XLOOKUP(A1313,BAMLC0A4CBBB!A:A,BAMLC0A4CBBB!B:B,"",-1)</f>
        <v>1.08</v>
      </c>
      <c r="K1313" s="2">
        <f>_xlfn.XLOOKUP(A1313,CPIAUCSL!A:A,CPIAUCSL!B:B,"",-1)</f>
        <v>270.654</v>
      </c>
      <c r="L1313">
        <f>_xlfn.XLOOKUP(A1313,DFF!A:A,DFF!B:B,"",-1)</f>
        <v>0.1</v>
      </c>
      <c r="M1313">
        <f>_xlfn.XLOOKUP(A1313,'DGS2'!A:A,'DGS2'!B:B,"",-1)</f>
        <v>0.23</v>
      </c>
      <c r="N1313">
        <f t="shared" si="163"/>
        <v>2.0000000000000018E-2</v>
      </c>
      <c r="O1313">
        <f t="shared" si="164"/>
        <v>-1.3124547000611053E-2</v>
      </c>
      <c r="P1313">
        <f t="shared" si="165"/>
        <v>0</v>
      </c>
      <c r="Q1313">
        <f t="shared" si="166"/>
        <v>-1</v>
      </c>
    </row>
    <row r="1314" spans="1:17">
      <c r="A1314" s="1">
        <v>44365</v>
      </c>
      <c r="B1314">
        <v>4166.45</v>
      </c>
      <c r="C1314">
        <f t="shared" si="160"/>
        <v>-1.3124547000611053E-2</v>
      </c>
      <c r="D1314">
        <f t="shared" si="167"/>
        <v>-1.8871612281854411E-2</v>
      </c>
      <c r="E1314">
        <f>_xlfn.XLOOKUP(A1314,VIX!A:A,VIX!B:B,"",-1)</f>
        <v>20.7</v>
      </c>
      <c r="F1314">
        <f t="shared" si="161"/>
        <v>2.9499999999999993</v>
      </c>
      <c r="G1314">
        <f>_xlfn.XLOOKUP(A1314,'DGS10'!A:A,'DGS10'!B:B,"",-1)</f>
        <v>1.45</v>
      </c>
      <c r="H1314">
        <f t="shared" si="162"/>
        <v>-7.0000000000000062E-2</v>
      </c>
      <c r="I1314" s="2">
        <f>_xlfn.XLOOKUP(A1314,T10Y3M!A:A,T10Y3M!B:B,"",-1)</f>
        <v>1.4</v>
      </c>
      <c r="J1314" s="2">
        <f>_xlfn.XLOOKUP(A1314,BAMLC0A4CBBB!A:A,BAMLC0A4CBBB!B:B,"",-1)</f>
        <v>1.08</v>
      </c>
      <c r="K1314" s="2">
        <f>_xlfn.XLOOKUP(A1314,CPIAUCSL!A:A,CPIAUCSL!B:B,"",-1)</f>
        <v>270.654</v>
      </c>
      <c r="L1314">
        <f>_xlfn.XLOOKUP(A1314,DFF!A:A,DFF!B:B,"",-1)</f>
        <v>0.1</v>
      </c>
      <c r="M1314">
        <f>_xlfn.XLOOKUP(A1314,'DGS2'!A:A,'DGS2'!B:B,"",-1)</f>
        <v>0.26</v>
      </c>
      <c r="N1314">
        <f t="shared" si="163"/>
        <v>0.03</v>
      </c>
      <c r="O1314">
        <f t="shared" si="164"/>
        <v>1.4002328121062391E-2</v>
      </c>
      <c r="P1314">
        <f t="shared" si="165"/>
        <v>1</v>
      </c>
      <c r="Q1314">
        <f t="shared" si="166"/>
        <v>1</v>
      </c>
    </row>
    <row r="1315" spans="1:17">
      <c r="A1315" s="1">
        <v>44368</v>
      </c>
      <c r="B1315">
        <v>4224.79</v>
      </c>
      <c r="C1315">
        <f t="shared" si="160"/>
        <v>1.4002328121062391E-2</v>
      </c>
      <c r="D1315">
        <f t="shared" si="167"/>
        <v>2.5806757108703948E-4</v>
      </c>
      <c r="E1315">
        <f>_xlfn.XLOOKUP(A1315,VIX!A:A,VIX!B:B,"",-1)</f>
        <v>17.89</v>
      </c>
      <c r="F1315">
        <f t="shared" si="161"/>
        <v>-2.8099999999999987</v>
      </c>
      <c r="G1315">
        <f>_xlfn.XLOOKUP(A1315,'DGS10'!A:A,'DGS10'!B:B,"",-1)</f>
        <v>1.5</v>
      </c>
      <c r="H1315">
        <f t="shared" si="162"/>
        <v>5.0000000000000044E-2</v>
      </c>
      <c r="I1315" s="2">
        <f>_xlfn.XLOOKUP(A1315,T10Y3M!A:A,T10Y3M!B:B,"",-1)</f>
        <v>1.45</v>
      </c>
      <c r="J1315" s="2">
        <f>_xlfn.XLOOKUP(A1315,BAMLC0A4CBBB!A:A,BAMLC0A4CBBB!B:B,"",-1)</f>
        <v>1.08</v>
      </c>
      <c r="K1315" s="2">
        <f>_xlfn.XLOOKUP(A1315,CPIAUCSL!A:A,CPIAUCSL!B:B,"",-1)</f>
        <v>270.654</v>
      </c>
      <c r="L1315">
        <f>_xlfn.XLOOKUP(A1315,DFF!A:A,DFF!B:B,"",-1)</f>
        <v>0.1</v>
      </c>
      <c r="M1315">
        <f>_xlfn.XLOOKUP(A1315,'DGS2'!A:A,'DGS2'!B:B,"",-1)</f>
        <v>0.27</v>
      </c>
      <c r="N1315">
        <f t="shared" si="163"/>
        <v>1.0000000000000009E-2</v>
      </c>
      <c r="O1315">
        <f t="shared" si="164"/>
        <v>5.124515064653945E-3</v>
      </c>
      <c r="P1315">
        <f t="shared" si="165"/>
        <v>1</v>
      </c>
      <c r="Q1315">
        <f t="shared" si="166"/>
        <v>1</v>
      </c>
    </row>
    <row r="1316" spans="1:17">
      <c r="A1316" s="1">
        <v>44369</v>
      </c>
      <c r="B1316">
        <v>4246.4399999999996</v>
      </c>
      <c r="C1316">
        <f t="shared" si="160"/>
        <v>5.124515064653945E-3</v>
      </c>
      <c r="D1316">
        <f t="shared" si="167"/>
        <v>5.8220784204119358E-3</v>
      </c>
      <c r="E1316">
        <f>_xlfn.XLOOKUP(A1316,VIX!A:A,VIX!B:B,"",-1)</f>
        <v>16.66</v>
      </c>
      <c r="F1316">
        <f t="shared" si="161"/>
        <v>-1.2300000000000004</v>
      </c>
      <c r="G1316">
        <f>_xlfn.XLOOKUP(A1316,'DGS10'!A:A,'DGS10'!B:B,"",-1)</f>
        <v>1.48</v>
      </c>
      <c r="H1316">
        <f t="shared" si="162"/>
        <v>-2.0000000000000018E-2</v>
      </c>
      <c r="I1316" s="2">
        <f>_xlfn.XLOOKUP(A1316,T10Y3M!A:A,T10Y3M!B:B,"",-1)</f>
        <v>1.44</v>
      </c>
      <c r="J1316" s="2">
        <f>_xlfn.XLOOKUP(A1316,BAMLC0A4CBBB!A:A,BAMLC0A4CBBB!B:B,"",-1)</f>
        <v>1.08</v>
      </c>
      <c r="K1316" s="2">
        <f>_xlfn.XLOOKUP(A1316,CPIAUCSL!A:A,CPIAUCSL!B:B,"",-1)</f>
        <v>270.654</v>
      </c>
      <c r="L1316">
        <f>_xlfn.XLOOKUP(A1316,DFF!A:A,DFF!B:B,"",-1)</f>
        <v>0.1</v>
      </c>
      <c r="M1316">
        <f>_xlfn.XLOOKUP(A1316,'DGS2'!A:A,'DGS2'!B:B,"",-1)</f>
        <v>0.25</v>
      </c>
      <c r="N1316">
        <f t="shared" si="163"/>
        <v>-2.0000000000000018E-2</v>
      </c>
      <c r="O1316">
        <f t="shared" si="164"/>
        <v>-1.0832603310065858E-3</v>
      </c>
      <c r="P1316">
        <f t="shared" si="165"/>
        <v>0</v>
      </c>
      <c r="Q1316">
        <f t="shared" si="166"/>
        <v>0</v>
      </c>
    </row>
    <row r="1317" spans="1:17">
      <c r="A1317" s="1">
        <v>44370</v>
      </c>
      <c r="B1317">
        <v>4241.84</v>
      </c>
      <c r="C1317">
        <f t="shared" si="160"/>
        <v>-1.0832603310065858E-3</v>
      </c>
      <c r="D1317">
        <f t="shared" si="167"/>
        <v>1.8094540916127722E-2</v>
      </c>
      <c r="E1317">
        <f>_xlfn.XLOOKUP(A1317,VIX!A:A,VIX!B:B,"",-1)</f>
        <v>16.32</v>
      </c>
      <c r="F1317">
        <f t="shared" si="161"/>
        <v>-0.33999999999999986</v>
      </c>
      <c r="G1317">
        <f>_xlfn.XLOOKUP(A1317,'DGS10'!A:A,'DGS10'!B:B,"",-1)</f>
        <v>1.5</v>
      </c>
      <c r="H1317">
        <f t="shared" si="162"/>
        <v>2.0000000000000018E-2</v>
      </c>
      <c r="I1317" s="2">
        <f>_xlfn.XLOOKUP(A1317,T10Y3M!A:A,T10Y3M!B:B,"",-1)</f>
        <v>1.45</v>
      </c>
      <c r="J1317" s="2">
        <f>_xlfn.XLOOKUP(A1317,BAMLC0A4CBBB!A:A,BAMLC0A4CBBB!B:B,"",-1)</f>
        <v>1.0900000000000001</v>
      </c>
      <c r="K1317" s="2">
        <f>_xlfn.XLOOKUP(A1317,CPIAUCSL!A:A,CPIAUCSL!B:B,"",-1)</f>
        <v>270.654</v>
      </c>
      <c r="L1317">
        <f>_xlfn.XLOOKUP(A1317,DFF!A:A,DFF!B:B,"",-1)</f>
        <v>0.1</v>
      </c>
      <c r="M1317">
        <f>_xlfn.XLOOKUP(A1317,'DGS2'!A:A,'DGS2'!B:B,"",-1)</f>
        <v>0.26</v>
      </c>
      <c r="N1317">
        <f t="shared" si="163"/>
        <v>1.0000000000000009E-2</v>
      </c>
      <c r="O1317">
        <f t="shared" si="164"/>
        <v>5.8111574222505791E-3</v>
      </c>
      <c r="P1317">
        <f t="shared" si="165"/>
        <v>1</v>
      </c>
      <c r="Q1317">
        <f t="shared" si="166"/>
        <v>1</v>
      </c>
    </row>
    <row r="1318" spans="1:17">
      <c r="A1318" s="1">
        <v>44371</v>
      </c>
      <c r="B1318">
        <v>4266.49</v>
      </c>
      <c r="C1318">
        <f t="shared" si="160"/>
        <v>5.8111574222505791E-3</v>
      </c>
      <c r="D1318">
        <f t="shared" si="167"/>
        <v>9.8703130806501171E-3</v>
      </c>
      <c r="E1318">
        <f>_xlfn.XLOOKUP(A1318,VIX!A:A,VIX!B:B,"",-1)</f>
        <v>15.97</v>
      </c>
      <c r="F1318">
        <f t="shared" si="161"/>
        <v>-0.34999999999999964</v>
      </c>
      <c r="G1318">
        <f>_xlfn.XLOOKUP(A1318,'DGS10'!A:A,'DGS10'!B:B,"",-1)</f>
        <v>1.49</v>
      </c>
      <c r="H1318">
        <f t="shared" si="162"/>
        <v>-1.0000000000000009E-2</v>
      </c>
      <c r="I1318" s="2">
        <f>_xlfn.XLOOKUP(A1318,T10Y3M!A:A,T10Y3M!B:B,"",-1)</f>
        <v>1.44</v>
      </c>
      <c r="J1318" s="2">
        <f>_xlfn.XLOOKUP(A1318,BAMLC0A4CBBB!A:A,BAMLC0A4CBBB!B:B,"",-1)</f>
        <v>1.08</v>
      </c>
      <c r="K1318" s="2">
        <f>_xlfn.XLOOKUP(A1318,CPIAUCSL!A:A,CPIAUCSL!B:B,"",-1)</f>
        <v>270.654</v>
      </c>
      <c r="L1318">
        <f>_xlfn.XLOOKUP(A1318,DFF!A:A,DFF!B:B,"",-1)</f>
        <v>0.1</v>
      </c>
      <c r="M1318">
        <f>_xlfn.XLOOKUP(A1318,'DGS2'!A:A,'DGS2'!B:B,"",-1)</f>
        <v>0.26</v>
      </c>
      <c r="N1318">
        <f t="shared" si="163"/>
        <v>0</v>
      </c>
      <c r="O1318">
        <f t="shared" si="164"/>
        <v>3.3306066579319449E-3</v>
      </c>
      <c r="P1318">
        <f t="shared" si="165"/>
        <v>1</v>
      </c>
      <c r="Q1318">
        <f t="shared" si="166"/>
        <v>1</v>
      </c>
    </row>
    <row r="1319" spans="1:17">
      <c r="A1319" s="1">
        <v>44372</v>
      </c>
      <c r="B1319">
        <v>4280.7</v>
      </c>
      <c r="C1319">
        <f t="shared" si="160"/>
        <v>3.3306066579319449E-3</v>
      </c>
      <c r="D1319">
        <f t="shared" si="167"/>
        <v>8.0679345522367552E-3</v>
      </c>
      <c r="E1319">
        <f>_xlfn.XLOOKUP(A1319,VIX!A:A,VIX!B:B,"",-1)</f>
        <v>15.62</v>
      </c>
      <c r="F1319">
        <f t="shared" si="161"/>
        <v>-0.35000000000000142</v>
      </c>
      <c r="G1319">
        <f>_xlfn.XLOOKUP(A1319,'DGS10'!A:A,'DGS10'!B:B,"",-1)</f>
        <v>1.54</v>
      </c>
      <c r="H1319">
        <f t="shared" si="162"/>
        <v>5.0000000000000044E-2</v>
      </c>
      <c r="I1319" s="2">
        <f>_xlfn.XLOOKUP(A1319,T10Y3M!A:A,T10Y3M!B:B,"",-1)</f>
        <v>1.48</v>
      </c>
      <c r="J1319" s="2">
        <f>_xlfn.XLOOKUP(A1319,BAMLC0A4CBBB!A:A,BAMLC0A4CBBB!B:B,"",-1)</f>
        <v>1.07</v>
      </c>
      <c r="K1319" s="2">
        <f>_xlfn.XLOOKUP(A1319,CPIAUCSL!A:A,CPIAUCSL!B:B,"",-1)</f>
        <v>270.654</v>
      </c>
      <c r="L1319">
        <f>_xlfn.XLOOKUP(A1319,DFF!A:A,DFF!B:B,"",-1)</f>
        <v>0.1</v>
      </c>
      <c r="M1319">
        <f>_xlfn.XLOOKUP(A1319,'DGS2'!A:A,'DGS2'!B:B,"",-1)</f>
        <v>0.28000000000000003</v>
      </c>
      <c r="N1319">
        <f t="shared" si="163"/>
        <v>2.0000000000000018E-2</v>
      </c>
      <c r="O1319">
        <f t="shared" si="164"/>
        <v>2.3150419323942906E-3</v>
      </c>
      <c r="P1319">
        <f t="shared" si="165"/>
        <v>1</v>
      </c>
      <c r="Q1319">
        <f t="shared" si="166"/>
        <v>0</v>
      </c>
    </row>
    <row r="1320" spans="1:17">
      <c r="A1320" s="1">
        <v>44375</v>
      </c>
      <c r="B1320">
        <v>4290.6099999999997</v>
      </c>
      <c r="C1320">
        <f t="shared" si="160"/>
        <v>2.3150419323942906E-3</v>
      </c>
      <c r="D1320">
        <f t="shared" si="167"/>
        <v>1.1497369066254093E-2</v>
      </c>
      <c r="E1320">
        <f>_xlfn.XLOOKUP(A1320,VIX!A:A,VIX!B:B,"",-1)</f>
        <v>15.76</v>
      </c>
      <c r="F1320">
        <f t="shared" si="161"/>
        <v>0.14000000000000057</v>
      </c>
      <c r="G1320">
        <f>_xlfn.XLOOKUP(A1320,'DGS10'!A:A,'DGS10'!B:B,"",-1)</f>
        <v>1.49</v>
      </c>
      <c r="H1320">
        <f t="shared" si="162"/>
        <v>-5.0000000000000044E-2</v>
      </c>
      <c r="I1320" s="2">
        <f>_xlfn.XLOOKUP(A1320,T10Y3M!A:A,T10Y3M!B:B,"",-1)</f>
        <v>1.44</v>
      </c>
      <c r="J1320" s="2">
        <f>_xlfn.XLOOKUP(A1320,BAMLC0A4CBBB!A:A,BAMLC0A4CBBB!B:B,"",-1)</f>
        <v>1.07</v>
      </c>
      <c r="K1320" s="2">
        <f>_xlfn.XLOOKUP(A1320,CPIAUCSL!A:A,CPIAUCSL!B:B,"",-1)</f>
        <v>270.654</v>
      </c>
      <c r="L1320">
        <f>_xlfn.XLOOKUP(A1320,DFF!A:A,DFF!B:B,"",-1)</f>
        <v>0.1</v>
      </c>
      <c r="M1320">
        <f>_xlfn.XLOOKUP(A1320,'DGS2'!A:A,'DGS2'!B:B,"",-1)</f>
        <v>0.25</v>
      </c>
      <c r="N1320">
        <f t="shared" si="163"/>
        <v>-3.0000000000000027E-2</v>
      </c>
      <c r="O1320">
        <f t="shared" si="164"/>
        <v>2.7734984069871516E-4</v>
      </c>
      <c r="P1320">
        <f t="shared" si="165"/>
        <v>1</v>
      </c>
      <c r="Q1320">
        <f t="shared" si="166"/>
        <v>0</v>
      </c>
    </row>
    <row r="1321" spans="1:17">
      <c r="A1321" s="1">
        <v>44376</v>
      </c>
      <c r="B1321">
        <v>4291.8</v>
      </c>
      <c r="C1321">
        <f t="shared" si="160"/>
        <v>2.7734984069871516E-4</v>
      </c>
      <c r="D1321">
        <f t="shared" si="167"/>
        <v>5.9322768833398598E-3</v>
      </c>
      <c r="E1321">
        <f>_xlfn.XLOOKUP(A1321,VIX!A:A,VIX!B:B,"",-1)</f>
        <v>16.02</v>
      </c>
      <c r="F1321">
        <f t="shared" si="161"/>
        <v>0.25999999999999979</v>
      </c>
      <c r="G1321">
        <f>_xlfn.XLOOKUP(A1321,'DGS10'!A:A,'DGS10'!B:B,"",-1)</f>
        <v>1.49</v>
      </c>
      <c r="H1321">
        <f t="shared" si="162"/>
        <v>0</v>
      </c>
      <c r="I1321" s="2">
        <f>_xlfn.XLOOKUP(A1321,T10Y3M!A:A,T10Y3M!B:B,"",-1)</f>
        <v>1.45</v>
      </c>
      <c r="J1321" s="2">
        <f>_xlfn.XLOOKUP(A1321,BAMLC0A4CBBB!A:A,BAMLC0A4CBBB!B:B,"",-1)</f>
        <v>1.07</v>
      </c>
      <c r="K1321" s="2">
        <f>_xlfn.XLOOKUP(A1321,CPIAUCSL!A:A,CPIAUCSL!B:B,"",-1)</f>
        <v>270.654</v>
      </c>
      <c r="L1321">
        <f>_xlfn.XLOOKUP(A1321,DFF!A:A,DFF!B:B,"",-1)</f>
        <v>0.1</v>
      </c>
      <c r="M1321">
        <f>_xlfn.XLOOKUP(A1321,'DGS2'!A:A,'DGS2'!B:B,"",-1)</f>
        <v>0.27</v>
      </c>
      <c r="N1321">
        <f t="shared" si="163"/>
        <v>2.0000000000000018E-2</v>
      </c>
      <c r="O1321">
        <f t="shared" si="164"/>
        <v>1.3281140780092571E-3</v>
      </c>
      <c r="P1321">
        <f t="shared" si="165"/>
        <v>1</v>
      </c>
      <c r="Q1321">
        <f t="shared" si="166"/>
        <v>0</v>
      </c>
    </row>
    <row r="1322" spans="1:17">
      <c r="A1322" s="1">
        <v>44377</v>
      </c>
      <c r="B1322">
        <v>4297.5</v>
      </c>
      <c r="C1322">
        <f t="shared" si="160"/>
        <v>1.3281140780092571E-3</v>
      </c>
      <c r="D1322">
        <f t="shared" si="167"/>
        <v>3.9245917723738089E-3</v>
      </c>
      <c r="E1322">
        <f>_xlfn.XLOOKUP(A1322,VIX!A:A,VIX!B:B,"",-1)</f>
        <v>15.83</v>
      </c>
      <c r="F1322">
        <f t="shared" si="161"/>
        <v>-0.1899999999999995</v>
      </c>
      <c r="G1322">
        <f>_xlfn.XLOOKUP(A1322,'DGS10'!A:A,'DGS10'!B:B,"",-1)</f>
        <v>1.45</v>
      </c>
      <c r="H1322">
        <f t="shared" si="162"/>
        <v>-4.0000000000000036E-2</v>
      </c>
      <c r="I1322" s="2">
        <f>_xlfn.XLOOKUP(A1322,T10Y3M!A:A,T10Y3M!B:B,"",-1)</f>
        <v>1.4</v>
      </c>
      <c r="J1322" s="2">
        <f>_xlfn.XLOOKUP(A1322,BAMLC0A4CBBB!A:A,BAMLC0A4CBBB!B:B,"",-1)</f>
        <v>1.07</v>
      </c>
      <c r="K1322" s="2">
        <f>_xlfn.XLOOKUP(A1322,CPIAUCSL!A:A,CPIAUCSL!B:B,"",-1)</f>
        <v>270.654</v>
      </c>
      <c r="L1322">
        <f>_xlfn.XLOOKUP(A1322,DFF!A:A,DFF!B:B,"",-1)</f>
        <v>0.08</v>
      </c>
      <c r="M1322">
        <f>_xlfn.XLOOKUP(A1322,'DGS2'!A:A,'DGS2'!B:B,"",-1)</f>
        <v>0.25</v>
      </c>
      <c r="N1322">
        <f t="shared" si="163"/>
        <v>-2.0000000000000018E-2</v>
      </c>
      <c r="O1322">
        <f t="shared" si="164"/>
        <v>5.2216404886560319E-3</v>
      </c>
      <c r="P1322">
        <f t="shared" si="165"/>
        <v>1</v>
      </c>
      <c r="Q1322">
        <f t="shared" si="166"/>
        <v>1</v>
      </c>
    </row>
    <row r="1323" spans="1:17">
      <c r="A1323" s="1">
        <v>44378</v>
      </c>
      <c r="B1323">
        <v>4319.9399999999996</v>
      </c>
      <c r="C1323">
        <f t="shared" si="160"/>
        <v>5.2216404886560319E-3</v>
      </c>
      <c r="D1323">
        <f t="shared" si="167"/>
        <v>6.83585783839602E-3</v>
      </c>
      <c r="E1323">
        <f>_xlfn.XLOOKUP(A1323,VIX!A:A,VIX!B:B,"",-1)</f>
        <v>15.48</v>
      </c>
      <c r="F1323">
        <f t="shared" si="161"/>
        <v>-0.34999999999999964</v>
      </c>
      <c r="G1323">
        <f>_xlfn.XLOOKUP(A1323,'DGS10'!A:A,'DGS10'!B:B,"",-1)</f>
        <v>1.48</v>
      </c>
      <c r="H1323">
        <f t="shared" si="162"/>
        <v>3.0000000000000027E-2</v>
      </c>
      <c r="I1323" s="2">
        <f>_xlfn.XLOOKUP(A1323,T10Y3M!A:A,T10Y3M!B:B,"",-1)</f>
        <v>1.43</v>
      </c>
      <c r="J1323" s="2">
        <f>_xlfn.XLOOKUP(A1323,BAMLC0A4CBBB!A:A,BAMLC0A4CBBB!B:B,"",-1)</f>
        <v>1.08</v>
      </c>
      <c r="K1323" s="2">
        <f>_xlfn.XLOOKUP(A1323,CPIAUCSL!A:A,CPIAUCSL!B:B,"",-1)</f>
        <v>271.90300000000002</v>
      </c>
      <c r="L1323">
        <f>_xlfn.XLOOKUP(A1323,DFF!A:A,DFF!B:B,"",-1)</f>
        <v>0.1</v>
      </c>
      <c r="M1323">
        <f>_xlfn.XLOOKUP(A1323,'DGS2'!A:A,'DGS2'!B:B,"",-1)</f>
        <v>0.25</v>
      </c>
      <c r="N1323">
        <f t="shared" si="163"/>
        <v>0</v>
      </c>
      <c r="O1323">
        <f t="shared" si="164"/>
        <v>7.5001041681135305E-3</v>
      </c>
      <c r="P1323">
        <f t="shared" si="165"/>
        <v>1</v>
      </c>
      <c r="Q1323">
        <f t="shared" si="166"/>
        <v>1</v>
      </c>
    </row>
    <row r="1324" spans="1:17">
      <c r="A1324" s="1">
        <v>44379</v>
      </c>
      <c r="B1324">
        <v>4352.34</v>
      </c>
      <c r="C1324">
        <f t="shared" si="160"/>
        <v>7.5001041681135305E-3</v>
      </c>
      <c r="D1324">
        <f t="shared" si="167"/>
        <v>1.4105969523277029E-2</v>
      </c>
      <c r="E1324">
        <f>_xlfn.XLOOKUP(A1324,VIX!A:A,VIX!B:B,"",-1)</f>
        <v>15.07</v>
      </c>
      <c r="F1324">
        <f t="shared" si="161"/>
        <v>-0.41000000000000014</v>
      </c>
      <c r="G1324">
        <f>_xlfn.XLOOKUP(A1324,'DGS10'!A:A,'DGS10'!B:B,"",-1)</f>
        <v>1.44</v>
      </c>
      <c r="H1324">
        <f t="shared" si="162"/>
        <v>-4.0000000000000036E-2</v>
      </c>
      <c r="I1324" s="2">
        <f>_xlfn.XLOOKUP(A1324,T10Y3M!A:A,T10Y3M!B:B,"",-1)</f>
        <v>1.39</v>
      </c>
      <c r="J1324" s="2">
        <f>_xlfn.XLOOKUP(A1324,BAMLC0A4CBBB!A:A,BAMLC0A4CBBB!B:B,"",-1)</f>
        <v>1.08</v>
      </c>
      <c r="K1324" s="2">
        <f>_xlfn.XLOOKUP(A1324,CPIAUCSL!A:A,CPIAUCSL!B:B,"",-1)</f>
        <v>271.90300000000002</v>
      </c>
      <c r="L1324">
        <f>_xlfn.XLOOKUP(A1324,DFF!A:A,DFF!B:B,"",-1)</f>
        <v>0.1</v>
      </c>
      <c r="M1324">
        <f>_xlfn.XLOOKUP(A1324,'DGS2'!A:A,'DGS2'!B:B,"",-1)</f>
        <v>0.24</v>
      </c>
      <c r="N1324">
        <f t="shared" si="163"/>
        <v>-1.0000000000000009E-2</v>
      </c>
      <c r="O1324">
        <f t="shared" si="164"/>
        <v>-2.0219008625245172E-3</v>
      </c>
      <c r="P1324">
        <f t="shared" si="165"/>
        <v>0</v>
      </c>
      <c r="Q1324">
        <f t="shared" si="166"/>
        <v>0</v>
      </c>
    </row>
    <row r="1325" spans="1:17">
      <c r="A1325" s="1">
        <v>44383</v>
      </c>
      <c r="B1325">
        <v>4343.54</v>
      </c>
      <c r="C1325">
        <f t="shared" si="160"/>
        <v>-2.0219008625245172E-3</v>
      </c>
      <c r="D1325">
        <f t="shared" si="167"/>
        <v>1.0713205351948751E-2</v>
      </c>
      <c r="E1325">
        <f>_xlfn.XLOOKUP(A1325,VIX!A:A,VIX!B:B,"",-1)</f>
        <v>16.440000000000001</v>
      </c>
      <c r="F1325">
        <f t="shared" si="161"/>
        <v>1.370000000000001</v>
      </c>
      <c r="G1325">
        <f>_xlfn.XLOOKUP(A1325,'DGS10'!A:A,'DGS10'!B:B,"",-1)</f>
        <v>1.37</v>
      </c>
      <c r="H1325">
        <f t="shared" si="162"/>
        <v>-6.999999999999984E-2</v>
      </c>
      <c r="I1325" s="2">
        <f>_xlfn.XLOOKUP(A1325,T10Y3M!A:A,T10Y3M!B:B,"",-1)</f>
        <v>1.32</v>
      </c>
      <c r="J1325" s="2">
        <f>_xlfn.XLOOKUP(A1325,BAMLC0A4CBBB!A:A,BAMLC0A4CBBB!B:B,"",-1)</f>
        <v>1.08</v>
      </c>
      <c r="K1325" s="2">
        <f>_xlfn.XLOOKUP(A1325,CPIAUCSL!A:A,CPIAUCSL!B:B,"",-1)</f>
        <v>271.90300000000002</v>
      </c>
      <c r="L1325">
        <f>_xlfn.XLOOKUP(A1325,DFF!A:A,DFF!B:B,"",-1)</f>
        <v>0.1</v>
      </c>
      <c r="M1325">
        <f>_xlfn.XLOOKUP(A1325,'DGS2'!A:A,'DGS2'!B:B,"",-1)</f>
        <v>0.22</v>
      </c>
      <c r="N1325">
        <f t="shared" si="163"/>
        <v>-1.999999999999999E-2</v>
      </c>
      <c r="O1325">
        <f t="shared" si="164"/>
        <v>3.359011313352811E-3</v>
      </c>
      <c r="P1325">
        <f t="shared" si="165"/>
        <v>1</v>
      </c>
      <c r="Q1325">
        <f t="shared" si="166"/>
        <v>1</v>
      </c>
    </row>
    <row r="1326" spans="1:17">
      <c r="A1326" s="1">
        <v>44384</v>
      </c>
      <c r="B1326">
        <v>4358.13</v>
      </c>
      <c r="C1326">
        <f t="shared" si="160"/>
        <v>3.359011313352811E-3</v>
      </c>
      <c r="D1326">
        <f t="shared" si="167"/>
        <v>8.8404005611191216E-3</v>
      </c>
      <c r="E1326">
        <f>_xlfn.XLOOKUP(A1326,VIX!A:A,VIX!B:B,"",-1)</f>
        <v>16.2</v>
      </c>
      <c r="F1326">
        <f t="shared" si="161"/>
        <v>-0.24000000000000199</v>
      </c>
      <c r="G1326">
        <f>_xlfn.XLOOKUP(A1326,'DGS10'!A:A,'DGS10'!B:B,"",-1)</f>
        <v>1.33</v>
      </c>
      <c r="H1326">
        <f t="shared" si="162"/>
        <v>-4.0000000000000036E-2</v>
      </c>
      <c r="I1326" s="2">
        <f>_xlfn.XLOOKUP(A1326,T10Y3M!A:A,T10Y3M!B:B,"",-1)</f>
        <v>1.28</v>
      </c>
      <c r="J1326" s="2">
        <f>_xlfn.XLOOKUP(A1326,BAMLC0A4CBBB!A:A,BAMLC0A4CBBB!B:B,"",-1)</f>
        <v>1.0900000000000001</v>
      </c>
      <c r="K1326" s="2">
        <f>_xlfn.XLOOKUP(A1326,CPIAUCSL!A:A,CPIAUCSL!B:B,"",-1)</f>
        <v>271.90300000000002</v>
      </c>
      <c r="L1326">
        <f>_xlfn.XLOOKUP(A1326,DFF!A:A,DFF!B:B,"",-1)</f>
        <v>0.1</v>
      </c>
      <c r="M1326">
        <f>_xlfn.XLOOKUP(A1326,'DGS2'!A:A,'DGS2'!B:B,"",-1)</f>
        <v>0.22</v>
      </c>
      <c r="N1326">
        <f t="shared" si="163"/>
        <v>0</v>
      </c>
      <c r="O1326">
        <f t="shared" si="164"/>
        <v>-8.56101125941644E-3</v>
      </c>
      <c r="P1326">
        <f t="shared" si="165"/>
        <v>0</v>
      </c>
      <c r="Q1326">
        <f t="shared" si="166"/>
        <v>-1</v>
      </c>
    </row>
    <row r="1327" spans="1:17">
      <c r="A1327" s="1">
        <v>44385</v>
      </c>
      <c r="B1327">
        <v>4320.82</v>
      </c>
      <c r="C1327">
        <f t="shared" si="160"/>
        <v>-8.56101125941644E-3</v>
      </c>
      <c r="D1327">
        <f t="shared" si="167"/>
        <v>-7.2420812712242766E-3</v>
      </c>
      <c r="E1327">
        <f>_xlfn.XLOOKUP(A1327,VIX!A:A,VIX!B:B,"",-1)</f>
        <v>19</v>
      </c>
      <c r="F1327">
        <f t="shared" si="161"/>
        <v>2.8000000000000007</v>
      </c>
      <c r="G1327">
        <f>_xlfn.XLOOKUP(A1327,'DGS10'!A:A,'DGS10'!B:B,"",-1)</f>
        <v>1.3</v>
      </c>
      <c r="H1327">
        <f t="shared" si="162"/>
        <v>-3.0000000000000027E-2</v>
      </c>
      <c r="I1327" s="2">
        <f>_xlfn.XLOOKUP(A1327,T10Y3M!A:A,T10Y3M!B:B,"",-1)</f>
        <v>1.24</v>
      </c>
      <c r="J1327" s="2">
        <f>_xlfn.XLOOKUP(A1327,BAMLC0A4CBBB!A:A,BAMLC0A4CBBB!B:B,"",-1)</f>
        <v>1.1200000000000001</v>
      </c>
      <c r="K1327" s="2">
        <f>_xlfn.XLOOKUP(A1327,CPIAUCSL!A:A,CPIAUCSL!B:B,"",-1)</f>
        <v>271.90300000000002</v>
      </c>
      <c r="L1327">
        <f>_xlfn.XLOOKUP(A1327,DFF!A:A,DFF!B:B,"",-1)</f>
        <v>0.1</v>
      </c>
      <c r="M1327">
        <f>_xlfn.XLOOKUP(A1327,'DGS2'!A:A,'DGS2'!B:B,"",-1)</f>
        <v>0.19</v>
      </c>
      <c r="N1327">
        <f t="shared" si="163"/>
        <v>-0.03</v>
      </c>
      <c r="O1327">
        <f t="shared" si="164"/>
        <v>1.1277951870247049E-2</v>
      </c>
      <c r="P1327">
        <f t="shared" si="165"/>
        <v>1</v>
      </c>
      <c r="Q1327">
        <f t="shared" si="166"/>
        <v>1</v>
      </c>
    </row>
    <row r="1328" spans="1:17">
      <c r="A1328" s="1">
        <v>44386</v>
      </c>
      <c r="B1328">
        <v>4369.55</v>
      </c>
      <c r="C1328">
        <f t="shared" si="160"/>
        <v>1.1277951870247049E-2</v>
      </c>
      <c r="D1328">
        <f t="shared" si="167"/>
        <v>5.9882031706857131E-3</v>
      </c>
      <c r="E1328">
        <f>_xlfn.XLOOKUP(A1328,VIX!A:A,VIX!B:B,"",-1)</f>
        <v>16.18</v>
      </c>
      <c r="F1328">
        <f t="shared" si="161"/>
        <v>-2.8200000000000003</v>
      </c>
      <c r="G1328">
        <f>_xlfn.XLOOKUP(A1328,'DGS10'!A:A,'DGS10'!B:B,"",-1)</f>
        <v>1.37</v>
      </c>
      <c r="H1328">
        <f t="shared" si="162"/>
        <v>7.0000000000000062E-2</v>
      </c>
      <c r="I1328" s="2">
        <f>_xlfn.XLOOKUP(A1328,T10Y3M!A:A,T10Y3M!B:B,"",-1)</f>
        <v>1.31</v>
      </c>
      <c r="J1328" s="2">
        <f>_xlfn.XLOOKUP(A1328,BAMLC0A4CBBB!A:A,BAMLC0A4CBBB!B:B,"",-1)</f>
        <v>1.1100000000000001</v>
      </c>
      <c r="K1328" s="2">
        <f>_xlfn.XLOOKUP(A1328,CPIAUCSL!A:A,CPIAUCSL!B:B,"",-1)</f>
        <v>271.90300000000002</v>
      </c>
      <c r="L1328">
        <f>_xlfn.XLOOKUP(A1328,DFF!A:A,DFF!B:B,"",-1)</f>
        <v>0.1</v>
      </c>
      <c r="M1328">
        <f>_xlfn.XLOOKUP(A1328,'DGS2'!A:A,'DGS2'!B:B,"",-1)</f>
        <v>0.23</v>
      </c>
      <c r="N1328">
        <f t="shared" si="163"/>
        <v>4.0000000000000008E-2</v>
      </c>
      <c r="O1328">
        <f t="shared" si="164"/>
        <v>3.4511562975592103E-3</v>
      </c>
      <c r="P1328">
        <f t="shared" si="165"/>
        <v>1</v>
      </c>
      <c r="Q1328">
        <f t="shared" si="166"/>
        <v>1</v>
      </c>
    </row>
    <row r="1329" spans="1:17">
      <c r="A1329" s="1">
        <v>44389</v>
      </c>
      <c r="B1329">
        <v>4384.63</v>
      </c>
      <c r="C1329">
        <f t="shared" si="160"/>
        <v>3.4511562975592103E-3</v>
      </c>
      <c r="D1329">
        <f t="shared" si="167"/>
        <v>6.080589610681697E-3</v>
      </c>
      <c r="E1329">
        <f>_xlfn.XLOOKUP(A1329,VIX!A:A,VIX!B:B,"",-1)</f>
        <v>16.170000000000002</v>
      </c>
      <c r="F1329">
        <f t="shared" si="161"/>
        <v>-9.9999999999980105E-3</v>
      </c>
      <c r="G1329">
        <f>_xlfn.XLOOKUP(A1329,'DGS10'!A:A,'DGS10'!B:B,"",-1)</f>
        <v>1.38</v>
      </c>
      <c r="H1329">
        <f t="shared" si="162"/>
        <v>9.9999999999997868E-3</v>
      </c>
      <c r="I1329" s="2">
        <f>_xlfn.XLOOKUP(A1329,T10Y3M!A:A,T10Y3M!B:B,"",-1)</f>
        <v>1.33</v>
      </c>
      <c r="J1329" s="2">
        <f>_xlfn.XLOOKUP(A1329,BAMLC0A4CBBB!A:A,BAMLC0A4CBBB!B:B,"",-1)</f>
        <v>1.1100000000000001</v>
      </c>
      <c r="K1329" s="2">
        <f>_xlfn.XLOOKUP(A1329,CPIAUCSL!A:A,CPIAUCSL!B:B,"",-1)</f>
        <v>271.90300000000002</v>
      </c>
      <c r="L1329">
        <f>_xlfn.XLOOKUP(A1329,DFF!A:A,DFF!B:B,"",-1)</f>
        <v>0.1</v>
      </c>
      <c r="M1329">
        <f>_xlfn.XLOOKUP(A1329,'DGS2'!A:A,'DGS2'!B:B,"",-1)</f>
        <v>0.23</v>
      </c>
      <c r="N1329">
        <f t="shared" si="163"/>
        <v>0</v>
      </c>
      <c r="O1329">
        <f t="shared" si="164"/>
        <v>-3.516830382495284E-3</v>
      </c>
      <c r="P1329">
        <f t="shared" si="165"/>
        <v>0</v>
      </c>
      <c r="Q1329">
        <f t="shared" si="166"/>
        <v>-1</v>
      </c>
    </row>
    <row r="1330" spans="1:17">
      <c r="A1330" s="1">
        <v>44390</v>
      </c>
      <c r="B1330">
        <v>4369.21</v>
      </c>
      <c r="C1330">
        <f t="shared" si="160"/>
        <v>-3.516830382495284E-3</v>
      </c>
      <c r="D1330">
        <f t="shared" si="167"/>
        <v>1.1199263102837032E-2</v>
      </c>
      <c r="E1330">
        <f>_xlfn.XLOOKUP(A1330,VIX!A:A,VIX!B:B,"",-1)</f>
        <v>17.12</v>
      </c>
      <c r="F1330">
        <f t="shared" si="161"/>
        <v>0.94999999999999929</v>
      </c>
      <c r="G1330">
        <f>_xlfn.XLOOKUP(A1330,'DGS10'!A:A,'DGS10'!B:B,"",-1)</f>
        <v>1.42</v>
      </c>
      <c r="H1330">
        <f t="shared" si="162"/>
        <v>4.0000000000000036E-2</v>
      </c>
      <c r="I1330" s="2">
        <f>_xlfn.XLOOKUP(A1330,T10Y3M!A:A,T10Y3M!B:B,"",-1)</f>
        <v>1.37</v>
      </c>
      <c r="J1330" s="2">
        <f>_xlfn.XLOOKUP(A1330,BAMLC0A4CBBB!A:A,BAMLC0A4CBBB!B:B,"",-1)</f>
        <v>1.1000000000000001</v>
      </c>
      <c r="K1330" s="2">
        <f>_xlfn.XLOOKUP(A1330,CPIAUCSL!A:A,CPIAUCSL!B:B,"",-1)</f>
        <v>271.90300000000002</v>
      </c>
      <c r="L1330">
        <f>_xlfn.XLOOKUP(A1330,DFF!A:A,DFF!B:B,"",-1)</f>
        <v>0.1</v>
      </c>
      <c r="M1330">
        <f>_xlfn.XLOOKUP(A1330,'DGS2'!A:A,'DGS2'!B:B,"",-1)</f>
        <v>0.26</v>
      </c>
      <c r="N1330">
        <f t="shared" si="163"/>
        <v>0.03</v>
      </c>
      <c r="O1330">
        <f t="shared" si="164"/>
        <v>1.1649703264435818E-3</v>
      </c>
      <c r="P1330">
        <f t="shared" si="165"/>
        <v>1</v>
      </c>
      <c r="Q1330">
        <f t="shared" si="166"/>
        <v>0</v>
      </c>
    </row>
    <row r="1331" spans="1:17">
      <c r="A1331" s="1">
        <v>44391</v>
      </c>
      <c r="B1331">
        <v>4374.3</v>
      </c>
      <c r="C1331">
        <f t="shared" si="160"/>
        <v>1.1649703264435818E-3</v>
      </c>
      <c r="D1331">
        <f t="shared" si="167"/>
        <v>1.0870684624275651E-3</v>
      </c>
      <c r="E1331">
        <f>_xlfn.XLOOKUP(A1331,VIX!A:A,VIX!B:B,"",-1)</f>
        <v>16.329999999999998</v>
      </c>
      <c r="F1331">
        <f t="shared" si="161"/>
        <v>-0.7900000000000027</v>
      </c>
      <c r="G1331">
        <f>_xlfn.XLOOKUP(A1331,'DGS10'!A:A,'DGS10'!B:B,"",-1)</f>
        <v>1.37</v>
      </c>
      <c r="H1331">
        <f t="shared" si="162"/>
        <v>-4.9999999999999822E-2</v>
      </c>
      <c r="I1331" s="2">
        <f>_xlfn.XLOOKUP(A1331,T10Y3M!A:A,T10Y3M!B:B,"",-1)</f>
        <v>1.31</v>
      </c>
      <c r="J1331" s="2">
        <f>_xlfn.XLOOKUP(A1331,BAMLC0A4CBBB!A:A,BAMLC0A4CBBB!B:B,"",-1)</f>
        <v>1.1000000000000001</v>
      </c>
      <c r="K1331" s="2">
        <f>_xlfn.XLOOKUP(A1331,CPIAUCSL!A:A,CPIAUCSL!B:B,"",-1)</f>
        <v>271.90300000000002</v>
      </c>
      <c r="L1331">
        <f>_xlfn.XLOOKUP(A1331,DFF!A:A,DFF!B:B,"",-1)</f>
        <v>0.1</v>
      </c>
      <c r="M1331">
        <f>_xlfn.XLOOKUP(A1331,'DGS2'!A:A,'DGS2'!B:B,"",-1)</f>
        <v>0.23</v>
      </c>
      <c r="N1331">
        <f t="shared" si="163"/>
        <v>-0.03</v>
      </c>
      <c r="O1331">
        <f t="shared" si="164"/>
        <v>-3.2622362435132946E-3</v>
      </c>
      <c r="P1331">
        <f t="shared" si="165"/>
        <v>0</v>
      </c>
      <c r="Q1331">
        <f t="shared" si="166"/>
        <v>-1</v>
      </c>
    </row>
    <row r="1332" spans="1:17">
      <c r="A1332" s="1">
        <v>44392</v>
      </c>
      <c r="B1332">
        <v>4360.03</v>
      </c>
      <c r="C1332">
        <f t="shared" si="160"/>
        <v>-3.2622362435132946E-3</v>
      </c>
      <c r="D1332">
        <f t="shared" si="167"/>
        <v>-5.6105076140975374E-3</v>
      </c>
      <c r="E1332">
        <f>_xlfn.XLOOKUP(A1332,VIX!A:A,VIX!B:B,"",-1)</f>
        <v>17.010000000000002</v>
      </c>
      <c r="F1332">
        <f t="shared" si="161"/>
        <v>0.68000000000000327</v>
      </c>
      <c r="G1332">
        <f>_xlfn.XLOOKUP(A1332,'DGS10'!A:A,'DGS10'!B:B,"",-1)</f>
        <v>1.31</v>
      </c>
      <c r="H1332">
        <f t="shared" si="162"/>
        <v>-6.0000000000000053E-2</v>
      </c>
      <c r="I1332" s="2">
        <f>_xlfn.XLOOKUP(A1332,T10Y3M!A:A,T10Y3M!B:B,"",-1)</f>
        <v>1.26</v>
      </c>
      <c r="J1332" s="2">
        <f>_xlfn.XLOOKUP(A1332,BAMLC0A4CBBB!A:A,BAMLC0A4CBBB!B:B,"",-1)</f>
        <v>1.1100000000000001</v>
      </c>
      <c r="K1332" s="2">
        <f>_xlfn.XLOOKUP(A1332,CPIAUCSL!A:A,CPIAUCSL!B:B,"",-1)</f>
        <v>271.90300000000002</v>
      </c>
      <c r="L1332">
        <f>_xlfn.XLOOKUP(A1332,DFF!A:A,DFF!B:B,"",-1)</f>
        <v>0.1</v>
      </c>
      <c r="M1332">
        <f>_xlfn.XLOOKUP(A1332,'DGS2'!A:A,'DGS2'!B:B,"",-1)</f>
        <v>0.23</v>
      </c>
      <c r="N1332">
        <f t="shared" si="163"/>
        <v>0</v>
      </c>
      <c r="O1332">
        <f t="shared" si="164"/>
        <v>-7.5389389522548811E-3</v>
      </c>
      <c r="P1332">
        <f t="shared" si="165"/>
        <v>0</v>
      </c>
      <c r="Q1332">
        <f t="shared" si="166"/>
        <v>-1</v>
      </c>
    </row>
    <row r="1333" spans="1:17">
      <c r="A1333" s="1">
        <v>44393</v>
      </c>
      <c r="B1333">
        <v>4327.16</v>
      </c>
      <c r="C1333">
        <f t="shared" si="160"/>
        <v>-7.5389389522548811E-3</v>
      </c>
      <c r="D1333">
        <f t="shared" si="167"/>
        <v>-9.6241654669837473E-3</v>
      </c>
      <c r="E1333">
        <f>_xlfn.XLOOKUP(A1333,VIX!A:A,VIX!B:B,"",-1)</f>
        <v>18.45</v>
      </c>
      <c r="F1333">
        <f t="shared" si="161"/>
        <v>1.4399999999999977</v>
      </c>
      <c r="G1333">
        <f>_xlfn.XLOOKUP(A1333,'DGS10'!A:A,'DGS10'!B:B,"",-1)</f>
        <v>1.31</v>
      </c>
      <c r="H1333">
        <f t="shared" si="162"/>
        <v>0</v>
      </c>
      <c r="I1333" s="2">
        <f>_xlfn.XLOOKUP(A1333,T10Y3M!A:A,T10Y3M!B:B,"",-1)</f>
        <v>1.26</v>
      </c>
      <c r="J1333" s="2">
        <f>_xlfn.XLOOKUP(A1333,BAMLC0A4CBBB!A:A,BAMLC0A4CBBB!B:B,"",-1)</f>
        <v>1.1200000000000001</v>
      </c>
      <c r="K1333" s="2">
        <f>_xlfn.XLOOKUP(A1333,CPIAUCSL!A:A,CPIAUCSL!B:B,"",-1)</f>
        <v>271.90300000000002</v>
      </c>
      <c r="L1333">
        <f>_xlfn.XLOOKUP(A1333,DFF!A:A,DFF!B:B,"",-1)</f>
        <v>0.1</v>
      </c>
      <c r="M1333">
        <f>_xlfn.XLOOKUP(A1333,'DGS2'!A:A,'DGS2'!B:B,"",-1)</f>
        <v>0.25</v>
      </c>
      <c r="N1333">
        <f t="shared" si="163"/>
        <v>1.999999999999999E-2</v>
      </c>
      <c r="O1333">
        <f t="shared" si="164"/>
        <v>-1.5869531055010655E-2</v>
      </c>
      <c r="P1333">
        <f t="shared" si="165"/>
        <v>0</v>
      </c>
      <c r="Q1333">
        <f t="shared" si="166"/>
        <v>-1</v>
      </c>
    </row>
    <row r="1334" spans="1:17">
      <c r="A1334" s="1">
        <v>44396</v>
      </c>
      <c r="B1334">
        <v>4258.49</v>
      </c>
      <c r="C1334">
        <f t="shared" si="160"/>
        <v>-1.5869531055010655E-2</v>
      </c>
      <c r="D1334">
        <f t="shared" si="167"/>
        <v>-2.647509315776253E-2</v>
      </c>
      <c r="E1334">
        <f>_xlfn.XLOOKUP(A1334,VIX!A:A,VIX!B:B,"",-1)</f>
        <v>22.5</v>
      </c>
      <c r="F1334">
        <f t="shared" si="161"/>
        <v>4.0500000000000007</v>
      </c>
      <c r="G1334">
        <f>_xlfn.XLOOKUP(A1334,'DGS10'!A:A,'DGS10'!B:B,"",-1)</f>
        <v>1.19</v>
      </c>
      <c r="H1334">
        <f t="shared" si="162"/>
        <v>-0.12000000000000011</v>
      </c>
      <c r="I1334" s="2">
        <f>_xlfn.XLOOKUP(A1334,T10Y3M!A:A,T10Y3M!B:B,"",-1)</f>
        <v>1.1399999999999999</v>
      </c>
      <c r="J1334" s="2">
        <f>_xlfn.XLOOKUP(A1334,BAMLC0A4CBBB!A:A,BAMLC0A4CBBB!B:B,"",-1)</f>
        <v>1.1399999999999999</v>
      </c>
      <c r="K1334" s="2">
        <f>_xlfn.XLOOKUP(A1334,CPIAUCSL!A:A,CPIAUCSL!B:B,"",-1)</f>
        <v>271.90300000000002</v>
      </c>
      <c r="L1334">
        <f>_xlfn.XLOOKUP(A1334,DFF!A:A,DFF!B:B,"",-1)</f>
        <v>0.1</v>
      </c>
      <c r="M1334">
        <f>_xlfn.XLOOKUP(A1334,'DGS2'!A:A,'DGS2'!B:B,"",-1)</f>
        <v>0.21</v>
      </c>
      <c r="N1334">
        <f t="shared" si="163"/>
        <v>-4.0000000000000008E-2</v>
      </c>
      <c r="O1334">
        <f t="shared" si="164"/>
        <v>1.516265155019747E-2</v>
      </c>
      <c r="P1334">
        <f t="shared" si="165"/>
        <v>1</v>
      </c>
      <c r="Q1334">
        <f t="shared" si="166"/>
        <v>1</v>
      </c>
    </row>
    <row r="1335" spans="1:17">
      <c r="A1335" s="1">
        <v>44397</v>
      </c>
      <c r="B1335">
        <v>4323.0600000000004</v>
      </c>
      <c r="C1335">
        <f t="shared" si="160"/>
        <v>1.516265155019747E-2</v>
      </c>
      <c r="D1335">
        <f t="shared" si="167"/>
        <v>-8.4792994543614331E-3</v>
      </c>
      <c r="E1335">
        <f>_xlfn.XLOOKUP(A1335,VIX!A:A,VIX!B:B,"",-1)</f>
        <v>19.73</v>
      </c>
      <c r="F1335">
        <f t="shared" si="161"/>
        <v>-2.7699999999999996</v>
      </c>
      <c r="G1335">
        <f>_xlfn.XLOOKUP(A1335,'DGS10'!A:A,'DGS10'!B:B,"",-1)</f>
        <v>1.23</v>
      </c>
      <c r="H1335">
        <f t="shared" si="162"/>
        <v>4.0000000000000036E-2</v>
      </c>
      <c r="I1335" s="2">
        <f>_xlfn.XLOOKUP(A1335,T10Y3M!A:A,T10Y3M!B:B,"",-1)</f>
        <v>1.18</v>
      </c>
      <c r="J1335" s="2">
        <f>_xlfn.XLOOKUP(A1335,BAMLC0A4CBBB!A:A,BAMLC0A4CBBB!B:B,"",-1)</f>
        <v>1.1499999999999999</v>
      </c>
      <c r="K1335" s="2">
        <f>_xlfn.XLOOKUP(A1335,CPIAUCSL!A:A,CPIAUCSL!B:B,"",-1)</f>
        <v>271.90300000000002</v>
      </c>
      <c r="L1335">
        <f>_xlfn.XLOOKUP(A1335,DFF!A:A,DFF!B:B,"",-1)</f>
        <v>0.1</v>
      </c>
      <c r="M1335">
        <f>_xlfn.XLOOKUP(A1335,'DGS2'!A:A,'DGS2'!B:B,"",-1)</f>
        <v>0.2</v>
      </c>
      <c r="N1335">
        <f t="shared" si="163"/>
        <v>-9.9999999999999811E-3</v>
      </c>
      <c r="O1335">
        <f t="shared" si="164"/>
        <v>8.2418472100778128E-3</v>
      </c>
      <c r="P1335">
        <f t="shared" si="165"/>
        <v>1</v>
      </c>
      <c r="Q1335">
        <f t="shared" si="166"/>
        <v>1</v>
      </c>
    </row>
    <row r="1336" spans="1:17">
      <c r="A1336" s="1">
        <v>44398</v>
      </c>
      <c r="B1336">
        <v>4358.6899999999996</v>
      </c>
      <c r="C1336">
        <f t="shared" si="160"/>
        <v>8.2418472100778128E-3</v>
      </c>
      <c r="D1336">
        <f t="shared" si="167"/>
        <v>7.2865343550965189E-3</v>
      </c>
      <c r="E1336">
        <f>_xlfn.XLOOKUP(A1336,VIX!A:A,VIX!B:B,"",-1)</f>
        <v>17.91</v>
      </c>
      <c r="F1336">
        <f t="shared" si="161"/>
        <v>-1.8200000000000003</v>
      </c>
      <c r="G1336">
        <f>_xlfn.XLOOKUP(A1336,'DGS10'!A:A,'DGS10'!B:B,"",-1)</f>
        <v>1.3</v>
      </c>
      <c r="H1336">
        <f t="shared" si="162"/>
        <v>7.0000000000000062E-2</v>
      </c>
      <c r="I1336" s="2">
        <f>_xlfn.XLOOKUP(A1336,T10Y3M!A:A,T10Y3M!B:B,"",-1)</f>
        <v>1.25</v>
      </c>
      <c r="J1336" s="2">
        <f>_xlfn.XLOOKUP(A1336,BAMLC0A4CBBB!A:A,BAMLC0A4CBBB!B:B,"",-1)</f>
        <v>1.1399999999999999</v>
      </c>
      <c r="K1336" s="2">
        <f>_xlfn.XLOOKUP(A1336,CPIAUCSL!A:A,CPIAUCSL!B:B,"",-1)</f>
        <v>271.90300000000002</v>
      </c>
      <c r="L1336">
        <f>_xlfn.XLOOKUP(A1336,DFF!A:A,DFF!B:B,"",-1)</f>
        <v>0.1</v>
      </c>
      <c r="M1336">
        <f>_xlfn.XLOOKUP(A1336,'DGS2'!A:A,'DGS2'!B:B,"",-1)</f>
        <v>0.22</v>
      </c>
      <c r="N1336">
        <f t="shared" si="163"/>
        <v>1.999999999999999E-2</v>
      </c>
      <c r="O1336">
        <f t="shared" si="164"/>
        <v>2.0166609692362503E-3</v>
      </c>
      <c r="P1336">
        <f t="shared" si="165"/>
        <v>1</v>
      </c>
      <c r="Q1336">
        <f t="shared" si="166"/>
        <v>0</v>
      </c>
    </row>
    <row r="1337" spans="1:17">
      <c r="A1337" s="1">
        <v>44399</v>
      </c>
      <c r="B1337">
        <v>4367.4799999999996</v>
      </c>
      <c r="C1337">
        <f t="shared" si="160"/>
        <v>2.0166609692362503E-3</v>
      </c>
      <c r="D1337">
        <f t="shared" si="167"/>
        <v>2.5593578944649309E-2</v>
      </c>
      <c r="E1337">
        <f>_xlfn.XLOOKUP(A1337,VIX!A:A,VIX!B:B,"",-1)</f>
        <v>17.690000000000001</v>
      </c>
      <c r="F1337">
        <f t="shared" si="161"/>
        <v>-0.21999999999999886</v>
      </c>
      <c r="G1337">
        <f>_xlfn.XLOOKUP(A1337,'DGS10'!A:A,'DGS10'!B:B,"",-1)</f>
        <v>1.27</v>
      </c>
      <c r="H1337">
        <f t="shared" si="162"/>
        <v>-3.0000000000000027E-2</v>
      </c>
      <c r="I1337" s="2">
        <f>_xlfn.XLOOKUP(A1337,T10Y3M!A:A,T10Y3M!B:B,"",-1)</f>
        <v>1.22</v>
      </c>
      <c r="J1337" s="2">
        <f>_xlfn.XLOOKUP(A1337,BAMLC0A4CBBB!A:A,BAMLC0A4CBBB!B:B,"",-1)</f>
        <v>1.1299999999999999</v>
      </c>
      <c r="K1337" s="2">
        <f>_xlfn.XLOOKUP(A1337,CPIAUCSL!A:A,CPIAUCSL!B:B,"",-1)</f>
        <v>271.90300000000002</v>
      </c>
      <c r="L1337">
        <f>_xlfn.XLOOKUP(A1337,DFF!A:A,DFF!B:B,"",-1)</f>
        <v>0.1</v>
      </c>
      <c r="M1337">
        <f>_xlfn.XLOOKUP(A1337,'DGS2'!A:A,'DGS2'!B:B,"",-1)</f>
        <v>0.2</v>
      </c>
      <c r="N1337">
        <f t="shared" si="163"/>
        <v>-1.999999999999999E-2</v>
      </c>
      <c r="O1337">
        <f t="shared" si="164"/>
        <v>1.0145438559535647E-2</v>
      </c>
      <c r="P1337">
        <f t="shared" si="165"/>
        <v>1</v>
      </c>
      <c r="Q1337">
        <f t="shared" si="166"/>
        <v>1</v>
      </c>
    </row>
    <row r="1338" spans="1:17">
      <c r="A1338" s="1">
        <v>44400</v>
      </c>
      <c r="B1338">
        <v>4411.79</v>
      </c>
      <c r="C1338">
        <f t="shared" si="160"/>
        <v>1.0145438559535647E-2</v>
      </c>
      <c r="D1338">
        <f t="shared" si="167"/>
        <v>2.0524813442330148E-2</v>
      </c>
      <c r="E1338">
        <f>_xlfn.XLOOKUP(A1338,VIX!A:A,VIX!B:B,"",-1)</f>
        <v>17.2</v>
      </c>
      <c r="F1338">
        <f t="shared" si="161"/>
        <v>-0.49000000000000199</v>
      </c>
      <c r="G1338">
        <f>_xlfn.XLOOKUP(A1338,'DGS10'!A:A,'DGS10'!B:B,"",-1)</f>
        <v>1.3</v>
      </c>
      <c r="H1338">
        <f t="shared" si="162"/>
        <v>3.0000000000000027E-2</v>
      </c>
      <c r="I1338" s="2">
        <f>_xlfn.XLOOKUP(A1338,T10Y3M!A:A,T10Y3M!B:B,"",-1)</f>
        <v>1.25</v>
      </c>
      <c r="J1338" s="2">
        <f>_xlfn.XLOOKUP(A1338,BAMLC0A4CBBB!A:A,BAMLC0A4CBBB!B:B,"",-1)</f>
        <v>1.1299999999999999</v>
      </c>
      <c r="K1338" s="2">
        <f>_xlfn.XLOOKUP(A1338,CPIAUCSL!A:A,CPIAUCSL!B:B,"",-1)</f>
        <v>271.90300000000002</v>
      </c>
      <c r="L1338">
        <f>_xlfn.XLOOKUP(A1338,DFF!A:A,DFF!B:B,"",-1)</f>
        <v>0.1</v>
      </c>
      <c r="M1338">
        <f>_xlfn.XLOOKUP(A1338,'DGS2'!A:A,'DGS2'!B:B,"",-1)</f>
        <v>0.22</v>
      </c>
      <c r="N1338">
        <f t="shared" si="163"/>
        <v>1.999999999999999E-2</v>
      </c>
      <c r="O1338">
        <f t="shared" si="164"/>
        <v>2.382253008416102E-3</v>
      </c>
      <c r="P1338">
        <f t="shared" si="165"/>
        <v>1</v>
      </c>
      <c r="Q1338">
        <f t="shared" si="166"/>
        <v>0</v>
      </c>
    </row>
    <row r="1339" spans="1:17">
      <c r="A1339" s="1">
        <v>44403</v>
      </c>
      <c r="B1339">
        <v>4422.3</v>
      </c>
      <c r="C1339">
        <f t="shared" si="160"/>
        <v>2.382253008416102E-3</v>
      </c>
      <c r="D1339">
        <f t="shared" si="167"/>
        <v>1.4593834386019688E-2</v>
      </c>
      <c r="E1339">
        <f>_xlfn.XLOOKUP(A1339,VIX!A:A,VIX!B:B,"",-1)</f>
        <v>17.579999999999998</v>
      </c>
      <c r="F1339">
        <f t="shared" si="161"/>
        <v>0.37999999999999901</v>
      </c>
      <c r="G1339">
        <f>_xlfn.XLOOKUP(A1339,'DGS10'!A:A,'DGS10'!B:B,"",-1)</f>
        <v>1.29</v>
      </c>
      <c r="H1339">
        <f t="shared" si="162"/>
        <v>-1.0000000000000009E-2</v>
      </c>
      <c r="I1339" s="2">
        <f>_xlfn.XLOOKUP(A1339,T10Y3M!A:A,T10Y3M!B:B,"",-1)</f>
        <v>1.24</v>
      </c>
      <c r="J1339" s="2">
        <f>_xlfn.XLOOKUP(A1339,BAMLC0A4CBBB!A:A,BAMLC0A4CBBB!B:B,"",-1)</f>
        <v>1.1299999999999999</v>
      </c>
      <c r="K1339" s="2">
        <f>_xlfn.XLOOKUP(A1339,CPIAUCSL!A:A,CPIAUCSL!B:B,"",-1)</f>
        <v>271.90300000000002</v>
      </c>
      <c r="L1339">
        <f>_xlfn.XLOOKUP(A1339,DFF!A:A,DFF!B:B,"",-1)</f>
        <v>0.1</v>
      </c>
      <c r="M1339">
        <f>_xlfn.XLOOKUP(A1339,'DGS2'!A:A,'DGS2'!B:B,"",-1)</f>
        <v>0.22</v>
      </c>
      <c r="N1339">
        <f t="shared" si="163"/>
        <v>0</v>
      </c>
      <c r="O1339">
        <f t="shared" si="164"/>
        <v>-4.7124799312575627E-3</v>
      </c>
      <c r="P1339">
        <f t="shared" si="165"/>
        <v>0</v>
      </c>
      <c r="Q1339">
        <f t="shared" si="166"/>
        <v>-1</v>
      </c>
    </row>
    <row r="1340" spans="1:17">
      <c r="A1340" s="1">
        <v>44404</v>
      </c>
      <c r="B1340">
        <v>4401.46</v>
      </c>
      <c r="C1340">
        <f t="shared" si="160"/>
        <v>-4.7124799312575627E-3</v>
      </c>
      <c r="D1340">
        <f t="shared" si="167"/>
        <v>7.7802302471907669E-3</v>
      </c>
      <c r="E1340">
        <f>_xlfn.XLOOKUP(A1340,VIX!A:A,VIX!B:B,"",-1)</f>
        <v>19.36</v>
      </c>
      <c r="F1340">
        <f t="shared" si="161"/>
        <v>1.7800000000000011</v>
      </c>
      <c r="G1340">
        <f>_xlfn.XLOOKUP(A1340,'DGS10'!A:A,'DGS10'!B:B,"",-1)</f>
        <v>1.25</v>
      </c>
      <c r="H1340">
        <f t="shared" si="162"/>
        <v>-4.0000000000000036E-2</v>
      </c>
      <c r="I1340" s="2">
        <f>_xlfn.XLOOKUP(A1340,T10Y3M!A:A,T10Y3M!B:B,"",-1)</f>
        <v>1.2</v>
      </c>
      <c r="J1340" s="2">
        <f>_xlfn.XLOOKUP(A1340,BAMLC0A4CBBB!A:A,BAMLC0A4CBBB!B:B,"",-1)</f>
        <v>1.1299999999999999</v>
      </c>
      <c r="K1340" s="2">
        <f>_xlfn.XLOOKUP(A1340,CPIAUCSL!A:A,CPIAUCSL!B:B,"",-1)</f>
        <v>271.90300000000002</v>
      </c>
      <c r="L1340">
        <f>_xlfn.XLOOKUP(A1340,DFF!A:A,DFF!B:B,"",-1)</f>
        <v>0.1</v>
      </c>
      <c r="M1340">
        <f>_xlfn.XLOOKUP(A1340,'DGS2'!A:A,'DGS2'!B:B,"",-1)</f>
        <v>0.2</v>
      </c>
      <c r="N1340">
        <f t="shared" si="163"/>
        <v>-1.999999999999999E-2</v>
      </c>
      <c r="O1340">
        <f t="shared" si="164"/>
        <v>-1.8630181803303003E-4</v>
      </c>
      <c r="P1340">
        <f t="shared" si="165"/>
        <v>0</v>
      </c>
      <c r="Q1340">
        <f t="shared" si="166"/>
        <v>0</v>
      </c>
    </row>
    <row r="1341" spans="1:17">
      <c r="A1341" s="1">
        <v>44405</v>
      </c>
      <c r="B1341">
        <v>4400.6400000000003</v>
      </c>
      <c r="C1341">
        <f t="shared" si="160"/>
        <v>-1.8630181803303003E-4</v>
      </c>
      <c r="D1341">
        <f t="shared" si="167"/>
        <v>-2.527318843371873E-3</v>
      </c>
      <c r="E1341">
        <f>_xlfn.XLOOKUP(A1341,VIX!A:A,VIX!B:B,"",-1)</f>
        <v>18.309999999999999</v>
      </c>
      <c r="F1341">
        <f t="shared" si="161"/>
        <v>-1.0500000000000007</v>
      </c>
      <c r="G1341">
        <f>_xlfn.XLOOKUP(A1341,'DGS10'!A:A,'DGS10'!B:B,"",-1)</f>
        <v>1.26</v>
      </c>
      <c r="H1341">
        <f t="shared" si="162"/>
        <v>1.0000000000000009E-2</v>
      </c>
      <c r="I1341" s="2">
        <f>_xlfn.XLOOKUP(A1341,T10Y3M!A:A,T10Y3M!B:B,"",-1)</f>
        <v>1.21</v>
      </c>
      <c r="J1341" s="2">
        <f>_xlfn.XLOOKUP(A1341,BAMLC0A4CBBB!A:A,BAMLC0A4CBBB!B:B,"",-1)</f>
        <v>1.1200000000000001</v>
      </c>
      <c r="K1341" s="2">
        <f>_xlfn.XLOOKUP(A1341,CPIAUCSL!A:A,CPIAUCSL!B:B,"",-1)</f>
        <v>271.90300000000002</v>
      </c>
      <c r="L1341">
        <f>_xlfn.XLOOKUP(A1341,DFF!A:A,DFF!B:B,"",-1)</f>
        <v>0.1</v>
      </c>
      <c r="M1341">
        <f>_xlfn.XLOOKUP(A1341,'DGS2'!A:A,'DGS2'!B:B,"",-1)</f>
        <v>0.2</v>
      </c>
      <c r="N1341">
        <f t="shared" si="163"/>
        <v>0</v>
      </c>
      <c r="O1341">
        <f t="shared" si="164"/>
        <v>4.2062063699823682E-3</v>
      </c>
      <c r="P1341">
        <f t="shared" si="165"/>
        <v>1</v>
      </c>
      <c r="Q1341">
        <f t="shared" si="166"/>
        <v>1</v>
      </c>
    </row>
    <row r="1342" spans="1:17">
      <c r="A1342" s="1">
        <v>44406</v>
      </c>
      <c r="B1342">
        <v>4419.1499999999996</v>
      </c>
      <c r="C1342">
        <f t="shared" si="160"/>
        <v>4.2062063699823682E-3</v>
      </c>
      <c r="D1342">
        <f t="shared" si="167"/>
        <v>-7.1229902991665206E-4</v>
      </c>
      <c r="E1342">
        <f>_xlfn.XLOOKUP(A1342,VIX!A:A,VIX!B:B,"",-1)</f>
        <v>17.7</v>
      </c>
      <c r="F1342">
        <f t="shared" si="161"/>
        <v>-0.60999999999999943</v>
      </c>
      <c r="G1342">
        <f>_xlfn.XLOOKUP(A1342,'DGS10'!A:A,'DGS10'!B:B,"",-1)</f>
        <v>1.28</v>
      </c>
      <c r="H1342">
        <f t="shared" si="162"/>
        <v>2.0000000000000018E-2</v>
      </c>
      <c r="I1342" s="2">
        <f>_xlfn.XLOOKUP(A1342,T10Y3M!A:A,T10Y3M!B:B,"",-1)</f>
        <v>1.22</v>
      </c>
      <c r="J1342" s="2">
        <f>_xlfn.XLOOKUP(A1342,BAMLC0A4CBBB!A:A,BAMLC0A4CBBB!B:B,"",-1)</f>
        <v>1.1200000000000001</v>
      </c>
      <c r="K1342" s="2">
        <f>_xlfn.XLOOKUP(A1342,CPIAUCSL!A:A,CPIAUCSL!B:B,"",-1)</f>
        <v>271.90300000000002</v>
      </c>
      <c r="L1342">
        <f>_xlfn.XLOOKUP(A1342,DFF!A:A,DFF!B:B,"",-1)</f>
        <v>0.1</v>
      </c>
      <c r="M1342">
        <f>_xlfn.XLOOKUP(A1342,'DGS2'!A:A,'DGS2'!B:B,"",-1)</f>
        <v>0.2</v>
      </c>
      <c r="N1342">
        <f t="shared" si="163"/>
        <v>0</v>
      </c>
      <c r="O1342">
        <f t="shared" si="164"/>
        <v>-5.4060169942181657E-3</v>
      </c>
      <c r="P1342">
        <f t="shared" si="165"/>
        <v>0</v>
      </c>
      <c r="Q1342">
        <f t="shared" si="166"/>
        <v>-1</v>
      </c>
    </row>
    <row r="1343" spans="1:17">
      <c r="A1343" s="1">
        <v>44407</v>
      </c>
      <c r="B1343">
        <v>4395.26</v>
      </c>
      <c r="C1343">
        <f t="shared" si="160"/>
        <v>-5.4060169942181657E-3</v>
      </c>
      <c r="D1343">
        <f t="shared" si="167"/>
        <v>-1.4086235022015003E-3</v>
      </c>
      <c r="E1343">
        <f>_xlfn.XLOOKUP(A1343,VIX!A:A,VIX!B:B,"",-1)</f>
        <v>18.239999999999998</v>
      </c>
      <c r="F1343">
        <f t="shared" si="161"/>
        <v>0.53999999999999915</v>
      </c>
      <c r="G1343">
        <f>_xlfn.XLOOKUP(A1343,'DGS10'!A:A,'DGS10'!B:B,"",-1)</f>
        <v>1.24</v>
      </c>
      <c r="H1343">
        <f t="shared" si="162"/>
        <v>-4.0000000000000036E-2</v>
      </c>
      <c r="I1343" s="2">
        <f>_xlfn.XLOOKUP(A1343,T10Y3M!A:A,T10Y3M!B:B,"",-1)</f>
        <v>1.18</v>
      </c>
      <c r="J1343" s="2">
        <f>_xlfn.XLOOKUP(A1343,BAMLC0A4CBBB!A:A,BAMLC0A4CBBB!B:B,"",-1)</f>
        <v>1.1200000000000001</v>
      </c>
      <c r="K1343" s="2">
        <f>_xlfn.XLOOKUP(A1343,CPIAUCSL!A:A,CPIAUCSL!B:B,"",-1)</f>
        <v>271.90300000000002</v>
      </c>
      <c r="L1343">
        <f>_xlfn.XLOOKUP(A1343,DFF!A:A,DFF!B:B,"",-1)</f>
        <v>7.0000000000000007E-2</v>
      </c>
      <c r="M1343">
        <f>_xlfn.XLOOKUP(A1343,'DGS2'!A:A,'DGS2'!B:B,"",-1)</f>
        <v>0.19</v>
      </c>
      <c r="N1343">
        <f t="shared" si="163"/>
        <v>-1.0000000000000009E-2</v>
      </c>
      <c r="O1343">
        <f t="shared" si="164"/>
        <v>-1.8428943907755624E-3</v>
      </c>
      <c r="P1343">
        <f t="shared" si="165"/>
        <v>0</v>
      </c>
      <c r="Q1343">
        <f t="shared" si="166"/>
        <v>0</v>
      </c>
    </row>
    <row r="1344" spans="1:17">
      <c r="A1344" s="1">
        <v>44410</v>
      </c>
      <c r="B1344">
        <v>4387.16</v>
      </c>
      <c r="C1344">
        <f t="shared" si="160"/>
        <v>-1.8428943907755624E-3</v>
      </c>
      <c r="D1344">
        <f t="shared" si="167"/>
        <v>-3.0631908086097281E-3</v>
      </c>
      <c r="E1344">
        <f>_xlfn.XLOOKUP(A1344,VIX!A:A,VIX!B:B,"",-1)</f>
        <v>19.46</v>
      </c>
      <c r="F1344">
        <f t="shared" si="161"/>
        <v>1.2200000000000024</v>
      </c>
      <c r="G1344">
        <f>_xlfn.XLOOKUP(A1344,'DGS10'!A:A,'DGS10'!B:B,"",-1)</f>
        <v>1.2</v>
      </c>
      <c r="H1344">
        <f t="shared" si="162"/>
        <v>-4.0000000000000036E-2</v>
      </c>
      <c r="I1344" s="2">
        <f>_xlfn.XLOOKUP(A1344,T10Y3M!A:A,T10Y3M!B:B,"",-1)</f>
        <v>1.1499999999999999</v>
      </c>
      <c r="J1344" s="2">
        <f>_xlfn.XLOOKUP(A1344,BAMLC0A4CBBB!A:A,BAMLC0A4CBBB!B:B,"",-1)</f>
        <v>1.1399999999999999</v>
      </c>
      <c r="K1344" s="2">
        <f>_xlfn.XLOOKUP(A1344,CPIAUCSL!A:A,CPIAUCSL!B:B,"",-1)</f>
        <v>272.67599999999999</v>
      </c>
      <c r="L1344">
        <f>_xlfn.XLOOKUP(A1344,DFF!A:A,DFF!B:B,"",-1)</f>
        <v>0.1</v>
      </c>
      <c r="M1344">
        <f>_xlfn.XLOOKUP(A1344,'DGS2'!A:A,'DGS2'!B:B,"",-1)</f>
        <v>0.17</v>
      </c>
      <c r="N1344">
        <f t="shared" si="163"/>
        <v>-1.999999999999999E-2</v>
      </c>
      <c r="O1344">
        <f t="shared" si="164"/>
        <v>8.2034847144849543E-3</v>
      </c>
      <c r="P1344">
        <f t="shared" si="165"/>
        <v>1</v>
      </c>
      <c r="Q1344">
        <f t="shared" si="166"/>
        <v>1</v>
      </c>
    </row>
    <row r="1345" spans="1:17">
      <c r="A1345" s="1">
        <v>44411</v>
      </c>
      <c r="B1345">
        <v>4423.1499999999996</v>
      </c>
      <c r="C1345">
        <f t="shared" si="160"/>
        <v>8.2034847144849543E-3</v>
      </c>
      <c r="D1345">
        <f t="shared" si="167"/>
        <v>9.0515144315084228E-4</v>
      </c>
      <c r="E1345">
        <f>_xlfn.XLOOKUP(A1345,VIX!A:A,VIX!B:B,"",-1)</f>
        <v>18.04</v>
      </c>
      <c r="F1345">
        <f t="shared" si="161"/>
        <v>-1.4200000000000017</v>
      </c>
      <c r="G1345">
        <f>_xlfn.XLOOKUP(A1345,'DGS10'!A:A,'DGS10'!B:B,"",-1)</f>
        <v>1.19</v>
      </c>
      <c r="H1345">
        <f t="shared" si="162"/>
        <v>-1.0000000000000009E-2</v>
      </c>
      <c r="I1345" s="2">
        <f>_xlfn.XLOOKUP(A1345,T10Y3M!A:A,T10Y3M!B:B,"",-1)</f>
        <v>1.1399999999999999</v>
      </c>
      <c r="J1345" s="2">
        <f>_xlfn.XLOOKUP(A1345,BAMLC0A4CBBB!A:A,BAMLC0A4CBBB!B:B,"",-1)</f>
        <v>1.1499999999999999</v>
      </c>
      <c r="K1345" s="2">
        <f>_xlfn.XLOOKUP(A1345,CPIAUCSL!A:A,CPIAUCSL!B:B,"",-1)</f>
        <v>272.67599999999999</v>
      </c>
      <c r="L1345">
        <f>_xlfn.XLOOKUP(A1345,DFF!A:A,DFF!B:B,"",-1)</f>
        <v>0.1</v>
      </c>
      <c r="M1345">
        <f>_xlfn.XLOOKUP(A1345,'DGS2'!A:A,'DGS2'!B:B,"",-1)</f>
        <v>0.17</v>
      </c>
      <c r="N1345">
        <f t="shared" si="163"/>
        <v>0</v>
      </c>
      <c r="O1345">
        <f t="shared" si="164"/>
        <v>-4.6324452030791496E-3</v>
      </c>
      <c r="P1345">
        <f t="shared" si="165"/>
        <v>0</v>
      </c>
      <c r="Q1345">
        <f t="shared" si="166"/>
        <v>-1</v>
      </c>
    </row>
    <row r="1346" spans="1:17">
      <c r="A1346" s="1">
        <v>44412</v>
      </c>
      <c r="B1346">
        <v>4402.66</v>
      </c>
      <c r="C1346">
        <f t="shared" si="160"/>
        <v>-4.6324452030791496E-3</v>
      </c>
      <c r="D1346">
        <f t="shared" si="167"/>
        <v>1.6836319125601573E-3</v>
      </c>
      <c r="E1346">
        <f>_xlfn.XLOOKUP(A1346,VIX!A:A,VIX!B:B,"",-1)</f>
        <v>17.97</v>
      </c>
      <c r="F1346">
        <f t="shared" si="161"/>
        <v>-7.0000000000000284E-2</v>
      </c>
      <c r="G1346">
        <f>_xlfn.XLOOKUP(A1346,'DGS10'!A:A,'DGS10'!B:B,"",-1)</f>
        <v>1.19</v>
      </c>
      <c r="H1346">
        <f t="shared" si="162"/>
        <v>0</v>
      </c>
      <c r="I1346" s="2">
        <f>_xlfn.XLOOKUP(A1346,T10Y3M!A:A,T10Y3M!B:B,"",-1)</f>
        <v>1.1399999999999999</v>
      </c>
      <c r="J1346" s="2">
        <f>_xlfn.XLOOKUP(A1346,BAMLC0A4CBBB!A:A,BAMLC0A4CBBB!B:B,"",-1)</f>
        <v>1.1499999999999999</v>
      </c>
      <c r="K1346" s="2">
        <f>_xlfn.XLOOKUP(A1346,CPIAUCSL!A:A,CPIAUCSL!B:B,"",-1)</f>
        <v>272.67599999999999</v>
      </c>
      <c r="L1346">
        <f>_xlfn.XLOOKUP(A1346,DFF!A:A,DFF!B:B,"",-1)</f>
        <v>0.1</v>
      </c>
      <c r="M1346">
        <f>_xlfn.XLOOKUP(A1346,'DGS2'!A:A,'DGS2'!B:B,"",-1)</f>
        <v>0.17</v>
      </c>
      <c r="N1346">
        <f t="shared" si="163"/>
        <v>0</v>
      </c>
      <c r="O1346">
        <f t="shared" si="164"/>
        <v>6.0054603353427716E-3</v>
      </c>
      <c r="P1346">
        <f t="shared" si="165"/>
        <v>1</v>
      </c>
      <c r="Q1346">
        <f t="shared" si="166"/>
        <v>1</v>
      </c>
    </row>
    <row r="1347" spans="1:17">
      <c r="A1347" s="1">
        <v>44413</v>
      </c>
      <c r="B1347">
        <v>4429.1000000000004</v>
      </c>
      <c r="C1347">
        <f t="shared" si="160"/>
        <v>6.0054603353427716E-3</v>
      </c>
      <c r="D1347">
        <f t="shared" si="167"/>
        <v>9.5597151688109339E-3</v>
      </c>
      <c r="E1347">
        <f>_xlfn.XLOOKUP(A1347,VIX!A:A,VIX!B:B,"",-1)</f>
        <v>17.28</v>
      </c>
      <c r="F1347">
        <f t="shared" si="161"/>
        <v>-0.68999999999999773</v>
      </c>
      <c r="G1347">
        <f>_xlfn.XLOOKUP(A1347,'DGS10'!A:A,'DGS10'!B:B,"",-1)</f>
        <v>1.23</v>
      </c>
      <c r="H1347">
        <f t="shared" si="162"/>
        <v>4.0000000000000036E-2</v>
      </c>
      <c r="I1347" s="2">
        <f>_xlfn.XLOOKUP(A1347,T10Y3M!A:A,T10Y3M!B:B,"",-1)</f>
        <v>1.18</v>
      </c>
      <c r="J1347" s="2">
        <f>_xlfn.XLOOKUP(A1347,BAMLC0A4CBBB!A:A,BAMLC0A4CBBB!B:B,"",-1)</f>
        <v>1.1499999999999999</v>
      </c>
      <c r="K1347" s="2">
        <f>_xlfn.XLOOKUP(A1347,CPIAUCSL!A:A,CPIAUCSL!B:B,"",-1)</f>
        <v>272.67599999999999</v>
      </c>
      <c r="L1347">
        <f>_xlfn.XLOOKUP(A1347,DFF!A:A,DFF!B:B,"",-1)</f>
        <v>0.1</v>
      </c>
      <c r="M1347">
        <f>_xlfn.XLOOKUP(A1347,'DGS2'!A:A,'DGS2'!B:B,"",-1)</f>
        <v>0.21</v>
      </c>
      <c r="N1347">
        <f t="shared" si="163"/>
        <v>3.999999999999998E-2</v>
      </c>
      <c r="O1347">
        <f t="shared" si="164"/>
        <v>1.6752839177258672E-3</v>
      </c>
      <c r="P1347">
        <f t="shared" si="165"/>
        <v>1</v>
      </c>
      <c r="Q1347">
        <f t="shared" si="166"/>
        <v>0</v>
      </c>
    </row>
    <row r="1348" spans="1:17">
      <c r="A1348" s="1">
        <v>44414</v>
      </c>
      <c r="B1348">
        <v>4436.5200000000004</v>
      </c>
      <c r="C1348">
        <f t="shared" ref="C1348:C1411" si="168">IF(OR(B1348="",B1347=""),"",(B1348/B1347)-1)</f>
        <v>1.6752839177258672E-3</v>
      </c>
      <c r="D1348">
        <f t="shared" si="167"/>
        <v>3.0227326678953226E-3</v>
      </c>
      <c r="E1348">
        <f>_xlfn.XLOOKUP(A1348,VIX!A:A,VIX!B:B,"",-1)</f>
        <v>16.149999999999999</v>
      </c>
      <c r="F1348">
        <f t="shared" ref="F1348:F1411" si="169">IF(OR(E1348="",E1347=""),"",E1348-E1347)</f>
        <v>-1.1300000000000026</v>
      </c>
      <c r="G1348">
        <f>_xlfn.XLOOKUP(A1348,'DGS10'!A:A,'DGS10'!B:B,"",-1)</f>
        <v>1.31</v>
      </c>
      <c r="H1348">
        <f t="shared" ref="H1348:H1411" si="170">IF(OR(G1348="",G1347=""),"",G1348-G1347)</f>
        <v>8.0000000000000071E-2</v>
      </c>
      <c r="I1348" s="2">
        <f>_xlfn.XLOOKUP(A1348,T10Y3M!A:A,T10Y3M!B:B,"",-1)</f>
        <v>1.25</v>
      </c>
      <c r="J1348" s="2">
        <f>_xlfn.XLOOKUP(A1348,BAMLC0A4CBBB!A:A,BAMLC0A4CBBB!B:B,"",-1)</f>
        <v>1.1499999999999999</v>
      </c>
      <c r="K1348" s="2">
        <f>_xlfn.XLOOKUP(A1348,CPIAUCSL!A:A,CPIAUCSL!B:B,"",-1)</f>
        <v>272.67599999999999</v>
      </c>
      <c r="L1348">
        <f>_xlfn.XLOOKUP(A1348,DFF!A:A,DFF!B:B,"",-1)</f>
        <v>0.1</v>
      </c>
      <c r="M1348">
        <f>_xlfn.XLOOKUP(A1348,'DGS2'!A:A,'DGS2'!B:B,"",-1)</f>
        <v>0.21</v>
      </c>
      <c r="N1348">
        <f t="shared" ref="N1348:N1411" si="171">IF(OR(M1348="",M1347=""),"",M1348-M1347)</f>
        <v>0</v>
      </c>
      <c r="O1348">
        <f t="shared" ref="O1348:O1411" si="172">IF(OR(B1349="",B1348=""),"",(B1349/B1348)-1)</f>
        <v>-9.3992588785807296E-4</v>
      </c>
      <c r="P1348">
        <f t="shared" ref="P1348:P1411" si="173">IF(O1348="","",IF(O1348&gt;0,1,0))</f>
        <v>0</v>
      </c>
      <c r="Q1348">
        <f t="shared" ref="Q1348:Q1411" si="174">IF(O1348="","",IF(O1348&gt;0.003,1,IF(O1348&lt;-0.003,-1,0)))</f>
        <v>0</v>
      </c>
    </row>
    <row r="1349" spans="1:17">
      <c r="A1349" s="1">
        <v>44417</v>
      </c>
      <c r="B1349">
        <v>4432.3500000000004</v>
      </c>
      <c r="C1349">
        <f t="shared" si="168"/>
        <v>-9.3992588785807296E-4</v>
      </c>
      <c r="D1349">
        <f t="shared" si="167"/>
        <v>6.7436504295130817E-3</v>
      </c>
      <c r="E1349">
        <f>_xlfn.XLOOKUP(A1349,VIX!A:A,VIX!B:B,"",-1)</f>
        <v>16.72</v>
      </c>
      <c r="F1349">
        <f t="shared" si="169"/>
        <v>0.57000000000000028</v>
      </c>
      <c r="G1349">
        <f>_xlfn.XLOOKUP(A1349,'DGS10'!A:A,'DGS10'!B:B,"",-1)</f>
        <v>1.33</v>
      </c>
      <c r="H1349">
        <f t="shared" si="170"/>
        <v>2.0000000000000018E-2</v>
      </c>
      <c r="I1349" s="2">
        <f>_xlfn.XLOOKUP(A1349,T10Y3M!A:A,T10Y3M!B:B,"",-1)</f>
        <v>1.27</v>
      </c>
      <c r="J1349" s="2">
        <f>_xlfn.XLOOKUP(A1349,BAMLC0A4CBBB!A:A,BAMLC0A4CBBB!B:B,"",-1)</f>
        <v>1.1499999999999999</v>
      </c>
      <c r="K1349" s="2">
        <f>_xlfn.XLOOKUP(A1349,CPIAUCSL!A:A,CPIAUCSL!B:B,"",-1)</f>
        <v>272.67599999999999</v>
      </c>
      <c r="L1349">
        <f>_xlfn.XLOOKUP(A1349,DFF!A:A,DFF!B:B,"",-1)</f>
        <v>0.1</v>
      </c>
      <c r="M1349">
        <f>_xlfn.XLOOKUP(A1349,'DGS2'!A:A,'DGS2'!B:B,"",-1)</f>
        <v>0.23</v>
      </c>
      <c r="N1349">
        <f t="shared" si="171"/>
        <v>2.0000000000000018E-2</v>
      </c>
      <c r="O1349">
        <f t="shared" si="172"/>
        <v>9.9270138865370505E-4</v>
      </c>
      <c r="P1349">
        <f t="shared" si="173"/>
        <v>1</v>
      </c>
      <c r="Q1349">
        <f t="shared" si="174"/>
        <v>0</v>
      </c>
    </row>
    <row r="1350" spans="1:17">
      <c r="A1350" s="1">
        <v>44418</v>
      </c>
      <c r="B1350">
        <v>4436.75</v>
      </c>
      <c r="C1350">
        <f t="shared" si="168"/>
        <v>9.9270138865370505E-4</v>
      </c>
      <c r="D1350">
        <f t="shared" ref="D1350:D1413" si="175">IF(OR(B1350="",B1347=""),"",(B1350/B1347)-1)</f>
        <v>1.727213203585265E-3</v>
      </c>
      <c r="E1350">
        <f>_xlfn.XLOOKUP(A1350,VIX!A:A,VIX!B:B,"",-1)</f>
        <v>16.79</v>
      </c>
      <c r="F1350">
        <f t="shared" si="169"/>
        <v>7.0000000000000284E-2</v>
      </c>
      <c r="G1350">
        <f>_xlfn.XLOOKUP(A1350,'DGS10'!A:A,'DGS10'!B:B,"",-1)</f>
        <v>1.36</v>
      </c>
      <c r="H1350">
        <f t="shared" si="170"/>
        <v>3.0000000000000027E-2</v>
      </c>
      <c r="I1350" s="2">
        <f>_xlfn.XLOOKUP(A1350,T10Y3M!A:A,T10Y3M!B:B,"",-1)</f>
        <v>1.31</v>
      </c>
      <c r="J1350" s="2">
        <f>_xlfn.XLOOKUP(A1350,BAMLC0A4CBBB!A:A,BAMLC0A4CBBB!B:B,"",-1)</f>
        <v>1.1499999999999999</v>
      </c>
      <c r="K1350" s="2">
        <f>_xlfn.XLOOKUP(A1350,CPIAUCSL!A:A,CPIAUCSL!B:B,"",-1)</f>
        <v>272.67599999999999</v>
      </c>
      <c r="L1350">
        <f>_xlfn.XLOOKUP(A1350,DFF!A:A,DFF!B:B,"",-1)</f>
        <v>0.1</v>
      </c>
      <c r="M1350">
        <f>_xlfn.XLOOKUP(A1350,'DGS2'!A:A,'DGS2'!B:B,"",-1)</f>
        <v>0.24</v>
      </c>
      <c r="N1350">
        <f t="shared" si="171"/>
        <v>9.9999999999999811E-3</v>
      </c>
      <c r="O1350">
        <f t="shared" si="172"/>
        <v>2.4680227644109376E-3</v>
      </c>
      <c r="P1350">
        <f t="shared" si="173"/>
        <v>1</v>
      </c>
      <c r="Q1350">
        <f t="shared" si="174"/>
        <v>0</v>
      </c>
    </row>
    <row r="1351" spans="1:17">
      <c r="A1351" s="1">
        <v>44419</v>
      </c>
      <c r="B1351">
        <v>4447.7</v>
      </c>
      <c r="C1351">
        <f t="shared" si="168"/>
        <v>2.4680227644109376E-3</v>
      </c>
      <c r="D1351">
        <f t="shared" si="175"/>
        <v>2.5199931477823956E-3</v>
      </c>
      <c r="E1351">
        <f>_xlfn.XLOOKUP(A1351,VIX!A:A,VIX!B:B,"",-1)</f>
        <v>16.059999999999999</v>
      </c>
      <c r="F1351">
        <f t="shared" si="169"/>
        <v>-0.73000000000000043</v>
      </c>
      <c r="G1351">
        <f>_xlfn.XLOOKUP(A1351,'DGS10'!A:A,'DGS10'!B:B,"",-1)</f>
        <v>1.35</v>
      </c>
      <c r="H1351">
        <f t="shared" si="170"/>
        <v>-1.0000000000000009E-2</v>
      </c>
      <c r="I1351" s="2">
        <f>_xlfn.XLOOKUP(A1351,T10Y3M!A:A,T10Y3M!B:B,"",-1)</f>
        <v>1.3</v>
      </c>
      <c r="J1351" s="2">
        <f>_xlfn.XLOOKUP(A1351,BAMLC0A4CBBB!A:A,BAMLC0A4CBBB!B:B,"",-1)</f>
        <v>1.1499999999999999</v>
      </c>
      <c r="K1351" s="2">
        <f>_xlfn.XLOOKUP(A1351,CPIAUCSL!A:A,CPIAUCSL!B:B,"",-1)</f>
        <v>272.67599999999999</v>
      </c>
      <c r="L1351">
        <f>_xlfn.XLOOKUP(A1351,DFF!A:A,DFF!B:B,"",-1)</f>
        <v>0.1</v>
      </c>
      <c r="M1351">
        <f>_xlfn.XLOOKUP(A1351,'DGS2'!A:A,'DGS2'!B:B,"",-1)</f>
        <v>0.23</v>
      </c>
      <c r="N1351">
        <f t="shared" si="171"/>
        <v>-9.9999999999999811E-3</v>
      </c>
      <c r="O1351">
        <f t="shared" si="172"/>
        <v>2.9520875958359838E-3</v>
      </c>
      <c r="P1351">
        <f t="shared" si="173"/>
        <v>1</v>
      </c>
      <c r="Q1351">
        <f t="shared" si="174"/>
        <v>0</v>
      </c>
    </row>
    <row r="1352" spans="1:17">
      <c r="A1352" s="1">
        <v>44420</v>
      </c>
      <c r="B1352">
        <v>4460.83</v>
      </c>
      <c r="C1352">
        <f t="shared" si="168"/>
        <v>2.9520875958359838E-3</v>
      </c>
      <c r="D1352">
        <f t="shared" si="175"/>
        <v>6.4254853520140376E-3</v>
      </c>
      <c r="E1352">
        <f>_xlfn.XLOOKUP(A1352,VIX!A:A,VIX!B:B,"",-1)</f>
        <v>15.59</v>
      </c>
      <c r="F1352">
        <f t="shared" si="169"/>
        <v>-0.46999999999999886</v>
      </c>
      <c r="G1352">
        <f>_xlfn.XLOOKUP(A1352,'DGS10'!A:A,'DGS10'!B:B,"",-1)</f>
        <v>1.36</v>
      </c>
      <c r="H1352">
        <f t="shared" si="170"/>
        <v>1.0000000000000009E-2</v>
      </c>
      <c r="I1352" s="2">
        <f>_xlfn.XLOOKUP(A1352,T10Y3M!A:A,T10Y3M!B:B,"",-1)</f>
        <v>1.3</v>
      </c>
      <c r="J1352" s="2">
        <f>_xlfn.XLOOKUP(A1352,BAMLC0A4CBBB!A:A,BAMLC0A4CBBB!B:B,"",-1)</f>
        <v>1.1499999999999999</v>
      </c>
      <c r="K1352" s="2">
        <f>_xlfn.XLOOKUP(A1352,CPIAUCSL!A:A,CPIAUCSL!B:B,"",-1)</f>
        <v>272.67599999999999</v>
      </c>
      <c r="L1352">
        <f>_xlfn.XLOOKUP(A1352,DFF!A:A,DFF!B:B,"",-1)</f>
        <v>0.1</v>
      </c>
      <c r="M1352">
        <f>_xlfn.XLOOKUP(A1352,'DGS2'!A:A,'DGS2'!B:B,"",-1)</f>
        <v>0.23</v>
      </c>
      <c r="N1352">
        <f t="shared" si="171"/>
        <v>0</v>
      </c>
      <c r="O1352">
        <f t="shared" si="172"/>
        <v>1.6073241975147479E-3</v>
      </c>
      <c r="P1352">
        <f t="shared" si="173"/>
        <v>1</v>
      </c>
      <c r="Q1352">
        <f t="shared" si="174"/>
        <v>0</v>
      </c>
    </row>
    <row r="1353" spans="1:17">
      <c r="A1353" s="1">
        <v>44421</v>
      </c>
      <c r="B1353">
        <v>4468</v>
      </c>
      <c r="C1353">
        <f t="shared" si="168"/>
        <v>1.6073241975147479E-3</v>
      </c>
      <c r="D1353">
        <f t="shared" si="175"/>
        <v>7.0434439623598966E-3</v>
      </c>
      <c r="E1353">
        <f>_xlfn.XLOOKUP(A1353,VIX!A:A,VIX!B:B,"",-1)</f>
        <v>15.45</v>
      </c>
      <c r="F1353">
        <f t="shared" si="169"/>
        <v>-0.14000000000000057</v>
      </c>
      <c r="G1353">
        <f>_xlfn.XLOOKUP(A1353,'DGS10'!A:A,'DGS10'!B:B,"",-1)</f>
        <v>1.29</v>
      </c>
      <c r="H1353">
        <f t="shared" si="170"/>
        <v>-7.0000000000000062E-2</v>
      </c>
      <c r="I1353" s="2">
        <f>_xlfn.XLOOKUP(A1353,T10Y3M!A:A,T10Y3M!B:B,"",-1)</f>
        <v>1.23</v>
      </c>
      <c r="J1353" s="2">
        <f>_xlfn.XLOOKUP(A1353,BAMLC0A4CBBB!A:A,BAMLC0A4CBBB!B:B,"",-1)</f>
        <v>1.1399999999999999</v>
      </c>
      <c r="K1353" s="2">
        <f>_xlfn.XLOOKUP(A1353,CPIAUCSL!A:A,CPIAUCSL!B:B,"",-1)</f>
        <v>272.67599999999999</v>
      </c>
      <c r="L1353">
        <f>_xlfn.XLOOKUP(A1353,DFF!A:A,DFF!B:B,"",-1)</f>
        <v>0.1</v>
      </c>
      <c r="M1353">
        <f>_xlfn.XLOOKUP(A1353,'DGS2'!A:A,'DGS2'!B:B,"",-1)</f>
        <v>0.23</v>
      </c>
      <c r="N1353">
        <f t="shared" si="171"/>
        <v>0</v>
      </c>
      <c r="O1353">
        <f t="shared" si="172"/>
        <v>2.6208594449417255E-3</v>
      </c>
      <c r="P1353">
        <f t="shared" si="173"/>
        <v>1</v>
      </c>
      <c r="Q1353">
        <f t="shared" si="174"/>
        <v>0</v>
      </c>
    </row>
    <row r="1354" spans="1:17">
      <c r="A1354" s="1">
        <v>44424</v>
      </c>
      <c r="B1354">
        <v>4479.71</v>
      </c>
      <c r="C1354">
        <f t="shared" si="168"/>
        <v>2.6208594449417255E-3</v>
      </c>
      <c r="D1354">
        <f t="shared" si="175"/>
        <v>7.1969782134586602E-3</v>
      </c>
      <c r="E1354">
        <f>_xlfn.XLOOKUP(A1354,VIX!A:A,VIX!B:B,"",-1)</f>
        <v>16.12</v>
      </c>
      <c r="F1354">
        <f t="shared" si="169"/>
        <v>0.67000000000000171</v>
      </c>
      <c r="G1354">
        <f>_xlfn.XLOOKUP(A1354,'DGS10'!A:A,'DGS10'!B:B,"",-1)</f>
        <v>1.26</v>
      </c>
      <c r="H1354">
        <f t="shared" si="170"/>
        <v>-3.0000000000000027E-2</v>
      </c>
      <c r="I1354" s="2">
        <f>_xlfn.XLOOKUP(A1354,T10Y3M!A:A,T10Y3M!B:B,"",-1)</f>
        <v>1.2</v>
      </c>
      <c r="J1354" s="2">
        <f>_xlfn.XLOOKUP(A1354,BAMLC0A4CBBB!A:A,BAMLC0A4CBBB!B:B,"",-1)</f>
        <v>1.1499999999999999</v>
      </c>
      <c r="K1354" s="2">
        <f>_xlfn.XLOOKUP(A1354,CPIAUCSL!A:A,CPIAUCSL!B:B,"",-1)</f>
        <v>272.67599999999999</v>
      </c>
      <c r="L1354">
        <f>_xlfn.XLOOKUP(A1354,DFF!A:A,DFF!B:B,"",-1)</f>
        <v>0.1</v>
      </c>
      <c r="M1354">
        <f>_xlfn.XLOOKUP(A1354,'DGS2'!A:A,'DGS2'!B:B,"",-1)</f>
        <v>0.21</v>
      </c>
      <c r="N1354">
        <f t="shared" si="171"/>
        <v>-2.0000000000000018E-2</v>
      </c>
      <c r="O1354">
        <f t="shared" si="172"/>
        <v>-7.0607249129965854E-3</v>
      </c>
      <c r="P1354">
        <f t="shared" si="173"/>
        <v>0</v>
      </c>
      <c r="Q1354">
        <f t="shared" si="174"/>
        <v>-1</v>
      </c>
    </row>
    <row r="1355" spans="1:17">
      <c r="A1355" s="1">
        <v>44425</v>
      </c>
      <c r="B1355">
        <v>4448.08</v>
      </c>
      <c r="C1355">
        <f t="shared" si="168"/>
        <v>-7.0607249129965854E-3</v>
      </c>
      <c r="D1355">
        <f t="shared" si="175"/>
        <v>-2.8582124851205259E-3</v>
      </c>
      <c r="E1355">
        <f>_xlfn.XLOOKUP(A1355,VIX!A:A,VIX!B:B,"",-1)</f>
        <v>17.91</v>
      </c>
      <c r="F1355">
        <f t="shared" si="169"/>
        <v>1.7899999999999991</v>
      </c>
      <c r="G1355">
        <f>_xlfn.XLOOKUP(A1355,'DGS10'!A:A,'DGS10'!B:B,"",-1)</f>
        <v>1.26</v>
      </c>
      <c r="H1355">
        <f t="shared" si="170"/>
        <v>0</v>
      </c>
      <c r="I1355" s="2">
        <f>_xlfn.XLOOKUP(A1355,T10Y3M!A:A,T10Y3M!B:B,"",-1)</f>
        <v>1.19</v>
      </c>
      <c r="J1355" s="2">
        <f>_xlfn.XLOOKUP(A1355,BAMLC0A4CBBB!A:A,BAMLC0A4CBBB!B:B,"",-1)</f>
        <v>1.1499999999999999</v>
      </c>
      <c r="K1355" s="2">
        <f>_xlfn.XLOOKUP(A1355,CPIAUCSL!A:A,CPIAUCSL!B:B,"",-1)</f>
        <v>272.67599999999999</v>
      </c>
      <c r="L1355">
        <f>_xlfn.XLOOKUP(A1355,DFF!A:A,DFF!B:B,"",-1)</f>
        <v>0.1</v>
      </c>
      <c r="M1355">
        <f>_xlfn.XLOOKUP(A1355,'DGS2'!A:A,'DGS2'!B:B,"",-1)</f>
        <v>0.23</v>
      </c>
      <c r="N1355">
        <f t="shared" si="171"/>
        <v>2.0000000000000018E-2</v>
      </c>
      <c r="O1355">
        <f t="shared" si="172"/>
        <v>-1.0748457761550978E-2</v>
      </c>
      <c r="P1355">
        <f t="shared" si="173"/>
        <v>0</v>
      </c>
      <c r="Q1355">
        <f t="shared" si="174"/>
        <v>-1</v>
      </c>
    </row>
    <row r="1356" spans="1:17">
      <c r="A1356" s="1">
        <v>44426</v>
      </c>
      <c r="B1356">
        <v>4400.2700000000004</v>
      </c>
      <c r="C1356">
        <f t="shared" si="168"/>
        <v>-1.0748457761550978E-2</v>
      </c>
      <c r="D1356">
        <f t="shared" si="175"/>
        <v>-1.5158907788719644E-2</v>
      </c>
      <c r="E1356">
        <f>_xlfn.XLOOKUP(A1356,VIX!A:A,VIX!B:B,"",-1)</f>
        <v>21.57</v>
      </c>
      <c r="F1356">
        <f t="shared" si="169"/>
        <v>3.66</v>
      </c>
      <c r="G1356">
        <f>_xlfn.XLOOKUP(A1356,'DGS10'!A:A,'DGS10'!B:B,"",-1)</f>
        <v>1.27</v>
      </c>
      <c r="H1356">
        <f t="shared" si="170"/>
        <v>1.0000000000000009E-2</v>
      </c>
      <c r="I1356" s="2">
        <f>_xlfn.XLOOKUP(A1356,T10Y3M!A:A,T10Y3M!B:B,"",-1)</f>
        <v>1.2</v>
      </c>
      <c r="J1356" s="2">
        <f>_xlfn.XLOOKUP(A1356,BAMLC0A4CBBB!A:A,BAMLC0A4CBBB!B:B,"",-1)</f>
        <v>1.1599999999999999</v>
      </c>
      <c r="K1356" s="2">
        <f>_xlfn.XLOOKUP(A1356,CPIAUCSL!A:A,CPIAUCSL!B:B,"",-1)</f>
        <v>272.67599999999999</v>
      </c>
      <c r="L1356">
        <f>_xlfn.XLOOKUP(A1356,DFF!A:A,DFF!B:B,"",-1)</f>
        <v>0.09</v>
      </c>
      <c r="M1356">
        <f>_xlfn.XLOOKUP(A1356,'DGS2'!A:A,'DGS2'!B:B,"",-1)</f>
        <v>0.23</v>
      </c>
      <c r="N1356">
        <f t="shared" si="171"/>
        <v>0</v>
      </c>
      <c r="O1356">
        <f t="shared" si="172"/>
        <v>1.2567410636163956E-3</v>
      </c>
      <c r="P1356">
        <f t="shared" si="173"/>
        <v>1</v>
      </c>
      <c r="Q1356">
        <f t="shared" si="174"/>
        <v>0</v>
      </c>
    </row>
    <row r="1357" spans="1:17">
      <c r="A1357" s="1">
        <v>44427</v>
      </c>
      <c r="B1357">
        <v>4405.8</v>
      </c>
      <c r="C1357">
        <f t="shared" si="168"/>
        <v>1.2567410636163956E-3</v>
      </c>
      <c r="D1357">
        <f t="shared" si="175"/>
        <v>-1.6498835862142847E-2</v>
      </c>
      <c r="E1357">
        <f>_xlfn.XLOOKUP(A1357,VIX!A:A,VIX!B:B,"",-1)</f>
        <v>21.67</v>
      </c>
      <c r="F1357">
        <f t="shared" si="169"/>
        <v>0.10000000000000142</v>
      </c>
      <c r="G1357">
        <f>_xlfn.XLOOKUP(A1357,'DGS10'!A:A,'DGS10'!B:B,"",-1)</f>
        <v>1.24</v>
      </c>
      <c r="H1357">
        <f t="shared" si="170"/>
        <v>-3.0000000000000027E-2</v>
      </c>
      <c r="I1357" s="2">
        <f>_xlfn.XLOOKUP(A1357,T10Y3M!A:A,T10Y3M!B:B,"",-1)</f>
        <v>1.18</v>
      </c>
      <c r="J1357" s="2">
        <f>_xlfn.XLOOKUP(A1357,BAMLC0A4CBBB!A:A,BAMLC0A4CBBB!B:B,"",-1)</f>
        <v>1.17</v>
      </c>
      <c r="K1357" s="2">
        <f>_xlfn.XLOOKUP(A1357,CPIAUCSL!A:A,CPIAUCSL!B:B,"",-1)</f>
        <v>272.67599999999999</v>
      </c>
      <c r="L1357">
        <f>_xlfn.XLOOKUP(A1357,DFF!A:A,DFF!B:B,"",-1)</f>
        <v>0.09</v>
      </c>
      <c r="M1357">
        <f>_xlfn.XLOOKUP(A1357,'DGS2'!A:A,'DGS2'!B:B,"",-1)</f>
        <v>0.22</v>
      </c>
      <c r="N1357">
        <f t="shared" si="171"/>
        <v>-1.0000000000000009E-2</v>
      </c>
      <c r="O1357">
        <f t="shared" si="172"/>
        <v>8.1415406963547543E-3</v>
      </c>
      <c r="P1357">
        <f t="shared" si="173"/>
        <v>1</v>
      </c>
      <c r="Q1357">
        <f t="shared" si="174"/>
        <v>1</v>
      </c>
    </row>
    <row r="1358" spans="1:17">
      <c r="A1358" s="1">
        <v>44428</v>
      </c>
      <c r="B1358">
        <v>4441.67</v>
      </c>
      <c r="C1358">
        <f t="shared" si="168"/>
        <v>8.1415406963547543E-3</v>
      </c>
      <c r="D1358">
        <f t="shared" si="175"/>
        <v>-1.4410712037552509E-3</v>
      </c>
      <c r="E1358">
        <f>_xlfn.XLOOKUP(A1358,VIX!A:A,VIX!B:B,"",-1)</f>
        <v>18.559999999999999</v>
      </c>
      <c r="F1358">
        <f t="shared" si="169"/>
        <v>-3.110000000000003</v>
      </c>
      <c r="G1358">
        <f>_xlfn.XLOOKUP(A1358,'DGS10'!A:A,'DGS10'!B:B,"",-1)</f>
        <v>1.26</v>
      </c>
      <c r="H1358">
        <f t="shared" si="170"/>
        <v>2.0000000000000018E-2</v>
      </c>
      <c r="I1358" s="2">
        <f>_xlfn.XLOOKUP(A1358,T10Y3M!A:A,T10Y3M!B:B,"",-1)</f>
        <v>1.21</v>
      </c>
      <c r="J1358" s="2">
        <f>_xlfn.XLOOKUP(A1358,BAMLC0A4CBBB!A:A,BAMLC0A4CBBB!B:B,"",-1)</f>
        <v>1.17</v>
      </c>
      <c r="K1358" s="2">
        <f>_xlfn.XLOOKUP(A1358,CPIAUCSL!A:A,CPIAUCSL!B:B,"",-1)</f>
        <v>272.67599999999999</v>
      </c>
      <c r="L1358">
        <f>_xlfn.XLOOKUP(A1358,DFF!A:A,DFF!B:B,"",-1)</f>
        <v>0.09</v>
      </c>
      <c r="M1358">
        <f>_xlfn.XLOOKUP(A1358,'DGS2'!A:A,'DGS2'!B:B,"",-1)</f>
        <v>0.23</v>
      </c>
      <c r="N1358">
        <f t="shared" si="171"/>
        <v>1.0000000000000009E-2</v>
      </c>
      <c r="O1358">
        <f t="shared" si="172"/>
        <v>8.5238209952562816E-3</v>
      </c>
      <c r="P1358">
        <f t="shared" si="173"/>
        <v>1</v>
      </c>
      <c r="Q1358">
        <f t="shared" si="174"/>
        <v>1</v>
      </c>
    </row>
    <row r="1359" spans="1:17">
      <c r="A1359" s="1">
        <v>44431</v>
      </c>
      <c r="B1359">
        <v>4479.53</v>
      </c>
      <c r="C1359">
        <f t="shared" si="168"/>
        <v>8.5238209952562816E-3</v>
      </c>
      <c r="D1359">
        <f t="shared" si="175"/>
        <v>1.8012531049230951E-2</v>
      </c>
      <c r="E1359">
        <f>_xlfn.XLOOKUP(A1359,VIX!A:A,VIX!B:B,"",-1)</f>
        <v>17.149999999999999</v>
      </c>
      <c r="F1359">
        <f t="shared" si="169"/>
        <v>-1.4100000000000001</v>
      </c>
      <c r="G1359">
        <f>_xlfn.XLOOKUP(A1359,'DGS10'!A:A,'DGS10'!B:B,"",-1)</f>
        <v>1.25</v>
      </c>
      <c r="H1359">
        <f t="shared" si="170"/>
        <v>-1.0000000000000009E-2</v>
      </c>
      <c r="I1359" s="2">
        <f>_xlfn.XLOOKUP(A1359,T10Y3M!A:A,T10Y3M!B:B,"",-1)</f>
        <v>1.2</v>
      </c>
      <c r="J1359" s="2">
        <f>_xlfn.XLOOKUP(A1359,BAMLC0A4CBBB!A:A,BAMLC0A4CBBB!B:B,"",-1)</f>
        <v>1.17</v>
      </c>
      <c r="K1359" s="2">
        <f>_xlfn.XLOOKUP(A1359,CPIAUCSL!A:A,CPIAUCSL!B:B,"",-1)</f>
        <v>272.67599999999999</v>
      </c>
      <c r="L1359">
        <f>_xlfn.XLOOKUP(A1359,DFF!A:A,DFF!B:B,"",-1)</f>
        <v>0.09</v>
      </c>
      <c r="M1359">
        <f>_xlfn.XLOOKUP(A1359,'DGS2'!A:A,'DGS2'!B:B,"",-1)</f>
        <v>0.23</v>
      </c>
      <c r="N1359">
        <f t="shared" si="171"/>
        <v>0</v>
      </c>
      <c r="O1359">
        <f t="shared" si="172"/>
        <v>1.4956926284677152E-3</v>
      </c>
      <c r="P1359">
        <f t="shared" si="173"/>
        <v>1</v>
      </c>
      <c r="Q1359">
        <f t="shared" si="174"/>
        <v>0</v>
      </c>
    </row>
    <row r="1360" spans="1:17">
      <c r="A1360" s="1">
        <v>44432</v>
      </c>
      <c r="B1360">
        <v>4486.2299999999996</v>
      </c>
      <c r="C1360">
        <f t="shared" si="168"/>
        <v>1.4956926284677152E-3</v>
      </c>
      <c r="D1360">
        <f t="shared" si="175"/>
        <v>1.8255481410867302E-2</v>
      </c>
      <c r="E1360">
        <f>_xlfn.XLOOKUP(A1360,VIX!A:A,VIX!B:B,"",-1)</f>
        <v>17.22</v>
      </c>
      <c r="F1360">
        <f t="shared" si="169"/>
        <v>7.0000000000000284E-2</v>
      </c>
      <c r="G1360">
        <f>_xlfn.XLOOKUP(A1360,'DGS10'!A:A,'DGS10'!B:B,"",-1)</f>
        <v>1.29</v>
      </c>
      <c r="H1360">
        <f t="shared" si="170"/>
        <v>4.0000000000000036E-2</v>
      </c>
      <c r="I1360" s="2">
        <f>_xlfn.XLOOKUP(A1360,T10Y3M!A:A,T10Y3M!B:B,"",-1)</f>
        <v>1.24</v>
      </c>
      <c r="J1360" s="2">
        <f>_xlfn.XLOOKUP(A1360,BAMLC0A4CBBB!A:A,BAMLC0A4CBBB!B:B,"",-1)</f>
        <v>1.1599999999999999</v>
      </c>
      <c r="K1360" s="2">
        <f>_xlfn.XLOOKUP(A1360,CPIAUCSL!A:A,CPIAUCSL!B:B,"",-1)</f>
        <v>272.67599999999999</v>
      </c>
      <c r="L1360">
        <f>_xlfn.XLOOKUP(A1360,DFF!A:A,DFF!B:B,"",-1)</f>
        <v>0.09</v>
      </c>
      <c r="M1360">
        <f>_xlfn.XLOOKUP(A1360,'DGS2'!A:A,'DGS2'!B:B,"",-1)</f>
        <v>0.24</v>
      </c>
      <c r="N1360">
        <f t="shared" si="171"/>
        <v>9.9999999999999811E-3</v>
      </c>
      <c r="O1360">
        <f t="shared" si="172"/>
        <v>2.2201269217136943E-3</v>
      </c>
      <c r="P1360">
        <f t="shared" si="173"/>
        <v>1</v>
      </c>
      <c r="Q1360">
        <f t="shared" si="174"/>
        <v>0</v>
      </c>
    </row>
    <row r="1361" spans="1:17">
      <c r="A1361" s="1">
        <v>44433</v>
      </c>
      <c r="B1361">
        <v>4496.1899999999996</v>
      </c>
      <c r="C1361">
        <f t="shared" si="168"/>
        <v>2.2201269217136943E-3</v>
      </c>
      <c r="D1361">
        <f t="shared" si="175"/>
        <v>1.2274662458039431E-2</v>
      </c>
      <c r="E1361">
        <f>_xlfn.XLOOKUP(A1361,VIX!A:A,VIX!B:B,"",-1)</f>
        <v>16.79</v>
      </c>
      <c r="F1361">
        <f t="shared" si="169"/>
        <v>-0.42999999999999972</v>
      </c>
      <c r="G1361">
        <f>_xlfn.XLOOKUP(A1361,'DGS10'!A:A,'DGS10'!B:B,"",-1)</f>
        <v>1.35</v>
      </c>
      <c r="H1361">
        <f t="shared" si="170"/>
        <v>6.0000000000000053E-2</v>
      </c>
      <c r="I1361" s="2">
        <f>_xlfn.XLOOKUP(A1361,T10Y3M!A:A,T10Y3M!B:B,"",-1)</f>
        <v>1.29</v>
      </c>
      <c r="J1361" s="2">
        <f>_xlfn.XLOOKUP(A1361,BAMLC0A4CBBB!A:A,BAMLC0A4CBBB!B:B,"",-1)</f>
        <v>1.1499999999999999</v>
      </c>
      <c r="K1361" s="2">
        <f>_xlfn.XLOOKUP(A1361,CPIAUCSL!A:A,CPIAUCSL!B:B,"",-1)</f>
        <v>272.67599999999999</v>
      </c>
      <c r="L1361">
        <f>_xlfn.XLOOKUP(A1361,DFF!A:A,DFF!B:B,"",-1)</f>
        <v>0.09</v>
      </c>
      <c r="M1361">
        <f>_xlfn.XLOOKUP(A1361,'DGS2'!A:A,'DGS2'!B:B,"",-1)</f>
        <v>0.23</v>
      </c>
      <c r="N1361">
        <f t="shared" si="171"/>
        <v>-9.9999999999999811E-3</v>
      </c>
      <c r="O1361">
        <f t="shared" si="172"/>
        <v>-5.8249317755698637E-3</v>
      </c>
      <c r="P1361">
        <f t="shared" si="173"/>
        <v>0</v>
      </c>
      <c r="Q1361">
        <f t="shared" si="174"/>
        <v>-1</v>
      </c>
    </row>
    <row r="1362" spans="1:17">
      <c r="A1362" s="1">
        <v>44434</v>
      </c>
      <c r="B1362">
        <v>4470</v>
      </c>
      <c r="C1362">
        <f t="shared" si="168"/>
        <v>-5.8249317755698637E-3</v>
      </c>
      <c r="D1362">
        <f t="shared" si="175"/>
        <v>-2.1274553357160109E-3</v>
      </c>
      <c r="E1362">
        <f>_xlfn.XLOOKUP(A1362,VIX!A:A,VIX!B:B,"",-1)</f>
        <v>18.84</v>
      </c>
      <c r="F1362">
        <f t="shared" si="169"/>
        <v>2.0500000000000007</v>
      </c>
      <c r="G1362">
        <f>_xlfn.XLOOKUP(A1362,'DGS10'!A:A,'DGS10'!B:B,"",-1)</f>
        <v>1.34</v>
      </c>
      <c r="H1362">
        <f t="shared" si="170"/>
        <v>-1.0000000000000009E-2</v>
      </c>
      <c r="I1362" s="2">
        <f>_xlfn.XLOOKUP(A1362,T10Y3M!A:A,T10Y3M!B:B,"",-1)</f>
        <v>1.29</v>
      </c>
      <c r="J1362" s="2">
        <f>_xlfn.XLOOKUP(A1362,BAMLC0A4CBBB!A:A,BAMLC0A4CBBB!B:B,"",-1)</f>
        <v>1.1399999999999999</v>
      </c>
      <c r="K1362" s="2">
        <f>_xlfn.XLOOKUP(A1362,CPIAUCSL!A:A,CPIAUCSL!B:B,"",-1)</f>
        <v>272.67599999999999</v>
      </c>
      <c r="L1362">
        <f>_xlfn.XLOOKUP(A1362,DFF!A:A,DFF!B:B,"",-1)</f>
        <v>0.09</v>
      </c>
      <c r="M1362">
        <f>_xlfn.XLOOKUP(A1362,'DGS2'!A:A,'DGS2'!B:B,"",-1)</f>
        <v>0.25</v>
      </c>
      <c r="N1362">
        <f t="shared" si="171"/>
        <v>1.999999999999999E-2</v>
      </c>
      <c r="O1362">
        <f t="shared" si="172"/>
        <v>8.8076062639821373E-3</v>
      </c>
      <c r="P1362">
        <f t="shared" si="173"/>
        <v>1</v>
      </c>
      <c r="Q1362">
        <f t="shared" si="174"/>
        <v>1</v>
      </c>
    </row>
    <row r="1363" spans="1:17">
      <c r="A1363" s="1">
        <v>44435</v>
      </c>
      <c r="B1363">
        <v>4509.37</v>
      </c>
      <c r="C1363">
        <f t="shared" si="168"/>
        <v>8.8076062639821373E-3</v>
      </c>
      <c r="D1363">
        <f t="shared" si="175"/>
        <v>5.1580057197246898E-3</v>
      </c>
      <c r="E1363">
        <f>_xlfn.XLOOKUP(A1363,VIX!A:A,VIX!B:B,"",-1)</f>
        <v>16.39</v>
      </c>
      <c r="F1363">
        <f t="shared" si="169"/>
        <v>-2.4499999999999993</v>
      </c>
      <c r="G1363">
        <f>_xlfn.XLOOKUP(A1363,'DGS10'!A:A,'DGS10'!B:B,"",-1)</f>
        <v>1.31</v>
      </c>
      <c r="H1363">
        <f t="shared" si="170"/>
        <v>-3.0000000000000027E-2</v>
      </c>
      <c r="I1363" s="2">
        <f>_xlfn.XLOOKUP(A1363,T10Y3M!A:A,T10Y3M!B:B,"",-1)</f>
        <v>1.26</v>
      </c>
      <c r="J1363" s="2">
        <f>_xlfn.XLOOKUP(A1363,BAMLC0A4CBBB!A:A,BAMLC0A4CBBB!B:B,"",-1)</f>
        <v>1.1399999999999999</v>
      </c>
      <c r="K1363" s="2">
        <f>_xlfn.XLOOKUP(A1363,CPIAUCSL!A:A,CPIAUCSL!B:B,"",-1)</f>
        <v>272.67599999999999</v>
      </c>
      <c r="L1363">
        <f>_xlfn.XLOOKUP(A1363,DFF!A:A,DFF!B:B,"",-1)</f>
        <v>0.08</v>
      </c>
      <c r="M1363">
        <f>_xlfn.XLOOKUP(A1363,'DGS2'!A:A,'DGS2'!B:B,"",-1)</f>
        <v>0.22</v>
      </c>
      <c r="N1363">
        <f t="shared" si="171"/>
        <v>-0.03</v>
      </c>
      <c r="O1363">
        <f t="shared" si="172"/>
        <v>4.30658828173347E-3</v>
      </c>
      <c r="P1363">
        <f t="shared" si="173"/>
        <v>1</v>
      </c>
      <c r="Q1363">
        <f t="shared" si="174"/>
        <v>1</v>
      </c>
    </row>
    <row r="1364" spans="1:17">
      <c r="A1364" s="1">
        <v>44438</v>
      </c>
      <c r="B1364">
        <v>4528.79</v>
      </c>
      <c r="C1364">
        <f t="shared" si="168"/>
        <v>4.30658828173347E-3</v>
      </c>
      <c r="D1364">
        <f t="shared" si="175"/>
        <v>7.2505832716145413E-3</v>
      </c>
      <c r="E1364">
        <f>_xlfn.XLOOKUP(A1364,VIX!A:A,VIX!B:B,"",-1)</f>
        <v>16.190000000000001</v>
      </c>
      <c r="F1364">
        <f t="shared" si="169"/>
        <v>-0.19999999999999929</v>
      </c>
      <c r="G1364">
        <f>_xlfn.XLOOKUP(A1364,'DGS10'!A:A,'DGS10'!B:B,"",-1)</f>
        <v>1.29</v>
      </c>
      <c r="H1364">
        <f t="shared" si="170"/>
        <v>-2.0000000000000018E-2</v>
      </c>
      <c r="I1364" s="2">
        <f>_xlfn.XLOOKUP(A1364,T10Y3M!A:A,T10Y3M!B:B,"",-1)</f>
        <v>1.24</v>
      </c>
      <c r="J1364" s="2">
        <f>_xlfn.XLOOKUP(A1364,BAMLC0A4CBBB!A:A,BAMLC0A4CBBB!B:B,"",-1)</f>
        <v>1.1399999999999999</v>
      </c>
      <c r="K1364" s="2">
        <f>_xlfn.XLOOKUP(A1364,CPIAUCSL!A:A,CPIAUCSL!B:B,"",-1)</f>
        <v>272.67599999999999</v>
      </c>
      <c r="L1364">
        <f>_xlfn.XLOOKUP(A1364,DFF!A:A,DFF!B:B,"",-1)</f>
        <v>0.08</v>
      </c>
      <c r="M1364">
        <f>_xlfn.XLOOKUP(A1364,'DGS2'!A:A,'DGS2'!B:B,"",-1)</f>
        <v>0.2</v>
      </c>
      <c r="N1364">
        <f t="shared" si="171"/>
        <v>-1.999999999999999E-2</v>
      </c>
      <c r="O1364">
        <f t="shared" si="172"/>
        <v>-1.349146239944865E-3</v>
      </c>
      <c r="P1364">
        <f t="shared" si="173"/>
        <v>0</v>
      </c>
      <c r="Q1364">
        <f t="shared" si="174"/>
        <v>0</v>
      </c>
    </row>
    <row r="1365" spans="1:17">
      <c r="A1365" s="1">
        <v>44439</v>
      </c>
      <c r="B1365">
        <v>4522.68</v>
      </c>
      <c r="C1365">
        <f t="shared" si="168"/>
        <v>-1.349146239944865E-3</v>
      </c>
      <c r="D1365">
        <f t="shared" si="175"/>
        <v>1.1785234899329033E-2</v>
      </c>
      <c r="E1365">
        <f>_xlfn.XLOOKUP(A1365,VIX!A:A,VIX!B:B,"",-1)</f>
        <v>16.48</v>
      </c>
      <c r="F1365">
        <f t="shared" si="169"/>
        <v>0.28999999999999915</v>
      </c>
      <c r="G1365">
        <f>_xlfn.XLOOKUP(A1365,'DGS10'!A:A,'DGS10'!B:B,"",-1)</f>
        <v>1.3</v>
      </c>
      <c r="H1365">
        <f t="shared" si="170"/>
        <v>1.0000000000000009E-2</v>
      </c>
      <c r="I1365" s="2">
        <f>_xlfn.XLOOKUP(A1365,T10Y3M!A:A,T10Y3M!B:B,"",-1)</f>
        <v>1.26</v>
      </c>
      <c r="J1365" s="2">
        <f>_xlfn.XLOOKUP(A1365,BAMLC0A4CBBB!A:A,BAMLC0A4CBBB!B:B,"",-1)</f>
        <v>1.1399999999999999</v>
      </c>
      <c r="K1365" s="2">
        <f>_xlfn.XLOOKUP(A1365,CPIAUCSL!A:A,CPIAUCSL!B:B,"",-1)</f>
        <v>272.67599999999999</v>
      </c>
      <c r="L1365">
        <f>_xlfn.XLOOKUP(A1365,DFF!A:A,DFF!B:B,"",-1)</f>
        <v>0.06</v>
      </c>
      <c r="M1365">
        <f>_xlfn.XLOOKUP(A1365,'DGS2'!A:A,'DGS2'!B:B,"",-1)</f>
        <v>0.2</v>
      </c>
      <c r="N1365">
        <f t="shared" si="171"/>
        <v>0</v>
      </c>
      <c r="O1365">
        <f t="shared" si="172"/>
        <v>3.117620525883158E-4</v>
      </c>
      <c r="P1365">
        <f t="shared" si="173"/>
        <v>1</v>
      </c>
      <c r="Q1365">
        <f t="shared" si="174"/>
        <v>0</v>
      </c>
    </row>
    <row r="1366" spans="1:17">
      <c r="A1366" s="1">
        <v>44440</v>
      </c>
      <c r="B1366">
        <v>4524.09</v>
      </c>
      <c r="C1366">
        <f t="shared" si="168"/>
        <v>3.117620525883158E-4</v>
      </c>
      <c r="D1366">
        <f t="shared" si="175"/>
        <v>3.26431408378558E-3</v>
      </c>
      <c r="E1366">
        <f>_xlfn.XLOOKUP(A1366,VIX!A:A,VIX!B:B,"",-1)</f>
        <v>16.11</v>
      </c>
      <c r="F1366">
        <f t="shared" si="169"/>
        <v>-0.37000000000000099</v>
      </c>
      <c r="G1366">
        <f>_xlfn.XLOOKUP(A1366,'DGS10'!A:A,'DGS10'!B:B,"",-1)</f>
        <v>1.31</v>
      </c>
      <c r="H1366">
        <f t="shared" si="170"/>
        <v>1.0000000000000009E-2</v>
      </c>
      <c r="I1366" s="2">
        <f>_xlfn.XLOOKUP(A1366,T10Y3M!A:A,T10Y3M!B:B,"",-1)</f>
        <v>1.26</v>
      </c>
      <c r="J1366" s="2">
        <f>_xlfn.XLOOKUP(A1366,BAMLC0A4CBBB!A:A,BAMLC0A4CBBB!B:B,"",-1)</f>
        <v>1.1399999999999999</v>
      </c>
      <c r="K1366" s="2">
        <f>_xlfn.XLOOKUP(A1366,CPIAUCSL!A:A,CPIAUCSL!B:B,"",-1)</f>
        <v>273.91000000000003</v>
      </c>
      <c r="L1366">
        <f>_xlfn.XLOOKUP(A1366,DFF!A:A,DFF!B:B,"",-1)</f>
        <v>0.08</v>
      </c>
      <c r="M1366">
        <f>_xlfn.XLOOKUP(A1366,'DGS2'!A:A,'DGS2'!B:B,"",-1)</f>
        <v>0.2</v>
      </c>
      <c r="N1366">
        <f t="shared" si="171"/>
        <v>0</v>
      </c>
      <c r="O1366">
        <f t="shared" si="172"/>
        <v>2.8425606033477546E-3</v>
      </c>
      <c r="P1366">
        <f t="shared" si="173"/>
        <v>1</v>
      </c>
      <c r="Q1366">
        <f t="shared" si="174"/>
        <v>0</v>
      </c>
    </row>
    <row r="1367" spans="1:17">
      <c r="A1367" s="1">
        <v>44441</v>
      </c>
      <c r="B1367">
        <v>4536.95</v>
      </c>
      <c r="C1367">
        <f t="shared" si="168"/>
        <v>2.8425606033477546E-3</v>
      </c>
      <c r="D1367">
        <f t="shared" si="175"/>
        <v>1.8018057803519394E-3</v>
      </c>
      <c r="E1367">
        <f>_xlfn.XLOOKUP(A1367,VIX!A:A,VIX!B:B,"",-1)</f>
        <v>16.41</v>
      </c>
      <c r="F1367">
        <f t="shared" si="169"/>
        <v>0.30000000000000071</v>
      </c>
      <c r="G1367">
        <f>_xlfn.XLOOKUP(A1367,'DGS10'!A:A,'DGS10'!B:B,"",-1)</f>
        <v>1.29</v>
      </c>
      <c r="H1367">
        <f t="shared" si="170"/>
        <v>-2.0000000000000018E-2</v>
      </c>
      <c r="I1367" s="2">
        <f>_xlfn.XLOOKUP(A1367,T10Y3M!A:A,T10Y3M!B:B,"",-1)</f>
        <v>1.24</v>
      </c>
      <c r="J1367" s="2">
        <f>_xlfn.XLOOKUP(A1367,BAMLC0A4CBBB!A:A,BAMLC0A4CBBB!B:B,"",-1)</f>
        <v>1.1399999999999999</v>
      </c>
      <c r="K1367" s="2">
        <f>_xlfn.XLOOKUP(A1367,CPIAUCSL!A:A,CPIAUCSL!B:B,"",-1)</f>
        <v>273.91000000000003</v>
      </c>
      <c r="L1367">
        <f>_xlfn.XLOOKUP(A1367,DFF!A:A,DFF!B:B,"",-1)</f>
        <v>0.08</v>
      </c>
      <c r="M1367">
        <f>_xlfn.XLOOKUP(A1367,'DGS2'!A:A,'DGS2'!B:B,"",-1)</f>
        <v>0.2</v>
      </c>
      <c r="N1367">
        <f t="shared" si="171"/>
        <v>0</v>
      </c>
      <c r="O1367">
        <f t="shared" si="172"/>
        <v>-3.3502683520858501E-4</v>
      </c>
      <c r="P1367">
        <f t="shared" si="173"/>
        <v>0</v>
      </c>
      <c r="Q1367">
        <f t="shared" si="174"/>
        <v>0</v>
      </c>
    </row>
    <row r="1368" spans="1:17">
      <c r="A1368" s="1">
        <v>44442</v>
      </c>
      <c r="B1368">
        <v>4535.43</v>
      </c>
      <c r="C1368">
        <f t="shared" si="168"/>
        <v>-3.3502683520858501E-4</v>
      </c>
      <c r="D1368">
        <f t="shared" si="175"/>
        <v>2.8191249436175791E-3</v>
      </c>
      <c r="E1368">
        <f>_xlfn.XLOOKUP(A1368,VIX!A:A,VIX!B:B,"",-1)</f>
        <v>16.41</v>
      </c>
      <c r="F1368">
        <f t="shared" si="169"/>
        <v>0</v>
      </c>
      <c r="G1368">
        <f>_xlfn.XLOOKUP(A1368,'DGS10'!A:A,'DGS10'!B:B,"",-1)</f>
        <v>1.33</v>
      </c>
      <c r="H1368">
        <f t="shared" si="170"/>
        <v>4.0000000000000036E-2</v>
      </c>
      <c r="I1368" s="2">
        <f>_xlfn.XLOOKUP(A1368,T10Y3M!A:A,T10Y3M!B:B,"",-1)</f>
        <v>1.28</v>
      </c>
      <c r="J1368" s="2">
        <f>_xlfn.XLOOKUP(A1368,BAMLC0A4CBBB!A:A,BAMLC0A4CBBB!B:B,"",-1)</f>
        <v>1.1299999999999999</v>
      </c>
      <c r="K1368" s="2">
        <f>_xlfn.XLOOKUP(A1368,CPIAUCSL!A:A,CPIAUCSL!B:B,"",-1)</f>
        <v>273.91000000000003</v>
      </c>
      <c r="L1368">
        <f>_xlfn.XLOOKUP(A1368,DFF!A:A,DFF!B:B,"",-1)</f>
        <v>0.08</v>
      </c>
      <c r="M1368">
        <f>_xlfn.XLOOKUP(A1368,'DGS2'!A:A,'DGS2'!B:B,"",-1)</f>
        <v>0.21</v>
      </c>
      <c r="N1368">
        <f t="shared" si="171"/>
        <v>9.9999999999999811E-3</v>
      </c>
      <c r="O1368">
        <f t="shared" si="172"/>
        <v>-3.3954884101398131E-3</v>
      </c>
      <c r="P1368">
        <f t="shared" si="173"/>
        <v>0</v>
      </c>
      <c r="Q1368">
        <f t="shared" si="174"/>
        <v>-1</v>
      </c>
    </row>
    <row r="1369" spans="1:17">
      <c r="A1369" s="1">
        <v>44446</v>
      </c>
      <c r="B1369">
        <v>4520.03</v>
      </c>
      <c r="C1369">
        <f t="shared" si="168"/>
        <v>-3.3954884101398131E-3</v>
      </c>
      <c r="D1369">
        <f t="shared" si="175"/>
        <v>-8.9741804429188665E-4</v>
      </c>
      <c r="E1369">
        <f>_xlfn.XLOOKUP(A1369,VIX!A:A,VIX!B:B,"",-1)</f>
        <v>18.14</v>
      </c>
      <c r="F1369">
        <f t="shared" si="169"/>
        <v>1.7300000000000004</v>
      </c>
      <c r="G1369">
        <f>_xlfn.XLOOKUP(A1369,'DGS10'!A:A,'DGS10'!B:B,"",-1)</f>
        <v>1.38</v>
      </c>
      <c r="H1369">
        <f t="shared" si="170"/>
        <v>4.9999999999999822E-2</v>
      </c>
      <c r="I1369" s="2">
        <f>_xlfn.XLOOKUP(A1369,T10Y3M!A:A,T10Y3M!B:B,"",-1)</f>
        <v>1.33</v>
      </c>
      <c r="J1369" s="2">
        <f>_xlfn.XLOOKUP(A1369,BAMLC0A4CBBB!A:A,BAMLC0A4CBBB!B:B,"",-1)</f>
        <v>1.1299999999999999</v>
      </c>
      <c r="K1369" s="2">
        <f>_xlfn.XLOOKUP(A1369,CPIAUCSL!A:A,CPIAUCSL!B:B,"",-1)</f>
        <v>273.91000000000003</v>
      </c>
      <c r="L1369">
        <f>_xlfn.XLOOKUP(A1369,DFF!A:A,DFF!B:B,"",-1)</f>
        <v>0.08</v>
      </c>
      <c r="M1369">
        <f>_xlfn.XLOOKUP(A1369,'DGS2'!A:A,'DGS2'!B:B,"",-1)</f>
        <v>0.22</v>
      </c>
      <c r="N1369">
        <f t="shared" si="171"/>
        <v>1.0000000000000009E-2</v>
      </c>
      <c r="O1369">
        <f t="shared" si="172"/>
        <v>-1.3185753191903293E-3</v>
      </c>
      <c r="P1369">
        <f t="shared" si="173"/>
        <v>0</v>
      </c>
      <c r="Q1369">
        <f t="shared" si="174"/>
        <v>0</v>
      </c>
    </row>
    <row r="1370" spans="1:17">
      <c r="A1370" s="1">
        <v>44447</v>
      </c>
      <c r="B1370">
        <v>4514.07</v>
      </c>
      <c r="C1370">
        <f t="shared" si="168"/>
        <v>-1.3185753191903293E-3</v>
      </c>
      <c r="D1370">
        <f t="shared" si="175"/>
        <v>-5.0430355194569509E-3</v>
      </c>
      <c r="E1370">
        <f>_xlfn.XLOOKUP(A1370,VIX!A:A,VIX!B:B,"",-1)</f>
        <v>17.96</v>
      </c>
      <c r="F1370">
        <f t="shared" si="169"/>
        <v>-0.17999999999999972</v>
      </c>
      <c r="G1370">
        <f>_xlfn.XLOOKUP(A1370,'DGS10'!A:A,'DGS10'!B:B,"",-1)</f>
        <v>1.35</v>
      </c>
      <c r="H1370">
        <f t="shared" si="170"/>
        <v>-2.9999999999999805E-2</v>
      </c>
      <c r="I1370" s="2">
        <f>_xlfn.XLOOKUP(A1370,T10Y3M!A:A,T10Y3M!B:B,"",-1)</f>
        <v>1.3</v>
      </c>
      <c r="J1370" s="2">
        <f>_xlfn.XLOOKUP(A1370,BAMLC0A4CBBB!A:A,BAMLC0A4CBBB!B:B,"",-1)</f>
        <v>1.1399999999999999</v>
      </c>
      <c r="K1370" s="2">
        <f>_xlfn.XLOOKUP(A1370,CPIAUCSL!A:A,CPIAUCSL!B:B,"",-1)</f>
        <v>273.91000000000003</v>
      </c>
      <c r="L1370">
        <f>_xlfn.XLOOKUP(A1370,DFF!A:A,DFF!B:B,"",-1)</f>
        <v>0.08</v>
      </c>
      <c r="M1370">
        <f>_xlfn.XLOOKUP(A1370,'DGS2'!A:A,'DGS2'!B:B,"",-1)</f>
        <v>0.22</v>
      </c>
      <c r="N1370">
        <f t="shared" si="171"/>
        <v>0</v>
      </c>
      <c r="O1370">
        <f t="shared" si="172"/>
        <v>-4.6055998245485563E-3</v>
      </c>
      <c r="P1370">
        <f t="shared" si="173"/>
        <v>0</v>
      </c>
      <c r="Q1370">
        <f t="shared" si="174"/>
        <v>-1</v>
      </c>
    </row>
    <row r="1371" spans="1:17">
      <c r="A1371" s="1">
        <v>44448</v>
      </c>
      <c r="B1371">
        <v>4493.28</v>
      </c>
      <c r="C1371">
        <f t="shared" si="168"/>
        <v>-4.6055998245485563E-3</v>
      </c>
      <c r="D1371">
        <f t="shared" si="175"/>
        <v>-9.293495875804636E-3</v>
      </c>
      <c r="E1371">
        <f>_xlfn.XLOOKUP(A1371,VIX!A:A,VIX!B:B,"",-1)</f>
        <v>18.8</v>
      </c>
      <c r="F1371">
        <f t="shared" si="169"/>
        <v>0.83999999999999986</v>
      </c>
      <c r="G1371">
        <f>_xlfn.XLOOKUP(A1371,'DGS10'!A:A,'DGS10'!B:B,"",-1)</f>
        <v>1.3</v>
      </c>
      <c r="H1371">
        <f t="shared" si="170"/>
        <v>-5.0000000000000044E-2</v>
      </c>
      <c r="I1371" s="2">
        <f>_xlfn.XLOOKUP(A1371,T10Y3M!A:A,T10Y3M!B:B,"",-1)</f>
        <v>1.26</v>
      </c>
      <c r="J1371" s="2">
        <f>_xlfn.XLOOKUP(A1371,BAMLC0A4CBBB!A:A,BAMLC0A4CBBB!B:B,"",-1)</f>
        <v>1.1299999999999999</v>
      </c>
      <c r="K1371" s="2">
        <f>_xlfn.XLOOKUP(A1371,CPIAUCSL!A:A,CPIAUCSL!B:B,"",-1)</f>
        <v>273.91000000000003</v>
      </c>
      <c r="L1371">
        <f>_xlfn.XLOOKUP(A1371,DFF!A:A,DFF!B:B,"",-1)</f>
        <v>0.08</v>
      </c>
      <c r="M1371">
        <f>_xlfn.XLOOKUP(A1371,'DGS2'!A:A,'DGS2'!B:B,"",-1)</f>
        <v>0.23</v>
      </c>
      <c r="N1371">
        <f t="shared" si="171"/>
        <v>1.0000000000000009E-2</v>
      </c>
      <c r="O1371">
        <f t="shared" si="172"/>
        <v>-7.7226435922087555E-3</v>
      </c>
      <c r="P1371">
        <f t="shared" si="173"/>
        <v>0</v>
      </c>
      <c r="Q1371">
        <f t="shared" si="174"/>
        <v>-1</v>
      </c>
    </row>
    <row r="1372" spans="1:17">
      <c r="A1372" s="1">
        <v>44449</v>
      </c>
      <c r="B1372">
        <v>4458.58</v>
      </c>
      <c r="C1372">
        <f t="shared" si="168"/>
        <v>-7.7226435922087555E-3</v>
      </c>
      <c r="D1372">
        <f t="shared" si="175"/>
        <v>-1.3595042510779809E-2</v>
      </c>
      <c r="E1372">
        <f>_xlfn.XLOOKUP(A1372,VIX!A:A,VIX!B:B,"",-1)</f>
        <v>20.95</v>
      </c>
      <c r="F1372">
        <f t="shared" si="169"/>
        <v>2.1499999999999986</v>
      </c>
      <c r="G1372">
        <f>_xlfn.XLOOKUP(A1372,'DGS10'!A:A,'DGS10'!B:B,"",-1)</f>
        <v>1.35</v>
      </c>
      <c r="H1372">
        <f t="shared" si="170"/>
        <v>5.0000000000000044E-2</v>
      </c>
      <c r="I1372" s="2">
        <f>_xlfn.XLOOKUP(A1372,T10Y3M!A:A,T10Y3M!B:B,"",-1)</f>
        <v>1.3</v>
      </c>
      <c r="J1372" s="2">
        <f>_xlfn.XLOOKUP(A1372,BAMLC0A4CBBB!A:A,BAMLC0A4CBBB!B:B,"",-1)</f>
        <v>1.1200000000000001</v>
      </c>
      <c r="K1372" s="2">
        <f>_xlfn.XLOOKUP(A1372,CPIAUCSL!A:A,CPIAUCSL!B:B,"",-1)</f>
        <v>273.91000000000003</v>
      </c>
      <c r="L1372">
        <f>_xlfn.XLOOKUP(A1372,DFF!A:A,DFF!B:B,"",-1)</f>
        <v>0.08</v>
      </c>
      <c r="M1372">
        <f>_xlfn.XLOOKUP(A1372,'DGS2'!A:A,'DGS2'!B:B,"",-1)</f>
        <v>0.23</v>
      </c>
      <c r="N1372">
        <f t="shared" si="171"/>
        <v>0</v>
      </c>
      <c r="O1372">
        <f t="shared" si="172"/>
        <v>2.2765095613401787E-3</v>
      </c>
      <c r="P1372">
        <f t="shared" si="173"/>
        <v>1</v>
      </c>
      <c r="Q1372">
        <f t="shared" si="174"/>
        <v>0</v>
      </c>
    </row>
    <row r="1373" spans="1:17">
      <c r="A1373" s="1">
        <v>44452</v>
      </c>
      <c r="B1373">
        <v>4468.7299999999996</v>
      </c>
      <c r="C1373">
        <f t="shared" si="168"/>
        <v>2.2765095613401787E-3</v>
      </c>
      <c r="D1373">
        <f t="shared" si="175"/>
        <v>-1.0044150843916966E-2</v>
      </c>
      <c r="E1373">
        <f>_xlfn.XLOOKUP(A1373,VIX!A:A,VIX!B:B,"",-1)</f>
        <v>19.37</v>
      </c>
      <c r="F1373">
        <f t="shared" si="169"/>
        <v>-1.5799999999999983</v>
      </c>
      <c r="G1373">
        <f>_xlfn.XLOOKUP(A1373,'DGS10'!A:A,'DGS10'!B:B,"",-1)</f>
        <v>1.33</v>
      </c>
      <c r="H1373">
        <f t="shared" si="170"/>
        <v>-2.0000000000000018E-2</v>
      </c>
      <c r="I1373" s="2">
        <f>_xlfn.XLOOKUP(A1373,T10Y3M!A:A,T10Y3M!B:B,"",-1)</f>
        <v>1.27</v>
      </c>
      <c r="J1373" s="2">
        <f>_xlfn.XLOOKUP(A1373,BAMLC0A4CBBB!A:A,BAMLC0A4CBBB!B:B,"",-1)</f>
        <v>1.1200000000000001</v>
      </c>
      <c r="K1373" s="2">
        <f>_xlfn.XLOOKUP(A1373,CPIAUCSL!A:A,CPIAUCSL!B:B,"",-1)</f>
        <v>273.91000000000003</v>
      </c>
      <c r="L1373">
        <f>_xlfn.XLOOKUP(A1373,DFF!A:A,DFF!B:B,"",-1)</f>
        <v>0.08</v>
      </c>
      <c r="M1373">
        <f>_xlfn.XLOOKUP(A1373,'DGS2'!A:A,'DGS2'!B:B,"",-1)</f>
        <v>0.21</v>
      </c>
      <c r="N1373">
        <f t="shared" si="171"/>
        <v>-2.0000000000000018E-2</v>
      </c>
      <c r="O1373">
        <f t="shared" si="172"/>
        <v>-5.7465991456183696E-3</v>
      </c>
      <c r="P1373">
        <f t="shared" si="173"/>
        <v>0</v>
      </c>
      <c r="Q1373">
        <f t="shared" si="174"/>
        <v>-1</v>
      </c>
    </row>
    <row r="1374" spans="1:17">
      <c r="A1374" s="1">
        <v>44453</v>
      </c>
      <c r="B1374">
        <v>4443.05</v>
      </c>
      <c r="C1374">
        <f t="shared" si="168"/>
        <v>-5.7465991456183696E-3</v>
      </c>
      <c r="D1374">
        <f t="shared" si="175"/>
        <v>-1.1178916070220368E-2</v>
      </c>
      <c r="E1374">
        <f>_xlfn.XLOOKUP(A1374,VIX!A:A,VIX!B:B,"",-1)</f>
        <v>19.46</v>
      </c>
      <c r="F1374">
        <f t="shared" si="169"/>
        <v>8.9999999999999858E-2</v>
      </c>
      <c r="G1374">
        <f>_xlfn.XLOOKUP(A1374,'DGS10'!A:A,'DGS10'!B:B,"",-1)</f>
        <v>1.28</v>
      </c>
      <c r="H1374">
        <f t="shared" si="170"/>
        <v>-5.0000000000000044E-2</v>
      </c>
      <c r="I1374" s="2">
        <f>_xlfn.XLOOKUP(A1374,T10Y3M!A:A,T10Y3M!B:B,"",-1)</f>
        <v>1.24</v>
      </c>
      <c r="J1374" s="2">
        <f>_xlfn.XLOOKUP(A1374,BAMLC0A4CBBB!A:A,BAMLC0A4CBBB!B:B,"",-1)</f>
        <v>1.1200000000000001</v>
      </c>
      <c r="K1374" s="2">
        <f>_xlfn.XLOOKUP(A1374,CPIAUCSL!A:A,CPIAUCSL!B:B,"",-1)</f>
        <v>273.91000000000003</v>
      </c>
      <c r="L1374">
        <f>_xlfn.XLOOKUP(A1374,DFF!A:A,DFF!B:B,"",-1)</f>
        <v>0.08</v>
      </c>
      <c r="M1374">
        <f>_xlfn.XLOOKUP(A1374,'DGS2'!A:A,'DGS2'!B:B,"",-1)</f>
        <v>0.21</v>
      </c>
      <c r="N1374">
        <f t="shared" si="171"/>
        <v>0</v>
      </c>
      <c r="O1374">
        <f t="shared" si="172"/>
        <v>8.4739086888510062E-3</v>
      </c>
      <c r="P1374">
        <f t="shared" si="173"/>
        <v>1</v>
      </c>
      <c r="Q1374">
        <f t="shared" si="174"/>
        <v>1</v>
      </c>
    </row>
    <row r="1375" spans="1:17">
      <c r="A1375" s="1">
        <v>44454</v>
      </c>
      <c r="B1375">
        <v>4480.7</v>
      </c>
      <c r="C1375">
        <f t="shared" si="168"/>
        <v>8.4739086888510062E-3</v>
      </c>
      <c r="D1375">
        <f t="shared" si="175"/>
        <v>4.9612208371274669E-3</v>
      </c>
      <c r="E1375">
        <f>_xlfn.XLOOKUP(A1375,VIX!A:A,VIX!B:B,"",-1)</f>
        <v>18.18</v>
      </c>
      <c r="F1375">
        <f t="shared" si="169"/>
        <v>-1.2800000000000011</v>
      </c>
      <c r="G1375">
        <f>_xlfn.XLOOKUP(A1375,'DGS10'!A:A,'DGS10'!B:B,"",-1)</f>
        <v>1.31</v>
      </c>
      <c r="H1375">
        <f t="shared" si="170"/>
        <v>3.0000000000000027E-2</v>
      </c>
      <c r="I1375" s="2">
        <f>_xlfn.XLOOKUP(A1375,T10Y3M!A:A,T10Y3M!B:B,"",-1)</f>
        <v>1.27</v>
      </c>
      <c r="J1375" s="2">
        <f>_xlfn.XLOOKUP(A1375,BAMLC0A4CBBB!A:A,BAMLC0A4CBBB!B:B,"",-1)</f>
        <v>1.1200000000000001</v>
      </c>
      <c r="K1375" s="2">
        <f>_xlfn.XLOOKUP(A1375,CPIAUCSL!A:A,CPIAUCSL!B:B,"",-1)</f>
        <v>273.91000000000003</v>
      </c>
      <c r="L1375">
        <f>_xlfn.XLOOKUP(A1375,DFF!A:A,DFF!B:B,"",-1)</f>
        <v>0.08</v>
      </c>
      <c r="M1375">
        <f>_xlfn.XLOOKUP(A1375,'DGS2'!A:A,'DGS2'!B:B,"",-1)</f>
        <v>0.21</v>
      </c>
      <c r="N1375">
        <f t="shared" si="171"/>
        <v>0</v>
      </c>
      <c r="O1375">
        <f t="shared" si="172"/>
        <v>-1.5510969268194286E-3</v>
      </c>
      <c r="P1375">
        <f t="shared" si="173"/>
        <v>0</v>
      </c>
      <c r="Q1375">
        <f t="shared" si="174"/>
        <v>0</v>
      </c>
    </row>
    <row r="1376" spans="1:17">
      <c r="A1376" s="1">
        <v>44455</v>
      </c>
      <c r="B1376">
        <v>4473.75</v>
      </c>
      <c r="C1376">
        <f t="shared" si="168"/>
        <v>-1.5510969268194286E-3</v>
      </c>
      <c r="D1376">
        <f t="shared" si="175"/>
        <v>1.1233616709893646E-3</v>
      </c>
      <c r="E1376">
        <f>_xlfn.XLOOKUP(A1376,VIX!A:A,VIX!B:B,"",-1)</f>
        <v>18.690000000000001</v>
      </c>
      <c r="F1376">
        <f t="shared" si="169"/>
        <v>0.51000000000000156</v>
      </c>
      <c r="G1376">
        <f>_xlfn.XLOOKUP(A1376,'DGS10'!A:A,'DGS10'!B:B,"",-1)</f>
        <v>1.34</v>
      </c>
      <c r="H1376">
        <f t="shared" si="170"/>
        <v>3.0000000000000027E-2</v>
      </c>
      <c r="I1376" s="2">
        <f>_xlfn.XLOOKUP(A1376,T10Y3M!A:A,T10Y3M!B:B,"",-1)</f>
        <v>1.3</v>
      </c>
      <c r="J1376" s="2">
        <f>_xlfn.XLOOKUP(A1376,BAMLC0A4CBBB!A:A,BAMLC0A4CBBB!B:B,"",-1)</f>
        <v>1.1100000000000001</v>
      </c>
      <c r="K1376" s="2">
        <f>_xlfn.XLOOKUP(A1376,CPIAUCSL!A:A,CPIAUCSL!B:B,"",-1)</f>
        <v>273.91000000000003</v>
      </c>
      <c r="L1376">
        <f>_xlfn.XLOOKUP(A1376,DFF!A:A,DFF!B:B,"",-1)</f>
        <v>0.08</v>
      </c>
      <c r="M1376">
        <f>_xlfn.XLOOKUP(A1376,'DGS2'!A:A,'DGS2'!B:B,"",-1)</f>
        <v>0.23</v>
      </c>
      <c r="N1376">
        <f t="shared" si="171"/>
        <v>2.0000000000000018E-2</v>
      </c>
      <c r="O1376">
        <f t="shared" si="172"/>
        <v>-9.1109248393406173E-3</v>
      </c>
      <c r="P1376">
        <f t="shared" si="173"/>
        <v>0</v>
      </c>
      <c r="Q1376">
        <f t="shared" si="174"/>
        <v>-1</v>
      </c>
    </row>
    <row r="1377" spans="1:17">
      <c r="A1377" s="1">
        <v>44456</v>
      </c>
      <c r="B1377">
        <v>4432.99</v>
      </c>
      <c r="C1377">
        <f t="shared" si="168"/>
        <v>-9.1109248393406173E-3</v>
      </c>
      <c r="D1377">
        <f t="shared" si="175"/>
        <v>-2.2642103960118787E-3</v>
      </c>
      <c r="E1377">
        <f>_xlfn.XLOOKUP(A1377,VIX!A:A,VIX!B:B,"",-1)</f>
        <v>20.81</v>
      </c>
      <c r="F1377">
        <f t="shared" si="169"/>
        <v>2.1199999999999974</v>
      </c>
      <c r="G1377">
        <f>_xlfn.XLOOKUP(A1377,'DGS10'!A:A,'DGS10'!B:B,"",-1)</f>
        <v>1.37</v>
      </c>
      <c r="H1377">
        <f t="shared" si="170"/>
        <v>3.0000000000000027E-2</v>
      </c>
      <c r="I1377" s="2">
        <f>_xlfn.XLOOKUP(A1377,T10Y3M!A:A,T10Y3M!B:B,"",-1)</f>
        <v>1.33</v>
      </c>
      <c r="J1377" s="2">
        <f>_xlfn.XLOOKUP(A1377,BAMLC0A4CBBB!A:A,BAMLC0A4CBBB!B:B,"",-1)</f>
        <v>1.1000000000000001</v>
      </c>
      <c r="K1377" s="2">
        <f>_xlfn.XLOOKUP(A1377,CPIAUCSL!A:A,CPIAUCSL!B:B,"",-1)</f>
        <v>273.91000000000003</v>
      </c>
      <c r="L1377">
        <f>_xlfn.XLOOKUP(A1377,DFF!A:A,DFF!B:B,"",-1)</f>
        <v>0.08</v>
      </c>
      <c r="M1377">
        <f>_xlfn.XLOOKUP(A1377,'DGS2'!A:A,'DGS2'!B:B,"",-1)</f>
        <v>0.23</v>
      </c>
      <c r="N1377">
        <f t="shared" si="171"/>
        <v>0</v>
      </c>
      <c r="O1377">
        <f t="shared" si="172"/>
        <v>-1.6977254629493954E-2</v>
      </c>
      <c r="P1377">
        <f t="shared" si="173"/>
        <v>0</v>
      </c>
      <c r="Q1377">
        <f t="shared" si="174"/>
        <v>-1</v>
      </c>
    </row>
    <row r="1378" spans="1:17">
      <c r="A1378" s="1">
        <v>44459</v>
      </c>
      <c r="B1378">
        <v>4357.7299999999996</v>
      </c>
      <c r="C1378">
        <f t="shared" si="168"/>
        <v>-1.6977254629493954E-2</v>
      </c>
      <c r="D1378">
        <f t="shared" si="175"/>
        <v>-2.7444372531077788E-2</v>
      </c>
      <c r="E1378">
        <f>_xlfn.XLOOKUP(A1378,VIX!A:A,VIX!B:B,"",-1)</f>
        <v>25.71</v>
      </c>
      <c r="F1378">
        <f t="shared" si="169"/>
        <v>4.9000000000000021</v>
      </c>
      <c r="G1378">
        <f>_xlfn.XLOOKUP(A1378,'DGS10'!A:A,'DGS10'!B:B,"",-1)</f>
        <v>1.31</v>
      </c>
      <c r="H1378">
        <f t="shared" si="170"/>
        <v>-6.0000000000000053E-2</v>
      </c>
      <c r="I1378" s="2">
        <f>_xlfn.XLOOKUP(A1378,T10Y3M!A:A,T10Y3M!B:B,"",-1)</f>
        <v>1.27</v>
      </c>
      <c r="J1378" s="2">
        <f>_xlfn.XLOOKUP(A1378,BAMLC0A4CBBB!A:A,BAMLC0A4CBBB!B:B,"",-1)</f>
        <v>1.1200000000000001</v>
      </c>
      <c r="K1378" s="2">
        <f>_xlfn.XLOOKUP(A1378,CPIAUCSL!A:A,CPIAUCSL!B:B,"",-1)</f>
        <v>273.91000000000003</v>
      </c>
      <c r="L1378">
        <f>_xlfn.XLOOKUP(A1378,DFF!A:A,DFF!B:B,"",-1)</f>
        <v>0.08</v>
      </c>
      <c r="M1378">
        <f>_xlfn.XLOOKUP(A1378,'DGS2'!A:A,'DGS2'!B:B,"",-1)</f>
        <v>0.23</v>
      </c>
      <c r="N1378">
        <f t="shared" si="171"/>
        <v>0</v>
      </c>
      <c r="O1378">
        <f t="shared" si="172"/>
        <v>-8.1234954896236555E-4</v>
      </c>
      <c r="P1378">
        <f t="shared" si="173"/>
        <v>0</v>
      </c>
      <c r="Q1378">
        <f t="shared" si="174"/>
        <v>0</v>
      </c>
    </row>
    <row r="1379" spans="1:17">
      <c r="A1379" s="1">
        <v>44460</v>
      </c>
      <c r="B1379">
        <v>4354.1899999999996</v>
      </c>
      <c r="C1379">
        <f t="shared" si="168"/>
        <v>-8.1234954896236555E-4</v>
      </c>
      <c r="D1379">
        <f t="shared" si="175"/>
        <v>-2.6724783459066814E-2</v>
      </c>
      <c r="E1379">
        <f>_xlfn.XLOOKUP(A1379,VIX!A:A,VIX!B:B,"",-1)</f>
        <v>24.36</v>
      </c>
      <c r="F1379">
        <f t="shared" si="169"/>
        <v>-1.3500000000000014</v>
      </c>
      <c r="G1379">
        <f>_xlfn.XLOOKUP(A1379,'DGS10'!A:A,'DGS10'!B:B,"",-1)</f>
        <v>1.33</v>
      </c>
      <c r="H1379">
        <f t="shared" si="170"/>
        <v>2.0000000000000018E-2</v>
      </c>
      <c r="I1379" s="2">
        <f>_xlfn.XLOOKUP(A1379,T10Y3M!A:A,T10Y3M!B:B,"",-1)</f>
        <v>1.3</v>
      </c>
      <c r="J1379" s="2">
        <f>_xlfn.XLOOKUP(A1379,BAMLC0A4CBBB!A:A,BAMLC0A4CBBB!B:B,"",-1)</f>
        <v>1.1200000000000001</v>
      </c>
      <c r="K1379" s="2">
        <f>_xlfn.XLOOKUP(A1379,CPIAUCSL!A:A,CPIAUCSL!B:B,"",-1)</f>
        <v>273.91000000000003</v>
      </c>
      <c r="L1379">
        <f>_xlfn.XLOOKUP(A1379,DFF!A:A,DFF!B:B,"",-1)</f>
        <v>0.08</v>
      </c>
      <c r="M1379">
        <f>_xlfn.XLOOKUP(A1379,'DGS2'!A:A,'DGS2'!B:B,"",-1)</f>
        <v>0.22</v>
      </c>
      <c r="N1379">
        <f t="shared" si="171"/>
        <v>-1.0000000000000009E-2</v>
      </c>
      <c r="O1379">
        <f t="shared" si="172"/>
        <v>9.5195662109373025E-3</v>
      </c>
      <c r="P1379">
        <f t="shared" si="173"/>
        <v>1</v>
      </c>
      <c r="Q1379">
        <f t="shared" si="174"/>
        <v>1</v>
      </c>
    </row>
    <row r="1380" spans="1:17">
      <c r="A1380" s="1">
        <v>44461</v>
      </c>
      <c r="B1380">
        <v>4395.6400000000003</v>
      </c>
      <c r="C1380">
        <f t="shared" si="168"/>
        <v>9.5195662109373025E-3</v>
      </c>
      <c r="D1380">
        <f t="shared" si="175"/>
        <v>-8.4254645284558283E-3</v>
      </c>
      <c r="E1380">
        <f>_xlfn.XLOOKUP(A1380,VIX!A:A,VIX!B:B,"",-1)</f>
        <v>20.87</v>
      </c>
      <c r="F1380">
        <f t="shared" si="169"/>
        <v>-3.4899999999999984</v>
      </c>
      <c r="G1380">
        <f>_xlfn.XLOOKUP(A1380,'DGS10'!A:A,'DGS10'!B:B,"",-1)</f>
        <v>1.32</v>
      </c>
      <c r="H1380">
        <f t="shared" si="170"/>
        <v>-1.0000000000000009E-2</v>
      </c>
      <c r="I1380" s="2">
        <f>_xlfn.XLOOKUP(A1380,T10Y3M!A:A,T10Y3M!B:B,"",-1)</f>
        <v>1.29</v>
      </c>
      <c r="J1380" s="2">
        <f>_xlfn.XLOOKUP(A1380,BAMLC0A4CBBB!A:A,BAMLC0A4CBBB!B:B,"",-1)</f>
        <v>1.1100000000000001</v>
      </c>
      <c r="K1380" s="2">
        <f>_xlfn.XLOOKUP(A1380,CPIAUCSL!A:A,CPIAUCSL!B:B,"",-1)</f>
        <v>273.91000000000003</v>
      </c>
      <c r="L1380">
        <f>_xlfn.XLOOKUP(A1380,DFF!A:A,DFF!B:B,"",-1)</f>
        <v>0.08</v>
      </c>
      <c r="M1380">
        <f>_xlfn.XLOOKUP(A1380,'DGS2'!A:A,'DGS2'!B:B,"",-1)</f>
        <v>0.25</v>
      </c>
      <c r="N1380">
        <f t="shared" si="171"/>
        <v>0.03</v>
      </c>
      <c r="O1380">
        <f t="shared" si="172"/>
        <v>1.2134751708511082E-2</v>
      </c>
      <c r="P1380">
        <f t="shared" si="173"/>
        <v>1</v>
      </c>
      <c r="Q1380">
        <f t="shared" si="174"/>
        <v>1</v>
      </c>
    </row>
    <row r="1381" spans="1:17">
      <c r="A1381" s="1">
        <v>44462</v>
      </c>
      <c r="B1381">
        <v>4448.9799999999996</v>
      </c>
      <c r="C1381">
        <f t="shared" si="168"/>
        <v>1.2134751708511082E-2</v>
      </c>
      <c r="D1381">
        <f t="shared" si="175"/>
        <v>2.0939801226785404E-2</v>
      </c>
      <c r="E1381">
        <f>_xlfn.XLOOKUP(A1381,VIX!A:A,VIX!B:B,"",-1)</f>
        <v>18.63</v>
      </c>
      <c r="F1381">
        <f t="shared" si="169"/>
        <v>-2.240000000000002</v>
      </c>
      <c r="G1381">
        <f>_xlfn.XLOOKUP(A1381,'DGS10'!A:A,'DGS10'!B:B,"",-1)</f>
        <v>1.41</v>
      </c>
      <c r="H1381">
        <f t="shared" si="170"/>
        <v>8.9999999999999858E-2</v>
      </c>
      <c r="I1381" s="2">
        <f>_xlfn.XLOOKUP(A1381,T10Y3M!A:A,T10Y3M!B:B,"",-1)</f>
        <v>1.38</v>
      </c>
      <c r="J1381" s="2">
        <f>_xlfn.XLOOKUP(A1381,BAMLC0A4CBBB!A:A,BAMLC0A4CBBB!B:B,"",-1)</f>
        <v>1.0900000000000001</v>
      </c>
      <c r="K1381" s="2">
        <f>_xlfn.XLOOKUP(A1381,CPIAUCSL!A:A,CPIAUCSL!B:B,"",-1)</f>
        <v>273.91000000000003</v>
      </c>
      <c r="L1381">
        <f>_xlfn.XLOOKUP(A1381,DFF!A:A,DFF!B:B,"",-1)</f>
        <v>0.08</v>
      </c>
      <c r="M1381">
        <f>_xlfn.XLOOKUP(A1381,'DGS2'!A:A,'DGS2'!B:B,"",-1)</f>
        <v>0.27</v>
      </c>
      <c r="N1381">
        <f t="shared" si="171"/>
        <v>2.0000000000000018E-2</v>
      </c>
      <c r="O1381">
        <f t="shared" si="172"/>
        <v>1.4610090402744635E-3</v>
      </c>
      <c r="P1381">
        <f t="shared" si="173"/>
        <v>1</v>
      </c>
      <c r="Q1381">
        <f t="shared" si="174"/>
        <v>0</v>
      </c>
    </row>
    <row r="1382" spans="1:17">
      <c r="A1382" s="1">
        <v>44463</v>
      </c>
      <c r="B1382">
        <v>4455.4799999999996</v>
      </c>
      <c r="C1382">
        <f t="shared" si="168"/>
        <v>1.4610090402744635E-3</v>
      </c>
      <c r="D1382">
        <f t="shared" si="175"/>
        <v>2.3262650458523826E-2</v>
      </c>
      <c r="E1382">
        <f>_xlfn.XLOOKUP(A1382,VIX!A:A,VIX!B:B,"",-1)</f>
        <v>17.75</v>
      </c>
      <c r="F1382">
        <f t="shared" si="169"/>
        <v>-0.87999999999999901</v>
      </c>
      <c r="G1382">
        <f>_xlfn.XLOOKUP(A1382,'DGS10'!A:A,'DGS10'!B:B,"",-1)</f>
        <v>1.47</v>
      </c>
      <c r="H1382">
        <f t="shared" si="170"/>
        <v>6.0000000000000053E-2</v>
      </c>
      <c r="I1382" s="2">
        <f>_xlfn.XLOOKUP(A1382,T10Y3M!A:A,T10Y3M!B:B,"",-1)</f>
        <v>1.44</v>
      </c>
      <c r="J1382" s="2">
        <f>_xlfn.XLOOKUP(A1382,BAMLC0A4CBBB!A:A,BAMLC0A4CBBB!B:B,"",-1)</f>
        <v>1.08</v>
      </c>
      <c r="K1382" s="2">
        <f>_xlfn.XLOOKUP(A1382,CPIAUCSL!A:A,CPIAUCSL!B:B,"",-1)</f>
        <v>273.91000000000003</v>
      </c>
      <c r="L1382">
        <f>_xlfn.XLOOKUP(A1382,DFF!A:A,DFF!B:B,"",-1)</f>
        <v>0.08</v>
      </c>
      <c r="M1382">
        <f>_xlfn.XLOOKUP(A1382,'DGS2'!A:A,'DGS2'!B:B,"",-1)</f>
        <v>0.28999999999999998</v>
      </c>
      <c r="N1382">
        <f t="shared" si="171"/>
        <v>1.9999999999999962E-2</v>
      </c>
      <c r="O1382">
        <f t="shared" si="172"/>
        <v>-2.7763563072890074E-3</v>
      </c>
      <c r="P1382">
        <f t="shared" si="173"/>
        <v>0</v>
      </c>
      <c r="Q1382">
        <f t="shared" si="174"/>
        <v>0</v>
      </c>
    </row>
    <row r="1383" spans="1:17">
      <c r="A1383" s="1">
        <v>44466</v>
      </c>
      <c r="B1383">
        <v>4443.1099999999997</v>
      </c>
      <c r="C1383">
        <f t="shared" si="168"/>
        <v>-2.7763563072890074E-3</v>
      </c>
      <c r="D1383">
        <f t="shared" si="175"/>
        <v>1.0799337525365882E-2</v>
      </c>
      <c r="E1383">
        <f>_xlfn.XLOOKUP(A1383,VIX!A:A,VIX!B:B,"",-1)</f>
        <v>18.760000000000002</v>
      </c>
      <c r="F1383">
        <f t="shared" si="169"/>
        <v>1.0100000000000016</v>
      </c>
      <c r="G1383">
        <f>_xlfn.XLOOKUP(A1383,'DGS10'!A:A,'DGS10'!B:B,"",-1)</f>
        <v>1.48</v>
      </c>
      <c r="H1383">
        <f t="shared" si="170"/>
        <v>1.0000000000000009E-2</v>
      </c>
      <c r="I1383" s="2">
        <f>_xlfn.XLOOKUP(A1383,T10Y3M!A:A,T10Y3M!B:B,"",-1)</f>
        <v>1.44</v>
      </c>
      <c r="J1383" s="2">
        <f>_xlfn.XLOOKUP(A1383,BAMLC0A4CBBB!A:A,BAMLC0A4CBBB!B:B,"",-1)</f>
        <v>1.07</v>
      </c>
      <c r="K1383" s="2">
        <f>_xlfn.XLOOKUP(A1383,CPIAUCSL!A:A,CPIAUCSL!B:B,"",-1)</f>
        <v>273.91000000000003</v>
      </c>
      <c r="L1383">
        <f>_xlfn.XLOOKUP(A1383,DFF!A:A,DFF!B:B,"",-1)</f>
        <v>0.08</v>
      </c>
      <c r="M1383">
        <f>_xlfn.XLOOKUP(A1383,'DGS2'!A:A,'DGS2'!B:B,"",-1)</f>
        <v>0.31</v>
      </c>
      <c r="N1383">
        <f t="shared" si="171"/>
        <v>2.0000000000000018E-2</v>
      </c>
      <c r="O1383">
        <f t="shared" si="172"/>
        <v>-2.0364114325326033E-2</v>
      </c>
      <c r="P1383">
        <f t="shared" si="173"/>
        <v>0</v>
      </c>
      <c r="Q1383">
        <f t="shared" si="174"/>
        <v>-1</v>
      </c>
    </row>
    <row r="1384" spans="1:17">
      <c r="A1384" s="1">
        <v>44467</v>
      </c>
      <c r="B1384">
        <v>4352.63</v>
      </c>
      <c r="C1384">
        <f t="shared" si="168"/>
        <v>-2.0364114325326033E-2</v>
      </c>
      <c r="D1384">
        <f t="shared" si="175"/>
        <v>-2.1656649389298122E-2</v>
      </c>
      <c r="E1384">
        <f>_xlfn.XLOOKUP(A1384,VIX!A:A,VIX!B:B,"",-1)</f>
        <v>23.25</v>
      </c>
      <c r="F1384">
        <f t="shared" si="169"/>
        <v>4.4899999999999984</v>
      </c>
      <c r="G1384">
        <f>_xlfn.XLOOKUP(A1384,'DGS10'!A:A,'DGS10'!B:B,"",-1)</f>
        <v>1.54</v>
      </c>
      <c r="H1384">
        <f t="shared" si="170"/>
        <v>6.0000000000000053E-2</v>
      </c>
      <c r="I1384" s="2">
        <f>_xlfn.XLOOKUP(A1384,T10Y3M!A:A,T10Y3M!B:B,"",-1)</f>
        <v>1.5</v>
      </c>
      <c r="J1384" s="2">
        <f>_xlfn.XLOOKUP(A1384,BAMLC0A4CBBB!A:A,BAMLC0A4CBBB!B:B,"",-1)</f>
        <v>1.08</v>
      </c>
      <c r="K1384" s="2">
        <f>_xlfn.XLOOKUP(A1384,CPIAUCSL!A:A,CPIAUCSL!B:B,"",-1)</f>
        <v>273.91000000000003</v>
      </c>
      <c r="L1384">
        <f>_xlfn.XLOOKUP(A1384,DFF!A:A,DFF!B:B,"",-1)</f>
        <v>0.08</v>
      </c>
      <c r="M1384">
        <f>_xlfn.XLOOKUP(A1384,'DGS2'!A:A,'DGS2'!B:B,"",-1)</f>
        <v>0.31</v>
      </c>
      <c r="N1384">
        <f t="shared" si="171"/>
        <v>0</v>
      </c>
      <c r="O1384">
        <f t="shared" si="172"/>
        <v>1.5691662282344421E-3</v>
      </c>
      <c r="P1384">
        <f t="shared" si="173"/>
        <v>1</v>
      </c>
      <c r="Q1384">
        <f t="shared" si="174"/>
        <v>0</v>
      </c>
    </row>
    <row r="1385" spans="1:17">
      <c r="A1385" s="1">
        <v>44468</v>
      </c>
      <c r="B1385">
        <v>4359.46</v>
      </c>
      <c r="C1385">
        <f t="shared" si="168"/>
        <v>1.5691662282344421E-3</v>
      </c>
      <c r="D1385">
        <f t="shared" si="175"/>
        <v>-2.155098889457463E-2</v>
      </c>
      <c r="E1385">
        <f>_xlfn.XLOOKUP(A1385,VIX!A:A,VIX!B:B,"",-1)</f>
        <v>22.56</v>
      </c>
      <c r="F1385">
        <f t="shared" si="169"/>
        <v>-0.69000000000000128</v>
      </c>
      <c r="G1385">
        <f>_xlfn.XLOOKUP(A1385,'DGS10'!A:A,'DGS10'!B:B,"",-1)</f>
        <v>1.55</v>
      </c>
      <c r="H1385">
        <f t="shared" si="170"/>
        <v>1.0000000000000009E-2</v>
      </c>
      <c r="I1385" s="2">
        <f>_xlfn.XLOOKUP(A1385,T10Y3M!A:A,T10Y3M!B:B,"",-1)</f>
        <v>1.51</v>
      </c>
      <c r="J1385" s="2">
        <f>_xlfn.XLOOKUP(A1385,BAMLC0A4CBBB!A:A,BAMLC0A4CBBB!B:B,"",-1)</f>
        <v>1.07</v>
      </c>
      <c r="K1385" s="2">
        <f>_xlfn.XLOOKUP(A1385,CPIAUCSL!A:A,CPIAUCSL!B:B,"",-1)</f>
        <v>273.91000000000003</v>
      </c>
      <c r="L1385">
        <f>_xlfn.XLOOKUP(A1385,DFF!A:A,DFF!B:B,"",-1)</f>
        <v>0.08</v>
      </c>
      <c r="M1385">
        <f>_xlfn.XLOOKUP(A1385,'DGS2'!A:A,'DGS2'!B:B,"",-1)</f>
        <v>0.3</v>
      </c>
      <c r="N1385">
        <f t="shared" si="171"/>
        <v>-1.0000000000000009E-2</v>
      </c>
      <c r="O1385">
        <f t="shared" si="172"/>
        <v>-1.1909731939276913E-2</v>
      </c>
      <c r="P1385">
        <f t="shared" si="173"/>
        <v>0</v>
      </c>
      <c r="Q1385">
        <f t="shared" si="174"/>
        <v>-1</v>
      </c>
    </row>
    <row r="1386" spans="1:17">
      <c r="A1386" s="1">
        <v>44469</v>
      </c>
      <c r="B1386">
        <v>4307.54</v>
      </c>
      <c r="C1386">
        <f t="shared" si="168"/>
        <v>-1.1909731939276913E-2</v>
      </c>
      <c r="D1386">
        <f t="shared" si="175"/>
        <v>-3.0512411351508173E-2</v>
      </c>
      <c r="E1386">
        <f>_xlfn.XLOOKUP(A1386,VIX!A:A,VIX!B:B,"",-1)</f>
        <v>23.14</v>
      </c>
      <c r="F1386">
        <f t="shared" si="169"/>
        <v>0.58000000000000185</v>
      </c>
      <c r="G1386">
        <f>_xlfn.XLOOKUP(A1386,'DGS10'!A:A,'DGS10'!B:B,"",-1)</f>
        <v>1.52</v>
      </c>
      <c r="H1386">
        <f t="shared" si="170"/>
        <v>-3.0000000000000027E-2</v>
      </c>
      <c r="I1386" s="2">
        <f>_xlfn.XLOOKUP(A1386,T10Y3M!A:A,T10Y3M!B:B,"",-1)</f>
        <v>1.48</v>
      </c>
      <c r="J1386" s="2">
        <f>_xlfn.XLOOKUP(A1386,BAMLC0A4CBBB!A:A,BAMLC0A4CBBB!B:B,"",-1)</f>
        <v>1.1000000000000001</v>
      </c>
      <c r="K1386" s="2">
        <f>_xlfn.XLOOKUP(A1386,CPIAUCSL!A:A,CPIAUCSL!B:B,"",-1)</f>
        <v>273.91000000000003</v>
      </c>
      <c r="L1386">
        <f>_xlfn.XLOOKUP(A1386,DFF!A:A,DFF!B:B,"",-1)</f>
        <v>0.06</v>
      </c>
      <c r="M1386">
        <f>_xlfn.XLOOKUP(A1386,'DGS2'!A:A,'DGS2'!B:B,"",-1)</f>
        <v>0.28000000000000003</v>
      </c>
      <c r="N1386">
        <f t="shared" si="171"/>
        <v>-1.9999999999999962E-2</v>
      </c>
      <c r="O1386">
        <f t="shared" si="172"/>
        <v>1.1491477734391298E-2</v>
      </c>
      <c r="P1386">
        <f t="shared" si="173"/>
        <v>1</v>
      </c>
      <c r="Q1386">
        <f t="shared" si="174"/>
        <v>1</v>
      </c>
    </row>
    <row r="1387" spans="1:17">
      <c r="A1387" s="1">
        <v>44470</v>
      </c>
      <c r="B1387">
        <v>4357.04</v>
      </c>
      <c r="C1387">
        <f t="shared" si="168"/>
        <v>1.1491477734391298E-2</v>
      </c>
      <c r="D1387">
        <f t="shared" si="175"/>
        <v>1.0131805368247537E-3</v>
      </c>
      <c r="E1387">
        <f>_xlfn.XLOOKUP(A1387,VIX!A:A,VIX!B:B,"",-1)</f>
        <v>21.15</v>
      </c>
      <c r="F1387">
        <f t="shared" si="169"/>
        <v>-1.990000000000002</v>
      </c>
      <c r="G1387">
        <f>_xlfn.XLOOKUP(A1387,'DGS10'!A:A,'DGS10'!B:B,"",-1)</f>
        <v>1.48</v>
      </c>
      <c r="H1387">
        <f t="shared" si="170"/>
        <v>-4.0000000000000036E-2</v>
      </c>
      <c r="I1387" s="2">
        <f>_xlfn.XLOOKUP(A1387,T10Y3M!A:A,T10Y3M!B:B,"",-1)</f>
        <v>1.44</v>
      </c>
      <c r="J1387" s="2">
        <f>_xlfn.XLOOKUP(A1387,BAMLC0A4CBBB!A:A,BAMLC0A4CBBB!B:B,"",-1)</f>
        <v>1.1000000000000001</v>
      </c>
      <c r="K1387" s="2">
        <f>_xlfn.XLOOKUP(A1387,CPIAUCSL!A:A,CPIAUCSL!B:B,"",-1)</f>
        <v>276.55</v>
      </c>
      <c r="L1387">
        <f>_xlfn.XLOOKUP(A1387,DFF!A:A,DFF!B:B,"",-1)</f>
        <v>0.08</v>
      </c>
      <c r="M1387">
        <f>_xlfn.XLOOKUP(A1387,'DGS2'!A:A,'DGS2'!B:B,"",-1)</f>
        <v>0.27</v>
      </c>
      <c r="N1387">
        <f t="shared" si="171"/>
        <v>-1.0000000000000009E-2</v>
      </c>
      <c r="O1387">
        <f t="shared" si="172"/>
        <v>-1.2985880322420762E-2</v>
      </c>
      <c r="P1387">
        <f t="shared" si="173"/>
        <v>0</v>
      </c>
      <c r="Q1387">
        <f t="shared" si="174"/>
        <v>-1</v>
      </c>
    </row>
    <row r="1388" spans="1:17">
      <c r="A1388" s="1">
        <v>44473</v>
      </c>
      <c r="B1388">
        <v>4300.46</v>
      </c>
      <c r="C1388">
        <f t="shared" si="168"/>
        <v>-1.2985880322420762E-2</v>
      </c>
      <c r="D1388">
        <f t="shared" si="175"/>
        <v>-1.3533786294632866E-2</v>
      </c>
      <c r="E1388">
        <f>_xlfn.XLOOKUP(A1388,VIX!A:A,VIX!B:B,"",-1)</f>
        <v>22.96</v>
      </c>
      <c r="F1388">
        <f t="shared" si="169"/>
        <v>1.8100000000000023</v>
      </c>
      <c r="G1388">
        <f>_xlfn.XLOOKUP(A1388,'DGS10'!A:A,'DGS10'!B:B,"",-1)</f>
        <v>1.49</v>
      </c>
      <c r="H1388">
        <f t="shared" si="170"/>
        <v>1.0000000000000009E-2</v>
      </c>
      <c r="I1388" s="2">
        <f>_xlfn.XLOOKUP(A1388,T10Y3M!A:A,T10Y3M!B:B,"",-1)</f>
        <v>1.45</v>
      </c>
      <c r="J1388" s="2">
        <f>_xlfn.XLOOKUP(A1388,BAMLC0A4CBBB!A:A,BAMLC0A4CBBB!B:B,"",-1)</f>
        <v>1.1100000000000001</v>
      </c>
      <c r="K1388" s="2">
        <f>_xlfn.XLOOKUP(A1388,CPIAUCSL!A:A,CPIAUCSL!B:B,"",-1)</f>
        <v>276.55</v>
      </c>
      <c r="L1388">
        <f>_xlfn.XLOOKUP(A1388,DFF!A:A,DFF!B:B,"",-1)</f>
        <v>0.08</v>
      </c>
      <c r="M1388">
        <f>_xlfn.XLOOKUP(A1388,'DGS2'!A:A,'DGS2'!B:B,"",-1)</f>
        <v>0.27</v>
      </c>
      <c r="N1388">
        <f t="shared" si="171"/>
        <v>0</v>
      </c>
      <c r="O1388">
        <f t="shared" si="172"/>
        <v>1.0524455523362564E-2</v>
      </c>
      <c r="P1388">
        <f t="shared" si="173"/>
        <v>1</v>
      </c>
      <c r="Q1388">
        <f t="shared" si="174"/>
        <v>1</v>
      </c>
    </row>
    <row r="1389" spans="1:17">
      <c r="A1389" s="1">
        <v>44474</v>
      </c>
      <c r="B1389">
        <v>4345.72</v>
      </c>
      <c r="C1389">
        <f t="shared" si="168"/>
        <v>1.0524455523362564E-2</v>
      </c>
      <c r="D1389">
        <f t="shared" si="175"/>
        <v>8.863527674728644E-3</v>
      </c>
      <c r="E1389">
        <f>_xlfn.XLOOKUP(A1389,VIX!A:A,VIX!B:B,"",-1)</f>
        <v>21.3</v>
      </c>
      <c r="F1389">
        <f t="shared" si="169"/>
        <v>-1.6600000000000001</v>
      </c>
      <c r="G1389">
        <f>_xlfn.XLOOKUP(A1389,'DGS10'!A:A,'DGS10'!B:B,"",-1)</f>
        <v>1.54</v>
      </c>
      <c r="H1389">
        <f t="shared" si="170"/>
        <v>5.0000000000000044E-2</v>
      </c>
      <c r="I1389" s="2">
        <f>_xlfn.XLOOKUP(A1389,T10Y3M!A:A,T10Y3M!B:B,"",-1)</f>
        <v>1.5</v>
      </c>
      <c r="J1389" s="2">
        <f>_xlfn.XLOOKUP(A1389,BAMLC0A4CBBB!A:A,BAMLC0A4CBBB!B:B,"",-1)</f>
        <v>1.1000000000000001</v>
      </c>
      <c r="K1389" s="2">
        <f>_xlfn.XLOOKUP(A1389,CPIAUCSL!A:A,CPIAUCSL!B:B,"",-1)</f>
        <v>276.55</v>
      </c>
      <c r="L1389">
        <f>_xlfn.XLOOKUP(A1389,DFF!A:A,DFF!B:B,"",-1)</f>
        <v>0.08</v>
      </c>
      <c r="M1389">
        <f>_xlfn.XLOOKUP(A1389,'DGS2'!A:A,'DGS2'!B:B,"",-1)</f>
        <v>0.28000000000000003</v>
      </c>
      <c r="N1389">
        <f t="shared" si="171"/>
        <v>1.0000000000000009E-2</v>
      </c>
      <c r="O1389">
        <f t="shared" si="172"/>
        <v>4.1028874386752623E-3</v>
      </c>
      <c r="P1389">
        <f t="shared" si="173"/>
        <v>1</v>
      </c>
      <c r="Q1389">
        <f t="shared" si="174"/>
        <v>1</v>
      </c>
    </row>
    <row r="1390" spans="1:17">
      <c r="A1390" s="1">
        <v>44475</v>
      </c>
      <c r="B1390">
        <v>4363.55</v>
      </c>
      <c r="C1390">
        <f t="shared" si="168"/>
        <v>4.1028874386752623E-3</v>
      </c>
      <c r="D1390">
        <f t="shared" si="175"/>
        <v>1.4941336320071219E-3</v>
      </c>
      <c r="E1390">
        <f>_xlfn.XLOOKUP(A1390,VIX!A:A,VIX!B:B,"",-1)</f>
        <v>21</v>
      </c>
      <c r="F1390">
        <f t="shared" si="169"/>
        <v>-0.30000000000000071</v>
      </c>
      <c r="G1390">
        <f>_xlfn.XLOOKUP(A1390,'DGS10'!A:A,'DGS10'!B:B,"",-1)</f>
        <v>1.53</v>
      </c>
      <c r="H1390">
        <f t="shared" si="170"/>
        <v>-1.0000000000000009E-2</v>
      </c>
      <c r="I1390" s="2">
        <f>_xlfn.XLOOKUP(A1390,T10Y3M!A:A,T10Y3M!B:B,"",-1)</f>
        <v>1.49</v>
      </c>
      <c r="J1390" s="2">
        <f>_xlfn.XLOOKUP(A1390,BAMLC0A4CBBB!A:A,BAMLC0A4CBBB!B:B,"",-1)</f>
        <v>1.1100000000000001</v>
      </c>
      <c r="K1390" s="2">
        <f>_xlfn.XLOOKUP(A1390,CPIAUCSL!A:A,CPIAUCSL!B:B,"",-1)</f>
        <v>276.55</v>
      </c>
      <c r="L1390">
        <f>_xlfn.XLOOKUP(A1390,DFF!A:A,DFF!B:B,"",-1)</f>
        <v>0.08</v>
      </c>
      <c r="M1390">
        <f>_xlfn.XLOOKUP(A1390,'DGS2'!A:A,'DGS2'!B:B,"",-1)</f>
        <v>0.3</v>
      </c>
      <c r="N1390">
        <f t="shared" si="171"/>
        <v>1.9999999999999962E-2</v>
      </c>
      <c r="O1390">
        <f t="shared" si="172"/>
        <v>8.2982892369745098E-3</v>
      </c>
      <c r="P1390">
        <f t="shared" si="173"/>
        <v>1</v>
      </c>
      <c r="Q1390">
        <f t="shared" si="174"/>
        <v>1</v>
      </c>
    </row>
    <row r="1391" spans="1:17">
      <c r="A1391" s="1">
        <v>44476</v>
      </c>
      <c r="B1391">
        <v>4399.76</v>
      </c>
      <c r="C1391">
        <f t="shared" si="168"/>
        <v>8.2982892369745098E-3</v>
      </c>
      <c r="D1391">
        <f t="shared" si="175"/>
        <v>2.3090553103621625E-2</v>
      </c>
      <c r="E1391">
        <f>_xlfn.XLOOKUP(A1391,VIX!A:A,VIX!B:B,"",-1)</f>
        <v>19.54</v>
      </c>
      <c r="F1391">
        <f t="shared" si="169"/>
        <v>-1.4600000000000009</v>
      </c>
      <c r="G1391">
        <f>_xlfn.XLOOKUP(A1391,'DGS10'!A:A,'DGS10'!B:B,"",-1)</f>
        <v>1.58</v>
      </c>
      <c r="H1391">
        <f t="shared" si="170"/>
        <v>5.0000000000000044E-2</v>
      </c>
      <c r="I1391" s="2">
        <f>_xlfn.XLOOKUP(A1391,T10Y3M!A:A,T10Y3M!B:B,"",-1)</f>
        <v>1.53</v>
      </c>
      <c r="J1391" s="2">
        <f>_xlfn.XLOOKUP(A1391,BAMLC0A4CBBB!A:A,BAMLC0A4CBBB!B:B,"",-1)</f>
        <v>1.1100000000000001</v>
      </c>
      <c r="K1391" s="2">
        <f>_xlfn.XLOOKUP(A1391,CPIAUCSL!A:A,CPIAUCSL!B:B,"",-1)</f>
        <v>276.55</v>
      </c>
      <c r="L1391">
        <f>_xlfn.XLOOKUP(A1391,DFF!A:A,DFF!B:B,"",-1)</f>
        <v>0.08</v>
      </c>
      <c r="M1391">
        <f>_xlfn.XLOOKUP(A1391,'DGS2'!A:A,'DGS2'!B:B,"",-1)</f>
        <v>0.32</v>
      </c>
      <c r="N1391">
        <f t="shared" si="171"/>
        <v>2.0000000000000018E-2</v>
      </c>
      <c r="O1391">
        <f t="shared" si="172"/>
        <v>-1.9137407494954628E-3</v>
      </c>
      <c r="P1391">
        <f t="shared" si="173"/>
        <v>0</v>
      </c>
      <c r="Q1391">
        <f t="shared" si="174"/>
        <v>0</v>
      </c>
    </row>
    <row r="1392" spans="1:17">
      <c r="A1392" s="1">
        <v>44477</v>
      </c>
      <c r="B1392">
        <v>4391.34</v>
      </c>
      <c r="C1392">
        <f t="shared" si="168"/>
        <v>-1.9137407494954628E-3</v>
      </c>
      <c r="D1392">
        <f t="shared" si="175"/>
        <v>1.0497685078652008E-2</v>
      </c>
      <c r="E1392">
        <f>_xlfn.XLOOKUP(A1392,VIX!A:A,VIX!B:B,"",-1)</f>
        <v>18.77</v>
      </c>
      <c r="F1392">
        <f t="shared" si="169"/>
        <v>-0.76999999999999957</v>
      </c>
      <c r="G1392">
        <f>_xlfn.XLOOKUP(A1392,'DGS10'!A:A,'DGS10'!B:B,"",-1)</f>
        <v>1.61</v>
      </c>
      <c r="H1392">
        <f t="shared" si="170"/>
        <v>3.0000000000000027E-2</v>
      </c>
      <c r="I1392" s="2">
        <f>_xlfn.XLOOKUP(A1392,T10Y3M!A:A,T10Y3M!B:B,"",-1)</f>
        <v>1.56</v>
      </c>
      <c r="J1392" s="2">
        <f>_xlfn.XLOOKUP(A1392,BAMLC0A4CBBB!A:A,BAMLC0A4CBBB!B:B,"",-1)</f>
        <v>1.1100000000000001</v>
      </c>
      <c r="K1392" s="2">
        <f>_xlfn.XLOOKUP(A1392,CPIAUCSL!A:A,CPIAUCSL!B:B,"",-1)</f>
        <v>276.55</v>
      </c>
      <c r="L1392">
        <f>_xlfn.XLOOKUP(A1392,DFF!A:A,DFF!B:B,"",-1)</f>
        <v>0.08</v>
      </c>
      <c r="M1392">
        <f>_xlfn.XLOOKUP(A1392,'DGS2'!A:A,'DGS2'!B:B,"",-1)</f>
        <v>0.32</v>
      </c>
      <c r="N1392">
        <f t="shared" si="171"/>
        <v>0</v>
      </c>
      <c r="O1392">
        <f t="shared" si="172"/>
        <v>-6.8657858421348195E-3</v>
      </c>
      <c r="P1392">
        <f t="shared" si="173"/>
        <v>0</v>
      </c>
      <c r="Q1392">
        <f t="shared" si="174"/>
        <v>-1</v>
      </c>
    </row>
    <row r="1393" spans="1:17">
      <c r="A1393" s="1">
        <v>44480</v>
      </c>
      <c r="B1393">
        <v>4361.1899999999996</v>
      </c>
      <c r="C1393">
        <f t="shared" si="168"/>
        <v>-6.8657858421348195E-3</v>
      </c>
      <c r="D1393">
        <f t="shared" si="175"/>
        <v>-5.408440375384016E-4</v>
      </c>
      <c r="E1393">
        <f>_xlfn.XLOOKUP(A1393,VIX!A:A,VIX!B:B,"",-1)</f>
        <v>20</v>
      </c>
      <c r="F1393">
        <f t="shared" si="169"/>
        <v>1.2300000000000004</v>
      </c>
      <c r="G1393">
        <f>_xlfn.XLOOKUP(A1393,'DGS10'!A:A,'DGS10'!B:B,"",-1)</f>
        <v>0</v>
      </c>
      <c r="H1393">
        <f t="shared" si="170"/>
        <v>-1.61</v>
      </c>
      <c r="I1393" s="2">
        <f>_xlfn.XLOOKUP(A1393,T10Y3M!A:A,T10Y3M!B:B,"",-1)</f>
        <v>0</v>
      </c>
      <c r="J1393" s="2">
        <f>_xlfn.XLOOKUP(A1393,BAMLC0A4CBBB!A:A,BAMLC0A4CBBB!B:B,"",-1)</f>
        <v>1.1100000000000001</v>
      </c>
      <c r="K1393" s="2">
        <f>_xlfn.XLOOKUP(A1393,CPIAUCSL!A:A,CPIAUCSL!B:B,"",-1)</f>
        <v>276.55</v>
      </c>
      <c r="L1393">
        <f>_xlfn.XLOOKUP(A1393,DFF!A:A,DFF!B:B,"",-1)</f>
        <v>0.08</v>
      </c>
      <c r="M1393">
        <f>_xlfn.XLOOKUP(A1393,'DGS2'!A:A,'DGS2'!B:B,"",-1)</f>
        <v>0</v>
      </c>
      <c r="N1393">
        <f t="shared" si="171"/>
        <v>-0.32</v>
      </c>
      <c r="O1393">
        <f t="shared" si="172"/>
        <v>-2.4167715692277048E-3</v>
      </c>
      <c r="P1393">
        <f t="shared" si="173"/>
        <v>0</v>
      </c>
      <c r="Q1393">
        <f t="shared" si="174"/>
        <v>0</v>
      </c>
    </row>
    <row r="1394" spans="1:17">
      <c r="A1394" s="1">
        <v>44481</v>
      </c>
      <c r="B1394">
        <v>4350.6499999999996</v>
      </c>
      <c r="C1394">
        <f t="shared" si="168"/>
        <v>-2.4167715692277048E-3</v>
      </c>
      <c r="D1394">
        <f t="shared" si="175"/>
        <v>-1.1161972471225856E-2</v>
      </c>
      <c r="E1394">
        <f>_xlfn.XLOOKUP(A1394,VIX!A:A,VIX!B:B,"",-1)</f>
        <v>19.850000000000001</v>
      </c>
      <c r="F1394">
        <f t="shared" si="169"/>
        <v>-0.14999999999999858</v>
      </c>
      <c r="G1394">
        <f>_xlfn.XLOOKUP(A1394,'DGS10'!A:A,'DGS10'!B:B,"",-1)</f>
        <v>1.59</v>
      </c>
      <c r="H1394">
        <f t="shared" si="170"/>
        <v>1.59</v>
      </c>
      <c r="I1394" s="2">
        <f>_xlfn.XLOOKUP(A1394,T10Y3M!A:A,T10Y3M!B:B,"",-1)</f>
        <v>1.53</v>
      </c>
      <c r="J1394" s="2">
        <f>_xlfn.XLOOKUP(A1394,BAMLC0A4CBBB!A:A,BAMLC0A4CBBB!B:B,"",-1)</f>
        <v>1.1200000000000001</v>
      </c>
      <c r="K1394" s="2">
        <f>_xlfn.XLOOKUP(A1394,CPIAUCSL!A:A,CPIAUCSL!B:B,"",-1)</f>
        <v>276.55</v>
      </c>
      <c r="L1394">
        <f>_xlfn.XLOOKUP(A1394,DFF!A:A,DFF!B:B,"",-1)</f>
        <v>0.08</v>
      </c>
      <c r="M1394">
        <f>_xlfn.XLOOKUP(A1394,'DGS2'!A:A,'DGS2'!B:B,"",-1)</f>
        <v>0.35</v>
      </c>
      <c r="N1394">
        <f t="shared" si="171"/>
        <v>0.35</v>
      </c>
      <c r="O1394">
        <f t="shared" si="172"/>
        <v>3.0225368623080229E-3</v>
      </c>
      <c r="P1394">
        <f t="shared" si="173"/>
        <v>1</v>
      </c>
      <c r="Q1394">
        <f t="shared" si="174"/>
        <v>1</v>
      </c>
    </row>
    <row r="1395" spans="1:17">
      <c r="A1395" s="1">
        <v>44482</v>
      </c>
      <c r="B1395">
        <v>4363.8</v>
      </c>
      <c r="C1395">
        <f t="shared" si="168"/>
        <v>3.0225368623080229E-3</v>
      </c>
      <c r="D1395">
        <f t="shared" si="175"/>
        <v>-6.2714342319201144E-3</v>
      </c>
      <c r="E1395">
        <f>_xlfn.XLOOKUP(A1395,VIX!A:A,VIX!B:B,"",-1)</f>
        <v>18.64</v>
      </c>
      <c r="F1395">
        <f t="shared" si="169"/>
        <v>-1.2100000000000009</v>
      </c>
      <c r="G1395">
        <f>_xlfn.XLOOKUP(A1395,'DGS10'!A:A,'DGS10'!B:B,"",-1)</f>
        <v>1.56</v>
      </c>
      <c r="H1395">
        <f t="shared" si="170"/>
        <v>-3.0000000000000027E-2</v>
      </c>
      <c r="I1395" s="2">
        <f>_xlfn.XLOOKUP(A1395,T10Y3M!A:A,T10Y3M!B:B,"",-1)</f>
        <v>1.51</v>
      </c>
      <c r="J1395" s="2">
        <f>_xlfn.XLOOKUP(A1395,BAMLC0A4CBBB!A:A,BAMLC0A4CBBB!B:B,"",-1)</f>
        <v>1.1200000000000001</v>
      </c>
      <c r="K1395" s="2">
        <f>_xlfn.XLOOKUP(A1395,CPIAUCSL!A:A,CPIAUCSL!B:B,"",-1)</f>
        <v>276.55</v>
      </c>
      <c r="L1395">
        <f>_xlfn.XLOOKUP(A1395,DFF!A:A,DFF!B:B,"",-1)</f>
        <v>0.08</v>
      </c>
      <c r="M1395">
        <f>_xlfn.XLOOKUP(A1395,'DGS2'!A:A,'DGS2'!B:B,"",-1)</f>
        <v>0.37</v>
      </c>
      <c r="N1395">
        <f t="shared" si="171"/>
        <v>2.0000000000000018E-2</v>
      </c>
      <c r="O1395">
        <f t="shared" si="172"/>
        <v>1.706311013337003E-2</v>
      </c>
      <c r="P1395">
        <f t="shared" si="173"/>
        <v>1</v>
      </c>
      <c r="Q1395">
        <f t="shared" si="174"/>
        <v>1</v>
      </c>
    </row>
    <row r="1396" spans="1:17">
      <c r="A1396" s="1">
        <v>44483</v>
      </c>
      <c r="B1396">
        <v>4438.26</v>
      </c>
      <c r="C1396">
        <f t="shared" si="168"/>
        <v>1.706311013337003E-2</v>
      </c>
      <c r="D1396">
        <f t="shared" si="175"/>
        <v>1.7671782242919987E-2</v>
      </c>
      <c r="E1396">
        <f>_xlfn.XLOOKUP(A1396,VIX!A:A,VIX!B:B,"",-1)</f>
        <v>16.86</v>
      </c>
      <c r="F1396">
        <f t="shared" si="169"/>
        <v>-1.7800000000000011</v>
      </c>
      <c r="G1396">
        <f>_xlfn.XLOOKUP(A1396,'DGS10'!A:A,'DGS10'!B:B,"",-1)</f>
        <v>1.52</v>
      </c>
      <c r="H1396">
        <f t="shared" si="170"/>
        <v>-4.0000000000000036E-2</v>
      </c>
      <c r="I1396" s="2">
        <f>_xlfn.XLOOKUP(A1396,T10Y3M!A:A,T10Y3M!B:B,"",-1)</f>
        <v>1.47</v>
      </c>
      <c r="J1396" s="2">
        <f>_xlfn.XLOOKUP(A1396,BAMLC0A4CBBB!A:A,BAMLC0A4CBBB!B:B,"",-1)</f>
        <v>1.1200000000000001</v>
      </c>
      <c r="K1396" s="2">
        <f>_xlfn.XLOOKUP(A1396,CPIAUCSL!A:A,CPIAUCSL!B:B,"",-1)</f>
        <v>276.55</v>
      </c>
      <c r="L1396">
        <f>_xlfn.XLOOKUP(A1396,DFF!A:A,DFF!B:B,"",-1)</f>
        <v>0.08</v>
      </c>
      <c r="M1396">
        <f>_xlfn.XLOOKUP(A1396,'DGS2'!A:A,'DGS2'!B:B,"",-1)</f>
        <v>0.36</v>
      </c>
      <c r="N1396">
        <f t="shared" si="171"/>
        <v>-1.0000000000000009E-2</v>
      </c>
      <c r="O1396">
        <f t="shared" si="172"/>
        <v>7.4601307719690535E-3</v>
      </c>
      <c r="P1396">
        <f t="shared" si="173"/>
        <v>1</v>
      </c>
      <c r="Q1396">
        <f t="shared" si="174"/>
        <v>1</v>
      </c>
    </row>
    <row r="1397" spans="1:17">
      <c r="A1397" s="1">
        <v>44484</v>
      </c>
      <c r="B1397">
        <v>4471.37</v>
      </c>
      <c r="C1397">
        <f t="shared" si="168"/>
        <v>7.4601307719690535E-3</v>
      </c>
      <c r="D1397">
        <f t="shared" si="175"/>
        <v>2.7747577948122659E-2</v>
      </c>
      <c r="E1397">
        <f>_xlfn.XLOOKUP(A1397,VIX!A:A,VIX!B:B,"",-1)</f>
        <v>16.3</v>
      </c>
      <c r="F1397">
        <f t="shared" si="169"/>
        <v>-0.55999999999999872</v>
      </c>
      <c r="G1397">
        <f>_xlfn.XLOOKUP(A1397,'DGS10'!A:A,'DGS10'!B:B,"",-1)</f>
        <v>1.59</v>
      </c>
      <c r="H1397">
        <f t="shared" si="170"/>
        <v>7.0000000000000062E-2</v>
      </c>
      <c r="I1397" s="2">
        <f>_xlfn.XLOOKUP(A1397,T10Y3M!A:A,T10Y3M!B:B,"",-1)</f>
        <v>1.54</v>
      </c>
      <c r="J1397" s="2">
        <f>_xlfn.XLOOKUP(A1397,BAMLC0A4CBBB!A:A,BAMLC0A4CBBB!B:B,"",-1)</f>
        <v>1.1000000000000001</v>
      </c>
      <c r="K1397" s="2">
        <f>_xlfn.XLOOKUP(A1397,CPIAUCSL!A:A,CPIAUCSL!B:B,"",-1)</f>
        <v>276.55</v>
      </c>
      <c r="L1397">
        <f>_xlfn.XLOOKUP(A1397,DFF!A:A,DFF!B:B,"",-1)</f>
        <v>0.08</v>
      </c>
      <c r="M1397">
        <f>_xlfn.XLOOKUP(A1397,'DGS2'!A:A,'DGS2'!B:B,"",-1)</f>
        <v>0.41</v>
      </c>
      <c r="N1397">
        <f t="shared" si="171"/>
        <v>4.9999999999999989E-2</v>
      </c>
      <c r="O1397">
        <f t="shared" si="172"/>
        <v>3.3748045900920953E-3</v>
      </c>
      <c r="P1397">
        <f t="shared" si="173"/>
        <v>1</v>
      </c>
      <c r="Q1397">
        <f t="shared" si="174"/>
        <v>1</v>
      </c>
    </row>
    <row r="1398" spans="1:17">
      <c r="A1398" s="1">
        <v>44487</v>
      </c>
      <c r="B1398">
        <v>4486.46</v>
      </c>
      <c r="C1398">
        <f t="shared" si="168"/>
        <v>3.3748045900920953E-3</v>
      </c>
      <c r="D1398">
        <f t="shared" si="175"/>
        <v>2.8108529263485948E-2</v>
      </c>
      <c r="E1398">
        <f>_xlfn.XLOOKUP(A1398,VIX!A:A,VIX!B:B,"",-1)</f>
        <v>16.309999999999999</v>
      </c>
      <c r="F1398">
        <f t="shared" si="169"/>
        <v>9.9999999999980105E-3</v>
      </c>
      <c r="G1398">
        <f>_xlfn.XLOOKUP(A1398,'DGS10'!A:A,'DGS10'!B:B,"",-1)</f>
        <v>1.59</v>
      </c>
      <c r="H1398">
        <f t="shared" si="170"/>
        <v>0</v>
      </c>
      <c r="I1398" s="2">
        <f>_xlfn.XLOOKUP(A1398,T10Y3M!A:A,T10Y3M!B:B,"",-1)</f>
        <v>1.53</v>
      </c>
      <c r="J1398" s="2">
        <f>_xlfn.XLOOKUP(A1398,BAMLC0A4CBBB!A:A,BAMLC0A4CBBB!B:B,"",-1)</f>
        <v>1.1000000000000001</v>
      </c>
      <c r="K1398" s="2">
        <f>_xlfn.XLOOKUP(A1398,CPIAUCSL!A:A,CPIAUCSL!B:B,"",-1)</f>
        <v>276.55</v>
      </c>
      <c r="L1398">
        <f>_xlfn.XLOOKUP(A1398,DFF!A:A,DFF!B:B,"",-1)</f>
        <v>0.08</v>
      </c>
      <c r="M1398">
        <f>_xlfn.XLOOKUP(A1398,'DGS2'!A:A,'DGS2'!B:B,"",-1)</f>
        <v>0.44</v>
      </c>
      <c r="N1398">
        <f t="shared" si="171"/>
        <v>3.0000000000000027E-2</v>
      </c>
      <c r="O1398">
        <f t="shared" si="172"/>
        <v>7.3933569005406596E-3</v>
      </c>
      <c r="P1398">
        <f t="shared" si="173"/>
        <v>1</v>
      </c>
      <c r="Q1398">
        <f t="shared" si="174"/>
        <v>1</v>
      </c>
    </row>
    <row r="1399" spans="1:17">
      <c r="A1399" s="1">
        <v>44488</v>
      </c>
      <c r="B1399">
        <v>4519.63</v>
      </c>
      <c r="C1399">
        <f t="shared" si="168"/>
        <v>7.3933569005406596E-3</v>
      </c>
      <c r="D1399">
        <f t="shared" si="175"/>
        <v>1.8333761429028428E-2</v>
      </c>
      <c r="E1399">
        <f>_xlfn.XLOOKUP(A1399,VIX!A:A,VIX!B:B,"",-1)</f>
        <v>15.7</v>
      </c>
      <c r="F1399">
        <f t="shared" si="169"/>
        <v>-0.60999999999999943</v>
      </c>
      <c r="G1399">
        <f>_xlfn.XLOOKUP(A1399,'DGS10'!A:A,'DGS10'!B:B,"",-1)</f>
        <v>1.65</v>
      </c>
      <c r="H1399">
        <f t="shared" si="170"/>
        <v>5.9999999999999831E-2</v>
      </c>
      <c r="I1399" s="2">
        <f>_xlfn.XLOOKUP(A1399,T10Y3M!A:A,T10Y3M!B:B,"",-1)</f>
        <v>1.6</v>
      </c>
      <c r="J1399" s="2">
        <f>_xlfn.XLOOKUP(A1399,BAMLC0A4CBBB!A:A,BAMLC0A4CBBB!B:B,"",-1)</f>
        <v>1.1000000000000001</v>
      </c>
      <c r="K1399" s="2">
        <f>_xlfn.XLOOKUP(A1399,CPIAUCSL!A:A,CPIAUCSL!B:B,"",-1)</f>
        <v>276.55</v>
      </c>
      <c r="L1399">
        <f>_xlfn.XLOOKUP(A1399,DFF!A:A,DFF!B:B,"",-1)</f>
        <v>0.08</v>
      </c>
      <c r="M1399">
        <f>_xlfn.XLOOKUP(A1399,'DGS2'!A:A,'DGS2'!B:B,"",-1)</f>
        <v>0.41</v>
      </c>
      <c r="N1399">
        <f t="shared" si="171"/>
        <v>-3.0000000000000027E-2</v>
      </c>
      <c r="O1399">
        <f t="shared" si="172"/>
        <v>3.6640167447334893E-3</v>
      </c>
      <c r="P1399">
        <f t="shared" si="173"/>
        <v>1</v>
      </c>
      <c r="Q1399">
        <f t="shared" si="174"/>
        <v>1</v>
      </c>
    </row>
    <row r="1400" spans="1:17">
      <c r="A1400" s="1">
        <v>44489</v>
      </c>
      <c r="B1400">
        <v>4536.1899999999996</v>
      </c>
      <c r="C1400">
        <f t="shared" si="168"/>
        <v>3.6640167447334893E-3</v>
      </c>
      <c r="D1400">
        <f t="shared" si="175"/>
        <v>1.4496675515557778E-2</v>
      </c>
      <c r="E1400">
        <f>_xlfn.XLOOKUP(A1400,VIX!A:A,VIX!B:B,"",-1)</f>
        <v>15.49</v>
      </c>
      <c r="F1400">
        <f t="shared" si="169"/>
        <v>-0.20999999999999908</v>
      </c>
      <c r="G1400">
        <f>_xlfn.XLOOKUP(A1400,'DGS10'!A:A,'DGS10'!B:B,"",-1)</f>
        <v>1.65</v>
      </c>
      <c r="H1400">
        <f t="shared" si="170"/>
        <v>0</v>
      </c>
      <c r="I1400" s="2">
        <f>_xlfn.XLOOKUP(A1400,T10Y3M!A:A,T10Y3M!B:B,"",-1)</f>
        <v>1.6</v>
      </c>
      <c r="J1400" s="2">
        <f>_xlfn.XLOOKUP(A1400,BAMLC0A4CBBB!A:A,BAMLC0A4CBBB!B:B,"",-1)</f>
        <v>1.1000000000000001</v>
      </c>
      <c r="K1400" s="2">
        <f>_xlfn.XLOOKUP(A1400,CPIAUCSL!A:A,CPIAUCSL!B:B,"",-1)</f>
        <v>276.55</v>
      </c>
      <c r="L1400">
        <f>_xlfn.XLOOKUP(A1400,DFF!A:A,DFF!B:B,"",-1)</f>
        <v>0.08</v>
      </c>
      <c r="M1400">
        <f>_xlfn.XLOOKUP(A1400,'DGS2'!A:A,'DGS2'!B:B,"",-1)</f>
        <v>0.4</v>
      </c>
      <c r="N1400">
        <f t="shared" si="171"/>
        <v>-9.9999999999999534E-3</v>
      </c>
      <c r="O1400">
        <f t="shared" si="172"/>
        <v>2.995906256131331E-3</v>
      </c>
      <c r="P1400">
        <f t="shared" si="173"/>
        <v>1</v>
      </c>
      <c r="Q1400">
        <f t="shared" si="174"/>
        <v>0</v>
      </c>
    </row>
    <row r="1401" spans="1:17">
      <c r="A1401" s="1">
        <v>44490</v>
      </c>
      <c r="B1401">
        <v>4549.78</v>
      </c>
      <c r="C1401">
        <f t="shared" si="168"/>
        <v>2.995906256131331E-3</v>
      </c>
      <c r="D1401">
        <f t="shared" si="175"/>
        <v>1.411357729702245E-2</v>
      </c>
      <c r="E1401">
        <f>_xlfn.XLOOKUP(A1401,VIX!A:A,VIX!B:B,"",-1)</f>
        <v>15.01</v>
      </c>
      <c r="F1401">
        <f t="shared" si="169"/>
        <v>-0.48000000000000043</v>
      </c>
      <c r="G1401">
        <f>_xlfn.XLOOKUP(A1401,'DGS10'!A:A,'DGS10'!B:B,"",-1)</f>
        <v>1.68</v>
      </c>
      <c r="H1401">
        <f t="shared" si="170"/>
        <v>3.0000000000000027E-2</v>
      </c>
      <c r="I1401" s="2">
        <f>_xlfn.XLOOKUP(A1401,T10Y3M!A:A,T10Y3M!B:B,"",-1)</f>
        <v>1.62</v>
      </c>
      <c r="J1401" s="2">
        <f>_xlfn.XLOOKUP(A1401,BAMLC0A4CBBB!A:A,BAMLC0A4CBBB!B:B,"",-1)</f>
        <v>1.1000000000000001</v>
      </c>
      <c r="K1401" s="2">
        <f>_xlfn.XLOOKUP(A1401,CPIAUCSL!A:A,CPIAUCSL!B:B,"",-1)</f>
        <v>276.55</v>
      </c>
      <c r="L1401">
        <f>_xlfn.XLOOKUP(A1401,DFF!A:A,DFF!B:B,"",-1)</f>
        <v>0.08</v>
      </c>
      <c r="M1401">
        <f>_xlfn.XLOOKUP(A1401,'DGS2'!A:A,'DGS2'!B:B,"",-1)</f>
        <v>0.45</v>
      </c>
      <c r="N1401">
        <f t="shared" si="171"/>
        <v>4.9999999999999989E-2</v>
      </c>
      <c r="O1401">
        <f t="shared" si="172"/>
        <v>-1.0725793335062406E-3</v>
      </c>
      <c r="P1401">
        <f t="shared" si="173"/>
        <v>0</v>
      </c>
      <c r="Q1401">
        <f t="shared" si="174"/>
        <v>0</v>
      </c>
    </row>
    <row r="1402" spans="1:17">
      <c r="A1402" s="1">
        <v>44491</v>
      </c>
      <c r="B1402">
        <v>4544.8999999999996</v>
      </c>
      <c r="C1402">
        <f t="shared" si="168"/>
        <v>-1.0725793335062406E-3</v>
      </c>
      <c r="D1402">
        <f t="shared" si="175"/>
        <v>5.5911656485154726E-3</v>
      </c>
      <c r="E1402">
        <f>_xlfn.XLOOKUP(A1402,VIX!A:A,VIX!B:B,"",-1)</f>
        <v>15.43</v>
      </c>
      <c r="F1402">
        <f t="shared" si="169"/>
        <v>0.41999999999999993</v>
      </c>
      <c r="G1402">
        <f>_xlfn.XLOOKUP(A1402,'DGS10'!A:A,'DGS10'!B:B,"",-1)</f>
        <v>1.66</v>
      </c>
      <c r="H1402">
        <f t="shared" si="170"/>
        <v>-2.0000000000000018E-2</v>
      </c>
      <c r="I1402" s="2">
        <f>_xlfn.XLOOKUP(A1402,T10Y3M!A:A,T10Y3M!B:B,"",-1)</f>
        <v>1.6</v>
      </c>
      <c r="J1402" s="2">
        <f>_xlfn.XLOOKUP(A1402,BAMLC0A4CBBB!A:A,BAMLC0A4CBBB!B:B,"",-1)</f>
        <v>1.1100000000000001</v>
      </c>
      <c r="K1402" s="2">
        <f>_xlfn.XLOOKUP(A1402,CPIAUCSL!A:A,CPIAUCSL!B:B,"",-1)</f>
        <v>276.55</v>
      </c>
      <c r="L1402">
        <f>_xlfn.XLOOKUP(A1402,DFF!A:A,DFF!B:B,"",-1)</f>
        <v>0.08</v>
      </c>
      <c r="M1402">
        <f>_xlfn.XLOOKUP(A1402,'DGS2'!A:A,'DGS2'!B:B,"",-1)</f>
        <v>0.48</v>
      </c>
      <c r="N1402">
        <f t="shared" si="171"/>
        <v>2.9999999999999971E-2</v>
      </c>
      <c r="O1402">
        <f t="shared" si="172"/>
        <v>4.7481792778718557E-3</v>
      </c>
      <c r="P1402">
        <f t="shared" si="173"/>
        <v>1</v>
      </c>
      <c r="Q1402">
        <f t="shared" si="174"/>
        <v>1</v>
      </c>
    </row>
    <row r="1403" spans="1:17">
      <c r="A1403" s="1">
        <v>44494</v>
      </c>
      <c r="B1403">
        <v>4566.4799999999996</v>
      </c>
      <c r="C1403">
        <f t="shared" si="168"/>
        <v>4.7481792778718557E-3</v>
      </c>
      <c r="D1403">
        <f t="shared" si="175"/>
        <v>6.6774098968518381E-3</v>
      </c>
      <c r="E1403">
        <f>_xlfn.XLOOKUP(A1403,VIX!A:A,VIX!B:B,"",-1)</f>
        <v>15.24</v>
      </c>
      <c r="F1403">
        <f t="shared" si="169"/>
        <v>-0.1899999999999995</v>
      </c>
      <c r="G1403">
        <f>_xlfn.XLOOKUP(A1403,'DGS10'!A:A,'DGS10'!B:B,"",-1)</f>
        <v>1.64</v>
      </c>
      <c r="H1403">
        <f t="shared" si="170"/>
        <v>-2.0000000000000018E-2</v>
      </c>
      <c r="I1403" s="2">
        <f>_xlfn.XLOOKUP(A1403,T10Y3M!A:A,T10Y3M!B:B,"",-1)</f>
        <v>1.58</v>
      </c>
      <c r="J1403" s="2">
        <f>_xlfn.XLOOKUP(A1403,BAMLC0A4CBBB!A:A,BAMLC0A4CBBB!B:B,"",-1)</f>
        <v>1.1000000000000001</v>
      </c>
      <c r="K1403" s="2">
        <f>_xlfn.XLOOKUP(A1403,CPIAUCSL!A:A,CPIAUCSL!B:B,"",-1)</f>
        <v>276.55</v>
      </c>
      <c r="L1403">
        <f>_xlfn.XLOOKUP(A1403,DFF!A:A,DFF!B:B,"",-1)</f>
        <v>0.08</v>
      </c>
      <c r="M1403">
        <f>_xlfn.XLOOKUP(A1403,'DGS2'!A:A,'DGS2'!B:B,"",-1)</f>
        <v>0.47</v>
      </c>
      <c r="N1403">
        <f t="shared" si="171"/>
        <v>-1.0000000000000009E-2</v>
      </c>
      <c r="O1403">
        <f t="shared" si="172"/>
        <v>1.8197824144636776E-3</v>
      </c>
      <c r="P1403">
        <f t="shared" si="173"/>
        <v>1</v>
      </c>
      <c r="Q1403">
        <f t="shared" si="174"/>
        <v>0</v>
      </c>
    </row>
    <row r="1404" spans="1:17">
      <c r="A1404" s="1">
        <v>44495</v>
      </c>
      <c r="B1404">
        <v>4574.79</v>
      </c>
      <c r="C1404">
        <f t="shared" si="168"/>
        <v>1.8197824144636776E-3</v>
      </c>
      <c r="D1404">
        <f t="shared" si="175"/>
        <v>5.4969690842194829E-3</v>
      </c>
      <c r="E1404">
        <f>_xlfn.XLOOKUP(A1404,VIX!A:A,VIX!B:B,"",-1)</f>
        <v>15.98</v>
      </c>
      <c r="F1404">
        <f t="shared" si="169"/>
        <v>0.74000000000000021</v>
      </c>
      <c r="G1404">
        <f>_xlfn.XLOOKUP(A1404,'DGS10'!A:A,'DGS10'!B:B,"",-1)</f>
        <v>1.63</v>
      </c>
      <c r="H1404">
        <f t="shared" si="170"/>
        <v>-1.0000000000000009E-2</v>
      </c>
      <c r="I1404" s="2">
        <f>_xlfn.XLOOKUP(A1404,T10Y3M!A:A,T10Y3M!B:B,"",-1)</f>
        <v>1.57</v>
      </c>
      <c r="J1404" s="2">
        <f>_xlfn.XLOOKUP(A1404,BAMLC0A4CBBB!A:A,BAMLC0A4CBBB!B:B,"",-1)</f>
        <v>1.1000000000000001</v>
      </c>
      <c r="K1404" s="2">
        <f>_xlfn.XLOOKUP(A1404,CPIAUCSL!A:A,CPIAUCSL!B:B,"",-1)</f>
        <v>276.55</v>
      </c>
      <c r="L1404">
        <f>_xlfn.XLOOKUP(A1404,DFF!A:A,DFF!B:B,"",-1)</f>
        <v>0.08</v>
      </c>
      <c r="M1404">
        <f>_xlfn.XLOOKUP(A1404,'DGS2'!A:A,'DGS2'!B:B,"",-1)</f>
        <v>0.47</v>
      </c>
      <c r="N1404">
        <f t="shared" si="171"/>
        <v>0</v>
      </c>
      <c r="O1404">
        <f t="shared" si="172"/>
        <v>-5.0515979968478453E-3</v>
      </c>
      <c r="P1404">
        <f t="shared" si="173"/>
        <v>0</v>
      </c>
      <c r="Q1404">
        <f t="shared" si="174"/>
        <v>-1</v>
      </c>
    </row>
    <row r="1405" spans="1:17">
      <c r="A1405" s="1">
        <v>44496</v>
      </c>
      <c r="B1405">
        <v>4551.68</v>
      </c>
      <c r="C1405">
        <f t="shared" si="168"/>
        <v>-5.0515979968478453E-3</v>
      </c>
      <c r="D1405">
        <f t="shared" si="175"/>
        <v>1.4917819974038515E-3</v>
      </c>
      <c r="E1405">
        <f>_xlfn.XLOOKUP(A1405,VIX!A:A,VIX!B:B,"",-1)</f>
        <v>16.98</v>
      </c>
      <c r="F1405">
        <f t="shared" si="169"/>
        <v>1</v>
      </c>
      <c r="G1405">
        <f>_xlfn.XLOOKUP(A1405,'DGS10'!A:A,'DGS10'!B:B,"",-1)</f>
        <v>1.54</v>
      </c>
      <c r="H1405">
        <f t="shared" si="170"/>
        <v>-8.9999999999999858E-2</v>
      </c>
      <c r="I1405" s="2">
        <f>_xlfn.XLOOKUP(A1405,T10Y3M!A:A,T10Y3M!B:B,"",-1)</f>
        <v>1.48</v>
      </c>
      <c r="J1405" s="2">
        <f>_xlfn.XLOOKUP(A1405,BAMLC0A4CBBB!A:A,BAMLC0A4CBBB!B:B,"",-1)</f>
        <v>1.1000000000000001</v>
      </c>
      <c r="K1405" s="2">
        <f>_xlfn.XLOOKUP(A1405,CPIAUCSL!A:A,CPIAUCSL!B:B,"",-1)</f>
        <v>276.55</v>
      </c>
      <c r="L1405">
        <f>_xlfn.XLOOKUP(A1405,DFF!A:A,DFF!B:B,"",-1)</f>
        <v>0.08</v>
      </c>
      <c r="M1405">
        <f>_xlfn.XLOOKUP(A1405,'DGS2'!A:A,'DGS2'!B:B,"",-1)</f>
        <v>0.5</v>
      </c>
      <c r="N1405">
        <f t="shared" si="171"/>
        <v>3.0000000000000027E-2</v>
      </c>
      <c r="O1405">
        <f t="shared" si="172"/>
        <v>9.8293377390326064E-3</v>
      </c>
      <c r="P1405">
        <f t="shared" si="173"/>
        <v>1</v>
      </c>
      <c r="Q1405">
        <f t="shared" si="174"/>
        <v>1</v>
      </c>
    </row>
    <row r="1406" spans="1:17">
      <c r="A1406" s="1">
        <v>44497</v>
      </c>
      <c r="B1406">
        <v>4596.42</v>
      </c>
      <c r="C1406">
        <f t="shared" si="168"/>
        <v>9.8293377390326064E-3</v>
      </c>
      <c r="D1406">
        <f t="shared" si="175"/>
        <v>6.5564723813529291E-3</v>
      </c>
      <c r="E1406">
        <f>_xlfn.XLOOKUP(A1406,VIX!A:A,VIX!B:B,"",-1)</f>
        <v>16.53</v>
      </c>
      <c r="F1406">
        <f t="shared" si="169"/>
        <v>-0.44999999999999929</v>
      </c>
      <c r="G1406">
        <f>_xlfn.XLOOKUP(A1406,'DGS10'!A:A,'DGS10'!B:B,"",-1)</f>
        <v>1.57</v>
      </c>
      <c r="H1406">
        <f t="shared" si="170"/>
        <v>3.0000000000000027E-2</v>
      </c>
      <c r="I1406" s="2">
        <f>_xlfn.XLOOKUP(A1406,T10Y3M!A:A,T10Y3M!B:B,"",-1)</f>
        <v>1.51</v>
      </c>
      <c r="J1406" s="2">
        <f>_xlfn.XLOOKUP(A1406,BAMLC0A4CBBB!A:A,BAMLC0A4CBBB!B:B,"",-1)</f>
        <v>1.1000000000000001</v>
      </c>
      <c r="K1406" s="2">
        <f>_xlfn.XLOOKUP(A1406,CPIAUCSL!A:A,CPIAUCSL!B:B,"",-1)</f>
        <v>276.55</v>
      </c>
      <c r="L1406">
        <f>_xlfn.XLOOKUP(A1406,DFF!A:A,DFF!B:B,"",-1)</f>
        <v>0.08</v>
      </c>
      <c r="M1406">
        <f>_xlfn.XLOOKUP(A1406,'DGS2'!A:A,'DGS2'!B:B,"",-1)</f>
        <v>0.5</v>
      </c>
      <c r="N1406">
        <f t="shared" si="171"/>
        <v>0</v>
      </c>
      <c r="O1406">
        <f t="shared" si="172"/>
        <v>1.9493431844783693E-3</v>
      </c>
      <c r="P1406">
        <f t="shared" si="173"/>
        <v>1</v>
      </c>
      <c r="Q1406">
        <f t="shared" si="174"/>
        <v>0</v>
      </c>
    </row>
    <row r="1407" spans="1:17">
      <c r="A1407" s="1">
        <v>44498</v>
      </c>
      <c r="B1407">
        <v>4605.38</v>
      </c>
      <c r="C1407">
        <f t="shared" si="168"/>
        <v>1.9493431844783693E-3</v>
      </c>
      <c r="D1407">
        <f t="shared" si="175"/>
        <v>6.6866457258147882E-3</v>
      </c>
      <c r="E1407">
        <f>_xlfn.XLOOKUP(A1407,VIX!A:A,VIX!B:B,"",-1)</f>
        <v>16.260000000000002</v>
      </c>
      <c r="F1407">
        <f t="shared" si="169"/>
        <v>-0.26999999999999957</v>
      </c>
      <c r="G1407">
        <f>_xlfn.XLOOKUP(A1407,'DGS10'!A:A,'DGS10'!B:B,"",-1)</f>
        <v>1.55</v>
      </c>
      <c r="H1407">
        <f t="shared" si="170"/>
        <v>-2.0000000000000018E-2</v>
      </c>
      <c r="I1407" s="2">
        <f>_xlfn.XLOOKUP(A1407,T10Y3M!A:A,T10Y3M!B:B,"",-1)</f>
        <v>1.5</v>
      </c>
      <c r="J1407" s="2">
        <f>_xlfn.XLOOKUP(A1407,BAMLC0A4CBBB!A:A,BAMLC0A4CBBB!B:B,"",-1)</f>
        <v>1.1000000000000001</v>
      </c>
      <c r="K1407" s="2">
        <f>_xlfn.XLOOKUP(A1407,CPIAUCSL!A:A,CPIAUCSL!B:B,"",-1)</f>
        <v>276.55</v>
      </c>
      <c r="L1407">
        <f>_xlfn.XLOOKUP(A1407,DFF!A:A,DFF!B:B,"",-1)</f>
        <v>7.0000000000000007E-2</v>
      </c>
      <c r="M1407">
        <f>_xlfn.XLOOKUP(A1407,'DGS2'!A:A,'DGS2'!B:B,"",-1)</f>
        <v>0.48</v>
      </c>
      <c r="N1407">
        <f t="shared" si="171"/>
        <v>-2.0000000000000018E-2</v>
      </c>
      <c r="O1407">
        <f t="shared" si="172"/>
        <v>1.8000686154020507E-3</v>
      </c>
      <c r="P1407">
        <f t="shared" si="173"/>
        <v>1</v>
      </c>
      <c r="Q1407">
        <f t="shared" si="174"/>
        <v>0</v>
      </c>
    </row>
    <row r="1408" spans="1:17">
      <c r="A1408" s="1">
        <v>44501</v>
      </c>
      <c r="B1408">
        <v>4613.67</v>
      </c>
      <c r="C1408">
        <f t="shared" si="168"/>
        <v>1.8000686154020507E-3</v>
      </c>
      <c r="D1408">
        <f t="shared" si="175"/>
        <v>1.3619147215973015E-2</v>
      </c>
      <c r="E1408">
        <f>_xlfn.XLOOKUP(A1408,VIX!A:A,VIX!B:B,"",-1)</f>
        <v>16.41</v>
      </c>
      <c r="F1408">
        <f t="shared" si="169"/>
        <v>0.14999999999999858</v>
      </c>
      <c r="G1408">
        <f>_xlfn.XLOOKUP(A1408,'DGS10'!A:A,'DGS10'!B:B,"",-1)</f>
        <v>1.58</v>
      </c>
      <c r="H1408">
        <f t="shared" si="170"/>
        <v>3.0000000000000027E-2</v>
      </c>
      <c r="I1408" s="2">
        <f>_xlfn.XLOOKUP(A1408,T10Y3M!A:A,T10Y3M!B:B,"",-1)</f>
        <v>1.53</v>
      </c>
      <c r="J1408" s="2">
        <f>_xlfn.XLOOKUP(A1408,BAMLC0A4CBBB!A:A,BAMLC0A4CBBB!B:B,"",-1)</f>
        <v>1.1200000000000001</v>
      </c>
      <c r="K1408" s="2">
        <f>_xlfn.XLOOKUP(A1408,CPIAUCSL!A:A,CPIAUCSL!B:B,"",-1)</f>
        <v>278.91899999999998</v>
      </c>
      <c r="L1408">
        <f>_xlfn.XLOOKUP(A1408,DFF!A:A,DFF!B:B,"",-1)</f>
        <v>0.08</v>
      </c>
      <c r="M1408">
        <f>_xlfn.XLOOKUP(A1408,'DGS2'!A:A,'DGS2'!B:B,"",-1)</f>
        <v>0.5</v>
      </c>
      <c r="N1408">
        <f t="shared" si="171"/>
        <v>2.0000000000000018E-2</v>
      </c>
      <c r="O1408">
        <f t="shared" si="172"/>
        <v>3.6803672564356127E-3</v>
      </c>
      <c r="P1408">
        <f t="shared" si="173"/>
        <v>1</v>
      </c>
      <c r="Q1408">
        <f t="shared" si="174"/>
        <v>1</v>
      </c>
    </row>
    <row r="1409" spans="1:17">
      <c r="A1409" s="1">
        <v>44502</v>
      </c>
      <c r="B1409">
        <v>4630.6499999999996</v>
      </c>
      <c r="C1409">
        <f t="shared" si="168"/>
        <v>3.6803672564356127E-3</v>
      </c>
      <c r="D1409">
        <f t="shared" si="175"/>
        <v>7.4471001344522669E-3</v>
      </c>
      <c r="E1409">
        <f>_xlfn.XLOOKUP(A1409,VIX!A:A,VIX!B:B,"",-1)</f>
        <v>16.03</v>
      </c>
      <c r="F1409">
        <f t="shared" si="169"/>
        <v>-0.37999999999999901</v>
      </c>
      <c r="G1409">
        <f>_xlfn.XLOOKUP(A1409,'DGS10'!A:A,'DGS10'!B:B,"",-1)</f>
        <v>1.56</v>
      </c>
      <c r="H1409">
        <f t="shared" si="170"/>
        <v>-2.0000000000000018E-2</v>
      </c>
      <c r="I1409" s="2">
        <f>_xlfn.XLOOKUP(A1409,T10Y3M!A:A,T10Y3M!B:B,"",-1)</f>
        <v>1.51</v>
      </c>
      <c r="J1409" s="2">
        <f>_xlfn.XLOOKUP(A1409,BAMLC0A4CBBB!A:A,BAMLC0A4CBBB!B:B,"",-1)</f>
        <v>1.1200000000000001</v>
      </c>
      <c r="K1409" s="2">
        <f>_xlfn.XLOOKUP(A1409,CPIAUCSL!A:A,CPIAUCSL!B:B,"",-1)</f>
        <v>278.91899999999998</v>
      </c>
      <c r="L1409">
        <f>_xlfn.XLOOKUP(A1409,DFF!A:A,DFF!B:B,"",-1)</f>
        <v>0.08</v>
      </c>
      <c r="M1409">
        <f>_xlfn.XLOOKUP(A1409,'DGS2'!A:A,'DGS2'!B:B,"",-1)</f>
        <v>0.46</v>
      </c>
      <c r="N1409">
        <f t="shared" si="171"/>
        <v>-3.999999999999998E-2</v>
      </c>
      <c r="O1409">
        <f t="shared" si="172"/>
        <v>6.4612959303769202E-3</v>
      </c>
      <c r="P1409">
        <f t="shared" si="173"/>
        <v>1</v>
      </c>
      <c r="Q1409">
        <f t="shared" si="174"/>
        <v>1</v>
      </c>
    </row>
    <row r="1410" spans="1:17">
      <c r="A1410" s="1">
        <v>44503</v>
      </c>
      <c r="B1410">
        <v>4660.57</v>
      </c>
      <c r="C1410">
        <f t="shared" si="168"/>
        <v>6.4612959303769202E-3</v>
      </c>
      <c r="D1410">
        <f t="shared" si="175"/>
        <v>1.1983810239328596E-2</v>
      </c>
      <c r="E1410">
        <f>_xlfn.XLOOKUP(A1410,VIX!A:A,VIX!B:B,"",-1)</f>
        <v>15.1</v>
      </c>
      <c r="F1410">
        <f t="shared" si="169"/>
        <v>-0.93000000000000149</v>
      </c>
      <c r="G1410">
        <f>_xlfn.XLOOKUP(A1410,'DGS10'!A:A,'DGS10'!B:B,"",-1)</f>
        <v>1.6</v>
      </c>
      <c r="H1410">
        <f t="shared" si="170"/>
        <v>4.0000000000000036E-2</v>
      </c>
      <c r="I1410" s="2">
        <f>_xlfn.XLOOKUP(A1410,T10Y3M!A:A,T10Y3M!B:B,"",-1)</f>
        <v>1.55</v>
      </c>
      <c r="J1410" s="2">
        <f>_xlfn.XLOOKUP(A1410,BAMLC0A4CBBB!A:A,BAMLC0A4CBBB!B:B,"",-1)</f>
        <v>1.1200000000000001</v>
      </c>
      <c r="K1410" s="2">
        <f>_xlfn.XLOOKUP(A1410,CPIAUCSL!A:A,CPIAUCSL!B:B,"",-1)</f>
        <v>278.91899999999998</v>
      </c>
      <c r="L1410">
        <f>_xlfn.XLOOKUP(A1410,DFF!A:A,DFF!B:B,"",-1)</f>
        <v>0.08</v>
      </c>
      <c r="M1410">
        <f>_xlfn.XLOOKUP(A1410,'DGS2'!A:A,'DGS2'!B:B,"",-1)</f>
        <v>0.47</v>
      </c>
      <c r="N1410">
        <f t="shared" si="171"/>
        <v>9.9999999999999534E-3</v>
      </c>
      <c r="O1410">
        <f t="shared" si="172"/>
        <v>4.1818919145084621E-3</v>
      </c>
      <c r="P1410">
        <f t="shared" si="173"/>
        <v>1</v>
      </c>
      <c r="Q1410">
        <f t="shared" si="174"/>
        <v>1</v>
      </c>
    </row>
    <row r="1411" spans="1:17">
      <c r="A1411" s="1">
        <v>44504</v>
      </c>
      <c r="B1411">
        <v>4680.0600000000004</v>
      </c>
      <c r="C1411">
        <f t="shared" si="168"/>
        <v>4.1818919145084621E-3</v>
      </c>
      <c r="D1411">
        <f t="shared" si="175"/>
        <v>1.4389845827725178E-2</v>
      </c>
      <c r="E1411">
        <f>_xlfn.XLOOKUP(A1411,VIX!A:A,VIX!B:B,"",-1)</f>
        <v>15.44</v>
      </c>
      <c r="F1411">
        <f t="shared" si="169"/>
        <v>0.33999999999999986</v>
      </c>
      <c r="G1411">
        <f>_xlfn.XLOOKUP(A1411,'DGS10'!A:A,'DGS10'!B:B,"",-1)</f>
        <v>1.53</v>
      </c>
      <c r="H1411">
        <f t="shared" si="170"/>
        <v>-7.0000000000000062E-2</v>
      </c>
      <c r="I1411" s="2">
        <f>_xlfn.XLOOKUP(A1411,T10Y3M!A:A,T10Y3M!B:B,"",-1)</f>
        <v>1.49</v>
      </c>
      <c r="J1411" s="2">
        <f>_xlfn.XLOOKUP(A1411,BAMLC0A4CBBB!A:A,BAMLC0A4CBBB!B:B,"",-1)</f>
        <v>1.1200000000000001</v>
      </c>
      <c r="K1411" s="2">
        <f>_xlfn.XLOOKUP(A1411,CPIAUCSL!A:A,CPIAUCSL!B:B,"",-1)</f>
        <v>278.91899999999998</v>
      </c>
      <c r="L1411">
        <f>_xlfn.XLOOKUP(A1411,DFF!A:A,DFF!B:B,"",-1)</f>
        <v>0.08</v>
      </c>
      <c r="M1411">
        <f>_xlfn.XLOOKUP(A1411,'DGS2'!A:A,'DGS2'!B:B,"",-1)</f>
        <v>0.41</v>
      </c>
      <c r="N1411">
        <f t="shared" si="171"/>
        <v>-0.06</v>
      </c>
      <c r="O1411">
        <f t="shared" si="172"/>
        <v>3.7328581257503046E-3</v>
      </c>
      <c r="P1411">
        <f t="shared" si="173"/>
        <v>1</v>
      </c>
      <c r="Q1411">
        <f t="shared" si="174"/>
        <v>1</v>
      </c>
    </row>
    <row r="1412" spans="1:17">
      <c r="A1412" s="1">
        <v>44505</v>
      </c>
      <c r="B1412">
        <v>4697.53</v>
      </c>
      <c r="C1412">
        <f t="shared" ref="C1412:C1475" si="176">IF(OR(B1412="",B1411=""),"",(B1412/B1411)-1)</f>
        <v>3.7328581257503046E-3</v>
      </c>
      <c r="D1412">
        <f t="shared" si="175"/>
        <v>1.4442896785548553E-2</v>
      </c>
      <c r="E1412">
        <f>_xlfn.XLOOKUP(A1412,VIX!A:A,VIX!B:B,"",-1)</f>
        <v>16.48</v>
      </c>
      <c r="F1412">
        <f t="shared" ref="F1412:F1475" si="177">IF(OR(E1412="",E1411=""),"",E1412-E1411)</f>
        <v>1.0400000000000009</v>
      </c>
      <c r="G1412">
        <f>_xlfn.XLOOKUP(A1412,'DGS10'!A:A,'DGS10'!B:B,"",-1)</f>
        <v>1.45</v>
      </c>
      <c r="H1412">
        <f t="shared" ref="H1412:H1475" si="178">IF(OR(G1412="",G1411=""),"",G1412-G1411)</f>
        <v>-8.0000000000000071E-2</v>
      </c>
      <c r="I1412" s="2">
        <f>_xlfn.XLOOKUP(A1412,T10Y3M!A:A,T10Y3M!B:B,"",-1)</f>
        <v>1.4</v>
      </c>
      <c r="J1412" s="2">
        <f>_xlfn.XLOOKUP(A1412,BAMLC0A4CBBB!A:A,BAMLC0A4CBBB!B:B,"",-1)</f>
        <v>1.1100000000000001</v>
      </c>
      <c r="K1412" s="2">
        <f>_xlfn.XLOOKUP(A1412,CPIAUCSL!A:A,CPIAUCSL!B:B,"",-1)</f>
        <v>278.91899999999998</v>
      </c>
      <c r="L1412">
        <f>_xlfn.XLOOKUP(A1412,DFF!A:A,DFF!B:B,"",-1)</f>
        <v>0.08</v>
      </c>
      <c r="M1412">
        <f>_xlfn.XLOOKUP(A1412,'DGS2'!A:A,'DGS2'!B:B,"",-1)</f>
        <v>0.39</v>
      </c>
      <c r="N1412">
        <f t="shared" ref="N1412:N1475" si="179">IF(OR(M1412="",M1411=""),"",M1412-M1411)</f>
        <v>-1.9999999999999962E-2</v>
      </c>
      <c r="O1412">
        <f t="shared" ref="O1412:O1475" si="180">IF(OR(B1413="",B1412=""),"",(B1413/B1412)-1)</f>
        <v>8.8770055752696031E-4</v>
      </c>
      <c r="P1412">
        <f t="shared" ref="P1412:P1475" si="181">IF(O1412="","",IF(O1412&gt;0,1,0))</f>
        <v>1</v>
      </c>
      <c r="Q1412">
        <f t="shared" ref="Q1412:Q1475" si="182">IF(O1412="","",IF(O1412&gt;0.003,1,IF(O1412&lt;-0.003,-1,0)))</f>
        <v>0</v>
      </c>
    </row>
    <row r="1413" spans="1:17">
      <c r="A1413" s="1">
        <v>44508</v>
      </c>
      <c r="B1413">
        <v>4701.7</v>
      </c>
      <c r="C1413">
        <f t="shared" si="176"/>
        <v>8.8770055752696031E-4</v>
      </c>
      <c r="D1413">
        <f t="shared" si="175"/>
        <v>8.8251007923922931E-3</v>
      </c>
      <c r="E1413">
        <f>_xlfn.XLOOKUP(A1413,VIX!A:A,VIX!B:B,"",-1)</f>
        <v>17.22</v>
      </c>
      <c r="F1413">
        <f t="shared" si="177"/>
        <v>0.73999999999999844</v>
      </c>
      <c r="G1413">
        <f>_xlfn.XLOOKUP(A1413,'DGS10'!A:A,'DGS10'!B:B,"",-1)</f>
        <v>1.51</v>
      </c>
      <c r="H1413">
        <f t="shared" si="178"/>
        <v>6.0000000000000053E-2</v>
      </c>
      <c r="I1413" s="2">
        <f>_xlfn.XLOOKUP(A1413,T10Y3M!A:A,T10Y3M!B:B,"",-1)</f>
        <v>1.45</v>
      </c>
      <c r="J1413" s="2">
        <f>_xlfn.XLOOKUP(A1413,BAMLC0A4CBBB!A:A,BAMLC0A4CBBB!B:B,"",-1)</f>
        <v>1.1100000000000001</v>
      </c>
      <c r="K1413" s="2">
        <f>_xlfn.XLOOKUP(A1413,CPIAUCSL!A:A,CPIAUCSL!B:B,"",-1)</f>
        <v>278.91899999999998</v>
      </c>
      <c r="L1413">
        <f>_xlfn.XLOOKUP(A1413,DFF!A:A,DFF!B:B,"",-1)</f>
        <v>0.08</v>
      </c>
      <c r="M1413">
        <f>_xlfn.XLOOKUP(A1413,'DGS2'!A:A,'DGS2'!B:B,"",-1)</f>
        <v>0.45</v>
      </c>
      <c r="N1413">
        <f t="shared" si="179"/>
        <v>0.06</v>
      </c>
      <c r="O1413">
        <f t="shared" si="180"/>
        <v>-3.4987345002870374E-3</v>
      </c>
      <c r="P1413">
        <f t="shared" si="181"/>
        <v>0</v>
      </c>
      <c r="Q1413">
        <f t="shared" si="182"/>
        <v>-1</v>
      </c>
    </row>
    <row r="1414" spans="1:17">
      <c r="A1414" s="1">
        <v>44509</v>
      </c>
      <c r="B1414">
        <v>4685.25</v>
      </c>
      <c r="C1414">
        <f t="shared" si="176"/>
        <v>-3.4987345002870374E-3</v>
      </c>
      <c r="D1414">
        <f t="shared" ref="D1414:D1477" si="183">IF(OR(B1414="",B1411=""),"",(B1414/B1411)-1)</f>
        <v>1.1089601415366079E-3</v>
      </c>
      <c r="E1414">
        <f>_xlfn.XLOOKUP(A1414,VIX!A:A,VIX!B:B,"",-1)</f>
        <v>17.78</v>
      </c>
      <c r="F1414">
        <f t="shared" si="177"/>
        <v>0.56000000000000227</v>
      </c>
      <c r="G1414">
        <f>_xlfn.XLOOKUP(A1414,'DGS10'!A:A,'DGS10'!B:B,"",-1)</f>
        <v>1.46</v>
      </c>
      <c r="H1414">
        <f t="shared" si="178"/>
        <v>-5.0000000000000044E-2</v>
      </c>
      <c r="I1414" s="2">
        <f>_xlfn.XLOOKUP(A1414,T10Y3M!A:A,T10Y3M!B:B,"",-1)</f>
        <v>1.42</v>
      </c>
      <c r="J1414" s="2">
        <f>_xlfn.XLOOKUP(A1414,BAMLC0A4CBBB!A:A,BAMLC0A4CBBB!B:B,"",-1)</f>
        <v>1.1200000000000001</v>
      </c>
      <c r="K1414" s="2">
        <f>_xlfn.XLOOKUP(A1414,CPIAUCSL!A:A,CPIAUCSL!B:B,"",-1)</f>
        <v>278.91899999999998</v>
      </c>
      <c r="L1414">
        <f>_xlfn.XLOOKUP(A1414,DFF!A:A,DFF!B:B,"",-1)</f>
        <v>0.08</v>
      </c>
      <c r="M1414">
        <f>_xlfn.XLOOKUP(A1414,'DGS2'!A:A,'DGS2'!B:B,"",-1)</f>
        <v>0.41</v>
      </c>
      <c r="N1414">
        <f t="shared" si="179"/>
        <v>-4.0000000000000036E-2</v>
      </c>
      <c r="O1414">
        <f t="shared" si="180"/>
        <v>-8.2258150578944367E-3</v>
      </c>
      <c r="P1414">
        <f t="shared" si="181"/>
        <v>0</v>
      </c>
      <c r="Q1414">
        <f t="shared" si="182"/>
        <v>-1</v>
      </c>
    </row>
    <row r="1415" spans="1:17">
      <c r="A1415" s="1">
        <v>44510</v>
      </c>
      <c r="B1415">
        <v>4646.71</v>
      </c>
      <c r="C1415">
        <f t="shared" si="176"/>
        <v>-8.2258150578944367E-3</v>
      </c>
      <c r="D1415">
        <f t="shared" si="183"/>
        <v>-1.0818451398926565E-2</v>
      </c>
      <c r="E1415">
        <f>_xlfn.XLOOKUP(A1415,VIX!A:A,VIX!B:B,"",-1)</f>
        <v>18.73</v>
      </c>
      <c r="F1415">
        <f t="shared" si="177"/>
        <v>0.94999999999999929</v>
      </c>
      <c r="G1415">
        <f>_xlfn.XLOOKUP(A1415,'DGS10'!A:A,'DGS10'!B:B,"",-1)</f>
        <v>1.56</v>
      </c>
      <c r="H1415">
        <f t="shared" si="178"/>
        <v>0.10000000000000009</v>
      </c>
      <c r="I1415" s="2">
        <f>_xlfn.XLOOKUP(A1415,T10Y3M!A:A,T10Y3M!B:B,"",-1)</f>
        <v>1.51</v>
      </c>
      <c r="J1415" s="2">
        <f>_xlfn.XLOOKUP(A1415,BAMLC0A4CBBB!A:A,BAMLC0A4CBBB!B:B,"",-1)</f>
        <v>1.1100000000000001</v>
      </c>
      <c r="K1415" s="2">
        <f>_xlfn.XLOOKUP(A1415,CPIAUCSL!A:A,CPIAUCSL!B:B,"",-1)</f>
        <v>278.91899999999998</v>
      </c>
      <c r="L1415">
        <f>_xlfn.XLOOKUP(A1415,DFF!A:A,DFF!B:B,"",-1)</f>
        <v>0.08</v>
      </c>
      <c r="M1415">
        <f>_xlfn.XLOOKUP(A1415,'DGS2'!A:A,'DGS2'!B:B,"",-1)</f>
        <v>0.51</v>
      </c>
      <c r="N1415">
        <f t="shared" si="179"/>
        <v>0.10000000000000003</v>
      </c>
      <c r="O1415">
        <f t="shared" si="180"/>
        <v>5.5092743037565839E-4</v>
      </c>
      <c r="P1415">
        <f t="shared" si="181"/>
        <v>1</v>
      </c>
      <c r="Q1415">
        <f t="shared" si="182"/>
        <v>0</v>
      </c>
    </row>
    <row r="1416" spans="1:17">
      <c r="A1416" s="1">
        <v>44511</v>
      </c>
      <c r="B1416">
        <v>4649.2700000000004</v>
      </c>
      <c r="C1416">
        <f t="shared" si="176"/>
        <v>5.5092743037565839E-4</v>
      </c>
      <c r="D1416">
        <f t="shared" si="183"/>
        <v>-1.1151285705170322E-2</v>
      </c>
      <c r="E1416">
        <f>_xlfn.XLOOKUP(A1416,VIX!A:A,VIX!B:B,"",-1)</f>
        <v>17.66</v>
      </c>
      <c r="F1416">
        <f t="shared" si="177"/>
        <v>-1.0700000000000003</v>
      </c>
      <c r="G1416">
        <f>_xlfn.XLOOKUP(A1416,'DGS10'!A:A,'DGS10'!B:B,"",-1)</f>
        <v>0</v>
      </c>
      <c r="H1416">
        <f t="shared" si="178"/>
        <v>-1.56</v>
      </c>
      <c r="I1416" s="2">
        <f>_xlfn.XLOOKUP(A1416,T10Y3M!A:A,T10Y3M!B:B,"",-1)</f>
        <v>0</v>
      </c>
      <c r="J1416" s="2">
        <f>_xlfn.XLOOKUP(A1416,BAMLC0A4CBBB!A:A,BAMLC0A4CBBB!B:B,"",-1)</f>
        <v>1.1100000000000001</v>
      </c>
      <c r="K1416" s="2">
        <f>_xlfn.XLOOKUP(A1416,CPIAUCSL!A:A,CPIAUCSL!B:B,"",-1)</f>
        <v>278.91899999999998</v>
      </c>
      <c r="L1416">
        <f>_xlfn.XLOOKUP(A1416,DFF!A:A,DFF!B:B,"",-1)</f>
        <v>0.08</v>
      </c>
      <c r="M1416">
        <f>_xlfn.XLOOKUP(A1416,'DGS2'!A:A,'DGS2'!B:B,"",-1)</f>
        <v>0</v>
      </c>
      <c r="N1416">
        <f t="shared" si="179"/>
        <v>-0.51</v>
      </c>
      <c r="O1416">
        <f t="shared" si="180"/>
        <v>7.2226392530441164E-3</v>
      </c>
      <c r="P1416">
        <f t="shared" si="181"/>
        <v>1</v>
      </c>
      <c r="Q1416">
        <f t="shared" si="182"/>
        <v>1</v>
      </c>
    </row>
    <row r="1417" spans="1:17">
      <c r="A1417" s="1">
        <v>44512</v>
      </c>
      <c r="B1417">
        <v>4682.8500000000004</v>
      </c>
      <c r="C1417">
        <f t="shared" si="176"/>
        <v>7.2226392530441164E-3</v>
      </c>
      <c r="D1417">
        <f t="shared" si="183"/>
        <v>-5.1224587802134458E-4</v>
      </c>
      <c r="E1417">
        <f>_xlfn.XLOOKUP(A1417,VIX!A:A,VIX!B:B,"",-1)</f>
        <v>16.29</v>
      </c>
      <c r="F1417">
        <f t="shared" si="177"/>
        <v>-1.370000000000001</v>
      </c>
      <c r="G1417">
        <f>_xlfn.XLOOKUP(A1417,'DGS10'!A:A,'DGS10'!B:B,"",-1)</f>
        <v>1.58</v>
      </c>
      <c r="H1417">
        <f t="shared" si="178"/>
        <v>1.58</v>
      </c>
      <c r="I1417" s="2">
        <f>_xlfn.XLOOKUP(A1417,T10Y3M!A:A,T10Y3M!B:B,"",-1)</f>
        <v>1.53</v>
      </c>
      <c r="J1417" s="2">
        <f>_xlfn.XLOOKUP(A1417,BAMLC0A4CBBB!A:A,BAMLC0A4CBBB!B:B,"",-1)</f>
        <v>1.1200000000000001</v>
      </c>
      <c r="K1417" s="2">
        <f>_xlfn.XLOOKUP(A1417,CPIAUCSL!A:A,CPIAUCSL!B:B,"",-1)</f>
        <v>278.91899999999998</v>
      </c>
      <c r="L1417">
        <f>_xlfn.XLOOKUP(A1417,DFF!A:A,DFF!B:B,"",-1)</f>
        <v>0.08</v>
      </c>
      <c r="M1417">
        <f>_xlfn.XLOOKUP(A1417,'DGS2'!A:A,'DGS2'!B:B,"",-1)</f>
        <v>0.53</v>
      </c>
      <c r="N1417">
        <f t="shared" si="179"/>
        <v>0.53</v>
      </c>
      <c r="O1417">
        <f t="shared" si="180"/>
        <v>-1.0677258507119092E-5</v>
      </c>
      <c r="P1417">
        <f t="shared" si="181"/>
        <v>0</v>
      </c>
      <c r="Q1417">
        <f t="shared" si="182"/>
        <v>0</v>
      </c>
    </row>
    <row r="1418" spans="1:17">
      <c r="A1418" s="1">
        <v>44515</v>
      </c>
      <c r="B1418">
        <v>4682.8</v>
      </c>
      <c r="C1418">
        <f t="shared" si="176"/>
        <v>-1.0677258507119092E-5</v>
      </c>
      <c r="D1418">
        <f t="shared" si="183"/>
        <v>7.7667855321292834E-3</v>
      </c>
      <c r="E1418">
        <f>_xlfn.XLOOKUP(A1418,VIX!A:A,VIX!B:B,"",-1)</f>
        <v>16.489999999999998</v>
      </c>
      <c r="F1418">
        <f t="shared" si="177"/>
        <v>0.19999999999999929</v>
      </c>
      <c r="G1418">
        <f>_xlfn.XLOOKUP(A1418,'DGS10'!A:A,'DGS10'!B:B,"",-1)</f>
        <v>1.63</v>
      </c>
      <c r="H1418">
        <f t="shared" si="178"/>
        <v>4.9999999999999822E-2</v>
      </c>
      <c r="I1418" s="2">
        <f>_xlfn.XLOOKUP(A1418,T10Y3M!A:A,T10Y3M!B:B,"",-1)</f>
        <v>1.58</v>
      </c>
      <c r="J1418" s="2">
        <f>_xlfn.XLOOKUP(A1418,BAMLC0A4CBBB!A:A,BAMLC0A4CBBB!B:B,"",-1)</f>
        <v>1.1200000000000001</v>
      </c>
      <c r="K1418" s="2">
        <f>_xlfn.XLOOKUP(A1418,CPIAUCSL!A:A,CPIAUCSL!B:B,"",-1)</f>
        <v>278.91899999999998</v>
      </c>
      <c r="L1418">
        <f>_xlfn.XLOOKUP(A1418,DFF!A:A,DFF!B:B,"",-1)</f>
        <v>0.08</v>
      </c>
      <c r="M1418">
        <f>_xlfn.XLOOKUP(A1418,'DGS2'!A:A,'DGS2'!B:B,"",-1)</f>
        <v>0.53</v>
      </c>
      <c r="N1418">
        <f t="shared" si="179"/>
        <v>0</v>
      </c>
      <c r="O1418">
        <f t="shared" si="180"/>
        <v>3.8652088494062209E-3</v>
      </c>
      <c r="P1418">
        <f t="shared" si="181"/>
        <v>1</v>
      </c>
      <c r="Q1418">
        <f t="shared" si="182"/>
        <v>1</v>
      </c>
    </row>
    <row r="1419" spans="1:17">
      <c r="A1419" s="1">
        <v>44516</v>
      </c>
      <c r="B1419">
        <v>4700.8999999999996</v>
      </c>
      <c r="C1419">
        <f t="shared" si="176"/>
        <v>3.8652088494062209E-3</v>
      </c>
      <c r="D1419">
        <f t="shared" si="183"/>
        <v>1.1104969167202494E-2</v>
      </c>
      <c r="E1419">
        <f>_xlfn.XLOOKUP(A1419,VIX!A:A,VIX!B:B,"",-1)</f>
        <v>16.37</v>
      </c>
      <c r="F1419">
        <f t="shared" si="177"/>
        <v>-0.11999999999999744</v>
      </c>
      <c r="G1419">
        <f>_xlfn.XLOOKUP(A1419,'DGS10'!A:A,'DGS10'!B:B,"",-1)</f>
        <v>1.63</v>
      </c>
      <c r="H1419">
        <f t="shared" si="178"/>
        <v>0</v>
      </c>
      <c r="I1419" s="2">
        <f>_xlfn.XLOOKUP(A1419,T10Y3M!A:A,T10Y3M!B:B,"",-1)</f>
        <v>1.58</v>
      </c>
      <c r="J1419" s="2">
        <f>_xlfn.XLOOKUP(A1419,BAMLC0A4CBBB!A:A,BAMLC0A4CBBB!B:B,"",-1)</f>
        <v>1.1399999999999999</v>
      </c>
      <c r="K1419" s="2">
        <f>_xlfn.XLOOKUP(A1419,CPIAUCSL!A:A,CPIAUCSL!B:B,"",-1)</f>
        <v>278.91899999999998</v>
      </c>
      <c r="L1419">
        <f>_xlfn.XLOOKUP(A1419,DFF!A:A,DFF!B:B,"",-1)</f>
        <v>0.08</v>
      </c>
      <c r="M1419">
        <f>_xlfn.XLOOKUP(A1419,'DGS2'!A:A,'DGS2'!B:B,"",-1)</f>
        <v>0.54</v>
      </c>
      <c r="N1419">
        <f t="shared" si="179"/>
        <v>1.0000000000000009E-2</v>
      </c>
      <c r="O1419">
        <f t="shared" si="180"/>
        <v>-2.6016294752068125E-3</v>
      </c>
      <c r="P1419">
        <f t="shared" si="181"/>
        <v>0</v>
      </c>
      <c r="Q1419">
        <f t="shared" si="182"/>
        <v>0</v>
      </c>
    </row>
    <row r="1420" spans="1:17">
      <c r="A1420" s="1">
        <v>44517</v>
      </c>
      <c r="B1420">
        <v>4688.67</v>
      </c>
      <c r="C1420">
        <f t="shared" si="176"/>
        <v>-2.6016294752068125E-3</v>
      </c>
      <c r="D1420">
        <f t="shared" si="183"/>
        <v>1.2428328902269747E-3</v>
      </c>
      <c r="E1420">
        <f>_xlfn.XLOOKUP(A1420,VIX!A:A,VIX!B:B,"",-1)</f>
        <v>17.11</v>
      </c>
      <c r="F1420">
        <f t="shared" si="177"/>
        <v>0.73999999999999844</v>
      </c>
      <c r="G1420">
        <f>_xlfn.XLOOKUP(A1420,'DGS10'!A:A,'DGS10'!B:B,"",-1)</f>
        <v>1.6</v>
      </c>
      <c r="H1420">
        <f t="shared" si="178"/>
        <v>-2.9999999999999805E-2</v>
      </c>
      <c r="I1420" s="2">
        <f>_xlfn.XLOOKUP(A1420,T10Y3M!A:A,T10Y3M!B:B,"",-1)</f>
        <v>1.55</v>
      </c>
      <c r="J1420" s="2">
        <f>_xlfn.XLOOKUP(A1420,BAMLC0A4CBBB!A:A,BAMLC0A4CBBB!B:B,"",-1)</f>
        <v>1.1499999999999999</v>
      </c>
      <c r="K1420" s="2">
        <f>_xlfn.XLOOKUP(A1420,CPIAUCSL!A:A,CPIAUCSL!B:B,"",-1)</f>
        <v>278.91899999999998</v>
      </c>
      <c r="L1420">
        <f>_xlfn.XLOOKUP(A1420,DFF!A:A,DFF!B:B,"",-1)</f>
        <v>0.08</v>
      </c>
      <c r="M1420">
        <f>_xlfn.XLOOKUP(A1420,'DGS2'!A:A,'DGS2'!B:B,"",-1)</f>
        <v>0.52</v>
      </c>
      <c r="N1420">
        <f t="shared" si="179"/>
        <v>-2.0000000000000018E-2</v>
      </c>
      <c r="O1420">
        <f t="shared" si="180"/>
        <v>3.3847551651107199E-3</v>
      </c>
      <c r="P1420">
        <f t="shared" si="181"/>
        <v>1</v>
      </c>
      <c r="Q1420">
        <f t="shared" si="182"/>
        <v>1</v>
      </c>
    </row>
    <row r="1421" spans="1:17">
      <c r="A1421" s="1">
        <v>44518</v>
      </c>
      <c r="B1421">
        <v>4704.54</v>
      </c>
      <c r="C1421">
        <f t="shared" si="176"/>
        <v>3.3847551651107199E-3</v>
      </c>
      <c r="D1421">
        <f t="shared" si="183"/>
        <v>4.6425215682923682E-3</v>
      </c>
      <c r="E1421">
        <f>_xlfn.XLOOKUP(A1421,VIX!A:A,VIX!B:B,"",-1)</f>
        <v>17.59</v>
      </c>
      <c r="F1421">
        <f t="shared" si="177"/>
        <v>0.48000000000000043</v>
      </c>
      <c r="G1421">
        <f>_xlfn.XLOOKUP(A1421,'DGS10'!A:A,'DGS10'!B:B,"",-1)</f>
        <v>1.59</v>
      </c>
      <c r="H1421">
        <f t="shared" si="178"/>
        <v>-1.0000000000000009E-2</v>
      </c>
      <c r="I1421" s="2">
        <f>_xlfn.XLOOKUP(A1421,T10Y3M!A:A,T10Y3M!B:B,"",-1)</f>
        <v>1.54</v>
      </c>
      <c r="J1421" s="2">
        <f>_xlfn.XLOOKUP(A1421,BAMLC0A4CBBB!A:A,BAMLC0A4CBBB!B:B,"",-1)</f>
        <v>1.1499999999999999</v>
      </c>
      <c r="K1421" s="2">
        <f>_xlfn.XLOOKUP(A1421,CPIAUCSL!A:A,CPIAUCSL!B:B,"",-1)</f>
        <v>278.91899999999998</v>
      </c>
      <c r="L1421">
        <f>_xlfn.XLOOKUP(A1421,DFF!A:A,DFF!B:B,"",-1)</f>
        <v>0.08</v>
      </c>
      <c r="M1421">
        <f>_xlfn.XLOOKUP(A1421,'DGS2'!A:A,'DGS2'!B:B,"",-1)</f>
        <v>0.52</v>
      </c>
      <c r="N1421">
        <f t="shared" si="179"/>
        <v>0</v>
      </c>
      <c r="O1421">
        <f t="shared" si="180"/>
        <v>-1.3986489646171663E-3</v>
      </c>
      <c r="P1421">
        <f t="shared" si="181"/>
        <v>0</v>
      </c>
      <c r="Q1421">
        <f t="shared" si="182"/>
        <v>0</v>
      </c>
    </row>
    <row r="1422" spans="1:17">
      <c r="A1422" s="1">
        <v>44519</v>
      </c>
      <c r="B1422">
        <v>4697.96</v>
      </c>
      <c r="C1422">
        <f t="shared" si="176"/>
        <v>-1.3986489646171663E-3</v>
      </c>
      <c r="D1422">
        <f t="shared" si="183"/>
        <v>-6.2541215511913162E-4</v>
      </c>
      <c r="E1422">
        <f>_xlfn.XLOOKUP(A1422,VIX!A:A,VIX!B:B,"",-1)</f>
        <v>17.91</v>
      </c>
      <c r="F1422">
        <f t="shared" si="177"/>
        <v>0.32000000000000028</v>
      </c>
      <c r="G1422">
        <f>_xlfn.XLOOKUP(A1422,'DGS10'!A:A,'DGS10'!B:B,"",-1)</f>
        <v>1.54</v>
      </c>
      <c r="H1422">
        <f t="shared" si="178"/>
        <v>-5.0000000000000044E-2</v>
      </c>
      <c r="I1422" s="2">
        <f>_xlfn.XLOOKUP(A1422,T10Y3M!A:A,T10Y3M!B:B,"",-1)</f>
        <v>1.49</v>
      </c>
      <c r="J1422" s="2">
        <f>_xlfn.XLOOKUP(A1422,BAMLC0A4CBBB!A:A,BAMLC0A4CBBB!B:B,"",-1)</f>
        <v>1.1499999999999999</v>
      </c>
      <c r="K1422" s="2">
        <f>_xlfn.XLOOKUP(A1422,CPIAUCSL!A:A,CPIAUCSL!B:B,"",-1)</f>
        <v>278.91899999999998</v>
      </c>
      <c r="L1422">
        <f>_xlfn.XLOOKUP(A1422,DFF!A:A,DFF!B:B,"",-1)</f>
        <v>0.08</v>
      </c>
      <c r="M1422">
        <f>_xlfn.XLOOKUP(A1422,'DGS2'!A:A,'DGS2'!B:B,"",-1)</f>
        <v>0.52</v>
      </c>
      <c r="N1422">
        <f t="shared" si="179"/>
        <v>0</v>
      </c>
      <c r="O1422">
        <f t="shared" si="180"/>
        <v>-3.1971323723489764E-3</v>
      </c>
      <c r="P1422">
        <f t="shared" si="181"/>
        <v>0</v>
      </c>
      <c r="Q1422">
        <f t="shared" si="182"/>
        <v>-1</v>
      </c>
    </row>
    <row r="1423" spans="1:17">
      <c r="A1423" s="1">
        <v>44522</v>
      </c>
      <c r="B1423">
        <v>4682.9399999999996</v>
      </c>
      <c r="C1423">
        <f t="shared" si="176"/>
        <v>-3.1971323723489764E-3</v>
      </c>
      <c r="D1423">
        <f t="shared" si="183"/>
        <v>-1.2220949650968427E-3</v>
      </c>
      <c r="E1423">
        <f>_xlfn.XLOOKUP(A1423,VIX!A:A,VIX!B:B,"",-1)</f>
        <v>19.170000000000002</v>
      </c>
      <c r="F1423">
        <f t="shared" si="177"/>
        <v>1.2600000000000016</v>
      </c>
      <c r="G1423">
        <f>_xlfn.XLOOKUP(A1423,'DGS10'!A:A,'DGS10'!B:B,"",-1)</f>
        <v>1.63</v>
      </c>
      <c r="H1423">
        <f t="shared" si="178"/>
        <v>8.9999999999999858E-2</v>
      </c>
      <c r="I1423" s="2">
        <f>_xlfn.XLOOKUP(A1423,T10Y3M!A:A,T10Y3M!B:B,"",-1)</f>
        <v>1.58</v>
      </c>
      <c r="J1423" s="2">
        <f>_xlfn.XLOOKUP(A1423,BAMLC0A4CBBB!A:A,BAMLC0A4CBBB!B:B,"",-1)</f>
        <v>1.1499999999999999</v>
      </c>
      <c r="K1423" s="2">
        <f>_xlfn.XLOOKUP(A1423,CPIAUCSL!A:A,CPIAUCSL!B:B,"",-1)</f>
        <v>278.91899999999998</v>
      </c>
      <c r="L1423">
        <f>_xlfn.XLOOKUP(A1423,DFF!A:A,DFF!B:B,"",-1)</f>
        <v>0.08</v>
      </c>
      <c r="M1423">
        <f>_xlfn.XLOOKUP(A1423,'DGS2'!A:A,'DGS2'!B:B,"",-1)</f>
        <v>0.63</v>
      </c>
      <c r="N1423">
        <f t="shared" si="179"/>
        <v>0.10999999999999999</v>
      </c>
      <c r="O1423">
        <f t="shared" si="180"/>
        <v>1.6570786727996278E-3</v>
      </c>
      <c r="P1423">
        <f t="shared" si="181"/>
        <v>1</v>
      </c>
      <c r="Q1423">
        <f t="shared" si="182"/>
        <v>0</v>
      </c>
    </row>
    <row r="1424" spans="1:17">
      <c r="A1424" s="1">
        <v>44523</v>
      </c>
      <c r="B1424">
        <v>4690.7</v>
      </c>
      <c r="C1424">
        <f t="shared" si="176"/>
        <v>1.6570786727996278E-3</v>
      </c>
      <c r="D1424">
        <f t="shared" si="183"/>
        <v>-2.9418391596203186E-3</v>
      </c>
      <c r="E1424">
        <f>_xlfn.XLOOKUP(A1424,VIX!A:A,VIX!B:B,"",-1)</f>
        <v>19.38</v>
      </c>
      <c r="F1424">
        <f t="shared" si="177"/>
        <v>0.2099999999999973</v>
      </c>
      <c r="G1424">
        <f>_xlfn.XLOOKUP(A1424,'DGS10'!A:A,'DGS10'!B:B,"",-1)</f>
        <v>1.67</v>
      </c>
      <c r="H1424">
        <f t="shared" si="178"/>
        <v>4.0000000000000036E-2</v>
      </c>
      <c r="I1424" s="2">
        <f>_xlfn.XLOOKUP(A1424,T10Y3M!A:A,T10Y3M!B:B,"",-1)</f>
        <v>1.61</v>
      </c>
      <c r="J1424" s="2">
        <f>_xlfn.XLOOKUP(A1424,BAMLC0A4CBBB!A:A,BAMLC0A4CBBB!B:B,"",-1)</f>
        <v>1.18</v>
      </c>
      <c r="K1424" s="2">
        <f>_xlfn.XLOOKUP(A1424,CPIAUCSL!A:A,CPIAUCSL!B:B,"",-1)</f>
        <v>278.91899999999998</v>
      </c>
      <c r="L1424">
        <f>_xlfn.XLOOKUP(A1424,DFF!A:A,DFF!B:B,"",-1)</f>
        <v>0.08</v>
      </c>
      <c r="M1424">
        <f>_xlfn.XLOOKUP(A1424,'DGS2'!A:A,'DGS2'!B:B,"",-1)</f>
        <v>0.6</v>
      </c>
      <c r="N1424">
        <f t="shared" si="179"/>
        <v>-3.0000000000000027E-2</v>
      </c>
      <c r="O1424">
        <f t="shared" si="180"/>
        <v>2.2939006971240961E-3</v>
      </c>
      <c r="P1424">
        <f t="shared" si="181"/>
        <v>1</v>
      </c>
      <c r="Q1424">
        <f t="shared" si="182"/>
        <v>0</v>
      </c>
    </row>
    <row r="1425" spans="1:17">
      <c r="A1425" s="1">
        <v>44524</v>
      </c>
      <c r="B1425">
        <v>4701.46</v>
      </c>
      <c r="C1425">
        <f t="shared" si="176"/>
        <v>2.2939006971240961E-3</v>
      </c>
      <c r="D1425">
        <f t="shared" si="183"/>
        <v>7.4500421459533506E-4</v>
      </c>
      <c r="E1425">
        <f>_xlfn.XLOOKUP(A1425,VIX!A:A,VIX!B:B,"",-1)</f>
        <v>18.579999999999998</v>
      </c>
      <c r="F1425">
        <f t="shared" si="177"/>
        <v>-0.80000000000000071</v>
      </c>
      <c r="G1425">
        <f>_xlfn.XLOOKUP(A1425,'DGS10'!A:A,'DGS10'!B:B,"",-1)</f>
        <v>1.64</v>
      </c>
      <c r="H1425">
        <f t="shared" si="178"/>
        <v>-3.0000000000000027E-2</v>
      </c>
      <c r="I1425" s="2">
        <f>_xlfn.XLOOKUP(A1425,T10Y3M!A:A,T10Y3M!B:B,"",-1)</f>
        <v>1.58</v>
      </c>
      <c r="J1425" s="2">
        <f>_xlfn.XLOOKUP(A1425,BAMLC0A4CBBB!A:A,BAMLC0A4CBBB!B:B,"",-1)</f>
        <v>1.17</v>
      </c>
      <c r="K1425" s="2">
        <f>_xlfn.XLOOKUP(A1425,CPIAUCSL!A:A,CPIAUCSL!B:B,"",-1)</f>
        <v>278.91899999999998</v>
      </c>
      <c r="L1425">
        <f>_xlfn.XLOOKUP(A1425,DFF!A:A,DFF!B:B,"",-1)</f>
        <v>0.08</v>
      </c>
      <c r="M1425">
        <f>_xlfn.XLOOKUP(A1425,'DGS2'!A:A,'DGS2'!B:B,"",-1)</f>
        <v>0.64</v>
      </c>
      <c r="N1425">
        <f t="shared" si="179"/>
        <v>4.0000000000000036E-2</v>
      </c>
      <c r="O1425">
        <f t="shared" si="180"/>
        <v>-2.2724855683128209E-2</v>
      </c>
      <c r="P1425">
        <f t="shared" si="181"/>
        <v>0</v>
      </c>
      <c r="Q1425">
        <f t="shared" si="182"/>
        <v>-1</v>
      </c>
    </row>
    <row r="1426" spans="1:17">
      <c r="A1426" s="1">
        <v>44526</v>
      </c>
      <c r="B1426">
        <v>4594.62</v>
      </c>
      <c r="C1426">
        <f t="shared" si="176"/>
        <v>-2.2724855683128209E-2</v>
      </c>
      <c r="D1426">
        <f t="shared" si="183"/>
        <v>-1.8859946956399143E-2</v>
      </c>
      <c r="E1426">
        <f>_xlfn.XLOOKUP(A1426,VIX!A:A,VIX!B:B,"",-1)</f>
        <v>28.62</v>
      </c>
      <c r="F1426">
        <f t="shared" si="177"/>
        <v>10.040000000000003</v>
      </c>
      <c r="G1426">
        <f>_xlfn.XLOOKUP(A1426,'DGS10'!A:A,'DGS10'!B:B,"",-1)</f>
        <v>1.48</v>
      </c>
      <c r="H1426">
        <f t="shared" si="178"/>
        <v>-0.15999999999999992</v>
      </c>
      <c r="I1426" s="2">
        <f>_xlfn.XLOOKUP(A1426,T10Y3M!A:A,T10Y3M!B:B,"",-1)</f>
        <v>1.42</v>
      </c>
      <c r="J1426" s="2">
        <f>_xlfn.XLOOKUP(A1426,BAMLC0A4CBBB!A:A,BAMLC0A4CBBB!B:B,"",-1)</f>
        <v>1.23</v>
      </c>
      <c r="K1426" s="2">
        <f>_xlfn.XLOOKUP(A1426,CPIAUCSL!A:A,CPIAUCSL!B:B,"",-1)</f>
        <v>278.91899999999998</v>
      </c>
      <c r="L1426">
        <f>_xlfn.XLOOKUP(A1426,DFF!A:A,DFF!B:B,"",-1)</f>
        <v>0.08</v>
      </c>
      <c r="M1426">
        <f>_xlfn.XLOOKUP(A1426,'DGS2'!A:A,'DGS2'!B:B,"",-1)</f>
        <v>0.5</v>
      </c>
      <c r="N1426">
        <f t="shared" si="179"/>
        <v>-0.14000000000000001</v>
      </c>
      <c r="O1426">
        <f t="shared" si="180"/>
        <v>1.3200221128189193E-2</v>
      </c>
      <c r="P1426">
        <f t="shared" si="181"/>
        <v>1</v>
      </c>
      <c r="Q1426">
        <f t="shared" si="182"/>
        <v>1</v>
      </c>
    </row>
    <row r="1427" spans="1:17">
      <c r="A1427" s="1">
        <v>44529</v>
      </c>
      <c r="B1427">
        <v>4655.2700000000004</v>
      </c>
      <c r="C1427">
        <f t="shared" si="176"/>
        <v>1.3200221128189193E-2</v>
      </c>
      <c r="D1427">
        <f t="shared" si="183"/>
        <v>-7.5532436523332303E-3</v>
      </c>
      <c r="E1427">
        <f>_xlfn.XLOOKUP(A1427,VIX!A:A,VIX!B:B,"",-1)</f>
        <v>22.96</v>
      </c>
      <c r="F1427">
        <f t="shared" si="177"/>
        <v>-5.66</v>
      </c>
      <c r="G1427">
        <f>_xlfn.XLOOKUP(A1427,'DGS10'!A:A,'DGS10'!B:B,"",-1)</f>
        <v>1.52</v>
      </c>
      <c r="H1427">
        <f t="shared" si="178"/>
        <v>4.0000000000000036E-2</v>
      </c>
      <c r="I1427" s="2">
        <f>_xlfn.XLOOKUP(A1427,T10Y3M!A:A,T10Y3M!B:B,"",-1)</f>
        <v>1.46</v>
      </c>
      <c r="J1427" s="2">
        <f>_xlfn.XLOOKUP(A1427,BAMLC0A4CBBB!A:A,BAMLC0A4CBBB!B:B,"",-1)</f>
        <v>1.24</v>
      </c>
      <c r="K1427" s="2">
        <f>_xlfn.XLOOKUP(A1427,CPIAUCSL!A:A,CPIAUCSL!B:B,"",-1)</f>
        <v>278.91899999999998</v>
      </c>
      <c r="L1427">
        <f>_xlfn.XLOOKUP(A1427,DFF!A:A,DFF!B:B,"",-1)</f>
        <v>0.08</v>
      </c>
      <c r="M1427">
        <f>_xlfn.XLOOKUP(A1427,'DGS2'!A:A,'DGS2'!B:B,"",-1)</f>
        <v>0.51</v>
      </c>
      <c r="N1427">
        <f t="shared" si="179"/>
        <v>1.0000000000000009E-2</v>
      </c>
      <c r="O1427">
        <f t="shared" si="180"/>
        <v>-1.8961306218543861E-2</v>
      </c>
      <c r="P1427">
        <f t="shared" si="181"/>
        <v>0</v>
      </c>
      <c r="Q1427">
        <f t="shared" si="182"/>
        <v>-1</v>
      </c>
    </row>
    <row r="1428" spans="1:17">
      <c r="A1428" s="1">
        <v>44530</v>
      </c>
      <c r="B1428">
        <v>4567</v>
      </c>
      <c r="C1428">
        <f t="shared" si="176"/>
        <v>-1.8961306218543861E-2</v>
      </c>
      <c r="D1428">
        <f t="shared" si="183"/>
        <v>-2.8599626499002495E-2</v>
      </c>
      <c r="E1428">
        <f>_xlfn.XLOOKUP(A1428,VIX!A:A,VIX!B:B,"",-1)</f>
        <v>27.19</v>
      </c>
      <c r="F1428">
        <f t="shared" si="177"/>
        <v>4.2300000000000004</v>
      </c>
      <c r="G1428">
        <f>_xlfn.XLOOKUP(A1428,'DGS10'!A:A,'DGS10'!B:B,"",-1)</f>
        <v>1.43</v>
      </c>
      <c r="H1428">
        <f t="shared" si="178"/>
        <v>-9.000000000000008E-2</v>
      </c>
      <c r="I1428" s="2">
        <f>_xlfn.XLOOKUP(A1428,T10Y3M!A:A,T10Y3M!B:B,"",-1)</f>
        <v>1.38</v>
      </c>
      <c r="J1428" s="2">
        <f>_xlfn.XLOOKUP(A1428,BAMLC0A4CBBB!A:A,BAMLC0A4CBBB!B:B,"",-1)</f>
        <v>1.26</v>
      </c>
      <c r="K1428" s="2">
        <f>_xlfn.XLOOKUP(A1428,CPIAUCSL!A:A,CPIAUCSL!B:B,"",-1)</f>
        <v>278.91899999999998</v>
      </c>
      <c r="L1428">
        <f>_xlfn.XLOOKUP(A1428,DFF!A:A,DFF!B:B,"",-1)</f>
        <v>7.0000000000000007E-2</v>
      </c>
      <c r="M1428">
        <f>_xlfn.XLOOKUP(A1428,'DGS2'!A:A,'DGS2'!B:B,"",-1)</f>
        <v>0.52</v>
      </c>
      <c r="N1428">
        <f t="shared" si="179"/>
        <v>1.0000000000000009E-2</v>
      </c>
      <c r="O1428">
        <f t="shared" si="180"/>
        <v>-1.1815195971097037E-2</v>
      </c>
      <c r="P1428">
        <f t="shared" si="181"/>
        <v>0</v>
      </c>
      <c r="Q1428">
        <f t="shared" si="182"/>
        <v>-1</v>
      </c>
    </row>
    <row r="1429" spans="1:17">
      <c r="A1429" s="1">
        <v>44531</v>
      </c>
      <c r="B1429">
        <v>4513.04</v>
      </c>
      <c r="C1429">
        <f t="shared" si="176"/>
        <v>-1.1815195971097037E-2</v>
      </c>
      <c r="D1429">
        <f t="shared" si="183"/>
        <v>-1.7755548881082661E-2</v>
      </c>
      <c r="E1429">
        <f>_xlfn.XLOOKUP(A1429,VIX!A:A,VIX!B:B,"",-1)</f>
        <v>31.12</v>
      </c>
      <c r="F1429">
        <f t="shared" si="177"/>
        <v>3.9299999999999997</v>
      </c>
      <c r="G1429">
        <f>_xlfn.XLOOKUP(A1429,'DGS10'!A:A,'DGS10'!B:B,"",-1)</f>
        <v>1.43</v>
      </c>
      <c r="H1429">
        <f t="shared" si="178"/>
        <v>0</v>
      </c>
      <c r="I1429" s="2">
        <f>_xlfn.XLOOKUP(A1429,T10Y3M!A:A,T10Y3M!B:B,"",-1)</f>
        <v>1.37</v>
      </c>
      <c r="J1429" s="2">
        <f>_xlfn.XLOOKUP(A1429,BAMLC0A4CBBB!A:A,BAMLC0A4CBBB!B:B,"",-1)</f>
        <v>1.27</v>
      </c>
      <c r="K1429" s="2">
        <f>_xlfn.XLOOKUP(A1429,CPIAUCSL!A:A,CPIAUCSL!B:B,"",-1)</f>
        <v>280.84500000000003</v>
      </c>
      <c r="L1429">
        <f>_xlfn.XLOOKUP(A1429,DFF!A:A,DFF!B:B,"",-1)</f>
        <v>0.08</v>
      </c>
      <c r="M1429">
        <f>_xlfn.XLOOKUP(A1429,'DGS2'!A:A,'DGS2'!B:B,"",-1)</f>
        <v>0.56000000000000005</v>
      </c>
      <c r="N1429">
        <f t="shared" si="179"/>
        <v>4.0000000000000036E-2</v>
      </c>
      <c r="O1429">
        <f t="shared" si="180"/>
        <v>1.4194423271231882E-2</v>
      </c>
      <c r="P1429">
        <f t="shared" si="181"/>
        <v>1</v>
      </c>
      <c r="Q1429">
        <f t="shared" si="182"/>
        <v>1</v>
      </c>
    </row>
    <row r="1430" spans="1:17">
      <c r="A1430" s="1">
        <v>44532</v>
      </c>
      <c r="B1430">
        <v>4577.1000000000004</v>
      </c>
      <c r="C1430">
        <f t="shared" si="176"/>
        <v>1.4194423271231882E-2</v>
      </c>
      <c r="D1430">
        <f t="shared" si="183"/>
        <v>-1.6791722069826265E-2</v>
      </c>
      <c r="E1430">
        <f>_xlfn.XLOOKUP(A1430,VIX!A:A,VIX!B:B,"",-1)</f>
        <v>27.95</v>
      </c>
      <c r="F1430">
        <f t="shared" si="177"/>
        <v>-3.1700000000000017</v>
      </c>
      <c r="G1430">
        <f>_xlfn.XLOOKUP(A1430,'DGS10'!A:A,'DGS10'!B:B,"",-1)</f>
        <v>1.44</v>
      </c>
      <c r="H1430">
        <f t="shared" si="178"/>
        <v>1.0000000000000009E-2</v>
      </c>
      <c r="I1430" s="2">
        <f>_xlfn.XLOOKUP(A1430,T10Y3M!A:A,T10Y3M!B:B,"",-1)</f>
        <v>1.39</v>
      </c>
      <c r="J1430" s="2">
        <f>_xlfn.XLOOKUP(A1430,BAMLC0A4CBBB!A:A,BAMLC0A4CBBB!B:B,"",-1)</f>
        <v>1.28</v>
      </c>
      <c r="K1430" s="2">
        <f>_xlfn.XLOOKUP(A1430,CPIAUCSL!A:A,CPIAUCSL!B:B,"",-1)</f>
        <v>280.84500000000003</v>
      </c>
      <c r="L1430">
        <f>_xlfn.XLOOKUP(A1430,DFF!A:A,DFF!B:B,"",-1)</f>
        <v>0.08</v>
      </c>
      <c r="M1430">
        <f>_xlfn.XLOOKUP(A1430,'DGS2'!A:A,'DGS2'!B:B,"",-1)</f>
        <v>0.63</v>
      </c>
      <c r="N1430">
        <f t="shared" si="179"/>
        <v>6.9999999999999951E-2</v>
      </c>
      <c r="O1430">
        <f t="shared" si="180"/>
        <v>-8.4485809792226307E-3</v>
      </c>
      <c r="P1430">
        <f t="shared" si="181"/>
        <v>0</v>
      </c>
      <c r="Q1430">
        <f t="shared" si="182"/>
        <v>-1</v>
      </c>
    </row>
    <row r="1431" spans="1:17">
      <c r="A1431" s="1">
        <v>44533</v>
      </c>
      <c r="B1431">
        <v>4538.43</v>
      </c>
      <c r="C1431">
        <f t="shared" si="176"/>
        <v>-8.4485809792226307E-3</v>
      </c>
      <c r="D1431">
        <f t="shared" si="183"/>
        <v>-6.2557477556381968E-3</v>
      </c>
      <c r="E1431">
        <f>_xlfn.XLOOKUP(A1431,VIX!A:A,VIX!B:B,"",-1)</f>
        <v>30.67</v>
      </c>
      <c r="F1431">
        <f t="shared" si="177"/>
        <v>2.7200000000000024</v>
      </c>
      <c r="G1431">
        <f>_xlfn.XLOOKUP(A1431,'DGS10'!A:A,'DGS10'!B:B,"",-1)</f>
        <v>1.35</v>
      </c>
      <c r="H1431">
        <f t="shared" si="178"/>
        <v>-8.9999999999999858E-2</v>
      </c>
      <c r="I1431" s="2">
        <f>_xlfn.XLOOKUP(A1431,T10Y3M!A:A,T10Y3M!B:B,"",-1)</f>
        <v>1.29</v>
      </c>
      <c r="J1431" s="2">
        <f>_xlfn.XLOOKUP(A1431,BAMLC0A4CBBB!A:A,BAMLC0A4CBBB!B:B,"",-1)</f>
        <v>1.27</v>
      </c>
      <c r="K1431" s="2">
        <f>_xlfn.XLOOKUP(A1431,CPIAUCSL!A:A,CPIAUCSL!B:B,"",-1)</f>
        <v>280.84500000000003</v>
      </c>
      <c r="L1431">
        <f>_xlfn.XLOOKUP(A1431,DFF!A:A,DFF!B:B,"",-1)</f>
        <v>0.08</v>
      </c>
      <c r="M1431">
        <f>_xlfn.XLOOKUP(A1431,'DGS2'!A:A,'DGS2'!B:B,"",-1)</f>
        <v>0.6</v>
      </c>
      <c r="N1431">
        <f t="shared" si="179"/>
        <v>-3.0000000000000027E-2</v>
      </c>
      <c r="O1431">
        <f t="shared" si="180"/>
        <v>1.1730928977641941E-2</v>
      </c>
      <c r="P1431">
        <f t="shared" si="181"/>
        <v>1</v>
      </c>
      <c r="Q1431">
        <f t="shared" si="182"/>
        <v>1</v>
      </c>
    </row>
    <row r="1432" spans="1:17">
      <c r="A1432" s="1">
        <v>44536</v>
      </c>
      <c r="B1432">
        <v>4591.67</v>
      </c>
      <c r="C1432">
        <f t="shared" si="176"/>
        <v>1.1730928977641941E-2</v>
      </c>
      <c r="D1432">
        <f t="shared" si="183"/>
        <v>1.7422845797954389E-2</v>
      </c>
      <c r="E1432">
        <f>_xlfn.XLOOKUP(A1432,VIX!A:A,VIX!B:B,"",-1)</f>
        <v>27.18</v>
      </c>
      <c r="F1432">
        <f t="shared" si="177"/>
        <v>-3.490000000000002</v>
      </c>
      <c r="G1432">
        <f>_xlfn.XLOOKUP(A1432,'DGS10'!A:A,'DGS10'!B:B,"",-1)</f>
        <v>1.43</v>
      </c>
      <c r="H1432">
        <f t="shared" si="178"/>
        <v>7.9999999999999849E-2</v>
      </c>
      <c r="I1432" s="2">
        <f>_xlfn.XLOOKUP(A1432,T10Y3M!A:A,T10Y3M!B:B,"",-1)</f>
        <v>1.38</v>
      </c>
      <c r="J1432" s="2">
        <f>_xlfn.XLOOKUP(A1432,BAMLC0A4CBBB!A:A,BAMLC0A4CBBB!B:B,"",-1)</f>
        <v>1.25</v>
      </c>
      <c r="K1432" s="2">
        <f>_xlfn.XLOOKUP(A1432,CPIAUCSL!A:A,CPIAUCSL!B:B,"",-1)</f>
        <v>280.84500000000003</v>
      </c>
      <c r="L1432">
        <f>_xlfn.XLOOKUP(A1432,DFF!A:A,DFF!B:B,"",-1)</f>
        <v>0.08</v>
      </c>
      <c r="M1432">
        <f>_xlfn.XLOOKUP(A1432,'DGS2'!A:A,'DGS2'!B:B,"",-1)</f>
        <v>0.65</v>
      </c>
      <c r="N1432">
        <f t="shared" si="179"/>
        <v>5.0000000000000044E-2</v>
      </c>
      <c r="O1432">
        <f t="shared" si="180"/>
        <v>2.0707063007576743E-2</v>
      </c>
      <c r="P1432">
        <f t="shared" si="181"/>
        <v>1</v>
      </c>
      <c r="Q1432">
        <f t="shared" si="182"/>
        <v>1</v>
      </c>
    </row>
    <row r="1433" spans="1:17">
      <c r="A1433" s="1">
        <v>44537</v>
      </c>
      <c r="B1433">
        <v>4686.75</v>
      </c>
      <c r="C1433">
        <f t="shared" si="176"/>
        <v>2.0707063007576743E-2</v>
      </c>
      <c r="D1433">
        <f t="shared" si="183"/>
        <v>2.3956216818509457E-2</v>
      </c>
      <c r="E1433">
        <f>_xlfn.XLOOKUP(A1433,VIX!A:A,VIX!B:B,"",-1)</f>
        <v>21.89</v>
      </c>
      <c r="F1433">
        <f t="shared" si="177"/>
        <v>-5.2899999999999991</v>
      </c>
      <c r="G1433">
        <f>_xlfn.XLOOKUP(A1433,'DGS10'!A:A,'DGS10'!B:B,"",-1)</f>
        <v>1.48</v>
      </c>
      <c r="H1433">
        <f t="shared" si="178"/>
        <v>5.0000000000000044E-2</v>
      </c>
      <c r="I1433" s="2">
        <f>_xlfn.XLOOKUP(A1433,T10Y3M!A:A,T10Y3M!B:B,"",-1)</f>
        <v>1.42</v>
      </c>
      <c r="J1433" s="2">
        <f>_xlfn.XLOOKUP(A1433,BAMLC0A4CBBB!A:A,BAMLC0A4CBBB!B:B,"",-1)</f>
        <v>1.22</v>
      </c>
      <c r="K1433" s="2">
        <f>_xlfn.XLOOKUP(A1433,CPIAUCSL!A:A,CPIAUCSL!B:B,"",-1)</f>
        <v>280.84500000000003</v>
      </c>
      <c r="L1433">
        <f>_xlfn.XLOOKUP(A1433,DFF!A:A,DFF!B:B,"",-1)</f>
        <v>0.08</v>
      </c>
      <c r="M1433">
        <f>_xlfn.XLOOKUP(A1433,'DGS2'!A:A,'DGS2'!B:B,"",-1)</f>
        <v>0.7</v>
      </c>
      <c r="N1433">
        <f t="shared" si="179"/>
        <v>4.9999999999999933E-2</v>
      </c>
      <c r="O1433">
        <f t="shared" si="180"/>
        <v>3.0852936469836223E-3</v>
      </c>
      <c r="P1433">
        <f t="shared" si="181"/>
        <v>1</v>
      </c>
      <c r="Q1433">
        <f t="shared" si="182"/>
        <v>1</v>
      </c>
    </row>
    <row r="1434" spans="1:17">
      <c r="A1434" s="1">
        <v>44538</v>
      </c>
      <c r="B1434">
        <v>4701.21</v>
      </c>
      <c r="C1434">
        <f t="shared" si="176"/>
        <v>3.0852936469836223E-3</v>
      </c>
      <c r="D1434">
        <f t="shared" si="183"/>
        <v>3.5867028906471976E-2</v>
      </c>
      <c r="E1434">
        <f>_xlfn.XLOOKUP(A1434,VIX!A:A,VIX!B:B,"",-1)</f>
        <v>19.899999999999999</v>
      </c>
      <c r="F1434">
        <f t="shared" si="177"/>
        <v>-1.990000000000002</v>
      </c>
      <c r="G1434">
        <f>_xlfn.XLOOKUP(A1434,'DGS10'!A:A,'DGS10'!B:B,"",-1)</f>
        <v>1.52</v>
      </c>
      <c r="H1434">
        <f t="shared" si="178"/>
        <v>4.0000000000000036E-2</v>
      </c>
      <c r="I1434" s="2">
        <f>_xlfn.XLOOKUP(A1434,T10Y3M!A:A,T10Y3M!B:B,"",-1)</f>
        <v>1.45</v>
      </c>
      <c r="J1434" s="2">
        <f>_xlfn.XLOOKUP(A1434,BAMLC0A4CBBB!A:A,BAMLC0A4CBBB!B:B,"",-1)</f>
        <v>1.22</v>
      </c>
      <c r="K1434" s="2">
        <f>_xlfn.XLOOKUP(A1434,CPIAUCSL!A:A,CPIAUCSL!B:B,"",-1)</f>
        <v>280.84500000000003</v>
      </c>
      <c r="L1434">
        <f>_xlfn.XLOOKUP(A1434,DFF!A:A,DFF!B:B,"",-1)</f>
        <v>0.08</v>
      </c>
      <c r="M1434">
        <f>_xlfn.XLOOKUP(A1434,'DGS2'!A:A,'DGS2'!B:B,"",-1)</f>
        <v>0.68</v>
      </c>
      <c r="N1434">
        <f t="shared" si="179"/>
        <v>-1.9999999999999907E-2</v>
      </c>
      <c r="O1434">
        <f t="shared" si="180"/>
        <v>-7.1811299644134463E-3</v>
      </c>
      <c r="P1434">
        <f t="shared" si="181"/>
        <v>0</v>
      </c>
      <c r="Q1434">
        <f t="shared" si="182"/>
        <v>-1</v>
      </c>
    </row>
    <row r="1435" spans="1:17">
      <c r="A1435" s="1">
        <v>44539</v>
      </c>
      <c r="B1435">
        <v>4667.45</v>
      </c>
      <c r="C1435">
        <f t="shared" si="176"/>
        <v>-7.1811299644134463E-3</v>
      </c>
      <c r="D1435">
        <f t="shared" si="183"/>
        <v>1.6503799271289088E-2</v>
      </c>
      <c r="E1435">
        <f>_xlfn.XLOOKUP(A1435,VIX!A:A,VIX!B:B,"",-1)</f>
        <v>21.58</v>
      </c>
      <c r="F1435">
        <f t="shared" si="177"/>
        <v>1.6799999999999997</v>
      </c>
      <c r="G1435">
        <f>_xlfn.XLOOKUP(A1435,'DGS10'!A:A,'DGS10'!B:B,"",-1)</f>
        <v>1.49</v>
      </c>
      <c r="H1435">
        <f t="shared" si="178"/>
        <v>-3.0000000000000027E-2</v>
      </c>
      <c r="I1435" s="2">
        <f>_xlfn.XLOOKUP(A1435,T10Y3M!A:A,T10Y3M!B:B,"",-1)</f>
        <v>1.43</v>
      </c>
      <c r="J1435" s="2">
        <f>_xlfn.XLOOKUP(A1435,BAMLC0A4CBBB!A:A,BAMLC0A4CBBB!B:B,"",-1)</f>
        <v>1.22</v>
      </c>
      <c r="K1435" s="2">
        <f>_xlfn.XLOOKUP(A1435,CPIAUCSL!A:A,CPIAUCSL!B:B,"",-1)</f>
        <v>280.84500000000003</v>
      </c>
      <c r="L1435">
        <f>_xlfn.XLOOKUP(A1435,DFF!A:A,DFF!B:B,"",-1)</f>
        <v>0.08</v>
      </c>
      <c r="M1435">
        <f>_xlfn.XLOOKUP(A1435,'DGS2'!A:A,'DGS2'!B:B,"",-1)</f>
        <v>0.7</v>
      </c>
      <c r="N1435">
        <f t="shared" si="179"/>
        <v>1.9999999999999907E-2</v>
      </c>
      <c r="O1435">
        <f t="shared" si="180"/>
        <v>9.54911139915815E-3</v>
      </c>
      <c r="P1435">
        <f t="shared" si="181"/>
        <v>1</v>
      </c>
      <c r="Q1435">
        <f t="shared" si="182"/>
        <v>1</v>
      </c>
    </row>
    <row r="1436" spans="1:17">
      <c r="A1436" s="1">
        <v>44540</v>
      </c>
      <c r="B1436">
        <v>4712.0200000000004</v>
      </c>
      <c r="C1436">
        <f t="shared" si="176"/>
        <v>9.54911139915815E-3</v>
      </c>
      <c r="D1436">
        <f t="shared" si="183"/>
        <v>5.3917960206968374E-3</v>
      </c>
      <c r="E1436">
        <f>_xlfn.XLOOKUP(A1436,VIX!A:A,VIX!B:B,"",-1)</f>
        <v>18.690000000000001</v>
      </c>
      <c r="F1436">
        <f t="shared" si="177"/>
        <v>-2.889999999999997</v>
      </c>
      <c r="G1436">
        <f>_xlfn.XLOOKUP(A1436,'DGS10'!A:A,'DGS10'!B:B,"",-1)</f>
        <v>1.48</v>
      </c>
      <c r="H1436">
        <f t="shared" si="178"/>
        <v>-1.0000000000000009E-2</v>
      </c>
      <c r="I1436" s="2">
        <f>_xlfn.XLOOKUP(A1436,T10Y3M!A:A,T10Y3M!B:B,"",-1)</f>
        <v>1.42</v>
      </c>
      <c r="J1436" s="2">
        <f>_xlfn.XLOOKUP(A1436,BAMLC0A4CBBB!A:A,BAMLC0A4CBBB!B:B,"",-1)</f>
        <v>1.22</v>
      </c>
      <c r="K1436" s="2">
        <f>_xlfn.XLOOKUP(A1436,CPIAUCSL!A:A,CPIAUCSL!B:B,"",-1)</f>
        <v>280.84500000000003</v>
      </c>
      <c r="L1436">
        <f>_xlfn.XLOOKUP(A1436,DFF!A:A,DFF!B:B,"",-1)</f>
        <v>0.08</v>
      </c>
      <c r="M1436">
        <f>_xlfn.XLOOKUP(A1436,'DGS2'!A:A,'DGS2'!B:B,"",-1)</f>
        <v>0.67</v>
      </c>
      <c r="N1436">
        <f t="shared" si="179"/>
        <v>-2.9999999999999916E-2</v>
      </c>
      <c r="O1436">
        <f t="shared" si="180"/>
        <v>-9.1362090992822553E-3</v>
      </c>
      <c r="P1436">
        <f t="shared" si="181"/>
        <v>0</v>
      </c>
      <c r="Q1436">
        <f t="shared" si="182"/>
        <v>-1</v>
      </c>
    </row>
    <row r="1437" spans="1:17">
      <c r="A1437" s="1">
        <v>44543</v>
      </c>
      <c r="B1437">
        <v>4668.97</v>
      </c>
      <c r="C1437">
        <f t="shared" si="176"/>
        <v>-9.1362090992822553E-3</v>
      </c>
      <c r="D1437">
        <f t="shared" si="183"/>
        <v>-6.8578089470582304E-3</v>
      </c>
      <c r="E1437">
        <f>_xlfn.XLOOKUP(A1437,VIX!A:A,VIX!B:B,"",-1)</f>
        <v>20.309999999999999</v>
      </c>
      <c r="F1437">
        <f t="shared" si="177"/>
        <v>1.6199999999999974</v>
      </c>
      <c r="G1437">
        <f>_xlfn.XLOOKUP(A1437,'DGS10'!A:A,'DGS10'!B:B,"",-1)</f>
        <v>1.42</v>
      </c>
      <c r="H1437">
        <f t="shared" si="178"/>
        <v>-6.0000000000000053E-2</v>
      </c>
      <c r="I1437" s="2">
        <f>_xlfn.XLOOKUP(A1437,T10Y3M!A:A,T10Y3M!B:B,"",-1)</f>
        <v>1.37</v>
      </c>
      <c r="J1437" s="2">
        <f>_xlfn.XLOOKUP(A1437,BAMLC0A4CBBB!A:A,BAMLC0A4CBBB!B:B,"",-1)</f>
        <v>1.23</v>
      </c>
      <c r="K1437" s="2">
        <f>_xlfn.XLOOKUP(A1437,CPIAUCSL!A:A,CPIAUCSL!B:B,"",-1)</f>
        <v>280.84500000000003</v>
      </c>
      <c r="L1437">
        <f>_xlfn.XLOOKUP(A1437,DFF!A:A,DFF!B:B,"",-1)</f>
        <v>0.08</v>
      </c>
      <c r="M1437">
        <f>_xlfn.XLOOKUP(A1437,'DGS2'!A:A,'DGS2'!B:B,"",-1)</f>
        <v>0.66</v>
      </c>
      <c r="N1437">
        <f t="shared" si="179"/>
        <v>-1.0000000000000009E-2</v>
      </c>
      <c r="O1437">
        <f t="shared" si="180"/>
        <v>-7.4705984403412584E-3</v>
      </c>
      <c r="P1437">
        <f t="shared" si="181"/>
        <v>0</v>
      </c>
      <c r="Q1437">
        <f t="shared" si="182"/>
        <v>-1</v>
      </c>
    </row>
    <row r="1438" spans="1:17">
      <c r="A1438" s="1">
        <v>44544</v>
      </c>
      <c r="B1438">
        <v>4634.09</v>
      </c>
      <c r="C1438">
        <f t="shared" si="176"/>
        <v>-7.4705984403412584E-3</v>
      </c>
      <c r="D1438">
        <f t="shared" si="183"/>
        <v>-7.1473716911802931E-3</v>
      </c>
      <c r="E1438">
        <f>_xlfn.XLOOKUP(A1438,VIX!A:A,VIX!B:B,"",-1)</f>
        <v>21.89</v>
      </c>
      <c r="F1438">
        <f t="shared" si="177"/>
        <v>1.5800000000000018</v>
      </c>
      <c r="G1438">
        <f>_xlfn.XLOOKUP(A1438,'DGS10'!A:A,'DGS10'!B:B,"",-1)</f>
        <v>1.44</v>
      </c>
      <c r="H1438">
        <f t="shared" si="178"/>
        <v>2.0000000000000018E-2</v>
      </c>
      <c r="I1438" s="2">
        <f>_xlfn.XLOOKUP(A1438,T10Y3M!A:A,T10Y3M!B:B,"",-1)</f>
        <v>1.39</v>
      </c>
      <c r="J1438" s="2">
        <f>_xlfn.XLOOKUP(A1438,BAMLC0A4CBBB!A:A,BAMLC0A4CBBB!B:B,"",-1)</f>
        <v>1.23</v>
      </c>
      <c r="K1438" s="2">
        <f>_xlfn.XLOOKUP(A1438,CPIAUCSL!A:A,CPIAUCSL!B:B,"",-1)</f>
        <v>280.84500000000003</v>
      </c>
      <c r="L1438">
        <f>_xlfn.XLOOKUP(A1438,DFF!A:A,DFF!B:B,"",-1)</f>
        <v>0.08</v>
      </c>
      <c r="M1438">
        <f>_xlfn.XLOOKUP(A1438,'DGS2'!A:A,'DGS2'!B:B,"",-1)</f>
        <v>0.67</v>
      </c>
      <c r="N1438">
        <f t="shared" si="179"/>
        <v>1.0000000000000009E-2</v>
      </c>
      <c r="O1438">
        <f t="shared" si="180"/>
        <v>1.6348409288555077E-2</v>
      </c>
      <c r="P1438">
        <f t="shared" si="181"/>
        <v>1</v>
      </c>
      <c r="Q1438">
        <f t="shared" si="182"/>
        <v>1</v>
      </c>
    </row>
    <row r="1439" spans="1:17">
      <c r="A1439" s="1">
        <v>44545</v>
      </c>
      <c r="B1439">
        <v>4709.8500000000004</v>
      </c>
      <c r="C1439">
        <f t="shared" si="176"/>
        <v>1.6348409288555077E-2</v>
      </c>
      <c r="D1439">
        <f t="shared" si="183"/>
        <v>-4.6052436110199935E-4</v>
      </c>
      <c r="E1439">
        <f>_xlfn.XLOOKUP(A1439,VIX!A:A,VIX!B:B,"",-1)</f>
        <v>19.29</v>
      </c>
      <c r="F1439">
        <f t="shared" si="177"/>
        <v>-2.6000000000000014</v>
      </c>
      <c r="G1439">
        <f>_xlfn.XLOOKUP(A1439,'DGS10'!A:A,'DGS10'!B:B,"",-1)</f>
        <v>1.47</v>
      </c>
      <c r="H1439">
        <f t="shared" si="178"/>
        <v>3.0000000000000027E-2</v>
      </c>
      <c r="I1439" s="2">
        <f>_xlfn.XLOOKUP(A1439,T10Y3M!A:A,T10Y3M!B:B,"",-1)</f>
        <v>1.42</v>
      </c>
      <c r="J1439" s="2">
        <f>_xlfn.XLOOKUP(A1439,BAMLC0A4CBBB!A:A,BAMLC0A4CBBB!B:B,"",-1)</f>
        <v>1.24</v>
      </c>
      <c r="K1439" s="2">
        <f>_xlfn.XLOOKUP(A1439,CPIAUCSL!A:A,CPIAUCSL!B:B,"",-1)</f>
        <v>280.84500000000003</v>
      </c>
      <c r="L1439">
        <f>_xlfn.XLOOKUP(A1439,DFF!A:A,DFF!B:B,"",-1)</f>
        <v>0.08</v>
      </c>
      <c r="M1439">
        <f>_xlfn.XLOOKUP(A1439,'DGS2'!A:A,'DGS2'!B:B,"",-1)</f>
        <v>0.69</v>
      </c>
      <c r="N1439">
        <f t="shared" si="179"/>
        <v>1.9999999999999907E-2</v>
      </c>
      <c r="O1439">
        <f t="shared" si="180"/>
        <v>-8.7433782392221104E-3</v>
      </c>
      <c r="P1439">
        <f t="shared" si="181"/>
        <v>0</v>
      </c>
      <c r="Q1439">
        <f t="shared" si="182"/>
        <v>-1</v>
      </c>
    </row>
    <row r="1440" spans="1:17">
      <c r="A1440" s="1">
        <v>44546</v>
      </c>
      <c r="B1440">
        <v>4668.67</v>
      </c>
      <c r="C1440">
        <f t="shared" si="176"/>
        <v>-8.7433782392221104E-3</v>
      </c>
      <c r="D1440">
        <f t="shared" si="183"/>
        <v>-6.425400034704154E-5</v>
      </c>
      <c r="E1440">
        <f>_xlfn.XLOOKUP(A1440,VIX!A:A,VIX!B:B,"",-1)</f>
        <v>20.57</v>
      </c>
      <c r="F1440">
        <f t="shared" si="177"/>
        <v>1.2800000000000011</v>
      </c>
      <c r="G1440">
        <f>_xlfn.XLOOKUP(A1440,'DGS10'!A:A,'DGS10'!B:B,"",-1)</f>
        <v>1.44</v>
      </c>
      <c r="H1440">
        <f t="shared" si="178"/>
        <v>-3.0000000000000027E-2</v>
      </c>
      <c r="I1440" s="2">
        <f>_xlfn.XLOOKUP(A1440,T10Y3M!A:A,T10Y3M!B:B,"",-1)</f>
        <v>1.39</v>
      </c>
      <c r="J1440" s="2">
        <f>_xlfn.XLOOKUP(A1440,BAMLC0A4CBBB!A:A,BAMLC0A4CBBB!B:B,"",-1)</f>
        <v>1.24</v>
      </c>
      <c r="K1440" s="2">
        <f>_xlfn.XLOOKUP(A1440,CPIAUCSL!A:A,CPIAUCSL!B:B,"",-1)</f>
        <v>280.84500000000003</v>
      </c>
      <c r="L1440">
        <f>_xlfn.XLOOKUP(A1440,DFF!A:A,DFF!B:B,"",-1)</f>
        <v>0.08</v>
      </c>
      <c r="M1440">
        <f>_xlfn.XLOOKUP(A1440,'DGS2'!A:A,'DGS2'!B:B,"",-1)</f>
        <v>0.64</v>
      </c>
      <c r="N1440">
        <f t="shared" si="179"/>
        <v>-4.9999999999999933E-2</v>
      </c>
      <c r="O1440">
        <f t="shared" si="180"/>
        <v>-1.0287726483131143E-2</v>
      </c>
      <c r="P1440">
        <f t="shared" si="181"/>
        <v>0</v>
      </c>
      <c r="Q1440">
        <f t="shared" si="182"/>
        <v>-1</v>
      </c>
    </row>
    <row r="1441" spans="1:17">
      <c r="A1441" s="1">
        <v>44547</v>
      </c>
      <c r="B1441">
        <v>4620.6400000000003</v>
      </c>
      <c r="C1441">
        <f t="shared" si="176"/>
        <v>-1.0287726483131143E-2</v>
      </c>
      <c r="D1441">
        <f t="shared" si="183"/>
        <v>-2.9024037081714082E-3</v>
      </c>
      <c r="E1441">
        <f>_xlfn.XLOOKUP(A1441,VIX!A:A,VIX!B:B,"",-1)</f>
        <v>21.57</v>
      </c>
      <c r="F1441">
        <f t="shared" si="177"/>
        <v>1</v>
      </c>
      <c r="G1441">
        <f>_xlfn.XLOOKUP(A1441,'DGS10'!A:A,'DGS10'!B:B,"",-1)</f>
        <v>1.41</v>
      </c>
      <c r="H1441">
        <f t="shared" si="178"/>
        <v>-3.0000000000000027E-2</v>
      </c>
      <c r="I1441" s="2">
        <f>_xlfn.XLOOKUP(A1441,T10Y3M!A:A,T10Y3M!B:B,"",-1)</f>
        <v>1.36</v>
      </c>
      <c r="J1441" s="2">
        <f>_xlfn.XLOOKUP(A1441,BAMLC0A4CBBB!A:A,BAMLC0A4CBBB!B:B,"",-1)</f>
        <v>1.24</v>
      </c>
      <c r="K1441" s="2">
        <f>_xlfn.XLOOKUP(A1441,CPIAUCSL!A:A,CPIAUCSL!B:B,"",-1)</f>
        <v>280.84500000000003</v>
      </c>
      <c r="L1441">
        <f>_xlfn.XLOOKUP(A1441,DFF!A:A,DFF!B:B,"",-1)</f>
        <v>0.08</v>
      </c>
      <c r="M1441">
        <f>_xlfn.XLOOKUP(A1441,'DGS2'!A:A,'DGS2'!B:B,"",-1)</f>
        <v>0.66</v>
      </c>
      <c r="N1441">
        <f t="shared" si="179"/>
        <v>2.0000000000000018E-2</v>
      </c>
      <c r="O1441">
        <f t="shared" si="180"/>
        <v>-1.1388032826621375E-2</v>
      </c>
      <c r="P1441">
        <f t="shared" si="181"/>
        <v>0</v>
      </c>
      <c r="Q1441">
        <f t="shared" si="182"/>
        <v>-1</v>
      </c>
    </row>
    <row r="1442" spans="1:17">
      <c r="A1442" s="1">
        <v>44550</v>
      </c>
      <c r="B1442">
        <v>4568.0200000000004</v>
      </c>
      <c r="C1442">
        <f t="shared" si="176"/>
        <v>-1.1388032826621375E-2</v>
      </c>
      <c r="D1442">
        <f t="shared" si="183"/>
        <v>-3.0113485567480947E-2</v>
      </c>
      <c r="E1442">
        <f>_xlfn.XLOOKUP(A1442,VIX!A:A,VIX!B:B,"",-1)</f>
        <v>22.87</v>
      </c>
      <c r="F1442">
        <f t="shared" si="177"/>
        <v>1.3000000000000007</v>
      </c>
      <c r="G1442">
        <f>_xlfn.XLOOKUP(A1442,'DGS10'!A:A,'DGS10'!B:B,"",-1)</f>
        <v>1.43</v>
      </c>
      <c r="H1442">
        <f t="shared" si="178"/>
        <v>2.0000000000000018E-2</v>
      </c>
      <c r="I1442" s="2">
        <f>_xlfn.XLOOKUP(A1442,T10Y3M!A:A,T10Y3M!B:B,"",-1)</f>
        <v>1.36</v>
      </c>
      <c r="J1442" s="2">
        <f>_xlfn.XLOOKUP(A1442,BAMLC0A4CBBB!A:A,BAMLC0A4CBBB!B:B,"",-1)</f>
        <v>1.26</v>
      </c>
      <c r="K1442" s="2">
        <f>_xlfn.XLOOKUP(A1442,CPIAUCSL!A:A,CPIAUCSL!B:B,"",-1)</f>
        <v>280.84500000000003</v>
      </c>
      <c r="L1442">
        <f>_xlfn.XLOOKUP(A1442,DFF!A:A,DFF!B:B,"",-1)</f>
        <v>0.08</v>
      </c>
      <c r="M1442">
        <f>_xlfn.XLOOKUP(A1442,'DGS2'!A:A,'DGS2'!B:B,"",-1)</f>
        <v>0.65</v>
      </c>
      <c r="N1442">
        <f t="shared" si="179"/>
        <v>-1.0000000000000009E-2</v>
      </c>
      <c r="O1442">
        <f t="shared" si="180"/>
        <v>1.7777943178882483E-2</v>
      </c>
      <c r="P1442">
        <f t="shared" si="181"/>
        <v>1</v>
      </c>
      <c r="Q1442">
        <f t="shared" si="182"/>
        <v>1</v>
      </c>
    </row>
    <row r="1443" spans="1:17">
      <c r="A1443" s="1">
        <v>44551</v>
      </c>
      <c r="B1443">
        <v>4649.2299999999996</v>
      </c>
      <c r="C1443">
        <f t="shared" si="176"/>
        <v>1.7777943178882483E-2</v>
      </c>
      <c r="D1443">
        <f t="shared" si="183"/>
        <v>-4.1639267714360662E-3</v>
      </c>
      <c r="E1443">
        <f>_xlfn.XLOOKUP(A1443,VIX!A:A,VIX!B:B,"",-1)</f>
        <v>21.01</v>
      </c>
      <c r="F1443">
        <f t="shared" si="177"/>
        <v>-1.8599999999999994</v>
      </c>
      <c r="G1443">
        <f>_xlfn.XLOOKUP(A1443,'DGS10'!A:A,'DGS10'!B:B,"",-1)</f>
        <v>1.48</v>
      </c>
      <c r="H1443">
        <f t="shared" si="178"/>
        <v>5.0000000000000044E-2</v>
      </c>
      <c r="I1443" s="2">
        <f>_xlfn.XLOOKUP(A1443,T10Y3M!A:A,T10Y3M!B:B,"",-1)</f>
        <v>1.41</v>
      </c>
      <c r="J1443" s="2">
        <f>_xlfn.XLOOKUP(A1443,BAMLC0A4CBBB!A:A,BAMLC0A4CBBB!B:B,"",-1)</f>
        <v>1.25</v>
      </c>
      <c r="K1443" s="2">
        <f>_xlfn.XLOOKUP(A1443,CPIAUCSL!A:A,CPIAUCSL!B:B,"",-1)</f>
        <v>280.84500000000003</v>
      </c>
      <c r="L1443">
        <f>_xlfn.XLOOKUP(A1443,DFF!A:A,DFF!B:B,"",-1)</f>
        <v>0.08</v>
      </c>
      <c r="M1443">
        <f>_xlfn.XLOOKUP(A1443,'DGS2'!A:A,'DGS2'!B:B,"",-1)</f>
        <v>0.7</v>
      </c>
      <c r="N1443">
        <f t="shared" si="179"/>
        <v>4.9999999999999933E-2</v>
      </c>
      <c r="O1443">
        <f t="shared" si="180"/>
        <v>1.0180180373954517E-2</v>
      </c>
      <c r="P1443">
        <f t="shared" si="181"/>
        <v>1</v>
      </c>
      <c r="Q1443">
        <f t="shared" si="182"/>
        <v>1</v>
      </c>
    </row>
    <row r="1444" spans="1:17">
      <c r="A1444" s="1">
        <v>44552</v>
      </c>
      <c r="B1444">
        <v>4696.5600000000004</v>
      </c>
      <c r="C1444">
        <f t="shared" si="176"/>
        <v>1.0180180373954517E-2</v>
      </c>
      <c r="D1444">
        <f t="shared" si="183"/>
        <v>1.6430624329097254E-2</v>
      </c>
      <c r="E1444">
        <f>_xlfn.XLOOKUP(A1444,VIX!A:A,VIX!B:B,"",-1)</f>
        <v>18.63</v>
      </c>
      <c r="F1444">
        <f t="shared" si="177"/>
        <v>-2.3800000000000026</v>
      </c>
      <c r="G1444">
        <f>_xlfn.XLOOKUP(A1444,'DGS10'!A:A,'DGS10'!B:B,"",-1)</f>
        <v>1.46</v>
      </c>
      <c r="H1444">
        <f t="shared" si="178"/>
        <v>-2.0000000000000018E-2</v>
      </c>
      <c r="I1444" s="2">
        <f>_xlfn.XLOOKUP(A1444,T10Y3M!A:A,T10Y3M!B:B,"",-1)</f>
        <v>1.38</v>
      </c>
      <c r="J1444" s="2">
        <f>_xlfn.XLOOKUP(A1444,BAMLC0A4CBBB!A:A,BAMLC0A4CBBB!B:B,"",-1)</f>
        <v>1.24</v>
      </c>
      <c r="K1444" s="2">
        <f>_xlfn.XLOOKUP(A1444,CPIAUCSL!A:A,CPIAUCSL!B:B,"",-1)</f>
        <v>280.84500000000003</v>
      </c>
      <c r="L1444">
        <f>_xlfn.XLOOKUP(A1444,DFF!A:A,DFF!B:B,"",-1)</f>
        <v>0.08</v>
      </c>
      <c r="M1444">
        <f>_xlfn.XLOOKUP(A1444,'DGS2'!A:A,'DGS2'!B:B,"",-1)</f>
        <v>0.68</v>
      </c>
      <c r="N1444">
        <f t="shared" si="179"/>
        <v>-1.9999999999999907E-2</v>
      </c>
      <c r="O1444">
        <f t="shared" si="180"/>
        <v>6.2237041579367158E-3</v>
      </c>
      <c r="P1444">
        <f t="shared" si="181"/>
        <v>1</v>
      </c>
      <c r="Q1444">
        <f t="shared" si="182"/>
        <v>1</v>
      </c>
    </row>
    <row r="1445" spans="1:17">
      <c r="A1445" s="1">
        <v>44553</v>
      </c>
      <c r="B1445">
        <v>4725.79</v>
      </c>
      <c r="C1445">
        <f t="shared" si="176"/>
        <v>6.2237041579367158E-3</v>
      </c>
      <c r="D1445">
        <f t="shared" si="183"/>
        <v>3.4537939851401633E-2</v>
      </c>
      <c r="E1445">
        <f>_xlfn.XLOOKUP(A1445,VIX!A:A,VIX!B:B,"",-1)</f>
        <v>17.96</v>
      </c>
      <c r="F1445">
        <f t="shared" si="177"/>
        <v>-0.66999999999999815</v>
      </c>
      <c r="G1445">
        <f>_xlfn.XLOOKUP(A1445,'DGS10'!A:A,'DGS10'!B:B,"",-1)</f>
        <v>1.5</v>
      </c>
      <c r="H1445">
        <f t="shared" si="178"/>
        <v>4.0000000000000036E-2</v>
      </c>
      <c r="I1445" s="2">
        <f>_xlfn.XLOOKUP(A1445,T10Y3M!A:A,T10Y3M!B:B,"",-1)</f>
        <v>1.43</v>
      </c>
      <c r="J1445" s="2">
        <f>_xlfn.XLOOKUP(A1445,BAMLC0A4CBBB!A:A,BAMLC0A4CBBB!B:B,"",-1)</f>
        <v>1.23</v>
      </c>
      <c r="K1445" s="2">
        <f>_xlfn.XLOOKUP(A1445,CPIAUCSL!A:A,CPIAUCSL!B:B,"",-1)</f>
        <v>280.84500000000003</v>
      </c>
      <c r="L1445">
        <f>_xlfn.XLOOKUP(A1445,DFF!A:A,DFF!B:B,"",-1)</f>
        <v>0.08</v>
      </c>
      <c r="M1445">
        <f>_xlfn.XLOOKUP(A1445,'DGS2'!A:A,'DGS2'!B:B,"",-1)</f>
        <v>0.71</v>
      </c>
      <c r="N1445">
        <f t="shared" si="179"/>
        <v>2.9999999999999916E-2</v>
      </c>
      <c r="O1445">
        <f t="shared" si="180"/>
        <v>1.383895602639984E-2</v>
      </c>
      <c r="P1445">
        <f t="shared" si="181"/>
        <v>1</v>
      </c>
      <c r="Q1445">
        <f t="shared" si="182"/>
        <v>1</v>
      </c>
    </row>
    <row r="1446" spans="1:17">
      <c r="A1446" s="1">
        <v>44557</v>
      </c>
      <c r="B1446">
        <v>4791.1899999999996</v>
      </c>
      <c r="C1446">
        <f t="shared" si="176"/>
        <v>1.383895602639984E-2</v>
      </c>
      <c r="D1446">
        <f t="shared" si="183"/>
        <v>3.0534088440451468E-2</v>
      </c>
      <c r="E1446">
        <f>_xlfn.XLOOKUP(A1446,VIX!A:A,VIX!B:B,"",-1)</f>
        <v>17.68</v>
      </c>
      <c r="F1446">
        <f t="shared" si="177"/>
        <v>-0.28000000000000114</v>
      </c>
      <c r="G1446">
        <f>_xlfn.XLOOKUP(A1446,'DGS10'!A:A,'DGS10'!B:B,"",-1)</f>
        <v>1.48</v>
      </c>
      <c r="H1446">
        <f t="shared" si="178"/>
        <v>-2.0000000000000018E-2</v>
      </c>
      <c r="I1446" s="2">
        <f>_xlfn.XLOOKUP(A1446,T10Y3M!A:A,T10Y3M!B:B,"",-1)</f>
        <v>1.42</v>
      </c>
      <c r="J1446" s="2">
        <f>_xlfn.XLOOKUP(A1446,BAMLC0A4CBBB!A:A,BAMLC0A4CBBB!B:B,"",-1)</f>
        <v>1.22</v>
      </c>
      <c r="K1446" s="2">
        <f>_xlfn.XLOOKUP(A1446,CPIAUCSL!A:A,CPIAUCSL!B:B,"",-1)</f>
        <v>280.84500000000003</v>
      </c>
      <c r="L1446">
        <f>_xlfn.XLOOKUP(A1446,DFF!A:A,DFF!B:B,"",-1)</f>
        <v>0.08</v>
      </c>
      <c r="M1446">
        <f>_xlfn.XLOOKUP(A1446,'DGS2'!A:A,'DGS2'!B:B,"",-1)</f>
        <v>0.76</v>
      </c>
      <c r="N1446">
        <f t="shared" si="179"/>
        <v>5.0000000000000044E-2</v>
      </c>
      <c r="O1446">
        <f t="shared" si="180"/>
        <v>-1.0101874482121298E-3</v>
      </c>
      <c r="P1446">
        <f t="shared" si="181"/>
        <v>0</v>
      </c>
      <c r="Q1446">
        <f t="shared" si="182"/>
        <v>0</v>
      </c>
    </row>
    <row r="1447" spans="1:17">
      <c r="A1447" s="1">
        <v>44558</v>
      </c>
      <c r="B1447">
        <v>4786.3500000000004</v>
      </c>
      <c r="C1447">
        <f t="shared" si="176"/>
        <v>-1.0101874482121298E-3</v>
      </c>
      <c r="D1447">
        <f t="shared" si="183"/>
        <v>1.9118248249782921E-2</v>
      </c>
      <c r="E1447">
        <f>_xlfn.XLOOKUP(A1447,VIX!A:A,VIX!B:B,"",-1)</f>
        <v>17.54</v>
      </c>
      <c r="F1447">
        <f t="shared" si="177"/>
        <v>-0.14000000000000057</v>
      </c>
      <c r="G1447">
        <f>_xlfn.XLOOKUP(A1447,'DGS10'!A:A,'DGS10'!B:B,"",-1)</f>
        <v>1.49</v>
      </c>
      <c r="H1447">
        <f t="shared" si="178"/>
        <v>1.0000000000000009E-2</v>
      </c>
      <c r="I1447" s="2">
        <f>_xlfn.XLOOKUP(A1447,T10Y3M!A:A,T10Y3M!B:B,"",-1)</f>
        <v>1.43</v>
      </c>
      <c r="J1447" s="2">
        <f>_xlfn.XLOOKUP(A1447,BAMLC0A4CBBB!A:A,BAMLC0A4CBBB!B:B,"",-1)</f>
        <v>1.21</v>
      </c>
      <c r="K1447" s="2">
        <f>_xlfn.XLOOKUP(A1447,CPIAUCSL!A:A,CPIAUCSL!B:B,"",-1)</f>
        <v>280.84500000000003</v>
      </c>
      <c r="L1447">
        <f>_xlfn.XLOOKUP(A1447,DFF!A:A,DFF!B:B,"",-1)</f>
        <v>0.08</v>
      </c>
      <c r="M1447">
        <f>_xlfn.XLOOKUP(A1447,'DGS2'!A:A,'DGS2'!B:B,"",-1)</f>
        <v>0.74</v>
      </c>
      <c r="N1447">
        <f t="shared" si="179"/>
        <v>-2.0000000000000018E-2</v>
      </c>
      <c r="O1447">
        <f t="shared" si="180"/>
        <v>1.4019033292591576E-3</v>
      </c>
      <c r="P1447">
        <f t="shared" si="181"/>
        <v>1</v>
      </c>
      <c r="Q1447">
        <f t="shared" si="182"/>
        <v>0</v>
      </c>
    </row>
    <row r="1448" spans="1:17">
      <c r="A1448" s="1">
        <v>44559</v>
      </c>
      <c r="B1448">
        <v>4793.0600000000004</v>
      </c>
      <c r="C1448">
        <f t="shared" si="176"/>
        <v>1.4019033292591576E-3</v>
      </c>
      <c r="D1448">
        <f t="shared" si="183"/>
        <v>1.423465706262883E-2</v>
      </c>
      <c r="E1448">
        <f>_xlfn.XLOOKUP(A1448,VIX!A:A,VIX!B:B,"",-1)</f>
        <v>16.95</v>
      </c>
      <c r="F1448">
        <f t="shared" si="177"/>
        <v>-0.58999999999999986</v>
      </c>
      <c r="G1448">
        <f>_xlfn.XLOOKUP(A1448,'DGS10'!A:A,'DGS10'!B:B,"",-1)</f>
        <v>1.55</v>
      </c>
      <c r="H1448">
        <f t="shared" si="178"/>
        <v>6.0000000000000053E-2</v>
      </c>
      <c r="I1448" s="2">
        <f>_xlfn.XLOOKUP(A1448,T10Y3M!A:A,T10Y3M!B:B,"",-1)</f>
        <v>1.5</v>
      </c>
      <c r="J1448" s="2">
        <f>_xlfn.XLOOKUP(A1448,BAMLC0A4CBBB!A:A,BAMLC0A4CBBB!B:B,"",-1)</f>
        <v>1.2</v>
      </c>
      <c r="K1448" s="2">
        <f>_xlfn.XLOOKUP(A1448,CPIAUCSL!A:A,CPIAUCSL!B:B,"",-1)</f>
        <v>280.84500000000003</v>
      </c>
      <c r="L1448">
        <f>_xlfn.XLOOKUP(A1448,DFF!A:A,DFF!B:B,"",-1)</f>
        <v>0.08</v>
      </c>
      <c r="M1448">
        <f>_xlfn.XLOOKUP(A1448,'DGS2'!A:A,'DGS2'!B:B,"",-1)</f>
        <v>0.75</v>
      </c>
      <c r="N1448">
        <f t="shared" si="179"/>
        <v>1.0000000000000009E-2</v>
      </c>
      <c r="O1448">
        <f t="shared" si="180"/>
        <v>-2.9897393314501919E-3</v>
      </c>
      <c r="P1448">
        <f t="shared" si="181"/>
        <v>0</v>
      </c>
      <c r="Q1448">
        <f t="shared" si="182"/>
        <v>0</v>
      </c>
    </row>
    <row r="1449" spans="1:17">
      <c r="A1449" s="1">
        <v>44560</v>
      </c>
      <c r="B1449">
        <v>4778.7299999999996</v>
      </c>
      <c r="C1449">
        <f t="shared" si="176"/>
        <v>-2.9897393314501919E-3</v>
      </c>
      <c r="D1449">
        <f t="shared" si="183"/>
        <v>-2.6006065299017944E-3</v>
      </c>
      <c r="E1449">
        <f>_xlfn.XLOOKUP(A1449,VIX!A:A,VIX!B:B,"",-1)</f>
        <v>17.329999999999998</v>
      </c>
      <c r="F1449">
        <f t="shared" si="177"/>
        <v>0.37999999999999901</v>
      </c>
      <c r="G1449">
        <f>_xlfn.XLOOKUP(A1449,'DGS10'!A:A,'DGS10'!B:B,"",-1)</f>
        <v>1.52</v>
      </c>
      <c r="H1449">
        <f t="shared" si="178"/>
        <v>-3.0000000000000027E-2</v>
      </c>
      <c r="I1449" s="2">
        <f>_xlfn.XLOOKUP(A1449,T10Y3M!A:A,T10Y3M!B:B,"",-1)</f>
        <v>1.47</v>
      </c>
      <c r="J1449" s="2">
        <f>_xlfn.XLOOKUP(A1449,BAMLC0A4CBBB!A:A,BAMLC0A4CBBB!B:B,"",-1)</f>
        <v>1.2</v>
      </c>
      <c r="K1449" s="2">
        <f>_xlfn.XLOOKUP(A1449,CPIAUCSL!A:A,CPIAUCSL!B:B,"",-1)</f>
        <v>280.84500000000003</v>
      </c>
      <c r="L1449">
        <f>_xlfn.XLOOKUP(A1449,DFF!A:A,DFF!B:B,"",-1)</f>
        <v>0.08</v>
      </c>
      <c r="M1449">
        <f>_xlfn.XLOOKUP(A1449,'DGS2'!A:A,'DGS2'!B:B,"",-1)</f>
        <v>0.73</v>
      </c>
      <c r="N1449">
        <f t="shared" si="179"/>
        <v>-2.0000000000000018E-2</v>
      </c>
      <c r="O1449">
        <f t="shared" si="180"/>
        <v>-2.6262207741385435E-3</v>
      </c>
      <c r="P1449">
        <f t="shared" si="181"/>
        <v>0</v>
      </c>
      <c r="Q1449">
        <f t="shared" si="182"/>
        <v>0</v>
      </c>
    </row>
    <row r="1450" spans="1:17">
      <c r="A1450" s="1">
        <v>44561</v>
      </c>
      <c r="B1450">
        <v>4766.18</v>
      </c>
      <c r="C1450">
        <f t="shared" si="176"/>
        <v>-2.6262207741385435E-3</v>
      </c>
      <c r="D1450">
        <f t="shared" si="183"/>
        <v>-4.2140670866108731E-3</v>
      </c>
      <c r="E1450">
        <f>_xlfn.XLOOKUP(A1450,VIX!A:A,VIX!B:B,"",-1)</f>
        <v>17.22</v>
      </c>
      <c r="F1450">
        <f t="shared" si="177"/>
        <v>-0.10999999999999943</v>
      </c>
      <c r="G1450">
        <f>_xlfn.XLOOKUP(A1450,'DGS10'!A:A,'DGS10'!B:B,"",-1)</f>
        <v>1.52</v>
      </c>
      <c r="H1450">
        <f t="shared" si="178"/>
        <v>0</v>
      </c>
      <c r="I1450" s="2">
        <f>_xlfn.XLOOKUP(A1450,T10Y3M!A:A,T10Y3M!B:B,"",-1)</f>
        <v>1.46</v>
      </c>
      <c r="J1450" s="2">
        <f>_xlfn.XLOOKUP(A1450,BAMLC0A4CBBB!A:A,BAMLC0A4CBBB!B:B,"",-1)</f>
        <v>1.21</v>
      </c>
      <c r="K1450" s="2">
        <f>_xlfn.XLOOKUP(A1450,CPIAUCSL!A:A,CPIAUCSL!B:B,"",-1)</f>
        <v>280.84500000000003</v>
      </c>
      <c r="L1450">
        <f>_xlfn.XLOOKUP(A1450,DFF!A:A,DFF!B:B,"",-1)</f>
        <v>7.0000000000000007E-2</v>
      </c>
      <c r="M1450">
        <f>_xlfn.XLOOKUP(A1450,'DGS2'!A:A,'DGS2'!B:B,"",-1)</f>
        <v>0.73</v>
      </c>
      <c r="N1450">
        <f t="shared" si="179"/>
        <v>0</v>
      </c>
      <c r="O1450">
        <f t="shared" si="180"/>
        <v>6.3740773533522699E-3</v>
      </c>
      <c r="P1450">
        <f t="shared" si="181"/>
        <v>1</v>
      </c>
      <c r="Q1450">
        <f t="shared" si="182"/>
        <v>1</v>
      </c>
    </row>
    <row r="1451" spans="1:17">
      <c r="A1451" s="1">
        <v>44564</v>
      </c>
      <c r="B1451">
        <v>4796.5600000000004</v>
      </c>
      <c r="C1451">
        <f t="shared" si="176"/>
        <v>6.3740773533522699E-3</v>
      </c>
      <c r="D1451">
        <f t="shared" si="183"/>
        <v>7.3022244662079849E-4</v>
      </c>
      <c r="E1451">
        <f>_xlfn.XLOOKUP(A1451,VIX!A:A,VIX!B:B,"",-1)</f>
        <v>16.600000000000001</v>
      </c>
      <c r="F1451">
        <f t="shared" si="177"/>
        <v>-0.61999999999999744</v>
      </c>
      <c r="G1451">
        <f>_xlfn.XLOOKUP(A1451,'DGS10'!A:A,'DGS10'!B:B,"",-1)</f>
        <v>1.63</v>
      </c>
      <c r="H1451">
        <f t="shared" si="178"/>
        <v>0.10999999999999988</v>
      </c>
      <c r="I1451" s="2">
        <f>_xlfn.XLOOKUP(A1451,T10Y3M!A:A,T10Y3M!B:B,"",-1)</f>
        <v>1.55</v>
      </c>
      <c r="J1451" s="2">
        <f>_xlfn.XLOOKUP(A1451,BAMLC0A4CBBB!A:A,BAMLC0A4CBBB!B:B,"",-1)</f>
        <v>1.2</v>
      </c>
      <c r="K1451" s="2">
        <f>_xlfn.XLOOKUP(A1451,CPIAUCSL!A:A,CPIAUCSL!B:B,"",-1)</f>
        <v>282.54300000000001</v>
      </c>
      <c r="L1451">
        <f>_xlfn.XLOOKUP(A1451,DFF!A:A,DFF!B:B,"",-1)</f>
        <v>0.08</v>
      </c>
      <c r="M1451">
        <f>_xlfn.XLOOKUP(A1451,'DGS2'!A:A,'DGS2'!B:B,"",-1)</f>
        <v>0.78</v>
      </c>
      <c r="N1451">
        <f t="shared" si="179"/>
        <v>5.0000000000000044E-2</v>
      </c>
      <c r="O1451">
        <f t="shared" si="180"/>
        <v>-6.29617892823231E-4</v>
      </c>
      <c r="P1451">
        <f t="shared" si="181"/>
        <v>0</v>
      </c>
      <c r="Q1451">
        <f t="shared" si="182"/>
        <v>0</v>
      </c>
    </row>
    <row r="1452" spans="1:17">
      <c r="A1452" s="1">
        <v>44565</v>
      </c>
      <c r="B1452">
        <v>4793.54</v>
      </c>
      <c r="C1452">
        <f t="shared" si="176"/>
        <v>-6.29617892823231E-4</v>
      </c>
      <c r="D1452">
        <f t="shared" si="183"/>
        <v>3.0991497741033047E-3</v>
      </c>
      <c r="E1452">
        <f>_xlfn.XLOOKUP(A1452,VIX!A:A,VIX!B:B,"",-1)</f>
        <v>16.91</v>
      </c>
      <c r="F1452">
        <f t="shared" si="177"/>
        <v>0.30999999999999872</v>
      </c>
      <c r="G1452">
        <f>_xlfn.XLOOKUP(A1452,'DGS10'!A:A,'DGS10'!B:B,"",-1)</f>
        <v>1.66</v>
      </c>
      <c r="H1452">
        <f t="shared" si="178"/>
        <v>3.0000000000000027E-2</v>
      </c>
      <c r="I1452" s="2">
        <f>_xlfn.XLOOKUP(A1452,T10Y3M!A:A,T10Y3M!B:B,"",-1)</f>
        <v>1.58</v>
      </c>
      <c r="J1452" s="2">
        <f>_xlfn.XLOOKUP(A1452,BAMLC0A4CBBB!A:A,BAMLC0A4CBBB!B:B,"",-1)</f>
        <v>1.19</v>
      </c>
      <c r="K1452" s="2">
        <f>_xlfn.XLOOKUP(A1452,CPIAUCSL!A:A,CPIAUCSL!B:B,"",-1)</f>
        <v>282.54300000000001</v>
      </c>
      <c r="L1452">
        <f>_xlfn.XLOOKUP(A1452,DFF!A:A,DFF!B:B,"",-1)</f>
        <v>0.08</v>
      </c>
      <c r="M1452">
        <f>_xlfn.XLOOKUP(A1452,'DGS2'!A:A,'DGS2'!B:B,"",-1)</f>
        <v>0.77</v>
      </c>
      <c r="N1452">
        <f t="shared" si="179"/>
        <v>-1.0000000000000009E-2</v>
      </c>
      <c r="O1452">
        <f t="shared" si="180"/>
        <v>-1.939276609770646E-2</v>
      </c>
      <c r="P1452">
        <f t="shared" si="181"/>
        <v>0</v>
      </c>
      <c r="Q1452">
        <f t="shared" si="182"/>
        <v>-1</v>
      </c>
    </row>
    <row r="1453" spans="1:17">
      <c r="A1453" s="1">
        <v>44566</v>
      </c>
      <c r="B1453">
        <v>4700.58</v>
      </c>
      <c r="C1453">
        <f t="shared" si="176"/>
        <v>-1.939276609770646E-2</v>
      </c>
      <c r="D1453">
        <f t="shared" si="183"/>
        <v>-1.3763643001313497E-2</v>
      </c>
      <c r="E1453">
        <f>_xlfn.XLOOKUP(A1453,VIX!A:A,VIX!B:B,"",-1)</f>
        <v>19.73</v>
      </c>
      <c r="F1453">
        <f t="shared" si="177"/>
        <v>2.8200000000000003</v>
      </c>
      <c r="G1453">
        <f>_xlfn.XLOOKUP(A1453,'DGS10'!A:A,'DGS10'!B:B,"",-1)</f>
        <v>1.71</v>
      </c>
      <c r="H1453">
        <f t="shared" si="178"/>
        <v>5.0000000000000044E-2</v>
      </c>
      <c r="I1453" s="2">
        <f>_xlfn.XLOOKUP(A1453,T10Y3M!A:A,T10Y3M!B:B,"",-1)</f>
        <v>1.62</v>
      </c>
      <c r="J1453" s="2">
        <f>_xlfn.XLOOKUP(A1453,BAMLC0A4CBBB!A:A,BAMLC0A4CBBB!B:B,"",-1)</f>
        <v>1.17</v>
      </c>
      <c r="K1453" s="2">
        <f>_xlfn.XLOOKUP(A1453,CPIAUCSL!A:A,CPIAUCSL!B:B,"",-1)</f>
        <v>282.54300000000001</v>
      </c>
      <c r="L1453">
        <f>_xlfn.XLOOKUP(A1453,DFF!A:A,DFF!B:B,"",-1)</f>
        <v>0.08</v>
      </c>
      <c r="M1453">
        <f>_xlfn.XLOOKUP(A1453,'DGS2'!A:A,'DGS2'!B:B,"",-1)</f>
        <v>0.83</v>
      </c>
      <c r="N1453">
        <f t="shared" si="179"/>
        <v>5.9999999999999942E-2</v>
      </c>
      <c r="O1453">
        <f t="shared" si="180"/>
        <v>-9.6371086121282978E-4</v>
      </c>
      <c r="P1453">
        <f t="shared" si="181"/>
        <v>0</v>
      </c>
      <c r="Q1453">
        <f t="shared" si="182"/>
        <v>0</v>
      </c>
    </row>
    <row r="1454" spans="1:17">
      <c r="A1454" s="1">
        <v>44567</v>
      </c>
      <c r="B1454">
        <v>4696.05</v>
      </c>
      <c r="C1454">
        <f t="shared" si="176"/>
        <v>-9.6371086121282978E-4</v>
      </c>
      <c r="D1454">
        <f t="shared" si="183"/>
        <v>-2.0954600797238099E-2</v>
      </c>
      <c r="E1454">
        <f>_xlfn.XLOOKUP(A1454,VIX!A:A,VIX!B:B,"",-1)</f>
        <v>19.61</v>
      </c>
      <c r="F1454">
        <f t="shared" si="177"/>
        <v>-0.12000000000000099</v>
      </c>
      <c r="G1454">
        <f>_xlfn.XLOOKUP(A1454,'DGS10'!A:A,'DGS10'!B:B,"",-1)</f>
        <v>1.73</v>
      </c>
      <c r="H1454">
        <f t="shared" si="178"/>
        <v>2.0000000000000018E-2</v>
      </c>
      <c r="I1454" s="2">
        <f>_xlfn.XLOOKUP(A1454,T10Y3M!A:A,T10Y3M!B:B,"",-1)</f>
        <v>1.63</v>
      </c>
      <c r="J1454" s="2">
        <f>_xlfn.XLOOKUP(A1454,BAMLC0A4CBBB!A:A,BAMLC0A4CBBB!B:B,"",-1)</f>
        <v>1.17</v>
      </c>
      <c r="K1454" s="2">
        <f>_xlfn.XLOOKUP(A1454,CPIAUCSL!A:A,CPIAUCSL!B:B,"",-1)</f>
        <v>282.54300000000001</v>
      </c>
      <c r="L1454">
        <f>_xlfn.XLOOKUP(A1454,DFF!A:A,DFF!B:B,"",-1)</f>
        <v>0.08</v>
      </c>
      <c r="M1454">
        <f>_xlfn.XLOOKUP(A1454,'DGS2'!A:A,'DGS2'!B:B,"",-1)</f>
        <v>0.88</v>
      </c>
      <c r="N1454">
        <f t="shared" si="179"/>
        <v>5.0000000000000044E-2</v>
      </c>
      <c r="O1454">
        <f t="shared" si="180"/>
        <v>-4.0502124125595396E-3</v>
      </c>
      <c r="P1454">
        <f t="shared" si="181"/>
        <v>0</v>
      </c>
      <c r="Q1454">
        <f t="shared" si="182"/>
        <v>-1</v>
      </c>
    </row>
    <row r="1455" spans="1:17">
      <c r="A1455" s="1">
        <v>44568</v>
      </c>
      <c r="B1455">
        <v>4677.03</v>
      </c>
      <c r="C1455">
        <f t="shared" si="176"/>
        <v>-4.0502124125595396E-3</v>
      </c>
      <c r="D1455">
        <f t="shared" si="183"/>
        <v>-2.4305627991004553E-2</v>
      </c>
      <c r="E1455">
        <f>_xlfn.XLOOKUP(A1455,VIX!A:A,VIX!B:B,"",-1)</f>
        <v>18.760000000000002</v>
      </c>
      <c r="F1455">
        <f t="shared" si="177"/>
        <v>-0.84999999999999787</v>
      </c>
      <c r="G1455">
        <f>_xlfn.XLOOKUP(A1455,'DGS10'!A:A,'DGS10'!B:B,"",-1)</f>
        <v>1.76</v>
      </c>
      <c r="H1455">
        <f t="shared" si="178"/>
        <v>3.0000000000000027E-2</v>
      </c>
      <c r="I1455" s="2">
        <f>_xlfn.XLOOKUP(A1455,T10Y3M!A:A,T10Y3M!B:B,"",-1)</f>
        <v>1.66</v>
      </c>
      <c r="J1455" s="2">
        <f>_xlfn.XLOOKUP(A1455,BAMLC0A4CBBB!A:A,BAMLC0A4CBBB!B:B,"",-1)</f>
        <v>1.17</v>
      </c>
      <c r="K1455" s="2">
        <f>_xlfn.XLOOKUP(A1455,CPIAUCSL!A:A,CPIAUCSL!B:B,"",-1)</f>
        <v>282.54300000000001</v>
      </c>
      <c r="L1455">
        <f>_xlfn.XLOOKUP(A1455,DFF!A:A,DFF!B:B,"",-1)</f>
        <v>0.08</v>
      </c>
      <c r="M1455">
        <f>_xlfn.XLOOKUP(A1455,'DGS2'!A:A,'DGS2'!B:B,"",-1)</f>
        <v>0.87</v>
      </c>
      <c r="N1455">
        <f t="shared" si="179"/>
        <v>-1.0000000000000009E-2</v>
      </c>
      <c r="O1455">
        <f t="shared" si="180"/>
        <v>-1.4410854751839564E-3</v>
      </c>
      <c r="P1455">
        <f t="shared" si="181"/>
        <v>0</v>
      </c>
      <c r="Q1455">
        <f t="shared" si="182"/>
        <v>0</v>
      </c>
    </row>
    <row r="1456" spans="1:17">
      <c r="A1456" s="1">
        <v>44571</v>
      </c>
      <c r="B1456">
        <v>4670.29</v>
      </c>
      <c r="C1456">
        <f t="shared" si="176"/>
        <v>-1.4410854751839564E-3</v>
      </c>
      <c r="D1456">
        <f t="shared" si="183"/>
        <v>-6.443885648154013E-3</v>
      </c>
      <c r="E1456">
        <f>_xlfn.XLOOKUP(A1456,VIX!A:A,VIX!B:B,"",-1)</f>
        <v>19.399999999999999</v>
      </c>
      <c r="F1456">
        <f t="shared" si="177"/>
        <v>0.63999999999999702</v>
      </c>
      <c r="G1456">
        <f>_xlfn.XLOOKUP(A1456,'DGS10'!A:A,'DGS10'!B:B,"",-1)</f>
        <v>1.78</v>
      </c>
      <c r="H1456">
        <f t="shared" si="178"/>
        <v>2.0000000000000018E-2</v>
      </c>
      <c r="I1456" s="2">
        <f>_xlfn.XLOOKUP(A1456,T10Y3M!A:A,T10Y3M!B:B,"",-1)</f>
        <v>1.65</v>
      </c>
      <c r="J1456" s="2">
        <f>_xlfn.XLOOKUP(A1456,BAMLC0A4CBBB!A:A,BAMLC0A4CBBB!B:B,"",-1)</f>
        <v>1.18</v>
      </c>
      <c r="K1456" s="2">
        <f>_xlfn.XLOOKUP(A1456,CPIAUCSL!A:A,CPIAUCSL!B:B,"",-1)</f>
        <v>282.54300000000001</v>
      </c>
      <c r="L1456">
        <f>_xlfn.XLOOKUP(A1456,DFF!A:A,DFF!B:B,"",-1)</f>
        <v>0.08</v>
      </c>
      <c r="M1456">
        <f>_xlfn.XLOOKUP(A1456,'DGS2'!A:A,'DGS2'!B:B,"",-1)</f>
        <v>0.92</v>
      </c>
      <c r="N1456">
        <f t="shared" si="179"/>
        <v>5.0000000000000044E-2</v>
      </c>
      <c r="O1456">
        <f t="shared" si="180"/>
        <v>9.1600307475552256E-3</v>
      </c>
      <c r="P1456">
        <f t="shared" si="181"/>
        <v>1</v>
      </c>
      <c r="Q1456">
        <f t="shared" si="182"/>
        <v>1</v>
      </c>
    </row>
    <row r="1457" spans="1:17">
      <c r="A1457" s="1">
        <v>44572</v>
      </c>
      <c r="B1457">
        <v>4713.07</v>
      </c>
      <c r="C1457">
        <f t="shared" si="176"/>
        <v>9.1600307475552256E-3</v>
      </c>
      <c r="D1457">
        <f t="shared" si="183"/>
        <v>3.6243225689673864E-3</v>
      </c>
      <c r="E1457">
        <f>_xlfn.XLOOKUP(A1457,VIX!A:A,VIX!B:B,"",-1)</f>
        <v>18.41</v>
      </c>
      <c r="F1457">
        <f t="shared" si="177"/>
        <v>-0.98999999999999844</v>
      </c>
      <c r="G1457">
        <f>_xlfn.XLOOKUP(A1457,'DGS10'!A:A,'DGS10'!B:B,"",-1)</f>
        <v>1.75</v>
      </c>
      <c r="H1457">
        <f t="shared" si="178"/>
        <v>-3.0000000000000027E-2</v>
      </c>
      <c r="I1457" s="2">
        <f>_xlfn.XLOOKUP(A1457,T10Y3M!A:A,T10Y3M!B:B,"",-1)</f>
        <v>1.64</v>
      </c>
      <c r="J1457" s="2">
        <f>_xlfn.XLOOKUP(A1457,BAMLC0A4CBBB!A:A,BAMLC0A4CBBB!B:B,"",-1)</f>
        <v>1.19</v>
      </c>
      <c r="K1457" s="2">
        <f>_xlfn.XLOOKUP(A1457,CPIAUCSL!A:A,CPIAUCSL!B:B,"",-1)</f>
        <v>282.54300000000001</v>
      </c>
      <c r="L1457">
        <f>_xlfn.XLOOKUP(A1457,DFF!A:A,DFF!B:B,"",-1)</f>
        <v>0.08</v>
      </c>
      <c r="M1457">
        <f>_xlfn.XLOOKUP(A1457,'DGS2'!A:A,'DGS2'!B:B,"",-1)</f>
        <v>0.9</v>
      </c>
      <c r="N1457">
        <f t="shared" si="179"/>
        <v>-2.0000000000000018E-2</v>
      </c>
      <c r="O1457">
        <f t="shared" si="180"/>
        <v>2.8176963210817529E-3</v>
      </c>
      <c r="P1457">
        <f t="shared" si="181"/>
        <v>1</v>
      </c>
      <c r="Q1457">
        <f t="shared" si="182"/>
        <v>0</v>
      </c>
    </row>
    <row r="1458" spans="1:17">
      <c r="A1458" s="1">
        <v>44573</v>
      </c>
      <c r="B1458">
        <v>4726.3500000000004</v>
      </c>
      <c r="C1458">
        <f t="shared" si="176"/>
        <v>2.8176963210817529E-3</v>
      </c>
      <c r="D1458">
        <f t="shared" si="183"/>
        <v>1.0545153655204365E-2</v>
      </c>
      <c r="E1458">
        <f>_xlfn.XLOOKUP(A1458,VIX!A:A,VIX!B:B,"",-1)</f>
        <v>17.62</v>
      </c>
      <c r="F1458">
        <f t="shared" si="177"/>
        <v>-0.78999999999999915</v>
      </c>
      <c r="G1458">
        <f>_xlfn.XLOOKUP(A1458,'DGS10'!A:A,'DGS10'!B:B,"",-1)</f>
        <v>1.74</v>
      </c>
      <c r="H1458">
        <f t="shared" si="178"/>
        <v>-1.0000000000000009E-2</v>
      </c>
      <c r="I1458" s="2">
        <f>_xlfn.XLOOKUP(A1458,T10Y3M!A:A,T10Y3M!B:B,"",-1)</f>
        <v>1.62</v>
      </c>
      <c r="J1458" s="2">
        <f>_xlfn.XLOOKUP(A1458,BAMLC0A4CBBB!A:A,BAMLC0A4CBBB!B:B,"",-1)</f>
        <v>1.19</v>
      </c>
      <c r="K1458" s="2">
        <f>_xlfn.XLOOKUP(A1458,CPIAUCSL!A:A,CPIAUCSL!B:B,"",-1)</f>
        <v>282.54300000000001</v>
      </c>
      <c r="L1458">
        <f>_xlfn.XLOOKUP(A1458,DFF!A:A,DFF!B:B,"",-1)</f>
        <v>0.08</v>
      </c>
      <c r="M1458">
        <f>_xlfn.XLOOKUP(A1458,'DGS2'!A:A,'DGS2'!B:B,"",-1)</f>
        <v>0.92</v>
      </c>
      <c r="N1458">
        <f t="shared" si="179"/>
        <v>2.0000000000000018E-2</v>
      </c>
      <c r="O1458">
        <f t="shared" si="180"/>
        <v>-1.4243549462058636E-2</v>
      </c>
      <c r="P1458">
        <f t="shared" si="181"/>
        <v>0</v>
      </c>
      <c r="Q1458">
        <f t="shared" si="182"/>
        <v>-1</v>
      </c>
    </row>
    <row r="1459" spans="1:17">
      <c r="A1459" s="1">
        <v>44574</v>
      </c>
      <c r="B1459">
        <v>4659.03</v>
      </c>
      <c r="C1459">
        <f t="shared" si="176"/>
        <v>-1.4243549462058636E-2</v>
      </c>
      <c r="D1459">
        <f t="shared" si="183"/>
        <v>-2.4109851850742103E-3</v>
      </c>
      <c r="E1459">
        <f>_xlfn.XLOOKUP(A1459,VIX!A:A,VIX!B:B,"",-1)</f>
        <v>20.309999999999999</v>
      </c>
      <c r="F1459">
        <f t="shared" si="177"/>
        <v>2.6899999999999977</v>
      </c>
      <c r="G1459">
        <f>_xlfn.XLOOKUP(A1459,'DGS10'!A:A,'DGS10'!B:B,"",-1)</f>
        <v>1.7</v>
      </c>
      <c r="H1459">
        <f t="shared" si="178"/>
        <v>-4.0000000000000036E-2</v>
      </c>
      <c r="I1459" s="2">
        <f>_xlfn.XLOOKUP(A1459,T10Y3M!A:A,T10Y3M!B:B,"",-1)</f>
        <v>1.58</v>
      </c>
      <c r="J1459" s="2">
        <f>_xlfn.XLOOKUP(A1459,BAMLC0A4CBBB!A:A,BAMLC0A4CBBB!B:B,"",-1)</f>
        <v>1.2</v>
      </c>
      <c r="K1459" s="2">
        <f>_xlfn.XLOOKUP(A1459,CPIAUCSL!A:A,CPIAUCSL!B:B,"",-1)</f>
        <v>282.54300000000001</v>
      </c>
      <c r="L1459">
        <f>_xlfn.XLOOKUP(A1459,DFF!A:A,DFF!B:B,"",-1)</f>
        <v>0.08</v>
      </c>
      <c r="M1459">
        <f>_xlfn.XLOOKUP(A1459,'DGS2'!A:A,'DGS2'!B:B,"",-1)</f>
        <v>0.91</v>
      </c>
      <c r="N1459">
        <f t="shared" si="179"/>
        <v>-1.0000000000000009E-2</v>
      </c>
      <c r="O1459">
        <f t="shared" si="180"/>
        <v>8.1991315788920716E-4</v>
      </c>
      <c r="P1459">
        <f t="shared" si="181"/>
        <v>1</v>
      </c>
      <c r="Q1459">
        <f t="shared" si="182"/>
        <v>0</v>
      </c>
    </row>
    <row r="1460" spans="1:17">
      <c r="A1460" s="1">
        <v>44575</v>
      </c>
      <c r="B1460">
        <v>4662.8500000000004</v>
      </c>
      <c r="C1460">
        <f t="shared" si="176"/>
        <v>8.1991315788920716E-4</v>
      </c>
      <c r="D1460">
        <f t="shared" si="183"/>
        <v>-1.065547509372855E-2</v>
      </c>
      <c r="E1460">
        <f>_xlfn.XLOOKUP(A1460,VIX!A:A,VIX!B:B,"",-1)</f>
        <v>19.190000000000001</v>
      </c>
      <c r="F1460">
        <f t="shared" si="177"/>
        <v>-1.1199999999999974</v>
      </c>
      <c r="G1460">
        <f>_xlfn.XLOOKUP(A1460,'DGS10'!A:A,'DGS10'!B:B,"",-1)</f>
        <v>1.78</v>
      </c>
      <c r="H1460">
        <f t="shared" si="178"/>
        <v>8.0000000000000071E-2</v>
      </c>
      <c r="I1460" s="2">
        <f>_xlfn.XLOOKUP(A1460,T10Y3M!A:A,T10Y3M!B:B,"",-1)</f>
        <v>1.65</v>
      </c>
      <c r="J1460" s="2">
        <f>_xlfn.XLOOKUP(A1460,BAMLC0A4CBBB!A:A,BAMLC0A4CBBB!B:B,"",-1)</f>
        <v>1.2</v>
      </c>
      <c r="K1460" s="2">
        <f>_xlfn.XLOOKUP(A1460,CPIAUCSL!A:A,CPIAUCSL!B:B,"",-1)</f>
        <v>282.54300000000001</v>
      </c>
      <c r="L1460">
        <f>_xlfn.XLOOKUP(A1460,DFF!A:A,DFF!B:B,"",-1)</f>
        <v>0.08</v>
      </c>
      <c r="M1460">
        <f>_xlfn.XLOOKUP(A1460,'DGS2'!A:A,'DGS2'!B:B,"",-1)</f>
        <v>0.99</v>
      </c>
      <c r="N1460">
        <f t="shared" si="179"/>
        <v>7.999999999999996E-2</v>
      </c>
      <c r="O1460">
        <f t="shared" si="180"/>
        <v>-1.8387895814791499E-2</v>
      </c>
      <c r="P1460">
        <f t="shared" si="181"/>
        <v>0</v>
      </c>
      <c r="Q1460">
        <f t="shared" si="182"/>
        <v>-1</v>
      </c>
    </row>
    <row r="1461" spans="1:17">
      <c r="A1461" s="1">
        <v>44579</v>
      </c>
      <c r="B1461">
        <v>4577.1099999999997</v>
      </c>
      <c r="C1461">
        <f t="shared" si="176"/>
        <v>-1.8387895814791499E-2</v>
      </c>
      <c r="D1461">
        <f t="shared" si="183"/>
        <v>-3.1576163424206993E-2</v>
      </c>
      <c r="E1461">
        <f>_xlfn.XLOOKUP(A1461,VIX!A:A,VIX!B:B,"",-1)</f>
        <v>22.79</v>
      </c>
      <c r="F1461">
        <f t="shared" si="177"/>
        <v>3.5999999999999979</v>
      </c>
      <c r="G1461">
        <f>_xlfn.XLOOKUP(A1461,'DGS10'!A:A,'DGS10'!B:B,"",-1)</f>
        <v>1.87</v>
      </c>
      <c r="H1461">
        <f t="shared" si="178"/>
        <v>9.000000000000008E-2</v>
      </c>
      <c r="I1461" s="2">
        <f>_xlfn.XLOOKUP(A1461,T10Y3M!A:A,T10Y3M!B:B,"",-1)</f>
        <v>1.71</v>
      </c>
      <c r="J1461" s="2">
        <f>_xlfn.XLOOKUP(A1461,BAMLC0A4CBBB!A:A,BAMLC0A4CBBB!B:B,"",-1)</f>
        <v>1.21</v>
      </c>
      <c r="K1461" s="2">
        <f>_xlfn.XLOOKUP(A1461,CPIAUCSL!A:A,CPIAUCSL!B:B,"",-1)</f>
        <v>282.54300000000001</v>
      </c>
      <c r="L1461">
        <f>_xlfn.XLOOKUP(A1461,DFF!A:A,DFF!B:B,"",-1)</f>
        <v>0.08</v>
      </c>
      <c r="M1461">
        <f>_xlfn.XLOOKUP(A1461,'DGS2'!A:A,'DGS2'!B:B,"",-1)</f>
        <v>1.06</v>
      </c>
      <c r="N1461">
        <f t="shared" si="179"/>
        <v>7.0000000000000062E-2</v>
      </c>
      <c r="O1461">
        <f t="shared" si="180"/>
        <v>-9.6895202431227512E-3</v>
      </c>
      <c r="P1461">
        <f t="shared" si="181"/>
        <v>0</v>
      </c>
      <c r="Q1461">
        <f t="shared" si="182"/>
        <v>-1</v>
      </c>
    </row>
    <row r="1462" spans="1:17">
      <c r="A1462" s="1">
        <v>44580</v>
      </c>
      <c r="B1462">
        <v>4532.76</v>
      </c>
      <c r="C1462">
        <f t="shared" si="176"/>
        <v>-9.6895202431227512E-3</v>
      </c>
      <c r="D1462">
        <f t="shared" si="183"/>
        <v>-2.7102207970328474E-2</v>
      </c>
      <c r="E1462">
        <f>_xlfn.XLOOKUP(A1462,VIX!A:A,VIX!B:B,"",-1)</f>
        <v>23.85</v>
      </c>
      <c r="F1462">
        <f t="shared" si="177"/>
        <v>1.0600000000000023</v>
      </c>
      <c r="G1462">
        <f>_xlfn.XLOOKUP(A1462,'DGS10'!A:A,'DGS10'!B:B,"",-1)</f>
        <v>1.83</v>
      </c>
      <c r="H1462">
        <f t="shared" si="178"/>
        <v>-4.0000000000000036E-2</v>
      </c>
      <c r="I1462" s="2">
        <f>_xlfn.XLOOKUP(A1462,T10Y3M!A:A,T10Y3M!B:B,"",-1)</f>
        <v>1.66</v>
      </c>
      <c r="J1462" s="2">
        <f>_xlfn.XLOOKUP(A1462,BAMLC0A4CBBB!A:A,BAMLC0A4CBBB!B:B,"",-1)</f>
        <v>1.22</v>
      </c>
      <c r="K1462" s="2">
        <f>_xlfn.XLOOKUP(A1462,CPIAUCSL!A:A,CPIAUCSL!B:B,"",-1)</f>
        <v>282.54300000000001</v>
      </c>
      <c r="L1462">
        <f>_xlfn.XLOOKUP(A1462,DFF!A:A,DFF!B:B,"",-1)</f>
        <v>0.08</v>
      </c>
      <c r="M1462">
        <f>_xlfn.XLOOKUP(A1462,'DGS2'!A:A,'DGS2'!B:B,"",-1)</f>
        <v>1.04</v>
      </c>
      <c r="N1462">
        <f t="shared" si="179"/>
        <v>-2.0000000000000018E-2</v>
      </c>
      <c r="O1462">
        <f t="shared" si="180"/>
        <v>-1.103742532143781E-2</v>
      </c>
      <c r="P1462">
        <f t="shared" si="181"/>
        <v>0</v>
      </c>
      <c r="Q1462">
        <f t="shared" si="182"/>
        <v>-1</v>
      </c>
    </row>
    <row r="1463" spans="1:17">
      <c r="A1463" s="1">
        <v>44581</v>
      </c>
      <c r="B1463">
        <v>4482.7299999999996</v>
      </c>
      <c r="C1463">
        <f t="shared" si="176"/>
        <v>-1.103742532143781E-2</v>
      </c>
      <c r="D1463">
        <f t="shared" si="183"/>
        <v>-3.8628735644509415E-2</v>
      </c>
      <c r="E1463">
        <f>_xlfn.XLOOKUP(A1463,VIX!A:A,VIX!B:B,"",-1)</f>
        <v>25.59</v>
      </c>
      <c r="F1463">
        <f t="shared" si="177"/>
        <v>1.7399999999999984</v>
      </c>
      <c r="G1463">
        <f>_xlfn.XLOOKUP(A1463,'DGS10'!A:A,'DGS10'!B:B,"",-1)</f>
        <v>1.83</v>
      </c>
      <c r="H1463">
        <f t="shared" si="178"/>
        <v>0</v>
      </c>
      <c r="I1463" s="2">
        <f>_xlfn.XLOOKUP(A1463,T10Y3M!A:A,T10Y3M!B:B,"",-1)</f>
        <v>1.66</v>
      </c>
      <c r="J1463" s="2">
        <f>_xlfn.XLOOKUP(A1463,BAMLC0A4CBBB!A:A,BAMLC0A4CBBB!B:B,"",-1)</f>
        <v>1.23</v>
      </c>
      <c r="K1463" s="2">
        <f>_xlfn.XLOOKUP(A1463,CPIAUCSL!A:A,CPIAUCSL!B:B,"",-1)</f>
        <v>282.54300000000001</v>
      </c>
      <c r="L1463">
        <f>_xlfn.XLOOKUP(A1463,DFF!A:A,DFF!B:B,"",-1)</f>
        <v>0.08</v>
      </c>
      <c r="M1463">
        <f>_xlfn.XLOOKUP(A1463,'DGS2'!A:A,'DGS2'!B:B,"",-1)</f>
        <v>1.08</v>
      </c>
      <c r="N1463">
        <f t="shared" si="179"/>
        <v>4.0000000000000036E-2</v>
      </c>
      <c r="O1463">
        <f t="shared" si="180"/>
        <v>-1.8914813071498782E-2</v>
      </c>
      <c r="P1463">
        <f t="shared" si="181"/>
        <v>0</v>
      </c>
      <c r="Q1463">
        <f t="shared" si="182"/>
        <v>-1</v>
      </c>
    </row>
    <row r="1464" spans="1:17">
      <c r="A1464" s="1">
        <v>44582</v>
      </c>
      <c r="B1464">
        <v>4397.9399999999996</v>
      </c>
      <c r="C1464">
        <f t="shared" si="176"/>
        <v>-1.8914813071498782E-2</v>
      </c>
      <c r="D1464">
        <f t="shared" si="183"/>
        <v>-3.9144787868327424E-2</v>
      </c>
      <c r="E1464">
        <f>_xlfn.XLOOKUP(A1464,VIX!A:A,VIX!B:B,"",-1)</f>
        <v>28.85</v>
      </c>
      <c r="F1464">
        <f t="shared" si="177"/>
        <v>3.2600000000000016</v>
      </c>
      <c r="G1464">
        <f>_xlfn.XLOOKUP(A1464,'DGS10'!A:A,'DGS10'!B:B,"",-1)</f>
        <v>1.75</v>
      </c>
      <c r="H1464">
        <f t="shared" si="178"/>
        <v>-8.0000000000000071E-2</v>
      </c>
      <c r="I1464" s="2">
        <f>_xlfn.XLOOKUP(A1464,T10Y3M!A:A,T10Y3M!B:B,"",-1)</f>
        <v>1.58</v>
      </c>
      <c r="J1464" s="2">
        <f>_xlfn.XLOOKUP(A1464,BAMLC0A4CBBB!A:A,BAMLC0A4CBBB!B:B,"",-1)</f>
        <v>1.26</v>
      </c>
      <c r="K1464" s="2">
        <f>_xlfn.XLOOKUP(A1464,CPIAUCSL!A:A,CPIAUCSL!B:B,"",-1)</f>
        <v>282.54300000000001</v>
      </c>
      <c r="L1464">
        <f>_xlfn.XLOOKUP(A1464,DFF!A:A,DFF!B:B,"",-1)</f>
        <v>0.08</v>
      </c>
      <c r="M1464">
        <f>_xlfn.XLOOKUP(A1464,'DGS2'!A:A,'DGS2'!B:B,"",-1)</f>
        <v>1.01</v>
      </c>
      <c r="N1464">
        <f t="shared" si="179"/>
        <v>-7.0000000000000062E-2</v>
      </c>
      <c r="O1464">
        <f t="shared" si="180"/>
        <v>2.7717522294530283E-3</v>
      </c>
      <c r="P1464">
        <f t="shared" si="181"/>
        <v>1</v>
      </c>
      <c r="Q1464">
        <f t="shared" si="182"/>
        <v>0</v>
      </c>
    </row>
    <row r="1465" spans="1:17">
      <c r="A1465" s="1">
        <v>44585</v>
      </c>
      <c r="B1465">
        <v>4410.13</v>
      </c>
      <c r="C1465">
        <f t="shared" si="176"/>
        <v>2.7717522294530283E-3</v>
      </c>
      <c r="D1465">
        <f t="shared" si="183"/>
        <v>-2.7054156849248612E-2</v>
      </c>
      <c r="E1465">
        <f>_xlfn.XLOOKUP(A1465,VIX!A:A,VIX!B:B,"",-1)</f>
        <v>29.9</v>
      </c>
      <c r="F1465">
        <f t="shared" si="177"/>
        <v>1.0499999999999972</v>
      </c>
      <c r="G1465">
        <f>_xlfn.XLOOKUP(A1465,'DGS10'!A:A,'DGS10'!B:B,"",-1)</f>
        <v>1.75</v>
      </c>
      <c r="H1465">
        <f t="shared" si="178"/>
        <v>0</v>
      </c>
      <c r="I1465" s="2">
        <f>_xlfn.XLOOKUP(A1465,T10Y3M!A:A,T10Y3M!B:B,"",-1)</f>
        <v>1.56</v>
      </c>
      <c r="J1465" s="2">
        <f>_xlfn.XLOOKUP(A1465,BAMLC0A4CBBB!A:A,BAMLC0A4CBBB!B:B,"",-1)</f>
        <v>1.29</v>
      </c>
      <c r="K1465" s="2">
        <f>_xlfn.XLOOKUP(A1465,CPIAUCSL!A:A,CPIAUCSL!B:B,"",-1)</f>
        <v>282.54300000000001</v>
      </c>
      <c r="L1465">
        <f>_xlfn.XLOOKUP(A1465,DFF!A:A,DFF!B:B,"",-1)</f>
        <v>0.08</v>
      </c>
      <c r="M1465">
        <f>_xlfn.XLOOKUP(A1465,'DGS2'!A:A,'DGS2'!B:B,"",-1)</f>
        <v>0.99</v>
      </c>
      <c r="N1465">
        <f t="shared" si="179"/>
        <v>-2.0000000000000018E-2</v>
      </c>
      <c r="O1465">
        <f t="shared" si="180"/>
        <v>-1.2171976789799865E-2</v>
      </c>
      <c r="P1465">
        <f t="shared" si="181"/>
        <v>0</v>
      </c>
      <c r="Q1465">
        <f t="shared" si="182"/>
        <v>-1</v>
      </c>
    </row>
    <row r="1466" spans="1:17">
      <c r="A1466" s="1">
        <v>44586</v>
      </c>
      <c r="B1466">
        <v>4356.45</v>
      </c>
      <c r="C1466">
        <f t="shared" si="176"/>
        <v>-1.2171976789799865E-2</v>
      </c>
      <c r="D1466">
        <f t="shared" si="183"/>
        <v>-2.8170333702899786E-2</v>
      </c>
      <c r="E1466">
        <f>_xlfn.XLOOKUP(A1466,VIX!A:A,VIX!B:B,"",-1)</f>
        <v>31.16</v>
      </c>
      <c r="F1466">
        <f t="shared" si="177"/>
        <v>1.2600000000000016</v>
      </c>
      <c r="G1466">
        <f>_xlfn.XLOOKUP(A1466,'DGS10'!A:A,'DGS10'!B:B,"",-1)</f>
        <v>1.78</v>
      </c>
      <c r="H1466">
        <f t="shared" si="178"/>
        <v>3.0000000000000027E-2</v>
      </c>
      <c r="I1466" s="2">
        <f>_xlfn.XLOOKUP(A1466,T10Y3M!A:A,T10Y3M!B:B,"",-1)</f>
        <v>1.59</v>
      </c>
      <c r="J1466" s="2">
        <f>_xlfn.XLOOKUP(A1466,BAMLC0A4CBBB!A:A,BAMLC0A4CBBB!B:B,"",-1)</f>
        <v>1.28</v>
      </c>
      <c r="K1466" s="2">
        <f>_xlfn.XLOOKUP(A1466,CPIAUCSL!A:A,CPIAUCSL!B:B,"",-1)</f>
        <v>282.54300000000001</v>
      </c>
      <c r="L1466">
        <f>_xlfn.XLOOKUP(A1466,DFF!A:A,DFF!B:B,"",-1)</f>
        <v>0.08</v>
      </c>
      <c r="M1466">
        <f>_xlfn.XLOOKUP(A1466,'DGS2'!A:A,'DGS2'!B:B,"",-1)</f>
        <v>1.02</v>
      </c>
      <c r="N1466">
        <f t="shared" si="179"/>
        <v>3.0000000000000027E-2</v>
      </c>
      <c r="O1466">
        <f t="shared" si="180"/>
        <v>-1.4966314315554285E-3</v>
      </c>
      <c r="P1466">
        <f t="shared" si="181"/>
        <v>0</v>
      </c>
      <c r="Q1466">
        <f t="shared" si="182"/>
        <v>0</v>
      </c>
    </row>
    <row r="1467" spans="1:17">
      <c r="A1467" s="1">
        <v>44587</v>
      </c>
      <c r="B1467">
        <v>4349.93</v>
      </c>
      <c r="C1467">
        <f t="shared" si="176"/>
        <v>-1.4966314315554285E-3</v>
      </c>
      <c r="D1467">
        <f t="shared" si="183"/>
        <v>-1.0916474531257658E-2</v>
      </c>
      <c r="E1467">
        <f>_xlfn.XLOOKUP(A1467,VIX!A:A,VIX!B:B,"",-1)</f>
        <v>31.96</v>
      </c>
      <c r="F1467">
        <f t="shared" si="177"/>
        <v>0.80000000000000071</v>
      </c>
      <c r="G1467">
        <f>_xlfn.XLOOKUP(A1467,'DGS10'!A:A,'DGS10'!B:B,"",-1)</f>
        <v>1.85</v>
      </c>
      <c r="H1467">
        <f t="shared" si="178"/>
        <v>7.0000000000000062E-2</v>
      </c>
      <c r="I1467" s="2">
        <f>_xlfn.XLOOKUP(A1467,T10Y3M!A:A,T10Y3M!B:B,"",-1)</f>
        <v>1.66</v>
      </c>
      <c r="J1467" s="2">
        <f>_xlfn.XLOOKUP(A1467,BAMLC0A4CBBB!A:A,BAMLC0A4CBBB!B:B,"",-1)</f>
        <v>1.26</v>
      </c>
      <c r="K1467" s="2">
        <f>_xlfn.XLOOKUP(A1467,CPIAUCSL!A:A,CPIAUCSL!B:B,"",-1)</f>
        <v>282.54300000000001</v>
      </c>
      <c r="L1467">
        <f>_xlfn.XLOOKUP(A1467,DFF!A:A,DFF!B:B,"",-1)</f>
        <v>0.08</v>
      </c>
      <c r="M1467">
        <f>_xlfn.XLOOKUP(A1467,'DGS2'!A:A,'DGS2'!B:B,"",-1)</f>
        <v>1.1299999999999999</v>
      </c>
      <c r="N1467">
        <f t="shared" si="179"/>
        <v>0.10999999999999988</v>
      </c>
      <c r="O1467">
        <f t="shared" si="180"/>
        <v>-5.3839946849719711E-3</v>
      </c>
      <c r="P1467">
        <f t="shared" si="181"/>
        <v>0</v>
      </c>
      <c r="Q1467">
        <f t="shared" si="182"/>
        <v>-1</v>
      </c>
    </row>
    <row r="1468" spans="1:17">
      <c r="A1468" s="1">
        <v>44588</v>
      </c>
      <c r="B1468">
        <v>4326.51</v>
      </c>
      <c r="C1468">
        <f t="shared" si="176"/>
        <v>-5.3839946849719711E-3</v>
      </c>
      <c r="D1468">
        <f t="shared" si="183"/>
        <v>-1.8960892309296984E-2</v>
      </c>
      <c r="E1468">
        <f>_xlfn.XLOOKUP(A1468,VIX!A:A,VIX!B:B,"",-1)</f>
        <v>30.49</v>
      </c>
      <c r="F1468">
        <f t="shared" si="177"/>
        <v>-1.4700000000000024</v>
      </c>
      <c r="G1468">
        <f>_xlfn.XLOOKUP(A1468,'DGS10'!A:A,'DGS10'!B:B,"",-1)</f>
        <v>1.81</v>
      </c>
      <c r="H1468">
        <f t="shared" si="178"/>
        <v>-4.0000000000000036E-2</v>
      </c>
      <c r="I1468" s="2">
        <f>_xlfn.XLOOKUP(A1468,T10Y3M!A:A,T10Y3M!B:B,"",-1)</f>
        <v>1.61</v>
      </c>
      <c r="J1468" s="2">
        <f>_xlfn.XLOOKUP(A1468,BAMLC0A4CBBB!A:A,BAMLC0A4CBBB!B:B,"",-1)</f>
        <v>1.31</v>
      </c>
      <c r="K1468" s="2">
        <f>_xlfn.XLOOKUP(A1468,CPIAUCSL!A:A,CPIAUCSL!B:B,"",-1)</f>
        <v>282.54300000000001</v>
      </c>
      <c r="L1468">
        <f>_xlfn.XLOOKUP(A1468,DFF!A:A,DFF!B:B,"",-1)</f>
        <v>0.08</v>
      </c>
      <c r="M1468">
        <f>_xlfn.XLOOKUP(A1468,'DGS2'!A:A,'DGS2'!B:B,"",-1)</f>
        <v>1.18</v>
      </c>
      <c r="N1468">
        <f t="shared" si="179"/>
        <v>5.0000000000000044E-2</v>
      </c>
      <c r="O1468">
        <f t="shared" si="180"/>
        <v>2.4347568825681787E-2</v>
      </c>
      <c r="P1468">
        <f t="shared" si="181"/>
        <v>1</v>
      </c>
      <c r="Q1468">
        <f t="shared" si="182"/>
        <v>1</v>
      </c>
    </row>
    <row r="1469" spans="1:17">
      <c r="A1469" s="1">
        <v>44589</v>
      </c>
      <c r="B1469">
        <v>4431.8500000000004</v>
      </c>
      <c r="C1469">
        <f t="shared" si="176"/>
        <v>2.4347568825681787E-2</v>
      </c>
      <c r="D1469">
        <f t="shared" si="183"/>
        <v>1.7307670236086814E-2</v>
      </c>
      <c r="E1469">
        <f>_xlfn.XLOOKUP(A1469,VIX!A:A,VIX!B:B,"",-1)</f>
        <v>27.66</v>
      </c>
      <c r="F1469">
        <f t="shared" si="177"/>
        <v>-2.8299999999999983</v>
      </c>
      <c r="G1469">
        <f>_xlfn.XLOOKUP(A1469,'DGS10'!A:A,'DGS10'!B:B,"",-1)</f>
        <v>1.78</v>
      </c>
      <c r="H1469">
        <f t="shared" si="178"/>
        <v>-3.0000000000000027E-2</v>
      </c>
      <c r="I1469" s="2">
        <f>_xlfn.XLOOKUP(A1469,T10Y3M!A:A,T10Y3M!B:B,"",-1)</f>
        <v>1.59</v>
      </c>
      <c r="J1469" s="2">
        <f>_xlfn.XLOOKUP(A1469,BAMLC0A4CBBB!A:A,BAMLC0A4CBBB!B:B,"",-1)</f>
        <v>1.33</v>
      </c>
      <c r="K1469" s="2">
        <f>_xlfn.XLOOKUP(A1469,CPIAUCSL!A:A,CPIAUCSL!B:B,"",-1)</f>
        <v>282.54300000000001</v>
      </c>
      <c r="L1469">
        <f>_xlfn.XLOOKUP(A1469,DFF!A:A,DFF!B:B,"",-1)</f>
        <v>0.08</v>
      </c>
      <c r="M1469">
        <f>_xlfn.XLOOKUP(A1469,'DGS2'!A:A,'DGS2'!B:B,"",-1)</f>
        <v>1.1499999999999999</v>
      </c>
      <c r="N1469">
        <f t="shared" si="179"/>
        <v>-3.0000000000000027E-2</v>
      </c>
      <c r="O1469">
        <f t="shared" si="180"/>
        <v>1.8886018254227865E-2</v>
      </c>
      <c r="P1469">
        <f t="shared" si="181"/>
        <v>1</v>
      </c>
      <c r="Q1469">
        <f t="shared" si="182"/>
        <v>1</v>
      </c>
    </row>
    <row r="1470" spans="1:17">
      <c r="A1470" s="1">
        <v>44592</v>
      </c>
      <c r="B1470">
        <v>4515.55</v>
      </c>
      <c r="C1470">
        <f t="shared" si="176"/>
        <v>1.8886018254227865E-2</v>
      </c>
      <c r="D1470">
        <f t="shared" si="183"/>
        <v>3.8074175906278818E-2</v>
      </c>
      <c r="E1470">
        <f>_xlfn.XLOOKUP(A1470,VIX!A:A,VIX!B:B,"",-1)</f>
        <v>24.83</v>
      </c>
      <c r="F1470">
        <f t="shared" si="177"/>
        <v>-2.8300000000000018</v>
      </c>
      <c r="G1470">
        <f>_xlfn.XLOOKUP(A1470,'DGS10'!A:A,'DGS10'!B:B,"",-1)</f>
        <v>1.79</v>
      </c>
      <c r="H1470">
        <f t="shared" si="178"/>
        <v>1.0000000000000009E-2</v>
      </c>
      <c r="I1470" s="2">
        <f>_xlfn.XLOOKUP(A1470,T10Y3M!A:A,T10Y3M!B:B,"",-1)</f>
        <v>1.57</v>
      </c>
      <c r="J1470" s="2">
        <f>_xlfn.XLOOKUP(A1470,BAMLC0A4CBBB!A:A,BAMLC0A4CBBB!B:B,"",-1)</f>
        <v>1.34</v>
      </c>
      <c r="K1470" s="2">
        <f>_xlfn.XLOOKUP(A1470,CPIAUCSL!A:A,CPIAUCSL!B:B,"",-1)</f>
        <v>282.54300000000001</v>
      </c>
      <c r="L1470">
        <f>_xlfn.XLOOKUP(A1470,DFF!A:A,DFF!B:B,"",-1)</f>
        <v>0.08</v>
      </c>
      <c r="M1470">
        <f>_xlfn.XLOOKUP(A1470,'DGS2'!A:A,'DGS2'!B:B,"",-1)</f>
        <v>1.18</v>
      </c>
      <c r="N1470">
        <f t="shared" si="179"/>
        <v>3.0000000000000027E-2</v>
      </c>
      <c r="O1470">
        <f t="shared" si="180"/>
        <v>6.8629513569775646E-3</v>
      </c>
      <c r="P1470">
        <f t="shared" si="181"/>
        <v>1</v>
      </c>
      <c r="Q1470">
        <f t="shared" si="182"/>
        <v>1</v>
      </c>
    </row>
    <row r="1471" spans="1:17">
      <c r="A1471" s="1">
        <v>44593</v>
      </c>
      <c r="B1471">
        <v>4546.54</v>
      </c>
      <c r="C1471">
        <f t="shared" si="176"/>
        <v>6.8629513569775646E-3</v>
      </c>
      <c r="D1471">
        <f t="shared" si="183"/>
        <v>5.0856232852807493E-2</v>
      </c>
      <c r="E1471">
        <f>_xlfn.XLOOKUP(A1471,VIX!A:A,VIX!B:B,"",-1)</f>
        <v>21.96</v>
      </c>
      <c r="F1471">
        <f t="shared" si="177"/>
        <v>-2.8699999999999974</v>
      </c>
      <c r="G1471">
        <f>_xlfn.XLOOKUP(A1471,'DGS10'!A:A,'DGS10'!B:B,"",-1)</f>
        <v>1.81</v>
      </c>
      <c r="H1471">
        <f t="shared" si="178"/>
        <v>2.0000000000000018E-2</v>
      </c>
      <c r="I1471" s="2">
        <f>_xlfn.XLOOKUP(A1471,T10Y3M!A:A,T10Y3M!B:B,"",-1)</f>
        <v>1.62</v>
      </c>
      <c r="J1471" s="2">
        <f>_xlfn.XLOOKUP(A1471,BAMLC0A4CBBB!A:A,BAMLC0A4CBBB!B:B,"",-1)</f>
        <v>1.33</v>
      </c>
      <c r="K1471" s="2">
        <f>_xlfn.XLOOKUP(A1471,CPIAUCSL!A:A,CPIAUCSL!B:B,"",-1)</f>
        <v>284.5</v>
      </c>
      <c r="L1471">
        <f>_xlfn.XLOOKUP(A1471,DFF!A:A,DFF!B:B,"",-1)</f>
        <v>0.08</v>
      </c>
      <c r="M1471">
        <f>_xlfn.XLOOKUP(A1471,'DGS2'!A:A,'DGS2'!B:B,"",-1)</f>
        <v>1.18</v>
      </c>
      <c r="N1471">
        <f t="shared" si="179"/>
        <v>0</v>
      </c>
      <c r="O1471">
        <f t="shared" si="180"/>
        <v>9.4225498950850639E-3</v>
      </c>
      <c r="P1471">
        <f t="shared" si="181"/>
        <v>1</v>
      </c>
      <c r="Q1471">
        <f t="shared" si="182"/>
        <v>1</v>
      </c>
    </row>
    <row r="1472" spans="1:17">
      <c r="A1472" s="1">
        <v>44594</v>
      </c>
      <c r="B1472">
        <v>4589.38</v>
      </c>
      <c r="C1472">
        <f t="shared" si="176"/>
        <v>9.4225498950850639E-3</v>
      </c>
      <c r="D1472">
        <f t="shared" si="183"/>
        <v>3.5544975574534288E-2</v>
      </c>
      <c r="E1472">
        <f>_xlfn.XLOOKUP(A1472,VIX!A:A,VIX!B:B,"",-1)</f>
        <v>22.09</v>
      </c>
      <c r="F1472">
        <f t="shared" si="177"/>
        <v>0.12999999999999901</v>
      </c>
      <c r="G1472">
        <f>_xlfn.XLOOKUP(A1472,'DGS10'!A:A,'DGS10'!B:B,"",-1)</f>
        <v>1.78</v>
      </c>
      <c r="H1472">
        <f t="shared" si="178"/>
        <v>-3.0000000000000027E-2</v>
      </c>
      <c r="I1472" s="2">
        <f>_xlfn.XLOOKUP(A1472,T10Y3M!A:A,T10Y3M!B:B,"",-1)</f>
        <v>1.59</v>
      </c>
      <c r="J1472" s="2">
        <f>_xlfn.XLOOKUP(A1472,BAMLC0A4CBBB!A:A,BAMLC0A4CBBB!B:B,"",-1)</f>
        <v>1.32</v>
      </c>
      <c r="K1472" s="2">
        <f>_xlfn.XLOOKUP(A1472,CPIAUCSL!A:A,CPIAUCSL!B:B,"",-1)</f>
        <v>284.5</v>
      </c>
      <c r="L1472">
        <f>_xlfn.XLOOKUP(A1472,DFF!A:A,DFF!B:B,"",-1)</f>
        <v>0.08</v>
      </c>
      <c r="M1472">
        <f>_xlfn.XLOOKUP(A1472,'DGS2'!A:A,'DGS2'!B:B,"",-1)</f>
        <v>1.1599999999999999</v>
      </c>
      <c r="N1472">
        <f t="shared" si="179"/>
        <v>-2.0000000000000018E-2</v>
      </c>
      <c r="O1472">
        <f t="shared" si="180"/>
        <v>-2.4391094221877574E-2</v>
      </c>
      <c r="P1472">
        <f t="shared" si="181"/>
        <v>0</v>
      </c>
      <c r="Q1472">
        <f t="shared" si="182"/>
        <v>-1</v>
      </c>
    </row>
    <row r="1473" spans="1:17">
      <c r="A1473" s="1">
        <v>44595</v>
      </c>
      <c r="B1473">
        <v>4477.4399999999996</v>
      </c>
      <c r="C1473">
        <f t="shared" si="176"/>
        <v>-2.4391094221877574E-2</v>
      </c>
      <c r="D1473">
        <f t="shared" si="183"/>
        <v>-8.4397249504490901E-3</v>
      </c>
      <c r="E1473">
        <f>_xlfn.XLOOKUP(A1473,VIX!A:A,VIX!B:B,"",-1)</f>
        <v>24.35</v>
      </c>
      <c r="F1473">
        <f t="shared" si="177"/>
        <v>2.2600000000000016</v>
      </c>
      <c r="G1473">
        <f>_xlfn.XLOOKUP(A1473,'DGS10'!A:A,'DGS10'!B:B,"",-1)</f>
        <v>1.82</v>
      </c>
      <c r="H1473">
        <f t="shared" si="178"/>
        <v>4.0000000000000036E-2</v>
      </c>
      <c r="I1473" s="2">
        <f>_xlfn.XLOOKUP(A1473,T10Y3M!A:A,T10Y3M!B:B,"",-1)</f>
        <v>1.62</v>
      </c>
      <c r="J1473" s="2">
        <f>_xlfn.XLOOKUP(A1473,BAMLC0A4CBBB!A:A,BAMLC0A4CBBB!B:B,"",-1)</f>
        <v>1.33</v>
      </c>
      <c r="K1473" s="2">
        <f>_xlfn.XLOOKUP(A1473,CPIAUCSL!A:A,CPIAUCSL!B:B,"",-1)</f>
        <v>284.5</v>
      </c>
      <c r="L1473">
        <f>_xlfn.XLOOKUP(A1473,DFF!A:A,DFF!B:B,"",-1)</f>
        <v>0.08</v>
      </c>
      <c r="M1473">
        <f>_xlfn.XLOOKUP(A1473,'DGS2'!A:A,'DGS2'!B:B,"",-1)</f>
        <v>1.19</v>
      </c>
      <c r="N1473">
        <f t="shared" si="179"/>
        <v>3.0000000000000027E-2</v>
      </c>
      <c r="O1473">
        <f t="shared" si="180"/>
        <v>5.156964694110977E-3</v>
      </c>
      <c r="P1473">
        <f t="shared" si="181"/>
        <v>1</v>
      </c>
      <c r="Q1473">
        <f t="shared" si="182"/>
        <v>1</v>
      </c>
    </row>
    <row r="1474" spans="1:17">
      <c r="A1474" s="1">
        <v>44596</v>
      </c>
      <c r="B1474">
        <v>4500.53</v>
      </c>
      <c r="C1474">
        <f t="shared" si="176"/>
        <v>5.156964694110977E-3</v>
      </c>
      <c r="D1474">
        <f t="shared" si="183"/>
        <v>-1.0119783395725168E-2</v>
      </c>
      <c r="E1474">
        <f>_xlfn.XLOOKUP(A1474,VIX!A:A,VIX!B:B,"",-1)</f>
        <v>23.22</v>
      </c>
      <c r="F1474">
        <f t="shared" si="177"/>
        <v>-1.1300000000000026</v>
      </c>
      <c r="G1474">
        <f>_xlfn.XLOOKUP(A1474,'DGS10'!A:A,'DGS10'!B:B,"",-1)</f>
        <v>1.93</v>
      </c>
      <c r="H1474">
        <f t="shared" si="178"/>
        <v>0.10999999999999988</v>
      </c>
      <c r="I1474" s="2">
        <f>_xlfn.XLOOKUP(A1474,T10Y3M!A:A,T10Y3M!B:B,"",-1)</f>
        <v>1.7</v>
      </c>
      <c r="J1474" s="2">
        <f>_xlfn.XLOOKUP(A1474,BAMLC0A4CBBB!A:A,BAMLC0A4CBBB!B:B,"",-1)</f>
        <v>1.33</v>
      </c>
      <c r="K1474" s="2">
        <f>_xlfn.XLOOKUP(A1474,CPIAUCSL!A:A,CPIAUCSL!B:B,"",-1)</f>
        <v>284.5</v>
      </c>
      <c r="L1474">
        <f>_xlfn.XLOOKUP(A1474,DFF!A:A,DFF!B:B,"",-1)</f>
        <v>0.08</v>
      </c>
      <c r="M1474">
        <f>_xlfn.XLOOKUP(A1474,'DGS2'!A:A,'DGS2'!B:B,"",-1)</f>
        <v>1.31</v>
      </c>
      <c r="N1474">
        <f t="shared" si="179"/>
        <v>0.12000000000000011</v>
      </c>
      <c r="O1474">
        <f t="shared" si="180"/>
        <v>-3.701786234065696E-3</v>
      </c>
      <c r="P1474">
        <f t="shared" si="181"/>
        <v>0</v>
      </c>
      <c r="Q1474">
        <f t="shared" si="182"/>
        <v>-1</v>
      </c>
    </row>
    <row r="1475" spans="1:17">
      <c r="A1475" s="1">
        <v>44599</v>
      </c>
      <c r="B1475">
        <v>4483.87</v>
      </c>
      <c r="C1475">
        <f t="shared" si="176"/>
        <v>-3.701786234065696E-3</v>
      </c>
      <c r="D1475">
        <f t="shared" si="183"/>
        <v>-2.2990033512152008E-2</v>
      </c>
      <c r="E1475">
        <f>_xlfn.XLOOKUP(A1475,VIX!A:A,VIX!B:B,"",-1)</f>
        <v>22.86</v>
      </c>
      <c r="F1475">
        <f t="shared" si="177"/>
        <v>-0.35999999999999943</v>
      </c>
      <c r="G1475">
        <f>_xlfn.XLOOKUP(A1475,'DGS10'!A:A,'DGS10'!B:B,"",-1)</f>
        <v>1.92</v>
      </c>
      <c r="H1475">
        <f t="shared" si="178"/>
        <v>-1.0000000000000009E-2</v>
      </c>
      <c r="I1475" s="2">
        <f>_xlfn.XLOOKUP(A1475,T10Y3M!A:A,T10Y3M!B:B,"",-1)</f>
        <v>1.65</v>
      </c>
      <c r="J1475" s="2">
        <f>_xlfn.XLOOKUP(A1475,BAMLC0A4CBBB!A:A,BAMLC0A4CBBB!B:B,"",-1)</f>
        <v>1.35</v>
      </c>
      <c r="K1475" s="2">
        <f>_xlfn.XLOOKUP(A1475,CPIAUCSL!A:A,CPIAUCSL!B:B,"",-1)</f>
        <v>284.5</v>
      </c>
      <c r="L1475">
        <f>_xlfn.XLOOKUP(A1475,DFF!A:A,DFF!B:B,"",-1)</f>
        <v>0.08</v>
      </c>
      <c r="M1475">
        <f>_xlfn.XLOOKUP(A1475,'DGS2'!A:A,'DGS2'!B:B,"",-1)</f>
        <v>1.3</v>
      </c>
      <c r="N1475">
        <f t="shared" si="179"/>
        <v>-1.0000000000000009E-2</v>
      </c>
      <c r="O1475">
        <f t="shared" si="180"/>
        <v>8.4012248347966612E-3</v>
      </c>
      <c r="P1475">
        <f t="shared" si="181"/>
        <v>1</v>
      </c>
      <c r="Q1475">
        <f t="shared" si="182"/>
        <v>1</v>
      </c>
    </row>
    <row r="1476" spans="1:17">
      <c r="A1476" s="1">
        <v>44600</v>
      </c>
      <c r="B1476">
        <v>4521.54</v>
      </c>
      <c r="C1476">
        <f t="shared" ref="C1476:C1539" si="184">IF(OR(B1476="",B1475=""),"",(B1476/B1475)-1)</f>
        <v>8.4012248347966612E-3</v>
      </c>
      <c r="D1476">
        <f t="shared" si="183"/>
        <v>9.8493782161235277E-3</v>
      </c>
      <c r="E1476">
        <f>_xlfn.XLOOKUP(A1476,VIX!A:A,VIX!B:B,"",-1)</f>
        <v>21.44</v>
      </c>
      <c r="F1476">
        <f t="shared" ref="F1476:F1539" si="185">IF(OR(E1476="",E1475=""),"",E1476-E1475)</f>
        <v>-1.4199999999999982</v>
      </c>
      <c r="G1476">
        <f>_xlfn.XLOOKUP(A1476,'DGS10'!A:A,'DGS10'!B:B,"",-1)</f>
        <v>1.96</v>
      </c>
      <c r="H1476">
        <f t="shared" ref="H1476:H1539" si="186">IF(OR(G1476="",G1475=""),"",G1476-G1475)</f>
        <v>4.0000000000000036E-2</v>
      </c>
      <c r="I1476" s="2">
        <f>_xlfn.XLOOKUP(A1476,T10Y3M!A:A,T10Y3M!B:B,"",-1)</f>
        <v>1.71</v>
      </c>
      <c r="J1476" s="2">
        <f>_xlfn.XLOOKUP(A1476,BAMLC0A4CBBB!A:A,BAMLC0A4CBBB!B:B,"",-1)</f>
        <v>1.34</v>
      </c>
      <c r="K1476" s="2">
        <f>_xlfn.XLOOKUP(A1476,CPIAUCSL!A:A,CPIAUCSL!B:B,"",-1)</f>
        <v>284.5</v>
      </c>
      <c r="L1476">
        <f>_xlfn.XLOOKUP(A1476,DFF!A:A,DFF!B:B,"",-1)</f>
        <v>0.08</v>
      </c>
      <c r="M1476">
        <f>_xlfn.XLOOKUP(A1476,'DGS2'!A:A,'DGS2'!B:B,"",-1)</f>
        <v>1.35</v>
      </c>
      <c r="N1476">
        <f t="shared" ref="N1476:N1539" si="187">IF(OR(M1476="",M1475=""),"",M1476-M1475)</f>
        <v>5.0000000000000044E-2</v>
      </c>
      <c r="O1476">
        <f t="shared" ref="O1476:O1539" si="188">IF(OR(B1477="",B1476=""),"",(B1477/B1476)-1)</f>
        <v>1.4517177775713597E-2</v>
      </c>
      <c r="P1476">
        <f t="shared" ref="P1476:P1539" si="189">IF(O1476="","",IF(O1476&gt;0,1,0))</f>
        <v>1</v>
      </c>
      <c r="Q1476">
        <f t="shared" ref="Q1476:Q1539" si="190">IF(O1476="","",IF(O1476&gt;0.003,1,IF(O1476&lt;-0.003,-1,0)))</f>
        <v>1</v>
      </c>
    </row>
    <row r="1477" spans="1:17">
      <c r="A1477" s="1">
        <v>44601</v>
      </c>
      <c r="B1477">
        <v>4587.18</v>
      </c>
      <c r="C1477">
        <f t="shared" si="184"/>
        <v>1.4517177775713597E-2</v>
      </c>
      <c r="D1477">
        <f t="shared" si="183"/>
        <v>1.9253287946086495E-2</v>
      </c>
      <c r="E1477">
        <f>_xlfn.XLOOKUP(A1477,VIX!A:A,VIX!B:B,"",-1)</f>
        <v>19.96</v>
      </c>
      <c r="F1477">
        <f t="shared" si="185"/>
        <v>-1.4800000000000004</v>
      </c>
      <c r="G1477">
        <f>_xlfn.XLOOKUP(A1477,'DGS10'!A:A,'DGS10'!B:B,"",-1)</f>
        <v>1.94</v>
      </c>
      <c r="H1477">
        <f t="shared" si="186"/>
        <v>-2.0000000000000018E-2</v>
      </c>
      <c r="I1477" s="2">
        <f>_xlfn.XLOOKUP(A1477,T10Y3M!A:A,T10Y3M!B:B,"",-1)</f>
        <v>1.68</v>
      </c>
      <c r="J1477" s="2">
        <f>_xlfn.XLOOKUP(A1477,BAMLC0A4CBBB!A:A,BAMLC0A4CBBB!B:B,"",-1)</f>
        <v>1.33</v>
      </c>
      <c r="K1477" s="2">
        <f>_xlfn.XLOOKUP(A1477,CPIAUCSL!A:A,CPIAUCSL!B:B,"",-1)</f>
        <v>284.5</v>
      </c>
      <c r="L1477">
        <f>_xlfn.XLOOKUP(A1477,DFF!A:A,DFF!B:B,"",-1)</f>
        <v>0.08</v>
      </c>
      <c r="M1477">
        <f>_xlfn.XLOOKUP(A1477,'DGS2'!A:A,'DGS2'!B:B,"",-1)</f>
        <v>1.36</v>
      </c>
      <c r="N1477">
        <f t="shared" si="187"/>
        <v>1.0000000000000009E-2</v>
      </c>
      <c r="O1477">
        <f t="shared" si="188"/>
        <v>-1.8115705073705524E-2</v>
      </c>
      <c r="P1477">
        <f t="shared" si="189"/>
        <v>0</v>
      </c>
      <c r="Q1477">
        <f t="shared" si="190"/>
        <v>-1</v>
      </c>
    </row>
    <row r="1478" spans="1:17">
      <c r="A1478" s="1">
        <v>44602</v>
      </c>
      <c r="B1478">
        <v>4504.08</v>
      </c>
      <c r="C1478">
        <f t="shared" si="184"/>
        <v>-1.8115705073705524E-2</v>
      </c>
      <c r="D1478">
        <f t="shared" ref="D1478:D1541" si="191">IF(OR(B1478="",B1475=""),"",(B1478/B1475)-1)</f>
        <v>4.5072671598418435E-3</v>
      </c>
      <c r="E1478">
        <f>_xlfn.XLOOKUP(A1478,VIX!A:A,VIX!B:B,"",-1)</f>
        <v>23.91</v>
      </c>
      <c r="F1478">
        <f t="shared" si="185"/>
        <v>3.9499999999999993</v>
      </c>
      <c r="G1478">
        <f>_xlfn.XLOOKUP(A1478,'DGS10'!A:A,'DGS10'!B:B,"",-1)</f>
        <v>2.0299999999999998</v>
      </c>
      <c r="H1478">
        <f t="shared" si="186"/>
        <v>8.9999999999999858E-2</v>
      </c>
      <c r="I1478" s="2">
        <f>_xlfn.XLOOKUP(A1478,T10Y3M!A:A,T10Y3M!B:B,"",-1)</f>
        <v>1.63</v>
      </c>
      <c r="J1478" s="2">
        <f>_xlfn.XLOOKUP(A1478,BAMLC0A4CBBB!A:A,BAMLC0A4CBBB!B:B,"",-1)</f>
        <v>1.32</v>
      </c>
      <c r="K1478" s="2">
        <f>_xlfn.XLOOKUP(A1478,CPIAUCSL!A:A,CPIAUCSL!B:B,"",-1)</f>
        <v>284.5</v>
      </c>
      <c r="L1478">
        <f>_xlfn.XLOOKUP(A1478,DFF!A:A,DFF!B:B,"",-1)</f>
        <v>0.08</v>
      </c>
      <c r="M1478">
        <f>_xlfn.XLOOKUP(A1478,'DGS2'!A:A,'DGS2'!B:B,"",-1)</f>
        <v>1.61</v>
      </c>
      <c r="N1478">
        <f t="shared" si="187"/>
        <v>0.25</v>
      </c>
      <c r="O1478">
        <f t="shared" si="188"/>
        <v>-1.89694676826343E-2</v>
      </c>
      <c r="P1478">
        <f t="shared" si="189"/>
        <v>0</v>
      </c>
      <c r="Q1478">
        <f t="shared" si="190"/>
        <v>-1</v>
      </c>
    </row>
    <row r="1479" spans="1:17">
      <c r="A1479" s="1">
        <v>44603</v>
      </c>
      <c r="B1479">
        <v>4418.6400000000003</v>
      </c>
      <c r="C1479">
        <f t="shared" si="184"/>
        <v>-1.89694676826343E-2</v>
      </c>
      <c r="D1479">
        <f t="shared" si="191"/>
        <v>-2.2757732984779455E-2</v>
      </c>
      <c r="E1479">
        <f>_xlfn.XLOOKUP(A1479,VIX!A:A,VIX!B:B,"",-1)</f>
        <v>27.36</v>
      </c>
      <c r="F1479">
        <f t="shared" si="185"/>
        <v>3.4499999999999993</v>
      </c>
      <c r="G1479">
        <f>_xlfn.XLOOKUP(A1479,'DGS10'!A:A,'DGS10'!B:B,"",-1)</f>
        <v>1.92</v>
      </c>
      <c r="H1479">
        <f t="shared" si="186"/>
        <v>-0.10999999999999988</v>
      </c>
      <c r="I1479" s="2">
        <f>_xlfn.XLOOKUP(A1479,T10Y3M!A:A,T10Y3M!B:B,"",-1)</f>
        <v>1.56</v>
      </c>
      <c r="J1479" s="2">
        <f>_xlfn.XLOOKUP(A1479,BAMLC0A4CBBB!A:A,BAMLC0A4CBBB!B:B,"",-1)</f>
        <v>1.35</v>
      </c>
      <c r="K1479" s="2">
        <f>_xlfn.XLOOKUP(A1479,CPIAUCSL!A:A,CPIAUCSL!B:B,"",-1)</f>
        <v>284.5</v>
      </c>
      <c r="L1479">
        <f>_xlfn.XLOOKUP(A1479,DFF!A:A,DFF!B:B,"",-1)</f>
        <v>0.08</v>
      </c>
      <c r="M1479">
        <f>_xlfn.XLOOKUP(A1479,'DGS2'!A:A,'DGS2'!B:B,"",-1)</f>
        <v>1.5</v>
      </c>
      <c r="N1479">
        <f t="shared" si="187"/>
        <v>-0.1100000000000001</v>
      </c>
      <c r="O1479">
        <f t="shared" si="188"/>
        <v>-3.8405482229827426E-3</v>
      </c>
      <c r="P1479">
        <f t="shared" si="189"/>
        <v>0</v>
      </c>
      <c r="Q1479">
        <f t="shared" si="190"/>
        <v>-1</v>
      </c>
    </row>
    <row r="1480" spans="1:17">
      <c r="A1480" s="1">
        <v>44606</v>
      </c>
      <c r="B1480">
        <v>4401.67</v>
      </c>
      <c r="C1480">
        <f t="shared" si="184"/>
        <v>-3.8405482229827426E-3</v>
      </c>
      <c r="D1480">
        <f t="shared" si="191"/>
        <v>-4.0440968089327289E-2</v>
      </c>
      <c r="E1480">
        <f>_xlfn.XLOOKUP(A1480,VIX!A:A,VIX!B:B,"",-1)</f>
        <v>28.33</v>
      </c>
      <c r="F1480">
        <f t="shared" si="185"/>
        <v>0.96999999999999886</v>
      </c>
      <c r="G1480">
        <f>_xlfn.XLOOKUP(A1480,'DGS10'!A:A,'DGS10'!B:B,"",-1)</f>
        <v>1.98</v>
      </c>
      <c r="H1480">
        <f t="shared" si="186"/>
        <v>6.0000000000000053E-2</v>
      </c>
      <c r="I1480" s="2">
        <f>_xlfn.XLOOKUP(A1480,T10Y3M!A:A,T10Y3M!B:B,"",-1)</f>
        <v>1.55</v>
      </c>
      <c r="J1480" s="2">
        <f>_xlfn.XLOOKUP(A1480,BAMLC0A4CBBB!A:A,BAMLC0A4CBBB!B:B,"",-1)</f>
        <v>1.36</v>
      </c>
      <c r="K1480" s="2">
        <f>_xlfn.XLOOKUP(A1480,CPIAUCSL!A:A,CPIAUCSL!B:B,"",-1)</f>
        <v>284.5</v>
      </c>
      <c r="L1480">
        <f>_xlfn.XLOOKUP(A1480,DFF!A:A,DFF!B:B,"",-1)</f>
        <v>0.08</v>
      </c>
      <c r="M1480">
        <f>_xlfn.XLOOKUP(A1480,'DGS2'!A:A,'DGS2'!B:B,"",-1)</f>
        <v>1.58</v>
      </c>
      <c r="N1480">
        <f t="shared" si="187"/>
        <v>8.0000000000000071E-2</v>
      </c>
      <c r="O1480">
        <f t="shared" si="188"/>
        <v>1.5766743077059386E-2</v>
      </c>
      <c r="P1480">
        <f t="shared" si="189"/>
        <v>1</v>
      </c>
      <c r="Q1480">
        <f t="shared" si="190"/>
        <v>1</v>
      </c>
    </row>
    <row r="1481" spans="1:17">
      <c r="A1481" s="1">
        <v>44607</v>
      </c>
      <c r="B1481">
        <v>4471.07</v>
      </c>
      <c r="C1481">
        <f t="shared" si="184"/>
        <v>1.5766743077059386E-2</v>
      </c>
      <c r="D1481">
        <f t="shared" si="191"/>
        <v>-7.3289106765421774E-3</v>
      </c>
      <c r="E1481">
        <f>_xlfn.XLOOKUP(A1481,VIX!A:A,VIX!B:B,"",-1)</f>
        <v>25.7</v>
      </c>
      <c r="F1481">
        <f t="shared" si="185"/>
        <v>-2.629999999999999</v>
      </c>
      <c r="G1481">
        <f>_xlfn.XLOOKUP(A1481,'DGS10'!A:A,'DGS10'!B:B,"",-1)</f>
        <v>2.0499999999999998</v>
      </c>
      <c r="H1481">
        <f t="shared" si="186"/>
        <v>6.999999999999984E-2</v>
      </c>
      <c r="I1481" s="2">
        <f>_xlfn.XLOOKUP(A1481,T10Y3M!A:A,T10Y3M!B:B,"",-1)</f>
        <v>1.65</v>
      </c>
      <c r="J1481" s="2">
        <f>_xlfn.XLOOKUP(A1481,BAMLC0A4CBBB!A:A,BAMLC0A4CBBB!B:B,"",-1)</f>
        <v>1.36</v>
      </c>
      <c r="K1481" s="2">
        <f>_xlfn.XLOOKUP(A1481,CPIAUCSL!A:A,CPIAUCSL!B:B,"",-1)</f>
        <v>284.5</v>
      </c>
      <c r="L1481">
        <f>_xlfn.XLOOKUP(A1481,DFF!A:A,DFF!B:B,"",-1)</f>
        <v>0.08</v>
      </c>
      <c r="M1481">
        <f>_xlfn.XLOOKUP(A1481,'DGS2'!A:A,'DGS2'!B:B,"",-1)</f>
        <v>1.58</v>
      </c>
      <c r="N1481">
        <f t="shared" si="187"/>
        <v>0</v>
      </c>
      <c r="O1481">
        <f t="shared" si="188"/>
        <v>8.8122082633468324E-4</v>
      </c>
      <c r="P1481">
        <f t="shared" si="189"/>
        <v>1</v>
      </c>
      <c r="Q1481">
        <f t="shared" si="190"/>
        <v>0</v>
      </c>
    </row>
    <row r="1482" spans="1:17">
      <c r="A1482" s="1">
        <v>44608</v>
      </c>
      <c r="B1482">
        <v>4475.01</v>
      </c>
      <c r="C1482">
        <f t="shared" si="184"/>
        <v>8.8122082633468324E-4</v>
      </c>
      <c r="D1482">
        <f t="shared" si="191"/>
        <v>1.2757318994079503E-2</v>
      </c>
      <c r="E1482">
        <f>_xlfn.XLOOKUP(A1482,VIX!A:A,VIX!B:B,"",-1)</f>
        <v>24.29</v>
      </c>
      <c r="F1482">
        <f t="shared" si="185"/>
        <v>-1.4100000000000001</v>
      </c>
      <c r="G1482">
        <f>_xlfn.XLOOKUP(A1482,'DGS10'!A:A,'DGS10'!B:B,"",-1)</f>
        <v>2.0299999999999998</v>
      </c>
      <c r="H1482">
        <f t="shared" si="186"/>
        <v>-2.0000000000000018E-2</v>
      </c>
      <c r="I1482" s="2">
        <f>_xlfn.XLOOKUP(A1482,T10Y3M!A:A,T10Y3M!B:B,"",-1)</f>
        <v>1.65</v>
      </c>
      <c r="J1482" s="2">
        <f>_xlfn.XLOOKUP(A1482,BAMLC0A4CBBB!A:A,BAMLC0A4CBBB!B:B,"",-1)</f>
        <v>1.39</v>
      </c>
      <c r="K1482" s="2">
        <f>_xlfn.XLOOKUP(A1482,CPIAUCSL!A:A,CPIAUCSL!B:B,"",-1)</f>
        <v>284.5</v>
      </c>
      <c r="L1482">
        <f>_xlfn.XLOOKUP(A1482,DFF!A:A,DFF!B:B,"",-1)</f>
        <v>0.08</v>
      </c>
      <c r="M1482">
        <f>_xlfn.XLOOKUP(A1482,'DGS2'!A:A,'DGS2'!B:B,"",-1)</f>
        <v>1.52</v>
      </c>
      <c r="N1482">
        <f t="shared" si="187"/>
        <v>-6.0000000000000053E-2</v>
      </c>
      <c r="O1482">
        <f t="shared" si="188"/>
        <v>-2.1173137043269175E-2</v>
      </c>
      <c r="P1482">
        <f t="shared" si="189"/>
        <v>0</v>
      </c>
      <c r="Q1482">
        <f t="shared" si="190"/>
        <v>-1</v>
      </c>
    </row>
    <row r="1483" spans="1:17">
      <c r="A1483" s="1">
        <v>44609</v>
      </c>
      <c r="B1483">
        <v>4380.26</v>
      </c>
      <c r="C1483">
        <f t="shared" si="184"/>
        <v>-2.1173137043269175E-2</v>
      </c>
      <c r="D1483">
        <f t="shared" si="191"/>
        <v>-4.8640629579227435E-3</v>
      </c>
      <c r="E1483">
        <f>_xlfn.XLOOKUP(A1483,VIX!A:A,VIX!B:B,"",-1)</f>
        <v>28.11</v>
      </c>
      <c r="F1483">
        <f t="shared" si="185"/>
        <v>3.8200000000000003</v>
      </c>
      <c r="G1483">
        <f>_xlfn.XLOOKUP(A1483,'DGS10'!A:A,'DGS10'!B:B,"",-1)</f>
        <v>1.97</v>
      </c>
      <c r="H1483">
        <f t="shared" si="186"/>
        <v>-5.9999999999999831E-2</v>
      </c>
      <c r="I1483" s="2">
        <f>_xlfn.XLOOKUP(A1483,T10Y3M!A:A,T10Y3M!B:B,"",-1)</f>
        <v>1.61</v>
      </c>
      <c r="J1483" s="2">
        <f>_xlfn.XLOOKUP(A1483,BAMLC0A4CBBB!A:A,BAMLC0A4CBBB!B:B,"",-1)</f>
        <v>1.43</v>
      </c>
      <c r="K1483" s="2">
        <f>_xlfn.XLOOKUP(A1483,CPIAUCSL!A:A,CPIAUCSL!B:B,"",-1)</f>
        <v>284.5</v>
      </c>
      <c r="L1483">
        <f>_xlfn.XLOOKUP(A1483,DFF!A:A,DFF!B:B,"",-1)</f>
        <v>0.08</v>
      </c>
      <c r="M1483">
        <f>_xlfn.XLOOKUP(A1483,'DGS2'!A:A,'DGS2'!B:B,"",-1)</f>
        <v>1.49</v>
      </c>
      <c r="N1483">
        <f t="shared" si="187"/>
        <v>-3.0000000000000027E-2</v>
      </c>
      <c r="O1483">
        <f t="shared" si="188"/>
        <v>-7.1662412733491943E-3</v>
      </c>
      <c r="P1483">
        <f t="shared" si="189"/>
        <v>0</v>
      </c>
      <c r="Q1483">
        <f t="shared" si="190"/>
        <v>-1</v>
      </c>
    </row>
    <row r="1484" spans="1:17">
      <c r="A1484" s="1">
        <v>44610</v>
      </c>
      <c r="B1484">
        <v>4348.87</v>
      </c>
      <c r="C1484">
        <f t="shared" si="184"/>
        <v>-7.1662412733491943E-3</v>
      </c>
      <c r="D1484">
        <f t="shared" si="191"/>
        <v>-2.7331265222866108E-2</v>
      </c>
      <c r="E1484">
        <f>_xlfn.XLOOKUP(A1484,VIX!A:A,VIX!B:B,"",-1)</f>
        <v>27.75</v>
      </c>
      <c r="F1484">
        <f t="shared" si="185"/>
        <v>-0.35999999999999943</v>
      </c>
      <c r="G1484">
        <f>_xlfn.XLOOKUP(A1484,'DGS10'!A:A,'DGS10'!B:B,"",-1)</f>
        <v>1.92</v>
      </c>
      <c r="H1484">
        <f t="shared" si="186"/>
        <v>-5.0000000000000044E-2</v>
      </c>
      <c r="I1484" s="2">
        <f>_xlfn.XLOOKUP(A1484,T10Y3M!A:A,T10Y3M!B:B,"",-1)</f>
        <v>1.57</v>
      </c>
      <c r="J1484" s="2">
        <f>_xlfn.XLOOKUP(A1484,BAMLC0A4CBBB!A:A,BAMLC0A4CBBB!B:B,"",-1)</f>
        <v>1.46</v>
      </c>
      <c r="K1484" s="2">
        <f>_xlfn.XLOOKUP(A1484,CPIAUCSL!A:A,CPIAUCSL!B:B,"",-1)</f>
        <v>284.5</v>
      </c>
      <c r="L1484">
        <f>_xlfn.XLOOKUP(A1484,DFF!A:A,DFF!B:B,"",-1)</f>
        <v>0.08</v>
      </c>
      <c r="M1484">
        <f>_xlfn.XLOOKUP(A1484,'DGS2'!A:A,'DGS2'!B:B,"",-1)</f>
        <v>1.47</v>
      </c>
      <c r="N1484">
        <f t="shared" si="187"/>
        <v>-2.0000000000000018E-2</v>
      </c>
      <c r="O1484">
        <f t="shared" si="188"/>
        <v>-1.0142864698185927E-2</v>
      </c>
      <c r="P1484">
        <f t="shared" si="189"/>
        <v>0</v>
      </c>
      <c r="Q1484">
        <f t="shared" si="190"/>
        <v>-1</v>
      </c>
    </row>
    <row r="1485" spans="1:17">
      <c r="A1485" s="1">
        <v>44614</v>
      </c>
      <c r="B1485">
        <v>4304.76</v>
      </c>
      <c r="C1485">
        <f t="shared" si="184"/>
        <v>-1.0142864698185927E-2</v>
      </c>
      <c r="D1485">
        <f t="shared" si="191"/>
        <v>-3.8044607721546941E-2</v>
      </c>
      <c r="E1485">
        <f>_xlfn.XLOOKUP(A1485,VIX!A:A,VIX!B:B,"",-1)</f>
        <v>28.81</v>
      </c>
      <c r="F1485">
        <f t="shared" si="185"/>
        <v>1.0599999999999987</v>
      </c>
      <c r="G1485">
        <f>_xlfn.XLOOKUP(A1485,'DGS10'!A:A,'DGS10'!B:B,"",-1)</f>
        <v>1.94</v>
      </c>
      <c r="H1485">
        <f t="shared" si="186"/>
        <v>2.0000000000000018E-2</v>
      </c>
      <c r="I1485" s="2">
        <f>_xlfn.XLOOKUP(A1485,T10Y3M!A:A,T10Y3M!B:B,"",-1)</f>
        <v>1.57</v>
      </c>
      <c r="J1485" s="2">
        <f>_xlfn.XLOOKUP(A1485,BAMLC0A4CBBB!A:A,BAMLC0A4CBBB!B:B,"",-1)</f>
        <v>1.49</v>
      </c>
      <c r="K1485" s="2">
        <f>_xlfn.XLOOKUP(A1485,CPIAUCSL!A:A,CPIAUCSL!B:B,"",-1)</f>
        <v>284.5</v>
      </c>
      <c r="L1485">
        <f>_xlfn.XLOOKUP(A1485,DFF!A:A,DFF!B:B,"",-1)</f>
        <v>0.08</v>
      </c>
      <c r="M1485">
        <f>_xlfn.XLOOKUP(A1485,'DGS2'!A:A,'DGS2'!B:B,"",-1)</f>
        <v>1.56</v>
      </c>
      <c r="N1485">
        <f t="shared" si="187"/>
        <v>9.000000000000008E-2</v>
      </c>
      <c r="O1485">
        <f t="shared" si="188"/>
        <v>-1.8412176288573612E-2</v>
      </c>
      <c r="P1485">
        <f t="shared" si="189"/>
        <v>0</v>
      </c>
      <c r="Q1485">
        <f t="shared" si="190"/>
        <v>-1</v>
      </c>
    </row>
    <row r="1486" spans="1:17">
      <c r="A1486" s="1">
        <v>44615</v>
      </c>
      <c r="B1486">
        <v>4225.5</v>
      </c>
      <c r="C1486">
        <f t="shared" si="184"/>
        <v>-1.8412176288573612E-2</v>
      </c>
      <c r="D1486">
        <f t="shared" si="191"/>
        <v>-3.5331236045348935E-2</v>
      </c>
      <c r="E1486">
        <f>_xlfn.XLOOKUP(A1486,VIX!A:A,VIX!B:B,"",-1)</f>
        <v>31.02</v>
      </c>
      <c r="F1486">
        <f t="shared" si="185"/>
        <v>2.2100000000000009</v>
      </c>
      <c r="G1486">
        <f>_xlfn.XLOOKUP(A1486,'DGS10'!A:A,'DGS10'!B:B,"",-1)</f>
        <v>1.99</v>
      </c>
      <c r="H1486">
        <f t="shared" si="186"/>
        <v>5.0000000000000044E-2</v>
      </c>
      <c r="I1486" s="2">
        <f>_xlfn.XLOOKUP(A1486,T10Y3M!A:A,T10Y3M!B:B,"",-1)</f>
        <v>1.65</v>
      </c>
      <c r="J1486" s="2">
        <f>_xlfn.XLOOKUP(A1486,BAMLC0A4CBBB!A:A,BAMLC0A4CBBB!B:B,"",-1)</f>
        <v>1.5</v>
      </c>
      <c r="K1486" s="2">
        <f>_xlfn.XLOOKUP(A1486,CPIAUCSL!A:A,CPIAUCSL!B:B,"",-1)</f>
        <v>284.5</v>
      </c>
      <c r="L1486">
        <f>_xlfn.XLOOKUP(A1486,DFF!A:A,DFF!B:B,"",-1)</f>
        <v>0.08</v>
      </c>
      <c r="M1486">
        <f>_xlfn.XLOOKUP(A1486,'DGS2'!A:A,'DGS2'!B:B,"",-1)</f>
        <v>1.58</v>
      </c>
      <c r="N1486">
        <f t="shared" si="187"/>
        <v>2.0000000000000018E-2</v>
      </c>
      <c r="O1486">
        <f t="shared" si="188"/>
        <v>1.4956809844988816E-2</v>
      </c>
      <c r="P1486">
        <f t="shared" si="189"/>
        <v>1</v>
      </c>
      <c r="Q1486">
        <f t="shared" si="190"/>
        <v>1</v>
      </c>
    </row>
    <row r="1487" spans="1:17">
      <c r="A1487" s="1">
        <v>44616</v>
      </c>
      <c r="B1487">
        <v>4288.7</v>
      </c>
      <c r="C1487">
        <f t="shared" si="184"/>
        <v>1.4956809844988816E-2</v>
      </c>
      <c r="D1487">
        <f t="shared" si="191"/>
        <v>-1.3835778029695045E-2</v>
      </c>
      <c r="E1487">
        <f>_xlfn.XLOOKUP(A1487,VIX!A:A,VIX!B:B,"",-1)</f>
        <v>30.32</v>
      </c>
      <c r="F1487">
        <f t="shared" si="185"/>
        <v>-0.69999999999999929</v>
      </c>
      <c r="G1487">
        <f>_xlfn.XLOOKUP(A1487,'DGS10'!A:A,'DGS10'!B:B,"",-1)</f>
        <v>1.96</v>
      </c>
      <c r="H1487">
        <f t="shared" si="186"/>
        <v>-3.0000000000000027E-2</v>
      </c>
      <c r="I1487" s="2">
        <f>_xlfn.XLOOKUP(A1487,T10Y3M!A:A,T10Y3M!B:B,"",-1)</f>
        <v>1.64</v>
      </c>
      <c r="J1487" s="2">
        <f>_xlfn.XLOOKUP(A1487,BAMLC0A4CBBB!A:A,BAMLC0A4CBBB!B:B,"",-1)</f>
        <v>1.59</v>
      </c>
      <c r="K1487" s="2">
        <f>_xlfn.XLOOKUP(A1487,CPIAUCSL!A:A,CPIAUCSL!B:B,"",-1)</f>
        <v>284.5</v>
      </c>
      <c r="L1487">
        <f>_xlfn.XLOOKUP(A1487,DFF!A:A,DFF!B:B,"",-1)</f>
        <v>0.08</v>
      </c>
      <c r="M1487">
        <f>_xlfn.XLOOKUP(A1487,'DGS2'!A:A,'DGS2'!B:B,"",-1)</f>
        <v>1.54</v>
      </c>
      <c r="N1487">
        <f t="shared" si="187"/>
        <v>-4.0000000000000036E-2</v>
      </c>
      <c r="O1487">
        <f t="shared" si="188"/>
        <v>2.2372746986266234E-2</v>
      </c>
      <c r="P1487">
        <f t="shared" si="189"/>
        <v>1</v>
      </c>
      <c r="Q1487">
        <f t="shared" si="190"/>
        <v>1</v>
      </c>
    </row>
    <row r="1488" spans="1:17">
      <c r="A1488" s="1">
        <v>44617</v>
      </c>
      <c r="B1488">
        <v>4384.6499999999996</v>
      </c>
      <c r="C1488">
        <f t="shared" si="184"/>
        <v>2.2372746986266234E-2</v>
      </c>
      <c r="D1488">
        <f t="shared" si="191"/>
        <v>1.8558525910852053E-2</v>
      </c>
      <c r="E1488">
        <f>_xlfn.XLOOKUP(A1488,VIX!A:A,VIX!B:B,"",-1)</f>
        <v>27.59</v>
      </c>
      <c r="F1488">
        <f t="shared" si="185"/>
        <v>-2.7300000000000004</v>
      </c>
      <c r="G1488">
        <f>_xlfn.XLOOKUP(A1488,'DGS10'!A:A,'DGS10'!B:B,"",-1)</f>
        <v>1.97</v>
      </c>
      <c r="H1488">
        <f t="shared" si="186"/>
        <v>1.0000000000000009E-2</v>
      </c>
      <c r="I1488" s="2">
        <f>_xlfn.XLOOKUP(A1488,T10Y3M!A:A,T10Y3M!B:B,"",-1)</f>
        <v>1.64</v>
      </c>
      <c r="J1488" s="2">
        <f>_xlfn.XLOOKUP(A1488,BAMLC0A4CBBB!A:A,BAMLC0A4CBBB!B:B,"",-1)</f>
        <v>1.54</v>
      </c>
      <c r="K1488" s="2">
        <f>_xlfn.XLOOKUP(A1488,CPIAUCSL!A:A,CPIAUCSL!B:B,"",-1)</f>
        <v>284.5</v>
      </c>
      <c r="L1488">
        <f>_xlfn.XLOOKUP(A1488,DFF!A:A,DFF!B:B,"",-1)</f>
        <v>0.08</v>
      </c>
      <c r="M1488">
        <f>_xlfn.XLOOKUP(A1488,'DGS2'!A:A,'DGS2'!B:B,"",-1)</f>
        <v>1.55</v>
      </c>
      <c r="N1488">
        <f t="shared" si="187"/>
        <v>1.0000000000000009E-2</v>
      </c>
      <c r="O1488">
        <f t="shared" si="188"/>
        <v>-2.4426122951660689E-3</v>
      </c>
      <c r="P1488">
        <f t="shared" si="189"/>
        <v>0</v>
      </c>
      <c r="Q1488">
        <f t="shared" si="190"/>
        <v>0</v>
      </c>
    </row>
    <row r="1489" spans="1:17">
      <c r="A1489" s="1">
        <v>44620</v>
      </c>
      <c r="B1489">
        <v>4373.9399999999996</v>
      </c>
      <c r="C1489">
        <f t="shared" si="184"/>
        <v>-2.4426122951660689E-3</v>
      </c>
      <c r="D1489">
        <f t="shared" si="191"/>
        <v>3.5129570465033622E-2</v>
      </c>
      <c r="E1489">
        <f>_xlfn.XLOOKUP(A1489,VIX!A:A,VIX!B:B,"",-1)</f>
        <v>30.15</v>
      </c>
      <c r="F1489">
        <f t="shared" si="185"/>
        <v>2.5599999999999987</v>
      </c>
      <c r="G1489">
        <f>_xlfn.XLOOKUP(A1489,'DGS10'!A:A,'DGS10'!B:B,"",-1)</f>
        <v>1.83</v>
      </c>
      <c r="H1489">
        <f t="shared" si="186"/>
        <v>-0.1399999999999999</v>
      </c>
      <c r="I1489" s="2">
        <f>_xlfn.XLOOKUP(A1489,T10Y3M!A:A,T10Y3M!B:B,"",-1)</f>
        <v>1.48</v>
      </c>
      <c r="J1489" s="2">
        <f>_xlfn.XLOOKUP(A1489,BAMLC0A4CBBB!A:A,BAMLC0A4CBBB!B:B,"",-1)</f>
        <v>1.6</v>
      </c>
      <c r="K1489" s="2">
        <f>_xlfn.XLOOKUP(A1489,CPIAUCSL!A:A,CPIAUCSL!B:B,"",-1)</f>
        <v>284.5</v>
      </c>
      <c r="L1489">
        <f>_xlfn.XLOOKUP(A1489,DFF!A:A,DFF!B:B,"",-1)</f>
        <v>0.08</v>
      </c>
      <c r="M1489">
        <f>_xlfn.XLOOKUP(A1489,'DGS2'!A:A,'DGS2'!B:B,"",-1)</f>
        <v>1.44</v>
      </c>
      <c r="N1489">
        <f t="shared" si="187"/>
        <v>-0.1100000000000001</v>
      </c>
      <c r="O1489">
        <f t="shared" si="188"/>
        <v>-1.5473463284818578E-2</v>
      </c>
      <c r="P1489">
        <f t="shared" si="189"/>
        <v>0</v>
      </c>
      <c r="Q1489">
        <f t="shared" si="190"/>
        <v>-1</v>
      </c>
    </row>
    <row r="1490" spans="1:17">
      <c r="A1490" s="1">
        <v>44621</v>
      </c>
      <c r="B1490">
        <v>4306.26</v>
      </c>
      <c r="C1490">
        <f t="shared" si="184"/>
        <v>-1.5473463284818578E-2</v>
      </c>
      <c r="D1490">
        <f t="shared" si="191"/>
        <v>4.0944808450114056E-3</v>
      </c>
      <c r="E1490">
        <f>_xlfn.XLOOKUP(A1490,VIX!A:A,VIX!B:B,"",-1)</f>
        <v>33.32</v>
      </c>
      <c r="F1490">
        <f t="shared" si="185"/>
        <v>3.1700000000000017</v>
      </c>
      <c r="G1490">
        <f>_xlfn.XLOOKUP(A1490,'DGS10'!A:A,'DGS10'!B:B,"",-1)</f>
        <v>1.72</v>
      </c>
      <c r="H1490">
        <f t="shared" si="186"/>
        <v>-0.1100000000000001</v>
      </c>
      <c r="I1490" s="2">
        <f>_xlfn.XLOOKUP(A1490,T10Y3M!A:A,T10Y3M!B:B,"",-1)</f>
        <v>1.4</v>
      </c>
      <c r="J1490" s="2">
        <f>_xlfn.XLOOKUP(A1490,BAMLC0A4CBBB!A:A,BAMLC0A4CBBB!B:B,"",-1)</f>
        <v>1.64</v>
      </c>
      <c r="K1490" s="2">
        <f>_xlfn.XLOOKUP(A1490,CPIAUCSL!A:A,CPIAUCSL!B:B,"",-1)</f>
        <v>287.67399999999998</v>
      </c>
      <c r="L1490">
        <f>_xlfn.XLOOKUP(A1490,DFF!A:A,DFF!B:B,"",-1)</f>
        <v>0.08</v>
      </c>
      <c r="M1490">
        <f>_xlfn.XLOOKUP(A1490,'DGS2'!A:A,'DGS2'!B:B,"",-1)</f>
        <v>1.31</v>
      </c>
      <c r="N1490">
        <f t="shared" si="187"/>
        <v>-0.12999999999999989</v>
      </c>
      <c r="O1490">
        <f t="shared" si="188"/>
        <v>1.8642627244987553E-2</v>
      </c>
      <c r="P1490">
        <f t="shared" si="189"/>
        <v>1</v>
      </c>
      <c r="Q1490">
        <f t="shared" si="190"/>
        <v>1</v>
      </c>
    </row>
    <row r="1491" spans="1:17">
      <c r="A1491" s="1">
        <v>44622</v>
      </c>
      <c r="B1491">
        <v>4386.54</v>
      </c>
      <c r="C1491">
        <f t="shared" si="184"/>
        <v>1.8642627244987553E-2</v>
      </c>
      <c r="D1491">
        <f t="shared" si="191"/>
        <v>4.3104922855885519E-4</v>
      </c>
      <c r="E1491">
        <f>_xlfn.XLOOKUP(A1491,VIX!A:A,VIX!B:B,"",-1)</f>
        <v>30.74</v>
      </c>
      <c r="F1491">
        <f t="shared" si="185"/>
        <v>-2.5800000000000018</v>
      </c>
      <c r="G1491">
        <f>_xlfn.XLOOKUP(A1491,'DGS10'!A:A,'DGS10'!B:B,"",-1)</f>
        <v>1.86</v>
      </c>
      <c r="H1491">
        <f t="shared" si="186"/>
        <v>0.14000000000000012</v>
      </c>
      <c r="I1491" s="2">
        <f>_xlfn.XLOOKUP(A1491,T10Y3M!A:A,T10Y3M!B:B,"",-1)</f>
        <v>1.52</v>
      </c>
      <c r="J1491" s="2">
        <f>_xlfn.XLOOKUP(A1491,BAMLC0A4CBBB!A:A,BAMLC0A4CBBB!B:B,"",-1)</f>
        <v>1.64</v>
      </c>
      <c r="K1491" s="2">
        <f>_xlfn.XLOOKUP(A1491,CPIAUCSL!A:A,CPIAUCSL!B:B,"",-1)</f>
        <v>287.67399999999998</v>
      </c>
      <c r="L1491">
        <f>_xlfn.XLOOKUP(A1491,DFF!A:A,DFF!B:B,"",-1)</f>
        <v>0.08</v>
      </c>
      <c r="M1491">
        <f>_xlfn.XLOOKUP(A1491,'DGS2'!A:A,'DGS2'!B:B,"",-1)</f>
        <v>1.5</v>
      </c>
      <c r="N1491">
        <f t="shared" si="187"/>
        <v>0.18999999999999995</v>
      </c>
      <c r="O1491">
        <f t="shared" si="188"/>
        <v>-5.2547110022934662E-3</v>
      </c>
      <c r="P1491">
        <f t="shared" si="189"/>
        <v>0</v>
      </c>
      <c r="Q1491">
        <f t="shared" si="190"/>
        <v>-1</v>
      </c>
    </row>
    <row r="1492" spans="1:17">
      <c r="A1492" s="1">
        <v>44623</v>
      </c>
      <c r="B1492">
        <v>4363.49</v>
      </c>
      <c r="C1492">
        <f t="shared" si="184"/>
        <v>-5.2547110022934662E-3</v>
      </c>
      <c r="D1492">
        <f t="shared" si="191"/>
        <v>-2.3891502855548641E-3</v>
      </c>
      <c r="E1492">
        <f>_xlfn.XLOOKUP(A1492,VIX!A:A,VIX!B:B,"",-1)</f>
        <v>30.48</v>
      </c>
      <c r="F1492">
        <f t="shared" si="185"/>
        <v>-0.25999999999999801</v>
      </c>
      <c r="G1492">
        <f>_xlfn.XLOOKUP(A1492,'DGS10'!A:A,'DGS10'!B:B,"",-1)</f>
        <v>1.86</v>
      </c>
      <c r="H1492">
        <f t="shared" si="186"/>
        <v>0</v>
      </c>
      <c r="I1492" s="2">
        <f>_xlfn.XLOOKUP(A1492,T10Y3M!A:A,T10Y3M!B:B,"",-1)</f>
        <v>1.48</v>
      </c>
      <c r="J1492" s="2">
        <f>_xlfn.XLOOKUP(A1492,BAMLC0A4CBBB!A:A,BAMLC0A4CBBB!B:B,"",-1)</f>
        <v>1.64</v>
      </c>
      <c r="K1492" s="2">
        <f>_xlfn.XLOOKUP(A1492,CPIAUCSL!A:A,CPIAUCSL!B:B,"",-1)</f>
        <v>287.67399999999998</v>
      </c>
      <c r="L1492">
        <f>_xlfn.XLOOKUP(A1492,DFF!A:A,DFF!B:B,"",-1)</f>
        <v>0.08</v>
      </c>
      <c r="M1492">
        <f>_xlfn.XLOOKUP(A1492,'DGS2'!A:A,'DGS2'!B:B,"",-1)</f>
        <v>1.53</v>
      </c>
      <c r="N1492">
        <f t="shared" si="187"/>
        <v>3.0000000000000027E-2</v>
      </c>
      <c r="O1492">
        <f t="shared" si="188"/>
        <v>-7.93401612012401E-3</v>
      </c>
      <c r="P1492">
        <f t="shared" si="189"/>
        <v>0</v>
      </c>
      <c r="Q1492">
        <f t="shared" si="190"/>
        <v>-1</v>
      </c>
    </row>
    <row r="1493" spans="1:17">
      <c r="A1493" s="1">
        <v>44624</v>
      </c>
      <c r="B1493">
        <v>4328.87</v>
      </c>
      <c r="C1493">
        <f t="shared" si="184"/>
        <v>-7.93401612012401E-3</v>
      </c>
      <c r="D1493">
        <f t="shared" si="191"/>
        <v>5.2504957898500404E-3</v>
      </c>
      <c r="E1493">
        <f>_xlfn.XLOOKUP(A1493,VIX!A:A,VIX!B:B,"",-1)</f>
        <v>31.98</v>
      </c>
      <c r="F1493">
        <f t="shared" si="185"/>
        <v>1.5</v>
      </c>
      <c r="G1493">
        <f>_xlfn.XLOOKUP(A1493,'DGS10'!A:A,'DGS10'!B:B,"",-1)</f>
        <v>1.74</v>
      </c>
      <c r="H1493">
        <f t="shared" si="186"/>
        <v>-0.12000000000000011</v>
      </c>
      <c r="I1493" s="2">
        <f>_xlfn.XLOOKUP(A1493,T10Y3M!A:A,T10Y3M!B:B,"",-1)</f>
        <v>1.4</v>
      </c>
      <c r="J1493" s="2">
        <f>_xlfn.XLOOKUP(A1493,BAMLC0A4CBBB!A:A,BAMLC0A4CBBB!B:B,"",-1)</f>
        <v>1.69</v>
      </c>
      <c r="K1493" s="2">
        <f>_xlfn.XLOOKUP(A1493,CPIAUCSL!A:A,CPIAUCSL!B:B,"",-1)</f>
        <v>287.67399999999998</v>
      </c>
      <c r="L1493">
        <f>_xlfn.XLOOKUP(A1493,DFF!A:A,DFF!B:B,"",-1)</f>
        <v>0.08</v>
      </c>
      <c r="M1493">
        <f>_xlfn.XLOOKUP(A1493,'DGS2'!A:A,'DGS2'!B:B,"",-1)</f>
        <v>1.5</v>
      </c>
      <c r="N1493">
        <f t="shared" si="187"/>
        <v>-3.0000000000000027E-2</v>
      </c>
      <c r="O1493">
        <f t="shared" si="188"/>
        <v>-2.9518095946517109E-2</v>
      </c>
      <c r="P1493">
        <f t="shared" si="189"/>
        <v>0</v>
      </c>
      <c r="Q1493">
        <f t="shared" si="190"/>
        <v>-1</v>
      </c>
    </row>
    <row r="1494" spans="1:17">
      <c r="A1494" s="1">
        <v>44627</v>
      </c>
      <c r="B1494">
        <v>4201.09</v>
      </c>
      <c r="C1494">
        <f t="shared" si="184"/>
        <v>-2.9518095946517109E-2</v>
      </c>
      <c r="D1494">
        <f t="shared" si="191"/>
        <v>-4.2277056632334276E-2</v>
      </c>
      <c r="E1494">
        <f>_xlfn.XLOOKUP(A1494,VIX!A:A,VIX!B:B,"",-1)</f>
        <v>36.450000000000003</v>
      </c>
      <c r="F1494">
        <f t="shared" si="185"/>
        <v>4.4700000000000024</v>
      </c>
      <c r="G1494">
        <f>_xlfn.XLOOKUP(A1494,'DGS10'!A:A,'DGS10'!B:B,"",-1)</f>
        <v>1.78</v>
      </c>
      <c r="H1494">
        <f t="shared" si="186"/>
        <v>4.0000000000000036E-2</v>
      </c>
      <c r="I1494" s="2">
        <f>_xlfn.XLOOKUP(A1494,T10Y3M!A:A,T10Y3M!B:B,"",-1)</f>
        <v>1.4</v>
      </c>
      <c r="J1494" s="2">
        <f>_xlfn.XLOOKUP(A1494,BAMLC0A4CBBB!A:A,BAMLC0A4CBBB!B:B,"",-1)</f>
        <v>1.75</v>
      </c>
      <c r="K1494" s="2">
        <f>_xlfn.XLOOKUP(A1494,CPIAUCSL!A:A,CPIAUCSL!B:B,"",-1)</f>
        <v>287.67399999999998</v>
      </c>
      <c r="L1494">
        <f>_xlfn.XLOOKUP(A1494,DFF!A:A,DFF!B:B,"",-1)</f>
        <v>0.08</v>
      </c>
      <c r="M1494">
        <f>_xlfn.XLOOKUP(A1494,'DGS2'!A:A,'DGS2'!B:B,"",-1)</f>
        <v>1.55</v>
      </c>
      <c r="N1494">
        <f t="shared" si="187"/>
        <v>5.0000000000000044E-2</v>
      </c>
      <c r="O1494">
        <f t="shared" si="188"/>
        <v>-7.2338369327961116E-3</v>
      </c>
      <c r="P1494">
        <f t="shared" si="189"/>
        <v>0</v>
      </c>
      <c r="Q1494">
        <f t="shared" si="190"/>
        <v>-1</v>
      </c>
    </row>
    <row r="1495" spans="1:17">
      <c r="A1495" s="1">
        <v>44628</v>
      </c>
      <c r="B1495">
        <v>4170.7</v>
      </c>
      <c r="C1495">
        <f t="shared" si="184"/>
        <v>-7.2338369327961116E-3</v>
      </c>
      <c r="D1495">
        <f t="shared" si="191"/>
        <v>-4.4182523622146475E-2</v>
      </c>
      <c r="E1495">
        <f>_xlfn.XLOOKUP(A1495,VIX!A:A,VIX!B:B,"",-1)</f>
        <v>35.130000000000003</v>
      </c>
      <c r="F1495">
        <f t="shared" si="185"/>
        <v>-1.3200000000000003</v>
      </c>
      <c r="G1495">
        <f>_xlfn.XLOOKUP(A1495,'DGS10'!A:A,'DGS10'!B:B,"",-1)</f>
        <v>1.86</v>
      </c>
      <c r="H1495">
        <f t="shared" si="186"/>
        <v>8.0000000000000071E-2</v>
      </c>
      <c r="I1495" s="2">
        <f>_xlfn.XLOOKUP(A1495,T10Y3M!A:A,T10Y3M!B:B,"",-1)</f>
        <v>1.5</v>
      </c>
      <c r="J1495" s="2">
        <f>_xlfn.XLOOKUP(A1495,BAMLC0A4CBBB!A:A,BAMLC0A4CBBB!B:B,"",-1)</f>
        <v>1.81</v>
      </c>
      <c r="K1495" s="2">
        <f>_xlfn.XLOOKUP(A1495,CPIAUCSL!A:A,CPIAUCSL!B:B,"",-1)</f>
        <v>287.67399999999998</v>
      </c>
      <c r="L1495">
        <f>_xlfn.XLOOKUP(A1495,DFF!A:A,DFF!B:B,"",-1)</f>
        <v>0.08</v>
      </c>
      <c r="M1495">
        <f>_xlfn.XLOOKUP(A1495,'DGS2'!A:A,'DGS2'!B:B,"",-1)</f>
        <v>1.63</v>
      </c>
      <c r="N1495">
        <f t="shared" si="187"/>
        <v>7.9999999999999849E-2</v>
      </c>
      <c r="O1495">
        <f t="shared" si="188"/>
        <v>2.5698324022346508E-2</v>
      </c>
      <c r="P1495">
        <f t="shared" si="189"/>
        <v>1</v>
      </c>
      <c r="Q1495">
        <f t="shared" si="190"/>
        <v>1</v>
      </c>
    </row>
    <row r="1496" spans="1:17">
      <c r="A1496" s="1">
        <v>44629</v>
      </c>
      <c r="B1496">
        <v>4277.88</v>
      </c>
      <c r="C1496">
        <f t="shared" si="184"/>
        <v>2.5698324022346508E-2</v>
      </c>
      <c r="D1496">
        <f t="shared" si="191"/>
        <v>-1.1779055504092195E-2</v>
      </c>
      <c r="E1496">
        <f>_xlfn.XLOOKUP(A1496,VIX!A:A,VIX!B:B,"",-1)</f>
        <v>32.450000000000003</v>
      </c>
      <c r="F1496">
        <f t="shared" si="185"/>
        <v>-2.6799999999999997</v>
      </c>
      <c r="G1496">
        <f>_xlfn.XLOOKUP(A1496,'DGS10'!A:A,'DGS10'!B:B,"",-1)</f>
        <v>1.94</v>
      </c>
      <c r="H1496">
        <f t="shared" si="186"/>
        <v>7.9999999999999849E-2</v>
      </c>
      <c r="I1496" s="2">
        <f>_xlfn.XLOOKUP(A1496,T10Y3M!A:A,T10Y3M!B:B,"",-1)</f>
        <v>1.56</v>
      </c>
      <c r="J1496" s="2">
        <f>_xlfn.XLOOKUP(A1496,BAMLC0A4CBBB!A:A,BAMLC0A4CBBB!B:B,"",-1)</f>
        <v>1.79</v>
      </c>
      <c r="K1496" s="2">
        <f>_xlfn.XLOOKUP(A1496,CPIAUCSL!A:A,CPIAUCSL!B:B,"",-1)</f>
        <v>287.67399999999998</v>
      </c>
      <c r="L1496">
        <f>_xlfn.XLOOKUP(A1496,DFF!A:A,DFF!B:B,"",-1)</f>
        <v>0.08</v>
      </c>
      <c r="M1496">
        <f>_xlfn.XLOOKUP(A1496,'DGS2'!A:A,'DGS2'!B:B,"",-1)</f>
        <v>1.68</v>
      </c>
      <c r="N1496">
        <f t="shared" si="187"/>
        <v>5.0000000000000044E-2</v>
      </c>
      <c r="O1496">
        <f t="shared" si="188"/>
        <v>-4.2918454935622075E-3</v>
      </c>
      <c r="P1496">
        <f t="shared" si="189"/>
        <v>0</v>
      </c>
      <c r="Q1496">
        <f t="shared" si="190"/>
        <v>-1</v>
      </c>
    </row>
    <row r="1497" spans="1:17">
      <c r="A1497" s="1">
        <v>44630</v>
      </c>
      <c r="B1497">
        <v>4259.5200000000004</v>
      </c>
      <c r="C1497">
        <f t="shared" si="184"/>
        <v>-4.2918454935622075E-3</v>
      </c>
      <c r="D1497">
        <f t="shared" si="191"/>
        <v>1.3908295228143297E-2</v>
      </c>
      <c r="E1497">
        <f>_xlfn.XLOOKUP(A1497,VIX!A:A,VIX!B:B,"",-1)</f>
        <v>30.23</v>
      </c>
      <c r="F1497">
        <f t="shared" si="185"/>
        <v>-2.2200000000000024</v>
      </c>
      <c r="G1497">
        <f>_xlfn.XLOOKUP(A1497,'DGS10'!A:A,'DGS10'!B:B,"",-1)</f>
        <v>1.98</v>
      </c>
      <c r="H1497">
        <f t="shared" si="186"/>
        <v>4.0000000000000036E-2</v>
      </c>
      <c r="I1497" s="2">
        <f>_xlfn.XLOOKUP(A1497,T10Y3M!A:A,T10Y3M!B:B,"",-1)</f>
        <v>1.59</v>
      </c>
      <c r="J1497" s="2">
        <f>_xlfn.XLOOKUP(A1497,BAMLC0A4CBBB!A:A,BAMLC0A4CBBB!B:B,"",-1)</f>
        <v>1.8</v>
      </c>
      <c r="K1497" s="2">
        <f>_xlfn.XLOOKUP(A1497,CPIAUCSL!A:A,CPIAUCSL!B:B,"",-1)</f>
        <v>287.67399999999998</v>
      </c>
      <c r="L1497">
        <f>_xlfn.XLOOKUP(A1497,DFF!A:A,DFF!B:B,"",-1)</f>
        <v>0.08</v>
      </c>
      <c r="M1497">
        <f>_xlfn.XLOOKUP(A1497,'DGS2'!A:A,'DGS2'!B:B,"",-1)</f>
        <v>1.72</v>
      </c>
      <c r="N1497">
        <f t="shared" si="187"/>
        <v>4.0000000000000036E-2</v>
      </c>
      <c r="O1497">
        <f t="shared" si="188"/>
        <v>-1.2961554353542182E-2</v>
      </c>
      <c r="P1497">
        <f t="shared" si="189"/>
        <v>0</v>
      </c>
      <c r="Q1497">
        <f t="shared" si="190"/>
        <v>-1</v>
      </c>
    </row>
    <row r="1498" spans="1:17">
      <c r="A1498" s="1">
        <v>44631</v>
      </c>
      <c r="B1498">
        <v>4204.3100000000004</v>
      </c>
      <c r="C1498">
        <f t="shared" si="184"/>
        <v>-1.2961554353542182E-2</v>
      </c>
      <c r="D1498">
        <f t="shared" si="191"/>
        <v>8.0585992759010239E-3</v>
      </c>
      <c r="E1498">
        <f>_xlfn.XLOOKUP(A1498,VIX!A:A,VIX!B:B,"",-1)</f>
        <v>30.75</v>
      </c>
      <c r="F1498">
        <f t="shared" si="185"/>
        <v>0.51999999999999957</v>
      </c>
      <c r="G1498">
        <f>_xlfn.XLOOKUP(A1498,'DGS10'!A:A,'DGS10'!B:B,"",-1)</f>
        <v>2</v>
      </c>
      <c r="H1498">
        <f t="shared" si="186"/>
        <v>2.0000000000000018E-2</v>
      </c>
      <c r="I1498" s="2">
        <f>_xlfn.XLOOKUP(A1498,T10Y3M!A:A,T10Y3M!B:B,"",-1)</f>
        <v>1.6</v>
      </c>
      <c r="J1498" s="2">
        <f>_xlfn.XLOOKUP(A1498,BAMLC0A4CBBB!A:A,BAMLC0A4CBBB!B:B,"",-1)</f>
        <v>1.82</v>
      </c>
      <c r="K1498" s="2">
        <f>_xlfn.XLOOKUP(A1498,CPIAUCSL!A:A,CPIAUCSL!B:B,"",-1)</f>
        <v>287.67399999999998</v>
      </c>
      <c r="L1498">
        <f>_xlfn.XLOOKUP(A1498,DFF!A:A,DFF!B:B,"",-1)</f>
        <v>0.08</v>
      </c>
      <c r="M1498">
        <f>_xlfn.XLOOKUP(A1498,'DGS2'!A:A,'DGS2'!B:B,"",-1)</f>
        <v>1.75</v>
      </c>
      <c r="N1498">
        <f t="shared" si="187"/>
        <v>3.0000000000000027E-2</v>
      </c>
      <c r="O1498">
        <f t="shared" si="188"/>
        <v>-7.4209561140831104E-3</v>
      </c>
      <c r="P1498">
        <f t="shared" si="189"/>
        <v>0</v>
      </c>
      <c r="Q1498">
        <f t="shared" si="190"/>
        <v>-1</v>
      </c>
    </row>
    <row r="1499" spans="1:17">
      <c r="A1499" s="1">
        <v>44634</v>
      </c>
      <c r="B1499">
        <v>4173.1099999999997</v>
      </c>
      <c r="C1499">
        <f t="shared" si="184"/>
        <v>-7.4209561140831104E-3</v>
      </c>
      <c r="D1499">
        <f t="shared" si="191"/>
        <v>-2.4491103069744891E-2</v>
      </c>
      <c r="E1499">
        <f>_xlfn.XLOOKUP(A1499,VIX!A:A,VIX!B:B,"",-1)</f>
        <v>31.77</v>
      </c>
      <c r="F1499">
        <f t="shared" si="185"/>
        <v>1.0199999999999996</v>
      </c>
      <c r="G1499">
        <f>_xlfn.XLOOKUP(A1499,'DGS10'!A:A,'DGS10'!B:B,"",-1)</f>
        <v>2.14</v>
      </c>
      <c r="H1499">
        <f t="shared" si="186"/>
        <v>0.14000000000000012</v>
      </c>
      <c r="I1499" s="2">
        <f>_xlfn.XLOOKUP(A1499,T10Y3M!A:A,T10Y3M!B:B,"",-1)</f>
        <v>1.69</v>
      </c>
      <c r="J1499" s="2">
        <f>_xlfn.XLOOKUP(A1499,BAMLC0A4CBBB!A:A,BAMLC0A4CBBB!B:B,"",-1)</f>
        <v>1.84</v>
      </c>
      <c r="K1499" s="2">
        <f>_xlfn.XLOOKUP(A1499,CPIAUCSL!A:A,CPIAUCSL!B:B,"",-1)</f>
        <v>287.67399999999998</v>
      </c>
      <c r="L1499">
        <f>_xlfn.XLOOKUP(A1499,DFF!A:A,DFF!B:B,"",-1)</f>
        <v>0.08</v>
      </c>
      <c r="M1499">
        <f>_xlfn.XLOOKUP(A1499,'DGS2'!A:A,'DGS2'!B:B,"",-1)</f>
        <v>1.87</v>
      </c>
      <c r="N1499">
        <f t="shared" si="187"/>
        <v>0.12000000000000011</v>
      </c>
      <c r="O1499">
        <f t="shared" si="188"/>
        <v>2.1408493905025416E-2</v>
      </c>
      <c r="P1499">
        <f t="shared" si="189"/>
        <v>1</v>
      </c>
      <c r="Q1499">
        <f t="shared" si="190"/>
        <v>1</v>
      </c>
    </row>
    <row r="1500" spans="1:17">
      <c r="A1500" s="1">
        <v>44635</v>
      </c>
      <c r="B1500">
        <v>4262.45</v>
      </c>
      <c r="C1500">
        <f t="shared" si="184"/>
        <v>2.1408493905025416E-2</v>
      </c>
      <c r="D1500">
        <f t="shared" si="191"/>
        <v>6.8787093381406095E-4</v>
      </c>
      <c r="E1500">
        <f>_xlfn.XLOOKUP(A1500,VIX!A:A,VIX!B:B,"",-1)</f>
        <v>29.83</v>
      </c>
      <c r="F1500">
        <f t="shared" si="185"/>
        <v>-1.9400000000000013</v>
      </c>
      <c r="G1500">
        <f>_xlfn.XLOOKUP(A1500,'DGS10'!A:A,'DGS10'!B:B,"",-1)</f>
        <v>2.15</v>
      </c>
      <c r="H1500">
        <f t="shared" si="186"/>
        <v>9.9999999999997868E-3</v>
      </c>
      <c r="I1500" s="2">
        <f>_xlfn.XLOOKUP(A1500,T10Y3M!A:A,T10Y3M!B:B,"",-1)</f>
        <v>1.69</v>
      </c>
      <c r="J1500" s="2">
        <f>_xlfn.XLOOKUP(A1500,BAMLC0A4CBBB!A:A,BAMLC0A4CBBB!B:B,"",-1)</f>
        <v>1.85</v>
      </c>
      <c r="K1500" s="2">
        <f>_xlfn.XLOOKUP(A1500,CPIAUCSL!A:A,CPIAUCSL!B:B,"",-1)</f>
        <v>287.67399999999998</v>
      </c>
      <c r="L1500">
        <f>_xlfn.XLOOKUP(A1500,DFF!A:A,DFF!B:B,"",-1)</f>
        <v>0.08</v>
      </c>
      <c r="M1500">
        <f>_xlfn.XLOOKUP(A1500,'DGS2'!A:A,'DGS2'!B:B,"",-1)</f>
        <v>1.85</v>
      </c>
      <c r="N1500">
        <f t="shared" si="187"/>
        <v>-2.0000000000000018E-2</v>
      </c>
      <c r="O1500">
        <f t="shared" si="188"/>
        <v>2.2383840279651235E-2</v>
      </c>
      <c r="P1500">
        <f t="shared" si="189"/>
        <v>1</v>
      </c>
      <c r="Q1500">
        <f t="shared" si="190"/>
        <v>1</v>
      </c>
    </row>
    <row r="1501" spans="1:17">
      <c r="A1501" s="1">
        <v>44636</v>
      </c>
      <c r="B1501">
        <v>4357.8599999999997</v>
      </c>
      <c r="C1501">
        <f t="shared" si="184"/>
        <v>2.2383840279651235E-2</v>
      </c>
      <c r="D1501">
        <f t="shared" si="191"/>
        <v>3.6522045234532952E-2</v>
      </c>
      <c r="E1501">
        <f>_xlfn.XLOOKUP(A1501,VIX!A:A,VIX!B:B,"",-1)</f>
        <v>26.67</v>
      </c>
      <c r="F1501">
        <f t="shared" si="185"/>
        <v>-3.1599999999999966</v>
      </c>
      <c r="G1501">
        <f>_xlfn.XLOOKUP(A1501,'DGS10'!A:A,'DGS10'!B:B,"",-1)</f>
        <v>2.19</v>
      </c>
      <c r="H1501">
        <f t="shared" si="186"/>
        <v>4.0000000000000036E-2</v>
      </c>
      <c r="I1501" s="2">
        <f>_xlfn.XLOOKUP(A1501,T10Y3M!A:A,T10Y3M!B:B,"",-1)</f>
        <v>1.75</v>
      </c>
      <c r="J1501" s="2">
        <f>_xlfn.XLOOKUP(A1501,BAMLC0A4CBBB!A:A,BAMLC0A4CBBB!B:B,"",-1)</f>
        <v>1.79</v>
      </c>
      <c r="K1501" s="2">
        <f>_xlfn.XLOOKUP(A1501,CPIAUCSL!A:A,CPIAUCSL!B:B,"",-1)</f>
        <v>287.67399999999998</v>
      </c>
      <c r="L1501">
        <f>_xlfn.XLOOKUP(A1501,DFF!A:A,DFF!B:B,"",-1)</f>
        <v>0.08</v>
      </c>
      <c r="M1501">
        <f>_xlfn.XLOOKUP(A1501,'DGS2'!A:A,'DGS2'!B:B,"",-1)</f>
        <v>1.95</v>
      </c>
      <c r="N1501">
        <f t="shared" si="187"/>
        <v>9.9999999999999867E-2</v>
      </c>
      <c r="O1501">
        <f t="shared" si="188"/>
        <v>1.2347803738532281E-2</v>
      </c>
      <c r="P1501">
        <f t="shared" si="189"/>
        <v>1</v>
      </c>
      <c r="Q1501">
        <f t="shared" si="190"/>
        <v>1</v>
      </c>
    </row>
    <row r="1502" spans="1:17">
      <c r="A1502" s="1">
        <v>44637</v>
      </c>
      <c r="B1502">
        <v>4411.67</v>
      </c>
      <c r="C1502">
        <f t="shared" si="184"/>
        <v>1.2347803738532281E-2</v>
      </c>
      <c r="D1502">
        <f t="shared" si="191"/>
        <v>5.7165998499919768E-2</v>
      </c>
      <c r="E1502">
        <f>_xlfn.XLOOKUP(A1502,VIX!A:A,VIX!B:B,"",-1)</f>
        <v>25.67</v>
      </c>
      <c r="F1502">
        <f t="shared" si="185"/>
        <v>-1</v>
      </c>
      <c r="G1502">
        <f>_xlfn.XLOOKUP(A1502,'DGS10'!A:A,'DGS10'!B:B,"",-1)</f>
        <v>2.2000000000000002</v>
      </c>
      <c r="H1502">
        <f t="shared" si="186"/>
        <v>1.0000000000000231E-2</v>
      </c>
      <c r="I1502" s="2">
        <f>_xlfn.XLOOKUP(A1502,T10Y3M!A:A,T10Y3M!B:B,"",-1)</f>
        <v>1.8</v>
      </c>
      <c r="J1502" s="2">
        <f>_xlfn.XLOOKUP(A1502,BAMLC0A4CBBB!A:A,BAMLC0A4CBBB!B:B,"",-1)</f>
        <v>1.71</v>
      </c>
      <c r="K1502" s="2">
        <f>_xlfn.XLOOKUP(A1502,CPIAUCSL!A:A,CPIAUCSL!B:B,"",-1)</f>
        <v>287.67399999999998</v>
      </c>
      <c r="L1502">
        <f>_xlfn.XLOOKUP(A1502,DFF!A:A,DFF!B:B,"",-1)</f>
        <v>0.33</v>
      </c>
      <c r="M1502">
        <f>_xlfn.XLOOKUP(A1502,'DGS2'!A:A,'DGS2'!B:B,"",-1)</f>
        <v>1.94</v>
      </c>
      <c r="N1502">
        <f t="shared" si="187"/>
        <v>-1.0000000000000009E-2</v>
      </c>
      <c r="O1502">
        <f t="shared" si="188"/>
        <v>1.1662250349640857E-2</v>
      </c>
      <c r="P1502">
        <f t="shared" si="189"/>
        <v>1</v>
      </c>
      <c r="Q1502">
        <f t="shared" si="190"/>
        <v>1</v>
      </c>
    </row>
    <row r="1503" spans="1:17">
      <c r="A1503" s="1">
        <v>44638</v>
      </c>
      <c r="B1503">
        <v>4463.12</v>
      </c>
      <c r="C1503">
        <f t="shared" si="184"/>
        <v>1.1662250349640857E-2</v>
      </c>
      <c r="D1503">
        <f t="shared" si="191"/>
        <v>4.7078558106253388E-2</v>
      </c>
      <c r="E1503">
        <f>_xlfn.XLOOKUP(A1503,VIX!A:A,VIX!B:B,"",-1)</f>
        <v>23.87</v>
      </c>
      <c r="F1503">
        <f t="shared" si="185"/>
        <v>-1.8000000000000007</v>
      </c>
      <c r="G1503">
        <f>_xlfn.XLOOKUP(A1503,'DGS10'!A:A,'DGS10'!B:B,"",-1)</f>
        <v>2.14</v>
      </c>
      <c r="H1503">
        <f t="shared" si="186"/>
        <v>-6.0000000000000053E-2</v>
      </c>
      <c r="I1503" s="2">
        <f>_xlfn.XLOOKUP(A1503,T10Y3M!A:A,T10Y3M!B:B,"",-1)</f>
        <v>1.72</v>
      </c>
      <c r="J1503" s="2">
        <f>_xlfn.XLOOKUP(A1503,BAMLC0A4CBBB!A:A,BAMLC0A4CBBB!B:B,"",-1)</f>
        <v>1.69</v>
      </c>
      <c r="K1503" s="2">
        <f>_xlfn.XLOOKUP(A1503,CPIAUCSL!A:A,CPIAUCSL!B:B,"",-1)</f>
        <v>287.67399999999998</v>
      </c>
      <c r="L1503">
        <f>_xlfn.XLOOKUP(A1503,DFF!A:A,DFF!B:B,"",-1)</f>
        <v>0.33</v>
      </c>
      <c r="M1503">
        <f>_xlfn.XLOOKUP(A1503,'DGS2'!A:A,'DGS2'!B:B,"",-1)</f>
        <v>1.97</v>
      </c>
      <c r="N1503">
        <f t="shared" si="187"/>
        <v>3.0000000000000027E-2</v>
      </c>
      <c r="O1503">
        <f t="shared" si="188"/>
        <v>-4.3467350194470455E-4</v>
      </c>
      <c r="P1503">
        <f t="shared" si="189"/>
        <v>0</v>
      </c>
      <c r="Q1503">
        <f t="shared" si="190"/>
        <v>0</v>
      </c>
    </row>
    <row r="1504" spans="1:17">
      <c r="A1504" s="1">
        <v>44641</v>
      </c>
      <c r="B1504">
        <v>4461.18</v>
      </c>
      <c r="C1504">
        <f t="shared" si="184"/>
        <v>-4.3467350194470455E-4</v>
      </c>
      <c r="D1504">
        <f t="shared" si="191"/>
        <v>2.3708884636037153E-2</v>
      </c>
      <c r="E1504">
        <f>_xlfn.XLOOKUP(A1504,VIX!A:A,VIX!B:B,"",-1)</f>
        <v>23.53</v>
      </c>
      <c r="F1504">
        <f t="shared" si="185"/>
        <v>-0.33999999999999986</v>
      </c>
      <c r="G1504">
        <f>_xlfn.XLOOKUP(A1504,'DGS10'!A:A,'DGS10'!B:B,"",-1)</f>
        <v>2.3199999999999998</v>
      </c>
      <c r="H1504">
        <f t="shared" si="186"/>
        <v>0.17999999999999972</v>
      </c>
      <c r="I1504" s="2">
        <f>_xlfn.XLOOKUP(A1504,T10Y3M!A:A,T10Y3M!B:B,"",-1)</f>
        <v>1.78</v>
      </c>
      <c r="J1504" s="2">
        <f>_xlfn.XLOOKUP(A1504,BAMLC0A4CBBB!A:A,BAMLC0A4CBBB!B:B,"",-1)</f>
        <v>1.65</v>
      </c>
      <c r="K1504" s="2">
        <f>_xlfn.XLOOKUP(A1504,CPIAUCSL!A:A,CPIAUCSL!B:B,"",-1)</f>
        <v>287.67399999999998</v>
      </c>
      <c r="L1504">
        <f>_xlfn.XLOOKUP(A1504,DFF!A:A,DFF!B:B,"",-1)</f>
        <v>0.33</v>
      </c>
      <c r="M1504">
        <f>_xlfn.XLOOKUP(A1504,'DGS2'!A:A,'DGS2'!B:B,"",-1)</f>
        <v>2.14</v>
      </c>
      <c r="N1504">
        <f t="shared" si="187"/>
        <v>0.17000000000000015</v>
      </c>
      <c r="O1504">
        <f t="shared" si="188"/>
        <v>1.1304184094790948E-2</v>
      </c>
      <c r="P1504">
        <f t="shared" si="189"/>
        <v>1</v>
      </c>
      <c r="Q1504">
        <f t="shared" si="190"/>
        <v>1</v>
      </c>
    </row>
    <row r="1505" spans="1:17">
      <c r="A1505" s="1">
        <v>44642</v>
      </c>
      <c r="B1505">
        <v>4511.6099999999997</v>
      </c>
      <c r="C1505">
        <f t="shared" si="184"/>
        <v>1.1304184094790948E-2</v>
      </c>
      <c r="D1505">
        <f t="shared" si="191"/>
        <v>2.2653552962936807E-2</v>
      </c>
      <c r="E1505">
        <f>_xlfn.XLOOKUP(A1505,VIX!A:A,VIX!B:B,"",-1)</f>
        <v>22.94</v>
      </c>
      <c r="F1505">
        <f t="shared" si="185"/>
        <v>-0.58999999999999986</v>
      </c>
      <c r="G1505">
        <f>_xlfn.XLOOKUP(A1505,'DGS10'!A:A,'DGS10'!B:B,"",-1)</f>
        <v>2.38</v>
      </c>
      <c r="H1505">
        <f t="shared" si="186"/>
        <v>6.0000000000000053E-2</v>
      </c>
      <c r="I1505" s="2">
        <f>_xlfn.XLOOKUP(A1505,T10Y3M!A:A,T10Y3M!B:B,"",-1)</f>
        <v>1.87</v>
      </c>
      <c r="J1505" s="2">
        <f>_xlfn.XLOOKUP(A1505,BAMLC0A4CBBB!A:A,BAMLC0A4CBBB!B:B,"",-1)</f>
        <v>1.63</v>
      </c>
      <c r="K1505" s="2">
        <f>_xlfn.XLOOKUP(A1505,CPIAUCSL!A:A,CPIAUCSL!B:B,"",-1)</f>
        <v>287.67399999999998</v>
      </c>
      <c r="L1505">
        <f>_xlfn.XLOOKUP(A1505,DFF!A:A,DFF!B:B,"",-1)</f>
        <v>0.33</v>
      </c>
      <c r="M1505">
        <f>_xlfn.XLOOKUP(A1505,'DGS2'!A:A,'DGS2'!B:B,"",-1)</f>
        <v>2.1800000000000002</v>
      </c>
      <c r="N1505">
        <f t="shared" si="187"/>
        <v>4.0000000000000036E-2</v>
      </c>
      <c r="O1505">
        <f t="shared" si="188"/>
        <v>-1.2272780670315009E-2</v>
      </c>
      <c r="P1505">
        <f t="shared" si="189"/>
        <v>0</v>
      </c>
      <c r="Q1505">
        <f t="shared" si="190"/>
        <v>-1</v>
      </c>
    </row>
    <row r="1506" spans="1:17">
      <c r="A1506" s="1">
        <v>44643</v>
      </c>
      <c r="B1506">
        <v>4456.24</v>
      </c>
      <c r="C1506">
        <f t="shared" si="184"/>
        <v>-1.2272780670315009E-2</v>
      </c>
      <c r="D1506">
        <f t="shared" si="191"/>
        <v>-1.5415225223610607E-3</v>
      </c>
      <c r="E1506">
        <f>_xlfn.XLOOKUP(A1506,VIX!A:A,VIX!B:B,"",-1)</f>
        <v>23.57</v>
      </c>
      <c r="F1506">
        <f t="shared" si="185"/>
        <v>0.62999999999999901</v>
      </c>
      <c r="G1506">
        <f>_xlfn.XLOOKUP(A1506,'DGS10'!A:A,'DGS10'!B:B,"",-1)</f>
        <v>2.3199999999999998</v>
      </c>
      <c r="H1506">
        <f t="shared" si="186"/>
        <v>-6.0000000000000053E-2</v>
      </c>
      <c r="I1506" s="2">
        <f>_xlfn.XLOOKUP(A1506,T10Y3M!A:A,T10Y3M!B:B,"",-1)</f>
        <v>1.82</v>
      </c>
      <c r="J1506" s="2">
        <f>_xlfn.XLOOKUP(A1506,BAMLC0A4CBBB!A:A,BAMLC0A4CBBB!B:B,"",-1)</f>
        <v>1.63</v>
      </c>
      <c r="K1506" s="2">
        <f>_xlfn.XLOOKUP(A1506,CPIAUCSL!A:A,CPIAUCSL!B:B,"",-1)</f>
        <v>287.67399999999998</v>
      </c>
      <c r="L1506">
        <f>_xlfn.XLOOKUP(A1506,DFF!A:A,DFF!B:B,"",-1)</f>
        <v>0.33</v>
      </c>
      <c r="M1506">
        <f>_xlfn.XLOOKUP(A1506,'DGS2'!A:A,'DGS2'!B:B,"",-1)</f>
        <v>2.13</v>
      </c>
      <c r="N1506">
        <f t="shared" si="187"/>
        <v>-5.0000000000000266E-2</v>
      </c>
      <c r="O1506">
        <f t="shared" si="188"/>
        <v>1.4343931206577842E-2</v>
      </c>
      <c r="P1506">
        <f t="shared" si="189"/>
        <v>1</v>
      </c>
      <c r="Q1506">
        <f t="shared" si="190"/>
        <v>1</v>
      </c>
    </row>
    <row r="1507" spans="1:17">
      <c r="A1507" s="1">
        <v>44644</v>
      </c>
      <c r="B1507">
        <v>4520.16</v>
      </c>
      <c r="C1507">
        <f t="shared" si="184"/>
        <v>1.4343931206577842E-2</v>
      </c>
      <c r="D1507">
        <f t="shared" si="191"/>
        <v>1.322071738867292E-2</v>
      </c>
      <c r="E1507">
        <f>_xlfn.XLOOKUP(A1507,VIX!A:A,VIX!B:B,"",-1)</f>
        <v>21.67</v>
      </c>
      <c r="F1507">
        <f t="shared" si="185"/>
        <v>-1.8999999999999986</v>
      </c>
      <c r="G1507">
        <f>_xlfn.XLOOKUP(A1507,'DGS10'!A:A,'DGS10'!B:B,"",-1)</f>
        <v>2.34</v>
      </c>
      <c r="H1507">
        <f t="shared" si="186"/>
        <v>2.0000000000000018E-2</v>
      </c>
      <c r="I1507" s="2">
        <f>_xlfn.XLOOKUP(A1507,T10Y3M!A:A,T10Y3M!B:B,"",-1)</f>
        <v>1.82</v>
      </c>
      <c r="J1507" s="2">
        <f>_xlfn.XLOOKUP(A1507,BAMLC0A4CBBB!A:A,BAMLC0A4CBBB!B:B,"",-1)</f>
        <v>1.64</v>
      </c>
      <c r="K1507" s="2">
        <f>_xlfn.XLOOKUP(A1507,CPIAUCSL!A:A,CPIAUCSL!B:B,"",-1)</f>
        <v>287.67399999999998</v>
      </c>
      <c r="L1507">
        <f>_xlfn.XLOOKUP(A1507,DFF!A:A,DFF!B:B,"",-1)</f>
        <v>0.33</v>
      </c>
      <c r="M1507">
        <f>_xlfn.XLOOKUP(A1507,'DGS2'!A:A,'DGS2'!B:B,"",-1)</f>
        <v>2.13</v>
      </c>
      <c r="N1507">
        <f t="shared" si="187"/>
        <v>0</v>
      </c>
      <c r="O1507">
        <f t="shared" si="188"/>
        <v>5.0661923471737591E-3</v>
      </c>
      <c r="P1507">
        <f t="shared" si="189"/>
        <v>1</v>
      </c>
      <c r="Q1507">
        <f t="shared" si="190"/>
        <v>1</v>
      </c>
    </row>
    <row r="1508" spans="1:17">
      <c r="A1508" s="1">
        <v>44645</v>
      </c>
      <c r="B1508">
        <v>4543.0600000000004</v>
      </c>
      <c r="C1508">
        <f t="shared" si="184"/>
        <v>5.0661923471737591E-3</v>
      </c>
      <c r="D1508">
        <f t="shared" si="191"/>
        <v>6.9709039566807629E-3</v>
      </c>
      <c r="E1508">
        <f>_xlfn.XLOOKUP(A1508,VIX!A:A,VIX!B:B,"",-1)</f>
        <v>20.81</v>
      </c>
      <c r="F1508">
        <f t="shared" si="185"/>
        <v>-0.86000000000000298</v>
      </c>
      <c r="G1508">
        <f>_xlfn.XLOOKUP(A1508,'DGS10'!A:A,'DGS10'!B:B,"",-1)</f>
        <v>2.48</v>
      </c>
      <c r="H1508">
        <f t="shared" si="186"/>
        <v>0.14000000000000012</v>
      </c>
      <c r="I1508" s="2">
        <f>_xlfn.XLOOKUP(A1508,T10Y3M!A:A,T10Y3M!B:B,"",-1)</f>
        <v>1.93</v>
      </c>
      <c r="J1508" s="2">
        <f>_xlfn.XLOOKUP(A1508,BAMLC0A4CBBB!A:A,BAMLC0A4CBBB!B:B,"",-1)</f>
        <v>1.61</v>
      </c>
      <c r="K1508" s="2">
        <f>_xlfn.XLOOKUP(A1508,CPIAUCSL!A:A,CPIAUCSL!B:B,"",-1)</f>
        <v>287.67399999999998</v>
      </c>
      <c r="L1508">
        <f>_xlfn.XLOOKUP(A1508,DFF!A:A,DFF!B:B,"",-1)</f>
        <v>0.33</v>
      </c>
      <c r="M1508">
        <f>_xlfn.XLOOKUP(A1508,'DGS2'!A:A,'DGS2'!B:B,"",-1)</f>
        <v>2.2999999999999998</v>
      </c>
      <c r="N1508">
        <f t="shared" si="187"/>
        <v>0.16999999999999993</v>
      </c>
      <c r="O1508">
        <f t="shared" si="188"/>
        <v>7.1449639670178033E-3</v>
      </c>
      <c r="P1508">
        <f t="shared" si="189"/>
        <v>1</v>
      </c>
      <c r="Q1508">
        <f t="shared" si="190"/>
        <v>1</v>
      </c>
    </row>
    <row r="1509" spans="1:17">
      <c r="A1509" s="1">
        <v>44648</v>
      </c>
      <c r="B1509">
        <v>4575.5200000000004</v>
      </c>
      <c r="C1509">
        <f t="shared" si="184"/>
        <v>7.1449639670178033E-3</v>
      </c>
      <c r="D1509">
        <f t="shared" si="191"/>
        <v>2.6766960486868108E-2</v>
      </c>
      <c r="E1509">
        <f>_xlfn.XLOOKUP(A1509,VIX!A:A,VIX!B:B,"",-1)</f>
        <v>19.63</v>
      </c>
      <c r="F1509">
        <f t="shared" si="185"/>
        <v>-1.1799999999999997</v>
      </c>
      <c r="G1509">
        <f>_xlfn.XLOOKUP(A1509,'DGS10'!A:A,'DGS10'!B:B,"",-1)</f>
        <v>2.46</v>
      </c>
      <c r="H1509">
        <f t="shared" si="186"/>
        <v>-2.0000000000000018E-2</v>
      </c>
      <c r="I1509" s="2">
        <f>_xlfn.XLOOKUP(A1509,T10Y3M!A:A,T10Y3M!B:B,"",-1)</f>
        <v>1.87</v>
      </c>
      <c r="J1509" s="2">
        <f>_xlfn.XLOOKUP(A1509,BAMLC0A4CBBB!A:A,BAMLC0A4CBBB!B:B,"",-1)</f>
        <v>1.61</v>
      </c>
      <c r="K1509" s="2">
        <f>_xlfn.XLOOKUP(A1509,CPIAUCSL!A:A,CPIAUCSL!B:B,"",-1)</f>
        <v>287.67399999999998</v>
      </c>
      <c r="L1509">
        <f>_xlfn.XLOOKUP(A1509,DFF!A:A,DFF!B:B,"",-1)</f>
        <v>0.33</v>
      </c>
      <c r="M1509">
        <f>_xlfn.XLOOKUP(A1509,'DGS2'!A:A,'DGS2'!B:B,"",-1)</f>
        <v>2.35</v>
      </c>
      <c r="N1509">
        <f t="shared" si="187"/>
        <v>5.0000000000000266E-2</v>
      </c>
      <c r="O1509">
        <f t="shared" si="188"/>
        <v>1.2256530405287291E-2</v>
      </c>
      <c r="P1509">
        <f t="shared" si="189"/>
        <v>1</v>
      </c>
      <c r="Q1509">
        <f t="shared" si="190"/>
        <v>1</v>
      </c>
    </row>
    <row r="1510" spans="1:17">
      <c r="A1510" s="1">
        <v>44649</v>
      </c>
      <c r="B1510">
        <v>4631.6000000000004</v>
      </c>
      <c r="C1510">
        <f t="shared" si="184"/>
        <v>1.2256530405287291E-2</v>
      </c>
      <c r="D1510">
        <f t="shared" si="191"/>
        <v>2.4653994548865743E-2</v>
      </c>
      <c r="E1510">
        <f>_xlfn.XLOOKUP(A1510,VIX!A:A,VIX!B:B,"",-1)</f>
        <v>18.899999999999999</v>
      </c>
      <c r="F1510">
        <f t="shared" si="185"/>
        <v>-0.73000000000000043</v>
      </c>
      <c r="G1510">
        <f>_xlfn.XLOOKUP(A1510,'DGS10'!A:A,'DGS10'!B:B,"",-1)</f>
        <v>2.41</v>
      </c>
      <c r="H1510">
        <f t="shared" si="186"/>
        <v>-4.9999999999999822E-2</v>
      </c>
      <c r="I1510" s="2">
        <f>_xlfn.XLOOKUP(A1510,T10Y3M!A:A,T10Y3M!B:B,"",-1)</f>
        <v>1.86</v>
      </c>
      <c r="J1510" s="2">
        <f>_xlfn.XLOOKUP(A1510,BAMLC0A4CBBB!A:A,BAMLC0A4CBBB!B:B,"",-1)</f>
        <v>1.57</v>
      </c>
      <c r="K1510" s="2">
        <f>_xlfn.XLOOKUP(A1510,CPIAUCSL!A:A,CPIAUCSL!B:B,"",-1)</f>
        <v>287.67399999999998</v>
      </c>
      <c r="L1510">
        <f>_xlfn.XLOOKUP(A1510,DFF!A:A,DFF!B:B,"",-1)</f>
        <v>0.33</v>
      </c>
      <c r="M1510">
        <f>_xlfn.XLOOKUP(A1510,'DGS2'!A:A,'DGS2'!B:B,"",-1)</f>
        <v>2.35</v>
      </c>
      <c r="N1510">
        <f t="shared" si="187"/>
        <v>0</v>
      </c>
      <c r="O1510">
        <f t="shared" si="188"/>
        <v>-6.2937213921756552E-3</v>
      </c>
      <c r="P1510">
        <f t="shared" si="189"/>
        <v>0</v>
      </c>
      <c r="Q1510">
        <f t="shared" si="190"/>
        <v>-1</v>
      </c>
    </row>
    <row r="1511" spans="1:17">
      <c r="A1511" s="1">
        <v>44650</v>
      </c>
      <c r="B1511">
        <v>4602.45</v>
      </c>
      <c r="C1511">
        <f t="shared" si="184"/>
        <v>-6.2937213921756552E-3</v>
      </c>
      <c r="D1511">
        <f t="shared" si="191"/>
        <v>1.3072686691348867E-2</v>
      </c>
      <c r="E1511">
        <f>_xlfn.XLOOKUP(A1511,VIX!A:A,VIX!B:B,"",-1)</f>
        <v>19.329999999999998</v>
      </c>
      <c r="F1511">
        <f t="shared" si="185"/>
        <v>0.42999999999999972</v>
      </c>
      <c r="G1511">
        <f>_xlfn.XLOOKUP(A1511,'DGS10'!A:A,'DGS10'!B:B,"",-1)</f>
        <v>2.35</v>
      </c>
      <c r="H1511">
        <f t="shared" si="186"/>
        <v>-6.0000000000000053E-2</v>
      </c>
      <c r="I1511" s="2">
        <f>_xlfn.XLOOKUP(A1511,T10Y3M!A:A,T10Y3M!B:B,"",-1)</f>
        <v>1.8</v>
      </c>
      <c r="J1511" s="2">
        <f>_xlfn.XLOOKUP(A1511,BAMLC0A4CBBB!A:A,BAMLC0A4CBBB!B:B,"",-1)</f>
        <v>1.56</v>
      </c>
      <c r="K1511" s="2">
        <f>_xlfn.XLOOKUP(A1511,CPIAUCSL!A:A,CPIAUCSL!B:B,"",-1)</f>
        <v>287.67399999999998</v>
      </c>
      <c r="L1511">
        <f>_xlfn.XLOOKUP(A1511,DFF!A:A,DFF!B:B,"",-1)</f>
        <v>0.33</v>
      </c>
      <c r="M1511">
        <f>_xlfn.XLOOKUP(A1511,'DGS2'!A:A,'DGS2'!B:B,"",-1)</f>
        <v>2.31</v>
      </c>
      <c r="N1511">
        <f t="shared" si="187"/>
        <v>-4.0000000000000036E-2</v>
      </c>
      <c r="O1511">
        <f t="shared" si="188"/>
        <v>-1.5652532890091164E-2</v>
      </c>
      <c r="P1511">
        <f t="shared" si="189"/>
        <v>0</v>
      </c>
      <c r="Q1511">
        <f t="shared" si="190"/>
        <v>-1</v>
      </c>
    </row>
    <row r="1512" spans="1:17">
      <c r="A1512" s="1">
        <v>44651</v>
      </c>
      <c r="B1512">
        <v>4530.41</v>
      </c>
      <c r="C1512">
        <f t="shared" si="184"/>
        <v>-1.5652532890091164E-2</v>
      </c>
      <c r="D1512">
        <f t="shared" si="191"/>
        <v>-9.8589887051090397E-3</v>
      </c>
      <c r="E1512">
        <f>_xlfn.XLOOKUP(A1512,VIX!A:A,VIX!B:B,"",-1)</f>
        <v>20.56</v>
      </c>
      <c r="F1512">
        <f t="shared" si="185"/>
        <v>1.2300000000000004</v>
      </c>
      <c r="G1512">
        <f>_xlfn.XLOOKUP(A1512,'DGS10'!A:A,'DGS10'!B:B,"",-1)</f>
        <v>2.3199999999999998</v>
      </c>
      <c r="H1512">
        <f t="shared" si="186"/>
        <v>-3.0000000000000249E-2</v>
      </c>
      <c r="I1512" s="2">
        <f>_xlfn.XLOOKUP(A1512,T10Y3M!A:A,T10Y3M!B:B,"",-1)</f>
        <v>1.8</v>
      </c>
      <c r="J1512" s="2">
        <f>_xlfn.XLOOKUP(A1512,BAMLC0A4CBBB!A:A,BAMLC0A4CBBB!B:B,"",-1)</f>
        <v>1.49</v>
      </c>
      <c r="K1512" s="2">
        <f>_xlfn.XLOOKUP(A1512,CPIAUCSL!A:A,CPIAUCSL!B:B,"",-1)</f>
        <v>287.67399999999998</v>
      </c>
      <c r="L1512">
        <f>_xlfn.XLOOKUP(A1512,DFF!A:A,DFF!B:B,"",-1)</f>
        <v>0.33</v>
      </c>
      <c r="M1512">
        <f>_xlfn.XLOOKUP(A1512,'DGS2'!A:A,'DGS2'!B:B,"",-1)</f>
        <v>2.2799999999999998</v>
      </c>
      <c r="N1512">
        <f t="shared" si="187"/>
        <v>-3.0000000000000249E-2</v>
      </c>
      <c r="O1512">
        <f t="shared" si="188"/>
        <v>3.4102873691344016E-3</v>
      </c>
      <c r="P1512">
        <f t="shared" si="189"/>
        <v>1</v>
      </c>
      <c r="Q1512">
        <f t="shared" si="190"/>
        <v>1</v>
      </c>
    </row>
    <row r="1513" spans="1:17">
      <c r="A1513" s="1">
        <v>44652</v>
      </c>
      <c r="B1513">
        <v>4545.8599999999997</v>
      </c>
      <c r="C1513">
        <f t="shared" si="184"/>
        <v>3.4102873691344016E-3</v>
      </c>
      <c r="D1513">
        <f t="shared" si="191"/>
        <v>-1.8511961309266911E-2</v>
      </c>
      <c r="E1513">
        <f>_xlfn.XLOOKUP(A1513,VIX!A:A,VIX!B:B,"",-1)</f>
        <v>19.63</v>
      </c>
      <c r="F1513">
        <f t="shared" si="185"/>
        <v>-0.92999999999999972</v>
      </c>
      <c r="G1513">
        <f>_xlfn.XLOOKUP(A1513,'DGS10'!A:A,'DGS10'!B:B,"",-1)</f>
        <v>2.39</v>
      </c>
      <c r="H1513">
        <f t="shared" si="186"/>
        <v>7.0000000000000284E-2</v>
      </c>
      <c r="I1513" s="2">
        <f>_xlfn.XLOOKUP(A1513,T10Y3M!A:A,T10Y3M!B:B,"",-1)</f>
        <v>1.86</v>
      </c>
      <c r="J1513" s="2">
        <f>_xlfn.XLOOKUP(A1513,BAMLC0A4CBBB!A:A,BAMLC0A4CBBB!B:B,"",-1)</f>
        <v>1.47</v>
      </c>
      <c r="K1513" s="2">
        <f>_xlfn.XLOOKUP(A1513,CPIAUCSL!A:A,CPIAUCSL!B:B,"",-1)</f>
        <v>288.56099999999998</v>
      </c>
      <c r="L1513">
        <f>_xlfn.XLOOKUP(A1513,DFF!A:A,DFF!B:B,"",-1)</f>
        <v>0.33</v>
      </c>
      <c r="M1513">
        <f>_xlfn.XLOOKUP(A1513,'DGS2'!A:A,'DGS2'!B:B,"",-1)</f>
        <v>2.44</v>
      </c>
      <c r="N1513">
        <f t="shared" si="187"/>
        <v>0.16000000000000014</v>
      </c>
      <c r="O1513">
        <f t="shared" si="188"/>
        <v>8.0908782936564005E-3</v>
      </c>
      <c r="P1513">
        <f t="shared" si="189"/>
        <v>1</v>
      </c>
      <c r="Q1513">
        <f t="shared" si="190"/>
        <v>1</v>
      </c>
    </row>
    <row r="1514" spans="1:17">
      <c r="A1514" s="1">
        <v>44655</v>
      </c>
      <c r="B1514">
        <v>4582.6400000000003</v>
      </c>
      <c r="C1514">
        <f t="shared" si="184"/>
        <v>8.0908782936564005E-3</v>
      </c>
      <c r="D1514">
        <f t="shared" si="191"/>
        <v>-4.3042292691934936E-3</v>
      </c>
      <c r="E1514">
        <f>_xlfn.XLOOKUP(A1514,VIX!A:A,VIX!B:B,"",-1)</f>
        <v>18.57</v>
      </c>
      <c r="F1514">
        <f t="shared" si="185"/>
        <v>-1.0599999999999987</v>
      </c>
      <c r="G1514">
        <f>_xlfn.XLOOKUP(A1514,'DGS10'!A:A,'DGS10'!B:B,"",-1)</f>
        <v>2.42</v>
      </c>
      <c r="H1514">
        <f t="shared" si="186"/>
        <v>2.9999999999999805E-2</v>
      </c>
      <c r="I1514" s="2">
        <f>_xlfn.XLOOKUP(A1514,T10Y3M!A:A,T10Y3M!B:B,"",-1)</f>
        <v>1.76</v>
      </c>
      <c r="J1514" s="2">
        <f>_xlfn.XLOOKUP(A1514,BAMLC0A4CBBB!A:A,BAMLC0A4CBBB!B:B,"",-1)</f>
        <v>1.44</v>
      </c>
      <c r="K1514" s="2">
        <f>_xlfn.XLOOKUP(A1514,CPIAUCSL!A:A,CPIAUCSL!B:B,"",-1)</f>
        <v>288.56099999999998</v>
      </c>
      <c r="L1514">
        <f>_xlfn.XLOOKUP(A1514,DFF!A:A,DFF!B:B,"",-1)</f>
        <v>0.33</v>
      </c>
      <c r="M1514">
        <f>_xlfn.XLOOKUP(A1514,'DGS2'!A:A,'DGS2'!B:B,"",-1)</f>
        <v>2.4300000000000002</v>
      </c>
      <c r="N1514">
        <f t="shared" si="187"/>
        <v>-9.9999999999997868E-3</v>
      </c>
      <c r="O1514">
        <f t="shared" si="188"/>
        <v>-1.2551716914267819E-2</v>
      </c>
      <c r="P1514">
        <f t="shared" si="189"/>
        <v>0</v>
      </c>
      <c r="Q1514">
        <f t="shared" si="190"/>
        <v>-1</v>
      </c>
    </row>
    <row r="1515" spans="1:17">
      <c r="A1515" s="1">
        <v>44656</v>
      </c>
      <c r="B1515">
        <v>4525.12</v>
      </c>
      <c r="C1515">
        <f t="shared" si="184"/>
        <v>-1.2551716914267819E-2</v>
      </c>
      <c r="D1515">
        <f t="shared" si="191"/>
        <v>-1.1676647367456772E-3</v>
      </c>
      <c r="E1515">
        <f>_xlfn.XLOOKUP(A1515,VIX!A:A,VIX!B:B,"",-1)</f>
        <v>21.03</v>
      </c>
      <c r="F1515">
        <f t="shared" si="185"/>
        <v>2.4600000000000009</v>
      </c>
      <c r="G1515">
        <f>_xlfn.XLOOKUP(A1515,'DGS10'!A:A,'DGS10'!B:B,"",-1)</f>
        <v>2.54</v>
      </c>
      <c r="H1515">
        <f t="shared" si="186"/>
        <v>0.12000000000000011</v>
      </c>
      <c r="I1515" s="2">
        <f>_xlfn.XLOOKUP(A1515,T10Y3M!A:A,T10Y3M!B:B,"",-1)</f>
        <v>1.89</v>
      </c>
      <c r="J1515" s="2">
        <f>_xlfn.XLOOKUP(A1515,BAMLC0A4CBBB!A:A,BAMLC0A4CBBB!B:B,"",-1)</f>
        <v>1.42</v>
      </c>
      <c r="K1515" s="2">
        <f>_xlfn.XLOOKUP(A1515,CPIAUCSL!A:A,CPIAUCSL!B:B,"",-1)</f>
        <v>288.56099999999998</v>
      </c>
      <c r="L1515">
        <f>_xlfn.XLOOKUP(A1515,DFF!A:A,DFF!B:B,"",-1)</f>
        <v>0.33</v>
      </c>
      <c r="M1515">
        <f>_xlfn.XLOOKUP(A1515,'DGS2'!A:A,'DGS2'!B:B,"",-1)</f>
        <v>2.5099999999999998</v>
      </c>
      <c r="N1515">
        <f t="shared" si="187"/>
        <v>7.9999999999999627E-2</v>
      </c>
      <c r="O1515">
        <f t="shared" si="188"/>
        <v>-9.7168693868892042E-3</v>
      </c>
      <c r="P1515">
        <f t="shared" si="189"/>
        <v>0</v>
      </c>
      <c r="Q1515">
        <f t="shared" si="190"/>
        <v>-1</v>
      </c>
    </row>
    <row r="1516" spans="1:17">
      <c r="A1516" s="1">
        <v>44657</v>
      </c>
      <c r="B1516">
        <v>4481.1499999999996</v>
      </c>
      <c r="C1516">
        <f t="shared" si="184"/>
        <v>-9.7168693868892042E-3</v>
      </c>
      <c r="D1516">
        <f t="shared" si="191"/>
        <v>-1.4234930244222177E-2</v>
      </c>
      <c r="E1516">
        <f>_xlfn.XLOOKUP(A1516,VIX!A:A,VIX!B:B,"",-1)</f>
        <v>22.1</v>
      </c>
      <c r="F1516">
        <f t="shared" si="185"/>
        <v>1.0700000000000003</v>
      </c>
      <c r="G1516">
        <f>_xlfn.XLOOKUP(A1516,'DGS10'!A:A,'DGS10'!B:B,"",-1)</f>
        <v>2.61</v>
      </c>
      <c r="H1516">
        <f t="shared" si="186"/>
        <v>6.999999999999984E-2</v>
      </c>
      <c r="I1516" s="2">
        <f>_xlfn.XLOOKUP(A1516,T10Y3M!A:A,T10Y3M!B:B,"",-1)</f>
        <v>1.94</v>
      </c>
      <c r="J1516" s="2">
        <f>_xlfn.XLOOKUP(A1516,BAMLC0A4CBBB!A:A,BAMLC0A4CBBB!B:B,"",-1)</f>
        <v>1.44</v>
      </c>
      <c r="K1516" s="2">
        <f>_xlfn.XLOOKUP(A1516,CPIAUCSL!A:A,CPIAUCSL!B:B,"",-1)</f>
        <v>288.56099999999998</v>
      </c>
      <c r="L1516">
        <f>_xlfn.XLOOKUP(A1516,DFF!A:A,DFF!B:B,"",-1)</f>
        <v>0.33</v>
      </c>
      <c r="M1516">
        <f>_xlfn.XLOOKUP(A1516,'DGS2'!A:A,'DGS2'!B:B,"",-1)</f>
        <v>2.5</v>
      </c>
      <c r="N1516">
        <f t="shared" si="187"/>
        <v>-9.9999999999997868E-3</v>
      </c>
      <c r="O1516">
        <f t="shared" si="188"/>
        <v>4.2533724601945266E-3</v>
      </c>
      <c r="P1516">
        <f t="shared" si="189"/>
        <v>1</v>
      </c>
      <c r="Q1516">
        <f t="shared" si="190"/>
        <v>1</v>
      </c>
    </row>
    <row r="1517" spans="1:17">
      <c r="A1517" s="1">
        <v>44658</v>
      </c>
      <c r="B1517">
        <v>4500.21</v>
      </c>
      <c r="C1517">
        <f t="shared" si="184"/>
        <v>4.2533724601945266E-3</v>
      </c>
      <c r="D1517">
        <f t="shared" si="191"/>
        <v>-1.798744828308585E-2</v>
      </c>
      <c r="E1517">
        <f>_xlfn.XLOOKUP(A1517,VIX!A:A,VIX!B:B,"",-1)</f>
        <v>21.55</v>
      </c>
      <c r="F1517">
        <f t="shared" si="185"/>
        <v>-0.55000000000000071</v>
      </c>
      <c r="G1517">
        <f>_xlfn.XLOOKUP(A1517,'DGS10'!A:A,'DGS10'!B:B,"",-1)</f>
        <v>2.66</v>
      </c>
      <c r="H1517">
        <f t="shared" si="186"/>
        <v>5.0000000000000266E-2</v>
      </c>
      <c r="I1517" s="2">
        <f>_xlfn.XLOOKUP(A1517,T10Y3M!A:A,T10Y3M!B:B,"",-1)</f>
        <v>1.98</v>
      </c>
      <c r="J1517" s="2">
        <f>_xlfn.XLOOKUP(A1517,BAMLC0A4CBBB!A:A,BAMLC0A4CBBB!B:B,"",-1)</f>
        <v>1.45</v>
      </c>
      <c r="K1517" s="2">
        <f>_xlfn.XLOOKUP(A1517,CPIAUCSL!A:A,CPIAUCSL!B:B,"",-1)</f>
        <v>288.56099999999998</v>
      </c>
      <c r="L1517">
        <f>_xlfn.XLOOKUP(A1517,DFF!A:A,DFF!B:B,"",-1)</f>
        <v>0.33</v>
      </c>
      <c r="M1517">
        <f>_xlfn.XLOOKUP(A1517,'DGS2'!A:A,'DGS2'!B:B,"",-1)</f>
        <v>2.4700000000000002</v>
      </c>
      <c r="N1517">
        <f t="shared" si="187"/>
        <v>-2.9999999999999805E-2</v>
      </c>
      <c r="O1517">
        <f t="shared" si="188"/>
        <v>-2.6509873983658894E-3</v>
      </c>
      <c r="P1517">
        <f t="shared" si="189"/>
        <v>0</v>
      </c>
      <c r="Q1517">
        <f t="shared" si="190"/>
        <v>0</v>
      </c>
    </row>
    <row r="1518" spans="1:17">
      <c r="A1518" s="1">
        <v>44659</v>
      </c>
      <c r="B1518">
        <v>4488.28</v>
      </c>
      <c r="C1518">
        <f t="shared" si="184"/>
        <v>-2.6509873983658894E-3</v>
      </c>
      <c r="D1518">
        <f t="shared" si="191"/>
        <v>-8.1412205643165425E-3</v>
      </c>
      <c r="E1518">
        <f>_xlfn.XLOOKUP(A1518,VIX!A:A,VIX!B:B,"",-1)</f>
        <v>21.16</v>
      </c>
      <c r="F1518">
        <f t="shared" si="185"/>
        <v>-0.39000000000000057</v>
      </c>
      <c r="G1518">
        <f>_xlfn.XLOOKUP(A1518,'DGS10'!A:A,'DGS10'!B:B,"",-1)</f>
        <v>2.72</v>
      </c>
      <c r="H1518">
        <f t="shared" si="186"/>
        <v>6.0000000000000053E-2</v>
      </c>
      <c r="I1518" s="2">
        <f>_xlfn.XLOOKUP(A1518,T10Y3M!A:A,T10Y3M!B:B,"",-1)</f>
        <v>2.02</v>
      </c>
      <c r="J1518" s="2">
        <f>_xlfn.XLOOKUP(A1518,BAMLC0A4CBBB!A:A,BAMLC0A4CBBB!B:B,"",-1)</f>
        <v>1.46</v>
      </c>
      <c r="K1518" s="2">
        <f>_xlfn.XLOOKUP(A1518,CPIAUCSL!A:A,CPIAUCSL!B:B,"",-1)</f>
        <v>288.56099999999998</v>
      </c>
      <c r="L1518">
        <f>_xlfn.XLOOKUP(A1518,DFF!A:A,DFF!B:B,"",-1)</f>
        <v>0.33</v>
      </c>
      <c r="M1518">
        <f>_xlfn.XLOOKUP(A1518,'DGS2'!A:A,'DGS2'!B:B,"",-1)</f>
        <v>2.5299999999999998</v>
      </c>
      <c r="N1518">
        <f t="shared" si="187"/>
        <v>5.9999999999999609E-2</v>
      </c>
      <c r="O1518">
        <f t="shared" si="188"/>
        <v>-1.6877289295676778E-2</v>
      </c>
      <c r="P1518">
        <f t="shared" si="189"/>
        <v>0</v>
      </c>
      <c r="Q1518">
        <f t="shared" si="190"/>
        <v>-1</v>
      </c>
    </row>
    <row r="1519" spans="1:17">
      <c r="A1519" s="1">
        <v>44662</v>
      </c>
      <c r="B1519">
        <v>4412.53</v>
      </c>
      <c r="C1519">
        <f t="shared" si="184"/>
        <v>-1.6877289295676778E-2</v>
      </c>
      <c r="D1519">
        <f t="shared" si="191"/>
        <v>-1.5313033484708138E-2</v>
      </c>
      <c r="E1519">
        <f>_xlfn.XLOOKUP(A1519,VIX!A:A,VIX!B:B,"",-1)</f>
        <v>24.37</v>
      </c>
      <c r="F1519">
        <f t="shared" si="185"/>
        <v>3.2100000000000009</v>
      </c>
      <c r="G1519">
        <f>_xlfn.XLOOKUP(A1519,'DGS10'!A:A,'DGS10'!B:B,"",-1)</f>
        <v>2.79</v>
      </c>
      <c r="H1519">
        <f t="shared" si="186"/>
        <v>6.999999999999984E-2</v>
      </c>
      <c r="I1519" s="2">
        <f>_xlfn.XLOOKUP(A1519,T10Y3M!A:A,T10Y3M!B:B,"",-1)</f>
        <v>2.02</v>
      </c>
      <c r="J1519" s="2">
        <f>_xlfn.XLOOKUP(A1519,BAMLC0A4CBBB!A:A,BAMLC0A4CBBB!B:B,"",-1)</f>
        <v>1.5</v>
      </c>
      <c r="K1519" s="2">
        <f>_xlfn.XLOOKUP(A1519,CPIAUCSL!A:A,CPIAUCSL!B:B,"",-1)</f>
        <v>288.56099999999998</v>
      </c>
      <c r="L1519">
        <f>_xlfn.XLOOKUP(A1519,DFF!A:A,DFF!B:B,"",-1)</f>
        <v>0.33</v>
      </c>
      <c r="M1519">
        <f>_xlfn.XLOOKUP(A1519,'DGS2'!A:A,'DGS2'!B:B,"",-1)</f>
        <v>2.5</v>
      </c>
      <c r="N1519">
        <f t="shared" si="187"/>
        <v>-2.9999999999999805E-2</v>
      </c>
      <c r="O1519">
        <f t="shared" si="188"/>
        <v>-3.4175405039739148E-3</v>
      </c>
      <c r="P1519">
        <f t="shared" si="189"/>
        <v>0</v>
      </c>
      <c r="Q1519">
        <f t="shared" si="190"/>
        <v>-1</v>
      </c>
    </row>
    <row r="1520" spans="1:17">
      <c r="A1520" s="1">
        <v>44663</v>
      </c>
      <c r="B1520">
        <v>4397.45</v>
      </c>
      <c r="C1520">
        <f t="shared" si="184"/>
        <v>-3.4175405039739148E-3</v>
      </c>
      <c r="D1520">
        <f t="shared" si="191"/>
        <v>-2.2834489946024772E-2</v>
      </c>
      <c r="E1520">
        <f>_xlfn.XLOOKUP(A1520,VIX!A:A,VIX!B:B,"",-1)</f>
        <v>24.26</v>
      </c>
      <c r="F1520">
        <f t="shared" si="185"/>
        <v>-0.10999999999999943</v>
      </c>
      <c r="G1520">
        <f>_xlfn.XLOOKUP(A1520,'DGS10'!A:A,'DGS10'!B:B,"",-1)</f>
        <v>2.72</v>
      </c>
      <c r="H1520">
        <f t="shared" si="186"/>
        <v>-6.999999999999984E-2</v>
      </c>
      <c r="I1520" s="2">
        <f>_xlfn.XLOOKUP(A1520,T10Y3M!A:A,T10Y3M!B:B,"",-1)</f>
        <v>1.98</v>
      </c>
      <c r="J1520" s="2">
        <f>_xlfn.XLOOKUP(A1520,BAMLC0A4CBBB!A:A,BAMLC0A4CBBB!B:B,"",-1)</f>
        <v>1.52</v>
      </c>
      <c r="K1520" s="2">
        <f>_xlfn.XLOOKUP(A1520,CPIAUCSL!A:A,CPIAUCSL!B:B,"",-1)</f>
        <v>288.56099999999998</v>
      </c>
      <c r="L1520">
        <f>_xlfn.XLOOKUP(A1520,DFF!A:A,DFF!B:B,"",-1)</f>
        <v>0.33</v>
      </c>
      <c r="M1520">
        <f>_xlfn.XLOOKUP(A1520,'DGS2'!A:A,'DGS2'!B:B,"",-1)</f>
        <v>2.39</v>
      </c>
      <c r="N1520">
        <f t="shared" si="187"/>
        <v>-0.10999999999999988</v>
      </c>
      <c r="O1520">
        <f t="shared" si="188"/>
        <v>1.1174658040455254E-2</v>
      </c>
      <c r="P1520">
        <f t="shared" si="189"/>
        <v>1</v>
      </c>
      <c r="Q1520">
        <f t="shared" si="190"/>
        <v>1</v>
      </c>
    </row>
    <row r="1521" spans="1:17">
      <c r="A1521" s="1">
        <v>44664</v>
      </c>
      <c r="B1521">
        <v>4446.59</v>
      </c>
      <c r="C1521">
        <f t="shared" si="184"/>
        <v>1.1174658040455254E-2</v>
      </c>
      <c r="D1521">
        <f t="shared" si="191"/>
        <v>-9.288636181343346E-3</v>
      </c>
      <c r="E1521">
        <f>_xlfn.XLOOKUP(A1521,VIX!A:A,VIX!B:B,"",-1)</f>
        <v>21.82</v>
      </c>
      <c r="F1521">
        <f t="shared" si="185"/>
        <v>-2.4400000000000013</v>
      </c>
      <c r="G1521">
        <f>_xlfn.XLOOKUP(A1521,'DGS10'!A:A,'DGS10'!B:B,"",-1)</f>
        <v>2.7</v>
      </c>
      <c r="H1521">
        <f t="shared" si="186"/>
        <v>-2.0000000000000018E-2</v>
      </c>
      <c r="I1521" s="2">
        <f>_xlfn.XLOOKUP(A1521,T10Y3M!A:A,T10Y3M!B:B,"",-1)</f>
        <v>1.95</v>
      </c>
      <c r="J1521" s="2">
        <f>_xlfn.XLOOKUP(A1521,BAMLC0A4CBBB!A:A,BAMLC0A4CBBB!B:B,"",-1)</f>
        <v>1.55</v>
      </c>
      <c r="K1521" s="2">
        <f>_xlfn.XLOOKUP(A1521,CPIAUCSL!A:A,CPIAUCSL!B:B,"",-1)</f>
        <v>288.56099999999998</v>
      </c>
      <c r="L1521">
        <f>_xlfn.XLOOKUP(A1521,DFF!A:A,DFF!B:B,"",-1)</f>
        <v>0.33</v>
      </c>
      <c r="M1521">
        <f>_xlfn.XLOOKUP(A1521,'DGS2'!A:A,'DGS2'!B:B,"",-1)</f>
        <v>2.37</v>
      </c>
      <c r="N1521">
        <f t="shared" si="187"/>
        <v>-2.0000000000000018E-2</v>
      </c>
      <c r="O1521">
        <f t="shared" si="188"/>
        <v>-1.2144137417661627E-2</v>
      </c>
      <c r="P1521">
        <f t="shared" si="189"/>
        <v>0</v>
      </c>
      <c r="Q1521">
        <f t="shared" si="190"/>
        <v>-1</v>
      </c>
    </row>
    <row r="1522" spans="1:17">
      <c r="A1522" s="1">
        <v>44665</v>
      </c>
      <c r="B1522">
        <v>4392.59</v>
      </c>
      <c r="C1522">
        <f t="shared" si="184"/>
        <v>-1.2144137417661627E-2</v>
      </c>
      <c r="D1522">
        <f t="shared" si="191"/>
        <v>-4.5189494462359869E-3</v>
      </c>
      <c r="E1522">
        <f>_xlfn.XLOOKUP(A1522,VIX!A:A,VIX!B:B,"",-1)</f>
        <v>22.7</v>
      </c>
      <c r="F1522">
        <f t="shared" si="185"/>
        <v>0.87999999999999901</v>
      </c>
      <c r="G1522">
        <f>_xlfn.XLOOKUP(A1522,'DGS10'!A:A,'DGS10'!B:B,"",-1)</f>
        <v>2.83</v>
      </c>
      <c r="H1522">
        <f t="shared" si="186"/>
        <v>0.12999999999999989</v>
      </c>
      <c r="I1522" s="2">
        <f>_xlfn.XLOOKUP(A1522,T10Y3M!A:A,T10Y3M!B:B,"",-1)</f>
        <v>2.04</v>
      </c>
      <c r="J1522" s="2">
        <f>_xlfn.XLOOKUP(A1522,BAMLC0A4CBBB!A:A,BAMLC0A4CBBB!B:B,"",-1)</f>
        <v>1.54</v>
      </c>
      <c r="K1522" s="2">
        <f>_xlfn.XLOOKUP(A1522,CPIAUCSL!A:A,CPIAUCSL!B:B,"",-1)</f>
        <v>288.56099999999998</v>
      </c>
      <c r="L1522">
        <f>_xlfn.XLOOKUP(A1522,DFF!A:A,DFF!B:B,"",-1)</f>
        <v>0.33</v>
      </c>
      <c r="M1522">
        <f>_xlfn.XLOOKUP(A1522,'DGS2'!A:A,'DGS2'!B:B,"",-1)</f>
        <v>2.4700000000000002</v>
      </c>
      <c r="N1522">
        <f t="shared" si="187"/>
        <v>0.10000000000000009</v>
      </c>
      <c r="O1522">
        <f t="shared" si="188"/>
        <v>-2.0489050878880199E-4</v>
      </c>
      <c r="P1522">
        <f t="shared" si="189"/>
        <v>0</v>
      </c>
      <c r="Q1522">
        <f t="shared" si="190"/>
        <v>0</v>
      </c>
    </row>
    <row r="1523" spans="1:17">
      <c r="A1523" s="1">
        <v>44669</v>
      </c>
      <c r="B1523">
        <v>4391.6899999999996</v>
      </c>
      <c r="C1523">
        <f t="shared" si="184"/>
        <v>-2.0489050878880199E-4</v>
      </c>
      <c r="D1523">
        <f t="shared" si="191"/>
        <v>-1.3098500267201274E-3</v>
      </c>
      <c r="E1523">
        <f>_xlfn.XLOOKUP(A1523,VIX!A:A,VIX!B:B,"",-1)</f>
        <v>22.17</v>
      </c>
      <c r="F1523">
        <f t="shared" si="185"/>
        <v>-0.52999999999999758</v>
      </c>
      <c r="G1523">
        <f>_xlfn.XLOOKUP(A1523,'DGS10'!A:A,'DGS10'!B:B,"",-1)</f>
        <v>2.85</v>
      </c>
      <c r="H1523">
        <f t="shared" si="186"/>
        <v>2.0000000000000018E-2</v>
      </c>
      <c r="I1523" s="2">
        <f>_xlfn.XLOOKUP(A1523,T10Y3M!A:A,T10Y3M!B:B,"",-1)</f>
        <v>2.04</v>
      </c>
      <c r="J1523" s="2">
        <f>_xlfn.XLOOKUP(A1523,BAMLC0A4CBBB!A:A,BAMLC0A4CBBB!B:B,"",-1)</f>
        <v>1.54</v>
      </c>
      <c r="K1523" s="2">
        <f>_xlfn.XLOOKUP(A1523,CPIAUCSL!A:A,CPIAUCSL!B:B,"",-1)</f>
        <v>288.56099999999998</v>
      </c>
      <c r="L1523">
        <f>_xlfn.XLOOKUP(A1523,DFF!A:A,DFF!B:B,"",-1)</f>
        <v>0.33</v>
      </c>
      <c r="M1523">
        <f>_xlfn.XLOOKUP(A1523,'DGS2'!A:A,'DGS2'!B:B,"",-1)</f>
        <v>2.46</v>
      </c>
      <c r="N1523">
        <f t="shared" si="187"/>
        <v>-1.0000000000000231E-2</v>
      </c>
      <c r="O1523">
        <f t="shared" si="188"/>
        <v>1.6057599693967584E-2</v>
      </c>
      <c r="P1523">
        <f t="shared" si="189"/>
        <v>1</v>
      </c>
      <c r="Q1523">
        <f t="shared" si="190"/>
        <v>1</v>
      </c>
    </row>
    <row r="1524" spans="1:17">
      <c r="A1524" s="1">
        <v>44670</v>
      </c>
      <c r="B1524">
        <v>4462.21</v>
      </c>
      <c r="C1524">
        <f t="shared" si="184"/>
        <v>1.6057599693967584E-2</v>
      </c>
      <c r="D1524">
        <f t="shared" si="191"/>
        <v>3.5128041937755317E-3</v>
      </c>
      <c r="E1524">
        <f>_xlfn.XLOOKUP(A1524,VIX!A:A,VIX!B:B,"",-1)</f>
        <v>21.37</v>
      </c>
      <c r="F1524">
        <f t="shared" si="185"/>
        <v>-0.80000000000000071</v>
      </c>
      <c r="G1524">
        <f>_xlfn.XLOOKUP(A1524,'DGS10'!A:A,'DGS10'!B:B,"",-1)</f>
        <v>2.93</v>
      </c>
      <c r="H1524">
        <f t="shared" si="186"/>
        <v>8.0000000000000071E-2</v>
      </c>
      <c r="I1524" s="2">
        <f>_xlfn.XLOOKUP(A1524,T10Y3M!A:A,T10Y3M!B:B,"",-1)</f>
        <v>2.12</v>
      </c>
      <c r="J1524" s="2">
        <f>_xlfn.XLOOKUP(A1524,BAMLC0A4CBBB!A:A,BAMLC0A4CBBB!B:B,"",-1)</f>
        <v>1.55</v>
      </c>
      <c r="K1524" s="2">
        <f>_xlfn.XLOOKUP(A1524,CPIAUCSL!A:A,CPIAUCSL!B:B,"",-1)</f>
        <v>288.56099999999998</v>
      </c>
      <c r="L1524">
        <f>_xlfn.XLOOKUP(A1524,DFF!A:A,DFF!B:B,"",-1)</f>
        <v>0.33</v>
      </c>
      <c r="M1524">
        <f>_xlfn.XLOOKUP(A1524,'DGS2'!A:A,'DGS2'!B:B,"",-1)</f>
        <v>2.61</v>
      </c>
      <c r="N1524">
        <f t="shared" si="187"/>
        <v>0.14999999999999991</v>
      </c>
      <c r="O1524">
        <f t="shared" si="188"/>
        <v>-6.1852759058855789E-4</v>
      </c>
      <c r="P1524">
        <f t="shared" si="189"/>
        <v>0</v>
      </c>
      <c r="Q1524">
        <f t="shared" si="190"/>
        <v>0</v>
      </c>
    </row>
    <row r="1525" spans="1:17">
      <c r="A1525" s="1">
        <v>44671</v>
      </c>
      <c r="B1525">
        <v>4459.45</v>
      </c>
      <c r="C1525">
        <f t="shared" si="184"/>
        <v>-6.1852759058855789E-4</v>
      </c>
      <c r="D1525">
        <f t="shared" si="191"/>
        <v>1.5221088241788916E-2</v>
      </c>
      <c r="E1525">
        <f>_xlfn.XLOOKUP(A1525,VIX!A:A,VIX!B:B,"",-1)</f>
        <v>20.32</v>
      </c>
      <c r="F1525">
        <f t="shared" si="185"/>
        <v>-1.0500000000000007</v>
      </c>
      <c r="G1525">
        <f>_xlfn.XLOOKUP(A1525,'DGS10'!A:A,'DGS10'!B:B,"",-1)</f>
        <v>2.85</v>
      </c>
      <c r="H1525">
        <f t="shared" si="186"/>
        <v>-8.0000000000000071E-2</v>
      </c>
      <c r="I1525" s="2">
        <f>_xlfn.XLOOKUP(A1525,T10Y3M!A:A,T10Y3M!B:B,"",-1)</f>
        <v>2.0299999999999998</v>
      </c>
      <c r="J1525" s="2">
        <f>_xlfn.XLOOKUP(A1525,BAMLC0A4CBBB!A:A,BAMLC0A4CBBB!B:B,"",-1)</f>
        <v>1.56</v>
      </c>
      <c r="K1525" s="2">
        <f>_xlfn.XLOOKUP(A1525,CPIAUCSL!A:A,CPIAUCSL!B:B,"",-1)</f>
        <v>288.56099999999998</v>
      </c>
      <c r="L1525">
        <f>_xlfn.XLOOKUP(A1525,DFF!A:A,DFF!B:B,"",-1)</f>
        <v>0.33</v>
      </c>
      <c r="M1525">
        <f>_xlfn.XLOOKUP(A1525,'DGS2'!A:A,'DGS2'!B:B,"",-1)</f>
        <v>2.6</v>
      </c>
      <c r="N1525">
        <f t="shared" si="187"/>
        <v>-9.9999999999997868E-3</v>
      </c>
      <c r="O1525">
        <f t="shared" si="188"/>
        <v>-1.475294038502506E-2</v>
      </c>
      <c r="P1525">
        <f t="shared" si="189"/>
        <v>0</v>
      </c>
      <c r="Q1525">
        <f t="shared" si="190"/>
        <v>-1</v>
      </c>
    </row>
    <row r="1526" spans="1:17">
      <c r="A1526" s="1">
        <v>44672</v>
      </c>
      <c r="B1526">
        <v>4393.66</v>
      </c>
      <c r="C1526">
        <f t="shared" si="184"/>
        <v>-1.475294038502506E-2</v>
      </c>
      <c r="D1526">
        <f t="shared" si="191"/>
        <v>4.4857446677704083E-4</v>
      </c>
      <c r="E1526">
        <f>_xlfn.XLOOKUP(A1526,VIX!A:A,VIX!B:B,"",-1)</f>
        <v>22.68</v>
      </c>
      <c r="F1526">
        <f t="shared" si="185"/>
        <v>2.3599999999999994</v>
      </c>
      <c r="G1526">
        <f>_xlfn.XLOOKUP(A1526,'DGS10'!A:A,'DGS10'!B:B,"",-1)</f>
        <v>2.9</v>
      </c>
      <c r="H1526">
        <f t="shared" si="186"/>
        <v>4.9999999999999822E-2</v>
      </c>
      <c r="I1526" s="2">
        <f>_xlfn.XLOOKUP(A1526,T10Y3M!A:A,T10Y3M!B:B,"",-1)</f>
        <v>2.0699999999999998</v>
      </c>
      <c r="J1526" s="2">
        <f>_xlfn.XLOOKUP(A1526,BAMLC0A4CBBB!A:A,BAMLC0A4CBBB!B:B,"",-1)</f>
        <v>1.57</v>
      </c>
      <c r="K1526" s="2">
        <f>_xlfn.XLOOKUP(A1526,CPIAUCSL!A:A,CPIAUCSL!B:B,"",-1)</f>
        <v>288.56099999999998</v>
      </c>
      <c r="L1526">
        <f>_xlfn.XLOOKUP(A1526,DFF!A:A,DFF!B:B,"",-1)</f>
        <v>0.33</v>
      </c>
      <c r="M1526">
        <f>_xlfn.XLOOKUP(A1526,'DGS2'!A:A,'DGS2'!B:B,"",-1)</f>
        <v>2.68</v>
      </c>
      <c r="N1526">
        <f t="shared" si="187"/>
        <v>8.0000000000000071E-2</v>
      </c>
      <c r="O1526">
        <f t="shared" si="188"/>
        <v>-2.773997077607282E-2</v>
      </c>
      <c r="P1526">
        <f t="shared" si="189"/>
        <v>0</v>
      </c>
      <c r="Q1526">
        <f t="shared" si="190"/>
        <v>-1</v>
      </c>
    </row>
    <row r="1527" spans="1:17">
      <c r="A1527" s="1">
        <v>44673</v>
      </c>
      <c r="B1527">
        <v>4271.78</v>
      </c>
      <c r="C1527">
        <f t="shared" si="184"/>
        <v>-2.773997077607282E-2</v>
      </c>
      <c r="D1527">
        <f t="shared" si="191"/>
        <v>-4.2676162708613075E-2</v>
      </c>
      <c r="E1527">
        <f>_xlfn.XLOOKUP(A1527,VIX!A:A,VIX!B:B,"",-1)</f>
        <v>28.21</v>
      </c>
      <c r="F1527">
        <f t="shared" si="185"/>
        <v>5.5300000000000011</v>
      </c>
      <c r="G1527">
        <f>_xlfn.XLOOKUP(A1527,'DGS10'!A:A,'DGS10'!B:B,"",-1)</f>
        <v>2.9</v>
      </c>
      <c r="H1527">
        <f t="shared" si="186"/>
        <v>0</v>
      </c>
      <c r="I1527" s="2">
        <f>_xlfn.XLOOKUP(A1527,T10Y3M!A:A,T10Y3M!B:B,"",-1)</f>
        <v>2.0699999999999998</v>
      </c>
      <c r="J1527" s="2">
        <f>_xlfn.XLOOKUP(A1527,BAMLC0A4CBBB!A:A,BAMLC0A4CBBB!B:B,"",-1)</f>
        <v>1.61</v>
      </c>
      <c r="K1527" s="2">
        <f>_xlfn.XLOOKUP(A1527,CPIAUCSL!A:A,CPIAUCSL!B:B,"",-1)</f>
        <v>288.56099999999998</v>
      </c>
      <c r="L1527">
        <f>_xlfn.XLOOKUP(A1527,DFF!A:A,DFF!B:B,"",-1)</f>
        <v>0.33</v>
      </c>
      <c r="M1527">
        <f>_xlfn.XLOOKUP(A1527,'DGS2'!A:A,'DGS2'!B:B,"",-1)</f>
        <v>2.72</v>
      </c>
      <c r="N1527">
        <f t="shared" si="187"/>
        <v>4.0000000000000036E-2</v>
      </c>
      <c r="O1527">
        <f t="shared" si="188"/>
        <v>5.6978589721381478E-3</v>
      </c>
      <c r="P1527">
        <f t="shared" si="189"/>
        <v>1</v>
      </c>
      <c r="Q1527">
        <f t="shared" si="190"/>
        <v>1</v>
      </c>
    </row>
    <row r="1528" spans="1:17">
      <c r="A1528" s="1">
        <v>44676</v>
      </c>
      <c r="B1528">
        <v>4296.12</v>
      </c>
      <c r="C1528">
        <f t="shared" si="184"/>
        <v>5.6978589721381478E-3</v>
      </c>
      <c r="D1528">
        <f t="shared" si="191"/>
        <v>-3.6625592842166599E-2</v>
      </c>
      <c r="E1528">
        <f>_xlfn.XLOOKUP(A1528,VIX!A:A,VIX!B:B,"",-1)</f>
        <v>27.02</v>
      </c>
      <c r="F1528">
        <f t="shared" si="185"/>
        <v>-1.1900000000000013</v>
      </c>
      <c r="G1528">
        <f>_xlfn.XLOOKUP(A1528,'DGS10'!A:A,'DGS10'!B:B,"",-1)</f>
        <v>2.81</v>
      </c>
      <c r="H1528">
        <f t="shared" si="186"/>
        <v>-8.9999999999999858E-2</v>
      </c>
      <c r="I1528" s="2">
        <f>_xlfn.XLOOKUP(A1528,T10Y3M!A:A,T10Y3M!B:B,"",-1)</f>
        <v>1.9</v>
      </c>
      <c r="J1528" s="2">
        <f>_xlfn.XLOOKUP(A1528,BAMLC0A4CBBB!A:A,BAMLC0A4CBBB!B:B,"",-1)</f>
        <v>1.64</v>
      </c>
      <c r="K1528" s="2">
        <f>_xlfn.XLOOKUP(A1528,CPIAUCSL!A:A,CPIAUCSL!B:B,"",-1)</f>
        <v>288.56099999999998</v>
      </c>
      <c r="L1528">
        <f>_xlfn.XLOOKUP(A1528,DFF!A:A,DFF!B:B,"",-1)</f>
        <v>0.33</v>
      </c>
      <c r="M1528">
        <f>_xlfn.XLOOKUP(A1528,'DGS2'!A:A,'DGS2'!B:B,"",-1)</f>
        <v>2.63</v>
      </c>
      <c r="N1528">
        <f t="shared" si="187"/>
        <v>-9.0000000000000302E-2</v>
      </c>
      <c r="O1528">
        <f t="shared" si="188"/>
        <v>-2.8146327383778869E-2</v>
      </c>
      <c r="P1528">
        <f t="shared" si="189"/>
        <v>0</v>
      </c>
      <c r="Q1528">
        <f t="shared" si="190"/>
        <v>-1</v>
      </c>
    </row>
    <row r="1529" spans="1:17">
      <c r="A1529" s="1">
        <v>44677</v>
      </c>
      <c r="B1529">
        <v>4175.2</v>
      </c>
      <c r="C1529">
        <f t="shared" si="184"/>
        <v>-2.8146327383778869E-2</v>
      </c>
      <c r="D1529">
        <f t="shared" si="191"/>
        <v>-4.9721644369386753E-2</v>
      </c>
      <c r="E1529">
        <f>_xlfn.XLOOKUP(A1529,VIX!A:A,VIX!B:B,"",-1)</f>
        <v>33.520000000000003</v>
      </c>
      <c r="F1529">
        <f t="shared" si="185"/>
        <v>6.5000000000000036</v>
      </c>
      <c r="G1529">
        <f>_xlfn.XLOOKUP(A1529,'DGS10'!A:A,'DGS10'!B:B,"",-1)</f>
        <v>2.77</v>
      </c>
      <c r="H1529">
        <f t="shared" si="186"/>
        <v>-4.0000000000000036E-2</v>
      </c>
      <c r="I1529" s="2">
        <f>_xlfn.XLOOKUP(A1529,T10Y3M!A:A,T10Y3M!B:B,"",-1)</f>
        <v>1.94</v>
      </c>
      <c r="J1529" s="2">
        <f>_xlfn.XLOOKUP(A1529,BAMLC0A4CBBB!A:A,BAMLC0A4CBBB!B:B,"",-1)</f>
        <v>1.65</v>
      </c>
      <c r="K1529" s="2">
        <f>_xlfn.XLOOKUP(A1529,CPIAUCSL!A:A,CPIAUCSL!B:B,"",-1)</f>
        <v>288.56099999999998</v>
      </c>
      <c r="L1529">
        <f>_xlfn.XLOOKUP(A1529,DFF!A:A,DFF!B:B,"",-1)</f>
        <v>0.33</v>
      </c>
      <c r="M1529">
        <f>_xlfn.XLOOKUP(A1529,'DGS2'!A:A,'DGS2'!B:B,"",-1)</f>
        <v>2.54</v>
      </c>
      <c r="N1529">
        <f t="shared" si="187"/>
        <v>-8.9999999999999858E-2</v>
      </c>
      <c r="O1529">
        <f t="shared" si="188"/>
        <v>2.0981030848821192E-3</v>
      </c>
      <c r="P1529">
        <f t="shared" si="189"/>
        <v>1</v>
      </c>
      <c r="Q1529">
        <f t="shared" si="190"/>
        <v>0</v>
      </c>
    </row>
    <row r="1530" spans="1:17">
      <c r="A1530" s="1">
        <v>44678</v>
      </c>
      <c r="B1530">
        <v>4183.96</v>
      </c>
      <c r="C1530">
        <f t="shared" si="184"/>
        <v>2.0981030848821192E-3</v>
      </c>
      <c r="D1530">
        <f t="shared" si="191"/>
        <v>-2.0558174812373209E-2</v>
      </c>
      <c r="E1530">
        <f>_xlfn.XLOOKUP(A1530,VIX!A:A,VIX!B:B,"",-1)</f>
        <v>31.6</v>
      </c>
      <c r="F1530">
        <f t="shared" si="185"/>
        <v>-1.9200000000000017</v>
      </c>
      <c r="G1530">
        <f>_xlfn.XLOOKUP(A1530,'DGS10'!A:A,'DGS10'!B:B,"",-1)</f>
        <v>2.82</v>
      </c>
      <c r="H1530">
        <f t="shared" si="186"/>
        <v>4.9999999999999822E-2</v>
      </c>
      <c r="I1530" s="2">
        <f>_xlfn.XLOOKUP(A1530,T10Y3M!A:A,T10Y3M!B:B,"",-1)</f>
        <v>2</v>
      </c>
      <c r="J1530" s="2">
        <f>_xlfn.XLOOKUP(A1530,BAMLC0A4CBBB!A:A,BAMLC0A4CBBB!B:B,"",-1)</f>
        <v>1.68</v>
      </c>
      <c r="K1530" s="2">
        <f>_xlfn.XLOOKUP(A1530,CPIAUCSL!A:A,CPIAUCSL!B:B,"",-1)</f>
        <v>288.56099999999998</v>
      </c>
      <c r="L1530">
        <f>_xlfn.XLOOKUP(A1530,DFF!A:A,DFF!B:B,"",-1)</f>
        <v>0.33</v>
      </c>
      <c r="M1530">
        <f>_xlfn.XLOOKUP(A1530,'DGS2'!A:A,'DGS2'!B:B,"",-1)</f>
        <v>2.58</v>
      </c>
      <c r="N1530">
        <f t="shared" si="187"/>
        <v>4.0000000000000036E-2</v>
      </c>
      <c r="O1530">
        <f t="shared" si="188"/>
        <v>2.474689050564538E-2</v>
      </c>
      <c r="P1530">
        <f t="shared" si="189"/>
        <v>1</v>
      </c>
      <c r="Q1530">
        <f t="shared" si="190"/>
        <v>1</v>
      </c>
    </row>
    <row r="1531" spans="1:17">
      <c r="A1531" s="1">
        <v>44679</v>
      </c>
      <c r="B1531">
        <v>4287.5</v>
      </c>
      <c r="C1531">
        <f t="shared" si="184"/>
        <v>2.474689050564538E-2</v>
      </c>
      <c r="D1531">
        <f t="shared" si="191"/>
        <v>-2.0064616444606109E-3</v>
      </c>
      <c r="E1531">
        <f>_xlfn.XLOOKUP(A1531,VIX!A:A,VIX!B:B,"",-1)</f>
        <v>29.99</v>
      </c>
      <c r="F1531">
        <f t="shared" si="185"/>
        <v>-1.610000000000003</v>
      </c>
      <c r="G1531">
        <f>_xlfn.XLOOKUP(A1531,'DGS10'!A:A,'DGS10'!B:B,"",-1)</f>
        <v>2.85</v>
      </c>
      <c r="H1531">
        <f t="shared" si="186"/>
        <v>3.0000000000000249E-2</v>
      </c>
      <c r="I1531" s="2">
        <f>_xlfn.XLOOKUP(A1531,T10Y3M!A:A,T10Y3M!B:B,"",-1)</f>
        <v>2.0299999999999998</v>
      </c>
      <c r="J1531" s="2">
        <f>_xlfn.XLOOKUP(A1531,BAMLC0A4CBBB!A:A,BAMLC0A4CBBB!B:B,"",-1)</f>
        <v>1.67</v>
      </c>
      <c r="K1531" s="2">
        <f>_xlfn.XLOOKUP(A1531,CPIAUCSL!A:A,CPIAUCSL!B:B,"",-1)</f>
        <v>288.56099999999998</v>
      </c>
      <c r="L1531">
        <f>_xlfn.XLOOKUP(A1531,DFF!A:A,DFF!B:B,"",-1)</f>
        <v>0.33</v>
      </c>
      <c r="M1531">
        <f>_xlfn.XLOOKUP(A1531,'DGS2'!A:A,'DGS2'!B:B,"",-1)</f>
        <v>2.63</v>
      </c>
      <c r="N1531">
        <f t="shared" si="187"/>
        <v>4.9999999999999822E-2</v>
      </c>
      <c r="O1531">
        <f t="shared" si="188"/>
        <v>-3.6284548104956182E-2</v>
      </c>
      <c r="P1531">
        <f t="shared" si="189"/>
        <v>0</v>
      </c>
      <c r="Q1531">
        <f t="shared" si="190"/>
        <v>-1</v>
      </c>
    </row>
    <row r="1532" spans="1:17">
      <c r="A1532" s="1">
        <v>44680</v>
      </c>
      <c r="B1532">
        <v>4131.93</v>
      </c>
      <c r="C1532">
        <f t="shared" si="184"/>
        <v>-3.6284548104956182E-2</v>
      </c>
      <c r="D1532">
        <f t="shared" si="191"/>
        <v>-1.0363575397585589E-2</v>
      </c>
      <c r="E1532">
        <f>_xlfn.XLOOKUP(A1532,VIX!A:A,VIX!B:B,"",-1)</f>
        <v>33.4</v>
      </c>
      <c r="F1532">
        <f t="shared" si="185"/>
        <v>3.41</v>
      </c>
      <c r="G1532">
        <f>_xlfn.XLOOKUP(A1532,'DGS10'!A:A,'DGS10'!B:B,"",-1)</f>
        <v>2.89</v>
      </c>
      <c r="H1532">
        <f t="shared" si="186"/>
        <v>4.0000000000000036E-2</v>
      </c>
      <c r="I1532" s="2">
        <f>_xlfn.XLOOKUP(A1532,T10Y3M!A:A,T10Y3M!B:B,"",-1)</f>
        <v>2.04</v>
      </c>
      <c r="J1532" s="2">
        <f>_xlfn.XLOOKUP(A1532,BAMLC0A4CBBB!A:A,BAMLC0A4CBBB!B:B,"",-1)</f>
        <v>1.69</v>
      </c>
      <c r="K1532" s="2">
        <f>_xlfn.XLOOKUP(A1532,CPIAUCSL!A:A,CPIAUCSL!B:B,"",-1)</f>
        <v>288.56099999999998</v>
      </c>
      <c r="L1532">
        <f>_xlfn.XLOOKUP(A1532,DFF!A:A,DFF!B:B,"",-1)</f>
        <v>0.33</v>
      </c>
      <c r="M1532">
        <f>_xlfn.XLOOKUP(A1532,'DGS2'!A:A,'DGS2'!B:B,"",-1)</f>
        <v>2.7</v>
      </c>
      <c r="N1532">
        <f t="shared" si="187"/>
        <v>7.0000000000000284E-2</v>
      </c>
      <c r="O1532">
        <f t="shared" si="188"/>
        <v>5.6753139573999523E-3</v>
      </c>
      <c r="P1532">
        <f t="shared" si="189"/>
        <v>1</v>
      </c>
      <c r="Q1532">
        <f t="shared" si="190"/>
        <v>1</v>
      </c>
    </row>
    <row r="1533" spans="1:17">
      <c r="A1533" s="1">
        <v>44683</v>
      </c>
      <c r="B1533">
        <v>4155.38</v>
      </c>
      <c r="C1533">
        <f t="shared" si="184"/>
        <v>5.6753139573999523E-3</v>
      </c>
      <c r="D1533">
        <f t="shared" si="191"/>
        <v>-6.8308492433005741E-3</v>
      </c>
      <c r="E1533">
        <f>_xlfn.XLOOKUP(A1533,VIX!A:A,VIX!B:B,"",-1)</f>
        <v>32.340000000000003</v>
      </c>
      <c r="F1533">
        <f t="shared" si="185"/>
        <v>-1.0599999999999952</v>
      </c>
      <c r="G1533">
        <f>_xlfn.XLOOKUP(A1533,'DGS10'!A:A,'DGS10'!B:B,"",-1)</f>
        <v>2.99</v>
      </c>
      <c r="H1533">
        <f t="shared" si="186"/>
        <v>0.10000000000000009</v>
      </c>
      <c r="I1533" s="2">
        <f>_xlfn.XLOOKUP(A1533,T10Y3M!A:A,T10Y3M!B:B,"",-1)</f>
        <v>2.09</v>
      </c>
      <c r="J1533" s="2">
        <f>_xlfn.XLOOKUP(A1533,BAMLC0A4CBBB!A:A,BAMLC0A4CBBB!B:B,"",-1)</f>
        <v>1.72</v>
      </c>
      <c r="K1533" s="2">
        <f>_xlfn.XLOOKUP(A1533,CPIAUCSL!A:A,CPIAUCSL!B:B,"",-1)</f>
        <v>291.298</v>
      </c>
      <c r="L1533">
        <f>_xlfn.XLOOKUP(A1533,DFF!A:A,DFF!B:B,"",-1)</f>
        <v>0.33</v>
      </c>
      <c r="M1533">
        <f>_xlfn.XLOOKUP(A1533,'DGS2'!A:A,'DGS2'!B:B,"",-1)</f>
        <v>2.73</v>
      </c>
      <c r="N1533">
        <f t="shared" si="187"/>
        <v>2.9999999999999805E-2</v>
      </c>
      <c r="O1533">
        <f t="shared" si="188"/>
        <v>4.8371027439124692E-3</v>
      </c>
      <c r="P1533">
        <f t="shared" si="189"/>
        <v>1</v>
      </c>
      <c r="Q1533">
        <f t="shared" si="190"/>
        <v>1</v>
      </c>
    </row>
    <row r="1534" spans="1:17">
      <c r="A1534" s="1">
        <v>44684</v>
      </c>
      <c r="B1534">
        <v>4175.4799999999996</v>
      </c>
      <c r="C1534">
        <f t="shared" si="184"/>
        <v>4.8371027439124692E-3</v>
      </c>
      <c r="D1534">
        <f t="shared" si="191"/>
        <v>-2.6127113702623994E-2</v>
      </c>
      <c r="E1534">
        <f>_xlfn.XLOOKUP(A1534,VIX!A:A,VIX!B:B,"",-1)</f>
        <v>29.25</v>
      </c>
      <c r="F1534">
        <f t="shared" si="185"/>
        <v>-3.0900000000000034</v>
      </c>
      <c r="G1534">
        <f>_xlfn.XLOOKUP(A1534,'DGS10'!A:A,'DGS10'!B:B,"",-1)</f>
        <v>2.97</v>
      </c>
      <c r="H1534">
        <f t="shared" si="186"/>
        <v>-2.0000000000000018E-2</v>
      </c>
      <c r="I1534" s="2">
        <f>_xlfn.XLOOKUP(A1534,T10Y3M!A:A,T10Y3M!B:B,"",-1)</f>
        <v>2.06</v>
      </c>
      <c r="J1534" s="2">
        <f>_xlfn.XLOOKUP(A1534,BAMLC0A4CBBB!A:A,BAMLC0A4CBBB!B:B,"",-1)</f>
        <v>1.71</v>
      </c>
      <c r="K1534" s="2">
        <f>_xlfn.XLOOKUP(A1534,CPIAUCSL!A:A,CPIAUCSL!B:B,"",-1)</f>
        <v>291.298</v>
      </c>
      <c r="L1534">
        <f>_xlfn.XLOOKUP(A1534,DFF!A:A,DFF!B:B,"",-1)</f>
        <v>0.33</v>
      </c>
      <c r="M1534">
        <f>_xlfn.XLOOKUP(A1534,'DGS2'!A:A,'DGS2'!B:B,"",-1)</f>
        <v>2.78</v>
      </c>
      <c r="N1534">
        <f t="shared" si="187"/>
        <v>4.9999999999999822E-2</v>
      </c>
      <c r="O1534">
        <f t="shared" si="188"/>
        <v>2.9862434977535601E-2</v>
      </c>
      <c r="P1534">
        <f t="shared" si="189"/>
        <v>1</v>
      </c>
      <c r="Q1534">
        <f t="shared" si="190"/>
        <v>1</v>
      </c>
    </row>
    <row r="1535" spans="1:17">
      <c r="A1535" s="1">
        <v>44685</v>
      </c>
      <c r="B1535">
        <v>4300.17</v>
      </c>
      <c r="C1535">
        <f t="shared" si="184"/>
        <v>2.9862434977535601E-2</v>
      </c>
      <c r="D1535">
        <f t="shared" si="191"/>
        <v>4.071704990161984E-2</v>
      </c>
      <c r="E1535">
        <f>_xlfn.XLOOKUP(A1535,VIX!A:A,VIX!B:B,"",-1)</f>
        <v>25.42</v>
      </c>
      <c r="F1535">
        <f t="shared" si="185"/>
        <v>-3.8299999999999983</v>
      </c>
      <c r="G1535">
        <f>_xlfn.XLOOKUP(A1535,'DGS10'!A:A,'DGS10'!B:B,"",-1)</f>
        <v>2.93</v>
      </c>
      <c r="H1535">
        <f t="shared" si="186"/>
        <v>-4.0000000000000036E-2</v>
      </c>
      <c r="I1535" s="2">
        <f>_xlfn.XLOOKUP(A1535,T10Y3M!A:A,T10Y3M!B:B,"",-1)</f>
        <v>2.04</v>
      </c>
      <c r="J1535" s="2">
        <f>_xlfn.XLOOKUP(A1535,BAMLC0A4CBBB!A:A,BAMLC0A4CBBB!B:B,"",-1)</f>
        <v>1.71</v>
      </c>
      <c r="K1535" s="2">
        <f>_xlfn.XLOOKUP(A1535,CPIAUCSL!A:A,CPIAUCSL!B:B,"",-1)</f>
        <v>291.298</v>
      </c>
      <c r="L1535">
        <f>_xlfn.XLOOKUP(A1535,DFF!A:A,DFF!B:B,"",-1)</f>
        <v>0.33</v>
      </c>
      <c r="M1535">
        <f>_xlfn.XLOOKUP(A1535,'DGS2'!A:A,'DGS2'!B:B,"",-1)</f>
        <v>2.66</v>
      </c>
      <c r="N1535">
        <f t="shared" si="187"/>
        <v>-0.11999999999999966</v>
      </c>
      <c r="O1535">
        <f t="shared" si="188"/>
        <v>-3.5649753381843063E-2</v>
      </c>
      <c r="P1535">
        <f t="shared" si="189"/>
        <v>0</v>
      </c>
      <c r="Q1535">
        <f t="shared" si="190"/>
        <v>-1</v>
      </c>
    </row>
    <row r="1536" spans="1:17">
      <c r="A1536" s="1">
        <v>44686</v>
      </c>
      <c r="B1536">
        <v>4146.87</v>
      </c>
      <c r="C1536">
        <f t="shared" si="184"/>
        <v>-3.5649753381843063E-2</v>
      </c>
      <c r="D1536">
        <f t="shared" si="191"/>
        <v>-2.0479474801342601E-3</v>
      </c>
      <c r="E1536">
        <f>_xlfn.XLOOKUP(A1536,VIX!A:A,VIX!B:B,"",-1)</f>
        <v>31.2</v>
      </c>
      <c r="F1536">
        <f t="shared" si="185"/>
        <v>5.7799999999999976</v>
      </c>
      <c r="G1536">
        <f>_xlfn.XLOOKUP(A1536,'DGS10'!A:A,'DGS10'!B:B,"",-1)</f>
        <v>3.05</v>
      </c>
      <c r="H1536">
        <f t="shared" si="186"/>
        <v>0.11999999999999966</v>
      </c>
      <c r="I1536" s="2">
        <f>_xlfn.XLOOKUP(A1536,T10Y3M!A:A,T10Y3M!B:B,"",-1)</f>
        <v>2.2000000000000002</v>
      </c>
      <c r="J1536" s="2">
        <f>_xlfn.XLOOKUP(A1536,BAMLC0A4CBBB!A:A,BAMLC0A4CBBB!B:B,"",-1)</f>
        <v>1.7</v>
      </c>
      <c r="K1536" s="2">
        <f>_xlfn.XLOOKUP(A1536,CPIAUCSL!A:A,CPIAUCSL!B:B,"",-1)</f>
        <v>291.298</v>
      </c>
      <c r="L1536">
        <f>_xlfn.XLOOKUP(A1536,DFF!A:A,DFF!B:B,"",-1)</f>
        <v>0.83</v>
      </c>
      <c r="M1536">
        <f>_xlfn.XLOOKUP(A1536,'DGS2'!A:A,'DGS2'!B:B,"",-1)</f>
        <v>2.71</v>
      </c>
      <c r="N1536">
        <f t="shared" si="187"/>
        <v>4.9999999999999822E-2</v>
      </c>
      <c r="O1536">
        <f t="shared" si="188"/>
        <v>-5.6741590645473794E-3</v>
      </c>
      <c r="P1536">
        <f t="shared" si="189"/>
        <v>0</v>
      </c>
      <c r="Q1536">
        <f t="shared" si="190"/>
        <v>-1</v>
      </c>
    </row>
    <row r="1537" spans="1:17">
      <c r="A1537" s="1">
        <v>44687</v>
      </c>
      <c r="B1537">
        <v>4123.34</v>
      </c>
      <c r="C1537">
        <f t="shared" si="184"/>
        <v>-5.6741590645473794E-3</v>
      </c>
      <c r="D1537">
        <f t="shared" si="191"/>
        <v>-1.2487187101842046E-2</v>
      </c>
      <c r="E1537">
        <f>_xlfn.XLOOKUP(A1537,VIX!A:A,VIX!B:B,"",-1)</f>
        <v>30.19</v>
      </c>
      <c r="F1537">
        <f t="shared" si="185"/>
        <v>-1.009999999999998</v>
      </c>
      <c r="G1537">
        <f>_xlfn.XLOOKUP(A1537,'DGS10'!A:A,'DGS10'!B:B,"",-1)</f>
        <v>3.12</v>
      </c>
      <c r="H1537">
        <f t="shared" si="186"/>
        <v>7.0000000000000284E-2</v>
      </c>
      <c r="I1537" s="2">
        <f>_xlfn.XLOOKUP(A1537,T10Y3M!A:A,T10Y3M!B:B,"",-1)</f>
        <v>2.27</v>
      </c>
      <c r="J1537" s="2">
        <f>_xlfn.XLOOKUP(A1537,BAMLC0A4CBBB!A:A,BAMLC0A4CBBB!B:B,"",-1)</f>
        <v>1.71</v>
      </c>
      <c r="K1537" s="2">
        <f>_xlfn.XLOOKUP(A1537,CPIAUCSL!A:A,CPIAUCSL!B:B,"",-1)</f>
        <v>291.298</v>
      </c>
      <c r="L1537">
        <f>_xlfn.XLOOKUP(A1537,DFF!A:A,DFF!B:B,"",-1)</f>
        <v>0.83</v>
      </c>
      <c r="M1537">
        <f>_xlfn.XLOOKUP(A1537,'DGS2'!A:A,'DGS2'!B:B,"",-1)</f>
        <v>2.72</v>
      </c>
      <c r="N1537">
        <f t="shared" si="187"/>
        <v>1.0000000000000231E-2</v>
      </c>
      <c r="O1537">
        <f t="shared" si="188"/>
        <v>-3.2037134944001844E-2</v>
      </c>
      <c r="P1537">
        <f t="shared" si="189"/>
        <v>0</v>
      </c>
      <c r="Q1537">
        <f t="shared" si="190"/>
        <v>-1</v>
      </c>
    </row>
    <row r="1538" spans="1:17">
      <c r="A1538" s="1">
        <v>44690</v>
      </c>
      <c r="B1538">
        <v>3991.24</v>
      </c>
      <c r="C1538">
        <f t="shared" si="184"/>
        <v>-3.2037134944001844E-2</v>
      </c>
      <c r="D1538">
        <f t="shared" si="191"/>
        <v>-7.1841345807258872E-2</v>
      </c>
      <c r="E1538">
        <f>_xlfn.XLOOKUP(A1538,VIX!A:A,VIX!B:B,"",-1)</f>
        <v>34.75</v>
      </c>
      <c r="F1538">
        <f t="shared" si="185"/>
        <v>4.5599999999999987</v>
      </c>
      <c r="G1538">
        <f>_xlfn.XLOOKUP(A1538,'DGS10'!A:A,'DGS10'!B:B,"",-1)</f>
        <v>3.05</v>
      </c>
      <c r="H1538">
        <f t="shared" si="186"/>
        <v>-7.0000000000000284E-2</v>
      </c>
      <c r="I1538" s="2">
        <f>_xlfn.XLOOKUP(A1538,T10Y3M!A:A,T10Y3M!B:B,"",-1)</f>
        <v>2.13</v>
      </c>
      <c r="J1538" s="2">
        <f>_xlfn.XLOOKUP(A1538,BAMLC0A4CBBB!A:A,BAMLC0A4CBBB!B:B,"",-1)</f>
        <v>1.75</v>
      </c>
      <c r="K1538" s="2">
        <f>_xlfn.XLOOKUP(A1538,CPIAUCSL!A:A,CPIAUCSL!B:B,"",-1)</f>
        <v>291.298</v>
      </c>
      <c r="L1538">
        <f>_xlfn.XLOOKUP(A1538,DFF!A:A,DFF!B:B,"",-1)</f>
        <v>0.83</v>
      </c>
      <c r="M1538">
        <f>_xlfn.XLOOKUP(A1538,'DGS2'!A:A,'DGS2'!B:B,"",-1)</f>
        <v>2.61</v>
      </c>
      <c r="N1538">
        <f t="shared" si="187"/>
        <v>-0.11000000000000032</v>
      </c>
      <c r="O1538">
        <f t="shared" si="188"/>
        <v>2.4578827632515399E-3</v>
      </c>
      <c r="P1538">
        <f t="shared" si="189"/>
        <v>1</v>
      </c>
      <c r="Q1538">
        <f t="shared" si="190"/>
        <v>0</v>
      </c>
    </row>
    <row r="1539" spans="1:17">
      <c r="A1539" s="1">
        <v>44691</v>
      </c>
      <c r="B1539">
        <v>4001.05</v>
      </c>
      <c r="C1539">
        <f t="shared" si="184"/>
        <v>2.4578827632515399E-3</v>
      </c>
      <c r="D1539">
        <f t="shared" si="191"/>
        <v>-3.5163870581908729E-2</v>
      </c>
      <c r="E1539">
        <f>_xlfn.XLOOKUP(A1539,VIX!A:A,VIX!B:B,"",-1)</f>
        <v>32.99</v>
      </c>
      <c r="F1539">
        <f t="shared" si="185"/>
        <v>-1.759999999999998</v>
      </c>
      <c r="G1539">
        <f>_xlfn.XLOOKUP(A1539,'DGS10'!A:A,'DGS10'!B:B,"",-1)</f>
        <v>2.99</v>
      </c>
      <c r="H1539">
        <f t="shared" si="186"/>
        <v>-5.9999999999999609E-2</v>
      </c>
      <c r="I1539" s="2">
        <f>_xlfn.XLOOKUP(A1539,T10Y3M!A:A,T10Y3M!B:B,"",-1)</f>
        <v>2.1</v>
      </c>
      <c r="J1539" s="2">
        <f>_xlfn.XLOOKUP(A1539,BAMLC0A4CBBB!A:A,BAMLC0A4CBBB!B:B,"",-1)</f>
        <v>1.77</v>
      </c>
      <c r="K1539" s="2">
        <f>_xlfn.XLOOKUP(A1539,CPIAUCSL!A:A,CPIAUCSL!B:B,"",-1)</f>
        <v>291.298</v>
      </c>
      <c r="L1539">
        <f>_xlfn.XLOOKUP(A1539,DFF!A:A,DFF!B:B,"",-1)</f>
        <v>0.83</v>
      </c>
      <c r="M1539">
        <f>_xlfn.XLOOKUP(A1539,'DGS2'!A:A,'DGS2'!B:B,"",-1)</f>
        <v>2.62</v>
      </c>
      <c r="N1539">
        <f t="shared" si="187"/>
        <v>1.0000000000000231E-2</v>
      </c>
      <c r="O1539">
        <f t="shared" si="188"/>
        <v>-1.6463178415666024E-2</v>
      </c>
      <c r="P1539">
        <f t="shared" si="189"/>
        <v>0</v>
      </c>
      <c r="Q1539">
        <f t="shared" si="190"/>
        <v>-1</v>
      </c>
    </row>
    <row r="1540" spans="1:17">
      <c r="A1540" s="1">
        <v>44692</v>
      </c>
      <c r="B1540">
        <v>3935.18</v>
      </c>
      <c r="C1540">
        <f t="shared" ref="C1540:C1603" si="192">IF(OR(B1540="",B1539=""),"",(B1540/B1539)-1)</f>
        <v>-1.6463178415666024E-2</v>
      </c>
      <c r="D1540">
        <f t="shared" si="191"/>
        <v>-4.5632909243477404E-2</v>
      </c>
      <c r="E1540">
        <f>_xlfn.XLOOKUP(A1540,VIX!A:A,VIX!B:B,"",-1)</f>
        <v>32.56</v>
      </c>
      <c r="F1540">
        <f t="shared" ref="F1540:F1603" si="193">IF(OR(E1540="",E1539=""),"",E1540-E1539)</f>
        <v>-0.42999999999999972</v>
      </c>
      <c r="G1540">
        <f>_xlfn.XLOOKUP(A1540,'DGS10'!A:A,'DGS10'!B:B,"",-1)</f>
        <v>2.91</v>
      </c>
      <c r="H1540">
        <f t="shared" ref="H1540:H1603" si="194">IF(OR(G1540="",G1539=""),"",G1540-G1539)</f>
        <v>-8.0000000000000071E-2</v>
      </c>
      <c r="I1540" s="2">
        <f>_xlfn.XLOOKUP(A1540,T10Y3M!A:A,T10Y3M!B:B,"",-1)</f>
        <v>2</v>
      </c>
      <c r="J1540" s="2">
        <f>_xlfn.XLOOKUP(A1540,BAMLC0A4CBBB!A:A,BAMLC0A4CBBB!B:B,"",-1)</f>
        <v>1.77</v>
      </c>
      <c r="K1540" s="2">
        <f>_xlfn.XLOOKUP(A1540,CPIAUCSL!A:A,CPIAUCSL!B:B,"",-1)</f>
        <v>291.298</v>
      </c>
      <c r="L1540">
        <f>_xlfn.XLOOKUP(A1540,DFF!A:A,DFF!B:B,"",-1)</f>
        <v>0.83</v>
      </c>
      <c r="M1540">
        <f>_xlfn.XLOOKUP(A1540,'DGS2'!A:A,'DGS2'!B:B,"",-1)</f>
        <v>2.66</v>
      </c>
      <c r="N1540">
        <f t="shared" ref="N1540:N1603" si="195">IF(OR(M1540="",M1539=""),"",M1540-M1539)</f>
        <v>4.0000000000000036E-2</v>
      </c>
      <c r="O1540">
        <f t="shared" ref="O1540:O1603" si="196">IF(OR(B1541="",B1540=""),"",(B1541/B1540)-1)</f>
        <v>-1.2960017076728558E-3</v>
      </c>
      <c r="P1540">
        <f t="shared" ref="P1540:P1603" si="197">IF(O1540="","",IF(O1540&gt;0,1,0))</f>
        <v>0</v>
      </c>
      <c r="Q1540">
        <f t="shared" ref="Q1540:Q1603" si="198">IF(O1540="","",IF(O1540&gt;0.003,1,IF(O1540&lt;-0.003,-1,0)))</f>
        <v>0</v>
      </c>
    </row>
    <row r="1541" spans="1:17">
      <c r="A1541" s="1">
        <v>44693</v>
      </c>
      <c r="B1541">
        <v>3930.08</v>
      </c>
      <c r="C1541">
        <f t="shared" si="192"/>
        <v>-1.2960017076728558E-3</v>
      </c>
      <c r="D1541">
        <f t="shared" si="191"/>
        <v>-1.5323558593319353E-2</v>
      </c>
      <c r="E1541">
        <f>_xlfn.XLOOKUP(A1541,VIX!A:A,VIX!B:B,"",-1)</f>
        <v>31.77</v>
      </c>
      <c r="F1541">
        <f t="shared" si="193"/>
        <v>-0.7900000000000027</v>
      </c>
      <c r="G1541">
        <f>_xlfn.XLOOKUP(A1541,'DGS10'!A:A,'DGS10'!B:B,"",-1)</f>
        <v>2.84</v>
      </c>
      <c r="H1541">
        <f t="shared" si="194"/>
        <v>-7.0000000000000284E-2</v>
      </c>
      <c r="I1541" s="2">
        <f>_xlfn.XLOOKUP(A1541,T10Y3M!A:A,T10Y3M!B:B,"",-1)</f>
        <v>1.88</v>
      </c>
      <c r="J1541" s="2">
        <f>_xlfn.XLOOKUP(A1541,BAMLC0A4CBBB!A:A,BAMLC0A4CBBB!B:B,"",-1)</f>
        <v>1.8</v>
      </c>
      <c r="K1541" s="2">
        <f>_xlfn.XLOOKUP(A1541,CPIAUCSL!A:A,CPIAUCSL!B:B,"",-1)</f>
        <v>291.298</v>
      </c>
      <c r="L1541">
        <f>_xlfn.XLOOKUP(A1541,DFF!A:A,DFF!B:B,"",-1)</f>
        <v>0.83</v>
      </c>
      <c r="M1541">
        <f>_xlfn.XLOOKUP(A1541,'DGS2'!A:A,'DGS2'!B:B,"",-1)</f>
        <v>2.56</v>
      </c>
      <c r="N1541">
        <f t="shared" si="195"/>
        <v>-0.10000000000000009</v>
      </c>
      <c r="O1541">
        <f t="shared" si="196"/>
        <v>2.386974310955492E-2</v>
      </c>
      <c r="P1541">
        <f t="shared" si="197"/>
        <v>1</v>
      </c>
      <c r="Q1541">
        <f t="shared" si="198"/>
        <v>1</v>
      </c>
    </row>
    <row r="1542" spans="1:17">
      <c r="A1542" s="1">
        <v>44694</v>
      </c>
      <c r="B1542">
        <v>4023.89</v>
      </c>
      <c r="C1542">
        <f t="shared" si="192"/>
        <v>2.386974310955492E-2</v>
      </c>
      <c r="D1542">
        <f t="shared" ref="D1542:D1605" si="199">IF(OR(B1542="",B1539=""),"",(B1542/B1539)-1)</f>
        <v>5.7085015183513388E-3</v>
      </c>
      <c r="E1542">
        <f>_xlfn.XLOOKUP(A1542,VIX!A:A,VIX!B:B,"",-1)</f>
        <v>28.87</v>
      </c>
      <c r="F1542">
        <f t="shared" si="193"/>
        <v>-2.8999999999999986</v>
      </c>
      <c r="G1542">
        <f>_xlfn.XLOOKUP(A1542,'DGS10'!A:A,'DGS10'!B:B,"",-1)</f>
        <v>2.93</v>
      </c>
      <c r="H1542">
        <f t="shared" si="194"/>
        <v>9.0000000000000302E-2</v>
      </c>
      <c r="I1542" s="2">
        <f>_xlfn.XLOOKUP(A1542,T10Y3M!A:A,T10Y3M!B:B,"",-1)</f>
        <v>1.9</v>
      </c>
      <c r="J1542" s="2">
        <f>_xlfn.XLOOKUP(A1542,BAMLC0A4CBBB!A:A,BAMLC0A4CBBB!B:B,"",-1)</f>
        <v>1.8</v>
      </c>
      <c r="K1542" s="2">
        <f>_xlfn.XLOOKUP(A1542,CPIAUCSL!A:A,CPIAUCSL!B:B,"",-1)</f>
        <v>291.298</v>
      </c>
      <c r="L1542">
        <f>_xlfn.XLOOKUP(A1542,DFF!A:A,DFF!B:B,"",-1)</f>
        <v>0.83</v>
      </c>
      <c r="M1542">
        <f>_xlfn.XLOOKUP(A1542,'DGS2'!A:A,'DGS2'!B:B,"",-1)</f>
        <v>2.61</v>
      </c>
      <c r="N1542">
        <f t="shared" si="195"/>
        <v>4.9999999999999822E-2</v>
      </c>
      <c r="O1542">
        <f t="shared" si="196"/>
        <v>-3.9464299471405617E-3</v>
      </c>
      <c r="P1542">
        <f t="shared" si="197"/>
        <v>0</v>
      </c>
      <c r="Q1542">
        <f t="shared" si="198"/>
        <v>-1</v>
      </c>
    </row>
    <row r="1543" spans="1:17">
      <c r="A1543" s="1">
        <v>44697</v>
      </c>
      <c r="B1543">
        <v>4008.01</v>
      </c>
      <c r="C1543">
        <f t="shared" si="192"/>
        <v>-3.9464299471405617E-3</v>
      </c>
      <c r="D1543">
        <f t="shared" si="199"/>
        <v>1.8507412621532104E-2</v>
      </c>
      <c r="E1543">
        <f>_xlfn.XLOOKUP(A1543,VIX!A:A,VIX!B:B,"",-1)</f>
        <v>27.47</v>
      </c>
      <c r="F1543">
        <f t="shared" si="193"/>
        <v>-1.4000000000000021</v>
      </c>
      <c r="G1543">
        <f>_xlfn.XLOOKUP(A1543,'DGS10'!A:A,'DGS10'!B:B,"",-1)</f>
        <v>2.88</v>
      </c>
      <c r="H1543">
        <f t="shared" si="194"/>
        <v>-5.0000000000000266E-2</v>
      </c>
      <c r="I1543" s="2">
        <f>_xlfn.XLOOKUP(A1543,T10Y3M!A:A,T10Y3M!B:B,"",-1)</f>
        <v>1.81</v>
      </c>
      <c r="J1543" s="2">
        <f>_xlfn.XLOOKUP(A1543,BAMLC0A4CBBB!A:A,BAMLC0A4CBBB!B:B,"",-1)</f>
        <v>1.82</v>
      </c>
      <c r="K1543" s="2">
        <f>_xlfn.XLOOKUP(A1543,CPIAUCSL!A:A,CPIAUCSL!B:B,"",-1)</f>
        <v>291.298</v>
      </c>
      <c r="L1543">
        <f>_xlfn.XLOOKUP(A1543,DFF!A:A,DFF!B:B,"",-1)</f>
        <v>0.83</v>
      </c>
      <c r="M1543">
        <f>_xlfn.XLOOKUP(A1543,'DGS2'!A:A,'DGS2'!B:B,"",-1)</f>
        <v>2.58</v>
      </c>
      <c r="N1543">
        <f t="shared" si="195"/>
        <v>-2.9999999999999805E-2</v>
      </c>
      <c r="O1543">
        <f t="shared" si="196"/>
        <v>2.0169610355263545E-2</v>
      </c>
      <c r="P1543">
        <f t="shared" si="197"/>
        <v>1</v>
      </c>
      <c r="Q1543">
        <f t="shared" si="198"/>
        <v>1</v>
      </c>
    </row>
    <row r="1544" spans="1:17">
      <c r="A1544" s="1">
        <v>44698</v>
      </c>
      <c r="B1544">
        <v>4088.85</v>
      </c>
      <c r="C1544">
        <f t="shared" si="192"/>
        <v>2.0169610355263545E-2</v>
      </c>
      <c r="D1544">
        <f t="shared" si="199"/>
        <v>4.0398668729389797E-2</v>
      </c>
      <c r="E1544">
        <f>_xlfn.XLOOKUP(A1544,VIX!A:A,VIX!B:B,"",-1)</f>
        <v>26.1</v>
      </c>
      <c r="F1544">
        <f t="shared" si="193"/>
        <v>-1.3699999999999974</v>
      </c>
      <c r="G1544">
        <f>_xlfn.XLOOKUP(A1544,'DGS10'!A:A,'DGS10'!B:B,"",-1)</f>
        <v>2.98</v>
      </c>
      <c r="H1544">
        <f t="shared" si="194"/>
        <v>0.10000000000000009</v>
      </c>
      <c r="I1544" s="2">
        <f>_xlfn.XLOOKUP(A1544,T10Y3M!A:A,T10Y3M!B:B,"",-1)</f>
        <v>1.92</v>
      </c>
      <c r="J1544" s="2">
        <f>_xlfn.XLOOKUP(A1544,BAMLC0A4CBBB!A:A,BAMLC0A4CBBB!B:B,"",-1)</f>
        <v>1.82</v>
      </c>
      <c r="K1544" s="2">
        <f>_xlfn.XLOOKUP(A1544,CPIAUCSL!A:A,CPIAUCSL!B:B,"",-1)</f>
        <v>291.298</v>
      </c>
      <c r="L1544">
        <f>_xlfn.XLOOKUP(A1544,DFF!A:A,DFF!B:B,"",-1)</f>
        <v>0.83</v>
      </c>
      <c r="M1544">
        <f>_xlfn.XLOOKUP(A1544,'DGS2'!A:A,'DGS2'!B:B,"",-1)</f>
        <v>2.71</v>
      </c>
      <c r="N1544">
        <f t="shared" si="195"/>
        <v>0.12999999999999989</v>
      </c>
      <c r="O1544">
        <f t="shared" si="196"/>
        <v>-4.0395221150201222E-2</v>
      </c>
      <c r="P1544">
        <f t="shared" si="197"/>
        <v>0</v>
      </c>
      <c r="Q1544">
        <f t="shared" si="198"/>
        <v>-1</v>
      </c>
    </row>
    <row r="1545" spans="1:17">
      <c r="A1545" s="1">
        <v>44699</v>
      </c>
      <c r="B1545">
        <v>3923.68</v>
      </c>
      <c r="C1545">
        <f t="shared" si="192"/>
        <v>-4.0395221150201222E-2</v>
      </c>
      <c r="D1545">
        <f t="shared" si="199"/>
        <v>-2.490376227978397E-2</v>
      </c>
      <c r="E1545">
        <f>_xlfn.XLOOKUP(A1545,VIX!A:A,VIX!B:B,"",-1)</f>
        <v>30.96</v>
      </c>
      <c r="F1545">
        <f t="shared" si="193"/>
        <v>4.8599999999999994</v>
      </c>
      <c r="G1545">
        <f>_xlfn.XLOOKUP(A1545,'DGS10'!A:A,'DGS10'!B:B,"",-1)</f>
        <v>2.89</v>
      </c>
      <c r="H1545">
        <f t="shared" si="194"/>
        <v>-8.9999999999999858E-2</v>
      </c>
      <c r="I1545" s="2">
        <f>_xlfn.XLOOKUP(A1545,T10Y3M!A:A,T10Y3M!B:B,"",-1)</f>
        <v>1.86</v>
      </c>
      <c r="J1545" s="2">
        <f>_xlfn.XLOOKUP(A1545,BAMLC0A4CBBB!A:A,BAMLC0A4CBBB!B:B,"",-1)</f>
        <v>1.86</v>
      </c>
      <c r="K1545" s="2">
        <f>_xlfn.XLOOKUP(A1545,CPIAUCSL!A:A,CPIAUCSL!B:B,"",-1)</f>
        <v>291.298</v>
      </c>
      <c r="L1545">
        <f>_xlfn.XLOOKUP(A1545,DFF!A:A,DFF!B:B,"",-1)</f>
        <v>0.83</v>
      </c>
      <c r="M1545">
        <f>_xlfn.XLOOKUP(A1545,'DGS2'!A:A,'DGS2'!B:B,"",-1)</f>
        <v>2.68</v>
      </c>
      <c r="N1545">
        <f t="shared" si="195"/>
        <v>-2.9999999999999805E-2</v>
      </c>
      <c r="O1545">
        <f t="shared" si="196"/>
        <v>-5.8338090771927753E-3</v>
      </c>
      <c r="P1545">
        <f t="shared" si="197"/>
        <v>0</v>
      </c>
      <c r="Q1545">
        <f t="shared" si="198"/>
        <v>-1</v>
      </c>
    </row>
    <row r="1546" spans="1:17">
      <c r="A1546" s="1">
        <v>44700</v>
      </c>
      <c r="B1546">
        <v>3900.79</v>
      </c>
      <c r="C1546">
        <f t="shared" si="192"/>
        <v>-5.8338090771927753E-3</v>
      </c>
      <c r="D1546">
        <f t="shared" si="199"/>
        <v>-2.6751430260902653E-2</v>
      </c>
      <c r="E1546">
        <f>_xlfn.XLOOKUP(A1546,VIX!A:A,VIX!B:B,"",-1)</f>
        <v>29.35</v>
      </c>
      <c r="F1546">
        <f t="shared" si="193"/>
        <v>-1.6099999999999994</v>
      </c>
      <c r="G1546">
        <f>_xlfn.XLOOKUP(A1546,'DGS10'!A:A,'DGS10'!B:B,"",-1)</f>
        <v>2.84</v>
      </c>
      <c r="H1546">
        <f t="shared" si="194"/>
        <v>-5.0000000000000266E-2</v>
      </c>
      <c r="I1546" s="2">
        <f>_xlfn.XLOOKUP(A1546,T10Y3M!A:A,T10Y3M!B:B,"",-1)</f>
        <v>1.79</v>
      </c>
      <c r="J1546" s="2">
        <f>_xlfn.XLOOKUP(A1546,BAMLC0A4CBBB!A:A,BAMLC0A4CBBB!B:B,"",-1)</f>
        <v>1.88</v>
      </c>
      <c r="K1546" s="2">
        <f>_xlfn.XLOOKUP(A1546,CPIAUCSL!A:A,CPIAUCSL!B:B,"",-1)</f>
        <v>291.298</v>
      </c>
      <c r="L1546">
        <f>_xlfn.XLOOKUP(A1546,DFF!A:A,DFF!B:B,"",-1)</f>
        <v>0.83</v>
      </c>
      <c r="M1546">
        <f>_xlfn.XLOOKUP(A1546,'DGS2'!A:A,'DGS2'!B:B,"",-1)</f>
        <v>2.63</v>
      </c>
      <c r="N1546">
        <f t="shared" si="195"/>
        <v>-5.0000000000000266E-2</v>
      </c>
      <c r="O1546">
        <f t="shared" si="196"/>
        <v>1.4612424662696633E-4</v>
      </c>
      <c r="P1546">
        <f t="shared" si="197"/>
        <v>1</v>
      </c>
      <c r="Q1546">
        <f t="shared" si="198"/>
        <v>0</v>
      </c>
    </row>
    <row r="1547" spans="1:17">
      <c r="A1547" s="1">
        <v>44701</v>
      </c>
      <c r="B1547">
        <v>3901.36</v>
      </c>
      <c r="C1547">
        <f t="shared" si="192"/>
        <v>1.4612424662696633E-4</v>
      </c>
      <c r="D1547">
        <f t="shared" si="199"/>
        <v>-4.5853968719811178E-2</v>
      </c>
      <c r="E1547">
        <f>_xlfn.XLOOKUP(A1547,VIX!A:A,VIX!B:B,"",-1)</f>
        <v>29.43</v>
      </c>
      <c r="F1547">
        <f t="shared" si="193"/>
        <v>7.9999999999998295E-2</v>
      </c>
      <c r="G1547">
        <f>_xlfn.XLOOKUP(A1547,'DGS10'!A:A,'DGS10'!B:B,"",-1)</f>
        <v>2.78</v>
      </c>
      <c r="H1547">
        <f t="shared" si="194"/>
        <v>-6.0000000000000053E-2</v>
      </c>
      <c r="I1547" s="2">
        <f>_xlfn.XLOOKUP(A1547,T10Y3M!A:A,T10Y3M!B:B,"",-1)</f>
        <v>1.75</v>
      </c>
      <c r="J1547" s="2">
        <f>_xlfn.XLOOKUP(A1547,BAMLC0A4CBBB!A:A,BAMLC0A4CBBB!B:B,"",-1)</f>
        <v>1.89</v>
      </c>
      <c r="K1547" s="2">
        <f>_xlfn.XLOOKUP(A1547,CPIAUCSL!A:A,CPIAUCSL!B:B,"",-1)</f>
        <v>291.298</v>
      </c>
      <c r="L1547">
        <f>_xlfn.XLOOKUP(A1547,DFF!A:A,DFF!B:B,"",-1)</f>
        <v>0.83</v>
      </c>
      <c r="M1547">
        <f>_xlfn.XLOOKUP(A1547,'DGS2'!A:A,'DGS2'!B:B,"",-1)</f>
        <v>2.6</v>
      </c>
      <c r="N1547">
        <f t="shared" si="195"/>
        <v>-2.9999999999999805E-2</v>
      </c>
      <c r="O1547">
        <f t="shared" si="196"/>
        <v>1.8555067976295359E-2</v>
      </c>
      <c r="P1547">
        <f t="shared" si="197"/>
        <v>1</v>
      </c>
      <c r="Q1547">
        <f t="shared" si="198"/>
        <v>1</v>
      </c>
    </row>
    <row r="1548" spans="1:17">
      <c r="A1548" s="1">
        <v>44704</v>
      </c>
      <c r="B1548">
        <v>3973.75</v>
      </c>
      <c r="C1548">
        <f t="shared" si="192"/>
        <v>1.8555067976295359E-2</v>
      </c>
      <c r="D1548">
        <f t="shared" si="199"/>
        <v>1.2760979488643409E-2</v>
      </c>
      <c r="E1548">
        <f>_xlfn.XLOOKUP(A1548,VIX!A:A,VIX!B:B,"",-1)</f>
        <v>28.48</v>
      </c>
      <c r="F1548">
        <f t="shared" si="193"/>
        <v>-0.94999999999999929</v>
      </c>
      <c r="G1548">
        <f>_xlfn.XLOOKUP(A1548,'DGS10'!A:A,'DGS10'!B:B,"",-1)</f>
        <v>2.86</v>
      </c>
      <c r="H1548">
        <f t="shared" si="194"/>
        <v>8.0000000000000071E-2</v>
      </c>
      <c r="I1548" s="2">
        <f>_xlfn.XLOOKUP(A1548,T10Y3M!A:A,T10Y3M!B:B,"",-1)</f>
        <v>1.79</v>
      </c>
      <c r="J1548" s="2">
        <f>_xlfn.XLOOKUP(A1548,BAMLC0A4CBBB!A:A,BAMLC0A4CBBB!B:B,"",-1)</f>
        <v>1.87</v>
      </c>
      <c r="K1548" s="2">
        <f>_xlfn.XLOOKUP(A1548,CPIAUCSL!A:A,CPIAUCSL!B:B,"",-1)</f>
        <v>291.298</v>
      </c>
      <c r="L1548">
        <f>_xlfn.XLOOKUP(A1548,DFF!A:A,DFF!B:B,"",-1)</f>
        <v>0.83</v>
      </c>
      <c r="M1548">
        <f>_xlfn.XLOOKUP(A1548,'DGS2'!A:A,'DGS2'!B:B,"",-1)</f>
        <v>2.65</v>
      </c>
      <c r="N1548">
        <f t="shared" si="195"/>
        <v>4.9999999999999822E-2</v>
      </c>
      <c r="O1548">
        <f t="shared" si="196"/>
        <v>-8.1207927021075266E-3</v>
      </c>
      <c r="P1548">
        <f t="shared" si="197"/>
        <v>0</v>
      </c>
      <c r="Q1548">
        <f t="shared" si="198"/>
        <v>-1</v>
      </c>
    </row>
    <row r="1549" spans="1:17">
      <c r="A1549" s="1">
        <v>44705</v>
      </c>
      <c r="B1549">
        <v>3941.48</v>
      </c>
      <c r="C1549">
        <f t="shared" si="192"/>
        <v>-8.1207927021075266E-3</v>
      </c>
      <c r="D1549">
        <f t="shared" si="199"/>
        <v>1.0431220342546066E-2</v>
      </c>
      <c r="E1549">
        <f>_xlfn.XLOOKUP(A1549,VIX!A:A,VIX!B:B,"",-1)</f>
        <v>29.45</v>
      </c>
      <c r="F1549">
        <f t="shared" si="193"/>
        <v>0.96999999999999886</v>
      </c>
      <c r="G1549">
        <f>_xlfn.XLOOKUP(A1549,'DGS10'!A:A,'DGS10'!B:B,"",-1)</f>
        <v>2.76</v>
      </c>
      <c r="H1549">
        <f t="shared" si="194"/>
        <v>-0.10000000000000009</v>
      </c>
      <c r="I1549" s="2">
        <f>_xlfn.XLOOKUP(A1549,T10Y3M!A:A,T10Y3M!B:B,"",-1)</f>
        <v>1.7</v>
      </c>
      <c r="J1549" s="2">
        <f>_xlfn.XLOOKUP(A1549,BAMLC0A4CBBB!A:A,BAMLC0A4CBBB!B:B,"",-1)</f>
        <v>1.88</v>
      </c>
      <c r="K1549" s="2">
        <f>_xlfn.XLOOKUP(A1549,CPIAUCSL!A:A,CPIAUCSL!B:B,"",-1)</f>
        <v>291.298</v>
      </c>
      <c r="L1549">
        <f>_xlfn.XLOOKUP(A1549,DFF!A:A,DFF!B:B,"",-1)</f>
        <v>0.83</v>
      </c>
      <c r="M1549">
        <f>_xlfn.XLOOKUP(A1549,'DGS2'!A:A,'DGS2'!B:B,"",-1)</f>
        <v>2.5</v>
      </c>
      <c r="N1549">
        <f t="shared" si="195"/>
        <v>-0.14999999999999991</v>
      </c>
      <c r="O1549">
        <f t="shared" si="196"/>
        <v>9.4507646873762674E-3</v>
      </c>
      <c r="P1549">
        <f t="shared" si="197"/>
        <v>1</v>
      </c>
      <c r="Q1549">
        <f t="shared" si="198"/>
        <v>1</v>
      </c>
    </row>
    <row r="1550" spans="1:17">
      <c r="A1550" s="1">
        <v>44706</v>
      </c>
      <c r="B1550">
        <v>3978.73</v>
      </c>
      <c r="C1550">
        <f t="shared" si="192"/>
        <v>9.4507646873762674E-3</v>
      </c>
      <c r="D1550">
        <f t="shared" si="199"/>
        <v>1.9831545922447624E-2</v>
      </c>
      <c r="E1550">
        <f>_xlfn.XLOOKUP(A1550,VIX!A:A,VIX!B:B,"",-1)</f>
        <v>28.37</v>
      </c>
      <c r="F1550">
        <f t="shared" si="193"/>
        <v>-1.0799999999999983</v>
      </c>
      <c r="G1550">
        <f>_xlfn.XLOOKUP(A1550,'DGS10'!A:A,'DGS10'!B:B,"",-1)</f>
        <v>2.75</v>
      </c>
      <c r="H1550">
        <f t="shared" si="194"/>
        <v>-9.9999999999997868E-3</v>
      </c>
      <c r="I1550" s="2">
        <f>_xlfn.XLOOKUP(A1550,T10Y3M!A:A,T10Y3M!B:B,"",-1)</f>
        <v>1.69</v>
      </c>
      <c r="J1550" s="2">
        <f>_xlfn.XLOOKUP(A1550,BAMLC0A4CBBB!A:A,BAMLC0A4CBBB!B:B,"",-1)</f>
        <v>1.83</v>
      </c>
      <c r="K1550" s="2">
        <f>_xlfn.XLOOKUP(A1550,CPIAUCSL!A:A,CPIAUCSL!B:B,"",-1)</f>
        <v>291.298</v>
      </c>
      <c r="L1550">
        <f>_xlfn.XLOOKUP(A1550,DFF!A:A,DFF!B:B,"",-1)</f>
        <v>0.83</v>
      </c>
      <c r="M1550">
        <f>_xlfn.XLOOKUP(A1550,'DGS2'!A:A,'DGS2'!B:B,"",-1)</f>
        <v>2.48</v>
      </c>
      <c r="N1550">
        <f t="shared" si="195"/>
        <v>-2.0000000000000018E-2</v>
      </c>
      <c r="O1550">
        <f t="shared" si="196"/>
        <v>1.988322907058282E-2</v>
      </c>
      <c r="P1550">
        <f t="shared" si="197"/>
        <v>1</v>
      </c>
      <c r="Q1550">
        <f t="shared" si="198"/>
        <v>1</v>
      </c>
    </row>
    <row r="1551" spans="1:17">
      <c r="A1551" s="1">
        <v>44707</v>
      </c>
      <c r="B1551">
        <v>4057.84</v>
      </c>
      <c r="C1551">
        <f t="shared" si="192"/>
        <v>1.988322907058282E-2</v>
      </c>
      <c r="D1551">
        <f t="shared" si="199"/>
        <v>2.1161371500471926E-2</v>
      </c>
      <c r="E1551">
        <f>_xlfn.XLOOKUP(A1551,VIX!A:A,VIX!B:B,"",-1)</f>
        <v>27.5</v>
      </c>
      <c r="F1551">
        <f t="shared" si="193"/>
        <v>-0.87000000000000099</v>
      </c>
      <c r="G1551">
        <f>_xlfn.XLOOKUP(A1551,'DGS10'!A:A,'DGS10'!B:B,"",-1)</f>
        <v>2.75</v>
      </c>
      <c r="H1551">
        <f t="shared" si="194"/>
        <v>0</v>
      </c>
      <c r="I1551" s="2">
        <f>_xlfn.XLOOKUP(A1551,T10Y3M!A:A,T10Y3M!B:B,"",-1)</f>
        <v>1.68</v>
      </c>
      <c r="J1551" s="2">
        <f>_xlfn.XLOOKUP(A1551,BAMLC0A4CBBB!A:A,BAMLC0A4CBBB!B:B,"",-1)</f>
        <v>1.78</v>
      </c>
      <c r="K1551" s="2">
        <f>_xlfn.XLOOKUP(A1551,CPIAUCSL!A:A,CPIAUCSL!B:B,"",-1)</f>
        <v>291.298</v>
      </c>
      <c r="L1551">
        <f>_xlfn.XLOOKUP(A1551,DFF!A:A,DFF!B:B,"",-1)</f>
        <v>0.83</v>
      </c>
      <c r="M1551">
        <f>_xlfn.XLOOKUP(A1551,'DGS2'!A:A,'DGS2'!B:B,"",-1)</f>
        <v>2.46</v>
      </c>
      <c r="N1551">
        <f t="shared" si="195"/>
        <v>-2.0000000000000018E-2</v>
      </c>
      <c r="O1551">
        <f t="shared" si="196"/>
        <v>2.4742227391912897E-2</v>
      </c>
      <c r="P1551">
        <f t="shared" si="197"/>
        <v>1</v>
      </c>
      <c r="Q1551">
        <f t="shared" si="198"/>
        <v>1</v>
      </c>
    </row>
    <row r="1552" spans="1:17">
      <c r="A1552" s="1">
        <v>44708</v>
      </c>
      <c r="B1552">
        <v>4158.24</v>
      </c>
      <c r="C1552">
        <f t="shared" si="192"/>
        <v>2.4742227391912897E-2</v>
      </c>
      <c r="D1552">
        <f t="shared" si="199"/>
        <v>5.4994570567401091E-2</v>
      </c>
      <c r="E1552">
        <f>_xlfn.XLOOKUP(A1552,VIX!A:A,VIX!B:B,"",-1)</f>
        <v>25.72</v>
      </c>
      <c r="F1552">
        <f t="shared" si="193"/>
        <v>-1.7800000000000011</v>
      </c>
      <c r="G1552">
        <f>_xlfn.XLOOKUP(A1552,'DGS10'!A:A,'DGS10'!B:B,"",-1)</f>
        <v>2.74</v>
      </c>
      <c r="H1552">
        <f t="shared" si="194"/>
        <v>-9.9999999999997868E-3</v>
      </c>
      <c r="I1552" s="2">
        <f>_xlfn.XLOOKUP(A1552,T10Y3M!A:A,T10Y3M!B:B,"",-1)</f>
        <v>1.66</v>
      </c>
      <c r="J1552" s="2">
        <f>_xlfn.XLOOKUP(A1552,BAMLC0A4CBBB!A:A,BAMLC0A4CBBB!B:B,"",-1)</f>
        <v>1.75</v>
      </c>
      <c r="K1552" s="2">
        <f>_xlfn.XLOOKUP(A1552,CPIAUCSL!A:A,CPIAUCSL!B:B,"",-1)</f>
        <v>291.298</v>
      </c>
      <c r="L1552">
        <f>_xlfn.XLOOKUP(A1552,DFF!A:A,DFF!B:B,"",-1)</f>
        <v>0.83</v>
      </c>
      <c r="M1552">
        <f>_xlfn.XLOOKUP(A1552,'DGS2'!A:A,'DGS2'!B:B,"",-1)</f>
        <v>2.4700000000000002</v>
      </c>
      <c r="N1552">
        <f t="shared" si="195"/>
        <v>1.0000000000000231E-2</v>
      </c>
      <c r="O1552">
        <f t="shared" si="196"/>
        <v>-6.2742891223209751E-3</v>
      </c>
      <c r="P1552">
        <f t="shared" si="197"/>
        <v>0</v>
      </c>
      <c r="Q1552">
        <f t="shared" si="198"/>
        <v>-1</v>
      </c>
    </row>
    <row r="1553" spans="1:17">
      <c r="A1553" s="1">
        <v>44712</v>
      </c>
      <c r="B1553">
        <v>4132.1499999999996</v>
      </c>
      <c r="C1553">
        <f t="shared" si="192"/>
        <v>-6.2742891223209751E-3</v>
      </c>
      <c r="D1553">
        <f t="shared" si="199"/>
        <v>3.8560043028805557E-2</v>
      </c>
      <c r="E1553">
        <f>_xlfn.XLOOKUP(A1553,VIX!A:A,VIX!B:B,"",-1)</f>
        <v>26.19</v>
      </c>
      <c r="F1553">
        <f t="shared" si="193"/>
        <v>0.47000000000000242</v>
      </c>
      <c r="G1553">
        <f>_xlfn.XLOOKUP(A1553,'DGS10'!A:A,'DGS10'!B:B,"",-1)</f>
        <v>2.85</v>
      </c>
      <c r="H1553">
        <f t="shared" si="194"/>
        <v>0.10999999999999988</v>
      </c>
      <c r="I1553" s="2">
        <f>_xlfn.XLOOKUP(A1553,T10Y3M!A:A,T10Y3M!B:B,"",-1)</f>
        <v>1.69</v>
      </c>
      <c r="J1553" s="2">
        <f>_xlfn.XLOOKUP(A1553,BAMLC0A4CBBB!A:A,BAMLC0A4CBBB!B:B,"",-1)</f>
        <v>1.73</v>
      </c>
      <c r="K1553" s="2">
        <f>_xlfn.XLOOKUP(A1553,CPIAUCSL!A:A,CPIAUCSL!B:B,"",-1)</f>
        <v>291.298</v>
      </c>
      <c r="L1553">
        <f>_xlfn.XLOOKUP(A1553,DFF!A:A,DFF!B:B,"",-1)</f>
        <v>0.83</v>
      </c>
      <c r="M1553">
        <f>_xlfn.XLOOKUP(A1553,'DGS2'!A:A,'DGS2'!B:B,"",-1)</f>
        <v>2.5299999999999998</v>
      </c>
      <c r="N1553">
        <f t="shared" si="195"/>
        <v>5.9999999999999609E-2</v>
      </c>
      <c r="O1553">
        <f t="shared" si="196"/>
        <v>-7.4827874109120174E-3</v>
      </c>
      <c r="P1553">
        <f t="shared" si="197"/>
        <v>0</v>
      </c>
      <c r="Q1553">
        <f t="shared" si="198"/>
        <v>-1</v>
      </c>
    </row>
    <row r="1554" spans="1:17">
      <c r="A1554" s="1">
        <v>44713</v>
      </c>
      <c r="B1554">
        <v>4101.2299999999996</v>
      </c>
      <c r="C1554">
        <f t="shared" si="192"/>
        <v>-7.4827874109120174E-3</v>
      </c>
      <c r="D1554">
        <f t="shared" si="199"/>
        <v>1.0692880941584493E-2</v>
      </c>
      <c r="E1554">
        <f>_xlfn.XLOOKUP(A1554,VIX!A:A,VIX!B:B,"",-1)</f>
        <v>25.69</v>
      </c>
      <c r="F1554">
        <f t="shared" si="193"/>
        <v>-0.5</v>
      </c>
      <c r="G1554">
        <f>_xlfn.XLOOKUP(A1554,'DGS10'!A:A,'DGS10'!B:B,"",-1)</f>
        <v>2.94</v>
      </c>
      <c r="H1554">
        <f t="shared" si="194"/>
        <v>8.9999999999999858E-2</v>
      </c>
      <c r="I1554" s="2">
        <f>_xlfn.XLOOKUP(A1554,T10Y3M!A:A,T10Y3M!B:B,"",-1)</f>
        <v>1.79</v>
      </c>
      <c r="J1554" s="2">
        <f>_xlfn.XLOOKUP(A1554,BAMLC0A4CBBB!A:A,BAMLC0A4CBBB!B:B,"",-1)</f>
        <v>1.7</v>
      </c>
      <c r="K1554" s="2">
        <f>_xlfn.XLOOKUP(A1554,CPIAUCSL!A:A,CPIAUCSL!B:B,"",-1)</f>
        <v>294.95699999999999</v>
      </c>
      <c r="L1554">
        <f>_xlfn.XLOOKUP(A1554,DFF!A:A,DFF!B:B,"",-1)</f>
        <v>0.83</v>
      </c>
      <c r="M1554">
        <f>_xlfn.XLOOKUP(A1554,'DGS2'!A:A,'DGS2'!B:B,"",-1)</f>
        <v>2.66</v>
      </c>
      <c r="N1554">
        <f t="shared" si="195"/>
        <v>0.13000000000000034</v>
      </c>
      <c r="O1554">
        <f t="shared" si="196"/>
        <v>1.8431056049039052E-2</v>
      </c>
      <c r="P1554">
        <f t="shared" si="197"/>
        <v>1</v>
      </c>
      <c r="Q1554">
        <f t="shared" si="198"/>
        <v>1</v>
      </c>
    </row>
    <row r="1555" spans="1:17">
      <c r="A1555" s="1">
        <v>44714</v>
      </c>
      <c r="B1555">
        <v>4176.82</v>
      </c>
      <c r="C1555">
        <f t="shared" si="192"/>
        <v>1.8431056049039052E-2</v>
      </c>
      <c r="D1555">
        <f t="shared" si="199"/>
        <v>4.4682365616222075E-3</v>
      </c>
      <c r="E1555">
        <f>_xlfn.XLOOKUP(A1555,VIX!A:A,VIX!B:B,"",-1)</f>
        <v>24.72</v>
      </c>
      <c r="F1555">
        <f t="shared" si="193"/>
        <v>-0.97000000000000242</v>
      </c>
      <c r="G1555">
        <f>_xlfn.XLOOKUP(A1555,'DGS10'!A:A,'DGS10'!B:B,"",-1)</f>
        <v>2.92</v>
      </c>
      <c r="H1555">
        <f t="shared" si="194"/>
        <v>-2.0000000000000018E-2</v>
      </c>
      <c r="I1555" s="2">
        <f>_xlfn.XLOOKUP(A1555,T10Y3M!A:A,T10Y3M!B:B,"",-1)</f>
        <v>1.75</v>
      </c>
      <c r="J1555" s="2">
        <f>_xlfn.XLOOKUP(A1555,BAMLC0A4CBBB!A:A,BAMLC0A4CBBB!B:B,"",-1)</f>
        <v>1.71</v>
      </c>
      <c r="K1555" s="2">
        <f>_xlfn.XLOOKUP(A1555,CPIAUCSL!A:A,CPIAUCSL!B:B,"",-1)</f>
        <v>294.95699999999999</v>
      </c>
      <c r="L1555">
        <f>_xlfn.XLOOKUP(A1555,DFF!A:A,DFF!B:B,"",-1)</f>
        <v>0.83</v>
      </c>
      <c r="M1555">
        <f>_xlfn.XLOOKUP(A1555,'DGS2'!A:A,'DGS2'!B:B,"",-1)</f>
        <v>2.65</v>
      </c>
      <c r="N1555">
        <f t="shared" si="195"/>
        <v>-1.0000000000000231E-2</v>
      </c>
      <c r="O1555">
        <f t="shared" si="196"/>
        <v>-1.6347364741597592E-2</v>
      </c>
      <c r="P1555">
        <f t="shared" si="197"/>
        <v>0</v>
      </c>
      <c r="Q1555">
        <f t="shared" si="198"/>
        <v>-1</v>
      </c>
    </row>
    <row r="1556" spans="1:17">
      <c r="A1556" s="1">
        <v>44715</v>
      </c>
      <c r="B1556">
        <v>4108.54</v>
      </c>
      <c r="C1556">
        <f t="shared" si="192"/>
        <v>-1.6347364741597592E-2</v>
      </c>
      <c r="D1556">
        <f t="shared" si="199"/>
        <v>-5.713732560531315E-3</v>
      </c>
      <c r="E1556">
        <f>_xlfn.XLOOKUP(A1556,VIX!A:A,VIX!B:B,"",-1)</f>
        <v>24.79</v>
      </c>
      <c r="F1556">
        <f t="shared" si="193"/>
        <v>7.0000000000000284E-2</v>
      </c>
      <c r="G1556">
        <f>_xlfn.XLOOKUP(A1556,'DGS10'!A:A,'DGS10'!B:B,"",-1)</f>
        <v>2.96</v>
      </c>
      <c r="H1556">
        <f t="shared" si="194"/>
        <v>4.0000000000000036E-2</v>
      </c>
      <c r="I1556" s="2">
        <f>_xlfn.XLOOKUP(A1556,T10Y3M!A:A,T10Y3M!B:B,"",-1)</f>
        <v>1.75</v>
      </c>
      <c r="J1556" s="2">
        <f>_xlfn.XLOOKUP(A1556,BAMLC0A4CBBB!A:A,BAMLC0A4CBBB!B:B,"",-1)</f>
        <v>1.71</v>
      </c>
      <c r="K1556" s="2">
        <f>_xlfn.XLOOKUP(A1556,CPIAUCSL!A:A,CPIAUCSL!B:B,"",-1)</f>
        <v>294.95699999999999</v>
      </c>
      <c r="L1556">
        <f>_xlfn.XLOOKUP(A1556,DFF!A:A,DFF!B:B,"",-1)</f>
        <v>0.83</v>
      </c>
      <c r="M1556">
        <f>_xlfn.XLOOKUP(A1556,'DGS2'!A:A,'DGS2'!B:B,"",-1)</f>
        <v>2.66</v>
      </c>
      <c r="N1556">
        <f t="shared" si="195"/>
        <v>1.0000000000000231E-2</v>
      </c>
      <c r="O1556">
        <f t="shared" si="196"/>
        <v>3.1373675320187644E-3</v>
      </c>
      <c r="P1556">
        <f t="shared" si="197"/>
        <v>1</v>
      </c>
      <c r="Q1556">
        <f t="shared" si="198"/>
        <v>1</v>
      </c>
    </row>
    <row r="1557" spans="1:17">
      <c r="A1557" s="1">
        <v>44718</v>
      </c>
      <c r="B1557">
        <v>4121.43</v>
      </c>
      <c r="C1557">
        <f t="shared" si="192"/>
        <v>3.1373675320187644E-3</v>
      </c>
      <c r="D1557">
        <f t="shared" si="199"/>
        <v>4.9253516627940641E-3</v>
      </c>
      <c r="E1557">
        <f>_xlfn.XLOOKUP(A1557,VIX!A:A,VIX!B:B,"",-1)</f>
        <v>25.07</v>
      </c>
      <c r="F1557">
        <f t="shared" si="193"/>
        <v>0.28000000000000114</v>
      </c>
      <c r="G1557">
        <f>_xlfn.XLOOKUP(A1557,'DGS10'!A:A,'DGS10'!B:B,"",-1)</f>
        <v>3.04</v>
      </c>
      <c r="H1557">
        <f t="shared" si="194"/>
        <v>8.0000000000000071E-2</v>
      </c>
      <c r="I1557" s="2">
        <f>_xlfn.XLOOKUP(A1557,T10Y3M!A:A,T10Y3M!B:B,"",-1)</f>
        <v>1.78</v>
      </c>
      <c r="J1557" s="2">
        <f>_xlfn.XLOOKUP(A1557,BAMLC0A4CBBB!A:A,BAMLC0A4CBBB!B:B,"",-1)</f>
        <v>1.69</v>
      </c>
      <c r="K1557" s="2">
        <f>_xlfn.XLOOKUP(A1557,CPIAUCSL!A:A,CPIAUCSL!B:B,"",-1)</f>
        <v>294.95699999999999</v>
      </c>
      <c r="L1557">
        <f>_xlfn.XLOOKUP(A1557,DFF!A:A,DFF!B:B,"",-1)</f>
        <v>0.83</v>
      </c>
      <c r="M1557">
        <f>_xlfn.XLOOKUP(A1557,'DGS2'!A:A,'DGS2'!B:B,"",-1)</f>
        <v>2.73</v>
      </c>
      <c r="N1557">
        <f t="shared" si="195"/>
        <v>6.999999999999984E-2</v>
      </c>
      <c r="O1557">
        <f t="shared" si="196"/>
        <v>9.5233935794130087E-3</v>
      </c>
      <c r="P1557">
        <f t="shared" si="197"/>
        <v>1</v>
      </c>
      <c r="Q1557">
        <f t="shared" si="198"/>
        <v>1</v>
      </c>
    </row>
    <row r="1558" spans="1:17">
      <c r="A1558" s="1">
        <v>44719</v>
      </c>
      <c r="B1558">
        <v>4160.68</v>
      </c>
      <c r="C1558">
        <f t="shared" si="192"/>
        <v>9.5233935794130087E-3</v>
      </c>
      <c r="D1558">
        <f t="shared" si="199"/>
        <v>-3.8641837570208004E-3</v>
      </c>
      <c r="E1558">
        <f>_xlfn.XLOOKUP(A1558,VIX!A:A,VIX!B:B,"",-1)</f>
        <v>24.02</v>
      </c>
      <c r="F1558">
        <f t="shared" si="193"/>
        <v>-1.0500000000000007</v>
      </c>
      <c r="G1558">
        <f>_xlfn.XLOOKUP(A1558,'DGS10'!A:A,'DGS10'!B:B,"",-1)</f>
        <v>2.98</v>
      </c>
      <c r="H1558">
        <f t="shared" si="194"/>
        <v>-6.0000000000000053E-2</v>
      </c>
      <c r="I1558" s="2">
        <f>_xlfn.XLOOKUP(A1558,T10Y3M!A:A,T10Y3M!B:B,"",-1)</f>
        <v>1.72</v>
      </c>
      <c r="J1558" s="2">
        <f>_xlfn.XLOOKUP(A1558,BAMLC0A4CBBB!A:A,BAMLC0A4CBBB!B:B,"",-1)</f>
        <v>1.71</v>
      </c>
      <c r="K1558" s="2">
        <f>_xlfn.XLOOKUP(A1558,CPIAUCSL!A:A,CPIAUCSL!B:B,"",-1)</f>
        <v>294.95699999999999</v>
      </c>
      <c r="L1558">
        <f>_xlfn.XLOOKUP(A1558,DFF!A:A,DFF!B:B,"",-1)</f>
        <v>0.83</v>
      </c>
      <c r="M1558">
        <f>_xlfn.XLOOKUP(A1558,'DGS2'!A:A,'DGS2'!B:B,"",-1)</f>
        <v>2.75</v>
      </c>
      <c r="N1558">
        <f t="shared" si="195"/>
        <v>2.0000000000000018E-2</v>
      </c>
      <c r="O1558">
        <f t="shared" si="196"/>
        <v>-1.0793908688002896E-2</v>
      </c>
      <c r="P1558">
        <f t="shared" si="197"/>
        <v>0</v>
      </c>
      <c r="Q1558">
        <f t="shared" si="198"/>
        <v>-1</v>
      </c>
    </row>
    <row r="1559" spans="1:17">
      <c r="A1559" s="1">
        <v>44720</v>
      </c>
      <c r="B1559">
        <v>4115.7700000000004</v>
      </c>
      <c r="C1559">
        <f t="shared" si="192"/>
        <v>-1.0793908688002896E-2</v>
      </c>
      <c r="D1559">
        <f t="shared" si="199"/>
        <v>1.7597492053138541E-3</v>
      </c>
      <c r="E1559">
        <f>_xlfn.XLOOKUP(A1559,VIX!A:A,VIX!B:B,"",-1)</f>
        <v>23.96</v>
      </c>
      <c r="F1559">
        <f t="shared" si="193"/>
        <v>-5.9999999999998721E-2</v>
      </c>
      <c r="G1559">
        <f>_xlfn.XLOOKUP(A1559,'DGS10'!A:A,'DGS10'!B:B,"",-1)</f>
        <v>3.03</v>
      </c>
      <c r="H1559">
        <f t="shared" si="194"/>
        <v>4.9999999999999822E-2</v>
      </c>
      <c r="I1559" s="2">
        <f>_xlfn.XLOOKUP(A1559,T10Y3M!A:A,T10Y3M!B:B,"",-1)</f>
        <v>1.75</v>
      </c>
      <c r="J1559" s="2">
        <f>_xlfn.XLOOKUP(A1559,BAMLC0A4CBBB!A:A,BAMLC0A4CBBB!B:B,"",-1)</f>
        <v>1.69</v>
      </c>
      <c r="K1559" s="2">
        <f>_xlfn.XLOOKUP(A1559,CPIAUCSL!A:A,CPIAUCSL!B:B,"",-1)</f>
        <v>294.95699999999999</v>
      </c>
      <c r="L1559">
        <f>_xlfn.XLOOKUP(A1559,DFF!A:A,DFF!B:B,"",-1)</f>
        <v>0.83</v>
      </c>
      <c r="M1559">
        <f>_xlfn.XLOOKUP(A1559,'DGS2'!A:A,'DGS2'!B:B,"",-1)</f>
        <v>2.78</v>
      </c>
      <c r="N1559">
        <f t="shared" si="195"/>
        <v>2.9999999999999805E-2</v>
      </c>
      <c r="O1559">
        <f t="shared" si="196"/>
        <v>-2.3798705952956634E-2</v>
      </c>
      <c r="P1559">
        <f t="shared" si="197"/>
        <v>0</v>
      </c>
      <c r="Q1559">
        <f t="shared" si="198"/>
        <v>-1</v>
      </c>
    </row>
    <row r="1560" spans="1:17">
      <c r="A1560" s="1">
        <v>44721</v>
      </c>
      <c r="B1560">
        <v>4017.82</v>
      </c>
      <c r="C1560">
        <f t="shared" si="192"/>
        <v>-2.3798705952956634E-2</v>
      </c>
      <c r="D1560">
        <f t="shared" si="199"/>
        <v>-2.5139332707337037E-2</v>
      </c>
      <c r="E1560">
        <f>_xlfn.XLOOKUP(A1560,VIX!A:A,VIX!B:B,"",-1)</f>
        <v>26.09</v>
      </c>
      <c r="F1560">
        <f t="shared" si="193"/>
        <v>2.129999999999999</v>
      </c>
      <c r="G1560">
        <f>_xlfn.XLOOKUP(A1560,'DGS10'!A:A,'DGS10'!B:B,"",-1)</f>
        <v>3.04</v>
      </c>
      <c r="H1560">
        <f t="shared" si="194"/>
        <v>1.0000000000000231E-2</v>
      </c>
      <c r="I1560" s="2">
        <f>_xlfn.XLOOKUP(A1560,T10Y3M!A:A,T10Y3M!B:B,"",-1)</f>
        <v>1.74</v>
      </c>
      <c r="J1560" s="2">
        <f>_xlfn.XLOOKUP(A1560,BAMLC0A4CBBB!A:A,BAMLC0A4CBBB!B:B,"",-1)</f>
        <v>1.71</v>
      </c>
      <c r="K1560" s="2">
        <f>_xlfn.XLOOKUP(A1560,CPIAUCSL!A:A,CPIAUCSL!B:B,"",-1)</f>
        <v>294.95699999999999</v>
      </c>
      <c r="L1560">
        <f>_xlfn.XLOOKUP(A1560,DFF!A:A,DFF!B:B,"",-1)</f>
        <v>0.83</v>
      </c>
      <c r="M1560">
        <f>_xlfn.XLOOKUP(A1560,'DGS2'!A:A,'DGS2'!B:B,"",-1)</f>
        <v>2.83</v>
      </c>
      <c r="N1560">
        <f t="shared" si="195"/>
        <v>5.0000000000000266E-2</v>
      </c>
      <c r="O1560">
        <f t="shared" si="196"/>
        <v>-2.9110313553120881E-2</v>
      </c>
      <c r="P1560">
        <f t="shared" si="197"/>
        <v>0</v>
      </c>
      <c r="Q1560">
        <f t="shared" si="198"/>
        <v>-1</v>
      </c>
    </row>
    <row r="1561" spans="1:17">
      <c r="A1561" s="1">
        <v>44722</v>
      </c>
      <c r="B1561">
        <v>3900.86</v>
      </c>
      <c r="C1561">
        <f t="shared" si="192"/>
        <v>-2.9110313553120881E-2</v>
      </c>
      <c r="D1561">
        <f t="shared" si="199"/>
        <v>-6.2446523164482737E-2</v>
      </c>
      <c r="E1561">
        <f>_xlfn.XLOOKUP(A1561,VIX!A:A,VIX!B:B,"",-1)</f>
        <v>27.75</v>
      </c>
      <c r="F1561">
        <f t="shared" si="193"/>
        <v>1.6600000000000001</v>
      </c>
      <c r="G1561">
        <f>_xlfn.XLOOKUP(A1561,'DGS10'!A:A,'DGS10'!B:B,"",-1)</f>
        <v>3.15</v>
      </c>
      <c r="H1561">
        <f t="shared" si="194"/>
        <v>0.10999999999999988</v>
      </c>
      <c r="I1561" s="2">
        <f>_xlfn.XLOOKUP(A1561,T10Y3M!A:A,T10Y3M!B:B,"",-1)</f>
        <v>1.76</v>
      </c>
      <c r="J1561" s="2">
        <f>_xlfn.XLOOKUP(A1561,BAMLC0A4CBBB!A:A,BAMLC0A4CBBB!B:B,"",-1)</f>
        <v>1.75</v>
      </c>
      <c r="K1561" s="2">
        <f>_xlfn.XLOOKUP(A1561,CPIAUCSL!A:A,CPIAUCSL!B:B,"",-1)</f>
        <v>294.95699999999999</v>
      </c>
      <c r="L1561">
        <f>_xlfn.XLOOKUP(A1561,DFF!A:A,DFF!B:B,"",-1)</f>
        <v>0.83</v>
      </c>
      <c r="M1561">
        <f>_xlfn.XLOOKUP(A1561,'DGS2'!A:A,'DGS2'!B:B,"",-1)</f>
        <v>3.06</v>
      </c>
      <c r="N1561">
        <f t="shared" si="195"/>
        <v>0.22999999999999998</v>
      </c>
      <c r="O1561">
        <f t="shared" si="196"/>
        <v>-3.8768374153391849E-2</v>
      </c>
      <c r="P1561">
        <f t="shared" si="197"/>
        <v>0</v>
      </c>
      <c r="Q1561">
        <f t="shared" si="198"/>
        <v>-1</v>
      </c>
    </row>
    <row r="1562" spans="1:17">
      <c r="A1562" s="1">
        <v>44725</v>
      </c>
      <c r="B1562">
        <v>3749.63</v>
      </c>
      <c r="C1562">
        <f t="shared" si="192"/>
        <v>-3.8768374153391849E-2</v>
      </c>
      <c r="D1562">
        <f t="shared" si="199"/>
        <v>-8.8960267459066045E-2</v>
      </c>
      <c r="E1562">
        <f>_xlfn.XLOOKUP(A1562,VIX!A:A,VIX!B:B,"",-1)</f>
        <v>34.020000000000003</v>
      </c>
      <c r="F1562">
        <f t="shared" si="193"/>
        <v>6.2700000000000031</v>
      </c>
      <c r="G1562">
        <f>_xlfn.XLOOKUP(A1562,'DGS10'!A:A,'DGS10'!B:B,"",-1)</f>
        <v>3.43</v>
      </c>
      <c r="H1562">
        <f t="shared" si="194"/>
        <v>0.28000000000000025</v>
      </c>
      <c r="I1562" s="2">
        <f>_xlfn.XLOOKUP(A1562,T10Y3M!A:A,T10Y3M!B:B,"",-1)</f>
        <v>1.7</v>
      </c>
      <c r="J1562" s="2">
        <f>_xlfn.XLOOKUP(A1562,BAMLC0A4CBBB!A:A,BAMLC0A4CBBB!B:B,"",-1)</f>
        <v>1.8</v>
      </c>
      <c r="K1562" s="2">
        <f>_xlfn.XLOOKUP(A1562,CPIAUCSL!A:A,CPIAUCSL!B:B,"",-1)</f>
        <v>294.95699999999999</v>
      </c>
      <c r="L1562">
        <f>_xlfn.XLOOKUP(A1562,DFF!A:A,DFF!B:B,"",-1)</f>
        <v>0.83</v>
      </c>
      <c r="M1562">
        <f>_xlfn.XLOOKUP(A1562,'DGS2'!A:A,'DGS2'!B:B,"",-1)</f>
        <v>3.4</v>
      </c>
      <c r="N1562">
        <f t="shared" si="195"/>
        <v>0.33999999999999986</v>
      </c>
      <c r="O1562">
        <f t="shared" si="196"/>
        <v>-3.7737056722930706E-3</v>
      </c>
      <c r="P1562">
        <f t="shared" si="197"/>
        <v>0</v>
      </c>
      <c r="Q1562">
        <f t="shared" si="198"/>
        <v>-1</v>
      </c>
    </row>
    <row r="1563" spans="1:17">
      <c r="A1563" s="1">
        <v>44726</v>
      </c>
      <c r="B1563">
        <v>3735.48</v>
      </c>
      <c r="C1563">
        <f t="shared" si="192"/>
        <v>-3.7737056722930706E-3</v>
      </c>
      <c r="D1563">
        <f t="shared" si="199"/>
        <v>-7.0271938513920551E-2</v>
      </c>
      <c r="E1563">
        <f>_xlfn.XLOOKUP(A1563,VIX!A:A,VIX!B:B,"",-1)</f>
        <v>32.69</v>
      </c>
      <c r="F1563">
        <f t="shared" si="193"/>
        <v>-1.3300000000000054</v>
      </c>
      <c r="G1563">
        <f>_xlfn.XLOOKUP(A1563,'DGS10'!A:A,'DGS10'!B:B,"",-1)</f>
        <v>3.49</v>
      </c>
      <c r="H1563">
        <f t="shared" si="194"/>
        <v>6.0000000000000053E-2</v>
      </c>
      <c r="I1563" s="2">
        <f>_xlfn.XLOOKUP(A1563,T10Y3M!A:A,T10Y3M!B:B,"",-1)</f>
        <v>1.66</v>
      </c>
      <c r="J1563" s="2">
        <f>_xlfn.XLOOKUP(A1563,BAMLC0A4CBBB!A:A,BAMLC0A4CBBB!B:B,"",-1)</f>
        <v>1.8</v>
      </c>
      <c r="K1563" s="2">
        <f>_xlfn.XLOOKUP(A1563,CPIAUCSL!A:A,CPIAUCSL!B:B,"",-1)</f>
        <v>294.95699999999999</v>
      </c>
      <c r="L1563">
        <f>_xlfn.XLOOKUP(A1563,DFF!A:A,DFF!B:B,"",-1)</f>
        <v>0.83</v>
      </c>
      <c r="M1563">
        <f>_xlfn.XLOOKUP(A1563,'DGS2'!A:A,'DGS2'!B:B,"",-1)</f>
        <v>3.45</v>
      </c>
      <c r="N1563">
        <f t="shared" si="195"/>
        <v>5.0000000000000266E-2</v>
      </c>
      <c r="O1563">
        <f t="shared" si="196"/>
        <v>1.4592502168395916E-2</v>
      </c>
      <c r="P1563">
        <f t="shared" si="197"/>
        <v>1</v>
      </c>
      <c r="Q1563">
        <f t="shared" si="198"/>
        <v>1</v>
      </c>
    </row>
    <row r="1564" spans="1:17">
      <c r="A1564" s="1">
        <v>44727</v>
      </c>
      <c r="B1564">
        <v>3789.99</v>
      </c>
      <c r="C1564">
        <f t="shared" si="192"/>
        <v>1.4592502168395916E-2</v>
      </c>
      <c r="D1564">
        <f t="shared" si="199"/>
        <v>-2.842193772655266E-2</v>
      </c>
      <c r="E1564">
        <f>_xlfn.XLOOKUP(A1564,VIX!A:A,VIX!B:B,"",-1)</f>
        <v>29.62</v>
      </c>
      <c r="F1564">
        <f t="shared" si="193"/>
        <v>-3.0699999999999967</v>
      </c>
      <c r="G1564">
        <f>_xlfn.XLOOKUP(A1564,'DGS10'!A:A,'DGS10'!B:B,"",-1)</f>
        <v>3.33</v>
      </c>
      <c r="H1564">
        <f t="shared" si="194"/>
        <v>-0.16000000000000014</v>
      </c>
      <c r="I1564" s="2">
        <f>_xlfn.XLOOKUP(A1564,T10Y3M!A:A,T10Y3M!B:B,"",-1)</f>
        <v>1.59</v>
      </c>
      <c r="J1564" s="2">
        <f>_xlfn.XLOOKUP(A1564,BAMLC0A4CBBB!A:A,BAMLC0A4CBBB!B:B,"",-1)</f>
        <v>1.8</v>
      </c>
      <c r="K1564" s="2">
        <f>_xlfn.XLOOKUP(A1564,CPIAUCSL!A:A,CPIAUCSL!B:B,"",-1)</f>
        <v>294.95699999999999</v>
      </c>
      <c r="L1564">
        <f>_xlfn.XLOOKUP(A1564,DFF!A:A,DFF!B:B,"",-1)</f>
        <v>0.83</v>
      </c>
      <c r="M1564">
        <f>_xlfn.XLOOKUP(A1564,'DGS2'!A:A,'DGS2'!B:B,"",-1)</f>
        <v>3.2</v>
      </c>
      <c r="N1564">
        <f t="shared" si="195"/>
        <v>-0.25</v>
      </c>
      <c r="O1564">
        <f t="shared" si="196"/>
        <v>-3.2511959134456814E-2</v>
      </c>
      <c r="P1564">
        <f t="shared" si="197"/>
        <v>0</v>
      </c>
      <c r="Q1564">
        <f t="shared" si="198"/>
        <v>-1</v>
      </c>
    </row>
    <row r="1565" spans="1:17">
      <c r="A1565" s="1">
        <v>44728</v>
      </c>
      <c r="B1565">
        <v>3666.77</v>
      </c>
      <c r="C1565">
        <f t="shared" si="192"/>
        <v>-3.2511959134456814E-2</v>
      </c>
      <c r="D1565">
        <f t="shared" si="199"/>
        <v>-2.2098180353794961E-2</v>
      </c>
      <c r="E1565">
        <f>_xlfn.XLOOKUP(A1565,VIX!A:A,VIX!B:B,"",-1)</f>
        <v>32.950000000000003</v>
      </c>
      <c r="F1565">
        <f t="shared" si="193"/>
        <v>3.3300000000000018</v>
      </c>
      <c r="G1565">
        <f>_xlfn.XLOOKUP(A1565,'DGS10'!A:A,'DGS10'!B:B,"",-1)</f>
        <v>3.28</v>
      </c>
      <c r="H1565">
        <f t="shared" si="194"/>
        <v>-5.0000000000000266E-2</v>
      </c>
      <c r="I1565" s="2">
        <f>_xlfn.XLOOKUP(A1565,T10Y3M!A:A,T10Y3M!B:B,"",-1)</f>
        <v>1.69</v>
      </c>
      <c r="J1565" s="2">
        <f>_xlfn.XLOOKUP(A1565,BAMLC0A4CBBB!A:A,BAMLC0A4CBBB!B:B,"",-1)</f>
        <v>1.85</v>
      </c>
      <c r="K1565" s="2">
        <f>_xlfn.XLOOKUP(A1565,CPIAUCSL!A:A,CPIAUCSL!B:B,"",-1)</f>
        <v>294.95699999999999</v>
      </c>
      <c r="L1565">
        <f>_xlfn.XLOOKUP(A1565,DFF!A:A,DFF!B:B,"",-1)</f>
        <v>1.58</v>
      </c>
      <c r="M1565">
        <f>_xlfn.XLOOKUP(A1565,'DGS2'!A:A,'DGS2'!B:B,"",-1)</f>
        <v>3.14</v>
      </c>
      <c r="N1565">
        <f t="shared" si="195"/>
        <v>-6.0000000000000053E-2</v>
      </c>
      <c r="O1565">
        <f t="shared" si="196"/>
        <v>2.2008470670371594E-3</v>
      </c>
      <c r="P1565">
        <f t="shared" si="197"/>
        <v>1</v>
      </c>
      <c r="Q1565">
        <f t="shared" si="198"/>
        <v>0</v>
      </c>
    </row>
    <row r="1566" spans="1:17">
      <c r="A1566" s="1">
        <v>44729</v>
      </c>
      <c r="B1566">
        <v>3674.84</v>
      </c>
      <c r="C1566">
        <f t="shared" si="192"/>
        <v>2.2008470670371594E-3</v>
      </c>
      <c r="D1566">
        <f t="shared" si="199"/>
        <v>-1.6233522867208472E-2</v>
      </c>
      <c r="E1566">
        <f>_xlfn.XLOOKUP(A1566,VIX!A:A,VIX!B:B,"",-1)</f>
        <v>31.13</v>
      </c>
      <c r="F1566">
        <f t="shared" si="193"/>
        <v>-1.8200000000000038</v>
      </c>
      <c r="G1566">
        <f>_xlfn.XLOOKUP(A1566,'DGS10'!A:A,'DGS10'!B:B,"",-1)</f>
        <v>3.25</v>
      </c>
      <c r="H1566">
        <f t="shared" si="194"/>
        <v>-2.9999999999999805E-2</v>
      </c>
      <c r="I1566" s="2">
        <f>_xlfn.XLOOKUP(A1566,T10Y3M!A:A,T10Y3M!B:B,"",-1)</f>
        <v>1.62</v>
      </c>
      <c r="J1566" s="2">
        <f>_xlfn.XLOOKUP(A1566,BAMLC0A4CBBB!A:A,BAMLC0A4CBBB!B:B,"",-1)</f>
        <v>1.86</v>
      </c>
      <c r="K1566" s="2">
        <f>_xlfn.XLOOKUP(A1566,CPIAUCSL!A:A,CPIAUCSL!B:B,"",-1)</f>
        <v>294.95699999999999</v>
      </c>
      <c r="L1566">
        <f>_xlfn.XLOOKUP(A1566,DFF!A:A,DFF!B:B,"",-1)</f>
        <v>1.58</v>
      </c>
      <c r="M1566">
        <f>_xlfn.XLOOKUP(A1566,'DGS2'!A:A,'DGS2'!B:B,"",-1)</f>
        <v>3.17</v>
      </c>
      <c r="N1566">
        <f t="shared" si="195"/>
        <v>2.9999999999999805E-2</v>
      </c>
      <c r="O1566">
        <f t="shared" si="196"/>
        <v>2.447725615264873E-2</v>
      </c>
      <c r="P1566">
        <f t="shared" si="197"/>
        <v>1</v>
      </c>
      <c r="Q1566">
        <f t="shared" si="198"/>
        <v>1</v>
      </c>
    </row>
    <row r="1567" spans="1:17">
      <c r="A1567" s="1">
        <v>44733</v>
      </c>
      <c r="B1567">
        <v>3764.79</v>
      </c>
      <c r="C1567">
        <f t="shared" si="192"/>
        <v>2.447725615264873E-2</v>
      </c>
      <c r="D1567">
        <f t="shared" si="199"/>
        <v>-6.6490940609341687E-3</v>
      </c>
      <c r="E1567">
        <f>_xlfn.XLOOKUP(A1567,VIX!A:A,VIX!B:B,"",-1)</f>
        <v>30.19</v>
      </c>
      <c r="F1567">
        <f t="shared" si="193"/>
        <v>-0.93999999999999773</v>
      </c>
      <c r="G1567">
        <f>_xlfn.XLOOKUP(A1567,'DGS10'!A:A,'DGS10'!B:B,"",-1)</f>
        <v>3.31</v>
      </c>
      <c r="H1567">
        <f t="shared" si="194"/>
        <v>6.0000000000000053E-2</v>
      </c>
      <c r="I1567" s="2">
        <f>_xlfn.XLOOKUP(A1567,T10Y3M!A:A,T10Y3M!B:B,"",-1)</f>
        <v>1.61</v>
      </c>
      <c r="J1567" s="2">
        <f>_xlfn.XLOOKUP(A1567,BAMLC0A4CBBB!A:A,BAMLC0A4CBBB!B:B,"",-1)</f>
        <v>1.85</v>
      </c>
      <c r="K1567" s="2">
        <f>_xlfn.XLOOKUP(A1567,CPIAUCSL!A:A,CPIAUCSL!B:B,"",-1)</f>
        <v>294.95699999999999</v>
      </c>
      <c r="L1567">
        <f>_xlfn.XLOOKUP(A1567,DFF!A:A,DFF!B:B,"",-1)</f>
        <v>1.58</v>
      </c>
      <c r="M1567">
        <f>_xlfn.XLOOKUP(A1567,'DGS2'!A:A,'DGS2'!B:B,"",-1)</f>
        <v>3.21</v>
      </c>
      <c r="N1567">
        <f t="shared" si="195"/>
        <v>4.0000000000000036E-2</v>
      </c>
      <c r="O1567">
        <f t="shared" si="196"/>
        <v>-1.3015334188627437E-3</v>
      </c>
      <c r="P1567">
        <f t="shared" si="197"/>
        <v>0</v>
      </c>
      <c r="Q1567">
        <f t="shared" si="198"/>
        <v>0</v>
      </c>
    </row>
    <row r="1568" spans="1:17">
      <c r="A1568" s="1">
        <v>44734</v>
      </c>
      <c r="B1568">
        <v>3759.89</v>
      </c>
      <c r="C1568">
        <f t="shared" si="192"/>
        <v>-1.3015334188627437E-3</v>
      </c>
      <c r="D1568">
        <f t="shared" si="199"/>
        <v>2.5395647940830823E-2</v>
      </c>
      <c r="E1568">
        <f>_xlfn.XLOOKUP(A1568,VIX!A:A,VIX!B:B,"",-1)</f>
        <v>28.95</v>
      </c>
      <c r="F1568">
        <f t="shared" si="193"/>
        <v>-1.240000000000002</v>
      </c>
      <c r="G1568">
        <f>_xlfn.XLOOKUP(A1568,'DGS10'!A:A,'DGS10'!B:B,"",-1)</f>
        <v>3.16</v>
      </c>
      <c r="H1568">
        <f t="shared" si="194"/>
        <v>-0.14999999999999991</v>
      </c>
      <c r="I1568" s="2">
        <f>_xlfn.XLOOKUP(A1568,T10Y3M!A:A,T10Y3M!B:B,"",-1)</f>
        <v>1.55</v>
      </c>
      <c r="J1568" s="2">
        <f>_xlfn.XLOOKUP(A1568,BAMLC0A4CBBB!A:A,BAMLC0A4CBBB!B:B,"",-1)</f>
        <v>1.91</v>
      </c>
      <c r="K1568" s="2">
        <f>_xlfn.XLOOKUP(A1568,CPIAUCSL!A:A,CPIAUCSL!B:B,"",-1)</f>
        <v>294.95699999999999</v>
      </c>
      <c r="L1568">
        <f>_xlfn.XLOOKUP(A1568,DFF!A:A,DFF!B:B,"",-1)</f>
        <v>1.58</v>
      </c>
      <c r="M1568">
        <f>_xlfn.XLOOKUP(A1568,'DGS2'!A:A,'DGS2'!B:B,"",-1)</f>
        <v>3.06</v>
      </c>
      <c r="N1568">
        <f t="shared" si="195"/>
        <v>-0.14999999999999991</v>
      </c>
      <c r="O1568">
        <f t="shared" si="196"/>
        <v>9.5321937609877949E-3</v>
      </c>
      <c r="P1568">
        <f t="shared" si="197"/>
        <v>1</v>
      </c>
      <c r="Q1568">
        <f t="shared" si="198"/>
        <v>1</v>
      </c>
    </row>
    <row r="1569" spans="1:17">
      <c r="A1569" s="1">
        <v>44735</v>
      </c>
      <c r="B1569">
        <v>3795.73</v>
      </c>
      <c r="C1569">
        <f t="shared" si="192"/>
        <v>9.5321937609877949E-3</v>
      </c>
      <c r="D1569">
        <f t="shared" si="199"/>
        <v>3.2896670331225231E-2</v>
      </c>
      <c r="E1569">
        <f>_xlfn.XLOOKUP(A1569,VIX!A:A,VIX!B:B,"",-1)</f>
        <v>29.05</v>
      </c>
      <c r="F1569">
        <f t="shared" si="193"/>
        <v>0.10000000000000142</v>
      </c>
      <c r="G1569">
        <f>_xlfn.XLOOKUP(A1569,'DGS10'!A:A,'DGS10'!B:B,"",-1)</f>
        <v>3.09</v>
      </c>
      <c r="H1569">
        <f t="shared" si="194"/>
        <v>-7.0000000000000284E-2</v>
      </c>
      <c r="I1569" s="2">
        <f>_xlfn.XLOOKUP(A1569,T10Y3M!A:A,T10Y3M!B:B,"",-1)</f>
        <v>1.44</v>
      </c>
      <c r="J1569" s="2">
        <f>_xlfn.XLOOKUP(A1569,BAMLC0A4CBBB!A:A,BAMLC0A4CBBB!B:B,"",-1)</f>
        <v>1.94</v>
      </c>
      <c r="K1569" s="2">
        <f>_xlfn.XLOOKUP(A1569,CPIAUCSL!A:A,CPIAUCSL!B:B,"",-1)</f>
        <v>294.95699999999999</v>
      </c>
      <c r="L1569">
        <f>_xlfn.XLOOKUP(A1569,DFF!A:A,DFF!B:B,"",-1)</f>
        <v>1.58</v>
      </c>
      <c r="M1569">
        <f>_xlfn.XLOOKUP(A1569,'DGS2'!A:A,'DGS2'!B:B,"",-1)</f>
        <v>3.01</v>
      </c>
      <c r="N1569">
        <f t="shared" si="195"/>
        <v>-5.0000000000000266E-2</v>
      </c>
      <c r="O1569">
        <f t="shared" si="196"/>
        <v>3.0563290855777359E-2</v>
      </c>
      <c r="P1569">
        <f t="shared" si="197"/>
        <v>1</v>
      </c>
      <c r="Q1569">
        <f t="shared" si="198"/>
        <v>1</v>
      </c>
    </row>
    <row r="1570" spans="1:17">
      <c r="A1570" s="1">
        <v>44736</v>
      </c>
      <c r="B1570">
        <v>3911.74</v>
      </c>
      <c r="C1570">
        <f t="shared" si="192"/>
        <v>3.0563290855777359E-2</v>
      </c>
      <c r="D1570">
        <f t="shared" si="199"/>
        <v>3.9032721612626498E-2</v>
      </c>
      <c r="E1570">
        <f>_xlfn.XLOOKUP(A1570,VIX!A:A,VIX!B:B,"",-1)</f>
        <v>27.23</v>
      </c>
      <c r="F1570">
        <f t="shared" si="193"/>
        <v>-1.8200000000000003</v>
      </c>
      <c r="G1570">
        <f>_xlfn.XLOOKUP(A1570,'DGS10'!A:A,'DGS10'!B:B,"",-1)</f>
        <v>3.13</v>
      </c>
      <c r="H1570">
        <f t="shared" si="194"/>
        <v>4.0000000000000036E-2</v>
      </c>
      <c r="I1570" s="2">
        <f>_xlfn.XLOOKUP(A1570,T10Y3M!A:A,T10Y3M!B:B,"",-1)</f>
        <v>1.4</v>
      </c>
      <c r="J1570" s="2">
        <f>_xlfn.XLOOKUP(A1570,BAMLC0A4CBBB!A:A,BAMLC0A4CBBB!B:B,"",-1)</f>
        <v>1.92</v>
      </c>
      <c r="K1570" s="2">
        <f>_xlfn.XLOOKUP(A1570,CPIAUCSL!A:A,CPIAUCSL!B:B,"",-1)</f>
        <v>294.95699999999999</v>
      </c>
      <c r="L1570">
        <f>_xlfn.XLOOKUP(A1570,DFF!A:A,DFF!B:B,"",-1)</f>
        <v>1.58</v>
      </c>
      <c r="M1570">
        <f>_xlfn.XLOOKUP(A1570,'DGS2'!A:A,'DGS2'!B:B,"",-1)</f>
        <v>3.04</v>
      </c>
      <c r="N1570">
        <f t="shared" si="195"/>
        <v>3.0000000000000249E-2</v>
      </c>
      <c r="O1570">
        <f t="shared" si="196"/>
        <v>-2.973101484249896E-3</v>
      </c>
      <c r="P1570">
        <f t="shared" si="197"/>
        <v>0</v>
      </c>
      <c r="Q1570">
        <f t="shared" si="198"/>
        <v>0</v>
      </c>
    </row>
    <row r="1571" spans="1:17">
      <c r="A1571" s="1">
        <v>44739</v>
      </c>
      <c r="B1571">
        <v>3900.11</v>
      </c>
      <c r="C1571">
        <f t="shared" si="192"/>
        <v>-2.973101484249896E-3</v>
      </c>
      <c r="D1571">
        <f t="shared" si="199"/>
        <v>3.7293644228953537E-2</v>
      </c>
      <c r="E1571">
        <f>_xlfn.XLOOKUP(A1571,VIX!A:A,VIX!B:B,"",-1)</f>
        <v>26.95</v>
      </c>
      <c r="F1571">
        <f t="shared" si="193"/>
        <v>-0.28000000000000114</v>
      </c>
      <c r="G1571">
        <f>_xlfn.XLOOKUP(A1571,'DGS10'!A:A,'DGS10'!B:B,"",-1)</f>
        <v>3.2</v>
      </c>
      <c r="H1571">
        <f t="shared" si="194"/>
        <v>7.0000000000000284E-2</v>
      </c>
      <c r="I1571" s="2">
        <f>_xlfn.XLOOKUP(A1571,T10Y3M!A:A,T10Y3M!B:B,"",-1)</f>
        <v>1.41</v>
      </c>
      <c r="J1571" s="2">
        <f>_xlfn.XLOOKUP(A1571,BAMLC0A4CBBB!A:A,BAMLC0A4CBBB!B:B,"",-1)</f>
        <v>1.91</v>
      </c>
      <c r="K1571" s="2">
        <f>_xlfn.XLOOKUP(A1571,CPIAUCSL!A:A,CPIAUCSL!B:B,"",-1)</f>
        <v>294.95699999999999</v>
      </c>
      <c r="L1571">
        <f>_xlfn.XLOOKUP(A1571,DFF!A:A,DFF!B:B,"",-1)</f>
        <v>1.58</v>
      </c>
      <c r="M1571">
        <f>_xlfn.XLOOKUP(A1571,'DGS2'!A:A,'DGS2'!B:B,"",-1)</f>
        <v>3.08</v>
      </c>
      <c r="N1571">
        <f t="shared" si="195"/>
        <v>4.0000000000000036E-2</v>
      </c>
      <c r="O1571">
        <f t="shared" si="196"/>
        <v>-2.0143021607082812E-2</v>
      </c>
      <c r="P1571">
        <f t="shared" si="197"/>
        <v>0</v>
      </c>
      <c r="Q1571">
        <f t="shared" si="198"/>
        <v>-1</v>
      </c>
    </row>
    <row r="1572" spans="1:17">
      <c r="A1572" s="1">
        <v>44740</v>
      </c>
      <c r="B1572">
        <v>3821.55</v>
      </c>
      <c r="C1572">
        <f t="shared" si="192"/>
        <v>-2.0143021607082812E-2</v>
      </c>
      <c r="D1572">
        <f t="shared" si="199"/>
        <v>6.8023805697454698E-3</v>
      </c>
      <c r="E1572">
        <f>_xlfn.XLOOKUP(A1572,VIX!A:A,VIX!B:B,"",-1)</f>
        <v>28.36</v>
      </c>
      <c r="F1572">
        <f t="shared" si="193"/>
        <v>1.4100000000000001</v>
      </c>
      <c r="G1572">
        <f>_xlfn.XLOOKUP(A1572,'DGS10'!A:A,'DGS10'!B:B,"",-1)</f>
        <v>3.2</v>
      </c>
      <c r="H1572">
        <f t="shared" si="194"/>
        <v>0</v>
      </c>
      <c r="I1572" s="2">
        <f>_xlfn.XLOOKUP(A1572,T10Y3M!A:A,T10Y3M!B:B,"",-1)</f>
        <v>1.41</v>
      </c>
      <c r="J1572" s="2">
        <f>_xlfn.XLOOKUP(A1572,BAMLC0A4CBBB!A:A,BAMLC0A4CBBB!B:B,"",-1)</f>
        <v>1.94</v>
      </c>
      <c r="K1572" s="2">
        <f>_xlfn.XLOOKUP(A1572,CPIAUCSL!A:A,CPIAUCSL!B:B,"",-1)</f>
        <v>294.95699999999999</v>
      </c>
      <c r="L1572">
        <f>_xlfn.XLOOKUP(A1572,DFF!A:A,DFF!B:B,"",-1)</f>
        <v>1.58</v>
      </c>
      <c r="M1572">
        <f>_xlfn.XLOOKUP(A1572,'DGS2'!A:A,'DGS2'!B:B,"",-1)</f>
        <v>3.1</v>
      </c>
      <c r="N1572">
        <f t="shared" si="195"/>
        <v>2.0000000000000018E-2</v>
      </c>
      <c r="O1572">
        <f t="shared" si="196"/>
        <v>-7.1175308448145902E-4</v>
      </c>
      <c r="P1572">
        <f t="shared" si="197"/>
        <v>0</v>
      </c>
      <c r="Q1572">
        <f t="shared" si="198"/>
        <v>0</v>
      </c>
    </row>
    <row r="1573" spans="1:17">
      <c r="A1573" s="1">
        <v>44741</v>
      </c>
      <c r="B1573">
        <v>3818.83</v>
      </c>
      <c r="C1573">
        <f t="shared" si="192"/>
        <v>-7.1175308448145902E-4</v>
      </c>
      <c r="D1573">
        <f t="shared" si="199"/>
        <v>-2.3751578581398536E-2</v>
      </c>
      <c r="E1573">
        <f>_xlfn.XLOOKUP(A1573,VIX!A:A,VIX!B:B,"",-1)</f>
        <v>28.16</v>
      </c>
      <c r="F1573">
        <f t="shared" si="193"/>
        <v>-0.19999999999999929</v>
      </c>
      <c r="G1573">
        <f>_xlfn.XLOOKUP(A1573,'DGS10'!A:A,'DGS10'!B:B,"",-1)</f>
        <v>3.1</v>
      </c>
      <c r="H1573">
        <f t="shared" si="194"/>
        <v>-0.10000000000000009</v>
      </c>
      <c r="I1573" s="2">
        <f>_xlfn.XLOOKUP(A1573,T10Y3M!A:A,T10Y3M!B:B,"",-1)</f>
        <v>1.32</v>
      </c>
      <c r="J1573" s="2">
        <f>_xlfn.XLOOKUP(A1573,BAMLC0A4CBBB!A:A,BAMLC0A4CBBB!B:B,"",-1)</f>
        <v>1.97</v>
      </c>
      <c r="K1573" s="2">
        <f>_xlfn.XLOOKUP(A1573,CPIAUCSL!A:A,CPIAUCSL!B:B,"",-1)</f>
        <v>294.95699999999999</v>
      </c>
      <c r="L1573">
        <f>_xlfn.XLOOKUP(A1573,DFF!A:A,DFF!B:B,"",-1)</f>
        <v>1.58</v>
      </c>
      <c r="M1573">
        <f>_xlfn.XLOOKUP(A1573,'DGS2'!A:A,'DGS2'!B:B,"",-1)</f>
        <v>3.06</v>
      </c>
      <c r="N1573">
        <f t="shared" si="195"/>
        <v>-4.0000000000000036E-2</v>
      </c>
      <c r="O1573">
        <f t="shared" si="196"/>
        <v>-8.7592273026031453E-3</v>
      </c>
      <c r="P1573">
        <f t="shared" si="197"/>
        <v>0</v>
      </c>
      <c r="Q1573">
        <f t="shared" si="198"/>
        <v>-1</v>
      </c>
    </row>
    <row r="1574" spans="1:17">
      <c r="A1574" s="1">
        <v>44742</v>
      </c>
      <c r="B1574">
        <v>3785.38</v>
      </c>
      <c r="C1574">
        <f t="shared" si="192"/>
        <v>-8.7592273026031453E-3</v>
      </c>
      <c r="D1574">
        <f t="shared" si="199"/>
        <v>-2.9417119004335746E-2</v>
      </c>
      <c r="E1574">
        <f>_xlfn.XLOOKUP(A1574,VIX!A:A,VIX!B:B,"",-1)</f>
        <v>28.71</v>
      </c>
      <c r="F1574">
        <f t="shared" si="193"/>
        <v>0.55000000000000071</v>
      </c>
      <c r="G1574">
        <f>_xlfn.XLOOKUP(A1574,'DGS10'!A:A,'DGS10'!B:B,"",-1)</f>
        <v>2.98</v>
      </c>
      <c r="H1574">
        <f t="shared" si="194"/>
        <v>-0.12000000000000011</v>
      </c>
      <c r="I1574" s="2">
        <f>_xlfn.XLOOKUP(A1574,T10Y3M!A:A,T10Y3M!B:B,"",-1)</f>
        <v>1.26</v>
      </c>
      <c r="J1574" s="2">
        <f>_xlfn.XLOOKUP(A1574,BAMLC0A4CBBB!A:A,BAMLC0A4CBBB!B:B,"",-1)</f>
        <v>2.04</v>
      </c>
      <c r="K1574" s="2">
        <f>_xlfn.XLOOKUP(A1574,CPIAUCSL!A:A,CPIAUCSL!B:B,"",-1)</f>
        <v>294.95699999999999</v>
      </c>
      <c r="L1574">
        <f>_xlfn.XLOOKUP(A1574,DFF!A:A,DFF!B:B,"",-1)</f>
        <v>1.58</v>
      </c>
      <c r="M1574">
        <f>_xlfn.XLOOKUP(A1574,'DGS2'!A:A,'DGS2'!B:B,"",-1)</f>
        <v>2.92</v>
      </c>
      <c r="N1574">
        <f t="shared" si="195"/>
        <v>-0.14000000000000012</v>
      </c>
      <c r="O1574">
        <f t="shared" si="196"/>
        <v>1.0553762105785847E-2</v>
      </c>
      <c r="P1574">
        <f t="shared" si="197"/>
        <v>1</v>
      </c>
      <c r="Q1574">
        <f t="shared" si="198"/>
        <v>1</v>
      </c>
    </row>
    <row r="1575" spans="1:17">
      <c r="A1575" s="1">
        <v>44743</v>
      </c>
      <c r="B1575">
        <v>3825.33</v>
      </c>
      <c r="C1575">
        <f t="shared" si="192"/>
        <v>1.0553762105785847E-2</v>
      </c>
      <c r="D1575">
        <f t="shared" si="199"/>
        <v>9.8912744828671961E-4</v>
      </c>
      <c r="E1575">
        <f>_xlfn.XLOOKUP(A1575,VIX!A:A,VIX!B:B,"",-1)</f>
        <v>26.7</v>
      </c>
      <c r="F1575">
        <f t="shared" si="193"/>
        <v>-2.0100000000000016</v>
      </c>
      <c r="G1575">
        <f>_xlfn.XLOOKUP(A1575,'DGS10'!A:A,'DGS10'!B:B,"",-1)</f>
        <v>2.88</v>
      </c>
      <c r="H1575">
        <f t="shared" si="194"/>
        <v>-0.10000000000000009</v>
      </c>
      <c r="I1575" s="2">
        <f>_xlfn.XLOOKUP(A1575,T10Y3M!A:A,T10Y3M!B:B,"",-1)</f>
        <v>1.1499999999999999</v>
      </c>
      <c r="J1575" s="2">
        <f>_xlfn.XLOOKUP(A1575,BAMLC0A4CBBB!A:A,BAMLC0A4CBBB!B:B,"",-1)</f>
        <v>2.0499999999999998</v>
      </c>
      <c r="K1575" s="2">
        <f>_xlfn.XLOOKUP(A1575,CPIAUCSL!A:A,CPIAUCSL!B:B,"",-1)</f>
        <v>294.91300000000001</v>
      </c>
      <c r="L1575">
        <f>_xlfn.XLOOKUP(A1575,DFF!A:A,DFF!B:B,"",-1)</f>
        <v>1.58</v>
      </c>
      <c r="M1575">
        <f>_xlfn.XLOOKUP(A1575,'DGS2'!A:A,'DGS2'!B:B,"",-1)</f>
        <v>2.84</v>
      </c>
      <c r="N1575">
        <f t="shared" si="195"/>
        <v>-8.0000000000000071E-2</v>
      </c>
      <c r="O1575">
        <f t="shared" si="196"/>
        <v>1.5841770513915776E-3</v>
      </c>
      <c r="P1575">
        <f t="shared" si="197"/>
        <v>1</v>
      </c>
      <c r="Q1575">
        <f t="shared" si="198"/>
        <v>0</v>
      </c>
    </row>
    <row r="1576" spans="1:17">
      <c r="A1576" s="1">
        <v>44747</v>
      </c>
      <c r="B1576">
        <v>3831.39</v>
      </c>
      <c r="C1576">
        <f t="shared" si="192"/>
        <v>1.5841770513915776E-3</v>
      </c>
      <c r="D1576">
        <f t="shared" si="199"/>
        <v>3.2889654684811198E-3</v>
      </c>
      <c r="E1576">
        <f>_xlfn.XLOOKUP(A1576,VIX!A:A,VIX!B:B,"",-1)</f>
        <v>27.54</v>
      </c>
      <c r="F1576">
        <f t="shared" si="193"/>
        <v>0.83999999999999986</v>
      </c>
      <c r="G1576">
        <f>_xlfn.XLOOKUP(A1576,'DGS10'!A:A,'DGS10'!B:B,"",-1)</f>
        <v>2.82</v>
      </c>
      <c r="H1576">
        <f t="shared" si="194"/>
        <v>-6.0000000000000053E-2</v>
      </c>
      <c r="I1576" s="2">
        <f>_xlfn.XLOOKUP(A1576,T10Y3M!A:A,T10Y3M!B:B,"",-1)</f>
        <v>0.92</v>
      </c>
      <c r="J1576" s="2">
        <f>_xlfn.XLOOKUP(A1576,BAMLC0A4CBBB!A:A,BAMLC0A4CBBB!B:B,"",-1)</f>
        <v>2.08</v>
      </c>
      <c r="K1576" s="2">
        <f>_xlfn.XLOOKUP(A1576,CPIAUCSL!A:A,CPIAUCSL!B:B,"",-1)</f>
        <v>294.91300000000001</v>
      </c>
      <c r="L1576">
        <f>_xlfn.XLOOKUP(A1576,DFF!A:A,DFF!B:B,"",-1)</f>
        <v>1.58</v>
      </c>
      <c r="M1576">
        <f>_xlfn.XLOOKUP(A1576,'DGS2'!A:A,'DGS2'!B:B,"",-1)</f>
        <v>2.82</v>
      </c>
      <c r="N1576">
        <f t="shared" si="195"/>
        <v>-2.0000000000000018E-2</v>
      </c>
      <c r="O1576">
        <f t="shared" si="196"/>
        <v>3.5731157621645693E-3</v>
      </c>
      <c r="P1576">
        <f t="shared" si="197"/>
        <v>1</v>
      </c>
      <c r="Q1576">
        <f t="shared" si="198"/>
        <v>1</v>
      </c>
    </row>
    <row r="1577" spans="1:17">
      <c r="A1577" s="1">
        <v>44748</v>
      </c>
      <c r="B1577">
        <v>3845.08</v>
      </c>
      <c r="C1577">
        <f t="shared" si="192"/>
        <v>3.5731157621645693E-3</v>
      </c>
      <c r="D1577">
        <f t="shared" si="199"/>
        <v>1.5771203947820167E-2</v>
      </c>
      <c r="E1577">
        <f>_xlfn.XLOOKUP(A1577,VIX!A:A,VIX!B:B,"",-1)</f>
        <v>26.73</v>
      </c>
      <c r="F1577">
        <f t="shared" si="193"/>
        <v>-0.80999999999999872</v>
      </c>
      <c r="G1577">
        <f>_xlfn.XLOOKUP(A1577,'DGS10'!A:A,'DGS10'!B:B,"",-1)</f>
        <v>2.93</v>
      </c>
      <c r="H1577">
        <f t="shared" si="194"/>
        <v>0.11000000000000032</v>
      </c>
      <c r="I1577" s="2">
        <f>_xlfn.XLOOKUP(A1577,T10Y3M!A:A,T10Y3M!B:B,"",-1)</f>
        <v>1.03</v>
      </c>
      <c r="J1577" s="2">
        <f>_xlfn.XLOOKUP(A1577,BAMLC0A4CBBB!A:A,BAMLC0A4CBBB!B:B,"",-1)</f>
        <v>2.06</v>
      </c>
      <c r="K1577" s="2">
        <f>_xlfn.XLOOKUP(A1577,CPIAUCSL!A:A,CPIAUCSL!B:B,"",-1)</f>
        <v>294.91300000000001</v>
      </c>
      <c r="L1577">
        <f>_xlfn.XLOOKUP(A1577,DFF!A:A,DFF!B:B,"",-1)</f>
        <v>1.58</v>
      </c>
      <c r="M1577">
        <f>_xlfn.XLOOKUP(A1577,'DGS2'!A:A,'DGS2'!B:B,"",-1)</f>
        <v>2.97</v>
      </c>
      <c r="N1577">
        <f t="shared" si="195"/>
        <v>0.15000000000000036</v>
      </c>
      <c r="O1577">
        <f t="shared" si="196"/>
        <v>1.4964578110208349E-2</v>
      </c>
      <c r="P1577">
        <f t="shared" si="197"/>
        <v>1</v>
      </c>
      <c r="Q1577">
        <f t="shared" si="198"/>
        <v>1</v>
      </c>
    </row>
    <row r="1578" spans="1:17">
      <c r="A1578" s="1">
        <v>44749</v>
      </c>
      <c r="B1578">
        <v>3902.62</v>
      </c>
      <c r="C1578">
        <f t="shared" si="192"/>
        <v>1.4964578110208349E-2</v>
      </c>
      <c r="D1578">
        <f t="shared" si="199"/>
        <v>2.0204792789118908E-2</v>
      </c>
      <c r="E1578">
        <f>_xlfn.XLOOKUP(A1578,VIX!A:A,VIX!B:B,"",-1)</f>
        <v>26.08</v>
      </c>
      <c r="F1578">
        <f t="shared" si="193"/>
        <v>-0.65000000000000213</v>
      </c>
      <c r="G1578">
        <f>_xlfn.XLOOKUP(A1578,'DGS10'!A:A,'DGS10'!B:B,"",-1)</f>
        <v>3.01</v>
      </c>
      <c r="H1578">
        <f t="shared" si="194"/>
        <v>7.9999999999999627E-2</v>
      </c>
      <c r="I1578" s="2">
        <f>_xlfn.XLOOKUP(A1578,T10Y3M!A:A,T10Y3M!B:B,"",-1)</f>
        <v>1.06</v>
      </c>
      <c r="J1578" s="2">
        <f>_xlfn.XLOOKUP(A1578,BAMLC0A4CBBB!A:A,BAMLC0A4CBBB!B:B,"",-1)</f>
        <v>2</v>
      </c>
      <c r="K1578" s="2">
        <f>_xlfn.XLOOKUP(A1578,CPIAUCSL!A:A,CPIAUCSL!B:B,"",-1)</f>
        <v>294.91300000000001</v>
      </c>
      <c r="L1578">
        <f>_xlfn.XLOOKUP(A1578,DFF!A:A,DFF!B:B,"",-1)</f>
        <v>1.58</v>
      </c>
      <c r="M1578">
        <f>_xlfn.XLOOKUP(A1578,'DGS2'!A:A,'DGS2'!B:B,"",-1)</f>
        <v>3.03</v>
      </c>
      <c r="N1578">
        <f t="shared" si="195"/>
        <v>5.9999999999999609E-2</v>
      </c>
      <c r="O1578">
        <f t="shared" si="196"/>
        <v>-8.3021149894169088E-4</v>
      </c>
      <c r="P1578">
        <f t="shared" si="197"/>
        <v>0</v>
      </c>
      <c r="Q1578">
        <f t="shared" si="198"/>
        <v>0</v>
      </c>
    </row>
    <row r="1579" spans="1:17">
      <c r="A1579" s="1">
        <v>44750</v>
      </c>
      <c r="B1579">
        <v>3899.38</v>
      </c>
      <c r="C1579">
        <f t="shared" si="192"/>
        <v>-8.3021149894169088E-4</v>
      </c>
      <c r="D1579">
        <f t="shared" si="199"/>
        <v>1.7745517945184419E-2</v>
      </c>
      <c r="E1579">
        <f>_xlfn.XLOOKUP(A1579,VIX!A:A,VIX!B:B,"",-1)</f>
        <v>24.64</v>
      </c>
      <c r="F1579">
        <f t="shared" si="193"/>
        <v>-1.4399999999999977</v>
      </c>
      <c r="G1579">
        <f>_xlfn.XLOOKUP(A1579,'DGS10'!A:A,'DGS10'!B:B,"",-1)</f>
        <v>3.09</v>
      </c>
      <c r="H1579">
        <f t="shared" si="194"/>
        <v>8.0000000000000071E-2</v>
      </c>
      <c r="I1579" s="2">
        <f>_xlfn.XLOOKUP(A1579,T10Y3M!A:A,T10Y3M!B:B,"",-1)</f>
        <v>1.1100000000000001</v>
      </c>
      <c r="J1579" s="2">
        <f>_xlfn.XLOOKUP(A1579,BAMLC0A4CBBB!A:A,BAMLC0A4CBBB!B:B,"",-1)</f>
        <v>1.97</v>
      </c>
      <c r="K1579" s="2">
        <f>_xlfn.XLOOKUP(A1579,CPIAUCSL!A:A,CPIAUCSL!B:B,"",-1)</f>
        <v>294.91300000000001</v>
      </c>
      <c r="L1579">
        <f>_xlfn.XLOOKUP(A1579,DFF!A:A,DFF!B:B,"",-1)</f>
        <v>1.58</v>
      </c>
      <c r="M1579">
        <f>_xlfn.XLOOKUP(A1579,'DGS2'!A:A,'DGS2'!B:B,"",-1)</f>
        <v>3.12</v>
      </c>
      <c r="N1579">
        <f t="shared" si="195"/>
        <v>9.0000000000000302E-2</v>
      </c>
      <c r="O1579">
        <f t="shared" si="196"/>
        <v>-1.1527473598367033E-2</v>
      </c>
      <c r="P1579">
        <f t="shared" si="197"/>
        <v>0</v>
      </c>
      <c r="Q1579">
        <f t="shared" si="198"/>
        <v>-1</v>
      </c>
    </row>
    <row r="1580" spans="1:17">
      <c r="A1580" s="1">
        <v>44753</v>
      </c>
      <c r="B1580">
        <v>3854.43</v>
      </c>
      <c r="C1580">
        <f t="shared" si="192"/>
        <v>-1.1527473598367033E-2</v>
      </c>
      <c r="D1580">
        <f t="shared" si="199"/>
        <v>2.4316789247558201E-3</v>
      </c>
      <c r="E1580">
        <f>_xlfn.XLOOKUP(A1580,VIX!A:A,VIX!B:B,"",-1)</f>
        <v>26.17</v>
      </c>
      <c r="F1580">
        <f t="shared" si="193"/>
        <v>1.5300000000000011</v>
      </c>
      <c r="G1580">
        <f>_xlfn.XLOOKUP(A1580,'DGS10'!A:A,'DGS10'!B:B,"",-1)</f>
        <v>2.99</v>
      </c>
      <c r="H1580">
        <f t="shared" si="194"/>
        <v>-9.9999999999999645E-2</v>
      </c>
      <c r="I1580" s="2">
        <f>_xlfn.XLOOKUP(A1580,T10Y3M!A:A,T10Y3M!B:B,"",-1)</f>
        <v>0.81</v>
      </c>
      <c r="J1580" s="2">
        <f>_xlfn.XLOOKUP(A1580,BAMLC0A4CBBB!A:A,BAMLC0A4CBBB!B:B,"",-1)</f>
        <v>1.99</v>
      </c>
      <c r="K1580" s="2">
        <f>_xlfn.XLOOKUP(A1580,CPIAUCSL!A:A,CPIAUCSL!B:B,"",-1)</f>
        <v>294.91300000000001</v>
      </c>
      <c r="L1580">
        <f>_xlfn.XLOOKUP(A1580,DFF!A:A,DFF!B:B,"",-1)</f>
        <v>1.58</v>
      </c>
      <c r="M1580">
        <f>_xlfn.XLOOKUP(A1580,'DGS2'!A:A,'DGS2'!B:B,"",-1)</f>
        <v>3.07</v>
      </c>
      <c r="N1580">
        <f t="shared" si="195"/>
        <v>-5.0000000000000266E-2</v>
      </c>
      <c r="O1580">
        <f t="shared" si="196"/>
        <v>-9.2439089567069033E-3</v>
      </c>
      <c r="P1580">
        <f t="shared" si="197"/>
        <v>0</v>
      </c>
      <c r="Q1580">
        <f t="shared" si="198"/>
        <v>-1</v>
      </c>
    </row>
    <row r="1581" spans="1:17">
      <c r="A1581" s="1">
        <v>44754</v>
      </c>
      <c r="B1581">
        <v>3818.8</v>
      </c>
      <c r="C1581">
        <f t="shared" si="192"/>
        <v>-9.2439089567069033E-3</v>
      </c>
      <c r="D1581">
        <f t="shared" si="199"/>
        <v>-2.1477878963362951E-2</v>
      </c>
      <c r="E1581">
        <f>_xlfn.XLOOKUP(A1581,VIX!A:A,VIX!B:B,"",-1)</f>
        <v>27.29</v>
      </c>
      <c r="F1581">
        <f t="shared" si="193"/>
        <v>1.1199999999999974</v>
      </c>
      <c r="G1581">
        <f>_xlfn.XLOOKUP(A1581,'DGS10'!A:A,'DGS10'!B:B,"",-1)</f>
        <v>2.96</v>
      </c>
      <c r="H1581">
        <f t="shared" si="194"/>
        <v>-3.0000000000000249E-2</v>
      </c>
      <c r="I1581" s="2">
        <f>_xlfn.XLOOKUP(A1581,T10Y3M!A:A,T10Y3M!B:B,"",-1)</f>
        <v>0.74</v>
      </c>
      <c r="J1581" s="2">
        <f>_xlfn.XLOOKUP(A1581,BAMLC0A4CBBB!A:A,BAMLC0A4CBBB!B:B,"",-1)</f>
        <v>1.99</v>
      </c>
      <c r="K1581" s="2">
        <f>_xlfn.XLOOKUP(A1581,CPIAUCSL!A:A,CPIAUCSL!B:B,"",-1)</f>
        <v>294.91300000000001</v>
      </c>
      <c r="L1581">
        <f>_xlfn.XLOOKUP(A1581,DFF!A:A,DFF!B:B,"",-1)</f>
        <v>1.58</v>
      </c>
      <c r="M1581">
        <f>_xlfn.XLOOKUP(A1581,'DGS2'!A:A,'DGS2'!B:B,"",-1)</f>
        <v>3.03</v>
      </c>
      <c r="N1581">
        <f t="shared" si="195"/>
        <v>-4.0000000000000036E-2</v>
      </c>
      <c r="O1581">
        <f t="shared" si="196"/>
        <v>-4.4568974546977946E-3</v>
      </c>
      <c r="P1581">
        <f t="shared" si="197"/>
        <v>0</v>
      </c>
      <c r="Q1581">
        <f t="shared" si="198"/>
        <v>-1</v>
      </c>
    </row>
    <row r="1582" spans="1:17">
      <c r="A1582" s="1">
        <v>44755</v>
      </c>
      <c r="B1582">
        <v>3801.78</v>
      </c>
      <c r="C1582">
        <f t="shared" si="192"/>
        <v>-4.4568974546977946E-3</v>
      </c>
      <c r="D1582">
        <f t="shared" si="199"/>
        <v>-2.5029620093450777E-2</v>
      </c>
      <c r="E1582">
        <f>_xlfn.XLOOKUP(A1582,VIX!A:A,VIX!B:B,"",-1)</f>
        <v>26.82</v>
      </c>
      <c r="F1582">
        <f t="shared" si="193"/>
        <v>-0.46999999999999886</v>
      </c>
      <c r="G1582">
        <f>_xlfn.XLOOKUP(A1582,'DGS10'!A:A,'DGS10'!B:B,"",-1)</f>
        <v>2.91</v>
      </c>
      <c r="H1582">
        <f t="shared" si="194"/>
        <v>-4.9999999999999822E-2</v>
      </c>
      <c r="I1582" s="2">
        <f>_xlfn.XLOOKUP(A1582,T10Y3M!A:A,T10Y3M!B:B,"",-1)</f>
        <v>0.52</v>
      </c>
      <c r="J1582" s="2">
        <f>_xlfn.XLOOKUP(A1582,BAMLC0A4CBBB!A:A,BAMLC0A4CBBB!B:B,"",-1)</f>
        <v>2</v>
      </c>
      <c r="K1582" s="2">
        <f>_xlfn.XLOOKUP(A1582,CPIAUCSL!A:A,CPIAUCSL!B:B,"",-1)</f>
        <v>294.91300000000001</v>
      </c>
      <c r="L1582">
        <f>_xlfn.XLOOKUP(A1582,DFF!A:A,DFF!B:B,"",-1)</f>
        <v>1.58</v>
      </c>
      <c r="M1582">
        <f>_xlfn.XLOOKUP(A1582,'DGS2'!A:A,'DGS2'!B:B,"",-1)</f>
        <v>3.13</v>
      </c>
      <c r="N1582">
        <f t="shared" si="195"/>
        <v>0.10000000000000009</v>
      </c>
      <c r="O1582">
        <f t="shared" si="196"/>
        <v>-2.99859539478875E-3</v>
      </c>
      <c r="P1582">
        <f t="shared" si="197"/>
        <v>0</v>
      </c>
      <c r="Q1582">
        <f t="shared" si="198"/>
        <v>0</v>
      </c>
    </row>
    <row r="1583" spans="1:17">
      <c r="A1583" s="1">
        <v>44756</v>
      </c>
      <c r="B1583">
        <v>3790.38</v>
      </c>
      <c r="C1583">
        <f t="shared" si="192"/>
        <v>-2.99859539478875E-3</v>
      </c>
      <c r="D1583">
        <f t="shared" si="199"/>
        <v>-1.6617243016477046E-2</v>
      </c>
      <c r="E1583">
        <f>_xlfn.XLOOKUP(A1583,VIX!A:A,VIX!B:B,"",-1)</f>
        <v>26.4</v>
      </c>
      <c r="F1583">
        <f t="shared" si="193"/>
        <v>-0.42000000000000171</v>
      </c>
      <c r="G1583">
        <f>_xlfn.XLOOKUP(A1583,'DGS10'!A:A,'DGS10'!B:B,"",-1)</f>
        <v>2.96</v>
      </c>
      <c r="H1583">
        <f t="shared" si="194"/>
        <v>4.9999999999999822E-2</v>
      </c>
      <c r="I1583" s="2">
        <f>_xlfn.XLOOKUP(A1583,T10Y3M!A:A,T10Y3M!B:B,"",-1)</f>
        <v>0.56000000000000005</v>
      </c>
      <c r="J1583" s="2">
        <f>_xlfn.XLOOKUP(A1583,BAMLC0A4CBBB!A:A,BAMLC0A4CBBB!B:B,"",-1)</f>
        <v>2.0099999999999998</v>
      </c>
      <c r="K1583" s="2">
        <f>_xlfn.XLOOKUP(A1583,CPIAUCSL!A:A,CPIAUCSL!B:B,"",-1)</f>
        <v>294.91300000000001</v>
      </c>
      <c r="L1583">
        <f>_xlfn.XLOOKUP(A1583,DFF!A:A,DFF!B:B,"",-1)</f>
        <v>1.58</v>
      </c>
      <c r="M1583">
        <f>_xlfn.XLOOKUP(A1583,'DGS2'!A:A,'DGS2'!B:B,"",-1)</f>
        <v>3.15</v>
      </c>
      <c r="N1583">
        <f t="shared" si="195"/>
        <v>2.0000000000000018E-2</v>
      </c>
      <c r="O1583">
        <f t="shared" si="196"/>
        <v>1.9201241036518768E-2</v>
      </c>
      <c r="P1583">
        <f t="shared" si="197"/>
        <v>1</v>
      </c>
      <c r="Q1583">
        <f t="shared" si="198"/>
        <v>1</v>
      </c>
    </row>
    <row r="1584" spans="1:17">
      <c r="A1584" s="1">
        <v>44757</v>
      </c>
      <c r="B1584">
        <v>3863.16</v>
      </c>
      <c r="C1584">
        <f t="shared" si="192"/>
        <v>1.9201241036518768E-2</v>
      </c>
      <c r="D1584">
        <f t="shared" si="199"/>
        <v>1.1616214517649492E-2</v>
      </c>
      <c r="E1584">
        <f>_xlfn.XLOOKUP(A1584,VIX!A:A,VIX!B:B,"",-1)</f>
        <v>24.23</v>
      </c>
      <c r="F1584">
        <f t="shared" si="193"/>
        <v>-2.1699999999999982</v>
      </c>
      <c r="G1584">
        <f>_xlfn.XLOOKUP(A1584,'DGS10'!A:A,'DGS10'!B:B,"",-1)</f>
        <v>2.93</v>
      </c>
      <c r="H1584">
        <f t="shared" si="194"/>
        <v>-2.9999999999999805E-2</v>
      </c>
      <c r="I1584" s="2">
        <f>_xlfn.XLOOKUP(A1584,T10Y3M!A:A,T10Y3M!B:B,"",-1)</f>
        <v>0.56000000000000005</v>
      </c>
      <c r="J1584" s="2">
        <f>_xlfn.XLOOKUP(A1584,BAMLC0A4CBBB!A:A,BAMLC0A4CBBB!B:B,"",-1)</f>
        <v>1.99</v>
      </c>
      <c r="K1584" s="2">
        <f>_xlfn.XLOOKUP(A1584,CPIAUCSL!A:A,CPIAUCSL!B:B,"",-1)</f>
        <v>294.91300000000001</v>
      </c>
      <c r="L1584">
        <f>_xlfn.XLOOKUP(A1584,DFF!A:A,DFF!B:B,"",-1)</f>
        <v>1.58</v>
      </c>
      <c r="M1584">
        <f>_xlfn.XLOOKUP(A1584,'DGS2'!A:A,'DGS2'!B:B,"",-1)</f>
        <v>3.13</v>
      </c>
      <c r="N1584">
        <f t="shared" si="195"/>
        <v>-2.0000000000000018E-2</v>
      </c>
      <c r="O1584">
        <f t="shared" si="196"/>
        <v>-8.3636194203708936E-3</v>
      </c>
      <c r="P1584">
        <f t="shared" si="197"/>
        <v>0</v>
      </c>
      <c r="Q1584">
        <f t="shared" si="198"/>
        <v>-1</v>
      </c>
    </row>
    <row r="1585" spans="1:17">
      <c r="A1585" s="1">
        <v>44760</v>
      </c>
      <c r="B1585">
        <v>3830.85</v>
      </c>
      <c r="C1585">
        <f t="shared" si="192"/>
        <v>-8.3636194203708936E-3</v>
      </c>
      <c r="D1585">
        <f t="shared" si="199"/>
        <v>7.646418256711307E-3</v>
      </c>
      <c r="E1585">
        <f>_xlfn.XLOOKUP(A1585,VIX!A:A,VIX!B:B,"",-1)</f>
        <v>25.3</v>
      </c>
      <c r="F1585">
        <f t="shared" si="193"/>
        <v>1.0700000000000003</v>
      </c>
      <c r="G1585">
        <f>_xlfn.XLOOKUP(A1585,'DGS10'!A:A,'DGS10'!B:B,"",-1)</f>
        <v>2.96</v>
      </c>
      <c r="H1585">
        <f t="shared" si="194"/>
        <v>2.9999999999999805E-2</v>
      </c>
      <c r="I1585" s="2">
        <f>_xlfn.XLOOKUP(A1585,T10Y3M!A:A,T10Y3M!B:B,"",-1)</f>
        <v>0.46</v>
      </c>
      <c r="J1585" s="2">
        <f>_xlfn.XLOOKUP(A1585,BAMLC0A4CBBB!A:A,BAMLC0A4CBBB!B:B,"",-1)</f>
        <v>1.96</v>
      </c>
      <c r="K1585" s="2">
        <f>_xlfn.XLOOKUP(A1585,CPIAUCSL!A:A,CPIAUCSL!B:B,"",-1)</f>
        <v>294.91300000000001</v>
      </c>
      <c r="L1585">
        <f>_xlfn.XLOOKUP(A1585,DFF!A:A,DFF!B:B,"",-1)</f>
        <v>1.58</v>
      </c>
      <c r="M1585">
        <f>_xlfn.XLOOKUP(A1585,'DGS2'!A:A,'DGS2'!B:B,"",-1)</f>
        <v>3.15</v>
      </c>
      <c r="N1585">
        <f t="shared" si="195"/>
        <v>2.0000000000000018E-2</v>
      </c>
      <c r="O1585">
        <f t="shared" si="196"/>
        <v>2.7628333137554417E-2</v>
      </c>
      <c r="P1585">
        <f t="shared" si="197"/>
        <v>1</v>
      </c>
      <c r="Q1585">
        <f t="shared" si="198"/>
        <v>1</v>
      </c>
    </row>
    <row r="1586" spans="1:17">
      <c r="A1586" s="1">
        <v>44761</v>
      </c>
      <c r="B1586">
        <v>3936.69</v>
      </c>
      <c r="C1586">
        <f t="shared" si="192"/>
        <v>2.7628333137554417E-2</v>
      </c>
      <c r="D1586">
        <f t="shared" si="199"/>
        <v>3.8600351415952971E-2</v>
      </c>
      <c r="E1586">
        <f>_xlfn.XLOOKUP(A1586,VIX!A:A,VIX!B:B,"",-1)</f>
        <v>24.5</v>
      </c>
      <c r="F1586">
        <f t="shared" si="193"/>
        <v>-0.80000000000000071</v>
      </c>
      <c r="G1586">
        <f>_xlfn.XLOOKUP(A1586,'DGS10'!A:A,'DGS10'!B:B,"",-1)</f>
        <v>3.01</v>
      </c>
      <c r="H1586">
        <f t="shared" si="194"/>
        <v>4.9999999999999822E-2</v>
      </c>
      <c r="I1586" s="2">
        <f>_xlfn.XLOOKUP(A1586,T10Y3M!A:A,T10Y3M!B:B,"",-1)</f>
        <v>0.49</v>
      </c>
      <c r="J1586" s="2">
        <f>_xlfn.XLOOKUP(A1586,BAMLC0A4CBBB!A:A,BAMLC0A4CBBB!B:B,"",-1)</f>
        <v>1.94</v>
      </c>
      <c r="K1586" s="2">
        <f>_xlfn.XLOOKUP(A1586,CPIAUCSL!A:A,CPIAUCSL!B:B,"",-1)</f>
        <v>294.91300000000001</v>
      </c>
      <c r="L1586">
        <f>_xlfn.XLOOKUP(A1586,DFF!A:A,DFF!B:B,"",-1)</f>
        <v>1.58</v>
      </c>
      <c r="M1586">
        <f>_xlfn.XLOOKUP(A1586,'DGS2'!A:A,'DGS2'!B:B,"",-1)</f>
        <v>3.23</v>
      </c>
      <c r="N1586">
        <f t="shared" si="195"/>
        <v>8.0000000000000071E-2</v>
      </c>
      <c r="O1586">
        <f t="shared" si="196"/>
        <v>5.8958160281861183E-3</v>
      </c>
      <c r="P1586">
        <f t="shared" si="197"/>
        <v>1</v>
      </c>
      <c r="Q1586">
        <f t="shared" si="198"/>
        <v>1</v>
      </c>
    </row>
    <row r="1587" spans="1:17">
      <c r="A1587" s="1">
        <v>44762</v>
      </c>
      <c r="B1587">
        <v>3959.9</v>
      </c>
      <c r="C1587">
        <f t="shared" si="192"/>
        <v>5.8958160281861183E-3</v>
      </c>
      <c r="D1587">
        <f t="shared" si="199"/>
        <v>2.5041675726607204E-2</v>
      </c>
      <c r="E1587">
        <f>_xlfn.XLOOKUP(A1587,VIX!A:A,VIX!B:B,"",-1)</f>
        <v>23.88</v>
      </c>
      <c r="F1587">
        <f t="shared" si="193"/>
        <v>-0.62000000000000099</v>
      </c>
      <c r="G1587">
        <f>_xlfn.XLOOKUP(A1587,'DGS10'!A:A,'DGS10'!B:B,"",-1)</f>
        <v>3.04</v>
      </c>
      <c r="H1587">
        <f t="shared" si="194"/>
        <v>3.0000000000000249E-2</v>
      </c>
      <c r="I1587" s="2">
        <f>_xlfn.XLOOKUP(A1587,T10Y3M!A:A,T10Y3M!B:B,"",-1)</f>
        <v>0.53</v>
      </c>
      <c r="J1587" s="2">
        <f>_xlfn.XLOOKUP(A1587,BAMLC0A4CBBB!A:A,BAMLC0A4CBBB!B:B,"",-1)</f>
        <v>1.92</v>
      </c>
      <c r="K1587" s="2">
        <f>_xlfn.XLOOKUP(A1587,CPIAUCSL!A:A,CPIAUCSL!B:B,"",-1)</f>
        <v>294.91300000000001</v>
      </c>
      <c r="L1587">
        <f>_xlfn.XLOOKUP(A1587,DFF!A:A,DFF!B:B,"",-1)</f>
        <v>1.58</v>
      </c>
      <c r="M1587">
        <f>_xlfn.XLOOKUP(A1587,'DGS2'!A:A,'DGS2'!B:B,"",-1)</f>
        <v>3.25</v>
      </c>
      <c r="N1587">
        <f t="shared" si="195"/>
        <v>2.0000000000000018E-2</v>
      </c>
      <c r="O1587">
        <f t="shared" si="196"/>
        <v>9.8613601353569891E-3</v>
      </c>
      <c r="P1587">
        <f t="shared" si="197"/>
        <v>1</v>
      </c>
      <c r="Q1587">
        <f t="shared" si="198"/>
        <v>1</v>
      </c>
    </row>
    <row r="1588" spans="1:17">
      <c r="A1588" s="1">
        <v>44763</v>
      </c>
      <c r="B1588">
        <v>3998.95</v>
      </c>
      <c r="C1588">
        <f t="shared" si="192"/>
        <v>9.8613601353569891E-3</v>
      </c>
      <c r="D1588">
        <f t="shared" si="199"/>
        <v>4.3880600911024858E-2</v>
      </c>
      <c r="E1588">
        <f>_xlfn.XLOOKUP(A1588,VIX!A:A,VIX!B:B,"",-1)</f>
        <v>23.11</v>
      </c>
      <c r="F1588">
        <f t="shared" si="193"/>
        <v>-0.76999999999999957</v>
      </c>
      <c r="G1588">
        <f>_xlfn.XLOOKUP(A1588,'DGS10'!A:A,'DGS10'!B:B,"",-1)</f>
        <v>2.91</v>
      </c>
      <c r="H1588">
        <f t="shared" si="194"/>
        <v>-0.12999999999999989</v>
      </c>
      <c r="I1588" s="2">
        <f>_xlfn.XLOOKUP(A1588,T10Y3M!A:A,T10Y3M!B:B,"",-1)</f>
        <v>0.43</v>
      </c>
      <c r="J1588" s="2">
        <f>_xlfn.XLOOKUP(A1588,BAMLC0A4CBBB!A:A,BAMLC0A4CBBB!B:B,"",-1)</f>
        <v>1.92</v>
      </c>
      <c r="K1588" s="2">
        <f>_xlfn.XLOOKUP(A1588,CPIAUCSL!A:A,CPIAUCSL!B:B,"",-1)</f>
        <v>294.91300000000001</v>
      </c>
      <c r="L1588">
        <f>_xlfn.XLOOKUP(A1588,DFF!A:A,DFF!B:B,"",-1)</f>
        <v>1.58</v>
      </c>
      <c r="M1588">
        <f>_xlfn.XLOOKUP(A1588,'DGS2'!A:A,'DGS2'!B:B,"",-1)</f>
        <v>3.1</v>
      </c>
      <c r="N1588">
        <f t="shared" si="195"/>
        <v>-0.14999999999999991</v>
      </c>
      <c r="O1588">
        <f t="shared" si="196"/>
        <v>-9.3324497680640217E-3</v>
      </c>
      <c r="P1588">
        <f t="shared" si="197"/>
        <v>0</v>
      </c>
      <c r="Q1588">
        <f t="shared" si="198"/>
        <v>-1</v>
      </c>
    </row>
    <row r="1589" spans="1:17">
      <c r="A1589" s="1">
        <v>44764</v>
      </c>
      <c r="B1589">
        <v>3961.63</v>
      </c>
      <c r="C1589">
        <f t="shared" si="192"/>
        <v>-9.3324497680640217E-3</v>
      </c>
      <c r="D1589">
        <f t="shared" si="199"/>
        <v>6.3352715098217161E-3</v>
      </c>
      <c r="E1589">
        <f>_xlfn.XLOOKUP(A1589,VIX!A:A,VIX!B:B,"",-1)</f>
        <v>23.03</v>
      </c>
      <c r="F1589">
        <f t="shared" si="193"/>
        <v>-7.9999999999998295E-2</v>
      </c>
      <c r="G1589">
        <f>_xlfn.XLOOKUP(A1589,'DGS10'!A:A,'DGS10'!B:B,"",-1)</f>
        <v>2.77</v>
      </c>
      <c r="H1589">
        <f t="shared" si="194"/>
        <v>-0.14000000000000012</v>
      </c>
      <c r="I1589" s="2">
        <f>_xlfn.XLOOKUP(A1589,T10Y3M!A:A,T10Y3M!B:B,"",-1)</f>
        <v>0.28000000000000003</v>
      </c>
      <c r="J1589" s="2">
        <f>_xlfn.XLOOKUP(A1589,BAMLC0A4CBBB!A:A,BAMLC0A4CBBB!B:B,"",-1)</f>
        <v>1.92</v>
      </c>
      <c r="K1589" s="2">
        <f>_xlfn.XLOOKUP(A1589,CPIAUCSL!A:A,CPIAUCSL!B:B,"",-1)</f>
        <v>294.91300000000001</v>
      </c>
      <c r="L1589">
        <f>_xlfn.XLOOKUP(A1589,DFF!A:A,DFF!B:B,"",-1)</f>
        <v>1.58</v>
      </c>
      <c r="M1589">
        <f>_xlfn.XLOOKUP(A1589,'DGS2'!A:A,'DGS2'!B:B,"",-1)</f>
        <v>2.98</v>
      </c>
      <c r="N1589">
        <f t="shared" si="195"/>
        <v>-0.12000000000000011</v>
      </c>
      <c r="O1589">
        <f t="shared" si="196"/>
        <v>1.3151152429682345E-3</v>
      </c>
      <c r="P1589">
        <f t="shared" si="197"/>
        <v>1</v>
      </c>
      <c r="Q1589">
        <f t="shared" si="198"/>
        <v>0</v>
      </c>
    </row>
    <row r="1590" spans="1:17">
      <c r="A1590" s="1">
        <v>44767</v>
      </c>
      <c r="B1590">
        <v>3966.84</v>
      </c>
      <c r="C1590">
        <f t="shared" si="192"/>
        <v>1.3151152429682345E-3</v>
      </c>
      <c r="D1590">
        <f t="shared" si="199"/>
        <v>1.7525695093310034E-3</v>
      </c>
      <c r="E1590">
        <f>_xlfn.XLOOKUP(A1590,VIX!A:A,VIX!B:B,"",-1)</f>
        <v>23.36</v>
      </c>
      <c r="F1590">
        <f t="shared" si="193"/>
        <v>0.32999999999999829</v>
      </c>
      <c r="G1590">
        <f>_xlfn.XLOOKUP(A1590,'DGS10'!A:A,'DGS10'!B:B,"",-1)</f>
        <v>2.81</v>
      </c>
      <c r="H1590">
        <f t="shared" si="194"/>
        <v>4.0000000000000036E-2</v>
      </c>
      <c r="I1590" s="2">
        <f>_xlfn.XLOOKUP(A1590,T10Y3M!A:A,T10Y3M!B:B,"",-1)</f>
        <v>0.19</v>
      </c>
      <c r="J1590" s="2">
        <f>_xlfn.XLOOKUP(A1590,BAMLC0A4CBBB!A:A,BAMLC0A4CBBB!B:B,"",-1)</f>
        <v>1.94</v>
      </c>
      <c r="K1590" s="2">
        <f>_xlfn.XLOOKUP(A1590,CPIAUCSL!A:A,CPIAUCSL!B:B,"",-1)</f>
        <v>294.91300000000001</v>
      </c>
      <c r="L1590">
        <f>_xlfn.XLOOKUP(A1590,DFF!A:A,DFF!B:B,"",-1)</f>
        <v>1.58</v>
      </c>
      <c r="M1590">
        <f>_xlfn.XLOOKUP(A1590,'DGS2'!A:A,'DGS2'!B:B,"",-1)</f>
        <v>3</v>
      </c>
      <c r="N1590">
        <f t="shared" si="195"/>
        <v>2.0000000000000018E-2</v>
      </c>
      <c r="O1590">
        <f t="shared" si="196"/>
        <v>-1.1543193070554847E-2</v>
      </c>
      <c r="P1590">
        <f t="shared" si="197"/>
        <v>0</v>
      </c>
      <c r="Q1590">
        <f t="shared" si="198"/>
        <v>-1</v>
      </c>
    </row>
    <row r="1591" spans="1:17">
      <c r="A1591" s="1">
        <v>44768</v>
      </c>
      <c r="B1591">
        <v>3921.05</v>
      </c>
      <c r="C1591">
        <f t="shared" si="192"/>
        <v>-1.1543193070554847E-2</v>
      </c>
      <c r="D1591">
        <f t="shared" si="199"/>
        <v>-1.9480113529801502E-2</v>
      </c>
      <c r="E1591">
        <f>_xlfn.XLOOKUP(A1591,VIX!A:A,VIX!B:B,"",-1)</f>
        <v>24.69</v>
      </c>
      <c r="F1591">
        <f t="shared" si="193"/>
        <v>1.3300000000000018</v>
      </c>
      <c r="G1591">
        <f>_xlfn.XLOOKUP(A1591,'DGS10'!A:A,'DGS10'!B:B,"",-1)</f>
        <v>2.81</v>
      </c>
      <c r="H1591">
        <f t="shared" si="194"/>
        <v>0</v>
      </c>
      <c r="I1591" s="2">
        <f>_xlfn.XLOOKUP(A1591,T10Y3M!A:A,T10Y3M!B:B,"",-1)</f>
        <v>0.26</v>
      </c>
      <c r="J1591" s="2">
        <f>_xlfn.XLOOKUP(A1591,BAMLC0A4CBBB!A:A,BAMLC0A4CBBB!B:B,"",-1)</f>
        <v>1.96</v>
      </c>
      <c r="K1591" s="2">
        <f>_xlfn.XLOOKUP(A1591,CPIAUCSL!A:A,CPIAUCSL!B:B,"",-1)</f>
        <v>294.91300000000001</v>
      </c>
      <c r="L1591">
        <f>_xlfn.XLOOKUP(A1591,DFF!A:A,DFF!B:B,"",-1)</f>
        <v>1.58</v>
      </c>
      <c r="M1591">
        <f>_xlfn.XLOOKUP(A1591,'DGS2'!A:A,'DGS2'!B:B,"",-1)</f>
        <v>3.02</v>
      </c>
      <c r="N1591">
        <f t="shared" si="195"/>
        <v>2.0000000000000018E-2</v>
      </c>
      <c r="O1591">
        <f t="shared" si="196"/>
        <v>2.6156259165274642E-2</v>
      </c>
      <c r="P1591">
        <f t="shared" si="197"/>
        <v>1</v>
      </c>
      <c r="Q1591">
        <f t="shared" si="198"/>
        <v>1</v>
      </c>
    </row>
    <row r="1592" spans="1:17">
      <c r="A1592" s="1">
        <v>44769</v>
      </c>
      <c r="B1592">
        <v>4023.61</v>
      </c>
      <c r="C1592">
        <f t="shared" si="192"/>
        <v>2.6156259165274642E-2</v>
      </c>
      <c r="D1592">
        <f t="shared" si="199"/>
        <v>1.5645075385636753E-2</v>
      </c>
      <c r="E1592">
        <f>_xlfn.XLOOKUP(A1592,VIX!A:A,VIX!B:B,"",-1)</f>
        <v>23.24</v>
      </c>
      <c r="F1592">
        <f t="shared" si="193"/>
        <v>-1.4500000000000028</v>
      </c>
      <c r="G1592">
        <f>_xlfn.XLOOKUP(A1592,'DGS10'!A:A,'DGS10'!B:B,"",-1)</f>
        <v>2.78</v>
      </c>
      <c r="H1592">
        <f t="shared" si="194"/>
        <v>-3.0000000000000249E-2</v>
      </c>
      <c r="I1592" s="2">
        <f>_xlfn.XLOOKUP(A1592,T10Y3M!A:A,T10Y3M!B:B,"",-1)</f>
        <v>0.34</v>
      </c>
      <c r="J1592" s="2">
        <f>_xlfn.XLOOKUP(A1592,BAMLC0A4CBBB!A:A,BAMLC0A4CBBB!B:B,"",-1)</f>
        <v>1.95</v>
      </c>
      <c r="K1592" s="2">
        <f>_xlfn.XLOOKUP(A1592,CPIAUCSL!A:A,CPIAUCSL!B:B,"",-1)</f>
        <v>294.91300000000001</v>
      </c>
      <c r="L1592">
        <f>_xlfn.XLOOKUP(A1592,DFF!A:A,DFF!B:B,"",-1)</f>
        <v>1.58</v>
      </c>
      <c r="M1592">
        <f>_xlfn.XLOOKUP(A1592,'DGS2'!A:A,'DGS2'!B:B,"",-1)</f>
        <v>2.96</v>
      </c>
      <c r="N1592">
        <f t="shared" si="195"/>
        <v>-6.0000000000000053E-2</v>
      </c>
      <c r="O1592">
        <f t="shared" si="196"/>
        <v>1.2133382708562568E-2</v>
      </c>
      <c r="P1592">
        <f t="shared" si="197"/>
        <v>1</v>
      </c>
      <c r="Q1592">
        <f t="shared" si="198"/>
        <v>1</v>
      </c>
    </row>
    <row r="1593" spans="1:17">
      <c r="A1593" s="1">
        <v>44770</v>
      </c>
      <c r="B1593">
        <v>4072.43</v>
      </c>
      <c r="C1593">
        <f t="shared" si="192"/>
        <v>1.2133382708562568E-2</v>
      </c>
      <c r="D1593">
        <f t="shared" si="199"/>
        <v>2.661816458440458E-2</v>
      </c>
      <c r="E1593">
        <f>_xlfn.XLOOKUP(A1593,VIX!A:A,VIX!B:B,"",-1)</f>
        <v>22.33</v>
      </c>
      <c r="F1593">
        <f t="shared" si="193"/>
        <v>-0.91000000000000014</v>
      </c>
      <c r="G1593">
        <f>_xlfn.XLOOKUP(A1593,'DGS10'!A:A,'DGS10'!B:B,"",-1)</f>
        <v>2.68</v>
      </c>
      <c r="H1593">
        <f t="shared" si="194"/>
        <v>-9.9999999999999645E-2</v>
      </c>
      <c r="I1593" s="2">
        <f>_xlfn.XLOOKUP(A1593,T10Y3M!A:A,T10Y3M!B:B,"",-1)</f>
        <v>0.26</v>
      </c>
      <c r="J1593" s="2">
        <f>_xlfn.XLOOKUP(A1593,BAMLC0A4CBBB!A:A,BAMLC0A4CBBB!B:B,"",-1)</f>
        <v>1.94</v>
      </c>
      <c r="K1593" s="2">
        <f>_xlfn.XLOOKUP(A1593,CPIAUCSL!A:A,CPIAUCSL!B:B,"",-1)</f>
        <v>294.91300000000001</v>
      </c>
      <c r="L1593">
        <f>_xlfn.XLOOKUP(A1593,DFF!A:A,DFF!B:B,"",-1)</f>
        <v>2.33</v>
      </c>
      <c r="M1593">
        <f>_xlfn.XLOOKUP(A1593,'DGS2'!A:A,'DGS2'!B:B,"",-1)</f>
        <v>2.85</v>
      </c>
      <c r="N1593">
        <f t="shared" si="195"/>
        <v>-0.10999999999999988</v>
      </c>
      <c r="O1593">
        <f t="shared" si="196"/>
        <v>1.4207733466259809E-2</v>
      </c>
      <c r="P1593">
        <f t="shared" si="197"/>
        <v>1</v>
      </c>
      <c r="Q1593">
        <f t="shared" si="198"/>
        <v>1</v>
      </c>
    </row>
    <row r="1594" spans="1:17">
      <c r="A1594" s="1">
        <v>44771</v>
      </c>
      <c r="B1594">
        <v>4130.29</v>
      </c>
      <c r="C1594">
        <f t="shared" si="192"/>
        <v>1.4207733466259809E-2</v>
      </c>
      <c r="D1594">
        <f t="shared" si="199"/>
        <v>5.3363257290776733E-2</v>
      </c>
      <c r="E1594">
        <f>_xlfn.XLOOKUP(A1594,VIX!A:A,VIX!B:B,"",-1)</f>
        <v>21.33</v>
      </c>
      <c r="F1594">
        <f t="shared" si="193"/>
        <v>-1</v>
      </c>
      <c r="G1594">
        <f>_xlfn.XLOOKUP(A1594,'DGS10'!A:A,'DGS10'!B:B,"",-1)</f>
        <v>2.67</v>
      </c>
      <c r="H1594">
        <f t="shared" si="194"/>
        <v>-1.0000000000000231E-2</v>
      </c>
      <c r="I1594" s="2">
        <f>_xlfn.XLOOKUP(A1594,T10Y3M!A:A,T10Y3M!B:B,"",-1)</f>
        <v>0.26</v>
      </c>
      <c r="J1594" s="2">
        <f>_xlfn.XLOOKUP(A1594,BAMLC0A4CBBB!A:A,BAMLC0A4CBBB!B:B,"",-1)</f>
        <v>1.91</v>
      </c>
      <c r="K1594" s="2">
        <f>_xlfn.XLOOKUP(A1594,CPIAUCSL!A:A,CPIAUCSL!B:B,"",-1)</f>
        <v>294.91300000000001</v>
      </c>
      <c r="L1594">
        <f>_xlfn.XLOOKUP(A1594,DFF!A:A,DFF!B:B,"",-1)</f>
        <v>2.3199999999999998</v>
      </c>
      <c r="M1594">
        <f>_xlfn.XLOOKUP(A1594,'DGS2'!A:A,'DGS2'!B:B,"",-1)</f>
        <v>2.89</v>
      </c>
      <c r="N1594">
        <f t="shared" si="195"/>
        <v>4.0000000000000036E-2</v>
      </c>
      <c r="O1594">
        <f t="shared" si="196"/>
        <v>-2.8230463236237346E-3</v>
      </c>
      <c r="P1594">
        <f t="shared" si="197"/>
        <v>0</v>
      </c>
      <c r="Q1594">
        <f t="shared" si="198"/>
        <v>0</v>
      </c>
    </row>
    <row r="1595" spans="1:17">
      <c r="A1595" s="1">
        <v>44774</v>
      </c>
      <c r="B1595">
        <v>4118.63</v>
      </c>
      <c r="C1595">
        <f t="shared" si="192"/>
        <v>-2.8230463236237346E-3</v>
      </c>
      <c r="D1595">
        <f t="shared" si="199"/>
        <v>2.3615608868652771E-2</v>
      </c>
      <c r="E1595">
        <f>_xlfn.XLOOKUP(A1595,VIX!A:A,VIX!B:B,"",-1)</f>
        <v>22.84</v>
      </c>
      <c r="F1595">
        <f t="shared" si="193"/>
        <v>1.5100000000000016</v>
      </c>
      <c r="G1595">
        <f>_xlfn.XLOOKUP(A1595,'DGS10'!A:A,'DGS10'!B:B,"",-1)</f>
        <v>2.6</v>
      </c>
      <c r="H1595">
        <f t="shared" si="194"/>
        <v>-6.999999999999984E-2</v>
      </c>
      <c r="I1595" s="2">
        <f>_xlfn.XLOOKUP(A1595,T10Y3M!A:A,T10Y3M!B:B,"",-1)</f>
        <v>0.04</v>
      </c>
      <c r="J1595" s="2">
        <f>_xlfn.XLOOKUP(A1595,BAMLC0A4CBBB!A:A,BAMLC0A4CBBB!B:B,"",-1)</f>
        <v>1.91</v>
      </c>
      <c r="K1595" s="2">
        <f>_xlfn.XLOOKUP(A1595,CPIAUCSL!A:A,CPIAUCSL!B:B,"",-1)</f>
        <v>295.09699999999998</v>
      </c>
      <c r="L1595">
        <f>_xlfn.XLOOKUP(A1595,DFF!A:A,DFF!B:B,"",-1)</f>
        <v>2.33</v>
      </c>
      <c r="M1595">
        <f>_xlfn.XLOOKUP(A1595,'DGS2'!A:A,'DGS2'!B:B,"",-1)</f>
        <v>2.9</v>
      </c>
      <c r="N1595">
        <f t="shared" si="195"/>
        <v>9.9999999999997868E-3</v>
      </c>
      <c r="O1595">
        <f t="shared" si="196"/>
        <v>-6.6624095876541833E-3</v>
      </c>
      <c r="P1595">
        <f t="shared" si="197"/>
        <v>0</v>
      </c>
      <c r="Q1595">
        <f t="shared" si="198"/>
        <v>-1</v>
      </c>
    </row>
    <row r="1596" spans="1:17">
      <c r="A1596" s="1">
        <v>44775</v>
      </c>
      <c r="B1596">
        <v>4091.19</v>
      </c>
      <c r="C1596">
        <f t="shared" si="192"/>
        <v>-6.6624095876541833E-3</v>
      </c>
      <c r="D1596">
        <f t="shared" si="199"/>
        <v>4.6065862396653667E-3</v>
      </c>
      <c r="E1596">
        <f>_xlfn.XLOOKUP(A1596,VIX!A:A,VIX!B:B,"",-1)</f>
        <v>23.93</v>
      </c>
      <c r="F1596">
        <f t="shared" si="193"/>
        <v>1.0899999999999999</v>
      </c>
      <c r="G1596">
        <f>_xlfn.XLOOKUP(A1596,'DGS10'!A:A,'DGS10'!B:B,"",-1)</f>
        <v>2.75</v>
      </c>
      <c r="H1596">
        <f t="shared" si="194"/>
        <v>0.14999999999999991</v>
      </c>
      <c r="I1596" s="2">
        <f>_xlfn.XLOOKUP(A1596,T10Y3M!A:A,T10Y3M!B:B,"",-1)</f>
        <v>0.19</v>
      </c>
      <c r="J1596" s="2">
        <f>_xlfn.XLOOKUP(A1596,BAMLC0A4CBBB!A:A,BAMLC0A4CBBB!B:B,"",-1)</f>
        <v>1.89</v>
      </c>
      <c r="K1596" s="2">
        <f>_xlfn.XLOOKUP(A1596,CPIAUCSL!A:A,CPIAUCSL!B:B,"",-1)</f>
        <v>295.09699999999998</v>
      </c>
      <c r="L1596">
        <f>_xlfn.XLOOKUP(A1596,DFF!A:A,DFF!B:B,"",-1)</f>
        <v>2.33</v>
      </c>
      <c r="M1596">
        <f>_xlfn.XLOOKUP(A1596,'DGS2'!A:A,'DGS2'!B:B,"",-1)</f>
        <v>3.06</v>
      </c>
      <c r="N1596">
        <f t="shared" si="195"/>
        <v>0.16000000000000014</v>
      </c>
      <c r="O1596">
        <f t="shared" si="196"/>
        <v>1.5638481713144525E-2</v>
      </c>
      <c r="P1596">
        <f t="shared" si="197"/>
        <v>1</v>
      </c>
      <c r="Q1596">
        <f t="shared" si="198"/>
        <v>1</v>
      </c>
    </row>
    <row r="1597" spans="1:17">
      <c r="A1597" s="1">
        <v>44776</v>
      </c>
      <c r="B1597">
        <v>4155.17</v>
      </c>
      <c r="C1597">
        <f t="shared" si="192"/>
        <v>1.5638481713144525E-2</v>
      </c>
      <c r="D1597">
        <f t="shared" si="199"/>
        <v>6.0237900970634417E-3</v>
      </c>
      <c r="E1597">
        <f>_xlfn.XLOOKUP(A1597,VIX!A:A,VIX!B:B,"",-1)</f>
        <v>21.95</v>
      </c>
      <c r="F1597">
        <f t="shared" si="193"/>
        <v>-1.9800000000000004</v>
      </c>
      <c r="G1597">
        <f>_xlfn.XLOOKUP(A1597,'DGS10'!A:A,'DGS10'!B:B,"",-1)</f>
        <v>2.73</v>
      </c>
      <c r="H1597">
        <f t="shared" si="194"/>
        <v>-2.0000000000000018E-2</v>
      </c>
      <c r="I1597" s="2">
        <f>_xlfn.XLOOKUP(A1597,T10Y3M!A:A,T10Y3M!B:B,"",-1)</f>
        <v>0.21</v>
      </c>
      <c r="J1597" s="2">
        <f>_xlfn.XLOOKUP(A1597,BAMLC0A4CBBB!A:A,BAMLC0A4CBBB!B:B,"",-1)</f>
        <v>1.88</v>
      </c>
      <c r="K1597" s="2">
        <f>_xlfn.XLOOKUP(A1597,CPIAUCSL!A:A,CPIAUCSL!B:B,"",-1)</f>
        <v>295.09699999999998</v>
      </c>
      <c r="L1597">
        <f>_xlfn.XLOOKUP(A1597,DFF!A:A,DFF!B:B,"",-1)</f>
        <v>2.33</v>
      </c>
      <c r="M1597">
        <f>_xlfn.XLOOKUP(A1597,'DGS2'!A:A,'DGS2'!B:B,"",-1)</f>
        <v>3.1</v>
      </c>
      <c r="N1597">
        <f t="shared" si="195"/>
        <v>4.0000000000000036E-2</v>
      </c>
      <c r="O1597">
        <f t="shared" si="196"/>
        <v>-7.7734484990998887E-4</v>
      </c>
      <c r="P1597">
        <f t="shared" si="197"/>
        <v>0</v>
      </c>
      <c r="Q1597">
        <f t="shared" si="198"/>
        <v>0</v>
      </c>
    </row>
    <row r="1598" spans="1:17">
      <c r="A1598" s="1">
        <v>44777</v>
      </c>
      <c r="B1598">
        <v>4151.9399999999996</v>
      </c>
      <c r="C1598">
        <f t="shared" si="192"/>
        <v>-7.7734484990998887E-4</v>
      </c>
      <c r="D1598">
        <f t="shared" si="199"/>
        <v>8.087640793176254E-3</v>
      </c>
      <c r="E1598">
        <f>_xlfn.XLOOKUP(A1598,VIX!A:A,VIX!B:B,"",-1)</f>
        <v>21.44</v>
      </c>
      <c r="F1598">
        <f t="shared" si="193"/>
        <v>-0.50999999999999801</v>
      </c>
      <c r="G1598">
        <f>_xlfn.XLOOKUP(A1598,'DGS10'!A:A,'DGS10'!B:B,"",-1)</f>
        <v>2.68</v>
      </c>
      <c r="H1598">
        <f t="shared" si="194"/>
        <v>-4.9999999999999822E-2</v>
      </c>
      <c r="I1598" s="2">
        <f>_xlfn.XLOOKUP(A1598,T10Y3M!A:A,T10Y3M!B:B,"",-1)</f>
        <v>0.18</v>
      </c>
      <c r="J1598" s="2">
        <f>_xlfn.XLOOKUP(A1598,BAMLC0A4CBBB!A:A,BAMLC0A4CBBB!B:B,"",-1)</f>
        <v>1.88</v>
      </c>
      <c r="K1598" s="2">
        <f>_xlfn.XLOOKUP(A1598,CPIAUCSL!A:A,CPIAUCSL!B:B,"",-1)</f>
        <v>295.09699999999998</v>
      </c>
      <c r="L1598">
        <f>_xlfn.XLOOKUP(A1598,DFF!A:A,DFF!B:B,"",-1)</f>
        <v>2.33</v>
      </c>
      <c r="M1598">
        <f>_xlfn.XLOOKUP(A1598,'DGS2'!A:A,'DGS2'!B:B,"",-1)</f>
        <v>3.03</v>
      </c>
      <c r="N1598">
        <f t="shared" si="195"/>
        <v>-7.0000000000000284E-2</v>
      </c>
      <c r="O1598">
        <f t="shared" si="196"/>
        <v>-1.6257460367924415E-3</v>
      </c>
      <c r="P1598">
        <f t="shared" si="197"/>
        <v>0</v>
      </c>
      <c r="Q1598">
        <f t="shared" si="198"/>
        <v>0</v>
      </c>
    </row>
    <row r="1599" spans="1:17">
      <c r="A1599" s="1">
        <v>44778</v>
      </c>
      <c r="B1599">
        <v>4145.1899999999996</v>
      </c>
      <c r="C1599">
        <f t="shared" si="192"/>
        <v>-1.6257460367924415E-3</v>
      </c>
      <c r="D1599">
        <f t="shared" si="199"/>
        <v>1.319909366223504E-2</v>
      </c>
      <c r="E1599">
        <f>_xlfn.XLOOKUP(A1599,VIX!A:A,VIX!B:B,"",-1)</f>
        <v>21.15</v>
      </c>
      <c r="F1599">
        <f t="shared" si="193"/>
        <v>-0.2900000000000027</v>
      </c>
      <c r="G1599">
        <f>_xlfn.XLOOKUP(A1599,'DGS10'!A:A,'DGS10'!B:B,"",-1)</f>
        <v>2.83</v>
      </c>
      <c r="H1599">
        <f t="shared" si="194"/>
        <v>0.14999999999999991</v>
      </c>
      <c r="I1599" s="2">
        <f>_xlfn.XLOOKUP(A1599,T10Y3M!A:A,T10Y3M!B:B,"",-1)</f>
        <v>0.25</v>
      </c>
      <c r="J1599" s="2">
        <f>_xlfn.XLOOKUP(A1599,BAMLC0A4CBBB!A:A,BAMLC0A4CBBB!B:B,"",-1)</f>
        <v>1.86</v>
      </c>
      <c r="K1599" s="2">
        <f>_xlfn.XLOOKUP(A1599,CPIAUCSL!A:A,CPIAUCSL!B:B,"",-1)</f>
        <v>295.09699999999998</v>
      </c>
      <c r="L1599">
        <f>_xlfn.XLOOKUP(A1599,DFF!A:A,DFF!B:B,"",-1)</f>
        <v>2.33</v>
      </c>
      <c r="M1599">
        <f>_xlfn.XLOOKUP(A1599,'DGS2'!A:A,'DGS2'!B:B,"",-1)</f>
        <v>3.24</v>
      </c>
      <c r="N1599">
        <f t="shared" si="195"/>
        <v>0.21000000000000041</v>
      </c>
      <c r="O1599">
        <f t="shared" si="196"/>
        <v>-1.2375789770792123E-3</v>
      </c>
      <c r="P1599">
        <f t="shared" si="197"/>
        <v>0</v>
      </c>
      <c r="Q1599">
        <f t="shared" si="198"/>
        <v>0</v>
      </c>
    </row>
    <row r="1600" spans="1:17">
      <c r="A1600" s="1">
        <v>44781</v>
      </c>
      <c r="B1600">
        <v>4140.0600000000004</v>
      </c>
      <c r="C1600">
        <f t="shared" si="192"/>
        <v>-1.2375789770792123E-3</v>
      </c>
      <c r="D1600">
        <f t="shared" si="199"/>
        <v>-3.6364336477207049E-3</v>
      </c>
      <c r="E1600">
        <f>_xlfn.XLOOKUP(A1600,VIX!A:A,VIX!B:B,"",-1)</f>
        <v>21.29</v>
      </c>
      <c r="F1600">
        <f t="shared" si="193"/>
        <v>0.14000000000000057</v>
      </c>
      <c r="G1600">
        <f>_xlfn.XLOOKUP(A1600,'DGS10'!A:A,'DGS10'!B:B,"",-1)</f>
        <v>2.77</v>
      </c>
      <c r="H1600">
        <f t="shared" si="194"/>
        <v>-6.0000000000000053E-2</v>
      </c>
      <c r="I1600" s="2">
        <f>_xlfn.XLOOKUP(A1600,T10Y3M!A:A,T10Y3M!B:B,"",-1)</f>
        <v>0.12</v>
      </c>
      <c r="J1600" s="2">
        <f>_xlfn.XLOOKUP(A1600,BAMLC0A4CBBB!A:A,BAMLC0A4CBBB!B:B,"",-1)</f>
        <v>1.86</v>
      </c>
      <c r="K1600" s="2">
        <f>_xlfn.XLOOKUP(A1600,CPIAUCSL!A:A,CPIAUCSL!B:B,"",-1)</f>
        <v>295.09699999999998</v>
      </c>
      <c r="L1600">
        <f>_xlfn.XLOOKUP(A1600,DFF!A:A,DFF!B:B,"",-1)</f>
        <v>2.33</v>
      </c>
      <c r="M1600">
        <f>_xlfn.XLOOKUP(A1600,'DGS2'!A:A,'DGS2'!B:B,"",-1)</f>
        <v>3.21</v>
      </c>
      <c r="N1600">
        <f t="shared" si="195"/>
        <v>-3.0000000000000249E-2</v>
      </c>
      <c r="O1600">
        <f t="shared" si="196"/>
        <v>-4.248730694724312E-3</v>
      </c>
      <c r="P1600">
        <f t="shared" si="197"/>
        <v>0</v>
      </c>
      <c r="Q1600">
        <f t="shared" si="198"/>
        <v>-1</v>
      </c>
    </row>
    <row r="1601" spans="1:17">
      <c r="A1601" s="1">
        <v>44782</v>
      </c>
      <c r="B1601">
        <v>4122.47</v>
      </c>
      <c r="C1601">
        <f t="shared" si="192"/>
        <v>-4.248730694724312E-3</v>
      </c>
      <c r="D1601">
        <f t="shared" si="199"/>
        <v>-7.0978867710033144E-3</v>
      </c>
      <c r="E1601">
        <f>_xlfn.XLOOKUP(A1601,VIX!A:A,VIX!B:B,"",-1)</f>
        <v>21.77</v>
      </c>
      <c r="F1601">
        <f t="shared" si="193"/>
        <v>0.48000000000000043</v>
      </c>
      <c r="G1601">
        <f>_xlfn.XLOOKUP(A1601,'DGS10'!A:A,'DGS10'!B:B,"",-1)</f>
        <v>2.8</v>
      </c>
      <c r="H1601">
        <f t="shared" si="194"/>
        <v>2.9999999999999805E-2</v>
      </c>
      <c r="I1601" s="2">
        <f>_xlfn.XLOOKUP(A1601,T10Y3M!A:A,T10Y3M!B:B,"",-1)</f>
        <v>0.13</v>
      </c>
      <c r="J1601" s="2">
        <f>_xlfn.XLOOKUP(A1601,BAMLC0A4CBBB!A:A,BAMLC0A4CBBB!B:B,"",-1)</f>
        <v>1.87</v>
      </c>
      <c r="K1601" s="2">
        <f>_xlfn.XLOOKUP(A1601,CPIAUCSL!A:A,CPIAUCSL!B:B,"",-1)</f>
        <v>295.09699999999998</v>
      </c>
      <c r="L1601">
        <f>_xlfn.XLOOKUP(A1601,DFF!A:A,DFF!B:B,"",-1)</f>
        <v>2.33</v>
      </c>
      <c r="M1601">
        <f>_xlfn.XLOOKUP(A1601,'DGS2'!A:A,'DGS2'!B:B,"",-1)</f>
        <v>3.28</v>
      </c>
      <c r="N1601">
        <f t="shared" si="195"/>
        <v>6.999999999999984E-2</v>
      </c>
      <c r="O1601">
        <f t="shared" si="196"/>
        <v>2.1290634013103604E-2</v>
      </c>
      <c r="P1601">
        <f t="shared" si="197"/>
        <v>1</v>
      </c>
      <c r="Q1601">
        <f t="shared" si="198"/>
        <v>1</v>
      </c>
    </row>
    <row r="1602" spans="1:17">
      <c r="A1602" s="1">
        <v>44783</v>
      </c>
      <c r="B1602">
        <v>4210.24</v>
      </c>
      <c r="C1602">
        <f t="shared" si="192"/>
        <v>2.1290634013103604E-2</v>
      </c>
      <c r="D1602">
        <f t="shared" si="199"/>
        <v>1.5692887418912171E-2</v>
      </c>
      <c r="E1602">
        <f>_xlfn.XLOOKUP(A1602,VIX!A:A,VIX!B:B,"",-1)</f>
        <v>19.739999999999998</v>
      </c>
      <c r="F1602">
        <f t="shared" si="193"/>
        <v>-2.0300000000000011</v>
      </c>
      <c r="G1602">
        <f>_xlfn.XLOOKUP(A1602,'DGS10'!A:A,'DGS10'!B:B,"",-1)</f>
        <v>2.78</v>
      </c>
      <c r="H1602">
        <f t="shared" si="194"/>
        <v>-2.0000000000000018E-2</v>
      </c>
      <c r="I1602" s="2">
        <f>_xlfn.XLOOKUP(A1602,T10Y3M!A:A,T10Y3M!B:B,"",-1)</f>
        <v>0.13</v>
      </c>
      <c r="J1602" s="2">
        <f>_xlfn.XLOOKUP(A1602,BAMLC0A4CBBB!A:A,BAMLC0A4CBBB!B:B,"",-1)</f>
        <v>1.83</v>
      </c>
      <c r="K1602" s="2">
        <f>_xlfn.XLOOKUP(A1602,CPIAUCSL!A:A,CPIAUCSL!B:B,"",-1)</f>
        <v>295.09699999999998</v>
      </c>
      <c r="L1602">
        <f>_xlfn.XLOOKUP(A1602,DFF!A:A,DFF!B:B,"",-1)</f>
        <v>2.33</v>
      </c>
      <c r="M1602">
        <f>_xlfn.XLOOKUP(A1602,'DGS2'!A:A,'DGS2'!B:B,"",-1)</f>
        <v>3.23</v>
      </c>
      <c r="N1602">
        <f t="shared" si="195"/>
        <v>-4.9999999999999822E-2</v>
      </c>
      <c r="O1602">
        <f t="shared" si="196"/>
        <v>-7.0542296876174859E-4</v>
      </c>
      <c r="P1602">
        <f t="shared" si="197"/>
        <v>0</v>
      </c>
      <c r="Q1602">
        <f t="shared" si="198"/>
        <v>0</v>
      </c>
    </row>
    <row r="1603" spans="1:17">
      <c r="A1603" s="1">
        <v>44784</v>
      </c>
      <c r="B1603">
        <v>4207.2700000000004</v>
      </c>
      <c r="C1603">
        <f t="shared" si="192"/>
        <v>-7.0542296876174859E-4</v>
      </c>
      <c r="D1603">
        <f t="shared" si="199"/>
        <v>1.6234064240614909E-2</v>
      </c>
      <c r="E1603">
        <f>_xlfn.XLOOKUP(A1603,VIX!A:A,VIX!B:B,"",-1)</f>
        <v>20.2</v>
      </c>
      <c r="F1603">
        <f t="shared" si="193"/>
        <v>0.46000000000000085</v>
      </c>
      <c r="G1603">
        <f>_xlfn.XLOOKUP(A1603,'DGS10'!A:A,'DGS10'!B:B,"",-1)</f>
        <v>2.87</v>
      </c>
      <c r="H1603">
        <f t="shared" si="194"/>
        <v>9.0000000000000302E-2</v>
      </c>
      <c r="I1603" s="2">
        <f>_xlfn.XLOOKUP(A1603,T10Y3M!A:A,T10Y3M!B:B,"",-1)</f>
        <v>0.25</v>
      </c>
      <c r="J1603" s="2">
        <f>_xlfn.XLOOKUP(A1603,BAMLC0A4CBBB!A:A,BAMLC0A4CBBB!B:B,"",-1)</f>
        <v>1.79</v>
      </c>
      <c r="K1603" s="2">
        <f>_xlfn.XLOOKUP(A1603,CPIAUCSL!A:A,CPIAUCSL!B:B,"",-1)</f>
        <v>295.09699999999998</v>
      </c>
      <c r="L1603">
        <f>_xlfn.XLOOKUP(A1603,DFF!A:A,DFF!B:B,"",-1)</f>
        <v>2.33</v>
      </c>
      <c r="M1603">
        <f>_xlfn.XLOOKUP(A1603,'DGS2'!A:A,'DGS2'!B:B,"",-1)</f>
        <v>3.23</v>
      </c>
      <c r="N1603">
        <f t="shared" si="195"/>
        <v>0</v>
      </c>
      <c r="O1603">
        <f t="shared" si="196"/>
        <v>1.7322396708554288E-2</v>
      </c>
      <c r="P1603">
        <f t="shared" si="197"/>
        <v>1</v>
      </c>
      <c r="Q1603">
        <f t="shared" si="198"/>
        <v>1</v>
      </c>
    </row>
    <row r="1604" spans="1:17">
      <c r="A1604" s="1">
        <v>44785</v>
      </c>
      <c r="B1604">
        <v>4280.1499999999996</v>
      </c>
      <c r="C1604">
        <f t="shared" ref="C1604:C1667" si="200">IF(OR(B1604="",B1603=""),"",(B1604/B1603)-1)</f>
        <v>1.7322396708554288E-2</v>
      </c>
      <c r="D1604">
        <f t="shared" si="199"/>
        <v>3.8248913879300295E-2</v>
      </c>
      <c r="E1604">
        <f>_xlfn.XLOOKUP(A1604,VIX!A:A,VIX!B:B,"",-1)</f>
        <v>19.53</v>
      </c>
      <c r="F1604">
        <f t="shared" ref="F1604:F1667" si="201">IF(OR(E1604="",E1603=""),"",E1604-E1603)</f>
        <v>-0.66999999999999815</v>
      </c>
      <c r="G1604">
        <f>_xlfn.XLOOKUP(A1604,'DGS10'!A:A,'DGS10'!B:B,"",-1)</f>
        <v>2.84</v>
      </c>
      <c r="H1604">
        <f t="shared" ref="H1604:H1667" si="202">IF(OR(G1604="",G1603=""),"",G1604-G1603)</f>
        <v>-3.0000000000000249E-2</v>
      </c>
      <c r="I1604" s="2">
        <f>_xlfn.XLOOKUP(A1604,T10Y3M!A:A,T10Y3M!B:B,"",-1)</f>
        <v>0.21</v>
      </c>
      <c r="J1604" s="2">
        <f>_xlfn.XLOOKUP(A1604,BAMLC0A4CBBB!A:A,BAMLC0A4CBBB!B:B,"",-1)</f>
        <v>1.77</v>
      </c>
      <c r="K1604" s="2">
        <f>_xlfn.XLOOKUP(A1604,CPIAUCSL!A:A,CPIAUCSL!B:B,"",-1)</f>
        <v>295.09699999999998</v>
      </c>
      <c r="L1604">
        <f>_xlfn.XLOOKUP(A1604,DFF!A:A,DFF!B:B,"",-1)</f>
        <v>2.33</v>
      </c>
      <c r="M1604">
        <f>_xlfn.XLOOKUP(A1604,'DGS2'!A:A,'DGS2'!B:B,"",-1)</f>
        <v>3.25</v>
      </c>
      <c r="N1604">
        <f t="shared" ref="N1604:N1667" si="203">IF(OR(M1604="",M1603=""),"",M1604-M1603)</f>
        <v>2.0000000000000018E-2</v>
      </c>
      <c r="O1604">
        <f t="shared" ref="O1604:O1667" si="204">IF(OR(B1605="",B1604=""),"",(B1605/B1604)-1)</f>
        <v>3.96948705068767E-3</v>
      </c>
      <c r="P1604">
        <f t="shared" ref="P1604:P1667" si="205">IF(O1604="","",IF(O1604&gt;0,1,0))</f>
        <v>1</v>
      </c>
      <c r="Q1604">
        <f t="shared" ref="Q1604:Q1667" si="206">IF(O1604="","",IF(O1604&gt;0.003,1,IF(O1604&lt;-0.003,-1,0)))</f>
        <v>1</v>
      </c>
    </row>
    <row r="1605" spans="1:17">
      <c r="A1605" s="1">
        <v>44788</v>
      </c>
      <c r="B1605">
        <v>4297.1400000000003</v>
      </c>
      <c r="C1605">
        <f t="shared" si="200"/>
        <v>3.96948705068767E-3</v>
      </c>
      <c r="D1605">
        <f t="shared" si="199"/>
        <v>2.0640153530440131E-2</v>
      </c>
      <c r="E1605">
        <f>_xlfn.XLOOKUP(A1605,VIX!A:A,VIX!B:B,"",-1)</f>
        <v>19.95</v>
      </c>
      <c r="F1605">
        <f t="shared" si="201"/>
        <v>0.41999999999999815</v>
      </c>
      <c r="G1605">
        <f>_xlfn.XLOOKUP(A1605,'DGS10'!A:A,'DGS10'!B:B,"",-1)</f>
        <v>2.79</v>
      </c>
      <c r="H1605">
        <f t="shared" si="202"/>
        <v>-4.9999999999999822E-2</v>
      </c>
      <c r="I1605" s="2">
        <f>_xlfn.XLOOKUP(A1605,T10Y3M!A:A,T10Y3M!B:B,"",-1)</f>
        <v>7.0000000000000007E-2</v>
      </c>
      <c r="J1605" s="2">
        <f>_xlfn.XLOOKUP(A1605,BAMLC0A4CBBB!A:A,BAMLC0A4CBBB!B:B,"",-1)</f>
        <v>1.76</v>
      </c>
      <c r="K1605" s="2">
        <f>_xlfn.XLOOKUP(A1605,CPIAUCSL!A:A,CPIAUCSL!B:B,"",-1)</f>
        <v>295.09699999999998</v>
      </c>
      <c r="L1605">
        <f>_xlfn.XLOOKUP(A1605,DFF!A:A,DFF!B:B,"",-1)</f>
        <v>2.33</v>
      </c>
      <c r="M1605">
        <f>_xlfn.XLOOKUP(A1605,'DGS2'!A:A,'DGS2'!B:B,"",-1)</f>
        <v>3.2</v>
      </c>
      <c r="N1605">
        <f t="shared" si="203"/>
        <v>-4.9999999999999822E-2</v>
      </c>
      <c r="O1605">
        <f t="shared" si="204"/>
        <v>1.8756661407353103E-3</v>
      </c>
      <c r="P1605">
        <f t="shared" si="205"/>
        <v>1</v>
      </c>
      <c r="Q1605">
        <f t="shared" si="206"/>
        <v>0</v>
      </c>
    </row>
    <row r="1606" spans="1:17">
      <c r="A1606" s="1">
        <v>44789</v>
      </c>
      <c r="B1606">
        <v>4305.2</v>
      </c>
      <c r="C1606">
        <f t="shared" si="200"/>
        <v>1.8756661407353103E-3</v>
      </c>
      <c r="D1606">
        <f t="shared" ref="D1606:D1669" si="207">IF(OR(B1606="",B1603=""),"",(B1606/B1603)-1)</f>
        <v>2.3276376367573182E-2</v>
      </c>
      <c r="E1606">
        <f>_xlfn.XLOOKUP(A1606,VIX!A:A,VIX!B:B,"",-1)</f>
        <v>19.690000000000001</v>
      </c>
      <c r="F1606">
        <f t="shared" si="201"/>
        <v>-0.25999999999999801</v>
      </c>
      <c r="G1606">
        <f>_xlfn.XLOOKUP(A1606,'DGS10'!A:A,'DGS10'!B:B,"",-1)</f>
        <v>2.82</v>
      </c>
      <c r="H1606">
        <f t="shared" si="202"/>
        <v>2.9999999999999805E-2</v>
      </c>
      <c r="I1606" s="2">
        <f>_xlfn.XLOOKUP(A1606,T10Y3M!A:A,T10Y3M!B:B,"",-1)</f>
        <v>0.12</v>
      </c>
      <c r="J1606" s="2">
        <f>_xlfn.XLOOKUP(A1606,BAMLC0A4CBBB!A:A,BAMLC0A4CBBB!B:B,"",-1)</f>
        <v>1.75</v>
      </c>
      <c r="K1606" s="2">
        <f>_xlfn.XLOOKUP(A1606,CPIAUCSL!A:A,CPIAUCSL!B:B,"",-1)</f>
        <v>295.09699999999998</v>
      </c>
      <c r="L1606">
        <f>_xlfn.XLOOKUP(A1606,DFF!A:A,DFF!B:B,"",-1)</f>
        <v>2.33</v>
      </c>
      <c r="M1606">
        <f>_xlfn.XLOOKUP(A1606,'DGS2'!A:A,'DGS2'!B:B,"",-1)</f>
        <v>3.25</v>
      </c>
      <c r="N1606">
        <f t="shared" si="203"/>
        <v>4.9999999999999822E-2</v>
      </c>
      <c r="O1606">
        <f t="shared" si="204"/>
        <v>-7.2377589891293725E-3</v>
      </c>
      <c r="P1606">
        <f t="shared" si="205"/>
        <v>0</v>
      </c>
      <c r="Q1606">
        <f t="shared" si="206"/>
        <v>-1</v>
      </c>
    </row>
    <row r="1607" spans="1:17">
      <c r="A1607" s="1">
        <v>44790</v>
      </c>
      <c r="B1607">
        <v>4274.04</v>
      </c>
      <c r="C1607">
        <f t="shared" si="200"/>
        <v>-7.2377589891293725E-3</v>
      </c>
      <c r="D1607">
        <f t="shared" si="207"/>
        <v>-1.4275200635490704E-3</v>
      </c>
      <c r="E1607">
        <f>_xlfn.XLOOKUP(A1607,VIX!A:A,VIX!B:B,"",-1)</f>
        <v>19.899999999999999</v>
      </c>
      <c r="F1607">
        <f t="shared" si="201"/>
        <v>0.2099999999999973</v>
      </c>
      <c r="G1607">
        <f>_xlfn.XLOOKUP(A1607,'DGS10'!A:A,'DGS10'!B:B,"",-1)</f>
        <v>2.89</v>
      </c>
      <c r="H1607">
        <f t="shared" si="202"/>
        <v>7.0000000000000284E-2</v>
      </c>
      <c r="I1607" s="2">
        <f>_xlfn.XLOOKUP(A1607,T10Y3M!A:A,T10Y3M!B:B,"",-1)</f>
        <v>0.21</v>
      </c>
      <c r="J1607" s="2">
        <f>_xlfn.XLOOKUP(A1607,BAMLC0A4CBBB!A:A,BAMLC0A4CBBB!B:B,"",-1)</f>
        <v>1.76</v>
      </c>
      <c r="K1607" s="2">
        <f>_xlfn.XLOOKUP(A1607,CPIAUCSL!A:A,CPIAUCSL!B:B,"",-1)</f>
        <v>295.09699999999998</v>
      </c>
      <c r="L1607">
        <f>_xlfn.XLOOKUP(A1607,DFF!A:A,DFF!B:B,"",-1)</f>
        <v>2.33</v>
      </c>
      <c r="M1607">
        <f>_xlfn.XLOOKUP(A1607,'DGS2'!A:A,'DGS2'!B:B,"",-1)</f>
        <v>3.28</v>
      </c>
      <c r="N1607">
        <f t="shared" si="203"/>
        <v>2.9999999999999805E-2</v>
      </c>
      <c r="O1607">
        <f t="shared" si="204"/>
        <v>2.2695154935377104E-3</v>
      </c>
      <c r="P1607">
        <f t="shared" si="205"/>
        <v>1</v>
      </c>
      <c r="Q1607">
        <f t="shared" si="206"/>
        <v>0</v>
      </c>
    </row>
    <row r="1608" spans="1:17">
      <c r="A1608" s="1">
        <v>44791</v>
      </c>
      <c r="B1608">
        <v>4283.74</v>
      </c>
      <c r="C1608">
        <f t="shared" si="200"/>
        <v>2.2695154935377104E-3</v>
      </c>
      <c r="D1608">
        <f t="shared" si="207"/>
        <v>-3.1183531372029893E-3</v>
      </c>
      <c r="E1608">
        <f>_xlfn.XLOOKUP(A1608,VIX!A:A,VIX!B:B,"",-1)</f>
        <v>19.559999999999999</v>
      </c>
      <c r="F1608">
        <f t="shared" si="201"/>
        <v>-0.33999999999999986</v>
      </c>
      <c r="G1608">
        <f>_xlfn.XLOOKUP(A1608,'DGS10'!A:A,'DGS10'!B:B,"",-1)</f>
        <v>2.88</v>
      </c>
      <c r="H1608">
        <f t="shared" si="202"/>
        <v>-1.0000000000000231E-2</v>
      </c>
      <c r="I1608" s="2">
        <f>_xlfn.XLOOKUP(A1608,T10Y3M!A:A,T10Y3M!B:B,"",-1)</f>
        <v>0.17</v>
      </c>
      <c r="J1608" s="2">
        <f>_xlfn.XLOOKUP(A1608,BAMLC0A4CBBB!A:A,BAMLC0A4CBBB!B:B,"",-1)</f>
        <v>1.76</v>
      </c>
      <c r="K1608" s="2">
        <f>_xlfn.XLOOKUP(A1608,CPIAUCSL!A:A,CPIAUCSL!B:B,"",-1)</f>
        <v>295.09699999999998</v>
      </c>
      <c r="L1608">
        <f>_xlfn.XLOOKUP(A1608,DFF!A:A,DFF!B:B,"",-1)</f>
        <v>2.33</v>
      </c>
      <c r="M1608">
        <f>_xlfn.XLOOKUP(A1608,'DGS2'!A:A,'DGS2'!B:B,"",-1)</f>
        <v>3.22</v>
      </c>
      <c r="N1608">
        <f t="shared" si="203"/>
        <v>-5.9999999999999609E-2</v>
      </c>
      <c r="O1608">
        <f t="shared" si="204"/>
        <v>-1.2899942573545653E-2</v>
      </c>
      <c r="P1608">
        <f t="shared" si="205"/>
        <v>0</v>
      </c>
      <c r="Q1608">
        <f t="shared" si="206"/>
        <v>-1</v>
      </c>
    </row>
    <row r="1609" spans="1:17">
      <c r="A1609" s="1">
        <v>44792</v>
      </c>
      <c r="B1609">
        <v>4228.4799999999996</v>
      </c>
      <c r="C1609">
        <f t="shared" si="200"/>
        <v>-1.2899942573545653E-2</v>
      </c>
      <c r="D1609">
        <f t="shared" si="207"/>
        <v>-1.7820310322400834E-2</v>
      </c>
      <c r="E1609">
        <f>_xlfn.XLOOKUP(A1609,VIX!A:A,VIX!B:B,"",-1)</f>
        <v>20.6</v>
      </c>
      <c r="F1609">
        <f t="shared" si="201"/>
        <v>1.0400000000000027</v>
      </c>
      <c r="G1609">
        <f>_xlfn.XLOOKUP(A1609,'DGS10'!A:A,'DGS10'!B:B,"",-1)</f>
        <v>2.98</v>
      </c>
      <c r="H1609">
        <f t="shared" si="202"/>
        <v>0.10000000000000009</v>
      </c>
      <c r="I1609" s="2">
        <f>_xlfn.XLOOKUP(A1609,T10Y3M!A:A,T10Y3M!B:B,"",-1)</f>
        <v>0.24</v>
      </c>
      <c r="J1609" s="2">
        <f>_xlfn.XLOOKUP(A1609,BAMLC0A4CBBB!A:A,BAMLC0A4CBBB!B:B,"",-1)</f>
        <v>1.78</v>
      </c>
      <c r="K1609" s="2">
        <f>_xlfn.XLOOKUP(A1609,CPIAUCSL!A:A,CPIAUCSL!B:B,"",-1)</f>
        <v>295.09699999999998</v>
      </c>
      <c r="L1609">
        <f>_xlfn.XLOOKUP(A1609,DFF!A:A,DFF!B:B,"",-1)</f>
        <v>2.33</v>
      </c>
      <c r="M1609">
        <f>_xlfn.XLOOKUP(A1609,'DGS2'!A:A,'DGS2'!B:B,"",-1)</f>
        <v>3.25</v>
      </c>
      <c r="N1609">
        <f t="shared" si="203"/>
        <v>2.9999999999999805E-2</v>
      </c>
      <c r="O1609">
        <f t="shared" si="204"/>
        <v>-2.1400124867564707E-2</v>
      </c>
      <c r="P1609">
        <f t="shared" si="205"/>
        <v>0</v>
      </c>
      <c r="Q1609">
        <f t="shared" si="206"/>
        <v>-1</v>
      </c>
    </row>
    <row r="1610" spans="1:17">
      <c r="A1610" s="1">
        <v>44795</v>
      </c>
      <c r="B1610">
        <v>4137.99</v>
      </c>
      <c r="C1610">
        <f t="shared" si="200"/>
        <v>-2.1400124867564707E-2</v>
      </c>
      <c r="D1610">
        <f t="shared" si="207"/>
        <v>-3.1831709576887524E-2</v>
      </c>
      <c r="E1610">
        <f>_xlfn.XLOOKUP(A1610,VIX!A:A,VIX!B:B,"",-1)</f>
        <v>23.8</v>
      </c>
      <c r="F1610">
        <f t="shared" si="201"/>
        <v>3.1999999999999993</v>
      </c>
      <c r="G1610">
        <f>_xlfn.XLOOKUP(A1610,'DGS10'!A:A,'DGS10'!B:B,"",-1)</f>
        <v>3.03</v>
      </c>
      <c r="H1610">
        <f t="shared" si="202"/>
        <v>4.9999999999999822E-2</v>
      </c>
      <c r="I1610" s="2">
        <f>_xlfn.XLOOKUP(A1610,T10Y3M!A:A,T10Y3M!B:B,"",-1)</f>
        <v>0.21</v>
      </c>
      <c r="J1610" s="2">
        <f>_xlfn.XLOOKUP(A1610,BAMLC0A4CBBB!A:A,BAMLC0A4CBBB!B:B,"",-1)</f>
        <v>1.8</v>
      </c>
      <c r="K1610" s="2">
        <f>_xlfn.XLOOKUP(A1610,CPIAUCSL!A:A,CPIAUCSL!B:B,"",-1)</f>
        <v>295.09699999999998</v>
      </c>
      <c r="L1610">
        <f>_xlfn.XLOOKUP(A1610,DFF!A:A,DFF!B:B,"",-1)</f>
        <v>2.33</v>
      </c>
      <c r="M1610">
        <f>_xlfn.XLOOKUP(A1610,'DGS2'!A:A,'DGS2'!B:B,"",-1)</f>
        <v>3.32</v>
      </c>
      <c r="N1610">
        <f t="shared" si="203"/>
        <v>6.999999999999984E-2</v>
      </c>
      <c r="O1610">
        <f t="shared" si="204"/>
        <v>-2.2378014446627903E-3</v>
      </c>
      <c r="P1610">
        <f t="shared" si="205"/>
        <v>0</v>
      </c>
      <c r="Q1610">
        <f t="shared" si="206"/>
        <v>0</v>
      </c>
    </row>
    <row r="1611" spans="1:17">
      <c r="A1611" s="1">
        <v>44796</v>
      </c>
      <c r="B1611">
        <v>4128.7299999999996</v>
      </c>
      <c r="C1611">
        <f t="shared" si="200"/>
        <v>-2.2378014446627903E-3</v>
      </c>
      <c r="D1611">
        <f t="shared" si="207"/>
        <v>-3.6185669531764386E-2</v>
      </c>
      <c r="E1611">
        <f>_xlfn.XLOOKUP(A1611,VIX!A:A,VIX!B:B,"",-1)</f>
        <v>24.11</v>
      </c>
      <c r="F1611">
        <f t="shared" si="201"/>
        <v>0.30999999999999872</v>
      </c>
      <c r="G1611">
        <f>_xlfn.XLOOKUP(A1611,'DGS10'!A:A,'DGS10'!B:B,"",-1)</f>
        <v>3.05</v>
      </c>
      <c r="H1611">
        <f t="shared" si="202"/>
        <v>2.0000000000000018E-2</v>
      </c>
      <c r="I1611" s="2">
        <f>_xlfn.XLOOKUP(A1611,T10Y3M!A:A,T10Y3M!B:B,"",-1)</f>
        <v>0.25</v>
      </c>
      <c r="J1611" s="2">
        <f>_xlfn.XLOOKUP(A1611,BAMLC0A4CBBB!A:A,BAMLC0A4CBBB!B:B,"",-1)</f>
        <v>1.81</v>
      </c>
      <c r="K1611" s="2">
        <f>_xlfn.XLOOKUP(A1611,CPIAUCSL!A:A,CPIAUCSL!B:B,"",-1)</f>
        <v>295.09699999999998</v>
      </c>
      <c r="L1611">
        <f>_xlfn.XLOOKUP(A1611,DFF!A:A,DFF!B:B,"",-1)</f>
        <v>2.33</v>
      </c>
      <c r="M1611">
        <f>_xlfn.XLOOKUP(A1611,'DGS2'!A:A,'DGS2'!B:B,"",-1)</f>
        <v>3.29</v>
      </c>
      <c r="N1611">
        <f t="shared" si="203"/>
        <v>-2.9999999999999805E-2</v>
      </c>
      <c r="O1611">
        <f t="shared" si="204"/>
        <v>2.9161509713642175E-3</v>
      </c>
      <c r="P1611">
        <f t="shared" si="205"/>
        <v>1</v>
      </c>
      <c r="Q1611">
        <f t="shared" si="206"/>
        <v>0</v>
      </c>
    </row>
    <row r="1612" spans="1:17">
      <c r="A1612" s="1">
        <v>44797</v>
      </c>
      <c r="B1612">
        <v>4140.7700000000004</v>
      </c>
      <c r="C1612">
        <f t="shared" si="200"/>
        <v>2.9161509713642175E-3</v>
      </c>
      <c r="D1612">
        <f t="shared" si="207"/>
        <v>-2.0742678220069366E-2</v>
      </c>
      <c r="E1612">
        <f>_xlfn.XLOOKUP(A1612,VIX!A:A,VIX!B:B,"",-1)</f>
        <v>22.82</v>
      </c>
      <c r="F1612">
        <f t="shared" si="201"/>
        <v>-1.2899999999999991</v>
      </c>
      <c r="G1612">
        <f>_xlfn.XLOOKUP(A1612,'DGS10'!A:A,'DGS10'!B:B,"",-1)</f>
        <v>3.11</v>
      </c>
      <c r="H1612">
        <f t="shared" si="202"/>
        <v>6.0000000000000053E-2</v>
      </c>
      <c r="I1612" s="2">
        <f>_xlfn.XLOOKUP(A1612,T10Y3M!A:A,T10Y3M!B:B,"",-1)</f>
        <v>0.28999999999999998</v>
      </c>
      <c r="J1612" s="2">
        <f>_xlfn.XLOOKUP(A1612,BAMLC0A4CBBB!A:A,BAMLC0A4CBBB!B:B,"",-1)</f>
        <v>1.8</v>
      </c>
      <c r="K1612" s="2">
        <f>_xlfn.XLOOKUP(A1612,CPIAUCSL!A:A,CPIAUCSL!B:B,"",-1)</f>
        <v>295.09699999999998</v>
      </c>
      <c r="L1612">
        <f>_xlfn.XLOOKUP(A1612,DFF!A:A,DFF!B:B,"",-1)</f>
        <v>2.33</v>
      </c>
      <c r="M1612">
        <f>_xlfn.XLOOKUP(A1612,'DGS2'!A:A,'DGS2'!B:B,"",-1)</f>
        <v>3.36</v>
      </c>
      <c r="N1612">
        <f t="shared" si="203"/>
        <v>6.999999999999984E-2</v>
      </c>
      <c r="O1612">
        <f t="shared" si="204"/>
        <v>1.4091582000449021E-2</v>
      </c>
      <c r="P1612">
        <f t="shared" si="205"/>
        <v>1</v>
      </c>
      <c r="Q1612">
        <f t="shared" si="206"/>
        <v>1</v>
      </c>
    </row>
    <row r="1613" spans="1:17">
      <c r="A1613" s="1">
        <v>44798</v>
      </c>
      <c r="B1613">
        <v>4199.12</v>
      </c>
      <c r="C1613">
        <f t="shared" si="200"/>
        <v>1.4091582000449021E-2</v>
      </c>
      <c r="D1613">
        <f t="shared" si="207"/>
        <v>1.4772872819895699E-2</v>
      </c>
      <c r="E1613">
        <f>_xlfn.XLOOKUP(A1613,VIX!A:A,VIX!B:B,"",-1)</f>
        <v>21.78</v>
      </c>
      <c r="F1613">
        <f t="shared" si="201"/>
        <v>-1.0399999999999991</v>
      </c>
      <c r="G1613">
        <f>_xlfn.XLOOKUP(A1613,'DGS10'!A:A,'DGS10'!B:B,"",-1)</f>
        <v>3.03</v>
      </c>
      <c r="H1613">
        <f t="shared" si="202"/>
        <v>-8.0000000000000071E-2</v>
      </c>
      <c r="I1613" s="2">
        <f>_xlfn.XLOOKUP(A1613,T10Y3M!A:A,T10Y3M!B:B,"",-1)</f>
        <v>0.15</v>
      </c>
      <c r="J1613" s="2">
        <f>_xlfn.XLOOKUP(A1613,BAMLC0A4CBBB!A:A,BAMLC0A4CBBB!B:B,"",-1)</f>
        <v>1.78</v>
      </c>
      <c r="K1613" s="2">
        <f>_xlfn.XLOOKUP(A1613,CPIAUCSL!A:A,CPIAUCSL!B:B,"",-1)</f>
        <v>295.09699999999998</v>
      </c>
      <c r="L1613">
        <f>_xlfn.XLOOKUP(A1613,DFF!A:A,DFF!B:B,"",-1)</f>
        <v>2.33</v>
      </c>
      <c r="M1613">
        <f>_xlfn.XLOOKUP(A1613,'DGS2'!A:A,'DGS2'!B:B,"",-1)</f>
        <v>3.35</v>
      </c>
      <c r="N1613">
        <f t="shared" si="203"/>
        <v>-9.9999999999997868E-3</v>
      </c>
      <c r="O1613">
        <f t="shared" si="204"/>
        <v>-3.3688010821315006E-2</v>
      </c>
      <c r="P1613">
        <f t="shared" si="205"/>
        <v>0</v>
      </c>
      <c r="Q1613">
        <f t="shared" si="206"/>
        <v>-1</v>
      </c>
    </row>
    <row r="1614" spans="1:17">
      <c r="A1614" s="1">
        <v>44799</v>
      </c>
      <c r="B1614">
        <v>4057.66</v>
      </c>
      <c r="C1614">
        <f t="shared" si="200"/>
        <v>-3.3688010821315006E-2</v>
      </c>
      <c r="D1614">
        <f t="shared" si="207"/>
        <v>-1.7213525708874133E-2</v>
      </c>
      <c r="E1614">
        <f>_xlfn.XLOOKUP(A1614,VIX!A:A,VIX!B:B,"",-1)</f>
        <v>25.56</v>
      </c>
      <c r="F1614">
        <f t="shared" si="201"/>
        <v>3.7799999999999976</v>
      </c>
      <c r="G1614">
        <f>_xlfn.XLOOKUP(A1614,'DGS10'!A:A,'DGS10'!B:B,"",-1)</f>
        <v>3.04</v>
      </c>
      <c r="H1614">
        <f t="shared" si="202"/>
        <v>1.0000000000000231E-2</v>
      </c>
      <c r="I1614" s="2">
        <f>_xlfn.XLOOKUP(A1614,T10Y3M!A:A,T10Y3M!B:B,"",-1)</f>
        <v>0.15</v>
      </c>
      <c r="J1614" s="2">
        <f>_xlfn.XLOOKUP(A1614,BAMLC0A4CBBB!A:A,BAMLC0A4CBBB!B:B,"",-1)</f>
        <v>1.78</v>
      </c>
      <c r="K1614" s="2">
        <f>_xlfn.XLOOKUP(A1614,CPIAUCSL!A:A,CPIAUCSL!B:B,"",-1)</f>
        <v>295.09699999999998</v>
      </c>
      <c r="L1614">
        <f>_xlfn.XLOOKUP(A1614,DFF!A:A,DFF!B:B,"",-1)</f>
        <v>2.33</v>
      </c>
      <c r="M1614">
        <f>_xlfn.XLOOKUP(A1614,'DGS2'!A:A,'DGS2'!B:B,"",-1)</f>
        <v>3.37</v>
      </c>
      <c r="N1614">
        <f t="shared" si="203"/>
        <v>2.0000000000000018E-2</v>
      </c>
      <c r="O1614">
        <f t="shared" si="204"/>
        <v>-6.6664037893761074E-3</v>
      </c>
      <c r="P1614">
        <f t="shared" si="205"/>
        <v>0</v>
      </c>
      <c r="Q1614">
        <f t="shared" si="206"/>
        <v>-1</v>
      </c>
    </row>
    <row r="1615" spans="1:17">
      <c r="A1615" s="1">
        <v>44802</v>
      </c>
      <c r="B1615">
        <v>4030.61</v>
      </c>
      <c r="C1615">
        <f t="shared" si="200"/>
        <v>-6.6664037893761074E-3</v>
      </c>
      <c r="D1615">
        <f t="shared" si="207"/>
        <v>-2.6603747612159112E-2</v>
      </c>
      <c r="E1615">
        <f>_xlfn.XLOOKUP(A1615,VIX!A:A,VIX!B:B,"",-1)</f>
        <v>26.21</v>
      </c>
      <c r="F1615">
        <f t="shared" si="201"/>
        <v>0.65000000000000213</v>
      </c>
      <c r="G1615">
        <f>_xlfn.XLOOKUP(A1615,'DGS10'!A:A,'DGS10'!B:B,"",-1)</f>
        <v>3.12</v>
      </c>
      <c r="H1615">
        <f t="shared" si="202"/>
        <v>8.0000000000000071E-2</v>
      </c>
      <c r="I1615" s="2">
        <f>_xlfn.XLOOKUP(A1615,T10Y3M!A:A,T10Y3M!B:B,"",-1)</f>
        <v>0.15</v>
      </c>
      <c r="J1615" s="2">
        <f>_xlfn.XLOOKUP(A1615,BAMLC0A4CBBB!A:A,BAMLC0A4CBBB!B:B,"",-1)</f>
        <v>1.81</v>
      </c>
      <c r="K1615" s="2">
        <f>_xlfn.XLOOKUP(A1615,CPIAUCSL!A:A,CPIAUCSL!B:B,"",-1)</f>
        <v>295.09699999999998</v>
      </c>
      <c r="L1615">
        <f>_xlfn.XLOOKUP(A1615,DFF!A:A,DFF!B:B,"",-1)</f>
        <v>2.33</v>
      </c>
      <c r="M1615">
        <f>_xlfn.XLOOKUP(A1615,'DGS2'!A:A,'DGS2'!B:B,"",-1)</f>
        <v>3.42</v>
      </c>
      <c r="N1615">
        <f t="shared" si="203"/>
        <v>4.9999999999999822E-2</v>
      </c>
      <c r="O1615">
        <f t="shared" si="204"/>
        <v>-1.1028107408059928E-2</v>
      </c>
      <c r="P1615">
        <f t="shared" si="205"/>
        <v>0</v>
      </c>
      <c r="Q1615">
        <f t="shared" si="206"/>
        <v>-1</v>
      </c>
    </row>
    <row r="1616" spans="1:17">
      <c r="A1616" s="1">
        <v>44803</v>
      </c>
      <c r="B1616">
        <v>3986.16</v>
      </c>
      <c r="C1616">
        <f t="shared" si="200"/>
        <v>-1.1028107408059928E-2</v>
      </c>
      <c r="D1616">
        <f t="shared" si="207"/>
        <v>-5.0715387986054239E-2</v>
      </c>
      <c r="E1616">
        <f>_xlfn.XLOOKUP(A1616,VIX!A:A,VIX!B:B,"",-1)</f>
        <v>26.21</v>
      </c>
      <c r="F1616">
        <f t="shared" si="201"/>
        <v>0</v>
      </c>
      <c r="G1616">
        <f>_xlfn.XLOOKUP(A1616,'DGS10'!A:A,'DGS10'!B:B,"",-1)</f>
        <v>3.11</v>
      </c>
      <c r="H1616">
        <f t="shared" si="202"/>
        <v>-1.0000000000000231E-2</v>
      </c>
      <c r="I1616" s="2">
        <f>_xlfn.XLOOKUP(A1616,T10Y3M!A:A,T10Y3M!B:B,"",-1)</f>
        <v>0.14000000000000001</v>
      </c>
      <c r="J1616" s="2">
        <f>_xlfn.XLOOKUP(A1616,BAMLC0A4CBBB!A:A,BAMLC0A4CBBB!B:B,"",-1)</f>
        <v>1.82</v>
      </c>
      <c r="K1616" s="2">
        <f>_xlfn.XLOOKUP(A1616,CPIAUCSL!A:A,CPIAUCSL!B:B,"",-1)</f>
        <v>295.09699999999998</v>
      </c>
      <c r="L1616">
        <f>_xlfn.XLOOKUP(A1616,DFF!A:A,DFF!B:B,"",-1)</f>
        <v>2.33</v>
      </c>
      <c r="M1616">
        <f>_xlfn.XLOOKUP(A1616,'DGS2'!A:A,'DGS2'!B:B,"",-1)</f>
        <v>3.46</v>
      </c>
      <c r="N1616">
        <f t="shared" si="203"/>
        <v>4.0000000000000036E-2</v>
      </c>
      <c r="O1616">
        <f t="shared" si="204"/>
        <v>-7.8170469825595834E-3</v>
      </c>
      <c r="P1616">
        <f t="shared" si="205"/>
        <v>0</v>
      </c>
      <c r="Q1616">
        <f t="shared" si="206"/>
        <v>-1</v>
      </c>
    </row>
    <row r="1617" spans="1:17">
      <c r="A1617" s="1">
        <v>44804</v>
      </c>
      <c r="B1617">
        <v>3955</v>
      </c>
      <c r="C1617">
        <f t="shared" si="200"/>
        <v>-7.8170469825595834E-3</v>
      </c>
      <c r="D1617">
        <f t="shared" si="207"/>
        <v>-2.5300296229846753E-2</v>
      </c>
      <c r="E1617">
        <f>_xlfn.XLOOKUP(A1617,VIX!A:A,VIX!B:B,"",-1)</f>
        <v>25.87</v>
      </c>
      <c r="F1617">
        <f t="shared" si="201"/>
        <v>-0.33999999999999986</v>
      </c>
      <c r="G1617">
        <f>_xlfn.XLOOKUP(A1617,'DGS10'!A:A,'DGS10'!B:B,"",-1)</f>
        <v>3.15</v>
      </c>
      <c r="H1617">
        <f t="shared" si="202"/>
        <v>4.0000000000000036E-2</v>
      </c>
      <c r="I1617" s="2">
        <f>_xlfn.XLOOKUP(A1617,T10Y3M!A:A,T10Y3M!B:B,"",-1)</f>
        <v>0.19</v>
      </c>
      <c r="J1617" s="2">
        <f>_xlfn.XLOOKUP(A1617,BAMLC0A4CBBB!A:A,BAMLC0A4CBBB!B:B,"",-1)</f>
        <v>1.85</v>
      </c>
      <c r="K1617" s="2">
        <f>_xlfn.XLOOKUP(A1617,CPIAUCSL!A:A,CPIAUCSL!B:B,"",-1)</f>
        <v>295.09699999999998</v>
      </c>
      <c r="L1617">
        <f>_xlfn.XLOOKUP(A1617,DFF!A:A,DFF!B:B,"",-1)</f>
        <v>2.33</v>
      </c>
      <c r="M1617">
        <f>_xlfn.XLOOKUP(A1617,'DGS2'!A:A,'DGS2'!B:B,"",-1)</f>
        <v>3.45</v>
      </c>
      <c r="N1617">
        <f t="shared" si="203"/>
        <v>-9.9999999999997868E-3</v>
      </c>
      <c r="O1617">
        <f t="shared" si="204"/>
        <v>2.9962073324905081E-3</v>
      </c>
      <c r="P1617">
        <f t="shared" si="205"/>
        <v>1</v>
      </c>
      <c r="Q1617">
        <f t="shared" si="206"/>
        <v>0</v>
      </c>
    </row>
    <row r="1618" spans="1:17">
      <c r="A1618" s="1">
        <v>44805</v>
      </c>
      <c r="B1618">
        <v>3966.85</v>
      </c>
      <c r="C1618">
        <f t="shared" si="200"/>
        <v>2.9962073324905081E-3</v>
      </c>
      <c r="D1618">
        <f t="shared" si="207"/>
        <v>-1.5818945519412764E-2</v>
      </c>
      <c r="E1618">
        <f>_xlfn.XLOOKUP(A1618,VIX!A:A,VIX!B:B,"",-1)</f>
        <v>25.56</v>
      </c>
      <c r="F1618">
        <f t="shared" si="201"/>
        <v>-0.31000000000000227</v>
      </c>
      <c r="G1618">
        <f>_xlfn.XLOOKUP(A1618,'DGS10'!A:A,'DGS10'!B:B,"",-1)</f>
        <v>3.26</v>
      </c>
      <c r="H1618">
        <f t="shared" si="202"/>
        <v>0.10999999999999988</v>
      </c>
      <c r="I1618" s="2">
        <f>_xlfn.XLOOKUP(A1618,T10Y3M!A:A,T10Y3M!B:B,"",-1)</f>
        <v>0.28999999999999998</v>
      </c>
      <c r="J1618" s="2">
        <f>_xlfn.XLOOKUP(A1618,BAMLC0A4CBBB!A:A,BAMLC0A4CBBB!B:B,"",-1)</f>
        <v>1.88</v>
      </c>
      <c r="K1618" s="2">
        <f>_xlfn.XLOOKUP(A1618,CPIAUCSL!A:A,CPIAUCSL!B:B,"",-1)</f>
        <v>296.34899999999999</v>
      </c>
      <c r="L1618">
        <f>_xlfn.XLOOKUP(A1618,DFF!A:A,DFF!B:B,"",-1)</f>
        <v>2.33</v>
      </c>
      <c r="M1618">
        <f>_xlfn.XLOOKUP(A1618,'DGS2'!A:A,'DGS2'!B:B,"",-1)</f>
        <v>3.51</v>
      </c>
      <c r="N1618">
        <f t="shared" si="203"/>
        <v>5.9999999999999609E-2</v>
      </c>
      <c r="O1618">
        <f t="shared" si="204"/>
        <v>-1.0736478566116592E-2</v>
      </c>
      <c r="P1618">
        <f t="shared" si="205"/>
        <v>0</v>
      </c>
      <c r="Q1618">
        <f t="shared" si="206"/>
        <v>-1</v>
      </c>
    </row>
    <row r="1619" spans="1:17">
      <c r="A1619" s="1">
        <v>44806</v>
      </c>
      <c r="B1619">
        <v>3924.26</v>
      </c>
      <c r="C1619">
        <f t="shared" si="200"/>
        <v>-1.0736478566116592E-2</v>
      </c>
      <c r="D1619">
        <f t="shared" si="207"/>
        <v>-1.5528729403736841E-2</v>
      </c>
      <c r="E1619">
        <f>_xlfn.XLOOKUP(A1619,VIX!A:A,VIX!B:B,"",-1)</f>
        <v>25.47</v>
      </c>
      <c r="F1619">
        <f t="shared" si="201"/>
        <v>-8.9999999999999858E-2</v>
      </c>
      <c r="G1619">
        <f>_xlfn.XLOOKUP(A1619,'DGS10'!A:A,'DGS10'!B:B,"",-1)</f>
        <v>3.2</v>
      </c>
      <c r="H1619">
        <f t="shared" si="202"/>
        <v>-5.9999999999999609E-2</v>
      </c>
      <c r="I1619" s="2">
        <f>_xlfn.XLOOKUP(A1619,T10Y3M!A:A,T10Y3M!B:B,"",-1)</f>
        <v>0.26</v>
      </c>
      <c r="J1619" s="2">
        <f>_xlfn.XLOOKUP(A1619,BAMLC0A4CBBB!A:A,BAMLC0A4CBBB!B:B,"",-1)</f>
        <v>1.88</v>
      </c>
      <c r="K1619" s="2">
        <f>_xlfn.XLOOKUP(A1619,CPIAUCSL!A:A,CPIAUCSL!B:B,"",-1)</f>
        <v>296.34899999999999</v>
      </c>
      <c r="L1619">
        <f>_xlfn.XLOOKUP(A1619,DFF!A:A,DFF!B:B,"",-1)</f>
        <v>2.33</v>
      </c>
      <c r="M1619">
        <f>_xlfn.XLOOKUP(A1619,'DGS2'!A:A,'DGS2'!B:B,"",-1)</f>
        <v>3.4</v>
      </c>
      <c r="N1619">
        <f t="shared" si="203"/>
        <v>-0.10999999999999988</v>
      </c>
      <c r="O1619">
        <f t="shared" si="204"/>
        <v>-4.095039574340209E-3</v>
      </c>
      <c r="P1619">
        <f t="shared" si="205"/>
        <v>0</v>
      </c>
      <c r="Q1619">
        <f t="shared" si="206"/>
        <v>-1</v>
      </c>
    </row>
    <row r="1620" spans="1:17">
      <c r="A1620" s="1">
        <v>44810</v>
      </c>
      <c r="B1620">
        <v>3908.19</v>
      </c>
      <c r="C1620">
        <f t="shared" si="200"/>
        <v>-4.095039574340209E-3</v>
      </c>
      <c r="D1620">
        <f t="shared" si="207"/>
        <v>-1.183565107458906E-2</v>
      </c>
      <c r="E1620">
        <f>_xlfn.XLOOKUP(A1620,VIX!A:A,VIX!B:B,"",-1)</f>
        <v>26.91</v>
      </c>
      <c r="F1620">
        <f t="shared" si="201"/>
        <v>1.4400000000000013</v>
      </c>
      <c r="G1620">
        <f>_xlfn.XLOOKUP(A1620,'DGS10'!A:A,'DGS10'!B:B,"",-1)</f>
        <v>3.33</v>
      </c>
      <c r="H1620">
        <f t="shared" si="202"/>
        <v>0.12999999999999989</v>
      </c>
      <c r="I1620" s="2">
        <f>_xlfn.XLOOKUP(A1620,T10Y3M!A:A,T10Y3M!B:B,"",-1)</f>
        <v>0.28999999999999998</v>
      </c>
      <c r="J1620" s="2">
        <f>_xlfn.XLOOKUP(A1620,BAMLC0A4CBBB!A:A,BAMLC0A4CBBB!B:B,"",-1)</f>
        <v>1.88</v>
      </c>
      <c r="K1620" s="2">
        <f>_xlfn.XLOOKUP(A1620,CPIAUCSL!A:A,CPIAUCSL!B:B,"",-1)</f>
        <v>296.34899999999999</v>
      </c>
      <c r="L1620">
        <f>_xlfn.XLOOKUP(A1620,DFF!A:A,DFF!B:B,"",-1)</f>
        <v>2.33</v>
      </c>
      <c r="M1620">
        <f>_xlfn.XLOOKUP(A1620,'DGS2'!A:A,'DGS2'!B:B,"",-1)</f>
        <v>3.5</v>
      </c>
      <c r="N1620">
        <f t="shared" si="203"/>
        <v>0.10000000000000009</v>
      </c>
      <c r="O1620">
        <f t="shared" si="204"/>
        <v>1.8340971140093032E-2</v>
      </c>
      <c r="P1620">
        <f t="shared" si="205"/>
        <v>1</v>
      </c>
      <c r="Q1620">
        <f t="shared" si="206"/>
        <v>1</v>
      </c>
    </row>
    <row r="1621" spans="1:17">
      <c r="A1621" s="1">
        <v>44811</v>
      </c>
      <c r="B1621">
        <v>3979.87</v>
      </c>
      <c r="C1621">
        <f t="shared" si="200"/>
        <v>1.8340971140093032E-2</v>
      </c>
      <c r="D1621">
        <f t="shared" si="207"/>
        <v>3.2822012427997649E-3</v>
      </c>
      <c r="E1621">
        <f>_xlfn.XLOOKUP(A1621,VIX!A:A,VIX!B:B,"",-1)</f>
        <v>24.64</v>
      </c>
      <c r="F1621">
        <f t="shared" si="201"/>
        <v>-2.2699999999999996</v>
      </c>
      <c r="G1621">
        <f>_xlfn.XLOOKUP(A1621,'DGS10'!A:A,'DGS10'!B:B,"",-1)</f>
        <v>3.27</v>
      </c>
      <c r="H1621">
        <f t="shared" si="202"/>
        <v>-6.0000000000000053E-2</v>
      </c>
      <c r="I1621" s="2">
        <f>_xlfn.XLOOKUP(A1621,T10Y3M!A:A,T10Y3M!B:B,"",-1)</f>
        <v>0.2</v>
      </c>
      <c r="J1621" s="2">
        <f>_xlfn.XLOOKUP(A1621,BAMLC0A4CBBB!A:A,BAMLC0A4CBBB!B:B,"",-1)</f>
        <v>1.88</v>
      </c>
      <c r="K1621" s="2">
        <f>_xlfn.XLOOKUP(A1621,CPIAUCSL!A:A,CPIAUCSL!B:B,"",-1)</f>
        <v>296.34899999999999</v>
      </c>
      <c r="L1621">
        <f>_xlfn.XLOOKUP(A1621,DFF!A:A,DFF!B:B,"",-1)</f>
        <v>2.33</v>
      </c>
      <c r="M1621">
        <f>_xlfn.XLOOKUP(A1621,'DGS2'!A:A,'DGS2'!B:B,"",-1)</f>
        <v>3.45</v>
      </c>
      <c r="N1621">
        <f t="shared" si="203"/>
        <v>-4.9999999999999822E-2</v>
      </c>
      <c r="O1621">
        <f t="shared" si="204"/>
        <v>6.6107686934497867E-3</v>
      </c>
      <c r="P1621">
        <f t="shared" si="205"/>
        <v>1</v>
      </c>
      <c r="Q1621">
        <f t="shared" si="206"/>
        <v>1</v>
      </c>
    </row>
    <row r="1622" spans="1:17">
      <c r="A1622" s="1">
        <v>44812</v>
      </c>
      <c r="B1622">
        <v>4006.18</v>
      </c>
      <c r="C1622">
        <f t="shared" si="200"/>
        <v>6.6107686934497867E-3</v>
      </c>
      <c r="D1622">
        <f t="shared" si="207"/>
        <v>2.0875273299934216E-2</v>
      </c>
      <c r="E1622">
        <f>_xlfn.XLOOKUP(A1622,VIX!A:A,VIX!B:B,"",-1)</f>
        <v>23.61</v>
      </c>
      <c r="F1622">
        <f t="shared" si="201"/>
        <v>-1.0300000000000011</v>
      </c>
      <c r="G1622">
        <f>_xlfn.XLOOKUP(A1622,'DGS10'!A:A,'DGS10'!B:B,"",-1)</f>
        <v>3.29</v>
      </c>
      <c r="H1622">
        <f t="shared" si="202"/>
        <v>2.0000000000000018E-2</v>
      </c>
      <c r="I1622" s="2">
        <f>_xlfn.XLOOKUP(A1622,T10Y3M!A:A,T10Y3M!B:B,"",-1)</f>
        <v>0.23</v>
      </c>
      <c r="J1622" s="2">
        <f>_xlfn.XLOOKUP(A1622,BAMLC0A4CBBB!A:A,BAMLC0A4CBBB!B:B,"",-1)</f>
        <v>1.86</v>
      </c>
      <c r="K1622" s="2">
        <f>_xlfn.XLOOKUP(A1622,CPIAUCSL!A:A,CPIAUCSL!B:B,"",-1)</f>
        <v>296.34899999999999</v>
      </c>
      <c r="L1622">
        <f>_xlfn.XLOOKUP(A1622,DFF!A:A,DFF!B:B,"",-1)</f>
        <v>2.33</v>
      </c>
      <c r="M1622">
        <f>_xlfn.XLOOKUP(A1622,'DGS2'!A:A,'DGS2'!B:B,"",-1)</f>
        <v>3.48</v>
      </c>
      <c r="N1622">
        <f t="shared" si="203"/>
        <v>2.9999999999999805E-2</v>
      </c>
      <c r="O1622">
        <f t="shared" si="204"/>
        <v>1.5271405678227268E-2</v>
      </c>
      <c r="P1622">
        <f t="shared" si="205"/>
        <v>1</v>
      </c>
      <c r="Q1622">
        <f t="shared" si="206"/>
        <v>1</v>
      </c>
    </row>
    <row r="1623" spans="1:17">
      <c r="A1623" s="1">
        <v>44813</v>
      </c>
      <c r="B1623">
        <v>4067.36</v>
      </c>
      <c r="C1623">
        <f t="shared" si="200"/>
        <v>1.5271405678227268E-2</v>
      </c>
      <c r="D1623">
        <f t="shared" si="207"/>
        <v>4.0727293197106551E-2</v>
      </c>
      <c r="E1623">
        <f>_xlfn.XLOOKUP(A1623,VIX!A:A,VIX!B:B,"",-1)</f>
        <v>22.79</v>
      </c>
      <c r="F1623">
        <f t="shared" si="201"/>
        <v>-0.82000000000000028</v>
      </c>
      <c r="G1623">
        <f>_xlfn.XLOOKUP(A1623,'DGS10'!A:A,'DGS10'!B:B,"",-1)</f>
        <v>3.33</v>
      </c>
      <c r="H1623">
        <f t="shared" si="202"/>
        <v>4.0000000000000036E-2</v>
      </c>
      <c r="I1623" s="2">
        <f>_xlfn.XLOOKUP(A1623,T10Y3M!A:A,T10Y3M!B:B,"",-1)</f>
        <v>0.25</v>
      </c>
      <c r="J1623" s="2">
        <f>_xlfn.XLOOKUP(A1623,BAMLC0A4CBBB!A:A,BAMLC0A4CBBB!B:B,"",-1)</f>
        <v>1.83</v>
      </c>
      <c r="K1623" s="2">
        <f>_xlfn.XLOOKUP(A1623,CPIAUCSL!A:A,CPIAUCSL!B:B,"",-1)</f>
        <v>296.34899999999999</v>
      </c>
      <c r="L1623">
        <f>_xlfn.XLOOKUP(A1623,DFF!A:A,DFF!B:B,"",-1)</f>
        <v>2.33</v>
      </c>
      <c r="M1623">
        <f>_xlfn.XLOOKUP(A1623,'DGS2'!A:A,'DGS2'!B:B,"",-1)</f>
        <v>3.56</v>
      </c>
      <c r="N1623">
        <f t="shared" si="203"/>
        <v>8.0000000000000071E-2</v>
      </c>
      <c r="O1623">
        <f t="shared" si="204"/>
        <v>1.058426104401855E-2</v>
      </c>
      <c r="P1623">
        <f t="shared" si="205"/>
        <v>1</v>
      </c>
      <c r="Q1623">
        <f t="shared" si="206"/>
        <v>1</v>
      </c>
    </row>
    <row r="1624" spans="1:17">
      <c r="A1624" s="1">
        <v>44816</v>
      </c>
      <c r="B1624">
        <v>4110.41</v>
      </c>
      <c r="C1624">
        <f t="shared" si="200"/>
        <v>1.058426104401855E-2</v>
      </c>
      <c r="D1624">
        <f t="shared" si="207"/>
        <v>3.280006633382504E-2</v>
      </c>
      <c r="E1624">
        <f>_xlfn.XLOOKUP(A1624,VIX!A:A,VIX!B:B,"",-1)</f>
        <v>23.87</v>
      </c>
      <c r="F1624">
        <f t="shared" si="201"/>
        <v>1.0800000000000018</v>
      </c>
      <c r="G1624">
        <f>_xlfn.XLOOKUP(A1624,'DGS10'!A:A,'DGS10'!B:B,"",-1)</f>
        <v>3.37</v>
      </c>
      <c r="H1624">
        <f t="shared" si="202"/>
        <v>4.0000000000000036E-2</v>
      </c>
      <c r="I1624" s="2">
        <f>_xlfn.XLOOKUP(A1624,T10Y3M!A:A,T10Y3M!B:B,"",-1)</f>
        <v>0.2</v>
      </c>
      <c r="J1624" s="2">
        <f>_xlfn.XLOOKUP(A1624,BAMLC0A4CBBB!A:A,BAMLC0A4CBBB!B:B,"",-1)</f>
        <v>1.82</v>
      </c>
      <c r="K1624" s="2">
        <f>_xlfn.XLOOKUP(A1624,CPIAUCSL!A:A,CPIAUCSL!B:B,"",-1)</f>
        <v>296.34899999999999</v>
      </c>
      <c r="L1624">
        <f>_xlfn.XLOOKUP(A1624,DFF!A:A,DFF!B:B,"",-1)</f>
        <v>2.33</v>
      </c>
      <c r="M1624">
        <f>_xlfn.XLOOKUP(A1624,'DGS2'!A:A,'DGS2'!B:B,"",-1)</f>
        <v>3.58</v>
      </c>
      <c r="N1624">
        <f t="shared" si="203"/>
        <v>2.0000000000000018E-2</v>
      </c>
      <c r="O1624">
        <f t="shared" si="204"/>
        <v>-4.3236562775976095E-2</v>
      </c>
      <c r="P1624">
        <f t="shared" si="205"/>
        <v>0</v>
      </c>
      <c r="Q1624">
        <f t="shared" si="206"/>
        <v>-1</v>
      </c>
    </row>
    <row r="1625" spans="1:17">
      <c r="A1625" s="1">
        <v>44817</v>
      </c>
      <c r="B1625">
        <v>3932.69</v>
      </c>
      <c r="C1625">
        <f t="shared" si="200"/>
        <v>-4.3236562775976095E-2</v>
      </c>
      <c r="D1625">
        <f t="shared" si="207"/>
        <v>-1.8344158275464317E-2</v>
      </c>
      <c r="E1625">
        <f>_xlfn.XLOOKUP(A1625,VIX!A:A,VIX!B:B,"",-1)</f>
        <v>27.27</v>
      </c>
      <c r="F1625">
        <f t="shared" si="201"/>
        <v>3.3999999999999986</v>
      </c>
      <c r="G1625">
        <f>_xlfn.XLOOKUP(A1625,'DGS10'!A:A,'DGS10'!B:B,"",-1)</f>
        <v>3.42</v>
      </c>
      <c r="H1625">
        <f t="shared" si="202"/>
        <v>4.9999999999999822E-2</v>
      </c>
      <c r="I1625" s="2">
        <f>_xlfn.XLOOKUP(A1625,T10Y3M!A:A,T10Y3M!B:B,"",-1)</f>
        <v>0.14000000000000001</v>
      </c>
      <c r="J1625" s="2">
        <f>_xlfn.XLOOKUP(A1625,BAMLC0A4CBBB!A:A,BAMLC0A4CBBB!B:B,"",-1)</f>
        <v>1.83</v>
      </c>
      <c r="K1625" s="2">
        <f>_xlfn.XLOOKUP(A1625,CPIAUCSL!A:A,CPIAUCSL!B:B,"",-1)</f>
        <v>296.34899999999999</v>
      </c>
      <c r="L1625">
        <f>_xlfn.XLOOKUP(A1625,DFF!A:A,DFF!B:B,"",-1)</f>
        <v>2.33</v>
      </c>
      <c r="M1625">
        <f>_xlfn.XLOOKUP(A1625,'DGS2'!A:A,'DGS2'!B:B,"",-1)</f>
        <v>3.75</v>
      </c>
      <c r="N1625">
        <f t="shared" si="203"/>
        <v>0.16999999999999993</v>
      </c>
      <c r="O1625">
        <f t="shared" si="204"/>
        <v>3.3869946525153516E-3</v>
      </c>
      <c r="P1625">
        <f t="shared" si="205"/>
        <v>1</v>
      </c>
      <c r="Q1625">
        <f t="shared" si="206"/>
        <v>1</v>
      </c>
    </row>
    <row r="1626" spans="1:17">
      <c r="A1626" s="1">
        <v>44818</v>
      </c>
      <c r="B1626">
        <v>3946.01</v>
      </c>
      <c r="C1626">
        <f t="shared" si="200"/>
        <v>3.3869946525153516E-3</v>
      </c>
      <c r="D1626">
        <f t="shared" si="207"/>
        <v>-2.9835077298296708E-2</v>
      </c>
      <c r="E1626">
        <f>_xlfn.XLOOKUP(A1626,VIX!A:A,VIX!B:B,"",-1)</f>
        <v>26.16</v>
      </c>
      <c r="F1626">
        <f t="shared" si="201"/>
        <v>-1.1099999999999994</v>
      </c>
      <c r="G1626">
        <f>_xlfn.XLOOKUP(A1626,'DGS10'!A:A,'DGS10'!B:B,"",-1)</f>
        <v>3.41</v>
      </c>
      <c r="H1626">
        <f t="shared" si="202"/>
        <v>-9.9999999999997868E-3</v>
      </c>
      <c r="I1626" s="2">
        <f>_xlfn.XLOOKUP(A1626,T10Y3M!A:A,T10Y3M!B:B,"",-1)</f>
        <v>0.17</v>
      </c>
      <c r="J1626" s="2">
        <f>_xlfn.XLOOKUP(A1626,BAMLC0A4CBBB!A:A,BAMLC0A4CBBB!B:B,"",-1)</f>
        <v>1.82</v>
      </c>
      <c r="K1626" s="2">
        <f>_xlfn.XLOOKUP(A1626,CPIAUCSL!A:A,CPIAUCSL!B:B,"",-1)</f>
        <v>296.34899999999999</v>
      </c>
      <c r="L1626">
        <f>_xlfn.XLOOKUP(A1626,DFF!A:A,DFF!B:B,"",-1)</f>
        <v>2.33</v>
      </c>
      <c r="M1626">
        <f>_xlfn.XLOOKUP(A1626,'DGS2'!A:A,'DGS2'!B:B,"",-1)</f>
        <v>3.78</v>
      </c>
      <c r="N1626">
        <f t="shared" si="203"/>
        <v>2.9999999999999805E-2</v>
      </c>
      <c r="O1626">
        <f t="shared" si="204"/>
        <v>-1.1317761485652666E-2</v>
      </c>
      <c r="P1626">
        <f t="shared" si="205"/>
        <v>0</v>
      </c>
      <c r="Q1626">
        <f t="shared" si="206"/>
        <v>-1</v>
      </c>
    </row>
    <row r="1627" spans="1:17">
      <c r="A1627" s="1">
        <v>44819</v>
      </c>
      <c r="B1627">
        <v>3901.35</v>
      </c>
      <c r="C1627">
        <f t="shared" si="200"/>
        <v>-1.1317761485652666E-2</v>
      </c>
      <c r="D1627">
        <f t="shared" si="207"/>
        <v>-5.0861106312995563E-2</v>
      </c>
      <c r="E1627">
        <f>_xlfn.XLOOKUP(A1627,VIX!A:A,VIX!B:B,"",-1)</f>
        <v>26.27</v>
      </c>
      <c r="F1627">
        <f t="shared" si="201"/>
        <v>0.10999999999999943</v>
      </c>
      <c r="G1627">
        <f>_xlfn.XLOOKUP(A1627,'DGS10'!A:A,'DGS10'!B:B,"",-1)</f>
        <v>3.45</v>
      </c>
      <c r="H1627">
        <f t="shared" si="202"/>
        <v>4.0000000000000036E-2</v>
      </c>
      <c r="I1627" s="2">
        <f>_xlfn.XLOOKUP(A1627,T10Y3M!A:A,T10Y3M!B:B,"",-1)</f>
        <v>0.23</v>
      </c>
      <c r="J1627" s="2">
        <f>_xlfn.XLOOKUP(A1627,BAMLC0A4CBBB!A:A,BAMLC0A4CBBB!B:B,"",-1)</f>
        <v>1.81</v>
      </c>
      <c r="K1627" s="2">
        <f>_xlfn.XLOOKUP(A1627,CPIAUCSL!A:A,CPIAUCSL!B:B,"",-1)</f>
        <v>296.34899999999999</v>
      </c>
      <c r="L1627">
        <f>_xlfn.XLOOKUP(A1627,DFF!A:A,DFF!B:B,"",-1)</f>
        <v>2.33</v>
      </c>
      <c r="M1627">
        <f>_xlfn.XLOOKUP(A1627,'DGS2'!A:A,'DGS2'!B:B,"",-1)</f>
        <v>3.87</v>
      </c>
      <c r="N1627">
        <f t="shared" si="203"/>
        <v>9.0000000000000302E-2</v>
      </c>
      <c r="O1627">
        <f t="shared" si="204"/>
        <v>-7.1821292629474787E-3</v>
      </c>
      <c r="P1627">
        <f t="shared" si="205"/>
        <v>0</v>
      </c>
      <c r="Q1627">
        <f t="shared" si="206"/>
        <v>-1</v>
      </c>
    </row>
    <row r="1628" spans="1:17">
      <c r="A1628" s="1">
        <v>44820</v>
      </c>
      <c r="B1628">
        <v>3873.33</v>
      </c>
      <c r="C1628">
        <f t="shared" si="200"/>
        <v>-7.1821292629474787E-3</v>
      </c>
      <c r="D1628">
        <f t="shared" si="207"/>
        <v>-1.5093994187184934E-2</v>
      </c>
      <c r="E1628">
        <f>_xlfn.XLOOKUP(A1628,VIX!A:A,VIX!B:B,"",-1)</f>
        <v>26.3</v>
      </c>
      <c r="F1628">
        <f t="shared" si="201"/>
        <v>3.0000000000001137E-2</v>
      </c>
      <c r="G1628">
        <f>_xlfn.XLOOKUP(A1628,'DGS10'!A:A,'DGS10'!B:B,"",-1)</f>
        <v>3.45</v>
      </c>
      <c r="H1628">
        <f t="shared" si="202"/>
        <v>0</v>
      </c>
      <c r="I1628" s="2">
        <f>_xlfn.XLOOKUP(A1628,T10Y3M!A:A,T10Y3M!B:B,"",-1)</f>
        <v>0.25</v>
      </c>
      <c r="J1628" s="2">
        <f>_xlfn.XLOOKUP(A1628,BAMLC0A4CBBB!A:A,BAMLC0A4CBBB!B:B,"",-1)</f>
        <v>1.84</v>
      </c>
      <c r="K1628" s="2">
        <f>_xlfn.XLOOKUP(A1628,CPIAUCSL!A:A,CPIAUCSL!B:B,"",-1)</f>
        <v>296.34899999999999</v>
      </c>
      <c r="L1628">
        <f>_xlfn.XLOOKUP(A1628,DFF!A:A,DFF!B:B,"",-1)</f>
        <v>2.33</v>
      </c>
      <c r="M1628">
        <f>_xlfn.XLOOKUP(A1628,'DGS2'!A:A,'DGS2'!B:B,"",-1)</f>
        <v>3.85</v>
      </c>
      <c r="N1628">
        <f t="shared" si="203"/>
        <v>-2.0000000000000018E-2</v>
      </c>
      <c r="O1628">
        <f t="shared" si="204"/>
        <v>6.8571487583035662E-3</v>
      </c>
      <c r="P1628">
        <f t="shared" si="205"/>
        <v>1</v>
      </c>
      <c r="Q1628">
        <f t="shared" si="206"/>
        <v>1</v>
      </c>
    </row>
    <row r="1629" spans="1:17">
      <c r="A1629" s="1">
        <v>44823</v>
      </c>
      <c r="B1629">
        <v>3899.89</v>
      </c>
      <c r="C1629">
        <f t="shared" si="200"/>
        <v>6.8571487583035662E-3</v>
      </c>
      <c r="D1629">
        <f t="shared" si="207"/>
        <v>-1.1687755479585782E-2</v>
      </c>
      <c r="E1629">
        <f>_xlfn.XLOOKUP(A1629,VIX!A:A,VIX!B:B,"",-1)</f>
        <v>25.76</v>
      </c>
      <c r="F1629">
        <f t="shared" si="201"/>
        <v>-0.53999999999999915</v>
      </c>
      <c r="G1629">
        <f>_xlfn.XLOOKUP(A1629,'DGS10'!A:A,'DGS10'!B:B,"",-1)</f>
        <v>3.49</v>
      </c>
      <c r="H1629">
        <f t="shared" si="202"/>
        <v>4.0000000000000036E-2</v>
      </c>
      <c r="I1629" s="2">
        <f>_xlfn.XLOOKUP(A1629,T10Y3M!A:A,T10Y3M!B:B,"",-1)</f>
        <v>0.12</v>
      </c>
      <c r="J1629" s="2">
        <f>_xlfn.XLOOKUP(A1629,BAMLC0A4CBBB!A:A,BAMLC0A4CBBB!B:B,"",-1)</f>
        <v>1.84</v>
      </c>
      <c r="K1629" s="2">
        <f>_xlfn.XLOOKUP(A1629,CPIAUCSL!A:A,CPIAUCSL!B:B,"",-1)</f>
        <v>296.34899999999999</v>
      </c>
      <c r="L1629">
        <f>_xlfn.XLOOKUP(A1629,DFF!A:A,DFF!B:B,"",-1)</f>
        <v>2.33</v>
      </c>
      <c r="M1629">
        <f>_xlfn.XLOOKUP(A1629,'DGS2'!A:A,'DGS2'!B:B,"",-1)</f>
        <v>3.95</v>
      </c>
      <c r="N1629">
        <f t="shared" si="203"/>
        <v>0.10000000000000009</v>
      </c>
      <c r="O1629">
        <f t="shared" si="204"/>
        <v>-1.1272112803181633E-2</v>
      </c>
      <c r="P1629">
        <f t="shared" si="205"/>
        <v>0</v>
      </c>
      <c r="Q1629">
        <f t="shared" si="206"/>
        <v>-1</v>
      </c>
    </row>
    <row r="1630" spans="1:17">
      <c r="A1630" s="1">
        <v>44824</v>
      </c>
      <c r="B1630">
        <v>3855.93</v>
      </c>
      <c r="C1630">
        <f t="shared" si="200"/>
        <v>-1.1272112803181633E-2</v>
      </c>
      <c r="D1630">
        <f t="shared" si="207"/>
        <v>-1.1642123880195365E-2</v>
      </c>
      <c r="E1630">
        <f>_xlfn.XLOOKUP(A1630,VIX!A:A,VIX!B:B,"",-1)</f>
        <v>27.16</v>
      </c>
      <c r="F1630">
        <f t="shared" si="201"/>
        <v>1.3999999999999986</v>
      </c>
      <c r="G1630">
        <f>_xlfn.XLOOKUP(A1630,'DGS10'!A:A,'DGS10'!B:B,"",-1)</f>
        <v>3.57</v>
      </c>
      <c r="H1630">
        <f t="shared" si="202"/>
        <v>7.9999999999999627E-2</v>
      </c>
      <c r="I1630" s="2">
        <f>_xlfn.XLOOKUP(A1630,T10Y3M!A:A,T10Y3M!B:B,"",-1)</f>
        <v>0.22</v>
      </c>
      <c r="J1630" s="2">
        <f>_xlfn.XLOOKUP(A1630,BAMLC0A4CBBB!A:A,BAMLC0A4CBBB!B:B,"",-1)</f>
        <v>1.83</v>
      </c>
      <c r="K1630" s="2">
        <f>_xlfn.XLOOKUP(A1630,CPIAUCSL!A:A,CPIAUCSL!B:B,"",-1)</f>
        <v>296.34899999999999</v>
      </c>
      <c r="L1630">
        <f>_xlfn.XLOOKUP(A1630,DFF!A:A,DFF!B:B,"",-1)</f>
        <v>2.33</v>
      </c>
      <c r="M1630">
        <f>_xlfn.XLOOKUP(A1630,'DGS2'!A:A,'DGS2'!B:B,"",-1)</f>
        <v>3.96</v>
      </c>
      <c r="N1630">
        <f t="shared" si="203"/>
        <v>9.9999999999997868E-3</v>
      </c>
      <c r="O1630">
        <f t="shared" si="204"/>
        <v>-1.7116493297336777E-2</v>
      </c>
      <c r="P1630">
        <f t="shared" si="205"/>
        <v>0</v>
      </c>
      <c r="Q1630">
        <f t="shared" si="206"/>
        <v>-1</v>
      </c>
    </row>
    <row r="1631" spans="1:17">
      <c r="A1631" s="1">
        <v>44825</v>
      </c>
      <c r="B1631">
        <v>3789.93</v>
      </c>
      <c r="C1631">
        <f t="shared" si="200"/>
        <v>-1.7116493297336777E-2</v>
      </c>
      <c r="D1631">
        <f t="shared" si="207"/>
        <v>-2.1531860182323781E-2</v>
      </c>
      <c r="E1631">
        <f>_xlfn.XLOOKUP(A1631,VIX!A:A,VIX!B:B,"",-1)</f>
        <v>27.99</v>
      </c>
      <c r="F1631">
        <f t="shared" si="201"/>
        <v>0.82999999999999829</v>
      </c>
      <c r="G1631">
        <f>_xlfn.XLOOKUP(A1631,'DGS10'!A:A,'DGS10'!B:B,"",-1)</f>
        <v>3.51</v>
      </c>
      <c r="H1631">
        <f t="shared" si="202"/>
        <v>-6.0000000000000053E-2</v>
      </c>
      <c r="I1631" s="2">
        <f>_xlfn.XLOOKUP(A1631,T10Y3M!A:A,T10Y3M!B:B,"",-1)</f>
        <v>0.2</v>
      </c>
      <c r="J1631" s="2">
        <f>_xlfn.XLOOKUP(A1631,BAMLC0A4CBBB!A:A,BAMLC0A4CBBB!B:B,"",-1)</f>
        <v>1.83</v>
      </c>
      <c r="K1631" s="2">
        <f>_xlfn.XLOOKUP(A1631,CPIAUCSL!A:A,CPIAUCSL!B:B,"",-1)</f>
        <v>296.34899999999999</v>
      </c>
      <c r="L1631">
        <f>_xlfn.XLOOKUP(A1631,DFF!A:A,DFF!B:B,"",-1)</f>
        <v>2.33</v>
      </c>
      <c r="M1631">
        <f>_xlfn.XLOOKUP(A1631,'DGS2'!A:A,'DGS2'!B:B,"",-1)</f>
        <v>4.0199999999999996</v>
      </c>
      <c r="N1631">
        <f t="shared" si="203"/>
        <v>5.9999999999999609E-2</v>
      </c>
      <c r="O1631">
        <f t="shared" si="204"/>
        <v>-8.4275962880581146E-3</v>
      </c>
      <c r="P1631">
        <f t="shared" si="205"/>
        <v>0</v>
      </c>
      <c r="Q1631">
        <f t="shared" si="206"/>
        <v>-1</v>
      </c>
    </row>
    <row r="1632" spans="1:17">
      <c r="A1632" s="1">
        <v>44826</v>
      </c>
      <c r="B1632">
        <v>3757.99</v>
      </c>
      <c r="C1632">
        <f t="shared" si="200"/>
        <v>-8.4275962880581146E-3</v>
      </c>
      <c r="D1632">
        <f t="shared" si="207"/>
        <v>-3.6385641646302869E-2</v>
      </c>
      <c r="E1632">
        <f>_xlfn.XLOOKUP(A1632,VIX!A:A,VIX!B:B,"",-1)</f>
        <v>27.35</v>
      </c>
      <c r="F1632">
        <f t="shared" si="201"/>
        <v>-0.63999999999999702</v>
      </c>
      <c r="G1632">
        <f>_xlfn.XLOOKUP(A1632,'DGS10'!A:A,'DGS10'!B:B,"",-1)</f>
        <v>3.7</v>
      </c>
      <c r="H1632">
        <f t="shared" si="202"/>
        <v>0.19000000000000039</v>
      </c>
      <c r="I1632" s="2">
        <f>_xlfn.XLOOKUP(A1632,T10Y3M!A:A,T10Y3M!B:B,"",-1)</f>
        <v>0.41</v>
      </c>
      <c r="J1632" s="2">
        <f>_xlfn.XLOOKUP(A1632,BAMLC0A4CBBB!A:A,BAMLC0A4CBBB!B:B,"",-1)</f>
        <v>1.84</v>
      </c>
      <c r="K1632" s="2">
        <f>_xlfn.XLOOKUP(A1632,CPIAUCSL!A:A,CPIAUCSL!B:B,"",-1)</f>
        <v>296.34899999999999</v>
      </c>
      <c r="L1632">
        <f>_xlfn.XLOOKUP(A1632,DFF!A:A,DFF!B:B,"",-1)</f>
        <v>3.08</v>
      </c>
      <c r="M1632">
        <f>_xlfn.XLOOKUP(A1632,'DGS2'!A:A,'DGS2'!B:B,"",-1)</f>
        <v>4.1100000000000003</v>
      </c>
      <c r="N1632">
        <f t="shared" si="203"/>
        <v>9.0000000000000746E-2</v>
      </c>
      <c r="O1632">
        <f t="shared" si="204"/>
        <v>-1.7232616372049869E-2</v>
      </c>
      <c r="P1632">
        <f t="shared" si="205"/>
        <v>0</v>
      </c>
      <c r="Q1632">
        <f t="shared" si="206"/>
        <v>-1</v>
      </c>
    </row>
    <row r="1633" spans="1:17">
      <c r="A1633" s="1">
        <v>44827</v>
      </c>
      <c r="B1633">
        <v>3693.23</v>
      </c>
      <c r="C1633">
        <f t="shared" si="200"/>
        <v>-1.7232616372049869E-2</v>
      </c>
      <c r="D1633">
        <f t="shared" si="207"/>
        <v>-4.2194749386010644E-2</v>
      </c>
      <c r="E1633">
        <f>_xlfn.XLOOKUP(A1633,VIX!A:A,VIX!B:B,"",-1)</f>
        <v>29.92</v>
      </c>
      <c r="F1633">
        <f t="shared" si="201"/>
        <v>2.5700000000000003</v>
      </c>
      <c r="G1633">
        <f>_xlfn.XLOOKUP(A1633,'DGS10'!A:A,'DGS10'!B:B,"",-1)</f>
        <v>3.69</v>
      </c>
      <c r="H1633">
        <f t="shared" si="202"/>
        <v>-1.0000000000000231E-2</v>
      </c>
      <c r="I1633" s="2">
        <f>_xlfn.XLOOKUP(A1633,T10Y3M!A:A,T10Y3M!B:B,"",-1)</f>
        <v>0.45</v>
      </c>
      <c r="J1633" s="2">
        <f>_xlfn.XLOOKUP(A1633,BAMLC0A4CBBB!A:A,BAMLC0A4CBBB!B:B,"",-1)</f>
        <v>1.87</v>
      </c>
      <c r="K1633" s="2">
        <f>_xlfn.XLOOKUP(A1633,CPIAUCSL!A:A,CPIAUCSL!B:B,"",-1)</f>
        <v>296.34899999999999</v>
      </c>
      <c r="L1633">
        <f>_xlfn.XLOOKUP(A1633,DFF!A:A,DFF!B:B,"",-1)</f>
        <v>3.08</v>
      </c>
      <c r="M1633">
        <f>_xlfn.XLOOKUP(A1633,'DGS2'!A:A,'DGS2'!B:B,"",-1)</f>
        <v>4.2</v>
      </c>
      <c r="N1633">
        <f t="shared" si="203"/>
        <v>8.9999999999999858E-2</v>
      </c>
      <c r="O1633">
        <f t="shared" si="204"/>
        <v>-1.0340542018774879E-2</v>
      </c>
      <c r="P1633">
        <f t="shared" si="205"/>
        <v>0</v>
      </c>
      <c r="Q1633">
        <f t="shared" si="206"/>
        <v>-1</v>
      </c>
    </row>
    <row r="1634" spans="1:17">
      <c r="A1634" s="1">
        <v>44830</v>
      </c>
      <c r="B1634">
        <v>3655.04</v>
      </c>
      <c r="C1634">
        <f t="shared" si="200"/>
        <v>-1.0340542018774879E-2</v>
      </c>
      <c r="D1634">
        <f t="shared" si="207"/>
        <v>-3.559168638998611E-2</v>
      </c>
      <c r="E1634">
        <f>_xlfn.XLOOKUP(A1634,VIX!A:A,VIX!B:B,"",-1)</f>
        <v>32.26</v>
      </c>
      <c r="F1634">
        <f t="shared" si="201"/>
        <v>2.3399999999999963</v>
      </c>
      <c r="G1634">
        <f>_xlfn.XLOOKUP(A1634,'DGS10'!A:A,'DGS10'!B:B,"",-1)</f>
        <v>3.88</v>
      </c>
      <c r="H1634">
        <f t="shared" si="202"/>
        <v>0.18999999999999995</v>
      </c>
      <c r="I1634" s="2">
        <f>_xlfn.XLOOKUP(A1634,T10Y3M!A:A,T10Y3M!B:B,"",-1)</f>
        <v>0.49</v>
      </c>
      <c r="J1634" s="2">
        <f>_xlfn.XLOOKUP(A1634,BAMLC0A4CBBB!A:A,BAMLC0A4CBBB!B:B,"",-1)</f>
        <v>1.91</v>
      </c>
      <c r="K1634" s="2">
        <f>_xlfn.XLOOKUP(A1634,CPIAUCSL!A:A,CPIAUCSL!B:B,"",-1)</f>
        <v>296.34899999999999</v>
      </c>
      <c r="L1634">
        <f>_xlfn.XLOOKUP(A1634,DFF!A:A,DFF!B:B,"",-1)</f>
        <v>3.08</v>
      </c>
      <c r="M1634">
        <f>_xlfn.XLOOKUP(A1634,'DGS2'!A:A,'DGS2'!B:B,"",-1)</f>
        <v>4.2699999999999996</v>
      </c>
      <c r="N1634">
        <f t="shared" si="203"/>
        <v>6.9999999999999396E-2</v>
      </c>
      <c r="O1634">
        <f t="shared" si="204"/>
        <v>-2.1203598319033956E-3</v>
      </c>
      <c r="P1634">
        <f t="shared" si="205"/>
        <v>0</v>
      </c>
      <c r="Q1634">
        <f t="shared" si="206"/>
        <v>0</v>
      </c>
    </row>
    <row r="1635" spans="1:17">
      <c r="A1635" s="1">
        <v>44831</v>
      </c>
      <c r="B1635">
        <v>3647.29</v>
      </c>
      <c r="C1635">
        <f t="shared" si="200"/>
        <v>-2.1203598319033956E-3</v>
      </c>
      <c r="D1635">
        <f t="shared" si="207"/>
        <v>-2.9457236448207635E-2</v>
      </c>
      <c r="E1635">
        <f>_xlfn.XLOOKUP(A1635,VIX!A:A,VIX!B:B,"",-1)</f>
        <v>32.6</v>
      </c>
      <c r="F1635">
        <f t="shared" si="201"/>
        <v>0.34000000000000341</v>
      </c>
      <c r="G1635">
        <f>_xlfn.XLOOKUP(A1635,'DGS10'!A:A,'DGS10'!B:B,"",-1)</f>
        <v>3.97</v>
      </c>
      <c r="H1635">
        <f t="shared" si="202"/>
        <v>9.0000000000000302E-2</v>
      </c>
      <c r="I1635" s="2">
        <f>_xlfn.XLOOKUP(A1635,T10Y3M!A:A,T10Y3M!B:B,"",-1)</f>
        <v>0.62</v>
      </c>
      <c r="J1635" s="2">
        <f>_xlfn.XLOOKUP(A1635,BAMLC0A4CBBB!A:A,BAMLC0A4CBBB!B:B,"",-1)</f>
        <v>1.95</v>
      </c>
      <c r="K1635" s="2">
        <f>_xlfn.XLOOKUP(A1635,CPIAUCSL!A:A,CPIAUCSL!B:B,"",-1)</f>
        <v>296.34899999999999</v>
      </c>
      <c r="L1635">
        <f>_xlfn.XLOOKUP(A1635,DFF!A:A,DFF!B:B,"",-1)</f>
        <v>3.08</v>
      </c>
      <c r="M1635">
        <f>_xlfn.XLOOKUP(A1635,'DGS2'!A:A,'DGS2'!B:B,"",-1)</f>
        <v>4.3</v>
      </c>
      <c r="N1635">
        <f t="shared" si="203"/>
        <v>3.0000000000000249E-2</v>
      </c>
      <c r="O1635">
        <f t="shared" si="204"/>
        <v>1.9672140136923533E-2</v>
      </c>
      <c r="P1635">
        <f t="shared" si="205"/>
        <v>1</v>
      </c>
      <c r="Q1635">
        <f t="shared" si="206"/>
        <v>1</v>
      </c>
    </row>
    <row r="1636" spans="1:17">
      <c r="A1636" s="1">
        <v>44832</v>
      </c>
      <c r="B1636">
        <v>3719.04</v>
      </c>
      <c r="C1636">
        <f t="shared" si="200"/>
        <v>1.9672140136923533E-2</v>
      </c>
      <c r="D1636">
        <f t="shared" si="207"/>
        <v>6.9884626735945421E-3</v>
      </c>
      <c r="E1636">
        <f>_xlfn.XLOOKUP(A1636,VIX!A:A,VIX!B:B,"",-1)</f>
        <v>30.18</v>
      </c>
      <c r="F1636">
        <f t="shared" si="201"/>
        <v>-2.4200000000000017</v>
      </c>
      <c r="G1636">
        <f>_xlfn.XLOOKUP(A1636,'DGS10'!A:A,'DGS10'!B:B,"",-1)</f>
        <v>3.72</v>
      </c>
      <c r="H1636">
        <f t="shared" si="202"/>
        <v>-0.25</v>
      </c>
      <c r="I1636" s="2">
        <f>_xlfn.XLOOKUP(A1636,T10Y3M!A:A,T10Y3M!B:B,"",-1)</f>
        <v>0.32</v>
      </c>
      <c r="J1636" s="2">
        <f>_xlfn.XLOOKUP(A1636,BAMLC0A4CBBB!A:A,BAMLC0A4CBBB!B:B,"",-1)</f>
        <v>2.06</v>
      </c>
      <c r="K1636" s="2">
        <f>_xlfn.XLOOKUP(A1636,CPIAUCSL!A:A,CPIAUCSL!B:B,"",-1)</f>
        <v>296.34899999999999</v>
      </c>
      <c r="L1636">
        <f>_xlfn.XLOOKUP(A1636,DFF!A:A,DFF!B:B,"",-1)</f>
        <v>3.08</v>
      </c>
      <c r="M1636">
        <f>_xlfn.XLOOKUP(A1636,'DGS2'!A:A,'DGS2'!B:B,"",-1)</f>
        <v>4.07</v>
      </c>
      <c r="N1636">
        <f t="shared" si="203"/>
        <v>-0.22999999999999954</v>
      </c>
      <c r="O1636">
        <f t="shared" si="204"/>
        <v>-2.1126419721218426E-2</v>
      </c>
      <c r="P1636">
        <f t="shared" si="205"/>
        <v>0</v>
      </c>
      <c r="Q1636">
        <f t="shared" si="206"/>
        <v>-1</v>
      </c>
    </row>
    <row r="1637" spans="1:17">
      <c r="A1637" s="1">
        <v>44833</v>
      </c>
      <c r="B1637">
        <v>3640.47</v>
      </c>
      <c r="C1637">
        <f t="shared" si="200"/>
        <v>-2.1126419721218426E-2</v>
      </c>
      <c r="D1637">
        <f t="shared" si="207"/>
        <v>-3.9862764839783127E-3</v>
      </c>
      <c r="E1637">
        <f>_xlfn.XLOOKUP(A1637,VIX!A:A,VIX!B:B,"",-1)</f>
        <v>31.84</v>
      </c>
      <c r="F1637">
        <f t="shared" si="201"/>
        <v>1.6600000000000001</v>
      </c>
      <c r="G1637">
        <f>_xlfn.XLOOKUP(A1637,'DGS10'!A:A,'DGS10'!B:B,"",-1)</f>
        <v>3.76</v>
      </c>
      <c r="H1637">
        <f t="shared" si="202"/>
        <v>3.9999999999999591E-2</v>
      </c>
      <c r="I1637" s="2">
        <f>_xlfn.XLOOKUP(A1637,T10Y3M!A:A,T10Y3M!B:B,"",-1)</f>
        <v>0.4</v>
      </c>
      <c r="J1637" s="2">
        <f>_xlfn.XLOOKUP(A1637,BAMLC0A4CBBB!A:A,BAMLC0A4CBBB!B:B,"",-1)</f>
        <v>2.0699999999999998</v>
      </c>
      <c r="K1637" s="2">
        <f>_xlfn.XLOOKUP(A1637,CPIAUCSL!A:A,CPIAUCSL!B:B,"",-1)</f>
        <v>296.34899999999999</v>
      </c>
      <c r="L1637">
        <f>_xlfn.XLOOKUP(A1637,DFF!A:A,DFF!B:B,"",-1)</f>
        <v>3.08</v>
      </c>
      <c r="M1637">
        <f>_xlfn.XLOOKUP(A1637,'DGS2'!A:A,'DGS2'!B:B,"",-1)</f>
        <v>4.16</v>
      </c>
      <c r="N1637">
        <f t="shared" si="203"/>
        <v>8.9999999999999858E-2</v>
      </c>
      <c r="O1637">
        <f t="shared" si="204"/>
        <v>-1.506673588849794E-2</v>
      </c>
      <c r="P1637">
        <f t="shared" si="205"/>
        <v>0</v>
      </c>
      <c r="Q1637">
        <f t="shared" si="206"/>
        <v>-1</v>
      </c>
    </row>
    <row r="1638" spans="1:17">
      <c r="A1638" s="1">
        <v>44834</v>
      </c>
      <c r="B1638">
        <v>3585.62</v>
      </c>
      <c r="C1638">
        <f t="shared" si="200"/>
        <v>-1.506673588849794E-2</v>
      </c>
      <c r="D1638">
        <f t="shared" si="207"/>
        <v>-1.6908444351833807E-2</v>
      </c>
      <c r="E1638">
        <f>_xlfn.XLOOKUP(A1638,VIX!A:A,VIX!B:B,"",-1)</f>
        <v>31.62</v>
      </c>
      <c r="F1638">
        <f t="shared" si="201"/>
        <v>-0.21999999999999886</v>
      </c>
      <c r="G1638">
        <f>_xlfn.XLOOKUP(A1638,'DGS10'!A:A,'DGS10'!B:B,"",-1)</f>
        <v>3.83</v>
      </c>
      <c r="H1638">
        <f t="shared" si="202"/>
        <v>7.0000000000000284E-2</v>
      </c>
      <c r="I1638" s="2">
        <f>_xlfn.XLOOKUP(A1638,T10Y3M!A:A,T10Y3M!B:B,"",-1)</f>
        <v>0.5</v>
      </c>
      <c r="J1638" s="2">
        <f>_xlfn.XLOOKUP(A1638,BAMLC0A4CBBB!A:A,BAMLC0A4CBBB!B:B,"",-1)</f>
        <v>2.06</v>
      </c>
      <c r="K1638" s="2">
        <f>_xlfn.XLOOKUP(A1638,CPIAUCSL!A:A,CPIAUCSL!B:B,"",-1)</f>
        <v>296.34899999999999</v>
      </c>
      <c r="L1638">
        <f>_xlfn.XLOOKUP(A1638,DFF!A:A,DFF!B:B,"",-1)</f>
        <v>3.08</v>
      </c>
      <c r="M1638">
        <f>_xlfn.XLOOKUP(A1638,'DGS2'!A:A,'DGS2'!B:B,"",-1)</f>
        <v>4.22</v>
      </c>
      <c r="N1638">
        <f t="shared" si="203"/>
        <v>5.9999999999999609E-2</v>
      </c>
      <c r="O1638">
        <f t="shared" si="204"/>
        <v>2.5883947546031072E-2</v>
      </c>
      <c r="P1638">
        <f t="shared" si="205"/>
        <v>1</v>
      </c>
      <c r="Q1638">
        <f t="shared" si="206"/>
        <v>1</v>
      </c>
    </row>
    <row r="1639" spans="1:17">
      <c r="A1639" s="1">
        <v>44837</v>
      </c>
      <c r="B1639">
        <v>3678.43</v>
      </c>
      <c r="C1639">
        <f t="shared" si="200"/>
        <v>2.5883947546031072E-2</v>
      </c>
      <c r="D1639">
        <f t="shared" si="207"/>
        <v>-1.0919484598175933E-2</v>
      </c>
      <c r="E1639">
        <f>_xlfn.XLOOKUP(A1639,VIX!A:A,VIX!B:B,"",-1)</f>
        <v>30.1</v>
      </c>
      <c r="F1639">
        <f t="shared" si="201"/>
        <v>-1.5199999999999996</v>
      </c>
      <c r="G1639">
        <f>_xlfn.XLOOKUP(A1639,'DGS10'!A:A,'DGS10'!B:B,"",-1)</f>
        <v>3.67</v>
      </c>
      <c r="H1639">
        <f t="shared" si="202"/>
        <v>-0.16000000000000014</v>
      </c>
      <c r="I1639" s="2">
        <f>_xlfn.XLOOKUP(A1639,T10Y3M!A:A,T10Y3M!B:B,"",-1)</f>
        <v>0.21</v>
      </c>
      <c r="J1639" s="2">
        <f>_xlfn.XLOOKUP(A1639,BAMLC0A4CBBB!A:A,BAMLC0A4CBBB!B:B,"",-1)</f>
        <v>2.0299999999999998</v>
      </c>
      <c r="K1639" s="2">
        <f>_xlfn.XLOOKUP(A1639,CPIAUCSL!A:A,CPIAUCSL!B:B,"",-1)</f>
        <v>298.00700000000001</v>
      </c>
      <c r="L1639">
        <f>_xlfn.XLOOKUP(A1639,DFF!A:A,DFF!B:B,"",-1)</f>
        <v>3.08</v>
      </c>
      <c r="M1639">
        <f>_xlfn.XLOOKUP(A1639,'DGS2'!A:A,'DGS2'!B:B,"",-1)</f>
        <v>4.12</v>
      </c>
      <c r="N1639">
        <f t="shared" si="203"/>
        <v>-9.9999999999999645E-2</v>
      </c>
      <c r="O1639">
        <f t="shared" si="204"/>
        <v>3.0583700111188827E-2</v>
      </c>
      <c r="P1639">
        <f t="shared" si="205"/>
        <v>1</v>
      </c>
      <c r="Q1639">
        <f t="shared" si="206"/>
        <v>1</v>
      </c>
    </row>
    <row r="1640" spans="1:17">
      <c r="A1640" s="1">
        <v>44838</v>
      </c>
      <c r="B1640">
        <v>3790.93</v>
      </c>
      <c r="C1640">
        <f t="shared" si="200"/>
        <v>3.0583700111188827E-2</v>
      </c>
      <c r="D1640">
        <f t="shared" si="207"/>
        <v>4.132982829140186E-2</v>
      </c>
      <c r="E1640">
        <f>_xlfn.XLOOKUP(A1640,VIX!A:A,VIX!B:B,"",-1)</f>
        <v>29.07</v>
      </c>
      <c r="F1640">
        <f t="shared" si="201"/>
        <v>-1.0300000000000011</v>
      </c>
      <c r="G1640">
        <f>_xlfn.XLOOKUP(A1640,'DGS10'!A:A,'DGS10'!B:B,"",-1)</f>
        <v>3.62</v>
      </c>
      <c r="H1640">
        <f t="shared" si="202"/>
        <v>-4.9999999999999822E-2</v>
      </c>
      <c r="I1640" s="2">
        <f>_xlfn.XLOOKUP(A1640,T10Y3M!A:A,T10Y3M!B:B,"",-1)</f>
        <v>0.17</v>
      </c>
      <c r="J1640" s="2">
        <f>_xlfn.XLOOKUP(A1640,BAMLC0A4CBBB!A:A,BAMLC0A4CBBB!B:B,"",-1)</f>
        <v>1.99</v>
      </c>
      <c r="K1640" s="2">
        <f>_xlfn.XLOOKUP(A1640,CPIAUCSL!A:A,CPIAUCSL!B:B,"",-1)</f>
        <v>298.00700000000001</v>
      </c>
      <c r="L1640">
        <f>_xlfn.XLOOKUP(A1640,DFF!A:A,DFF!B:B,"",-1)</f>
        <v>3.08</v>
      </c>
      <c r="M1640">
        <f>_xlfn.XLOOKUP(A1640,'DGS2'!A:A,'DGS2'!B:B,"",-1)</f>
        <v>4.0999999999999996</v>
      </c>
      <c r="N1640">
        <f t="shared" si="203"/>
        <v>-2.0000000000000462E-2</v>
      </c>
      <c r="O1640">
        <f t="shared" si="204"/>
        <v>-2.0179744811957834E-3</v>
      </c>
      <c r="P1640">
        <f t="shared" si="205"/>
        <v>0</v>
      </c>
      <c r="Q1640">
        <f t="shared" si="206"/>
        <v>0</v>
      </c>
    </row>
    <row r="1641" spans="1:17">
      <c r="A1641" s="1">
        <v>44839</v>
      </c>
      <c r="B1641">
        <v>3783.28</v>
      </c>
      <c r="C1641">
        <f t="shared" si="200"/>
        <v>-2.0179744811957834E-3</v>
      </c>
      <c r="D1641">
        <f t="shared" si="207"/>
        <v>5.5125752310618559E-2</v>
      </c>
      <c r="E1641">
        <f>_xlfn.XLOOKUP(A1641,VIX!A:A,VIX!B:B,"",-1)</f>
        <v>28.55</v>
      </c>
      <c r="F1641">
        <f t="shared" si="201"/>
        <v>-0.51999999999999957</v>
      </c>
      <c r="G1641">
        <f>_xlfn.XLOOKUP(A1641,'DGS10'!A:A,'DGS10'!B:B,"",-1)</f>
        <v>3.76</v>
      </c>
      <c r="H1641">
        <f t="shared" si="202"/>
        <v>0.13999999999999968</v>
      </c>
      <c r="I1641" s="2">
        <f>_xlfn.XLOOKUP(A1641,T10Y3M!A:A,T10Y3M!B:B,"",-1)</f>
        <v>0.3</v>
      </c>
      <c r="J1641" s="2">
        <f>_xlfn.XLOOKUP(A1641,BAMLC0A4CBBB!A:A,BAMLC0A4CBBB!B:B,"",-1)</f>
        <v>1.99</v>
      </c>
      <c r="K1641" s="2">
        <f>_xlfn.XLOOKUP(A1641,CPIAUCSL!A:A,CPIAUCSL!B:B,"",-1)</f>
        <v>298.00700000000001</v>
      </c>
      <c r="L1641">
        <f>_xlfn.XLOOKUP(A1641,DFF!A:A,DFF!B:B,"",-1)</f>
        <v>3.08</v>
      </c>
      <c r="M1641">
        <f>_xlfn.XLOOKUP(A1641,'DGS2'!A:A,'DGS2'!B:B,"",-1)</f>
        <v>4.1500000000000004</v>
      </c>
      <c r="N1641">
        <f t="shared" si="203"/>
        <v>5.0000000000000711E-2</v>
      </c>
      <c r="O1641">
        <f t="shared" si="204"/>
        <v>-1.0245078344716774E-2</v>
      </c>
      <c r="P1641">
        <f t="shared" si="205"/>
        <v>0</v>
      </c>
      <c r="Q1641">
        <f t="shared" si="206"/>
        <v>-1</v>
      </c>
    </row>
    <row r="1642" spans="1:17">
      <c r="A1642" s="1">
        <v>44840</v>
      </c>
      <c r="B1642">
        <v>3744.52</v>
      </c>
      <c r="C1642">
        <f t="shared" si="200"/>
        <v>-1.0245078344716774E-2</v>
      </c>
      <c r="D1642">
        <f t="shared" si="207"/>
        <v>1.7966904358653002E-2</v>
      </c>
      <c r="E1642">
        <f>_xlfn.XLOOKUP(A1642,VIX!A:A,VIX!B:B,"",-1)</f>
        <v>30.52</v>
      </c>
      <c r="F1642">
        <f t="shared" si="201"/>
        <v>1.9699999999999989</v>
      </c>
      <c r="G1642">
        <f>_xlfn.XLOOKUP(A1642,'DGS10'!A:A,'DGS10'!B:B,"",-1)</f>
        <v>3.83</v>
      </c>
      <c r="H1642">
        <f t="shared" si="202"/>
        <v>7.0000000000000284E-2</v>
      </c>
      <c r="I1642" s="2">
        <f>_xlfn.XLOOKUP(A1642,T10Y3M!A:A,T10Y3M!B:B,"",-1)</f>
        <v>0.37</v>
      </c>
      <c r="J1642" s="2">
        <f>_xlfn.XLOOKUP(A1642,BAMLC0A4CBBB!A:A,BAMLC0A4CBBB!B:B,"",-1)</f>
        <v>1.96</v>
      </c>
      <c r="K1642" s="2">
        <f>_xlfn.XLOOKUP(A1642,CPIAUCSL!A:A,CPIAUCSL!B:B,"",-1)</f>
        <v>298.00700000000001</v>
      </c>
      <c r="L1642">
        <f>_xlfn.XLOOKUP(A1642,DFF!A:A,DFF!B:B,"",-1)</f>
        <v>3.08</v>
      </c>
      <c r="M1642">
        <f>_xlfn.XLOOKUP(A1642,'DGS2'!A:A,'DGS2'!B:B,"",-1)</f>
        <v>4.2300000000000004</v>
      </c>
      <c r="N1642">
        <f t="shared" si="203"/>
        <v>8.0000000000000071E-2</v>
      </c>
      <c r="O1642">
        <f t="shared" si="204"/>
        <v>-2.8003589245083504E-2</v>
      </c>
      <c r="P1642">
        <f t="shared" si="205"/>
        <v>0</v>
      </c>
      <c r="Q1642">
        <f t="shared" si="206"/>
        <v>-1</v>
      </c>
    </row>
    <row r="1643" spans="1:17">
      <c r="A1643" s="1">
        <v>44841</v>
      </c>
      <c r="B1643">
        <v>3639.66</v>
      </c>
      <c r="C1643">
        <f t="shared" si="200"/>
        <v>-2.8003589245083504E-2</v>
      </c>
      <c r="D1643">
        <f t="shared" si="207"/>
        <v>-3.9903137224902574E-2</v>
      </c>
      <c r="E1643">
        <f>_xlfn.XLOOKUP(A1643,VIX!A:A,VIX!B:B,"",-1)</f>
        <v>31.36</v>
      </c>
      <c r="F1643">
        <f t="shared" si="201"/>
        <v>0.83999999999999986</v>
      </c>
      <c r="G1643">
        <f>_xlfn.XLOOKUP(A1643,'DGS10'!A:A,'DGS10'!B:B,"",-1)</f>
        <v>3.89</v>
      </c>
      <c r="H1643">
        <f t="shared" si="202"/>
        <v>6.0000000000000053E-2</v>
      </c>
      <c r="I1643" s="2">
        <f>_xlfn.XLOOKUP(A1643,T10Y3M!A:A,T10Y3M!B:B,"",-1)</f>
        <v>0.44</v>
      </c>
      <c r="J1643" s="2">
        <f>_xlfn.XLOOKUP(A1643,BAMLC0A4CBBB!A:A,BAMLC0A4CBBB!B:B,"",-1)</f>
        <v>1.98</v>
      </c>
      <c r="K1643" s="2">
        <f>_xlfn.XLOOKUP(A1643,CPIAUCSL!A:A,CPIAUCSL!B:B,"",-1)</f>
        <v>298.00700000000001</v>
      </c>
      <c r="L1643">
        <f>_xlfn.XLOOKUP(A1643,DFF!A:A,DFF!B:B,"",-1)</f>
        <v>3.08</v>
      </c>
      <c r="M1643">
        <f>_xlfn.XLOOKUP(A1643,'DGS2'!A:A,'DGS2'!B:B,"",-1)</f>
        <v>4.3</v>
      </c>
      <c r="N1643">
        <f t="shared" si="203"/>
        <v>6.9999999999999396E-2</v>
      </c>
      <c r="O1643">
        <f t="shared" si="204"/>
        <v>-7.4924580867443691E-3</v>
      </c>
      <c r="P1643">
        <f t="shared" si="205"/>
        <v>0</v>
      </c>
      <c r="Q1643">
        <f t="shared" si="206"/>
        <v>-1</v>
      </c>
    </row>
    <row r="1644" spans="1:17">
      <c r="A1644" s="1">
        <v>44844</v>
      </c>
      <c r="B1644">
        <v>3612.39</v>
      </c>
      <c r="C1644">
        <f t="shared" si="200"/>
        <v>-7.4924580867443691E-3</v>
      </c>
      <c r="D1644">
        <f t="shared" si="207"/>
        <v>-4.5169799750481188E-2</v>
      </c>
      <c r="E1644">
        <f>_xlfn.XLOOKUP(A1644,VIX!A:A,VIX!B:B,"",-1)</f>
        <v>32.450000000000003</v>
      </c>
      <c r="F1644">
        <f t="shared" si="201"/>
        <v>1.0900000000000034</v>
      </c>
      <c r="G1644">
        <f>_xlfn.XLOOKUP(A1644,'DGS10'!A:A,'DGS10'!B:B,"",-1)</f>
        <v>0</v>
      </c>
      <c r="H1644">
        <f t="shared" si="202"/>
        <v>-3.89</v>
      </c>
      <c r="I1644" s="2">
        <f>_xlfn.XLOOKUP(A1644,T10Y3M!A:A,T10Y3M!B:B,"",-1)</f>
        <v>0</v>
      </c>
      <c r="J1644" s="2">
        <f>_xlfn.XLOOKUP(A1644,BAMLC0A4CBBB!A:A,BAMLC0A4CBBB!B:B,"",-1)</f>
        <v>1.98</v>
      </c>
      <c r="K1644" s="2">
        <f>_xlfn.XLOOKUP(A1644,CPIAUCSL!A:A,CPIAUCSL!B:B,"",-1)</f>
        <v>298.00700000000001</v>
      </c>
      <c r="L1644">
        <f>_xlfn.XLOOKUP(A1644,DFF!A:A,DFF!B:B,"",-1)</f>
        <v>3.08</v>
      </c>
      <c r="M1644">
        <f>_xlfn.XLOOKUP(A1644,'DGS2'!A:A,'DGS2'!B:B,"",-1)</f>
        <v>0</v>
      </c>
      <c r="N1644">
        <f t="shared" si="203"/>
        <v>-4.3</v>
      </c>
      <c r="O1644">
        <f t="shared" si="204"/>
        <v>-6.5192296512833758E-3</v>
      </c>
      <c r="P1644">
        <f t="shared" si="205"/>
        <v>0</v>
      </c>
      <c r="Q1644">
        <f t="shared" si="206"/>
        <v>-1</v>
      </c>
    </row>
    <row r="1645" spans="1:17">
      <c r="A1645" s="1">
        <v>44845</v>
      </c>
      <c r="B1645">
        <v>3588.84</v>
      </c>
      <c r="C1645">
        <f t="shared" si="200"/>
        <v>-6.5192296512833758E-3</v>
      </c>
      <c r="D1645">
        <f t="shared" si="207"/>
        <v>-4.1575422216999725E-2</v>
      </c>
      <c r="E1645">
        <f>_xlfn.XLOOKUP(A1645,VIX!A:A,VIX!B:B,"",-1)</f>
        <v>33.630000000000003</v>
      </c>
      <c r="F1645">
        <f t="shared" si="201"/>
        <v>1.1799999999999997</v>
      </c>
      <c r="G1645">
        <f>_xlfn.XLOOKUP(A1645,'DGS10'!A:A,'DGS10'!B:B,"",-1)</f>
        <v>3.93</v>
      </c>
      <c r="H1645">
        <f t="shared" si="202"/>
        <v>3.93</v>
      </c>
      <c r="I1645" s="2">
        <f>_xlfn.XLOOKUP(A1645,T10Y3M!A:A,T10Y3M!B:B,"",-1)</f>
        <v>0.26</v>
      </c>
      <c r="J1645" s="2">
        <f>_xlfn.XLOOKUP(A1645,BAMLC0A4CBBB!A:A,BAMLC0A4CBBB!B:B,"",-1)</f>
        <v>2.0499999999999998</v>
      </c>
      <c r="K1645" s="2">
        <f>_xlfn.XLOOKUP(A1645,CPIAUCSL!A:A,CPIAUCSL!B:B,"",-1)</f>
        <v>298.00700000000001</v>
      </c>
      <c r="L1645">
        <f>_xlfn.XLOOKUP(A1645,DFF!A:A,DFF!B:B,"",-1)</f>
        <v>3.08</v>
      </c>
      <c r="M1645">
        <f>_xlfn.XLOOKUP(A1645,'DGS2'!A:A,'DGS2'!B:B,"",-1)</f>
        <v>4.3</v>
      </c>
      <c r="N1645">
        <f t="shared" si="203"/>
        <v>4.3</v>
      </c>
      <c r="O1645">
        <f t="shared" si="204"/>
        <v>-3.2907569019515748E-3</v>
      </c>
      <c r="P1645">
        <f t="shared" si="205"/>
        <v>0</v>
      </c>
      <c r="Q1645">
        <f t="shared" si="206"/>
        <v>-1</v>
      </c>
    </row>
    <row r="1646" spans="1:17">
      <c r="A1646" s="1">
        <v>44846</v>
      </c>
      <c r="B1646">
        <v>3577.03</v>
      </c>
      <c r="C1646">
        <f t="shared" si="200"/>
        <v>-3.2907569019515748E-3</v>
      </c>
      <c r="D1646">
        <f t="shared" si="207"/>
        <v>-1.7207651264128931E-2</v>
      </c>
      <c r="E1646">
        <f>_xlfn.XLOOKUP(A1646,VIX!A:A,VIX!B:B,"",-1)</f>
        <v>33.57</v>
      </c>
      <c r="F1646">
        <f t="shared" si="201"/>
        <v>-6.0000000000002274E-2</v>
      </c>
      <c r="G1646">
        <f>_xlfn.XLOOKUP(A1646,'DGS10'!A:A,'DGS10'!B:B,"",-1)</f>
        <v>3.91</v>
      </c>
      <c r="H1646">
        <f t="shared" si="202"/>
        <v>-2.0000000000000018E-2</v>
      </c>
      <c r="I1646" s="2">
        <f>_xlfn.XLOOKUP(A1646,T10Y3M!A:A,T10Y3M!B:B,"",-1)</f>
        <v>0.21</v>
      </c>
      <c r="J1646" s="2">
        <f>_xlfn.XLOOKUP(A1646,BAMLC0A4CBBB!A:A,BAMLC0A4CBBB!B:B,"",-1)</f>
        <v>2.1</v>
      </c>
      <c r="K1646" s="2">
        <f>_xlfn.XLOOKUP(A1646,CPIAUCSL!A:A,CPIAUCSL!B:B,"",-1)</f>
        <v>298.00700000000001</v>
      </c>
      <c r="L1646">
        <f>_xlfn.XLOOKUP(A1646,DFF!A:A,DFF!B:B,"",-1)</f>
        <v>3.08</v>
      </c>
      <c r="M1646">
        <f>_xlfn.XLOOKUP(A1646,'DGS2'!A:A,'DGS2'!B:B,"",-1)</f>
        <v>4.28</v>
      </c>
      <c r="N1646">
        <f t="shared" si="203"/>
        <v>-1.9999999999999574E-2</v>
      </c>
      <c r="O1646">
        <f t="shared" si="204"/>
        <v>2.5965675434648228E-2</v>
      </c>
      <c r="P1646">
        <f t="shared" si="205"/>
        <v>1</v>
      </c>
      <c r="Q1646">
        <f t="shared" si="206"/>
        <v>1</v>
      </c>
    </row>
    <row r="1647" spans="1:17">
      <c r="A1647" s="1">
        <v>44847</v>
      </c>
      <c r="B1647">
        <v>3669.91</v>
      </c>
      <c r="C1647">
        <f t="shared" si="200"/>
        <v>2.5965675434648228E-2</v>
      </c>
      <c r="D1647">
        <f t="shared" si="207"/>
        <v>1.5922976201351524E-2</v>
      </c>
      <c r="E1647">
        <f>_xlfn.XLOOKUP(A1647,VIX!A:A,VIX!B:B,"",-1)</f>
        <v>31.94</v>
      </c>
      <c r="F1647">
        <f t="shared" si="201"/>
        <v>-1.629999999999999</v>
      </c>
      <c r="G1647">
        <f>_xlfn.XLOOKUP(A1647,'DGS10'!A:A,'DGS10'!B:B,"",-1)</f>
        <v>3.97</v>
      </c>
      <c r="H1647">
        <f t="shared" si="202"/>
        <v>6.0000000000000053E-2</v>
      </c>
      <c r="I1647" s="2">
        <f>_xlfn.XLOOKUP(A1647,T10Y3M!A:A,T10Y3M!B:B,"",-1)</f>
        <v>0.18</v>
      </c>
      <c r="J1647" s="2">
        <f>_xlfn.XLOOKUP(A1647,BAMLC0A4CBBB!A:A,BAMLC0A4CBBB!B:B,"",-1)</f>
        <v>2.1</v>
      </c>
      <c r="K1647" s="2">
        <f>_xlfn.XLOOKUP(A1647,CPIAUCSL!A:A,CPIAUCSL!B:B,"",-1)</f>
        <v>298.00700000000001</v>
      </c>
      <c r="L1647">
        <f>_xlfn.XLOOKUP(A1647,DFF!A:A,DFF!B:B,"",-1)</f>
        <v>3.08</v>
      </c>
      <c r="M1647">
        <f>_xlfn.XLOOKUP(A1647,'DGS2'!A:A,'DGS2'!B:B,"",-1)</f>
        <v>4.47</v>
      </c>
      <c r="N1647">
        <f t="shared" si="203"/>
        <v>0.1899999999999995</v>
      </c>
      <c r="O1647">
        <f t="shared" si="204"/>
        <v>-2.3662705624933444E-2</v>
      </c>
      <c r="P1647">
        <f t="shared" si="205"/>
        <v>0</v>
      </c>
      <c r="Q1647">
        <f t="shared" si="206"/>
        <v>-1</v>
      </c>
    </row>
    <row r="1648" spans="1:17">
      <c r="A1648" s="1">
        <v>44848</v>
      </c>
      <c r="B1648">
        <v>3583.07</v>
      </c>
      <c r="C1648">
        <f t="shared" si="200"/>
        <v>-2.3662705624933444E-2</v>
      </c>
      <c r="D1648">
        <f t="shared" si="207"/>
        <v>-1.6077618394801929E-3</v>
      </c>
      <c r="E1648">
        <f>_xlfn.XLOOKUP(A1648,VIX!A:A,VIX!B:B,"",-1)</f>
        <v>32.020000000000003</v>
      </c>
      <c r="F1648">
        <f t="shared" si="201"/>
        <v>8.0000000000001847E-2</v>
      </c>
      <c r="G1648">
        <f>_xlfn.XLOOKUP(A1648,'DGS10'!A:A,'DGS10'!B:B,"",-1)</f>
        <v>4</v>
      </c>
      <c r="H1648">
        <f t="shared" si="202"/>
        <v>2.9999999999999805E-2</v>
      </c>
      <c r="I1648" s="2">
        <f>_xlfn.XLOOKUP(A1648,T10Y3M!A:A,T10Y3M!B:B,"",-1)</f>
        <v>0.19</v>
      </c>
      <c r="J1648" s="2">
        <f>_xlfn.XLOOKUP(A1648,BAMLC0A4CBBB!A:A,BAMLC0A4CBBB!B:B,"",-1)</f>
        <v>2.09</v>
      </c>
      <c r="K1648" s="2">
        <f>_xlfn.XLOOKUP(A1648,CPIAUCSL!A:A,CPIAUCSL!B:B,"",-1)</f>
        <v>298.00700000000001</v>
      </c>
      <c r="L1648">
        <f>_xlfn.XLOOKUP(A1648,DFF!A:A,DFF!B:B,"",-1)</f>
        <v>3.08</v>
      </c>
      <c r="M1648">
        <f>_xlfn.XLOOKUP(A1648,'DGS2'!A:A,'DGS2'!B:B,"",-1)</f>
        <v>4.4800000000000004</v>
      </c>
      <c r="N1648">
        <f t="shared" si="203"/>
        <v>1.0000000000000675E-2</v>
      </c>
      <c r="O1648">
        <f t="shared" si="204"/>
        <v>2.6480085513260976E-2</v>
      </c>
      <c r="P1648">
        <f t="shared" si="205"/>
        <v>1</v>
      </c>
      <c r="Q1648">
        <f t="shared" si="206"/>
        <v>1</v>
      </c>
    </row>
    <row r="1649" spans="1:17">
      <c r="A1649" s="1">
        <v>44851</v>
      </c>
      <c r="B1649">
        <v>3677.95</v>
      </c>
      <c r="C1649">
        <f t="shared" si="200"/>
        <v>2.6480085513260976E-2</v>
      </c>
      <c r="D1649">
        <f t="shared" si="207"/>
        <v>2.8213350181575114E-2</v>
      </c>
      <c r="E1649">
        <f>_xlfn.XLOOKUP(A1649,VIX!A:A,VIX!B:B,"",-1)</f>
        <v>31.37</v>
      </c>
      <c r="F1649">
        <f t="shared" si="201"/>
        <v>-0.65000000000000213</v>
      </c>
      <c r="G1649">
        <f>_xlfn.XLOOKUP(A1649,'DGS10'!A:A,'DGS10'!B:B,"",-1)</f>
        <v>4.0199999999999996</v>
      </c>
      <c r="H1649">
        <f t="shared" si="202"/>
        <v>1.9999999999999574E-2</v>
      </c>
      <c r="I1649" s="2">
        <f>_xlfn.XLOOKUP(A1649,T10Y3M!A:A,T10Y3M!B:B,"",-1)</f>
        <v>0.05</v>
      </c>
      <c r="J1649" s="2">
        <f>_xlfn.XLOOKUP(A1649,BAMLC0A4CBBB!A:A,BAMLC0A4CBBB!B:B,"",-1)</f>
        <v>2.09</v>
      </c>
      <c r="K1649" s="2">
        <f>_xlfn.XLOOKUP(A1649,CPIAUCSL!A:A,CPIAUCSL!B:B,"",-1)</f>
        <v>298.00700000000001</v>
      </c>
      <c r="L1649">
        <f>_xlfn.XLOOKUP(A1649,DFF!A:A,DFF!B:B,"",-1)</f>
        <v>3.08</v>
      </c>
      <c r="M1649">
        <f>_xlfn.XLOOKUP(A1649,'DGS2'!A:A,'DGS2'!B:B,"",-1)</f>
        <v>4.45</v>
      </c>
      <c r="N1649">
        <f t="shared" si="203"/>
        <v>-3.0000000000000249E-2</v>
      </c>
      <c r="O1649">
        <f t="shared" si="204"/>
        <v>1.1427561549232745E-2</v>
      </c>
      <c r="P1649">
        <f t="shared" si="205"/>
        <v>1</v>
      </c>
      <c r="Q1649">
        <f t="shared" si="206"/>
        <v>1</v>
      </c>
    </row>
    <row r="1650" spans="1:17">
      <c r="A1650" s="1">
        <v>44852</v>
      </c>
      <c r="B1650">
        <v>3719.98</v>
      </c>
      <c r="C1650">
        <f t="shared" si="200"/>
        <v>1.1427561549232745E-2</v>
      </c>
      <c r="D1650">
        <f t="shared" si="207"/>
        <v>1.3643386350074005E-2</v>
      </c>
      <c r="E1650">
        <f>_xlfn.XLOOKUP(A1650,VIX!A:A,VIX!B:B,"",-1)</f>
        <v>30.5</v>
      </c>
      <c r="F1650">
        <f t="shared" si="201"/>
        <v>-0.87000000000000099</v>
      </c>
      <c r="G1650">
        <f>_xlfn.XLOOKUP(A1650,'DGS10'!A:A,'DGS10'!B:B,"",-1)</f>
        <v>4.01</v>
      </c>
      <c r="H1650">
        <f t="shared" si="202"/>
        <v>-9.9999999999997868E-3</v>
      </c>
      <c r="I1650" s="2">
        <f>_xlfn.XLOOKUP(A1650,T10Y3M!A:A,T10Y3M!B:B,"",-1)</f>
        <v>-0.03</v>
      </c>
      <c r="J1650" s="2">
        <f>_xlfn.XLOOKUP(A1650,BAMLC0A4CBBB!A:A,BAMLC0A4CBBB!B:B,"",-1)</f>
        <v>2.0699999999999998</v>
      </c>
      <c r="K1650" s="2">
        <f>_xlfn.XLOOKUP(A1650,CPIAUCSL!A:A,CPIAUCSL!B:B,"",-1)</f>
        <v>298.00700000000001</v>
      </c>
      <c r="L1650">
        <f>_xlfn.XLOOKUP(A1650,DFF!A:A,DFF!B:B,"",-1)</f>
        <v>3.08</v>
      </c>
      <c r="M1650">
        <f>_xlfn.XLOOKUP(A1650,'DGS2'!A:A,'DGS2'!B:B,"",-1)</f>
        <v>4.43</v>
      </c>
      <c r="N1650">
        <f t="shared" si="203"/>
        <v>-2.0000000000000462E-2</v>
      </c>
      <c r="O1650">
        <f t="shared" si="204"/>
        <v>-6.6720788821446053E-3</v>
      </c>
      <c r="P1650">
        <f t="shared" si="205"/>
        <v>0</v>
      </c>
      <c r="Q1650">
        <f t="shared" si="206"/>
        <v>-1</v>
      </c>
    </row>
    <row r="1651" spans="1:17">
      <c r="A1651" s="1">
        <v>44853</v>
      </c>
      <c r="B1651">
        <v>3695.16</v>
      </c>
      <c r="C1651">
        <f t="shared" si="200"/>
        <v>-6.6720788821446053E-3</v>
      </c>
      <c r="D1651">
        <f t="shared" si="207"/>
        <v>3.1283229186144679E-2</v>
      </c>
      <c r="E1651">
        <f>_xlfn.XLOOKUP(A1651,VIX!A:A,VIX!B:B,"",-1)</f>
        <v>30.76</v>
      </c>
      <c r="F1651">
        <f t="shared" si="201"/>
        <v>0.26000000000000156</v>
      </c>
      <c r="G1651">
        <f>_xlfn.XLOOKUP(A1651,'DGS10'!A:A,'DGS10'!B:B,"",-1)</f>
        <v>4.1399999999999997</v>
      </c>
      <c r="H1651">
        <f t="shared" si="202"/>
        <v>0.12999999999999989</v>
      </c>
      <c r="I1651" s="2">
        <f>_xlfn.XLOOKUP(A1651,T10Y3M!A:A,T10Y3M!B:B,"",-1)</f>
        <v>7.0000000000000007E-2</v>
      </c>
      <c r="J1651" s="2">
        <f>_xlfn.XLOOKUP(A1651,BAMLC0A4CBBB!A:A,BAMLC0A4CBBB!B:B,"",-1)</f>
        <v>2.08</v>
      </c>
      <c r="K1651" s="2">
        <f>_xlfn.XLOOKUP(A1651,CPIAUCSL!A:A,CPIAUCSL!B:B,"",-1)</f>
        <v>298.00700000000001</v>
      </c>
      <c r="L1651">
        <f>_xlfn.XLOOKUP(A1651,DFF!A:A,DFF!B:B,"",-1)</f>
        <v>3.08</v>
      </c>
      <c r="M1651">
        <f>_xlfn.XLOOKUP(A1651,'DGS2'!A:A,'DGS2'!B:B,"",-1)</f>
        <v>4.55</v>
      </c>
      <c r="N1651">
        <f t="shared" si="203"/>
        <v>0.12000000000000011</v>
      </c>
      <c r="O1651">
        <f t="shared" si="204"/>
        <v>-7.9509412312320782E-3</v>
      </c>
      <c r="P1651">
        <f t="shared" si="205"/>
        <v>0</v>
      </c>
      <c r="Q1651">
        <f t="shared" si="206"/>
        <v>-1</v>
      </c>
    </row>
    <row r="1652" spans="1:17">
      <c r="A1652" s="1">
        <v>44854</v>
      </c>
      <c r="B1652">
        <v>3665.78</v>
      </c>
      <c r="C1652">
        <f t="shared" si="200"/>
        <v>-7.9509412312320782E-3</v>
      </c>
      <c r="D1652">
        <f t="shared" si="207"/>
        <v>-3.3089084952214742E-3</v>
      </c>
      <c r="E1652">
        <f>_xlfn.XLOOKUP(A1652,VIX!A:A,VIX!B:B,"",-1)</f>
        <v>29.98</v>
      </c>
      <c r="F1652">
        <f t="shared" si="201"/>
        <v>-0.78000000000000114</v>
      </c>
      <c r="G1652">
        <f>_xlfn.XLOOKUP(A1652,'DGS10'!A:A,'DGS10'!B:B,"",-1)</f>
        <v>4.24</v>
      </c>
      <c r="H1652">
        <f t="shared" si="202"/>
        <v>0.10000000000000053</v>
      </c>
      <c r="I1652" s="2">
        <f>_xlfn.XLOOKUP(A1652,T10Y3M!A:A,T10Y3M!B:B,"",-1)</f>
        <v>0.15</v>
      </c>
      <c r="J1652" s="2">
        <f>_xlfn.XLOOKUP(A1652,BAMLC0A4CBBB!A:A,BAMLC0A4CBBB!B:B,"",-1)</f>
        <v>2.0699999999999998</v>
      </c>
      <c r="K1652" s="2">
        <f>_xlfn.XLOOKUP(A1652,CPIAUCSL!A:A,CPIAUCSL!B:B,"",-1)</f>
        <v>298.00700000000001</v>
      </c>
      <c r="L1652">
        <f>_xlfn.XLOOKUP(A1652,DFF!A:A,DFF!B:B,"",-1)</f>
        <v>3.08</v>
      </c>
      <c r="M1652">
        <f>_xlfn.XLOOKUP(A1652,'DGS2'!A:A,'DGS2'!B:B,"",-1)</f>
        <v>4.62</v>
      </c>
      <c r="N1652">
        <f t="shared" si="203"/>
        <v>7.0000000000000284E-2</v>
      </c>
      <c r="O1652">
        <f t="shared" si="204"/>
        <v>2.3724828003862664E-2</v>
      </c>
      <c r="P1652">
        <f t="shared" si="205"/>
        <v>1</v>
      </c>
      <c r="Q1652">
        <f t="shared" si="206"/>
        <v>1</v>
      </c>
    </row>
    <row r="1653" spans="1:17">
      <c r="A1653" s="1">
        <v>44855</v>
      </c>
      <c r="B1653">
        <v>3752.75</v>
      </c>
      <c r="C1653">
        <f t="shared" si="200"/>
        <v>2.3724828003862664E-2</v>
      </c>
      <c r="D1653">
        <f t="shared" si="207"/>
        <v>8.8091871461675186E-3</v>
      </c>
      <c r="E1653">
        <f>_xlfn.XLOOKUP(A1653,VIX!A:A,VIX!B:B,"",-1)</f>
        <v>29.69</v>
      </c>
      <c r="F1653">
        <f t="shared" si="201"/>
        <v>-0.28999999999999915</v>
      </c>
      <c r="G1653">
        <f>_xlfn.XLOOKUP(A1653,'DGS10'!A:A,'DGS10'!B:B,"",-1)</f>
        <v>4.21</v>
      </c>
      <c r="H1653">
        <f t="shared" si="202"/>
        <v>-3.0000000000000249E-2</v>
      </c>
      <c r="I1653" s="2">
        <f>_xlfn.XLOOKUP(A1653,T10Y3M!A:A,T10Y3M!B:B,"",-1)</f>
        <v>0.12</v>
      </c>
      <c r="J1653" s="2">
        <f>_xlfn.XLOOKUP(A1653,BAMLC0A4CBBB!A:A,BAMLC0A4CBBB!B:B,"",-1)</f>
        <v>2.09</v>
      </c>
      <c r="K1653" s="2">
        <f>_xlfn.XLOOKUP(A1653,CPIAUCSL!A:A,CPIAUCSL!B:B,"",-1)</f>
        <v>298.00700000000001</v>
      </c>
      <c r="L1653">
        <f>_xlfn.XLOOKUP(A1653,DFF!A:A,DFF!B:B,"",-1)</f>
        <v>3.08</v>
      </c>
      <c r="M1653">
        <f>_xlfn.XLOOKUP(A1653,'DGS2'!A:A,'DGS2'!B:B,"",-1)</f>
        <v>4.49</v>
      </c>
      <c r="N1653">
        <f t="shared" si="203"/>
        <v>-0.12999999999999989</v>
      </c>
      <c r="O1653">
        <f t="shared" si="204"/>
        <v>1.1881953234294862E-2</v>
      </c>
      <c r="P1653">
        <f t="shared" si="205"/>
        <v>1</v>
      </c>
      <c r="Q1653">
        <f t="shared" si="206"/>
        <v>1</v>
      </c>
    </row>
    <row r="1654" spans="1:17">
      <c r="A1654" s="1">
        <v>44858</v>
      </c>
      <c r="B1654">
        <v>3797.34</v>
      </c>
      <c r="C1654">
        <f t="shared" si="200"/>
        <v>1.1881953234294862E-2</v>
      </c>
      <c r="D1654">
        <f t="shared" si="207"/>
        <v>2.7652388529860739E-2</v>
      </c>
      <c r="E1654">
        <f>_xlfn.XLOOKUP(A1654,VIX!A:A,VIX!B:B,"",-1)</f>
        <v>29.85</v>
      </c>
      <c r="F1654">
        <f t="shared" si="201"/>
        <v>0.16000000000000014</v>
      </c>
      <c r="G1654">
        <f>_xlfn.XLOOKUP(A1654,'DGS10'!A:A,'DGS10'!B:B,"",-1)</f>
        <v>4.25</v>
      </c>
      <c r="H1654">
        <f t="shared" si="202"/>
        <v>4.0000000000000036E-2</v>
      </c>
      <c r="I1654" s="2">
        <f>_xlfn.XLOOKUP(A1654,T10Y3M!A:A,T10Y3M!B:B,"",-1)</f>
        <v>0.09</v>
      </c>
      <c r="J1654" s="2">
        <f>_xlfn.XLOOKUP(A1654,BAMLC0A4CBBB!A:A,BAMLC0A4CBBB!B:B,"",-1)</f>
        <v>2.06</v>
      </c>
      <c r="K1654" s="2">
        <f>_xlfn.XLOOKUP(A1654,CPIAUCSL!A:A,CPIAUCSL!B:B,"",-1)</f>
        <v>298.00700000000001</v>
      </c>
      <c r="L1654">
        <f>_xlfn.XLOOKUP(A1654,DFF!A:A,DFF!B:B,"",-1)</f>
        <v>3.08</v>
      </c>
      <c r="M1654">
        <f>_xlfn.XLOOKUP(A1654,'DGS2'!A:A,'DGS2'!B:B,"",-1)</f>
        <v>4.5</v>
      </c>
      <c r="N1654">
        <f t="shared" si="203"/>
        <v>9.9999999999997868E-3</v>
      </c>
      <c r="O1654">
        <f t="shared" si="204"/>
        <v>1.6266649812763712E-2</v>
      </c>
      <c r="P1654">
        <f t="shared" si="205"/>
        <v>1</v>
      </c>
      <c r="Q1654">
        <f t="shared" si="206"/>
        <v>1</v>
      </c>
    </row>
    <row r="1655" spans="1:17">
      <c r="A1655" s="1">
        <v>44859</v>
      </c>
      <c r="B1655">
        <v>3859.11</v>
      </c>
      <c r="C1655">
        <f t="shared" si="200"/>
        <v>1.6266649812763712E-2</v>
      </c>
      <c r="D1655">
        <f t="shared" si="207"/>
        <v>5.2739116913726347E-2</v>
      </c>
      <c r="E1655">
        <f>_xlfn.XLOOKUP(A1655,VIX!A:A,VIX!B:B,"",-1)</f>
        <v>28.46</v>
      </c>
      <c r="F1655">
        <f t="shared" si="201"/>
        <v>-1.3900000000000006</v>
      </c>
      <c r="G1655">
        <f>_xlfn.XLOOKUP(A1655,'DGS10'!A:A,'DGS10'!B:B,"",-1)</f>
        <v>4.0999999999999996</v>
      </c>
      <c r="H1655">
        <f t="shared" si="202"/>
        <v>-0.15000000000000036</v>
      </c>
      <c r="I1655" s="2">
        <f>_xlfn.XLOOKUP(A1655,T10Y3M!A:A,T10Y3M!B:B,"",-1)</f>
        <v>-0.04</v>
      </c>
      <c r="J1655" s="2">
        <f>_xlfn.XLOOKUP(A1655,BAMLC0A4CBBB!A:A,BAMLC0A4CBBB!B:B,"",-1)</f>
        <v>2.06</v>
      </c>
      <c r="K1655" s="2">
        <f>_xlfn.XLOOKUP(A1655,CPIAUCSL!A:A,CPIAUCSL!B:B,"",-1)</f>
        <v>298.00700000000001</v>
      </c>
      <c r="L1655">
        <f>_xlfn.XLOOKUP(A1655,DFF!A:A,DFF!B:B,"",-1)</f>
        <v>3.08</v>
      </c>
      <c r="M1655">
        <f>_xlfn.XLOOKUP(A1655,'DGS2'!A:A,'DGS2'!B:B,"",-1)</f>
        <v>4.42</v>
      </c>
      <c r="N1655">
        <f t="shared" si="203"/>
        <v>-8.0000000000000071E-2</v>
      </c>
      <c r="O1655">
        <f t="shared" si="204"/>
        <v>-7.3877137474703813E-3</v>
      </c>
      <c r="P1655">
        <f t="shared" si="205"/>
        <v>0</v>
      </c>
      <c r="Q1655">
        <f t="shared" si="206"/>
        <v>-1</v>
      </c>
    </row>
    <row r="1656" spans="1:17">
      <c r="A1656" s="1">
        <v>44860</v>
      </c>
      <c r="B1656">
        <v>3830.6</v>
      </c>
      <c r="C1656">
        <f t="shared" si="200"/>
        <v>-7.3877137474703813E-3</v>
      </c>
      <c r="D1656">
        <f t="shared" si="207"/>
        <v>2.074478715608552E-2</v>
      </c>
      <c r="E1656">
        <f>_xlfn.XLOOKUP(A1656,VIX!A:A,VIX!B:B,"",-1)</f>
        <v>27.28</v>
      </c>
      <c r="F1656">
        <f t="shared" si="201"/>
        <v>-1.1799999999999997</v>
      </c>
      <c r="G1656">
        <f>_xlfn.XLOOKUP(A1656,'DGS10'!A:A,'DGS10'!B:B,"",-1)</f>
        <v>4.04</v>
      </c>
      <c r="H1656">
        <f t="shared" si="202"/>
        <v>-5.9999999999999609E-2</v>
      </c>
      <c r="I1656" s="2">
        <f>_xlfn.XLOOKUP(A1656,T10Y3M!A:A,T10Y3M!B:B,"",-1)</f>
        <v>-7.0000000000000007E-2</v>
      </c>
      <c r="J1656" s="2">
        <f>_xlfn.XLOOKUP(A1656,BAMLC0A4CBBB!A:A,BAMLC0A4CBBB!B:B,"",-1)</f>
        <v>2.0499999999999998</v>
      </c>
      <c r="K1656" s="2">
        <f>_xlfn.XLOOKUP(A1656,CPIAUCSL!A:A,CPIAUCSL!B:B,"",-1)</f>
        <v>298.00700000000001</v>
      </c>
      <c r="L1656">
        <f>_xlfn.XLOOKUP(A1656,DFF!A:A,DFF!B:B,"",-1)</f>
        <v>3.08</v>
      </c>
      <c r="M1656">
        <f>_xlfn.XLOOKUP(A1656,'DGS2'!A:A,'DGS2'!B:B,"",-1)</f>
        <v>4.3899999999999997</v>
      </c>
      <c r="N1656">
        <f t="shared" si="203"/>
        <v>-3.0000000000000249E-2</v>
      </c>
      <c r="O1656">
        <f t="shared" si="204"/>
        <v>-6.0825980264187507E-3</v>
      </c>
      <c r="P1656">
        <f t="shared" si="205"/>
        <v>0</v>
      </c>
      <c r="Q1656">
        <f t="shared" si="206"/>
        <v>-1</v>
      </c>
    </row>
    <row r="1657" spans="1:17">
      <c r="A1657" s="1">
        <v>44861</v>
      </c>
      <c r="B1657">
        <v>3807.3</v>
      </c>
      <c r="C1657">
        <f t="shared" si="200"/>
        <v>-6.0825980264187507E-3</v>
      </c>
      <c r="D1657">
        <f t="shared" si="207"/>
        <v>2.6228886536365792E-3</v>
      </c>
      <c r="E1657">
        <f>_xlfn.XLOOKUP(A1657,VIX!A:A,VIX!B:B,"",-1)</f>
        <v>27.39</v>
      </c>
      <c r="F1657">
        <f t="shared" si="201"/>
        <v>0.10999999999999943</v>
      </c>
      <c r="G1657">
        <f>_xlfn.XLOOKUP(A1657,'DGS10'!A:A,'DGS10'!B:B,"",-1)</f>
        <v>3.96</v>
      </c>
      <c r="H1657">
        <f t="shared" si="202"/>
        <v>-8.0000000000000071E-2</v>
      </c>
      <c r="I1657" s="2">
        <f>_xlfn.XLOOKUP(A1657,T10Y3M!A:A,T10Y3M!B:B,"",-1)</f>
        <v>-0.17</v>
      </c>
      <c r="J1657" s="2">
        <f>_xlfn.XLOOKUP(A1657,BAMLC0A4CBBB!A:A,BAMLC0A4CBBB!B:B,"",-1)</f>
        <v>2.06</v>
      </c>
      <c r="K1657" s="2">
        <f>_xlfn.XLOOKUP(A1657,CPIAUCSL!A:A,CPIAUCSL!B:B,"",-1)</f>
        <v>298.00700000000001</v>
      </c>
      <c r="L1657">
        <f>_xlfn.XLOOKUP(A1657,DFF!A:A,DFF!B:B,"",-1)</f>
        <v>3.08</v>
      </c>
      <c r="M1657">
        <f>_xlfn.XLOOKUP(A1657,'DGS2'!A:A,'DGS2'!B:B,"",-1)</f>
        <v>4.3</v>
      </c>
      <c r="N1657">
        <f t="shared" si="203"/>
        <v>-8.9999999999999858E-2</v>
      </c>
      <c r="O1657">
        <f t="shared" si="204"/>
        <v>2.4626375646783716E-2</v>
      </c>
      <c r="P1657">
        <f t="shared" si="205"/>
        <v>1</v>
      </c>
      <c r="Q1657">
        <f t="shared" si="206"/>
        <v>1</v>
      </c>
    </row>
    <row r="1658" spans="1:17">
      <c r="A1658" s="1">
        <v>44862</v>
      </c>
      <c r="B1658">
        <v>3901.06</v>
      </c>
      <c r="C1658">
        <f t="shared" si="200"/>
        <v>2.4626375646783716E-2</v>
      </c>
      <c r="D1658">
        <f t="shared" si="207"/>
        <v>1.0870382031090031E-2</v>
      </c>
      <c r="E1658">
        <f>_xlfn.XLOOKUP(A1658,VIX!A:A,VIX!B:B,"",-1)</f>
        <v>25.75</v>
      </c>
      <c r="F1658">
        <f t="shared" si="201"/>
        <v>-1.6400000000000006</v>
      </c>
      <c r="G1658">
        <f>_xlfn.XLOOKUP(A1658,'DGS10'!A:A,'DGS10'!B:B,"",-1)</f>
        <v>4.0199999999999996</v>
      </c>
      <c r="H1658">
        <f t="shared" si="202"/>
        <v>5.9999999999999609E-2</v>
      </c>
      <c r="I1658" s="2">
        <f>_xlfn.XLOOKUP(A1658,T10Y3M!A:A,T10Y3M!B:B,"",-1)</f>
        <v>-0.16</v>
      </c>
      <c r="J1658" s="2">
        <f>_xlfn.XLOOKUP(A1658,BAMLC0A4CBBB!A:A,BAMLC0A4CBBB!B:B,"",-1)</f>
        <v>2.0299999999999998</v>
      </c>
      <c r="K1658" s="2">
        <f>_xlfn.XLOOKUP(A1658,CPIAUCSL!A:A,CPIAUCSL!B:B,"",-1)</f>
        <v>298.00700000000001</v>
      </c>
      <c r="L1658">
        <f>_xlfn.XLOOKUP(A1658,DFF!A:A,DFF!B:B,"",-1)</f>
        <v>3.08</v>
      </c>
      <c r="M1658">
        <f>_xlfn.XLOOKUP(A1658,'DGS2'!A:A,'DGS2'!B:B,"",-1)</f>
        <v>4.41</v>
      </c>
      <c r="N1658">
        <f t="shared" si="203"/>
        <v>0.11000000000000032</v>
      </c>
      <c r="O1658">
        <f t="shared" si="204"/>
        <v>-7.4543841930141408E-3</v>
      </c>
      <c r="P1658">
        <f t="shared" si="205"/>
        <v>0</v>
      </c>
      <c r="Q1658">
        <f t="shared" si="206"/>
        <v>-1</v>
      </c>
    </row>
    <row r="1659" spans="1:17">
      <c r="A1659" s="1">
        <v>44865</v>
      </c>
      <c r="B1659">
        <v>3871.98</v>
      </c>
      <c r="C1659">
        <f t="shared" si="200"/>
        <v>-7.4543841930141408E-3</v>
      </c>
      <c r="D1659">
        <f t="shared" si="207"/>
        <v>1.0802485250352545E-2</v>
      </c>
      <c r="E1659">
        <f>_xlfn.XLOOKUP(A1659,VIX!A:A,VIX!B:B,"",-1)</f>
        <v>25.88</v>
      </c>
      <c r="F1659">
        <f t="shared" si="201"/>
        <v>0.12999999999999901</v>
      </c>
      <c r="G1659">
        <f>_xlfn.XLOOKUP(A1659,'DGS10'!A:A,'DGS10'!B:B,"",-1)</f>
        <v>4.0999999999999996</v>
      </c>
      <c r="H1659">
        <f t="shared" si="202"/>
        <v>8.0000000000000071E-2</v>
      </c>
      <c r="I1659" s="2">
        <f>_xlfn.XLOOKUP(A1659,T10Y3M!A:A,T10Y3M!B:B,"",-1)</f>
        <v>-0.12</v>
      </c>
      <c r="J1659" s="2">
        <f>_xlfn.XLOOKUP(A1659,BAMLC0A4CBBB!A:A,BAMLC0A4CBBB!B:B,"",-1)</f>
        <v>2.0299999999999998</v>
      </c>
      <c r="K1659" s="2">
        <f>_xlfn.XLOOKUP(A1659,CPIAUCSL!A:A,CPIAUCSL!B:B,"",-1)</f>
        <v>298.00700000000001</v>
      </c>
      <c r="L1659">
        <f>_xlfn.XLOOKUP(A1659,DFF!A:A,DFF!B:B,"",-1)</f>
        <v>3.08</v>
      </c>
      <c r="M1659">
        <f>_xlfn.XLOOKUP(A1659,'DGS2'!A:A,'DGS2'!B:B,"",-1)</f>
        <v>4.51</v>
      </c>
      <c r="N1659">
        <f t="shared" si="203"/>
        <v>9.9999999999999645E-2</v>
      </c>
      <c r="O1659">
        <f t="shared" si="204"/>
        <v>-4.10126085362017E-3</v>
      </c>
      <c r="P1659">
        <f t="shared" si="205"/>
        <v>0</v>
      </c>
      <c r="Q1659">
        <f t="shared" si="206"/>
        <v>-1</v>
      </c>
    </row>
    <row r="1660" spans="1:17">
      <c r="A1660" s="1">
        <v>44866</v>
      </c>
      <c r="B1660">
        <v>3856.1</v>
      </c>
      <c r="C1660">
        <f t="shared" si="200"/>
        <v>-4.10126085362017E-3</v>
      </c>
      <c r="D1660">
        <f t="shared" si="207"/>
        <v>1.2817482205237152E-2</v>
      </c>
      <c r="E1660">
        <f>_xlfn.XLOOKUP(A1660,VIX!A:A,VIX!B:B,"",-1)</f>
        <v>25.81</v>
      </c>
      <c r="F1660">
        <f t="shared" si="201"/>
        <v>-7.0000000000000284E-2</v>
      </c>
      <c r="G1660">
        <f>_xlfn.XLOOKUP(A1660,'DGS10'!A:A,'DGS10'!B:B,"",-1)</f>
        <v>4.07</v>
      </c>
      <c r="H1660">
        <f t="shared" si="202"/>
        <v>-2.9999999999999361E-2</v>
      </c>
      <c r="I1660" s="2">
        <f>_xlfn.XLOOKUP(A1660,T10Y3M!A:A,T10Y3M!B:B,"",-1)</f>
        <v>-0.16</v>
      </c>
      <c r="J1660" s="2">
        <f>_xlfn.XLOOKUP(A1660,BAMLC0A4CBBB!A:A,BAMLC0A4CBBB!B:B,"",-1)</f>
        <v>2.0099999999999998</v>
      </c>
      <c r="K1660" s="2">
        <f>_xlfn.XLOOKUP(A1660,CPIAUCSL!A:A,CPIAUCSL!B:B,"",-1)</f>
        <v>298.786</v>
      </c>
      <c r="L1660">
        <f>_xlfn.XLOOKUP(A1660,DFF!A:A,DFF!B:B,"",-1)</f>
        <v>3.08</v>
      </c>
      <c r="M1660">
        <f>_xlfn.XLOOKUP(A1660,'DGS2'!A:A,'DGS2'!B:B,"",-1)</f>
        <v>4.54</v>
      </c>
      <c r="N1660">
        <f t="shared" si="203"/>
        <v>3.0000000000000249E-2</v>
      </c>
      <c r="O1660">
        <f t="shared" si="204"/>
        <v>-2.5001944970306722E-2</v>
      </c>
      <c r="P1660">
        <f t="shared" si="205"/>
        <v>0</v>
      </c>
      <c r="Q1660">
        <f t="shared" si="206"/>
        <v>-1</v>
      </c>
    </row>
    <row r="1661" spans="1:17">
      <c r="A1661" s="1">
        <v>44867</v>
      </c>
      <c r="B1661">
        <v>3759.69</v>
      </c>
      <c r="C1661">
        <f t="shared" si="200"/>
        <v>-2.5001944970306722E-2</v>
      </c>
      <c r="D1661">
        <f t="shared" si="207"/>
        <v>-3.6238868410124359E-2</v>
      </c>
      <c r="E1661">
        <f>_xlfn.XLOOKUP(A1661,VIX!A:A,VIX!B:B,"",-1)</f>
        <v>25.86</v>
      </c>
      <c r="F1661">
        <f t="shared" si="201"/>
        <v>5.0000000000000711E-2</v>
      </c>
      <c r="G1661">
        <f>_xlfn.XLOOKUP(A1661,'DGS10'!A:A,'DGS10'!B:B,"",-1)</f>
        <v>4.0999999999999996</v>
      </c>
      <c r="H1661">
        <f t="shared" si="202"/>
        <v>2.9999999999999361E-2</v>
      </c>
      <c r="I1661" s="2">
        <f>_xlfn.XLOOKUP(A1661,T10Y3M!A:A,T10Y3M!B:B,"",-1)</f>
        <v>-0.12</v>
      </c>
      <c r="J1661" s="2">
        <f>_xlfn.XLOOKUP(A1661,BAMLC0A4CBBB!A:A,BAMLC0A4CBBB!B:B,"",-1)</f>
        <v>1.99</v>
      </c>
      <c r="K1661" s="2">
        <f>_xlfn.XLOOKUP(A1661,CPIAUCSL!A:A,CPIAUCSL!B:B,"",-1)</f>
        <v>298.786</v>
      </c>
      <c r="L1661">
        <f>_xlfn.XLOOKUP(A1661,DFF!A:A,DFF!B:B,"",-1)</f>
        <v>3.08</v>
      </c>
      <c r="M1661">
        <f>_xlfn.XLOOKUP(A1661,'DGS2'!A:A,'DGS2'!B:B,"",-1)</f>
        <v>4.6100000000000003</v>
      </c>
      <c r="N1661">
        <f t="shared" si="203"/>
        <v>7.0000000000000284E-2</v>
      </c>
      <c r="O1661">
        <f t="shared" si="204"/>
        <v>-1.0585979163175718E-2</v>
      </c>
      <c r="P1661">
        <f t="shared" si="205"/>
        <v>0</v>
      </c>
      <c r="Q1661">
        <f t="shared" si="206"/>
        <v>-1</v>
      </c>
    </row>
    <row r="1662" spans="1:17">
      <c r="A1662" s="1">
        <v>44868</v>
      </c>
      <c r="B1662">
        <v>3719.89</v>
      </c>
      <c r="C1662">
        <f t="shared" si="200"/>
        <v>-1.0585979163175718E-2</v>
      </c>
      <c r="D1662">
        <f t="shared" si="207"/>
        <v>-3.9279645039488886E-2</v>
      </c>
      <c r="E1662">
        <f>_xlfn.XLOOKUP(A1662,VIX!A:A,VIX!B:B,"",-1)</f>
        <v>25.3</v>
      </c>
      <c r="F1662">
        <f t="shared" si="201"/>
        <v>-0.55999999999999872</v>
      </c>
      <c r="G1662">
        <f>_xlfn.XLOOKUP(A1662,'DGS10'!A:A,'DGS10'!B:B,"",-1)</f>
        <v>4.1399999999999997</v>
      </c>
      <c r="H1662">
        <f t="shared" si="202"/>
        <v>4.0000000000000036E-2</v>
      </c>
      <c r="I1662" s="2">
        <f>_xlfn.XLOOKUP(A1662,T10Y3M!A:A,T10Y3M!B:B,"",-1)</f>
        <v>-0.11</v>
      </c>
      <c r="J1662" s="2">
        <f>_xlfn.XLOOKUP(A1662,BAMLC0A4CBBB!A:A,BAMLC0A4CBBB!B:B,"",-1)</f>
        <v>2.0099999999999998</v>
      </c>
      <c r="K1662" s="2">
        <f>_xlfn.XLOOKUP(A1662,CPIAUCSL!A:A,CPIAUCSL!B:B,"",-1)</f>
        <v>298.786</v>
      </c>
      <c r="L1662">
        <f>_xlfn.XLOOKUP(A1662,DFF!A:A,DFF!B:B,"",-1)</f>
        <v>3.83</v>
      </c>
      <c r="M1662">
        <f>_xlfn.XLOOKUP(A1662,'DGS2'!A:A,'DGS2'!B:B,"",-1)</f>
        <v>4.71</v>
      </c>
      <c r="N1662">
        <f t="shared" si="203"/>
        <v>9.9999999999999645E-2</v>
      </c>
      <c r="O1662">
        <f t="shared" si="204"/>
        <v>1.3618682272863003E-2</v>
      </c>
      <c r="P1662">
        <f t="shared" si="205"/>
        <v>1</v>
      </c>
      <c r="Q1662">
        <f t="shared" si="206"/>
        <v>1</v>
      </c>
    </row>
    <row r="1663" spans="1:17">
      <c r="A1663" s="1">
        <v>44869</v>
      </c>
      <c r="B1663">
        <v>3770.55</v>
      </c>
      <c r="C1663">
        <f t="shared" si="200"/>
        <v>1.3618682272863003E-2</v>
      </c>
      <c r="D1663">
        <f t="shared" si="207"/>
        <v>-2.2185627966079702E-2</v>
      </c>
      <c r="E1663">
        <f>_xlfn.XLOOKUP(A1663,VIX!A:A,VIX!B:B,"",-1)</f>
        <v>24.55</v>
      </c>
      <c r="F1663">
        <f t="shared" si="201"/>
        <v>-0.75</v>
      </c>
      <c r="G1663">
        <f>_xlfn.XLOOKUP(A1663,'DGS10'!A:A,'DGS10'!B:B,"",-1)</f>
        <v>4.17</v>
      </c>
      <c r="H1663">
        <f t="shared" si="202"/>
        <v>3.0000000000000249E-2</v>
      </c>
      <c r="I1663" s="2">
        <f>_xlfn.XLOOKUP(A1663,T10Y3M!A:A,T10Y3M!B:B,"",-1)</f>
        <v>-0.04</v>
      </c>
      <c r="J1663" s="2">
        <f>_xlfn.XLOOKUP(A1663,BAMLC0A4CBBB!A:A,BAMLC0A4CBBB!B:B,"",-1)</f>
        <v>1.99</v>
      </c>
      <c r="K1663" s="2">
        <f>_xlfn.XLOOKUP(A1663,CPIAUCSL!A:A,CPIAUCSL!B:B,"",-1)</f>
        <v>298.786</v>
      </c>
      <c r="L1663">
        <f>_xlfn.XLOOKUP(A1663,DFF!A:A,DFF!B:B,"",-1)</f>
        <v>3.83</v>
      </c>
      <c r="M1663">
        <f>_xlfn.XLOOKUP(A1663,'DGS2'!A:A,'DGS2'!B:B,"",-1)</f>
        <v>4.66</v>
      </c>
      <c r="N1663">
        <f t="shared" si="203"/>
        <v>-4.9999999999999822E-2</v>
      </c>
      <c r="O1663">
        <f t="shared" si="204"/>
        <v>9.6139820450598101E-3</v>
      </c>
      <c r="P1663">
        <f t="shared" si="205"/>
        <v>1</v>
      </c>
      <c r="Q1663">
        <f t="shared" si="206"/>
        <v>1</v>
      </c>
    </row>
    <row r="1664" spans="1:17">
      <c r="A1664" s="1">
        <v>44872</v>
      </c>
      <c r="B1664">
        <v>3806.8</v>
      </c>
      <c r="C1664">
        <f t="shared" si="200"/>
        <v>9.6139820450598101E-3</v>
      </c>
      <c r="D1664">
        <f t="shared" si="207"/>
        <v>1.2530288401437328E-2</v>
      </c>
      <c r="E1664">
        <f>_xlfn.XLOOKUP(A1664,VIX!A:A,VIX!B:B,"",-1)</f>
        <v>24.35</v>
      </c>
      <c r="F1664">
        <f t="shared" si="201"/>
        <v>-0.19999999999999929</v>
      </c>
      <c r="G1664">
        <f>_xlfn.XLOOKUP(A1664,'DGS10'!A:A,'DGS10'!B:B,"",-1)</f>
        <v>4.22</v>
      </c>
      <c r="H1664">
        <f t="shared" si="202"/>
        <v>4.9999999999999822E-2</v>
      </c>
      <c r="I1664" s="2">
        <f>_xlfn.XLOOKUP(A1664,T10Y3M!A:A,T10Y3M!B:B,"",-1)</f>
        <v>-7.0000000000000007E-2</v>
      </c>
      <c r="J1664" s="2">
        <f>_xlfn.XLOOKUP(A1664,BAMLC0A4CBBB!A:A,BAMLC0A4CBBB!B:B,"",-1)</f>
        <v>1.96</v>
      </c>
      <c r="K1664" s="2">
        <f>_xlfn.XLOOKUP(A1664,CPIAUCSL!A:A,CPIAUCSL!B:B,"",-1)</f>
        <v>298.786</v>
      </c>
      <c r="L1664">
        <f>_xlfn.XLOOKUP(A1664,DFF!A:A,DFF!B:B,"",-1)</f>
        <v>3.83</v>
      </c>
      <c r="M1664">
        <f>_xlfn.XLOOKUP(A1664,'DGS2'!A:A,'DGS2'!B:B,"",-1)</f>
        <v>4.72</v>
      </c>
      <c r="N1664">
        <f t="shared" si="203"/>
        <v>5.9999999999999609E-2</v>
      </c>
      <c r="O1664">
        <f t="shared" si="204"/>
        <v>5.5978774823999267E-3</v>
      </c>
      <c r="P1664">
        <f t="shared" si="205"/>
        <v>1</v>
      </c>
      <c r="Q1664">
        <f t="shared" si="206"/>
        <v>1</v>
      </c>
    </row>
    <row r="1665" spans="1:17">
      <c r="A1665" s="1">
        <v>44873</v>
      </c>
      <c r="B1665">
        <v>3828.11</v>
      </c>
      <c r="C1665">
        <f t="shared" si="200"/>
        <v>5.5978774823999267E-3</v>
      </c>
      <c r="D1665">
        <f t="shared" si="207"/>
        <v>2.909225810440641E-2</v>
      </c>
      <c r="E1665">
        <f>_xlfn.XLOOKUP(A1665,VIX!A:A,VIX!B:B,"",-1)</f>
        <v>25.54</v>
      </c>
      <c r="F1665">
        <f t="shared" si="201"/>
        <v>1.1899999999999977</v>
      </c>
      <c r="G1665">
        <f>_xlfn.XLOOKUP(A1665,'DGS10'!A:A,'DGS10'!B:B,"",-1)</f>
        <v>4.1399999999999997</v>
      </c>
      <c r="H1665">
        <f t="shared" si="202"/>
        <v>-8.0000000000000071E-2</v>
      </c>
      <c r="I1665" s="2">
        <f>_xlfn.XLOOKUP(A1665,T10Y3M!A:A,T10Y3M!B:B,"",-1)</f>
        <v>-0.14000000000000001</v>
      </c>
      <c r="J1665" s="2">
        <f>_xlfn.XLOOKUP(A1665,BAMLC0A4CBBB!A:A,BAMLC0A4CBBB!B:B,"",-1)</f>
        <v>1.96</v>
      </c>
      <c r="K1665" s="2">
        <f>_xlfn.XLOOKUP(A1665,CPIAUCSL!A:A,CPIAUCSL!B:B,"",-1)</f>
        <v>298.786</v>
      </c>
      <c r="L1665">
        <f>_xlfn.XLOOKUP(A1665,DFF!A:A,DFF!B:B,"",-1)</f>
        <v>3.83</v>
      </c>
      <c r="M1665">
        <f>_xlfn.XLOOKUP(A1665,'DGS2'!A:A,'DGS2'!B:B,"",-1)</f>
        <v>4.67</v>
      </c>
      <c r="N1665">
        <f t="shared" si="203"/>
        <v>-4.9999999999999822E-2</v>
      </c>
      <c r="O1665">
        <f t="shared" si="204"/>
        <v>-2.0777877333723382E-2</v>
      </c>
      <c r="P1665">
        <f t="shared" si="205"/>
        <v>0</v>
      </c>
      <c r="Q1665">
        <f t="shared" si="206"/>
        <v>-1</v>
      </c>
    </row>
    <row r="1666" spans="1:17">
      <c r="A1666" s="1">
        <v>44874</v>
      </c>
      <c r="B1666">
        <v>3748.57</v>
      </c>
      <c r="C1666">
        <f t="shared" si="200"/>
        <v>-2.0777877333723382E-2</v>
      </c>
      <c r="D1666">
        <f t="shared" si="207"/>
        <v>-5.8293882855285917E-3</v>
      </c>
      <c r="E1666">
        <f>_xlfn.XLOOKUP(A1666,VIX!A:A,VIX!B:B,"",-1)</f>
        <v>26.09</v>
      </c>
      <c r="F1666">
        <f t="shared" si="201"/>
        <v>0.55000000000000071</v>
      </c>
      <c r="G1666">
        <f>_xlfn.XLOOKUP(A1666,'DGS10'!A:A,'DGS10'!B:B,"",-1)</f>
        <v>4.12</v>
      </c>
      <c r="H1666">
        <f t="shared" si="202"/>
        <v>-1.9999999999999574E-2</v>
      </c>
      <c r="I1666" s="2">
        <f>_xlfn.XLOOKUP(A1666,T10Y3M!A:A,T10Y3M!B:B,"",-1)</f>
        <v>-0.17</v>
      </c>
      <c r="J1666" s="2">
        <f>_xlfn.XLOOKUP(A1666,BAMLC0A4CBBB!A:A,BAMLC0A4CBBB!B:B,"",-1)</f>
        <v>1.97</v>
      </c>
      <c r="K1666" s="2">
        <f>_xlfn.XLOOKUP(A1666,CPIAUCSL!A:A,CPIAUCSL!B:B,"",-1)</f>
        <v>298.786</v>
      </c>
      <c r="L1666">
        <f>_xlfn.XLOOKUP(A1666,DFF!A:A,DFF!B:B,"",-1)</f>
        <v>3.83</v>
      </c>
      <c r="M1666">
        <f>_xlfn.XLOOKUP(A1666,'DGS2'!A:A,'DGS2'!B:B,"",-1)</f>
        <v>4.6100000000000003</v>
      </c>
      <c r="N1666">
        <f t="shared" si="203"/>
        <v>-5.9999999999999609E-2</v>
      </c>
      <c r="O1666">
        <f t="shared" si="204"/>
        <v>5.5434472345454289E-2</v>
      </c>
      <c r="P1666">
        <f t="shared" si="205"/>
        <v>1</v>
      </c>
      <c r="Q1666">
        <f t="shared" si="206"/>
        <v>1</v>
      </c>
    </row>
    <row r="1667" spans="1:17">
      <c r="A1667" s="1">
        <v>44875</v>
      </c>
      <c r="B1667">
        <v>3956.37</v>
      </c>
      <c r="C1667">
        <f t="shared" si="200"/>
        <v>5.5434472345454289E-2</v>
      </c>
      <c r="D1667">
        <f t="shared" si="207"/>
        <v>3.9290217505516312E-2</v>
      </c>
      <c r="E1667">
        <f>_xlfn.XLOOKUP(A1667,VIX!A:A,VIX!B:B,"",-1)</f>
        <v>23.53</v>
      </c>
      <c r="F1667">
        <f t="shared" si="201"/>
        <v>-2.5599999999999987</v>
      </c>
      <c r="G1667">
        <f>_xlfn.XLOOKUP(A1667,'DGS10'!A:A,'DGS10'!B:B,"",-1)</f>
        <v>3.82</v>
      </c>
      <c r="H1667">
        <f t="shared" si="202"/>
        <v>-0.30000000000000027</v>
      </c>
      <c r="I1667" s="2">
        <f>_xlfn.XLOOKUP(A1667,T10Y3M!A:A,T10Y3M!B:B,"",-1)</f>
        <v>-0.46</v>
      </c>
      <c r="J1667" s="2">
        <f>_xlfn.XLOOKUP(A1667,BAMLC0A4CBBB!A:A,BAMLC0A4CBBB!B:B,"",-1)</f>
        <v>1.94</v>
      </c>
      <c r="K1667" s="2">
        <f>_xlfn.XLOOKUP(A1667,CPIAUCSL!A:A,CPIAUCSL!B:B,"",-1)</f>
        <v>298.786</v>
      </c>
      <c r="L1667">
        <f>_xlfn.XLOOKUP(A1667,DFF!A:A,DFF!B:B,"",-1)</f>
        <v>3.83</v>
      </c>
      <c r="M1667">
        <f>_xlfn.XLOOKUP(A1667,'DGS2'!A:A,'DGS2'!B:B,"",-1)</f>
        <v>4.34</v>
      </c>
      <c r="N1667">
        <f t="shared" si="203"/>
        <v>-0.27000000000000046</v>
      </c>
      <c r="O1667">
        <f t="shared" si="204"/>
        <v>9.2407939601200084E-3</v>
      </c>
      <c r="P1667">
        <f t="shared" si="205"/>
        <v>1</v>
      </c>
      <c r="Q1667">
        <f t="shared" si="206"/>
        <v>1</v>
      </c>
    </row>
    <row r="1668" spans="1:17">
      <c r="A1668" s="1">
        <v>44876</v>
      </c>
      <c r="B1668">
        <v>3992.93</v>
      </c>
      <c r="C1668">
        <f t="shared" ref="C1668:C1731" si="208">IF(OR(B1668="",B1667=""),"",(B1668/B1667)-1)</f>
        <v>9.2407939601200084E-3</v>
      </c>
      <c r="D1668">
        <f t="shared" si="207"/>
        <v>4.3055189114210357E-2</v>
      </c>
      <c r="E1668">
        <f>_xlfn.XLOOKUP(A1668,VIX!A:A,VIX!B:B,"",-1)</f>
        <v>22.52</v>
      </c>
      <c r="F1668">
        <f t="shared" ref="F1668:F1731" si="209">IF(OR(E1668="",E1667=""),"",E1668-E1667)</f>
        <v>-1.0100000000000016</v>
      </c>
      <c r="G1668">
        <f>_xlfn.XLOOKUP(A1668,'DGS10'!A:A,'DGS10'!B:B,"",-1)</f>
        <v>0</v>
      </c>
      <c r="H1668">
        <f t="shared" ref="H1668:H1731" si="210">IF(OR(G1668="",G1667=""),"",G1668-G1667)</f>
        <v>-3.82</v>
      </c>
      <c r="I1668" s="2">
        <f>_xlfn.XLOOKUP(A1668,T10Y3M!A:A,T10Y3M!B:B,"",-1)</f>
        <v>0</v>
      </c>
      <c r="J1668" s="2">
        <f>_xlfn.XLOOKUP(A1668,BAMLC0A4CBBB!A:A,BAMLC0A4CBBB!B:B,"",-1)</f>
        <v>1.94</v>
      </c>
      <c r="K1668" s="2">
        <f>_xlfn.XLOOKUP(A1668,CPIAUCSL!A:A,CPIAUCSL!B:B,"",-1)</f>
        <v>298.786</v>
      </c>
      <c r="L1668">
        <f>_xlfn.XLOOKUP(A1668,DFF!A:A,DFF!B:B,"",-1)</f>
        <v>3.83</v>
      </c>
      <c r="M1668">
        <f>_xlfn.XLOOKUP(A1668,'DGS2'!A:A,'DGS2'!B:B,"",-1)</f>
        <v>0</v>
      </c>
      <c r="N1668">
        <f t="shared" ref="N1668:N1731" si="211">IF(OR(M1668="",M1667=""),"",M1668-M1667)</f>
        <v>-4.34</v>
      </c>
      <c r="O1668">
        <f t="shared" ref="O1668:O1731" si="212">IF(OR(B1669="",B1668=""),"",(B1669/B1668)-1)</f>
        <v>-8.9357940159231486E-3</v>
      </c>
      <c r="P1668">
        <f t="shared" ref="P1668:P1731" si="213">IF(O1668="","",IF(O1668&gt;0,1,0))</f>
        <v>0</v>
      </c>
      <c r="Q1668">
        <f t="shared" ref="Q1668:Q1731" si="214">IF(O1668="","",IF(O1668&gt;0.003,1,IF(O1668&lt;-0.003,-1,0)))</f>
        <v>-1</v>
      </c>
    </row>
    <row r="1669" spans="1:17">
      <c r="A1669" s="1">
        <v>44879</v>
      </c>
      <c r="B1669">
        <v>3957.25</v>
      </c>
      <c r="C1669">
        <f t="shared" si="208"/>
        <v>-8.9357940159231486E-3</v>
      </c>
      <c r="D1669">
        <f t="shared" si="207"/>
        <v>5.5669228532480242E-2</v>
      </c>
      <c r="E1669">
        <f>_xlfn.XLOOKUP(A1669,VIX!A:A,VIX!B:B,"",-1)</f>
        <v>23.73</v>
      </c>
      <c r="F1669">
        <f t="shared" si="209"/>
        <v>1.2100000000000009</v>
      </c>
      <c r="G1669">
        <f>_xlfn.XLOOKUP(A1669,'DGS10'!A:A,'DGS10'!B:B,"",-1)</f>
        <v>3.88</v>
      </c>
      <c r="H1669">
        <f t="shared" si="210"/>
        <v>3.88</v>
      </c>
      <c r="I1669" s="2">
        <f>_xlfn.XLOOKUP(A1669,T10Y3M!A:A,T10Y3M!B:B,"",-1)</f>
        <v>-0.46</v>
      </c>
      <c r="J1669" s="2">
        <f>_xlfn.XLOOKUP(A1669,BAMLC0A4CBBB!A:A,BAMLC0A4CBBB!B:B,"",-1)</f>
        <v>1.87</v>
      </c>
      <c r="K1669" s="2">
        <f>_xlfn.XLOOKUP(A1669,CPIAUCSL!A:A,CPIAUCSL!B:B,"",-1)</f>
        <v>298.786</v>
      </c>
      <c r="L1669">
        <f>_xlfn.XLOOKUP(A1669,DFF!A:A,DFF!B:B,"",-1)</f>
        <v>3.83</v>
      </c>
      <c r="M1669">
        <f>_xlfn.XLOOKUP(A1669,'DGS2'!A:A,'DGS2'!B:B,"",-1)</f>
        <v>4.4000000000000004</v>
      </c>
      <c r="N1669">
        <f t="shared" si="211"/>
        <v>4.4000000000000004</v>
      </c>
      <c r="O1669">
        <f t="shared" si="212"/>
        <v>8.7131214858804373E-3</v>
      </c>
      <c r="P1669">
        <f t="shared" si="213"/>
        <v>1</v>
      </c>
      <c r="Q1669">
        <f t="shared" si="214"/>
        <v>1</v>
      </c>
    </row>
    <row r="1670" spans="1:17">
      <c r="A1670" s="1">
        <v>44880</v>
      </c>
      <c r="B1670">
        <v>3991.73</v>
      </c>
      <c r="C1670">
        <f t="shared" si="208"/>
        <v>8.7131214858804373E-3</v>
      </c>
      <c r="D1670">
        <f t="shared" ref="D1670:D1733" si="215">IF(OR(B1670="",B1667=""),"",(B1670/B1667)-1)</f>
        <v>8.9374856244486267E-3</v>
      </c>
      <c r="E1670">
        <f>_xlfn.XLOOKUP(A1670,VIX!A:A,VIX!B:B,"",-1)</f>
        <v>24.54</v>
      </c>
      <c r="F1670">
        <f t="shared" si="209"/>
        <v>0.80999999999999872</v>
      </c>
      <c r="G1670">
        <f>_xlfn.XLOOKUP(A1670,'DGS10'!A:A,'DGS10'!B:B,"",-1)</f>
        <v>3.8</v>
      </c>
      <c r="H1670">
        <f t="shared" si="210"/>
        <v>-8.0000000000000071E-2</v>
      </c>
      <c r="I1670" s="2">
        <f>_xlfn.XLOOKUP(A1670,T10Y3M!A:A,T10Y3M!B:B,"",-1)</f>
        <v>-0.51</v>
      </c>
      <c r="J1670" s="2">
        <f>_xlfn.XLOOKUP(A1670,BAMLC0A4CBBB!A:A,BAMLC0A4CBBB!B:B,"",-1)</f>
        <v>1.83</v>
      </c>
      <c r="K1670" s="2">
        <f>_xlfn.XLOOKUP(A1670,CPIAUCSL!A:A,CPIAUCSL!B:B,"",-1)</f>
        <v>298.786</v>
      </c>
      <c r="L1670">
        <f>_xlfn.XLOOKUP(A1670,DFF!A:A,DFF!B:B,"",-1)</f>
        <v>3.83</v>
      </c>
      <c r="M1670">
        <f>_xlfn.XLOOKUP(A1670,'DGS2'!A:A,'DGS2'!B:B,"",-1)</f>
        <v>4.37</v>
      </c>
      <c r="N1670">
        <f t="shared" si="211"/>
        <v>-3.0000000000000249E-2</v>
      </c>
      <c r="O1670">
        <f t="shared" si="212"/>
        <v>-8.2520611363995355E-3</v>
      </c>
      <c r="P1670">
        <f t="shared" si="213"/>
        <v>0</v>
      </c>
      <c r="Q1670">
        <f t="shared" si="214"/>
        <v>-1</v>
      </c>
    </row>
    <row r="1671" spans="1:17">
      <c r="A1671" s="1">
        <v>44881</v>
      </c>
      <c r="B1671">
        <v>3958.79</v>
      </c>
      <c r="C1671">
        <f t="shared" si="208"/>
        <v>-8.2520611363995355E-3</v>
      </c>
      <c r="D1671">
        <f t="shared" si="215"/>
        <v>-8.5501123235317555E-3</v>
      </c>
      <c r="E1671">
        <f>_xlfn.XLOOKUP(A1671,VIX!A:A,VIX!B:B,"",-1)</f>
        <v>24.11</v>
      </c>
      <c r="F1671">
        <f t="shared" si="209"/>
        <v>-0.42999999999999972</v>
      </c>
      <c r="G1671">
        <f>_xlfn.XLOOKUP(A1671,'DGS10'!A:A,'DGS10'!B:B,"",-1)</f>
        <v>3.67</v>
      </c>
      <c r="H1671">
        <f t="shared" si="210"/>
        <v>-0.12999999999999989</v>
      </c>
      <c r="I1671" s="2">
        <f>_xlfn.XLOOKUP(A1671,T10Y3M!A:A,T10Y3M!B:B,"",-1)</f>
        <v>-0.65</v>
      </c>
      <c r="J1671" s="2">
        <f>_xlfn.XLOOKUP(A1671,BAMLC0A4CBBB!A:A,BAMLC0A4CBBB!B:B,"",-1)</f>
        <v>1.83</v>
      </c>
      <c r="K1671" s="2">
        <f>_xlfn.XLOOKUP(A1671,CPIAUCSL!A:A,CPIAUCSL!B:B,"",-1)</f>
        <v>298.786</v>
      </c>
      <c r="L1671">
        <f>_xlfn.XLOOKUP(A1671,DFF!A:A,DFF!B:B,"",-1)</f>
        <v>3.83</v>
      </c>
      <c r="M1671">
        <f>_xlfn.XLOOKUP(A1671,'DGS2'!A:A,'DGS2'!B:B,"",-1)</f>
        <v>4.3499999999999996</v>
      </c>
      <c r="N1671">
        <f t="shared" si="211"/>
        <v>-2.0000000000000462E-2</v>
      </c>
      <c r="O1671">
        <f t="shared" si="212"/>
        <v>-3.0893277996559831E-3</v>
      </c>
      <c r="P1671">
        <f t="shared" si="213"/>
        <v>0</v>
      </c>
      <c r="Q1671">
        <f t="shared" si="214"/>
        <v>-1</v>
      </c>
    </row>
    <row r="1672" spans="1:17">
      <c r="A1672" s="1">
        <v>44882</v>
      </c>
      <c r="B1672">
        <v>3946.56</v>
      </c>
      <c r="C1672">
        <f t="shared" si="208"/>
        <v>-3.0893277996559831E-3</v>
      </c>
      <c r="D1672">
        <f t="shared" si="215"/>
        <v>-2.701370901509903E-3</v>
      </c>
      <c r="E1672">
        <f>_xlfn.XLOOKUP(A1672,VIX!A:A,VIX!B:B,"",-1)</f>
        <v>23.93</v>
      </c>
      <c r="F1672">
        <f t="shared" si="209"/>
        <v>-0.17999999999999972</v>
      </c>
      <c r="G1672">
        <f>_xlfn.XLOOKUP(A1672,'DGS10'!A:A,'DGS10'!B:B,"",-1)</f>
        <v>3.77</v>
      </c>
      <c r="H1672">
        <f t="shared" si="210"/>
        <v>0.10000000000000009</v>
      </c>
      <c r="I1672" s="2">
        <f>_xlfn.XLOOKUP(A1672,T10Y3M!A:A,T10Y3M!B:B,"",-1)</f>
        <v>-0.55000000000000004</v>
      </c>
      <c r="J1672" s="2">
        <f>_xlfn.XLOOKUP(A1672,BAMLC0A4CBBB!A:A,BAMLC0A4CBBB!B:B,"",-1)</f>
        <v>1.82</v>
      </c>
      <c r="K1672" s="2">
        <f>_xlfn.XLOOKUP(A1672,CPIAUCSL!A:A,CPIAUCSL!B:B,"",-1)</f>
        <v>298.786</v>
      </c>
      <c r="L1672">
        <f>_xlfn.XLOOKUP(A1672,DFF!A:A,DFF!B:B,"",-1)</f>
        <v>3.83</v>
      </c>
      <c r="M1672">
        <f>_xlfn.XLOOKUP(A1672,'DGS2'!A:A,'DGS2'!B:B,"",-1)</f>
        <v>4.43</v>
      </c>
      <c r="N1672">
        <f t="shared" si="211"/>
        <v>8.0000000000000071E-2</v>
      </c>
      <c r="O1672">
        <f t="shared" si="212"/>
        <v>4.7585745560692061E-3</v>
      </c>
      <c r="P1672">
        <f t="shared" si="213"/>
        <v>1</v>
      </c>
      <c r="Q1672">
        <f t="shared" si="214"/>
        <v>1</v>
      </c>
    </row>
    <row r="1673" spans="1:17">
      <c r="A1673" s="1">
        <v>44883</v>
      </c>
      <c r="B1673">
        <v>3965.34</v>
      </c>
      <c r="C1673">
        <f t="shared" si="208"/>
        <v>4.7585745560692061E-3</v>
      </c>
      <c r="D1673">
        <f t="shared" si="215"/>
        <v>-6.6111685910620333E-3</v>
      </c>
      <c r="E1673">
        <f>_xlfn.XLOOKUP(A1673,VIX!A:A,VIX!B:B,"",-1)</f>
        <v>23.12</v>
      </c>
      <c r="F1673">
        <f t="shared" si="209"/>
        <v>-0.80999999999999872</v>
      </c>
      <c r="G1673">
        <f>_xlfn.XLOOKUP(A1673,'DGS10'!A:A,'DGS10'!B:B,"",-1)</f>
        <v>3.82</v>
      </c>
      <c r="H1673">
        <f t="shared" si="210"/>
        <v>4.9999999999999822E-2</v>
      </c>
      <c r="I1673" s="2">
        <f>_xlfn.XLOOKUP(A1673,T10Y3M!A:A,T10Y3M!B:B,"",-1)</f>
        <v>-0.52</v>
      </c>
      <c r="J1673" s="2">
        <f>_xlfn.XLOOKUP(A1673,BAMLC0A4CBBB!A:A,BAMLC0A4CBBB!B:B,"",-1)</f>
        <v>1.79</v>
      </c>
      <c r="K1673" s="2">
        <f>_xlfn.XLOOKUP(A1673,CPIAUCSL!A:A,CPIAUCSL!B:B,"",-1)</f>
        <v>298.786</v>
      </c>
      <c r="L1673">
        <f>_xlfn.XLOOKUP(A1673,DFF!A:A,DFF!B:B,"",-1)</f>
        <v>3.83</v>
      </c>
      <c r="M1673">
        <f>_xlfn.XLOOKUP(A1673,'DGS2'!A:A,'DGS2'!B:B,"",-1)</f>
        <v>4.51</v>
      </c>
      <c r="N1673">
        <f t="shared" si="211"/>
        <v>8.0000000000000071E-2</v>
      </c>
      <c r="O1673">
        <f t="shared" si="212"/>
        <v>-3.8836518432215916E-3</v>
      </c>
      <c r="P1673">
        <f t="shared" si="213"/>
        <v>0</v>
      </c>
      <c r="Q1673">
        <f t="shared" si="214"/>
        <v>-1</v>
      </c>
    </row>
    <row r="1674" spans="1:17">
      <c r="A1674" s="1">
        <v>44886</v>
      </c>
      <c r="B1674">
        <v>3949.94</v>
      </c>
      <c r="C1674">
        <f t="shared" si="208"/>
        <v>-3.8836518432215916E-3</v>
      </c>
      <c r="D1674">
        <f t="shared" si="215"/>
        <v>-2.2355315639374096E-3</v>
      </c>
      <c r="E1674">
        <f>_xlfn.XLOOKUP(A1674,VIX!A:A,VIX!B:B,"",-1)</f>
        <v>22.36</v>
      </c>
      <c r="F1674">
        <f t="shared" si="209"/>
        <v>-0.76000000000000156</v>
      </c>
      <c r="G1674">
        <f>_xlfn.XLOOKUP(A1674,'DGS10'!A:A,'DGS10'!B:B,"",-1)</f>
        <v>3.83</v>
      </c>
      <c r="H1674">
        <f t="shared" si="210"/>
        <v>1.0000000000000231E-2</v>
      </c>
      <c r="I1674" s="2">
        <f>_xlfn.XLOOKUP(A1674,T10Y3M!A:A,T10Y3M!B:B,"",-1)</f>
        <v>-0.57999999999999996</v>
      </c>
      <c r="J1674" s="2">
        <f>_xlfn.XLOOKUP(A1674,BAMLC0A4CBBB!A:A,BAMLC0A4CBBB!B:B,"",-1)</f>
        <v>1.78</v>
      </c>
      <c r="K1674" s="2">
        <f>_xlfn.XLOOKUP(A1674,CPIAUCSL!A:A,CPIAUCSL!B:B,"",-1)</f>
        <v>298.786</v>
      </c>
      <c r="L1674">
        <f>_xlfn.XLOOKUP(A1674,DFF!A:A,DFF!B:B,"",-1)</f>
        <v>3.83</v>
      </c>
      <c r="M1674">
        <f>_xlfn.XLOOKUP(A1674,'DGS2'!A:A,'DGS2'!B:B,"",-1)</f>
        <v>4.4800000000000004</v>
      </c>
      <c r="N1674">
        <f t="shared" si="211"/>
        <v>-2.9999999999999361E-2</v>
      </c>
      <c r="O1674">
        <f t="shared" si="212"/>
        <v>1.3579953113211918E-2</v>
      </c>
      <c r="P1674">
        <f t="shared" si="213"/>
        <v>1</v>
      </c>
      <c r="Q1674">
        <f t="shared" si="214"/>
        <v>1</v>
      </c>
    </row>
    <row r="1675" spans="1:17">
      <c r="A1675" s="1">
        <v>44887</v>
      </c>
      <c r="B1675">
        <v>4003.58</v>
      </c>
      <c r="C1675">
        <f t="shared" si="208"/>
        <v>1.3579953113211918E-2</v>
      </c>
      <c r="D1675">
        <f t="shared" si="215"/>
        <v>1.4448025622314065E-2</v>
      </c>
      <c r="E1675">
        <f>_xlfn.XLOOKUP(A1675,VIX!A:A,VIX!B:B,"",-1)</f>
        <v>21.29</v>
      </c>
      <c r="F1675">
        <f t="shared" si="209"/>
        <v>-1.0700000000000003</v>
      </c>
      <c r="G1675">
        <f>_xlfn.XLOOKUP(A1675,'DGS10'!A:A,'DGS10'!B:B,"",-1)</f>
        <v>3.76</v>
      </c>
      <c r="H1675">
        <f t="shared" si="210"/>
        <v>-7.0000000000000284E-2</v>
      </c>
      <c r="I1675" s="2">
        <f>_xlfn.XLOOKUP(A1675,T10Y3M!A:A,T10Y3M!B:B,"",-1)</f>
        <v>-0.64</v>
      </c>
      <c r="J1675" s="2">
        <f>_xlfn.XLOOKUP(A1675,BAMLC0A4CBBB!A:A,BAMLC0A4CBBB!B:B,"",-1)</f>
        <v>1.77</v>
      </c>
      <c r="K1675" s="2">
        <f>_xlfn.XLOOKUP(A1675,CPIAUCSL!A:A,CPIAUCSL!B:B,"",-1)</f>
        <v>298.786</v>
      </c>
      <c r="L1675">
        <f>_xlfn.XLOOKUP(A1675,DFF!A:A,DFF!B:B,"",-1)</f>
        <v>3.83</v>
      </c>
      <c r="M1675">
        <f>_xlfn.XLOOKUP(A1675,'DGS2'!A:A,'DGS2'!B:B,"",-1)</f>
        <v>4.47</v>
      </c>
      <c r="N1675">
        <f t="shared" si="211"/>
        <v>-1.0000000000000675E-2</v>
      </c>
      <c r="O1675">
        <f t="shared" si="212"/>
        <v>5.9147063378277576E-3</v>
      </c>
      <c r="P1675">
        <f t="shared" si="213"/>
        <v>1</v>
      </c>
      <c r="Q1675">
        <f t="shared" si="214"/>
        <v>1</v>
      </c>
    </row>
    <row r="1676" spans="1:17">
      <c r="A1676" s="1">
        <v>44888</v>
      </c>
      <c r="B1676">
        <v>4027.26</v>
      </c>
      <c r="C1676">
        <f t="shared" si="208"/>
        <v>5.9147063378277576E-3</v>
      </c>
      <c r="D1676">
        <f t="shared" si="215"/>
        <v>1.5615306631965975E-2</v>
      </c>
      <c r="E1676">
        <f>_xlfn.XLOOKUP(A1676,VIX!A:A,VIX!B:B,"",-1)</f>
        <v>20.350000000000001</v>
      </c>
      <c r="F1676">
        <f t="shared" si="209"/>
        <v>-0.93999999999999773</v>
      </c>
      <c r="G1676">
        <f>_xlfn.XLOOKUP(A1676,'DGS10'!A:A,'DGS10'!B:B,"",-1)</f>
        <v>3.71</v>
      </c>
      <c r="H1676">
        <f t="shared" si="210"/>
        <v>-4.9999999999999822E-2</v>
      </c>
      <c r="I1676" s="2">
        <f>_xlfn.XLOOKUP(A1676,T10Y3M!A:A,T10Y3M!B:B,"",-1)</f>
        <v>-0.69</v>
      </c>
      <c r="J1676" s="2">
        <f>_xlfn.XLOOKUP(A1676,BAMLC0A4CBBB!A:A,BAMLC0A4CBBB!B:B,"",-1)</f>
        <v>1.76</v>
      </c>
      <c r="K1676" s="2">
        <f>_xlfn.XLOOKUP(A1676,CPIAUCSL!A:A,CPIAUCSL!B:B,"",-1)</f>
        <v>298.786</v>
      </c>
      <c r="L1676">
        <f>_xlfn.XLOOKUP(A1676,DFF!A:A,DFF!B:B,"",-1)</f>
        <v>3.83</v>
      </c>
      <c r="M1676">
        <f>_xlfn.XLOOKUP(A1676,'DGS2'!A:A,'DGS2'!B:B,"",-1)</f>
        <v>4.46</v>
      </c>
      <c r="N1676">
        <f t="shared" si="211"/>
        <v>-9.9999999999997868E-3</v>
      </c>
      <c r="O1676">
        <f t="shared" si="212"/>
        <v>-2.830708720074071E-4</v>
      </c>
      <c r="P1676">
        <f t="shared" si="213"/>
        <v>0</v>
      </c>
      <c r="Q1676">
        <f t="shared" si="214"/>
        <v>0</v>
      </c>
    </row>
    <row r="1677" spans="1:17">
      <c r="A1677" s="1">
        <v>44890</v>
      </c>
      <c r="B1677">
        <v>4026.12</v>
      </c>
      <c r="C1677">
        <f t="shared" si="208"/>
        <v>-2.830708720074071E-4</v>
      </c>
      <c r="D1677">
        <f t="shared" si="215"/>
        <v>1.9286368906869411E-2</v>
      </c>
      <c r="E1677">
        <f>_xlfn.XLOOKUP(A1677,VIX!A:A,VIX!B:B,"",-1)</f>
        <v>20.5</v>
      </c>
      <c r="F1677">
        <f t="shared" si="209"/>
        <v>0.14999999999999858</v>
      </c>
      <c r="G1677">
        <f>_xlfn.XLOOKUP(A1677,'DGS10'!A:A,'DGS10'!B:B,"",-1)</f>
        <v>3.68</v>
      </c>
      <c r="H1677">
        <f t="shared" si="210"/>
        <v>-2.9999999999999805E-2</v>
      </c>
      <c r="I1677" s="2">
        <f>_xlfn.XLOOKUP(A1677,T10Y3M!A:A,T10Y3M!B:B,"",-1)</f>
        <v>-0.73</v>
      </c>
      <c r="J1677" s="2">
        <f>_xlfn.XLOOKUP(A1677,BAMLC0A4CBBB!A:A,BAMLC0A4CBBB!B:B,"",-1)</f>
        <v>1.75</v>
      </c>
      <c r="K1677" s="2">
        <f>_xlfn.XLOOKUP(A1677,CPIAUCSL!A:A,CPIAUCSL!B:B,"",-1)</f>
        <v>298.786</v>
      </c>
      <c r="L1677">
        <f>_xlfn.XLOOKUP(A1677,DFF!A:A,DFF!B:B,"",-1)</f>
        <v>3.83</v>
      </c>
      <c r="M1677">
        <f>_xlfn.XLOOKUP(A1677,'DGS2'!A:A,'DGS2'!B:B,"",-1)</f>
        <v>4.42</v>
      </c>
      <c r="N1677">
        <f t="shared" si="211"/>
        <v>-4.0000000000000036E-2</v>
      </c>
      <c r="O1677">
        <f t="shared" si="212"/>
        <v>-1.5444149702443011E-2</v>
      </c>
      <c r="P1677">
        <f t="shared" si="213"/>
        <v>0</v>
      </c>
      <c r="Q1677">
        <f t="shared" si="214"/>
        <v>-1</v>
      </c>
    </row>
    <row r="1678" spans="1:17">
      <c r="A1678" s="1">
        <v>44893</v>
      </c>
      <c r="B1678">
        <v>3963.94</v>
      </c>
      <c r="C1678">
        <f t="shared" si="208"/>
        <v>-1.5444149702443011E-2</v>
      </c>
      <c r="D1678">
        <f t="shared" si="215"/>
        <v>-9.9011384810594461E-3</v>
      </c>
      <c r="E1678">
        <f>_xlfn.XLOOKUP(A1678,VIX!A:A,VIX!B:B,"",-1)</f>
        <v>22.21</v>
      </c>
      <c r="F1678">
        <f t="shared" si="209"/>
        <v>1.7100000000000009</v>
      </c>
      <c r="G1678">
        <f>_xlfn.XLOOKUP(A1678,'DGS10'!A:A,'DGS10'!B:B,"",-1)</f>
        <v>3.69</v>
      </c>
      <c r="H1678">
        <f t="shared" si="210"/>
        <v>9.9999999999997868E-3</v>
      </c>
      <c r="I1678" s="2">
        <f>_xlfn.XLOOKUP(A1678,T10Y3M!A:A,T10Y3M!B:B,"",-1)</f>
        <v>-0.72</v>
      </c>
      <c r="J1678" s="2">
        <f>_xlfn.XLOOKUP(A1678,BAMLC0A4CBBB!A:A,BAMLC0A4CBBB!B:B,"",-1)</f>
        <v>1.75</v>
      </c>
      <c r="K1678" s="2">
        <f>_xlfn.XLOOKUP(A1678,CPIAUCSL!A:A,CPIAUCSL!B:B,"",-1)</f>
        <v>298.786</v>
      </c>
      <c r="L1678">
        <f>_xlfn.XLOOKUP(A1678,DFF!A:A,DFF!B:B,"",-1)</f>
        <v>3.83</v>
      </c>
      <c r="M1678">
        <f>_xlfn.XLOOKUP(A1678,'DGS2'!A:A,'DGS2'!B:B,"",-1)</f>
        <v>4.46</v>
      </c>
      <c r="N1678">
        <f t="shared" si="211"/>
        <v>4.0000000000000036E-2</v>
      </c>
      <c r="O1678">
        <f t="shared" si="212"/>
        <v>-1.5918505325509535E-3</v>
      </c>
      <c r="P1678">
        <f t="shared" si="213"/>
        <v>0</v>
      </c>
      <c r="Q1678">
        <f t="shared" si="214"/>
        <v>0</v>
      </c>
    </row>
    <row r="1679" spans="1:17">
      <c r="A1679" s="1">
        <v>44894</v>
      </c>
      <c r="B1679">
        <v>3957.63</v>
      </c>
      <c r="C1679">
        <f t="shared" si="208"/>
        <v>-1.5918505325509535E-3</v>
      </c>
      <c r="D1679">
        <f t="shared" si="215"/>
        <v>-1.728967089286515E-2</v>
      </c>
      <c r="E1679">
        <f>_xlfn.XLOOKUP(A1679,VIX!A:A,VIX!B:B,"",-1)</f>
        <v>21.89</v>
      </c>
      <c r="F1679">
        <f t="shared" si="209"/>
        <v>-0.32000000000000028</v>
      </c>
      <c r="G1679">
        <f>_xlfn.XLOOKUP(A1679,'DGS10'!A:A,'DGS10'!B:B,"",-1)</f>
        <v>3.75</v>
      </c>
      <c r="H1679">
        <f t="shared" si="210"/>
        <v>6.0000000000000053E-2</v>
      </c>
      <c r="I1679" s="2">
        <f>_xlfn.XLOOKUP(A1679,T10Y3M!A:A,T10Y3M!B:B,"",-1)</f>
        <v>-0.63</v>
      </c>
      <c r="J1679" s="2">
        <f>_xlfn.XLOOKUP(A1679,BAMLC0A4CBBB!A:A,BAMLC0A4CBBB!B:B,"",-1)</f>
        <v>1.76</v>
      </c>
      <c r="K1679" s="2">
        <f>_xlfn.XLOOKUP(A1679,CPIAUCSL!A:A,CPIAUCSL!B:B,"",-1)</f>
        <v>298.786</v>
      </c>
      <c r="L1679">
        <f>_xlfn.XLOOKUP(A1679,DFF!A:A,DFF!B:B,"",-1)</f>
        <v>3.83</v>
      </c>
      <c r="M1679">
        <f>_xlfn.XLOOKUP(A1679,'DGS2'!A:A,'DGS2'!B:B,"",-1)</f>
        <v>4.4800000000000004</v>
      </c>
      <c r="N1679">
        <f t="shared" si="211"/>
        <v>2.0000000000000462E-2</v>
      </c>
      <c r="O1679">
        <f t="shared" si="212"/>
        <v>3.0947814727501077E-2</v>
      </c>
      <c r="P1679">
        <f t="shared" si="213"/>
        <v>1</v>
      </c>
      <c r="Q1679">
        <f t="shared" si="214"/>
        <v>1</v>
      </c>
    </row>
    <row r="1680" spans="1:17">
      <c r="A1680" s="1">
        <v>44895</v>
      </c>
      <c r="B1680">
        <v>4080.11</v>
      </c>
      <c r="C1680">
        <f t="shared" si="208"/>
        <v>3.0947814727501077E-2</v>
      </c>
      <c r="D1680">
        <f t="shared" si="215"/>
        <v>1.340993313661798E-2</v>
      </c>
      <c r="E1680">
        <f>_xlfn.XLOOKUP(A1680,VIX!A:A,VIX!B:B,"",-1)</f>
        <v>20.58</v>
      </c>
      <c r="F1680">
        <f t="shared" si="209"/>
        <v>-1.3100000000000023</v>
      </c>
      <c r="G1680">
        <f>_xlfn.XLOOKUP(A1680,'DGS10'!A:A,'DGS10'!B:B,"",-1)</f>
        <v>3.68</v>
      </c>
      <c r="H1680">
        <f t="shared" si="210"/>
        <v>-6.999999999999984E-2</v>
      </c>
      <c r="I1680" s="2">
        <f>_xlfn.XLOOKUP(A1680,T10Y3M!A:A,T10Y3M!B:B,"",-1)</f>
        <v>-0.69</v>
      </c>
      <c r="J1680" s="2">
        <f>_xlfn.XLOOKUP(A1680,BAMLC0A4CBBB!A:A,BAMLC0A4CBBB!B:B,"",-1)</f>
        <v>1.77</v>
      </c>
      <c r="K1680" s="2">
        <f>_xlfn.XLOOKUP(A1680,CPIAUCSL!A:A,CPIAUCSL!B:B,"",-1)</f>
        <v>298.786</v>
      </c>
      <c r="L1680">
        <f>_xlfn.XLOOKUP(A1680,DFF!A:A,DFF!B:B,"",-1)</f>
        <v>3.83</v>
      </c>
      <c r="M1680">
        <f>_xlfn.XLOOKUP(A1680,'DGS2'!A:A,'DGS2'!B:B,"",-1)</f>
        <v>4.38</v>
      </c>
      <c r="N1680">
        <f t="shared" si="211"/>
        <v>-0.10000000000000053</v>
      </c>
      <c r="O1680">
        <f t="shared" si="212"/>
        <v>-8.6762366700898763E-4</v>
      </c>
      <c r="P1680">
        <f t="shared" si="213"/>
        <v>0</v>
      </c>
      <c r="Q1680">
        <f t="shared" si="214"/>
        <v>0</v>
      </c>
    </row>
    <row r="1681" spans="1:17">
      <c r="A1681" s="1">
        <v>44896</v>
      </c>
      <c r="B1681">
        <v>4076.57</v>
      </c>
      <c r="C1681">
        <f t="shared" si="208"/>
        <v>-8.6762366700898763E-4</v>
      </c>
      <c r="D1681">
        <f t="shared" si="215"/>
        <v>2.8413649046151068E-2</v>
      </c>
      <c r="E1681">
        <f>_xlfn.XLOOKUP(A1681,VIX!A:A,VIX!B:B,"",-1)</f>
        <v>19.84</v>
      </c>
      <c r="F1681">
        <f t="shared" si="209"/>
        <v>-0.73999999999999844</v>
      </c>
      <c r="G1681">
        <f>_xlfn.XLOOKUP(A1681,'DGS10'!A:A,'DGS10'!B:B,"",-1)</f>
        <v>3.53</v>
      </c>
      <c r="H1681">
        <f t="shared" si="210"/>
        <v>-0.15000000000000036</v>
      </c>
      <c r="I1681" s="2">
        <f>_xlfn.XLOOKUP(A1681,T10Y3M!A:A,T10Y3M!B:B,"",-1)</f>
        <v>-0.8</v>
      </c>
      <c r="J1681" s="2">
        <f>_xlfn.XLOOKUP(A1681,BAMLC0A4CBBB!A:A,BAMLC0A4CBBB!B:B,"",-1)</f>
        <v>1.75</v>
      </c>
      <c r="K1681" s="2">
        <f>_xlfn.XLOOKUP(A1681,CPIAUCSL!A:A,CPIAUCSL!B:B,"",-1)</f>
        <v>298.83199999999999</v>
      </c>
      <c r="L1681">
        <f>_xlfn.XLOOKUP(A1681,DFF!A:A,DFF!B:B,"",-1)</f>
        <v>3.83</v>
      </c>
      <c r="M1681">
        <f>_xlfn.XLOOKUP(A1681,'DGS2'!A:A,'DGS2'!B:B,"",-1)</f>
        <v>4.25</v>
      </c>
      <c r="N1681">
        <f t="shared" si="211"/>
        <v>-0.12999999999999989</v>
      </c>
      <c r="O1681">
        <f t="shared" si="212"/>
        <v>-1.1946317615054713E-3</v>
      </c>
      <c r="P1681">
        <f t="shared" si="213"/>
        <v>0</v>
      </c>
      <c r="Q1681">
        <f t="shared" si="214"/>
        <v>0</v>
      </c>
    </row>
    <row r="1682" spans="1:17">
      <c r="A1682" s="1">
        <v>44897</v>
      </c>
      <c r="B1682">
        <v>4071.7</v>
      </c>
      <c r="C1682">
        <f t="shared" si="208"/>
        <v>-1.1946317615054713E-3</v>
      </c>
      <c r="D1682">
        <f t="shared" si="215"/>
        <v>2.8822805567978671E-2</v>
      </c>
      <c r="E1682">
        <f>_xlfn.XLOOKUP(A1682,VIX!A:A,VIX!B:B,"",-1)</f>
        <v>19.059999999999999</v>
      </c>
      <c r="F1682">
        <f t="shared" si="209"/>
        <v>-0.78000000000000114</v>
      </c>
      <c r="G1682">
        <f>_xlfn.XLOOKUP(A1682,'DGS10'!A:A,'DGS10'!B:B,"",-1)</f>
        <v>3.51</v>
      </c>
      <c r="H1682">
        <f t="shared" si="210"/>
        <v>-2.0000000000000018E-2</v>
      </c>
      <c r="I1682" s="2">
        <f>_xlfn.XLOOKUP(A1682,T10Y3M!A:A,T10Y3M!B:B,"",-1)</f>
        <v>-0.83</v>
      </c>
      <c r="J1682" s="2">
        <f>_xlfn.XLOOKUP(A1682,BAMLC0A4CBBB!A:A,BAMLC0A4CBBB!B:B,"",-1)</f>
        <v>1.74</v>
      </c>
      <c r="K1682" s="2">
        <f>_xlfn.XLOOKUP(A1682,CPIAUCSL!A:A,CPIAUCSL!B:B,"",-1)</f>
        <v>298.83199999999999</v>
      </c>
      <c r="L1682">
        <f>_xlfn.XLOOKUP(A1682,DFF!A:A,DFF!B:B,"",-1)</f>
        <v>3.83</v>
      </c>
      <c r="M1682">
        <f>_xlfn.XLOOKUP(A1682,'DGS2'!A:A,'DGS2'!B:B,"",-1)</f>
        <v>4.28</v>
      </c>
      <c r="N1682">
        <f t="shared" si="211"/>
        <v>3.0000000000000249E-2</v>
      </c>
      <c r="O1682">
        <f t="shared" si="212"/>
        <v>-1.7894245646781326E-2</v>
      </c>
      <c r="P1682">
        <f t="shared" si="213"/>
        <v>0</v>
      </c>
      <c r="Q1682">
        <f t="shared" si="214"/>
        <v>-1</v>
      </c>
    </row>
    <row r="1683" spans="1:17">
      <c r="A1683" s="1">
        <v>44900</v>
      </c>
      <c r="B1683">
        <v>3998.84</v>
      </c>
      <c r="C1683">
        <f t="shared" si="208"/>
        <v>-1.7894245646781326E-2</v>
      </c>
      <c r="D1683">
        <f t="shared" si="215"/>
        <v>-1.9918580626502758E-2</v>
      </c>
      <c r="E1683">
        <f>_xlfn.XLOOKUP(A1683,VIX!A:A,VIX!B:B,"",-1)</f>
        <v>20.75</v>
      </c>
      <c r="F1683">
        <f t="shared" si="209"/>
        <v>1.6900000000000013</v>
      </c>
      <c r="G1683">
        <f>_xlfn.XLOOKUP(A1683,'DGS10'!A:A,'DGS10'!B:B,"",-1)</f>
        <v>3.6</v>
      </c>
      <c r="H1683">
        <f t="shared" si="210"/>
        <v>9.0000000000000302E-2</v>
      </c>
      <c r="I1683" s="2">
        <f>_xlfn.XLOOKUP(A1683,T10Y3M!A:A,T10Y3M!B:B,"",-1)</f>
        <v>-0.76</v>
      </c>
      <c r="J1683" s="2">
        <f>_xlfn.XLOOKUP(A1683,BAMLC0A4CBBB!A:A,BAMLC0A4CBBB!B:B,"",-1)</f>
        <v>1.73</v>
      </c>
      <c r="K1683" s="2">
        <f>_xlfn.XLOOKUP(A1683,CPIAUCSL!A:A,CPIAUCSL!B:B,"",-1)</f>
        <v>298.83199999999999</v>
      </c>
      <c r="L1683">
        <f>_xlfn.XLOOKUP(A1683,DFF!A:A,DFF!B:B,"",-1)</f>
        <v>3.83</v>
      </c>
      <c r="M1683">
        <f>_xlfn.XLOOKUP(A1683,'DGS2'!A:A,'DGS2'!B:B,"",-1)</f>
        <v>4.41</v>
      </c>
      <c r="N1683">
        <f t="shared" si="211"/>
        <v>0.12999999999999989</v>
      </c>
      <c r="O1683">
        <f t="shared" si="212"/>
        <v>-1.4399175760970717E-2</v>
      </c>
      <c r="P1683">
        <f t="shared" si="213"/>
        <v>0</v>
      </c>
      <c r="Q1683">
        <f t="shared" si="214"/>
        <v>-1</v>
      </c>
    </row>
    <row r="1684" spans="1:17">
      <c r="A1684" s="1">
        <v>44901</v>
      </c>
      <c r="B1684">
        <v>3941.26</v>
      </c>
      <c r="C1684">
        <f t="shared" si="208"/>
        <v>-1.4399175760970717E-2</v>
      </c>
      <c r="D1684">
        <f t="shared" si="215"/>
        <v>-3.3192119845850798E-2</v>
      </c>
      <c r="E1684">
        <f>_xlfn.XLOOKUP(A1684,VIX!A:A,VIX!B:B,"",-1)</f>
        <v>22.17</v>
      </c>
      <c r="F1684">
        <f t="shared" si="209"/>
        <v>1.4200000000000017</v>
      </c>
      <c r="G1684">
        <f>_xlfn.XLOOKUP(A1684,'DGS10'!A:A,'DGS10'!B:B,"",-1)</f>
        <v>3.51</v>
      </c>
      <c r="H1684">
        <f t="shared" si="210"/>
        <v>-9.0000000000000302E-2</v>
      </c>
      <c r="I1684" s="2">
        <f>_xlfn.XLOOKUP(A1684,T10Y3M!A:A,T10Y3M!B:B,"",-1)</f>
        <v>-0.86</v>
      </c>
      <c r="J1684" s="2">
        <f>_xlfn.XLOOKUP(A1684,BAMLC0A4CBBB!A:A,BAMLC0A4CBBB!B:B,"",-1)</f>
        <v>1.73</v>
      </c>
      <c r="K1684" s="2">
        <f>_xlfn.XLOOKUP(A1684,CPIAUCSL!A:A,CPIAUCSL!B:B,"",-1)</f>
        <v>298.83199999999999</v>
      </c>
      <c r="L1684">
        <f>_xlfn.XLOOKUP(A1684,DFF!A:A,DFF!B:B,"",-1)</f>
        <v>3.83</v>
      </c>
      <c r="M1684">
        <f>_xlfn.XLOOKUP(A1684,'DGS2'!A:A,'DGS2'!B:B,"",-1)</f>
        <v>4.34</v>
      </c>
      <c r="N1684">
        <f t="shared" si="211"/>
        <v>-7.0000000000000284E-2</v>
      </c>
      <c r="O1684">
        <f t="shared" si="212"/>
        <v>-1.8623485890298941E-3</v>
      </c>
      <c r="P1684">
        <f t="shared" si="213"/>
        <v>0</v>
      </c>
      <c r="Q1684">
        <f t="shared" si="214"/>
        <v>0</v>
      </c>
    </row>
    <row r="1685" spans="1:17">
      <c r="A1685" s="1">
        <v>44902</v>
      </c>
      <c r="B1685">
        <v>3933.92</v>
      </c>
      <c r="C1685">
        <f t="shared" si="208"/>
        <v>-1.8623485890298941E-3</v>
      </c>
      <c r="D1685">
        <f t="shared" si="215"/>
        <v>-3.3838445857995336E-2</v>
      </c>
      <c r="E1685">
        <f>_xlfn.XLOOKUP(A1685,VIX!A:A,VIX!B:B,"",-1)</f>
        <v>22.68</v>
      </c>
      <c r="F1685">
        <f t="shared" si="209"/>
        <v>0.50999999999999801</v>
      </c>
      <c r="G1685">
        <f>_xlfn.XLOOKUP(A1685,'DGS10'!A:A,'DGS10'!B:B,"",-1)</f>
        <v>3.42</v>
      </c>
      <c r="H1685">
        <f t="shared" si="210"/>
        <v>-8.9999999999999858E-2</v>
      </c>
      <c r="I1685" s="2">
        <f>_xlfn.XLOOKUP(A1685,T10Y3M!A:A,T10Y3M!B:B,"",-1)</f>
        <v>-0.87</v>
      </c>
      <c r="J1685" s="2">
        <f>_xlfn.XLOOKUP(A1685,BAMLC0A4CBBB!A:A,BAMLC0A4CBBB!B:B,"",-1)</f>
        <v>1.74</v>
      </c>
      <c r="K1685" s="2">
        <f>_xlfn.XLOOKUP(A1685,CPIAUCSL!A:A,CPIAUCSL!B:B,"",-1)</f>
        <v>298.83199999999999</v>
      </c>
      <c r="L1685">
        <f>_xlfn.XLOOKUP(A1685,DFF!A:A,DFF!B:B,"",-1)</f>
        <v>3.83</v>
      </c>
      <c r="M1685">
        <f>_xlfn.XLOOKUP(A1685,'DGS2'!A:A,'DGS2'!B:B,"",-1)</f>
        <v>4.26</v>
      </c>
      <c r="N1685">
        <f t="shared" si="211"/>
        <v>-8.0000000000000071E-2</v>
      </c>
      <c r="O1685">
        <f t="shared" si="212"/>
        <v>7.5217594663847809E-3</v>
      </c>
      <c r="P1685">
        <f t="shared" si="213"/>
        <v>1</v>
      </c>
      <c r="Q1685">
        <f t="shared" si="214"/>
        <v>1</v>
      </c>
    </row>
    <row r="1686" spans="1:17">
      <c r="A1686" s="1">
        <v>44903</v>
      </c>
      <c r="B1686">
        <v>3963.51</v>
      </c>
      <c r="C1686">
        <f t="shared" si="208"/>
        <v>7.5217594663847809E-3</v>
      </c>
      <c r="D1686">
        <f t="shared" si="215"/>
        <v>-8.8350621680287622E-3</v>
      </c>
      <c r="E1686">
        <f>_xlfn.XLOOKUP(A1686,VIX!A:A,VIX!B:B,"",-1)</f>
        <v>22.29</v>
      </c>
      <c r="F1686">
        <f t="shared" si="209"/>
        <v>-0.39000000000000057</v>
      </c>
      <c r="G1686">
        <f>_xlfn.XLOOKUP(A1686,'DGS10'!A:A,'DGS10'!B:B,"",-1)</f>
        <v>3.48</v>
      </c>
      <c r="H1686">
        <f t="shared" si="210"/>
        <v>6.0000000000000053E-2</v>
      </c>
      <c r="I1686" s="2">
        <f>_xlfn.XLOOKUP(A1686,T10Y3M!A:A,T10Y3M!B:B,"",-1)</f>
        <v>-0.8</v>
      </c>
      <c r="J1686" s="2">
        <f>_xlfn.XLOOKUP(A1686,BAMLC0A4CBBB!A:A,BAMLC0A4CBBB!B:B,"",-1)</f>
        <v>1.72</v>
      </c>
      <c r="K1686" s="2">
        <f>_xlfn.XLOOKUP(A1686,CPIAUCSL!A:A,CPIAUCSL!B:B,"",-1)</f>
        <v>298.83199999999999</v>
      </c>
      <c r="L1686">
        <f>_xlfn.XLOOKUP(A1686,DFF!A:A,DFF!B:B,"",-1)</f>
        <v>3.83</v>
      </c>
      <c r="M1686">
        <f>_xlfn.XLOOKUP(A1686,'DGS2'!A:A,'DGS2'!B:B,"",-1)</f>
        <v>4.3099999999999996</v>
      </c>
      <c r="N1686">
        <f t="shared" si="211"/>
        <v>4.9999999999999822E-2</v>
      </c>
      <c r="O1686">
        <f t="shared" si="212"/>
        <v>-7.3495462355336327E-3</v>
      </c>
      <c r="P1686">
        <f t="shared" si="213"/>
        <v>0</v>
      </c>
      <c r="Q1686">
        <f t="shared" si="214"/>
        <v>-1</v>
      </c>
    </row>
    <row r="1687" spans="1:17">
      <c r="A1687" s="1">
        <v>44904</v>
      </c>
      <c r="B1687">
        <v>3934.38</v>
      </c>
      <c r="C1687">
        <f t="shared" si="208"/>
        <v>-7.3495462355336327E-3</v>
      </c>
      <c r="D1687">
        <f t="shared" si="215"/>
        <v>-1.7456346447582982E-3</v>
      </c>
      <c r="E1687">
        <f>_xlfn.XLOOKUP(A1687,VIX!A:A,VIX!B:B,"",-1)</f>
        <v>22.83</v>
      </c>
      <c r="F1687">
        <f t="shared" si="209"/>
        <v>0.53999999999999915</v>
      </c>
      <c r="G1687">
        <f>_xlfn.XLOOKUP(A1687,'DGS10'!A:A,'DGS10'!B:B,"",-1)</f>
        <v>3.57</v>
      </c>
      <c r="H1687">
        <f t="shared" si="210"/>
        <v>8.9999999999999858E-2</v>
      </c>
      <c r="I1687" s="2">
        <f>_xlfn.XLOOKUP(A1687,T10Y3M!A:A,T10Y3M!B:B,"",-1)</f>
        <v>-0.74</v>
      </c>
      <c r="J1687" s="2">
        <f>_xlfn.XLOOKUP(A1687,BAMLC0A4CBBB!A:A,BAMLC0A4CBBB!B:B,"",-1)</f>
        <v>1.71</v>
      </c>
      <c r="K1687" s="2">
        <f>_xlfn.XLOOKUP(A1687,CPIAUCSL!A:A,CPIAUCSL!B:B,"",-1)</f>
        <v>298.83199999999999</v>
      </c>
      <c r="L1687">
        <f>_xlfn.XLOOKUP(A1687,DFF!A:A,DFF!B:B,"",-1)</f>
        <v>3.83</v>
      </c>
      <c r="M1687">
        <f>_xlfn.XLOOKUP(A1687,'DGS2'!A:A,'DGS2'!B:B,"",-1)</f>
        <v>4.33</v>
      </c>
      <c r="N1687">
        <f t="shared" si="211"/>
        <v>2.0000000000000462E-2</v>
      </c>
      <c r="O1687">
        <f t="shared" si="212"/>
        <v>1.4279251114533986E-2</v>
      </c>
      <c r="P1687">
        <f t="shared" si="213"/>
        <v>1</v>
      </c>
      <c r="Q1687">
        <f t="shared" si="214"/>
        <v>1</v>
      </c>
    </row>
    <row r="1688" spans="1:17">
      <c r="A1688" s="1">
        <v>44907</v>
      </c>
      <c r="B1688">
        <v>3990.56</v>
      </c>
      <c r="C1688">
        <f t="shared" si="208"/>
        <v>1.4279251114533986E-2</v>
      </c>
      <c r="D1688">
        <f t="shared" si="215"/>
        <v>1.4397852523691412E-2</v>
      </c>
      <c r="E1688">
        <f>_xlfn.XLOOKUP(A1688,VIX!A:A,VIX!B:B,"",-1)</f>
        <v>25</v>
      </c>
      <c r="F1688">
        <f t="shared" si="209"/>
        <v>2.1700000000000017</v>
      </c>
      <c r="G1688">
        <f>_xlfn.XLOOKUP(A1688,'DGS10'!A:A,'DGS10'!B:B,"",-1)</f>
        <v>3.61</v>
      </c>
      <c r="H1688">
        <f t="shared" si="210"/>
        <v>4.0000000000000036E-2</v>
      </c>
      <c r="I1688" s="2">
        <f>_xlfn.XLOOKUP(A1688,T10Y3M!A:A,T10Y3M!B:B,"",-1)</f>
        <v>-0.77</v>
      </c>
      <c r="J1688" s="2">
        <f>_xlfn.XLOOKUP(A1688,BAMLC0A4CBBB!A:A,BAMLC0A4CBBB!B:B,"",-1)</f>
        <v>1.7</v>
      </c>
      <c r="K1688" s="2">
        <f>_xlfn.XLOOKUP(A1688,CPIAUCSL!A:A,CPIAUCSL!B:B,"",-1)</f>
        <v>298.83199999999999</v>
      </c>
      <c r="L1688">
        <f>_xlfn.XLOOKUP(A1688,DFF!A:A,DFF!B:B,"",-1)</f>
        <v>3.83</v>
      </c>
      <c r="M1688">
        <f>_xlfn.XLOOKUP(A1688,'DGS2'!A:A,'DGS2'!B:B,"",-1)</f>
        <v>4.3899999999999997</v>
      </c>
      <c r="N1688">
        <f t="shared" si="211"/>
        <v>5.9999999999999609E-2</v>
      </c>
      <c r="O1688">
        <f t="shared" si="212"/>
        <v>7.289703700733785E-3</v>
      </c>
      <c r="P1688">
        <f t="shared" si="213"/>
        <v>1</v>
      </c>
      <c r="Q1688">
        <f t="shared" si="214"/>
        <v>1</v>
      </c>
    </row>
    <row r="1689" spans="1:17">
      <c r="A1689" s="1">
        <v>44908</v>
      </c>
      <c r="B1689">
        <v>4019.65</v>
      </c>
      <c r="C1689">
        <f t="shared" si="208"/>
        <v>7.289703700733785E-3</v>
      </c>
      <c r="D1689">
        <f t="shared" si="215"/>
        <v>1.416421303339721E-2</v>
      </c>
      <c r="E1689">
        <f>_xlfn.XLOOKUP(A1689,VIX!A:A,VIX!B:B,"",-1)</f>
        <v>22.55</v>
      </c>
      <c r="F1689">
        <f t="shared" si="209"/>
        <v>-2.4499999999999993</v>
      </c>
      <c r="G1689">
        <f>_xlfn.XLOOKUP(A1689,'DGS10'!A:A,'DGS10'!B:B,"",-1)</f>
        <v>3.51</v>
      </c>
      <c r="H1689">
        <f t="shared" si="210"/>
        <v>-0.10000000000000009</v>
      </c>
      <c r="I1689" s="2">
        <f>_xlfn.XLOOKUP(A1689,T10Y3M!A:A,T10Y3M!B:B,"",-1)</f>
        <v>-0.84</v>
      </c>
      <c r="J1689" s="2">
        <f>_xlfn.XLOOKUP(A1689,BAMLC0A4CBBB!A:A,BAMLC0A4CBBB!B:B,"",-1)</f>
        <v>1.7</v>
      </c>
      <c r="K1689" s="2">
        <f>_xlfn.XLOOKUP(A1689,CPIAUCSL!A:A,CPIAUCSL!B:B,"",-1)</f>
        <v>298.83199999999999</v>
      </c>
      <c r="L1689">
        <f>_xlfn.XLOOKUP(A1689,DFF!A:A,DFF!B:B,"",-1)</f>
        <v>3.83</v>
      </c>
      <c r="M1689">
        <f>_xlfn.XLOOKUP(A1689,'DGS2'!A:A,'DGS2'!B:B,"",-1)</f>
        <v>4.22</v>
      </c>
      <c r="N1689">
        <f t="shared" si="211"/>
        <v>-0.16999999999999993</v>
      </c>
      <c r="O1689">
        <f t="shared" si="212"/>
        <v>-6.0527657880661279E-3</v>
      </c>
      <c r="P1689">
        <f t="shared" si="213"/>
        <v>0</v>
      </c>
      <c r="Q1689">
        <f t="shared" si="214"/>
        <v>-1</v>
      </c>
    </row>
    <row r="1690" spans="1:17">
      <c r="A1690" s="1">
        <v>44909</v>
      </c>
      <c r="B1690">
        <v>3995.32</v>
      </c>
      <c r="C1690">
        <f t="shared" si="208"/>
        <v>-6.0527657880661279E-3</v>
      </c>
      <c r="D1690">
        <f t="shared" si="215"/>
        <v>1.5489098663576062E-2</v>
      </c>
      <c r="E1690">
        <f>_xlfn.XLOOKUP(A1690,VIX!A:A,VIX!B:B,"",-1)</f>
        <v>21.14</v>
      </c>
      <c r="F1690">
        <f t="shared" si="209"/>
        <v>-1.4100000000000001</v>
      </c>
      <c r="G1690">
        <f>_xlfn.XLOOKUP(A1690,'DGS10'!A:A,'DGS10'!B:B,"",-1)</f>
        <v>3.49</v>
      </c>
      <c r="H1690">
        <f t="shared" si="210"/>
        <v>-1.9999999999999574E-2</v>
      </c>
      <c r="I1690" s="2">
        <f>_xlfn.XLOOKUP(A1690,T10Y3M!A:A,T10Y3M!B:B,"",-1)</f>
        <v>-0.84</v>
      </c>
      <c r="J1690" s="2">
        <f>_xlfn.XLOOKUP(A1690,BAMLC0A4CBBB!A:A,BAMLC0A4CBBB!B:B,"",-1)</f>
        <v>1.7</v>
      </c>
      <c r="K1690" s="2">
        <f>_xlfn.XLOOKUP(A1690,CPIAUCSL!A:A,CPIAUCSL!B:B,"",-1)</f>
        <v>298.83199999999999</v>
      </c>
      <c r="L1690">
        <f>_xlfn.XLOOKUP(A1690,DFF!A:A,DFF!B:B,"",-1)</f>
        <v>3.83</v>
      </c>
      <c r="M1690">
        <f>_xlfn.XLOOKUP(A1690,'DGS2'!A:A,'DGS2'!B:B,"",-1)</f>
        <v>4.2300000000000004</v>
      </c>
      <c r="N1690">
        <f t="shared" si="211"/>
        <v>1.0000000000000675E-2</v>
      </c>
      <c r="O1690">
        <f t="shared" si="212"/>
        <v>-2.4921658340258168E-2</v>
      </c>
      <c r="P1690">
        <f t="shared" si="213"/>
        <v>0</v>
      </c>
      <c r="Q1690">
        <f t="shared" si="214"/>
        <v>-1</v>
      </c>
    </row>
    <row r="1691" spans="1:17">
      <c r="A1691" s="1">
        <v>44910</v>
      </c>
      <c r="B1691">
        <v>3895.75</v>
      </c>
      <c r="C1691">
        <f t="shared" si="208"/>
        <v>-2.4921658340258168E-2</v>
      </c>
      <c r="D1691">
        <f t="shared" si="215"/>
        <v>-2.3758570225732689E-2</v>
      </c>
      <c r="E1691">
        <f>_xlfn.XLOOKUP(A1691,VIX!A:A,VIX!B:B,"",-1)</f>
        <v>22.83</v>
      </c>
      <c r="F1691">
        <f t="shared" si="209"/>
        <v>1.6899999999999977</v>
      </c>
      <c r="G1691">
        <f>_xlfn.XLOOKUP(A1691,'DGS10'!A:A,'DGS10'!B:B,"",-1)</f>
        <v>3.44</v>
      </c>
      <c r="H1691">
        <f t="shared" si="210"/>
        <v>-5.0000000000000266E-2</v>
      </c>
      <c r="I1691" s="2">
        <f>_xlfn.XLOOKUP(A1691,T10Y3M!A:A,T10Y3M!B:B,"",-1)</f>
        <v>-0.9</v>
      </c>
      <c r="J1691" s="2">
        <f>_xlfn.XLOOKUP(A1691,BAMLC0A4CBBB!A:A,BAMLC0A4CBBB!B:B,"",-1)</f>
        <v>1.72</v>
      </c>
      <c r="K1691" s="2">
        <f>_xlfn.XLOOKUP(A1691,CPIAUCSL!A:A,CPIAUCSL!B:B,"",-1)</f>
        <v>298.83199999999999</v>
      </c>
      <c r="L1691">
        <f>_xlfn.XLOOKUP(A1691,DFF!A:A,DFF!B:B,"",-1)</f>
        <v>4.33</v>
      </c>
      <c r="M1691">
        <f>_xlfn.XLOOKUP(A1691,'DGS2'!A:A,'DGS2'!B:B,"",-1)</f>
        <v>4.2300000000000004</v>
      </c>
      <c r="N1691">
        <f t="shared" si="211"/>
        <v>0</v>
      </c>
      <c r="O1691">
        <f t="shared" si="212"/>
        <v>-1.1137778348199956E-2</v>
      </c>
      <c r="P1691">
        <f t="shared" si="213"/>
        <v>0</v>
      </c>
      <c r="Q1691">
        <f t="shared" si="214"/>
        <v>-1</v>
      </c>
    </row>
    <row r="1692" spans="1:17">
      <c r="A1692" s="1">
        <v>44911</v>
      </c>
      <c r="B1692">
        <v>3852.36</v>
      </c>
      <c r="C1692">
        <f t="shared" si="208"/>
        <v>-1.1137778348199956E-2</v>
      </c>
      <c r="D1692">
        <f t="shared" si="215"/>
        <v>-4.1618051322876326E-2</v>
      </c>
      <c r="E1692">
        <f>_xlfn.XLOOKUP(A1692,VIX!A:A,VIX!B:B,"",-1)</f>
        <v>22.62</v>
      </c>
      <c r="F1692">
        <f t="shared" si="209"/>
        <v>-0.2099999999999973</v>
      </c>
      <c r="G1692">
        <f>_xlfn.XLOOKUP(A1692,'DGS10'!A:A,'DGS10'!B:B,"",-1)</f>
        <v>3.48</v>
      </c>
      <c r="H1692">
        <f t="shared" si="210"/>
        <v>4.0000000000000036E-2</v>
      </c>
      <c r="I1692" s="2">
        <f>_xlfn.XLOOKUP(A1692,T10Y3M!A:A,T10Y3M!B:B,"",-1)</f>
        <v>-0.83</v>
      </c>
      <c r="J1692" s="2">
        <f>_xlfn.XLOOKUP(A1692,BAMLC0A4CBBB!A:A,BAMLC0A4CBBB!B:B,"",-1)</f>
        <v>1.73</v>
      </c>
      <c r="K1692" s="2">
        <f>_xlfn.XLOOKUP(A1692,CPIAUCSL!A:A,CPIAUCSL!B:B,"",-1)</f>
        <v>298.83199999999999</v>
      </c>
      <c r="L1692">
        <f>_xlfn.XLOOKUP(A1692,DFF!A:A,DFF!B:B,"",-1)</f>
        <v>4.33</v>
      </c>
      <c r="M1692">
        <f>_xlfn.XLOOKUP(A1692,'DGS2'!A:A,'DGS2'!B:B,"",-1)</f>
        <v>4.17</v>
      </c>
      <c r="N1692">
        <f t="shared" si="211"/>
        <v>-6.0000000000000497E-2</v>
      </c>
      <c r="O1692">
        <f t="shared" si="212"/>
        <v>-9.007465553582783E-3</v>
      </c>
      <c r="P1692">
        <f t="shared" si="213"/>
        <v>0</v>
      </c>
      <c r="Q1692">
        <f t="shared" si="214"/>
        <v>-1</v>
      </c>
    </row>
    <row r="1693" spans="1:17">
      <c r="A1693" s="1">
        <v>44914</v>
      </c>
      <c r="B1693">
        <v>3817.66</v>
      </c>
      <c r="C1693">
        <f t="shared" si="208"/>
        <v>-9.007465553582783E-3</v>
      </c>
      <c r="D1693">
        <f t="shared" si="215"/>
        <v>-4.4467026420912492E-2</v>
      </c>
      <c r="E1693">
        <f>_xlfn.XLOOKUP(A1693,VIX!A:A,VIX!B:B,"",-1)</f>
        <v>22.42</v>
      </c>
      <c r="F1693">
        <f t="shared" si="209"/>
        <v>-0.19999999999999929</v>
      </c>
      <c r="G1693">
        <f>_xlfn.XLOOKUP(A1693,'DGS10'!A:A,'DGS10'!B:B,"",-1)</f>
        <v>3.57</v>
      </c>
      <c r="H1693">
        <f t="shared" si="210"/>
        <v>8.9999999999999858E-2</v>
      </c>
      <c r="I1693" s="2">
        <f>_xlfn.XLOOKUP(A1693,T10Y3M!A:A,T10Y3M!B:B,"",-1)</f>
        <v>-0.8</v>
      </c>
      <c r="J1693" s="2">
        <f>_xlfn.XLOOKUP(A1693,BAMLC0A4CBBB!A:A,BAMLC0A4CBBB!B:B,"",-1)</f>
        <v>1.73</v>
      </c>
      <c r="K1693" s="2">
        <f>_xlfn.XLOOKUP(A1693,CPIAUCSL!A:A,CPIAUCSL!B:B,"",-1)</f>
        <v>298.83199999999999</v>
      </c>
      <c r="L1693">
        <f>_xlfn.XLOOKUP(A1693,DFF!A:A,DFF!B:B,"",-1)</f>
        <v>4.33</v>
      </c>
      <c r="M1693">
        <f>_xlfn.XLOOKUP(A1693,'DGS2'!A:A,'DGS2'!B:B,"",-1)</f>
        <v>4.25</v>
      </c>
      <c r="N1693">
        <f t="shared" si="211"/>
        <v>8.0000000000000071E-2</v>
      </c>
      <c r="O1693">
        <f t="shared" si="212"/>
        <v>1.0372846193742458E-3</v>
      </c>
      <c r="P1693">
        <f t="shared" si="213"/>
        <v>1</v>
      </c>
      <c r="Q1693">
        <f t="shared" si="214"/>
        <v>0</v>
      </c>
    </row>
    <row r="1694" spans="1:17">
      <c r="A1694" s="1">
        <v>44915</v>
      </c>
      <c r="B1694">
        <v>3821.62</v>
      </c>
      <c r="C1694">
        <f t="shared" si="208"/>
        <v>1.0372846193742458E-3</v>
      </c>
      <c r="D1694">
        <f t="shared" si="215"/>
        <v>-1.9028428415581056E-2</v>
      </c>
      <c r="E1694">
        <f>_xlfn.XLOOKUP(A1694,VIX!A:A,VIX!B:B,"",-1)</f>
        <v>21.48</v>
      </c>
      <c r="F1694">
        <f t="shared" si="209"/>
        <v>-0.94000000000000128</v>
      </c>
      <c r="G1694">
        <f>_xlfn.XLOOKUP(A1694,'DGS10'!A:A,'DGS10'!B:B,"",-1)</f>
        <v>3.69</v>
      </c>
      <c r="H1694">
        <f t="shared" si="210"/>
        <v>0.12000000000000011</v>
      </c>
      <c r="I1694" s="2">
        <f>_xlfn.XLOOKUP(A1694,T10Y3M!A:A,T10Y3M!B:B,"",-1)</f>
        <v>-0.66</v>
      </c>
      <c r="J1694" s="2">
        <f>_xlfn.XLOOKUP(A1694,BAMLC0A4CBBB!A:A,BAMLC0A4CBBB!B:B,"",-1)</f>
        <v>1.75</v>
      </c>
      <c r="K1694" s="2">
        <f>_xlfn.XLOOKUP(A1694,CPIAUCSL!A:A,CPIAUCSL!B:B,"",-1)</f>
        <v>298.83199999999999</v>
      </c>
      <c r="L1694">
        <f>_xlfn.XLOOKUP(A1694,DFF!A:A,DFF!B:B,"",-1)</f>
        <v>4.33</v>
      </c>
      <c r="M1694">
        <f>_xlfn.XLOOKUP(A1694,'DGS2'!A:A,'DGS2'!B:B,"",-1)</f>
        <v>4.25</v>
      </c>
      <c r="N1694">
        <f t="shared" si="211"/>
        <v>0</v>
      </c>
      <c r="O1694">
        <f t="shared" si="212"/>
        <v>1.4868040255179737E-2</v>
      </c>
      <c r="P1694">
        <f t="shared" si="213"/>
        <v>1</v>
      </c>
      <c r="Q1694">
        <f t="shared" si="214"/>
        <v>1</v>
      </c>
    </row>
    <row r="1695" spans="1:17">
      <c r="A1695" s="1">
        <v>44916</v>
      </c>
      <c r="B1695">
        <v>3878.44</v>
      </c>
      <c r="C1695">
        <f t="shared" si="208"/>
        <v>1.4868040255179737E-2</v>
      </c>
      <c r="D1695">
        <f t="shared" si="215"/>
        <v>6.7698761278800479E-3</v>
      </c>
      <c r="E1695">
        <f>_xlfn.XLOOKUP(A1695,VIX!A:A,VIX!B:B,"",-1)</f>
        <v>20.07</v>
      </c>
      <c r="F1695">
        <f t="shared" si="209"/>
        <v>-1.4100000000000001</v>
      </c>
      <c r="G1695">
        <f>_xlfn.XLOOKUP(A1695,'DGS10'!A:A,'DGS10'!B:B,"",-1)</f>
        <v>3.68</v>
      </c>
      <c r="H1695">
        <f t="shared" si="210"/>
        <v>-9.9999999999997868E-3</v>
      </c>
      <c r="I1695" s="2">
        <f>_xlfn.XLOOKUP(A1695,T10Y3M!A:A,T10Y3M!B:B,"",-1)</f>
        <v>-0.65</v>
      </c>
      <c r="J1695" s="2">
        <f>_xlfn.XLOOKUP(A1695,BAMLC0A4CBBB!A:A,BAMLC0A4CBBB!B:B,"",-1)</f>
        <v>1.74</v>
      </c>
      <c r="K1695" s="2">
        <f>_xlfn.XLOOKUP(A1695,CPIAUCSL!A:A,CPIAUCSL!B:B,"",-1)</f>
        <v>298.83199999999999</v>
      </c>
      <c r="L1695">
        <f>_xlfn.XLOOKUP(A1695,DFF!A:A,DFF!B:B,"",-1)</f>
        <v>4.33</v>
      </c>
      <c r="M1695">
        <f>_xlfn.XLOOKUP(A1695,'DGS2'!A:A,'DGS2'!B:B,"",-1)</f>
        <v>4.21</v>
      </c>
      <c r="N1695">
        <f t="shared" si="211"/>
        <v>-4.0000000000000036E-2</v>
      </c>
      <c r="O1695">
        <f t="shared" si="212"/>
        <v>-1.4451686760656446E-2</v>
      </c>
      <c r="P1695">
        <f t="shared" si="213"/>
        <v>0</v>
      </c>
      <c r="Q1695">
        <f t="shared" si="214"/>
        <v>-1</v>
      </c>
    </row>
    <row r="1696" spans="1:17">
      <c r="A1696" s="1">
        <v>44917</v>
      </c>
      <c r="B1696">
        <v>3822.39</v>
      </c>
      <c r="C1696">
        <f t="shared" si="208"/>
        <v>-1.4451686760656446E-2</v>
      </c>
      <c r="D1696">
        <f t="shared" si="215"/>
        <v>1.2389788509190591E-3</v>
      </c>
      <c r="E1696">
        <f>_xlfn.XLOOKUP(A1696,VIX!A:A,VIX!B:B,"",-1)</f>
        <v>21.97</v>
      </c>
      <c r="F1696">
        <f t="shared" si="209"/>
        <v>1.8999999999999986</v>
      </c>
      <c r="G1696">
        <f>_xlfn.XLOOKUP(A1696,'DGS10'!A:A,'DGS10'!B:B,"",-1)</f>
        <v>3.67</v>
      </c>
      <c r="H1696">
        <f t="shared" si="210"/>
        <v>-1.0000000000000231E-2</v>
      </c>
      <c r="I1696" s="2">
        <f>_xlfn.XLOOKUP(A1696,T10Y3M!A:A,T10Y3M!B:B,"",-1)</f>
        <v>-0.68</v>
      </c>
      <c r="J1696" s="2">
        <f>_xlfn.XLOOKUP(A1696,BAMLC0A4CBBB!A:A,BAMLC0A4CBBB!B:B,"",-1)</f>
        <v>1.73</v>
      </c>
      <c r="K1696" s="2">
        <f>_xlfn.XLOOKUP(A1696,CPIAUCSL!A:A,CPIAUCSL!B:B,"",-1)</f>
        <v>298.83199999999999</v>
      </c>
      <c r="L1696">
        <f>_xlfn.XLOOKUP(A1696,DFF!A:A,DFF!B:B,"",-1)</f>
        <v>4.33</v>
      </c>
      <c r="M1696">
        <f>_xlfn.XLOOKUP(A1696,'DGS2'!A:A,'DGS2'!B:B,"",-1)</f>
        <v>4.24</v>
      </c>
      <c r="N1696">
        <f t="shared" si="211"/>
        <v>3.0000000000000249E-2</v>
      </c>
      <c r="O1696">
        <f t="shared" si="212"/>
        <v>5.8680563731070556E-3</v>
      </c>
      <c r="P1696">
        <f t="shared" si="213"/>
        <v>1</v>
      </c>
      <c r="Q1696">
        <f t="shared" si="214"/>
        <v>1</v>
      </c>
    </row>
    <row r="1697" spans="1:17">
      <c r="A1697" s="1">
        <v>44918</v>
      </c>
      <c r="B1697">
        <v>3844.82</v>
      </c>
      <c r="C1697">
        <f t="shared" si="208"/>
        <v>5.8680563731070556E-3</v>
      </c>
      <c r="D1697">
        <f t="shared" si="215"/>
        <v>6.0707239338291252E-3</v>
      </c>
      <c r="E1697">
        <f>_xlfn.XLOOKUP(A1697,VIX!A:A,VIX!B:B,"",-1)</f>
        <v>20.87</v>
      </c>
      <c r="F1697">
        <f t="shared" si="209"/>
        <v>-1.0999999999999979</v>
      </c>
      <c r="G1697">
        <f>_xlfn.XLOOKUP(A1697,'DGS10'!A:A,'DGS10'!B:B,"",-1)</f>
        <v>3.75</v>
      </c>
      <c r="H1697">
        <f t="shared" si="210"/>
        <v>8.0000000000000071E-2</v>
      </c>
      <c r="I1697" s="2">
        <f>_xlfn.XLOOKUP(A1697,T10Y3M!A:A,T10Y3M!B:B,"",-1)</f>
        <v>-0.59</v>
      </c>
      <c r="J1697" s="2">
        <f>_xlfn.XLOOKUP(A1697,BAMLC0A4CBBB!A:A,BAMLC0A4CBBB!B:B,"",-1)</f>
        <v>1.72</v>
      </c>
      <c r="K1697" s="2">
        <f>_xlfn.XLOOKUP(A1697,CPIAUCSL!A:A,CPIAUCSL!B:B,"",-1)</f>
        <v>298.83199999999999</v>
      </c>
      <c r="L1697">
        <f>_xlfn.XLOOKUP(A1697,DFF!A:A,DFF!B:B,"",-1)</f>
        <v>4.33</v>
      </c>
      <c r="M1697">
        <f>_xlfn.XLOOKUP(A1697,'DGS2'!A:A,'DGS2'!B:B,"",-1)</f>
        <v>4.3099999999999996</v>
      </c>
      <c r="N1697">
        <f t="shared" si="211"/>
        <v>6.9999999999999396E-2</v>
      </c>
      <c r="O1697">
        <f t="shared" si="212"/>
        <v>-4.0496044028068834E-3</v>
      </c>
      <c r="P1697">
        <f t="shared" si="213"/>
        <v>0</v>
      </c>
      <c r="Q1697">
        <f t="shared" si="214"/>
        <v>-1</v>
      </c>
    </row>
    <row r="1698" spans="1:17">
      <c r="A1698" s="1">
        <v>44922</v>
      </c>
      <c r="B1698">
        <v>3829.25</v>
      </c>
      <c r="C1698">
        <f t="shared" si="208"/>
        <v>-4.0496044028068834E-3</v>
      </c>
      <c r="D1698">
        <f t="shared" si="215"/>
        <v>-1.2682934375676802E-2</v>
      </c>
      <c r="E1698">
        <f>_xlfn.XLOOKUP(A1698,VIX!A:A,VIX!B:B,"",-1)</f>
        <v>21.65</v>
      </c>
      <c r="F1698">
        <f t="shared" si="209"/>
        <v>0.77999999999999758</v>
      </c>
      <c r="G1698">
        <f>_xlfn.XLOOKUP(A1698,'DGS10'!A:A,'DGS10'!B:B,"",-1)</f>
        <v>3.84</v>
      </c>
      <c r="H1698">
        <f t="shared" si="210"/>
        <v>8.9999999999999858E-2</v>
      </c>
      <c r="I1698" s="2">
        <f>_xlfn.XLOOKUP(A1698,T10Y3M!A:A,T10Y3M!B:B,"",-1)</f>
        <v>-0.62</v>
      </c>
      <c r="J1698" s="2">
        <f>_xlfn.XLOOKUP(A1698,BAMLC0A4CBBB!A:A,BAMLC0A4CBBB!B:B,"",-1)</f>
        <v>1.71</v>
      </c>
      <c r="K1698" s="2">
        <f>_xlfn.XLOOKUP(A1698,CPIAUCSL!A:A,CPIAUCSL!B:B,"",-1)</f>
        <v>298.83199999999999</v>
      </c>
      <c r="L1698">
        <f>_xlfn.XLOOKUP(A1698,DFF!A:A,DFF!B:B,"",-1)</f>
        <v>4.33</v>
      </c>
      <c r="M1698">
        <f>_xlfn.XLOOKUP(A1698,'DGS2'!A:A,'DGS2'!B:B,"",-1)</f>
        <v>4.32</v>
      </c>
      <c r="N1698">
        <f t="shared" si="211"/>
        <v>1.0000000000000675E-2</v>
      </c>
      <c r="O1698">
        <f t="shared" si="212"/>
        <v>-1.202063067180259E-2</v>
      </c>
      <c r="P1698">
        <f t="shared" si="213"/>
        <v>0</v>
      </c>
      <c r="Q1698">
        <f t="shared" si="214"/>
        <v>-1</v>
      </c>
    </row>
    <row r="1699" spans="1:17">
      <c r="A1699" s="1">
        <v>44923</v>
      </c>
      <c r="B1699">
        <v>3783.22</v>
      </c>
      <c r="C1699">
        <f t="shared" si="208"/>
        <v>-1.202063067180259E-2</v>
      </c>
      <c r="D1699">
        <f t="shared" si="215"/>
        <v>-1.0247515298020371E-2</v>
      </c>
      <c r="E1699">
        <f>_xlfn.XLOOKUP(A1699,VIX!A:A,VIX!B:B,"",-1)</f>
        <v>22.14</v>
      </c>
      <c r="F1699">
        <f t="shared" si="209"/>
        <v>0.49000000000000199</v>
      </c>
      <c r="G1699">
        <f>_xlfn.XLOOKUP(A1699,'DGS10'!A:A,'DGS10'!B:B,"",-1)</f>
        <v>3.88</v>
      </c>
      <c r="H1699">
        <f t="shared" si="210"/>
        <v>4.0000000000000036E-2</v>
      </c>
      <c r="I1699" s="2">
        <f>_xlfn.XLOOKUP(A1699,T10Y3M!A:A,T10Y3M!B:B,"",-1)</f>
        <v>-0.57999999999999996</v>
      </c>
      <c r="J1699" s="2">
        <f>_xlfn.XLOOKUP(A1699,BAMLC0A4CBBB!A:A,BAMLC0A4CBBB!B:B,"",-1)</f>
        <v>1.73</v>
      </c>
      <c r="K1699" s="2">
        <f>_xlfn.XLOOKUP(A1699,CPIAUCSL!A:A,CPIAUCSL!B:B,"",-1)</f>
        <v>298.83199999999999</v>
      </c>
      <c r="L1699">
        <f>_xlfn.XLOOKUP(A1699,DFF!A:A,DFF!B:B,"",-1)</f>
        <v>4.33</v>
      </c>
      <c r="M1699">
        <f>_xlfn.XLOOKUP(A1699,'DGS2'!A:A,'DGS2'!B:B,"",-1)</f>
        <v>4.3099999999999996</v>
      </c>
      <c r="N1699">
        <f t="shared" si="211"/>
        <v>-1.0000000000000675E-2</v>
      </c>
      <c r="O1699">
        <f t="shared" si="212"/>
        <v>1.7461316021801565E-2</v>
      </c>
      <c r="P1699">
        <f t="shared" si="213"/>
        <v>1</v>
      </c>
      <c r="Q1699">
        <f t="shared" si="214"/>
        <v>1</v>
      </c>
    </row>
    <row r="1700" spans="1:17">
      <c r="A1700" s="1">
        <v>44924</v>
      </c>
      <c r="B1700">
        <v>3849.28</v>
      </c>
      <c r="C1700">
        <f t="shared" si="208"/>
        <v>1.7461316021801565E-2</v>
      </c>
      <c r="D1700">
        <f t="shared" si="215"/>
        <v>1.160002288793871E-3</v>
      </c>
      <c r="E1700">
        <f>_xlfn.XLOOKUP(A1700,VIX!A:A,VIX!B:B,"",-1)</f>
        <v>21.44</v>
      </c>
      <c r="F1700">
        <f t="shared" si="209"/>
        <v>-0.69999999999999929</v>
      </c>
      <c r="G1700">
        <f>_xlfn.XLOOKUP(A1700,'DGS10'!A:A,'DGS10'!B:B,"",-1)</f>
        <v>3.83</v>
      </c>
      <c r="H1700">
        <f t="shared" si="210"/>
        <v>-4.9999999999999822E-2</v>
      </c>
      <c r="I1700" s="2">
        <f>_xlfn.XLOOKUP(A1700,T10Y3M!A:A,T10Y3M!B:B,"",-1)</f>
        <v>-0.62</v>
      </c>
      <c r="J1700" s="2">
        <f>_xlfn.XLOOKUP(A1700,BAMLC0A4CBBB!A:A,BAMLC0A4CBBB!B:B,"",-1)</f>
        <v>1.71</v>
      </c>
      <c r="K1700" s="2">
        <f>_xlfn.XLOOKUP(A1700,CPIAUCSL!A:A,CPIAUCSL!B:B,"",-1)</f>
        <v>298.83199999999999</v>
      </c>
      <c r="L1700">
        <f>_xlfn.XLOOKUP(A1700,DFF!A:A,DFF!B:B,"",-1)</f>
        <v>4.33</v>
      </c>
      <c r="M1700">
        <f>_xlfn.XLOOKUP(A1700,'DGS2'!A:A,'DGS2'!B:B,"",-1)</f>
        <v>4.34</v>
      </c>
      <c r="N1700">
        <f t="shared" si="211"/>
        <v>3.0000000000000249E-2</v>
      </c>
      <c r="O1700">
        <f t="shared" si="212"/>
        <v>-2.5407348906808513E-3</v>
      </c>
      <c r="P1700">
        <f t="shared" si="213"/>
        <v>0</v>
      </c>
      <c r="Q1700">
        <f t="shared" si="214"/>
        <v>0</v>
      </c>
    </row>
    <row r="1701" spans="1:17">
      <c r="A1701" s="1">
        <v>44925</v>
      </c>
      <c r="B1701">
        <v>3839.5</v>
      </c>
      <c r="C1701">
        <f t="shared" si="208"/>
        <v>-2.5407348906808513E-3</v>
      </c>
      <c r="D1701">
        <f t="shared" si="215"/>
        <v>2.6767643794476381E-3</v>
      </c>
      <c r="E1701">
        <f>_xlfn.XLOOKUP(A1701,VIX!A:A,VIX!B:B,"",-1)</f>
        <v>21.67</v>
      </c>
      <c r="F1701">
        <f t="shared" si="209"/>
        <v>0.23000000000000043</v>
      </c>
      <c r="G1701">
        <f>_xlfn.XLOOKUP(A1701,'DGS10'!A:A,'DGS10'!B:B,"",-1)</f>
        <v>3.88</v>
      </c>
      <c r="H1701">
        <f t="shared" si="210"/>
        <v>4.9999999999999822E-2</v>
      </c>
      <c r="I1701" s="2">
        <f>_xlfn.XLOOKUP(A1701,T10Y3M!A:A,T10Y3M!B:B,"",-1)</f>
        <v>-0.54</v>
      </c>
      <c r="J1701" s="2">
        <f>_xlfn.XLOOKUP(A1701,BAMLC0A4CBBB!A:A,BAMLC0A4CBBB!B:B,"",-1)</f>
        <v>1.71</v>
      </c>
      <c r="K1701" s="2">
        <f>_xlfn.XLOOKUP(A1701,CPIAUCSL!A:A,CPIAUCSL!B:B,"",-1)</f>
        <v>298.83199999999999</v>
      </c>
      <c r="L1701">
        <f>_xlfn.XLOOKUP(A1701,DFF!A:A,DFF!B:B,"",-1)</f>
        <v>4.33</v>
      </c>
      <c r="M1701">
        <f>_xlfn.XLOOKUP(A1701,'DGS2'!A:A,'DGS2'!B:B,"",-1)</f>
        <v>4.41</v>
      </c>
      <c r="N1701">
        <f t="shared" si="211"/>
        <v>7.0000000000000284E-2</v>
      </c>
      <c r="O1701">
        <f t="shared" si="212"/>
        <v>-4.0005209011589882E-3</v>
      </c>
      <c r="P1701">
        <f t="shared" si="213"/>
        <v>0</v>
      </c>
      <c r="Q1701">
        <f t="shared" si="214"/>
        <v>-1</v>
      </c>
    </row>
    <row r="1702" spans="1:17">
      <c r="A1702" s="1">
        <v>44929</v>
      </c>
      <c r="B1702">
        <v>3824.14</v>
      </c>
      <c r="C1702">
        <f t="shared" si="208"/>
        <v>-4.0005209011589882E-3</v>
      </c>
      <c r="D1702">
        <f t="shared" si="215"/>
        <v>1.0816183039844329E-2</v>
      </c>
      <c r="E1702">
        <f>_xlfn.XLOOKUP(A1702,VIX!A:A,VIX!B:B,"",-1)</f>
        <v>22.9</v>
      </c>
      <c r="F1702">
        <f t="shared" si="209"/>
        <v>1.2299999999999969</v>
      </c>
      <c r="G1702">
        <f>_xlfn.XLOOKUP(A1702,'DGS10'!A:A,'DGS10'!B:B,"",-1)</f>
        <v>3.79</v>
      </c>
      <c r="H1702">
        <f t="shared" si="210"/>
        <v>-8.9999999999999858E-2</v>
      </c>
      <c r="I1702" s="2">
        <f>_xlfn.XLOOKUP(A1702,T10Y3M!A:A,T10Y3M!B:B,"",-1)</f>
        <v>-0.74</v>
      </c>
      <c r="J1702" s="2">
        <f>_xlfn.XLOOKUP(A1702,BAMLC0A4CBBB!A:A,BAMLC0A4CBBB!B:B,"",-1)</f>
        <v>1.73</v>
      </c>
      <c r="K1702" s="2">
        <f>_xlfn.XLOOKUP(A1702,CPIAUCSL!A:A,CPIAUCSL!B:B,"",-1)</f>
        <v>300.42</v>
      </c>
      <c r="L1702">
        <f>_xlfn.XLOOKUP(A1702,DFF!A:A,DFF!B:B,"",-1)</f>
        <v>4.33</v>
      </c>
      <c r="M1702">
        <f>_xlfn.XLOOKUP(A1702,'DGS2'!A:A,'DGS2'!B:B,"",-1)</f>
        <v>4.4000000000000004</v>
      </c>
      <c r="N1702">
        <f t="shared" si="211"/>
        <v>-9.9999999999997868E-3</v>
      </c>
      <c r="O1702">
        <f t="shared" si="212"/>
        <v>7.5389499338414101E-3</v>
      </c>
      <c r="P1702">
        <f t="shared" si="213"/>
        <v>1</v>
      </c>
      <c r="Q1702">
        <f t="shared" si="214"/>
        <v>1</v>
      </c>
    </row>
    <row r="1703" spans="1:17">
      <c r="A1703" s="1">
        <v>44930</v>
      </c>
      <c r="B1703">
        <v>3852.97</v>
      </c>
      <c r="C1703">
        <f t="shared" si="208"/>
        <v>7.5389499338414101E-3</v>
      </c>
      <c r="D1703">
        <f t="shared" si="215"/>
        <v>9.5862083298681178E-4</v>
      </c>
      <c r="E1703">
        <f>_xlfn.XLOOKUP(A1703,VIX!A:A,VIX!B:B,"",-1)</f>
        <v>22.01</v>
      </c>
      <c r="F1703">
        <f t="shared" si="209"/>
        <v>-0.88999999999999702</v>
      </c>
      <c r="G1703">
        <f>_xlfn.XLOOKUP(A1703,'DGS10'!A:A,'DGS10'!B:B,"",-1)</f>
        <v>3.69</v>
      </c>
      <c r="H1703">
        <f t="shared" si="210"/>
        <v>-0.10000000000000009</v>
      </c>
      <c r="I1703" s="2">
        <f>_xlfn.XLOOKUP(A1703,T10Y3M!A:A,T10Y3M!B:B,"",-1)</f>
        <v>-0.86</v>
      </c>
      <c r="J1703" s="2">
        <f>_xlfn.XLOOKUP(A1703,BAMLC0A4CBBB!A:A,BAMLC0A4CBBB!B:B,"",-1)</f>
        <v>1.73</v>
      </c>
      <c r="K1703" s="2">
        <f>_xlfn.XLOOKUP(A1703,CPIAUCSL!A:A,CPIAUCSL!B:B,"",-1)</f>
        <v>300.42</v>
      </c>
      <c r="L1703">
        <f>_xlfn.XLOOKUP(A1703,DFF!A:A,DFF!B:B,"",-1)</f>
        <v>4.33</v>
      </c>
      <c r="M1703">
        <f>_xlfn.XLOOKUP(A1703,'DGS2'!A:A,'DGS2'!B:B,"",-1)</f>
        <v>4.3600000000000003</v>
      </c>
      <c r="N1703">
        <f t="shared" si="211"/>
        <v>-4.0000000000000036E-2</v>
      </c>
      <c r="O1703">
        <f t="shared" si="212"/>
        <v>-1.164556173549236E-2</v>
      </c>
      <c r="P1703">
        <f t="shared" si="213"/>
        <v>0</v>
      </c>
      <c r="Q1703">
        <f t="shared" si="214"/>
        <v>-1</v>
      </c>
    </row>
    <row r="1704" spans="1:17">
      <c r="A1704" s="1">
        <v>44931</v>
      </c>
      <c r="B1704">
        <v>3808.1</v>
      </c>
      <c r="C1704">
        <f t="shared" si="208"/>
        <v>-1.164556173549236E-2</v>
      </c>
      <c r="D1704">
        <f t="shared" si="215"/>
        <v>-8.178148196379742E-3</v>
      </c>
      <c r="E1704">
        <f>_xlfn.XLOOKUP(A1704,VIX!A:A,VIX!B:B,"",-1)</f>
        <v>22.46</v>
      </c>
      <c r="F1704">
        <f t="shared" si="209"/>
        <v>0.44999999999999929</v>
      </c>
      <c r="G1704">
        <f>_xlfn.XLOOKUP(A1704,'DGS10'!A:A,'DGS10'!B:B,"",-1)</f>
        <v>3.71</v>
      </c>
      <c r="H1704">
        <f t="shared" si="210"/>
        <v>2.0000000000000018E-2</v>
      </c>
      <c r="I1704" s="2">
        <f>_xlfn.XLOOKUP(A1704,T10Y3M!A:A,T10Y3M!B:B,"",-1)</f>
        <v>-0.95</v>
      </c>
      <c r="J1704" s="2">
        <f>_xlfn.XLOOKUP(A1704,BAMLC0A4CBBB!A:A,BAMLC0A4CBBB!B:B,"",-1)</f>
        <v>1.73</v>
      </c>
      <c r="K1704" s="2">
        <f>_xlfn.XLOOKUP(A1704,CPIAUCSL!A:A,CPIAUCSL!B:B,"",-1)</f>
        <v>300.42</v>
      </c>
      <c r="L1704">
        <f>_xlfn.XLOOKUP(A1704,DFF!A:A,DFF!B:B,"",-1)</f>
        <v>4.33</v>
      </c>
      <c r="M1704">
        <f>_xlfn.XLOOKUP(A1704,'DGS2'!A:A,'DGS2'!B:B,"",-1)</f>
        <v>4.45</v>
      </c>
      <c r="N1704">
        <f t="shared" si="211"/>
        <v>8.9999999999999858E-2</v>
      </c>
      <c r="O1704">
        <f t="shared" si="212"/>
        <v>2.284078674404566E-2</v>
      </c>
      <c r="P1704">
        <f t="shared" si="213"/>
        <v>1</v>
      </c>
      <c r="Q1704">
        <f t="shared" si="214"/>
        <v>1</v>
      </c>
    </row>
    <row r="1705" spans="1:17">
      <c r="A1705" s="1">
        <v>44932</v>
      </c>
      <c r="B1705">
        <v>3895.08</v>
      </c>
      <c r="C1705">
        <f t="shared" si="208"/>
        <v>2.284078674404566E-2</v>
      </c>
      <c r="D1705">
        <f t="shared" si="215"/>
        <v>1.8550576077235759E-2</v>
      </c>
      <c r="E1705">
        <f>_xlfn.XLOOKUP(A1705,VIX!A:A,VIX!B:B,"",-1)</f>
        <v>21.13</v>
      </c>
      <c r="F1705">
        <f t="shared" si="209"/>
        <v>-1.3300000000000018</v>
      </c>
      <c r="G1705">
        <f>_xlfn.XLOOKUP(A1705,'DGS10'!A:A,'DGS10'!B:B,"",-1)</f>
        <v>3.55</v>
      </c>
      <c r="H1705">
        <f t="shared" si="210"/>
        <v>-0.16000000000000014</v>
      </c>
      <c r="I1705" s="2">
        <f>_xlfn.XLOOKUP(A1705,T10Y3M!A:A,T10Y3M!B:B,"",-1)</f>
        <v>-1.1200000000000001</v>
      </c>
      <c r="J1705" s="2">
        <f>_xlfn.XLOOKUP(A1705,BAMLC0A4CBBB!A:A,BAMLC0A4CBBB!B:B,"",-1)</f>
        <v>1.73</v>
      </c>
      <c r="K1705" s="2">
        <f>_xlfn.XLOOKUP(A1705,CPIAUCSL!A:A,CPIAUCSL!B:B,"",-1)</f>
        <v>300.42</v>
      </c>
      <c r="L1705">
        <f>_xlfn.XLOOKUP(A1705,DFF!A:A,DFF!B:B,"",-1)</f>
        <v>4.33</v>
      </c>
      <c r="M1705">
        <f>_xlfn.XLOOKUP(A1705,'DGS2'!A:A,'DGS2'!B:B,"",-1)</f>
        <v>4.24</v>
      </c>
      <c r="N1705">
        <f t="shared" si="211"/>
        <v>-0.20999999999999996</v>
      </c>
      <c r="O1705">
        <f t="shared" si="212"/>
        <v>-7.6763506782906443E-4</v>
      </c>
      <c r="P1705">
        <f t="shared" si="213"/>
        <v>0</v>
      </c>
      <c r="Q1705">
        <f t="shared" si="214"/>
        <v>0</v>
      </c>
    </row>
    <row r="1706" spans="1:17">
      <c r="A1706" s="1">
        <v>44935</v>
      </c>
      <c r="B1706">
        <v>3892.09</v>
      </c>
      <c r="C1706">
        <f t="shared" si="208"/>
        <v>-7.6763506782906443E-4</v>
      </c>
      <c r="D1706">
        <f t="shared" si="215"/>
        <v>1.0153206487462985E-2</v>
      </c>
      <c r="E1706">
        <f>_xlfn.XLOOKUP(A1706,VIX!A:A,VIX!B:B,"",-1)</f>
        <v>21.97</v>
      </c>
      <c r="F1706">
        <f t="shared" si="209"/>
        <v>0.83999999999999986</v>
      </c>
      <c r="G1706">
        <f>_xlfn.XLOOKUP(A1706,'DGS10'!A:A,'DGS10'!B:B,"",-1)</f>
        <v>3.53</v>
      </c>
      <c r="H1706">
        <f t="shared" si="210"/>
        <v>-2.0000000000000018E-2</v>
      </c>
      <c r="I1706" s="2">
        <f>_xlfn.XLOOKUP(A1706,T10Y3M!A:A,T10Y3M!B:B,"",-1)</f>
        <v>-1.17</v>
      </c>
      <c r="J1706" s="2">
        <f>_xlfn.XLOOKUP(A1706,BAMLC0A4CBBB!A:A,BAMLC0A4CBBB!B:B,"",-1)</f>
        <v>1.7</v>
      </c>
      <c r="K1706" s="2">
        <f>_xlfn.XLOOKUP(A1706,CPIAUCSL!A:A,CPIAUCSL!B:B,"",-1)</f>
        <v>300.42</v>
      </c>
      <c r="L1706">
        <f>_xlfn.XLOOKUP(A1706,DFF!A:A,DFF!B:B,"",-1)</f>
        <v>4.33</v>
      </c>
      <c r="M1706">
        <f>_xlfn.XLOOKUP(A1706,'DGS2'!A:A,'DGS2'!B:B,"",-1)</f>
        <v>4.1900000000000004</v>
      </c>
      <c r="N1706">
        <f t="shared" si="211"/>
        <v>-4.9999999999999822E-2</v>
      </c>
      <c r="O1706">
        <f t="shared" si="212"/>
        <v>6.9782558985018728E-3</v>
      </c>
      <c r="P1706">
        <f t="shared" si="213"/>
        <v>1</v>
      </c>
      <c r="Q1706">
        <f t="shared" si="214"/>
        <v>1</v>
      </c>
    </row>
    <row r="1707" spans="1:17">
      <c r="A1707" s="1">
        <v>44936</v>
      </c>
      <c r="B1707">
        <v>3919.25</v>
      </c>
      <c r="C1707">
        <f t="shared" si="208"/>
        <v>6.9782558985018728E-3</v>
      </c>
      <c r="D1707">
        <f t="shared" si="215"/>
        <v>2.918778393424537E-2</v>
      </c>
      <c r="E1707">
        <f>_xlfn.XLOOKUP(A1707,VIX!A:A,VIX!B:B,"",-1)</f>
        <v>20.58</v>
      </c>
      <c r="F1707">
        <f t="shared" si="209"/>
        <v>-1.3900000000000006</v>
      </c>
      <c r="G1707">
        <f>_xlfn.XLOOKUP(A1707,'DGS10'!A:A,'DGS10'!B:B,"",-1)</f>
        <v>3.61</v>
      </c>
      <c r="H1707">
        <f t="shared" si="210"/>
        <v>8.0000000000000071E-2</v>
      </c>
      <c r="I1707" s="2">
        <f>_xlfn.XLOOKUP(A1707,T10Y3M!A:A,T10Y3M!B:B,"",-1)</f>
        <v>-1.1200000000000001</v>
      </c>
      <c r="J1707" s="2">
        <f>_xlfn.XLOOKUP(A1707,BAMLC0A4CBBB!A:A,BAMLC0A4CBBB!B:B,"",-1)</f>
        <v>1.67</v>
      </c>
      <c r="K1707" s="2">
        <f>_xlfn.XLOOKUP(A1707,CPIAUCSL!A:A,CPIAUCSL!B:B,"",-1)</f>
        <v>300.42</v>
      </c>
      <c r="L1707">
        <f>_xlfn.XLOOKUP(A1707,DFF!A:A,DFF!B:B,"",-1)</f>
        <v>4.33</v>
      </c>
      <c r="M1707">
        <f>_xlfn.XLOOKUP(A1707,'DGS2'!A:A,'DGS2'!B:B,"",-1)</f>
        <v>4.24</v>
      </c>
      <c r="N1707">
        <f t="shared" si="211"/>
        <v>4.9999999999999822E-2</v>
      </c>
      <c r="O1707">
        <f t="shared" si="212"/>
        <v>1.2849397206098123E-2</v>
      </c>
      <c r="P1707">
        <f t="shared" si="213"/>
        <v>1</v>
      </c>
      <c r="Q1707">
        <f t="shared" si="214"/>
        <v>1</v>
      </c>
    </row>
    <row r="1708" spans="1:17">
      <c r="A1708" s="1">
        <v>44937</v>
      </c>
      <c r="B1708">
        <v>3969.61</v>
      </c>
      <c r="C1708">
        <f t="shared" si="208"/>
        <v>1.2849397206098123E-2</v>
      </c>
      <c r="D1708">
        <f t="shared" si="215"/>
        <v>1.9134395185721464E-2</v>
      </c>
      <c r="E1708">
        <f>_xlfn.XLOOKUP(A1708,VIX!A:A,VIX!B:B,"",-1)</f>
        <v>21.09</v>
      </c>
      <c r="F1708">
        <f t="shared" si="209"/>
        <v>0.51000000000000156</v>
      </c>
      <c r="G1708">
        <f>_xlfn.XLOOKUP(A1708,'DGS10'!A:A,'DGS10'!B:B,"",-1)</f>
        <v>3.54</v>
      </c>
      <c r="H1708">
        <f t="shared" si="210"/>
        <v>-6.999999999999984E-2</v>
      </c>
      <c r="I1708" s="2">
        <f>_xlfn.XLOOKUP(A1708,T10Y3M!A:A,T10Y3M!B:B,"",-1)</f>
        <v>-1.18</v>
      </c>
      <c r="J1708" s="2">
        <f>_xlfn.XLOOKUP(A1708,BAMLC0A4CBBB!A:A,BAMLC0A4CBBB!B:B,"",-1)</f>
        <v>1.65</v>
      </c>
      <c r="K1708" s="2">
        <f>_xlfn.XLOOKUP(A1708,CPIAUCSL!A:A,CPIAUCSL!B:B,"",-1)</f>
        <v>300.42</v>
      </c>
      <c r="L1708">
        <f>_xlfn.XLOOKUP(A1708,DFF!A:A,DFF!B:B,"",-1)</f>
        <v>4.33</v>
      </c>
      <c r="M1708">
        <f>_xlfn.XLOOKUP(A1708,'DGS2'!A:A,'DGS2'!B:B,"",-1)</f>
        <v>4.2</v>
      </c>
      <c r="N1708">
        <f t="shared" si="211"/>
        <v>-4.0000000000000036E-2</v>
      </c>
      <c r="O1708">
        <f t="shared" si="212"/>
        <v>3.41595270064321E-3</v>
      </c>
      <c r="P1708">
        <f t="shared" si="213"/>
        <v>1</v>
      </c>
      <c r="Q1708">
        <f t="shared" si="214"/>
        <v>1</v>
      </c>
    </row>
    <row r="1709" spans="1:17">
      <c r="A1709" s="1">
        <v>44938</v>
      </c>
      <c r="B1709">
        <v>3983.17</v>
      </c>
      <c r="C1709">
        <f t="shared" si="208"/>
        <v>3.41595270064321E-3</v>
      </c>
      <c r="D1709">
        <f t="shared" si="215"/>
        <v>2.3401308808377985E-2</v>
      </c>
      <c r="E1709">
        <f>_xlfn.XLOOKUP(A1709,VIX!A:A,VIX!B:B,"",-1)</f>
        <v>18.829999999999998</v>
      </c>
      <c r="F1709">
        <f t="shared" si="209"/>
        <v>-2.2600000000000016</v>
      </c>
      <c r="G1709">
        <f>_xlfn.XLOOKUP(A1709,'DGS10'!A:A,'DGS10'!B:B,"",-1)</f>
        <v>3.43</v>
      </c>
      <c r="H1709">
        <f t="shared" si="210"/>
        <v>-0.10999999999999988</v>
      </c>
      <c r="I1709" s="2">
        <f>_xlfn.XLOOKUP(A1709,T10Y3M!A:A,T10Y3M!B:B,"",-1)</f>
        <v>-1.23</v>
      </c>
      <c r="J1709" s="2">
        <f>_xlfn.XLOOKUP(A1709,BAMLC0A4CBBB!A:A,BAMLC0A4CBBB!B:B,"",-1)</f>
        <v>1.64</v>
      </c>
      <c r="K1709" s="2">
        <f>_xlfn.XLOOKUP(A1709,CPIAUCSL!A:A,CPIAUCSL!B:B,"",-1)</f>
        <v>300.42</v>
      </c>
      <c r="L1709">
        <f>_xlfn.XLOOKUP(A1709,DFF!A:A,DFF!B:B,"",-1)</f>
        <v>4.33</v>
      </c>
      <c r="M1709">
        <f>_xlfn.XLOOKUP(A1709,'DGS2'!A:A,'DGS2'!B:B,"",-1)</f>
        <v>4.12</v>
      </c>
      <c r="N1709">
        <f t="shared" si="211"/>
        <v>-8.0000000000000071E-2</v>
      </c>
      <c r="O1709">
        <f t="shared" si="212"/>
        <v>3.9968166058692578E-3</v>
      </c>
      <c r="P1709">
        <f t="shared" si="213"/>
        <v>1</v>
      </c>
      <c r="Q1709">
        <f t="shared" si="214"/>
        <v>1</v>
      </c>
    </row>
    <row r="1710" spans="1:17">
      <c r="A1710" s="1">
        <v>44939</v>
      </c>
      <c r="B1710">
        <v>3999.09</v>
      </c>
      <c r="C1710">
        <f t="shared" si="208"/>
        <v>3.9968166058692578E-3</v>
      </c>
      <c r="D1710">
        <f t="shared" si="215"/>
        <v>2.0371244498309737E-2</v>
      </c>
      <c r="E1710">
        <f>_xlfn.XLOOKUP(A1710,VIX!A:A,VIX!B:B,"",-1)</f>
        <v>18.350000000000001</v>
      </c>
      <c r="F1710">
        <f t="shared" si="209"/>
        <v>-0.47999999999999687</v>
      </c>
      <c r="G1710">
        <f>_xlfn.XLOOKUP(A1710,'DGS10'!A:A,'DGS10'!B:B,"",-1)</f>
        <v>3.49</v>
      </c>
      <c r="H1710">
        <f t="shared" si="210"/>
        <v>6.0000000000000053E-2</v>
      </c>
      <c r="I1710" s="2">
        <f>_xlfn.XLOOKUP(A1710,T10Y3M!A:A,T10Y3M!B:B,"",-1)</f>
        <v>-1.18</v>
      </c>
      <c r="J1710" s="2">
        <f>_xlfn.XLOOKUP(A1710,BAMLC0A4CBBB!A:A,BAMLC0A4CBBB!B:B,"",-1)</f>
        <v>1.63</v>
      </c>
      <c r="K1710" s="2">
        <f>_xlfn.XLOOKUP(A1710,CPIAUCSL!A:A,CPIAUCSL!B:B,"",-1)</f>
        <v>300.42</v>
      </c>
      <c r="L1710">
        <f>_xlfn.XLOOKUP(A1710,DFF!A:A,DFF!B:B,"",-1)</f>
        <v>4.33</v>
      </c>
      <c r="M1710">
        <f>_xlfn.XLOOKUP(A1710,'DGS2'!A:A,'DGS2'!B:B,"",-1)</f>
        <v>4.22</v>
      </c>
      <c r="N1710">
        <f t="shared" si="211"/>
        <v>9.9999999999999645E-2</v>
      </c>
      <c r="O1710">
        <f t="shared" si="212"/>
        <v>-2.0304619300891558E-3</v>
      </c>
      <c r="P1710">
        <f t="shared" si="213"/>
        <v>0</v>
      </c>
      <c r="Q1710">
        <f t="shared" si="214"/>
        <v>0</v>
      </c>
    </row>
    <row r="1711" spans="1:17">
      <c r="A1711" s="1">
        <v>44943</v>
      </c>
      <c r="B1711">
        <v>3990.97</v>
      </c>
      <c r="C1711">
        <f t="shared" si="208"/>
        <v>-2.0304619300891558E-3</v>
      </c>
      <c r="D1711">
        <f t="shared" si="215"/>
        <v>5.3808812452607047E-3</v>
      </c>
      <c r="E1711">
        <f>_xlfn.XLOOKUP(A1711,VIX!A:A,VIX!B:B,"",-1)</f>
        <v>19.36</v>
      </c>
      <c r="F1711">
        <f t="shared" si="209"/>
        <v>1.009999999999998</v>
      </c>
      <c r="G1711">
        <f>_xlfn.XLOOKUP(A1711,'DGS10'!A:A,'DGS10'!B:B,"",-1)</f>
        <v>3.53</v>
      </c>
      <c r="H1711">
        <f t="shared" si="210"/>
        <v>3.9999999999999591E-2</v>
      </c>
      <c r="I1711" s="2">
        <f>_xlfn.XLOOKUP(A1711,T10Y3M!A:A,T10Y3M!B:B,"",-1)</f>
        <v>-1.18</v>
      </c>
      <c r="J1711" s="2">
        <f>_xlfn.XLOOKUP(A1711,BAMLC0A4CBBB!A:A,BAMLC0A4CBBB!B:B,"",-1)</f>
        <v>1.6</v>
      </c>
      <c r="K1711" s="2">
        <f>_xlfn.XLOOKUP(A1711,CPIAUCSL!A:A,CPIAUCSL!B:B,"",-1)</f>
        <v>300.42</v>
      </c>
      <c r="L1711">
        <f>_xlfn.XLOOKUP(A1711,DFF!A:A,DFF!B:B,"",-1)</f>
        <v>4.33</v>
      </c>
      <c r="M1711">
        <f>_xlfn.XLOOKUP(A1711,'DGS2'!A:A,'DGS2'!B:B,"",-1)</f>
        <v>4.18</v>
      </c>
      <c r="N1711">
        <f t="shared" si="211"/>
        <v>-4.0000000000000036E-2</v>
      </c>
      <c r="O1711">
        <f t="shared" si="212"/>
        <v>-1.5562632643191909E-2</v>
      </c>
      <c r="P1711">
        <f t="shared" si="213"/>
        <v>0</v>
      </c>
      <c r="Q1711">
        <f t="shared" si="214"/>
        <v>-1</v>
      </c>
    </row>
    <row r="1712" spans="1:17">
      <c r="A1712" s="1">
        <v>44944</v>
      </c>
      <c r="B1712">
        <v>3928.86</v>
      </c>
      <c r="C1712">
        <f t="shared" si="208"/>
        <v>-1.5562632643191909E-2</v>
      </c>
      <c r="D1712">
        <f t="shared" si="215"/>
        <v>-1.363486871009767E-2</v>
      </c>
      <c r="E1712">
        <f>_xlfn.XLOOKUP(A1712,VIX!A:A,VIX!B:B,"",-1)</f>
        <v>20.34</v>
      </c>
      <c r="F1712">
        <f t="shared" si="209"/>
        <v>0.98000000000000043</v>
      </c>
      <c r="G1712">
        <f>_xlfn.XLOOKUP(A1712,'DGS10'!A:A,'DGS10'!B:B,"",-1)</f>
        <v>3.37</v>
      </c>
      <c r="H1712">
        <f t="shared" si="210"/>
        <v>-0.1599999999999997</v>
      </c>
      <c r="I1712" s="2">
        <f>_xlfn.XLOOKUP(A1712,T10Y3M!A:A,T10Y3M!B:B,"",-1)</f>
        <v>-1.32</v>
      </c>
      <c r="J1712" s="2">
        <f>_xlfn.XLOOKUP(A1712,BAMLC0A4CBBB!A:A,BAMLC0A4CBBB!B:B,"",-1)</f>
        <v>1.6</v>
      </c>
      <c r="K1712" s="2">
        <f>_xlfn.XLOOKUP(A1712,CPIAUCSL!A:A,CPIAUCSL!B:B,"",-1)</f>
        <v>300.42</v>
      </c>
      <c r="L1712">
        <f>_xlfn.XLOOKUP(A1712,DFF!A:A,DFF!B:B,"",-1)</f>
        <v>4.33</v>
      </c>
      <c r="M1712">
        <f>_xlfn.XLOOKUP(A1712,'DGS2'!A:A,'DGS2'!B:B,"",-1)</f>
        <v>4.0599999999999996</v>
      </c>
      <c r="N1712">
        <f t="shared" si="211"/>
        <v>-0.12000000000000011</v>
      </c>
      <c r="O1712">
        <f t="shared" si="212"/>
        <v>-7.6383480195273412E-3</v>
      </c>
      <c r="P1712">
        <f t="shared" si="213"/>
        <v>0</v>
      </c>
      <c r="Q1712">
        <f t="shared" si="214"/>
        <v>-1</v>
      </c>
    </row>
    <row r="1713" spans="1:17">
      <c r="A1713" s="1">
        <v>44945</v>
      </c>
      <c r="B1713">
        <v>3898.85</v>
      </c>
      <c r="C1713">
        <f t="shared" si="208"/>
        <v>-7.6383480195273412E-3</v>
      </c>
      <c r="D1713">
        <f t="shared" si="215"/>
        <v>-2.506570244730677E-2</v>
      </c>
      <c r="E1713">
        <f>_xlfn.XLOOKUP(A1713,VIX!A:A,VIX!B:B,"",-1)</f>
        <v>20.52</v>
      </c>
      <c r="F1713">
        <f t="shared" si="209"/>
        <v>0.17999999999999972</v>
      </c>
      <c r="G1713">
        <f>_xlfn.XLOOKUP(A1713,'DGS10'!A:A,'DGS10'!B:B,"",-1)</f>
        <v>3.39</v>
      </c>
      <c r="H1713">
        <f t="shared" si="210"/>
        <v>2.0000000000000018E-2</v>
      </c>
      <c r="I1713" s="2">
        <f>_xlfn.XLOOKUP(A1713,T10Y3M!A:A,T10Y3M!B:B,"",-1)</f>
        <v>-1.32</v>
      </c>
      <c r="J1713" s="2">
        <f>_xlfn.XLOOKUP(A1713,BAMLC0A4CBBB!A:A,BAMLC0A4CBBB!B:B,"",-1)</f>
        <v>1.61</v>
      </c>
      <c r="K1713" s="2">
        <f>_xlfn.XLOOKUP(A1713,CPIAUCSL!A:A,CPIAUCSL!B:B,"",-1)</f>
        <v>300.42</v>
      </c>
      <c r="L1713">
        <f>_xlfn.XLOOKUP(A1713,DFF!A:A,DFF!B:B,"",-1)</f>
        <v>4.33</v>
      </c>
      <c r="M1713">
        <f>_xlfn.XLOOKUP(A1713,'DGS2'!A:A,'DGS2'!B:B,"",-1)</f>
        <v>4.09</v>
      </c>
      <c r="N1713">
        <f t="shared" si="211"/>
        <v>3.0000000000000249E-2</v>
      </c>
      <c r="O1713">
        <f t="shared" si="212"/>
        <v>1.8918399015094289E-2</v>
      </c>
      <c r="P1713">
        <f t="shared" si="213"/>
        <v>1</v>
      </c>
      <c r="Q1713">
        <f t="shared" si="214"/>
        <v>1</v>
      </c>
    </row>
    <row r="1714" spans="1:17">
      <c r="A1714" s="1">
        <v>44946</v>
      </c>
      <c r="B1714">
        <v>3972.61</v>
      </c>
      <c r="C1714">
        <f t="shared" si="208"/>
        <v>1.8918399015094289E-2</v>
      </c>
      <c r="D1714">
        <f t="shared" si="215"/>
        <v>-4.6003853699726482E-3</v>
      </c>
      <c r="E1714">
        <f>_xlfn.XLOOKUP(A1714,VIX!A:A,VIX!B:B,"",-1)</f>
        <v>19.850000000000001</v>
      </c>
      <c r="F1714">
        <f t="shared" si="209"/>
        <v>-0.66999999999999815</v>
      </c>
      <c r="G1714">
        <f>_xlfn.XLOOKUP(A1714,'DGS10'!A:A,'DGS10'!B:B,"",-1)</f>
        <v>3.48</v>
      </c>
      <c r="H1714">
        <f t="shared" si="210"/>
        <v>8.9999999999999858E-2</v>
      </c>
      <c r="I1714" s="2">
        <f>_xlfn.XLOOKUP(A1714,T10Y3M!A:A,T10Y3M!B:B,"",-1)</f>
        <v>-1.24</v>
      </c>
      <c r="J1714" s="2">
        <f>_xlfn.XLOOKUP(A1714,BAMLC0A4CBBB!A:A,BAMLC0A4CBBB!B:B,"",-1)</f>
        <v>1.6</v>
      </c>
      <c r="K1714" s="2">
        <f>_xlfn.XLOOKUP(A1714,CPIAUCSL!A:A,CPIAUCSL!B:B,"",-1)</f>
        <v>300.42</v>
      </c>
      <c r="L1714">
        <f>_xlfn.XLOOKUP(A1714,DFF!A:A,DFF!B:B,"",-1)</f>
        <v>4.33</v>
      </c>
      <c r="M1714">
        <f>_xlfn.XLOOKUP(A1714,'DGS2'!A:A,'DGS2'!B:B,"",-1)</f>
        <v>4.1399999999999997</v>
      </c>
      <c r="N1714">
        <f t="shared" si="211"/>
        <v>4.9999999999999822E-2</v>
      </c>
      <c r="O1714">
        <f t="shared" si="212"/>
        <v>1.1881357596139619E-2</v>
      </c>
      <c r="P1714">
        <f t="shared" si="213"/>
        <v>1</v>
      </c>
      <c r="Q1714">
        <f t="shared" si="214"/>
        <v>1</v>
      </c>
    </row>
    <row r="1715" spans="1:17">
      <c r="A1715" s="1">
        <v>44949</v>
      </c>
      <c r="B1715">
        <v>4019.81</v>
      </c>
      <c r="C1715">
        <f t="shared" si="208"/>
        <v>1.1881357596139619E-2</v>
      </c>
      <c r="D1715">
        <f t="shared" si="215"/>
        <v>2.3149208676308097E-2</v>
      </c>
      <c r="E1715">
        <f>_xlfn.XLOOKUP(A1715,VIX!A:A,VIX!B:B,"",-1)</f>
        <v>19.809999999999999</v>
      </c>
      <c r="F1715">
        <f t="shared" si="209"/>
        <v>-4.00000000000027E-2</v>
      </c>
      <c r="G1715">
        <f>_xlfn.XLOOKUP(A1715,'DGS10'!A:A,'DGS10'!B:B,"",-1)</f>
        <v>3.52</v>
      </c>
      <c r="H1715">
        <f t="shared" si="210"/>
        <v>4.0000000000000036E-2</v>
      </c>
      <c r="I1715" s="2">
        <f>_xlfn.XLOOKUP(A1715,T10Y3M!A:A,T10Y3M!B:B,"",-1)</f>
        <v>-1.21</v>
      </c>
      <c r="J1715" s="2">
        <f>_xlfn.XLOOKUP(A1715,BAMLC0A4CBBB!A:A,BAMLC0A4CBBB!B:B,"",-1)</f>
        <v>1.59</v>
      </c>
      <c r="K1715" s="2">
        <f>_xlfn.XLOOKUP(A1715,CPIAUCSL!A:A,CPIAUCSL!B:B,"",-1)</f>
        <v>300.42</v>
      </c>
      <c r="L1715">
        <f>_xlfn.XLOOKUP(A1715,DFF!A:A,DFF!B:B,"",-1)</f>
        <v>4.33</v>
      </c>
      <c r="M1715">
        <f>_xlfn.XLOOKUP(A1715,'DGS2'!A:A,'DGS2'!B:B,"",-1)</f>
        <v>4.21</v>
      </c>
      <c r="N1715">
        <f t="shared" si="211"/>
        <v>7.0000000000000284E-2</v>
      </c>
      <c r="O1715">
        <f t="shared" si="212"/>
        <v>-7.1147641306434917E-4</v>
      </c>
      <c r="P1715">
        <f t="shared" si="213"/>
        <v>0</v>
      </c>
      <c r="Q1715">
        <f t="shared" si="214"/>
        <v>0</v>
      </c>
    </row>
    <row r="1716" spans="1:17">
      <c r="A1716" s="1">
        <v>44950</v>
      </c>
      <c r="B1716">
        <v>4016.95</v>
      </c>
      <c r="C1716">
        <f t="shared" si="208"/>
        <v>-7.1147641306434917E-4</v>
      </c>
      <c r="D1716">
        <f t="shared" si="215"/>
        <v>3.0290983238647318E-2</v>
      </c>
      <c r="E1716">
        <f>_xlfn.XLOOKUP(A1716,VIX!A:A,VIX!B:B,"",-1)</f>
        <v>19.2</v>
      </c>
      <c r="F1716">
        <f t="shared" si="209"/>
        <v>-0.60999999999999943</v>
      </c>
      <c r="G1716">
        <f>_xlfn.XLOOKUP(A1716,'DGS10'!A:A,'DGS10'!B:B,"",-1)</f>
        <v>3.46</v>
      </c>
      <c r="H1716">
        <f t="shared" si="210"/>
        <v>-6.0000000000000053E-2</v>
      </c>
      <c r="I1716" s="2">
        <f>_xlfn.XLOOKUP(A1716,T10Y3M!A:A,T10Y3M!B:B,"",-1)</f>
        <v>-1.26</v>
      </c>
      <c r="J1716" s="2">
        <f>_xlfn.XLOOKUP(A1716,BAMLC0A4CBBB!A:A,BAMLC0A4CBBB!B:B,"",-1)</f>
        <v>1.59</v>
      </c>
      <c r="K1716" s="2">
        <f>_xlfn.XLOOKUP(A1716,CPIAUCSL!A:A,CPIAUCSL!B:B,"",-1)</f>
        <v>300.42</v>
      </c>
      <c r="L1716">
        <f>_xlfn.XLOOKUP(A1716,DFF!A:A,DFF!B:B,"",-1)</f>
        <v>4.33</v>
      </c>
      <c r="M1716">
        <f>_xlfn.XLOOKUP(A1716,'DGS2'!A:A,'DGS2'!B:B,"",-1)</f>
        <v>4.12</v>
      </c>
      <c r="N1716">
        <f t="shared" si="211"/>
        <v>-8.9999999999999858E-2</v>
      </c>
      <c r="O1716">
        <f t="shared" si="212"/>
        <v>-1.8172991946630024E-4</v>
      </c>
      <c r="P1716">
        <f t="shared" si="213"/>
        <v>0</v>
      </c>
      <c r="Q1716">
        <f t="shared" si="214"/>
        <v>0</v>
      </c>
    </row>
    <row r="1717" spans="1:17">
      <c r="A1717" s="1">
        <v>44951</v>
      </c>
      <c r="B1717">
        <v>4016.22</v>
      </c>
      <c r="C1717">
        <f t="shared" si="208"/>
        <v>-1.8172991946630024E-4</v>
      </c>
      <c r="D1717">
        <f t="shared" si="215"/>
        <v>1.0977669592534767E-2</v>
      </c>
      <c r="E1717">
        <f>_xlfn.XLOOKUP(A1717,VIX!A:A,VIX!B:B,"",-1)</f>
        <v>19.079999999999998</v>
      </c>
      <c r="F1717">
        <f t="shared" si="209"/>
        <v>-0.12000000000000099</v>
      </c>
      <c r="G1717">
        <f>_xlfn.XLOOKUP(A1717,'DGS10'!A:A,'DGS10'!B:B,"",-1)</f>
        <v>3.46</v>
      </c>
      <c r="H1717">
        <f t="shared" si="210"/>
        <v>0</v>
      </c>
      <c r="I1717" s="2">
        <f>_xlfn.XLOOKUP(A1717,T10Y3M!A:A,T10Y3M!B:B,"",-1)</f>
        <v>-1.26</v>
      </c>
      <c r="J1717" s="2">
        <f>_xlfn.XLOOKUP(A1717,BAMLC0A4CBBB!A:A,BAMLC0A4CBBB!B:B,"",-1)</f>
        <v>1.59</v>
      </c>
      <c r="K1717" s="2">
        <f>_xlfn.XLOOKUP(A1717,CPIAUCSL!A:A,CPIAUCSL!B:B,"",-1)</f>
        <v>300.42</v>
      </c>
      <c r="L1717">
        <f>_xlfn.XLOOKUP(A1717,DFF!A:A,DFF!B:B,"",-1)</f>
        <v>4.33</v>
      </c>
      <c r="M1717">
        <f>_xlfn.XLOOKUP(A1717,'DGS2'!A:A,'DGS2'!B:B,"",-1)</f>
        <v>4.1100000000000003</v>
      </c>
      <c r="N1717">
        <f t="shared" si="211"/>
        <v>-9.9999999999997868E-3</v>
      </c>
      <c r="O1717">
        <f t="shared" si="212"/>
        <v>1.1007863115068517E-2</v>
      </c>
      <c r="P1717">
        <f t="shared" si="213"/>
        <v>1</v>
      </c>
      <c r="Q1717">
        <f t="shared" si="214"/>
        <v>1</v>
      </c>
    </row>
    <row r="1718" spans="1:17">
      <c r="A1718" s="1">
        <v>44952</v>
      </c>
      <c r="B1718">
        <v>4060.43</v>
      </c>
      <c r="C1718">
        <f t="shared" si="208"/>
        <v>1.1007863115068517E-2</v>
      </c>
      <c r="D1718">
        <f t="shared" si="215"/>
        <v>1.010495520932575E-2</v>
      </c>
      <c r="E1718">
        <f>_xlfn.XLOOKUP(A1718,VIX!A:A,VIX!B:B,"",-1)</f>
        <v>18.73</v>
      </c>
      <c r="F1718">
        <f t="shared" si="209"/>
        <v>-0.34999999999999787</v>
      </c>
      <c r="G1718">
        <f>_xlfn.XLOOKUP(A1718,'DGS10'!A:A,'DGS10'!B:B,"",-1)</f>
        <v>3.49</v>
      </c>
      <c r="H1718">
        <f t="shared" si="210"/>
        <v>3.0000000000000249E-2</v>
      </c>
      <c r="I1718" s="2">
        <f>_xlfn.XLOOKUP(A1718,T10Y3M!A:A,T10Y3M!B:B,"",-1)</f>
        <v>-1.22</v>
      </c>
      <c r="J1718" s="2">
        <f>_xlfn.XLOOKUP(A1718,BAMLC0A4CBBB!A:A,BAMLC0A4CBBB!B:B,"",-1)</f>
        <v>1.56</v>
      </c>
      <c r="K1718" s="2">
        <f>_xlfn.XLOOKUP(A1718,CPIAUCSL!A:A,CPIAUCSL!B:B,"",-1)</f>
        <v>300.42</v>
      </c>
      <c r="L1718">
        <f>_xlfn.XLOOKUP(A1718,DFF!A:A,DFF!B:B,"",-1)</f>
        <v>4.33</v>
      </c>
      <c r="M1718">
        <f>_xlfn.XLOOKUP(A1718,'DGS2'!A:A,'DGS2'!B:B,"",-1)</f>
        <v>4.17</v>
      </c>
      <c r="N1718">
        <f t="shared" si="211"/>
        <v>5.9999999999999609E-2</v>
      </c>
      <c r="O1718">
        <f t="shared" si="212"/>
        <v>2.4948096630159622E-3</v>
      </c>
      <c r="P1718">
        <f t="shared" si="213"/>
        <v>1</v>
      </c>
      <c r="Q1718">
        <f t="shared" si="214"/>
        <v>0</v>
      </c>
    </row>
    <row r="1719" spans="1:17">
      <c r="A1719" s="1">
        <v>44953</v>
      </c>
      <c r="B1719">
        <v>4070.56</v>
      </c>
      <c r="C1719">
        <f t="shared" si="208"/>
        <v>2.4948096630159622E-3</v>
      </c>
      <c r="D1719">
        <f t="shared" si="215"/>
        <v>1.3345946551488019E-2</v>
      </c>
      <c r="E1719">
        <f>_xlfn.XLOOKUP(A1719,VIX!A:A,VIX!B:B,"",-1)</f>
        <v>18.510000000000002</v>
      </c>
      <c r="F1719">
        <f t="shared" si="209"/>
        <v>-0.21999999999999886</v>
      </c>
      <c r="G1719">
        <f>_xlfn.XLOOKUP(A1719,'DGS10'!A:A,'DGS10'!B:B,"",-1)</f>
        <v>3.52</v>
      </c>
      <c r="H1719">
        <f t="shared" si="210"/>
        <v>2.9999999999999805E-2</v>
      </c>
      <c r="I1719" s="2">
        <f>_xlfn.XLOOKUP(A1719,T10Y3M!A:A,T10Y3M!B:B,"",-1)</f>
        <v>-1.21</v>
      </c>
      <c r="J1719" s="2">
        <f>_xlfn.XLOOKUP(A1719,BAMLC0A4CBBB!A:A,BAMLC0A4CBBB!B:B,"",-1)</f>
        <v>1.55</v>
      </c>
      <c r="K1719" s="2">
        <f>_xlfn.XLOOKUP(A1719,CPIAUCSL!A:A,CPIAUCSL!B:B,"",-1)</f>
        <v>300.42</v>
      </c>
      <c r="L1719">
        <f>_xlfn.XLOOKUP(A1719,DFF!A:A,DFF!B:B,"",-1)</f>
        <v>4.33</v>
      </c>
      <c r="M1719">
        <f>_xlfn.XLOOKUP(A1719,'DGS2'!A:A,'DGS2'!B:B,"",-1)</f>
        <v>4.1900000000000004</v>
      </c>
      <c r="N1719">
        <f t="shared" si="211"/>
        <v>2.0000000000000462E-2</v>
      </c>
      <c r="O1719">
        <f t="shared" si="212"/>
        <v>-1.2968731575016657E-2</v>
      </c>
      <c r="P1719">
        <f t="shared" si="213"/>
        <v>0</v>
      </c>
      <c r="Q1719">
        <f t="shared" si="214"/>
        <v>-1</v>
      </c>
    </row>
    <row r="1720" spans="1:17">
      <c r="A1720" s="1">
        <v>44956</v>
      </c>
      <c r="B1720">
        <v>4017.77</v>
      </c>
      <c r="C1720">
        <f t="shared" si="208"/>
        <v>-1.2968731575016657E-2</v>
      </c>
      <c r="D1720">
        <f t="shared" si="215"/>
        <v>3.8593503343942182E-4</v>
      </c>
      <c r="E1720">
        <f>_xlfn.XLOOKUP(A1720,VIX!A:A,VIX!B:B,"",-1)</f>
        <v>19.940000000000001</v>
      </c>
      <c r="F1720">
        <f t="shared" si="209"/>
        <v>1.4299999999999997</v>
      </c>
      <c r="G1720">
        <f>_xlfn.XLOOKUP(A1720,'DGS10'!A:A,'DGS10'!B:B,"",-1)</f>
        <v>3.55</v>
      </c>
      <c r="H1720">
        <f t="shared" si="210"/>
        <v>2.9999999999999805E-2</v>
      </c>
      <c r="I1720" s="2">
        <f>_xlfn.XLOOKUP(A1720,T10Y3M!A:A,T10Y3M!B:B,"",-1)</f>
        <v>-1.17</v>
      </c>
      <c r="J1720" s="2">
        <f>_xlfn.XLOOKUP(A1720,BAMLC0A4CBBB!A:A,BAMLC0A4CBBB!B:B,"",-1)</f>
        <v>1.55</v>
      </c>
      <c r="K1720" s="2">
        <f>_xlfn.XLOOKUP(A1720,CPIAUCSL!A:A,CPIAUCSL!B:B,"",-1)</f>
        <v>300.42</v>
      </c>
      <c r="L1720">
        <f>_xlfn.XLOOKUP(A1720,DFF!A:A,DFF!B:B,"",-1)</f>
        <v>4.33</v>
      </c>
      <c r="M1720">
        <f>_xlfn.XLOOKUP(A1720,'DGS2'!A:A,'DGS2'!B:B,"",-1)</f>
        <v>4.25</v>
      </c>
      <c r="N1720">
        <f t="shared" si="211"/>
        <v>5.9999999999999609E-2</v>
      </c>
      <c r="O1720">
        <f t="shared" si="212"/>
        <v>1.4642450911824145E-2</v>
      </c>
      <c r="P1720">
        <f t="shared" si="213"/>
        <v>1</v>
      </c>
      <c r="Q1720">
        <f t="shared" si="214"/>
        <v>1</v>
      </c>
    </row>
    <row r="1721" spans="1:17">
      <c r="A1721" s="1">
        <v>44957</v>
      </c>
      <c r="B1721">
        <v>4076.6</v>
      </c>
      <c r="C1721">
        <f t="shared" si="208"/>
        <v>1.4642450911824145E-2</v>
      </c>
      <c r="D1721">
        <f t="shared" si="215"/>
        <v>3.9823368460976116E-3</v>
      </c>
      <c r="E1721">
        <f>_xlfn.XLOOKUP(A1721,VIX!A:A,VIX!B:B,"",-1)</f>
        <v>19.399999999999999</v>
      </c>
      <c r="F1721">
        <f t="shared" si="209"/>
        <v>-0.5400000000000027</v>
      </c>
      <c r="G1721">
        <f>_xlfn.XLOOKUP(A1721,'DGS10'!A:A,'DGS10'!B:B,"",-1)</f>
        <v>3.52</v>
      </c>
      <c r="H1721">
        <f t="shared" si="210"/>
        <v>-2.9999999999999805E-2</v>
      </c>
      <c r="I1721" s="2">
        <f>_xlfn.XLOOKUP(A1721,T10Y3M!A:A,T10Y3M!B:B,"",-1)</f>
        <v>-1.18</v>
      </c>
      <c r="J1721" s="2">
        <f>_xlfn.XLOOKUP(A1721,BAMLC0A4CBBB!A:A,BAMLC0A4CBBB!B:B,"",-1)</f>
        <v>1.56</v>
      </c>
      <c r="K1721" s="2">
        <f>_xlfn.XLOOKUP(A1721,CPIAUCSL!A:A,CPIAUCSL!B:B,"",-1)</f>
        <v>300.42</v>
      </c>
      <c r="L1721">
        <f>_xlfn.XLOOKUP(A1721,DFF!A:A,DFF!B:B,"",-1)</f>
        <v>4.33</v>
      </c>
      <c r="M1721">
        <f>_xlfn.XLOOKUP(A1721,'DGS2'!A:A,'DGS2'!B:B,"",-1)</f>
        <v>4.21</v>
      </c>
      <c r="N1721">
        <f t="shared" si="211"/>
        <v>-4.0000000000000036E-2</v>
      </c>
      <c r="O1721">
        <f t="shared" si="212"/>
        <v>1.0452337732424155E-2</v>
      </c>
      <c r="P1721">
        <f t="shared" si="213"/>
        <v>1</v>
      </c>
      <c r="Q1721">
        <f t="shared" si="214"/>
        <v>1</v>
      </c>
    </row>
    <row r="1722" spans="1:17">
      <c r="A1722" s="1">
        <v>44958</v>
      </c>
      <c r="B1722">
        <v>4119.21</v>
      </c>
      <c r="C1722">
        <f t="shared" si="208"/>
        <v>1.0452337732424155E-2</v>
      </c>
      <c r="D1722">
        <f t="shared" si="215"/>
        <v>1.1951672497150234E-2</v>
      </c>
      <c r="E1722">
        <f>_xlfn.XLOOKUP(A1722,VIX!A:A,VIX!B:B,"",-1)</f>
        <v>17.87</v>
      </c>
      <c r="F1722">
        <f t="shared" si="209"/>
        <v>-1.5299999999999976</v>
      </c>
      <c r="G1722">
        <f>_xlfn.XLOOKUP(A1722,'DGS10'!A:A,'DGS10'!B:B,"",-1)</f>
        <v>3.39</v>
      </c>
      <c r="H1722">
        <f t="shared" si="210"/>
        <v>-0.12999999999999989</v>
      </c>
      <c r="I1722" s="2">
        <f>_xlfn.XLOOKUP(A1722,T10Y3M!A:A,T10Y3M!B:B,"",-1)</f>
        <v>-1.27</v>
      </c>
      <c r="J1722" s="2">
        <f>_xlfn.XLOOKUP(A1722,BAMLC0A4CBBB!A:A,BAMLC0A4CBBB!B:B,"",-1)</f>
        <v>1.56</v>
      </c>
      <c r="K1722" s="2">
        <f>_xlfn.XLOOKUP(A1722,CPIAUCSL!A:A,CPIAUCSL!B:B,"",-1)</f>
        <v>301.45</v>
      </c>
      <c r="L1722">
        <f>_xlfn.XLOOKUP(A1722,DFF!A:A,DFF!B:B,"",-1)</f>
        <v>4.33</v>
      </c>
      <c r="M1722">
        <f>_xlfn.XLOOKUP(A1722,'DGS2'!A:A,'DGS2'!B:B,"",-1)</f>
        <v>4.09</v>
      </c>
      <c r="N1722">
        <f t="shared" si="211"/>
        <v>-0.12000000000000011</v>
      </c>
      <c r="O1722">
        <f t="shared" si="212"/>
        <v>1.4699420519954209E-2</v>
      </c>
      <c r="P1722">
        <f t="shared" si="213"/>
        <v>1</v>
      </c>
      <c r="Q1722">
        <f t="shared" si="214"/>
        <v>1</v>
      </c>
    </row>
    <row r="1723" spans="1:17">
      <c r="A1723" s="1">
        <v>44959</v>
      </c>
      <c r="B1723">
        <v>4179.76</v>
      </c>
      <c r="C1723">
        <f t="shared" si="208"/>
        <v>1.4699420519954209E-2</v>
      </c>
      <c r="D1723">
        <f t="shared" si="215"/>
        <v>4.0318385572096105E-2</v>
      </c>
      <c r="E1723">
        <f>_xlfn.XLOOKUP(A1723,VIX!A:A,VIX!B:B,"",-1)</f>
        <v>18.73</v>
      </c>
      <c r="F1723">
        <f t="shared" si="209"/>
        <v>0.85999999999999943</v>
      </c>
      <c r="G1723">
        <f>_xlfn.XLOOKUP(A1723,'DGS10'!A:A,'DGS10'!B:B,"",-1)</f>
        <v>3.4</v>
      </c>
      <c r="H1723">
        <f t="shared" si="210"/>
        <v>9.9999999999997868E-3</v>
      </c>
      <c r="I1723" s="2">
        <f>_xlfn.XLOOKUP(A1723,T10Y3M!A:A,T10Y3M!B:B,"",-1)</f>
        <v>-1.26</v>
      </c>
      <c r="J1723" s="2">
        <f>_xlfn.XLOOKUP(A1723,BAMLC0A4CBBB!A:A,BAMLC0A4CBBB!B:B,"",-1)</f>
        <v>1.52</v>
      </c>
      <c r="K1723" s="2">
        <f>_xlfn.XLOOKUP(A1723,CPIAUCSL!A:A,CPIAUCSL!B:B,"",-1)</f>
        <v>301.45</v>
      </c>
      <c r="L1723">
        <f>_xlfn.XLOOKUP(A1723,DFF!A:A,DFF!B:B,"",-1)</f>
        <v>4.58</v>
      </c>
      <c r="M1723">
        <f>_xlfn.XLOOKUP(A1723,'DGS2'!A:A,'DGS2'!B:B,"",-1)</f>
        <v>4.09</v>
      </c>
      <c r="N1723">
        <f t="shared" si="211"/>
        <v>0</v>
      </c>
      <c r="O1723">
        <f t="shared" si="212"/>
        <v>-1.0354661511665864E-2</v>
      </c>
      <c r="P1723">
        <f t="shared" si="213"/>
        <v>0</v>
      </c>
      <c r="Q1723">
        <f t="shared" si="214"/>
        <v>-1</v>
      </c>
    </row>
    <row r="1724" spans="1:17">
      <c r="A1724" s="1">
        <v>44960</v>
      </c>
      <c r="B1724">
        <v>4136.4799999999996</v>
      </c>
      <c r="C1724">
        <f t="shared" si="208"/>
        <v>-1.0354661511665864E-2</v>
      </c>
      <c r="D1724">
        <f t="shared" si="215"/>
        <v>1.4688711180885994E-2</v>
      </c>
      <c r="E1724">
        <f>_xlfn.XLOOKUP(A1724,VIX!A:A,VIX!B:B,"",-1)</f>
        <v>18.329999999999998</v>
      </c>
      <c r="F1724">
        <f t="shared" si="209"/>
        <v>-0.40000000000000213</v>
      </c>
      <c r="G1724">
        <f>_xlfn.XLOOKUP(A1724,'DGS10'!A:A,'DGS10'!B:B,"",-1)</f>
        <v>3.53</v>
      </c>
      <c r="H1724">
        <f t="shared" si="210"/>
        <v>0.12999999999999989</v>
      </c>
      <c r="I1724" s="2">
        <f>_xlfn.XLOOKUP(A1724,T10Y3M!A:A,T10Y3M!B:B,"",-1)</f>
        <v>-1.17</v>
      </c>
      <c r="J1724" s="2">
        <f>_xlfn.XLOOKUP(A1724,BAMLC0A4CBBB!A:A,BAMLC0A4CBBB!B:B,"",-1)</f>
        <v>1.5</v>
      </c>
      <c r="K1724" s="2">
        <f>_xlfn.XLOOKUP(A1724,CPIAUCSL!A:A,CPIAUCSL!B:B,"",-1)</f>
        <v>301.45</v>
      </c>
      <c r="L1724">
        <f>_xlfn.XLOOKUP(A1724,DFF!A:A,DFF!B:B,"",-1)</f>
        <v>4.58</v>
      </c>
      <c r="M1724">
        <f>_xlfn.XLOOKUP(A1724,'DGS2'!A:A,'DGS2'!B:B,"",-1)</f>
        <v>4.3</v>
      </c>
      <c r="N1724">
        <f t="shared" si="211"/>
        <v>0.20999999999999996</v>
      </c>
      <c r="O1724">
        <f t="shared" si="212"/>
        <v>-6.1404865973000433E-3</v>
      </c>
      <c r="P1724">
        <f t="shared" si="213"/>
        <v>0</v>
      </c>
      <c r="Q1724">
        <f t="shared" si="214"/>
        <v>-1</v>
      </c>
    </row>
    <row r="1725" spans="1:17">
      <c r="A1725" s="1">
        <v>44963</v>
      </c>
      <c r="B1725">
        <v>4111.08</v>
      </c>
      <c r="C1725">
        <f t="shared" si="208"/>
        <v>-6.1404865973000433E-3</v>
      </c>
      <c r="D1725">
        <f t="shared" si="215"/>
        <v>-1.9736794191119733E-3</v>
      </c>
      <c r="E1725">
        <f>_xlfn.XLOOKUP(A1725,VIX!A:A,VIX!B:B,"",-1)</f>
        <v>19.43</v>
      </c>
      <c r="F1725">
        <f t="shared" si="209"/>
        <v>1.1000000000000014</v>
      </c>
      <c r="G1725">
        <f>_xlfn.XLOOKUP(A1725,'DGS10'!A:A,'DGS10'!B:B,"",-1)</f>
        <v>3.63</v>
      </c>
      <c r="H1725">
        <f t="shared" si="210"/>
        <v>0.10000000000000009</v>
      </c>
      <c r="I1725" s="2">
        <f>_xlfn.XLOOKUP(A1725,T10Y3M!A:A,T10Y3M!B:B,"",-1)</f>
        <v>-1.08</v>
      </c>
      <c r="J1725" s="2">
        <f>_xlfn.XLOOKUP(A1725,BAMLC0A4CBBB!A:A,BAMLC0A4CBBB!B:B,"",-1)</f>
        <v>1.5</v>
      </c>
      <c r="K1725" s="2">
        <f>_xlfn.XLOOKUP(A1725,CPIAUCSL!A:A,CPIAUCSL!B:B,"",-1)</f>
        <v>301.45</v>
      </c>
      <c r="L1725">
        <f>_xlfn.XLOOKUP(A1725,DFF!A:A,DFF!B:B,"",-1)</f>
        <v>4.58</v>
      </c>
      <c r="M1725">
        <f>_xlfn.XLOOKUP(A1725,'DGS2'!A:A,'DGS2'!B:B,"",-1)</f>
        <v>4.4400000000000004</v>
      </c>
      <c r="N1725">
        <f t="shared" si="211"/>
        <v>0.14000000000000057</v>
      </c>
      <c r="O1725">
        <f t="shared" si="212"/>
        <v>1.2872529846171821E-2</v>
      </c>
      <c r="P1725">
        <f t="shared" si="213"/>
        <v>1</v>
      </c>
      <c r="Q1725">
        <f t="shared" si="214"/>
        <v>1</v>
      </c>
    </row>
    <row r="1726" spans="1:17">
      <c r="A1726" s="1">
        <v>44964</v>
      </c>
      <c r="B1726">
        <v>4164</v>
      </c>
      <c r="C1726">
        <f t="shared" si="208"/>
        <v>1.2872529846171821E-2</v>
      </c>
      <c r="D1726">
        <f t="shared" si="215"/>
        <v>-3.770551419220336E-3</v>
      </c>
      <c r="E1726">
        <f>_xlfn.XLOOKUP(A1726,VIX!A:A,VIX!B:B,"",-1)</f>
        <v>18.66</v>
      </c>
      <c r="F1726">
        <f t="shared" si="209"/>
        <v>-0.76999999999999957</v>
      </c>
      <c r="G1726">
        <f>_xlfn.XLOOKUP(A1726,'DGS10'!A:A,'DGS10'!B:B,"",-1)</f>
        <v>3.67</v>
      </c>
      <c r="H1726">
        <f t="shared" si="210"/>
        <v>4.0000000000000036E-2</v>
      </c>
      <c r="I1726" s="2">
        <f>_xlfn.XLOOKUP(A1726,T10Y3M!A:A,T10Y3M!B:B,"",-1)</f>
        <v>-1.04</v>
      </c>
      <c r="J1726" s="2">
        <f>_xlfn.XLOOKUP(A1726,BAMLC0A4CBBB!A:A,BAMLC0A4CBBB!B:B,"",-1)</f>
        <v>1.51</v>
      </c>
      <c r="K1726" s="2">
        <f>_xlfn.XLOOKUP(A1726,CPIAUCSL!A:A,CPIAUCSL!B:B,"",-1)</f>
        <v>301.45</v>
      </c>
      <c r="L1726">
        <f>_xlfn.XLOOKUP(A1726,DFF!A:A,DFF!B:B,"",-1)</f>
        <v>4.58</v>
      </c>
      <c r="M1726">
        <f>_xlfn.XLOOKUP(A1726,'DGS2'!A:A,'DGS2'!B:B,"",-1)</f>
        <v>4.47</v>
      </c>
      <c r="N1726">
        <f t="shared" si="211"/>
        <v>2.9999999999999361E-2</v>
      </c>
      <c r="O1726">
        <f t="shared" si="212"/>
        <v>-1.1080691642651352E-2</v>
      </c>
      <c r="P1726">
        <f t="shared" si="213"/>
        <v>0</v>
      </c>
      <c r="Q1726">
        <f t="shared" si="214"/>
        <v>-1</v>
      </c>
    </row>
    <row r="1727" spans="1:17">
      <c r="A1727" s="1">
        <v>44965</v>
      </c>
      <c r="B1727">
        <v>4117.8599999999997</v>
      </c>
      <c r="C1727">
        <f t="shared" si="208"/>
        <v>-1.1080691642651352E-2</v>
      </c>
      <c r="D1727">
        <f t="shared" si="215"/>
        <v>-4.5014118284144589E-3</v>
      </c>
      <c r="E1727">
        <f>_xlfn.XLOOKUP(A1727,VIX!A:A,VIX!B:B,"",-1)</f>
        <v>19.63</v>
      </c>
      <c r="F1727">
        <f t="shared" si="209"/>
        <v>0.96999999999999886</v>
      </c>
      <c r="G1727">
        <f>_xlfn.XLOOKUP(A1727,'DGS10'!A:A,'DGS10'!B:B,"",-1)</f>
        <v>3.63</v>
      </c>
      <c r="H1727">
        <f t="shared" si="210"/>
        <v>-4.0000000000000036E-2</v>
      </c>
      <c r="I1727" s="2">
        <f>_xlfn.XLOOKUP(A1727,T10Y3M!A:A,T10Y3M!B:B,"",-1)</f>
        <v>-1.0900000000000001</v>
      </c>
      <c r="J1727" s="2">
        <f>_xlfn.XLOOKUP(A1727,BAMLC0A4CBBB!A:A,BAMLC0A4CBBB!B:B,"",-1)</f>
        <v>1.51</v>
      </c>
      <c r="K1727" s="2">
        <f>_xlfn.XLOOKUP(A1727,CPIAUCSL!A:A,CPIAUCSL!B:B,"",-1)</f>
        <v>301.45</v>
      </c>
      <c r="L1727">
        <f>_xlfn.XLOOKUP(A1727,DFF!A:A,DFF!B:B,"",-1)</f>
        <v>4.58</v>
      </c>
      <c r="M1727">
        <f>_xlfn.XLOOKUP(A1727,'DGS2'!A:A,'DGS2'!B:B,"",-1)</f>
        <v>4.45</v>
      </c>
      <c r="N1727">
        <f t="shared" si="211"/>
        <v>-1.9999999999999574E-2</v>
      </c>
      <c r="O1727">
        <f t="shared" si="212"/>
        <v>-8.8298290859815109E-3</v>
      </c>
      <c r="P1727">
        <f t="shared" si="213"/>
        <v>0</v>
      </c>
      <c r="Q1727">
        <f t="shared" si="214"/>
        <v>-1</v>
      </c>
    </row>
    <row r="1728" spans="1:17">
      <c r="A1728" s="1">
        <v>44966</v>
      </c>
      <c r="B1728">
        <v>4081.5</v>
      </c>
      <c r="C1728">
        <f t="shared" si="208"/>
        <v>-8.8298290859815109E-3</v>
      </c>
      <c r="D1728">
        <f t="shared" si="215"/>
        <v>-7.1951895852184755E-3</v>
      </c>
      <c r="E1728">
        <f>_xlfn.XLOOKUP(A1728,VIX!A:A,VIX!B:B,"",-1)</f>
        <v>20.71</v>
      </c>
      <c r="F1728">
        <f t="shared" si="209"/>
        <v>1.0800000000000018</v>
      </c>
      <c r="G1728">
        <f>_xlfn.XLOOKUP(A1728,'DGS10'!A:A,'DGS10'!B:B,"",-1)</f>
        <v>3.67</v>
      </c>
      <c r="H1728">
        <f t="shared" si="210"/>
        <v>4.0000000000000036E-2</v>
      </c>
      <c r="I1728" s="2">
        <f>_xlfn.XLOOKUP(A1728,T10Y3M!A:A,T10Y3M!B:B,"",-1)</f>
        <v>-1.1000000000000001</v>
      </c>
      <c r="J1728" s="2">
        <f>_xlfn.XLOOKUP(A1728,BAMLC0A4CBBB!A:A,BAMLC0A4CBBB!B:B,"",-1)</f>
        <v>1.51</v>
      </c>
      <c r="K1728" s="2">
        <f>_xlfn.XLOOKUP(A1728,CPIAUCSL!A:A,CPIAUCSL!B:B,"",-1)</f>
        <v>301.45</v>
      </c>
      <c r="L1728">
        <f>_xlfn.XLOOKUP(A1728,DFF!A:A,DFF!B:B,"",-1)</f>
        <v>4.57</v>
      </c>
      <c r="M1728">
        <f>_xlfn.XLOOKUP(A1728,'DGS2'!A:A,'DGS2'!B:B,"",-1)</f>
        <v>4.4800000000000004</v>
      </c>
      <c r="N1728">
        <f t="shared" si="211"/>
        <v>3.0000000000000249E-2</v>
      </c>
      <c r="O1728">
        <f t="shared" si="212"/>
        <v>2.1952713463186946E-3</v>
      </c>
      <c r="P1728">
        <f t="shared" si="213"/>
        <v>1</v>
      </c>
      <c r="Q1728">
        <f t="shared" si="214"/>
        <v>0</v>
      </c>
    </row>
    <row r="1729" spans="1:17">
      <c r="A1729" s="1">
        <v>44967</v>
      </c>
      <c r="B1729">
        <v>4090.46</v>
      </c>
      <c r="C1729">
        <f t="shared" si="208"/>
        <v>2.1952713463186946E-3</v>
      </c>
      <c r="D1729">
        <f t="shared" si="215"/>
        <v>-1.7660902977905901E-2</v>
      </c>
      <c r="E1729">
        <f>_xlfn.XLOOKUP(A1729,VIX!A:A,VIX!B:B,"",-1)</f>
        <v>20.53</v>
      </c>
      <c r="F1729">
        <f t="shared" si="209"/>
        <v>-0.17999999999999972</v>
      </c>
      <c r="G1729">
        <f>_xlfn.XLOOKUP(A1729,'DGS10'!A:A,'DGS10'!B:B,"",-1)</f>
        <v>3.74</v>
      </c>
      <c r="H1729">
        <f t="shared" si="210"/>
        <v>7.0000000000000284E-2</v>
      </c>
      <c r="I1729" s="2">
        <f>_xlfn.XLOOKUP(A1729,T10Y3M!A:A,T10Y3M!B:B,"",-1)</f>
        <v>-1.05</v>
      </c>
      <c r="J1729" s="2">
        <f>_xlfn.XLOOKUP(A1729,BAMLC0A4CBBB!A:A,BAMLC0A4CBBB!B:B,"",-1)</f>
        <v>1.54</v>
      </c>
      <c r="K1729" s="2">
        <f>_xlfn.XLOOKUP(A1729,CPIAUCSL!A:A,CPIAUCSL!B:B,"",-1)</f>
        <v>301.45</v>
      </c>
      <c r="L1729">
        <f>_xlfn.XLOOKUP(A1729,DFF!A:A,DFF!B:B,"",-1)</f>
        <v>4.58</v>
      </c>
      <c r="M1729">
        <f>_xlfn.XLOOKUP(A1729,'DGS2'!A:A,'DGS2'!B:B,"",-1)</f>
        <v>4.5</v>
      </c>
      <c r="N1729">
        <f t="shared" si="211"/>
        <v>1.9999999999999574E-2</v>
      </c>
      <c r="O1729">
        <f t="shared" si="212"/>
        <v>1.1448590134117032E-2</v>
      </c>
      <c r="P1729">
        <f t="shared" si="213"/>
        <v>1</v>
      </c>
      <c r="Q1729">
        <f t="shared" si="214"/>
        <v>1</v>
      </c>
    </row>
    <row r="1730" spans="1:17">
      <c r="A1730" s="1">
        <v>44970</v>
      </c>
      <c r="B1730">
        <v>4137.29</v>
      </c>
      <c r="C1730">
        <f t="shared" si="208"/>
        <v>1.1448590134117032E-2</v>
      </c>
      <c r="D1730">
        <f t="shared" si="215"/>
        <v>4.7184702733944484E-3</v>
      </c>
      <c r="E1730">
        <f>_xlfn.XLOOKUP(A1730,VIX!A:A,VIX!B:B,"",-1)</f>
        <v>20.34</v>
      </c>
      <c r="F1730">
        <f t="shared" si="209"/>
        <v>-0.19000000000000128</v>
      </c>
      <c r="G1730">
        <f>_xlfn.XLOOKUP(A1730,'DGS10'!A:A,'DGS10'!B:B,"",-1)</f>
        <v>3.72</v>
      </c>
      <c r="H1730">
        <f t="shared" si="210"/>
        <v>-2.0000000000000018E-2</v>
      </c>
      <c r="I1730" s="2">
        <f>_xlfn.XLOOKUP(A1730,T10Y3M!A:A,T10Y3M!B:B,"",-1)</f>
        <v>-1.0900000000000001</v>
      </c>
      <c r="J1730" s="2">
        <f>_xlfn.XLOOKUP(A1730,BAMLC0A4CBBB!A:A,BAMLC0A4CBBB!B:B,"",-1)</f>
        <v>1.55</v>
      </c>
      <c r="K1730" s="2">
        <f>_xlfn.XLOOKUP(A1730,CPIAUCSL!A:A,CPIAUCSL!B:B,"",-1)</f>
        <v>301.45</v>
      </c>
      <c r="L1730">
        <f>_xlfn.XLOOKUP(A1730,DFF!A:A,DFF!B:B,"",-1)</f>
        <v>4.58</v>
      </c>
      <c r="M1730">
        <f>_xlfn.XLOOKUP(A1730,'DGS2'!A:A,'DGS2'!B:B,"",-1)</f>
        <v>4.5199999999999996</v>
      </c>
      <c r="N1730">
        <f t="shared" si="211"/>
        <v>1.9999999999999574E-2</v>
      </c>
      <c r="O1730">
        <f t="shared" si="212"/>
        <v>-2.8037676836767389E-4</v>
      </c>
      <c r="P1730">
        <f t="shared" si="213"/>
        <v>0</v>
      </c>
      <c r="Q1730">
        <f t="shared" si="214"/>
        <v>0</v>
      </c>
    </row>
    <row r="1731" spans="1:17">
      <c r="A1731" s="1">
        <v>44971</v>
      </c>
      <c r="B1731">
        <v>4136.13</v>
      </c>
      <c r="C1731">
        <f t="shared" si="208"/>
        <v>-2.8037676836767389E-4</v>
      </c>
      <c r="D1731">
        <f t="shared" si="215"/>
        <v>1.3384785005512656E-2</v>
      </c>
      <c r="E1731">
        <f>_xlfn.XLOOKUP(A1731,VIX!A:A,VIX!B:B,"",-1)</f>
        <v>18.91</v>
      </c>
      <c r="F1731">
        <f t="shared" si="209"/>
        <v>-1.4299999999999997</v>
      </c>
      <c r="G1731">
        <f>_xlfn.XLOOKUP(A1731,'DGS10'!A:A,'DGS10'!B:B,"",-1)</f>
        <v>3.77</v>
      </c>
      <c r="H1731">
        <f t="shared" si="210"/>
        <v>4.9999999999999822E-2</v>
      </c>
      <c r="I1731" s="2">
        <f>_xlfn.XLOOKUP(A1731,T10Y3M!A:A,T10Y3M!B:B,"",-1)</f>
        <v>-1.03</v>
      </c>
      <c r="J1731" s="2">
        <f>_xlfn.XLOOKUP(A1731,BAMLC0A4CBBB!A:A,BAMLC0A4CBBB!B:B,"",-1)</f>
        <v>1.54</v>
      </c>
      <c r="K1731" s="2">
        <f>_xlfn.XLOOKUP(A1731,CPIAUCSL!A:A,CPIAUCSL!B:B,"",-1)</f>
        <v>301.45</v>
      </c>
      <c r="L1731">
        <f>_xlfn.XLOOKUP(A1731,DFF!A:A,DFF!B:B,"",-1)</f>
        <v>4.58</v>
      </c>
      <c r="M1731">
        <f>_xlfn.XLOOKUP(A1731,'DGS2'!A:A,'DGS2'!B:B,"",-1)</f>
        <v>4.5999999999999996</v>
      </c>
      <c r="N1731">
        <f t="shared" si="211"/>
        <v>8.0000000000000071E-2</v>
      </c>
      <c r="O1731">
        <f t="shared" si="212"/>
        <v>2.7731236687436045E-3</v>
      </c>
      <c r="P1731">
        <f t="shared" si="213"/>
        <v>1</v>
      </c>
      <c r="Q1731">
        <f t="shared" si="214"/>
        <v>0</v>
      </c>
    </row>
    <row r="1732" spans="1:17">
      <c r="A1732" s="1">
        <v>44972</v>
      </c>
      <c r="B1732">
        <v>4147.6000000000004</v>
      </c>
      <c r="C1732">
        <f t="shared" ref="C1732:C1795" si="216">IF(OR(B1732="",B1731=""),"",(B1732/B1731)-1)</f>
        <v>2.7731236687436045E-3</v>
      </c>
      <c r="D1732">
        <f t="shared" si="215"/>
        <v>1.3969089051109274E-2</v>
      </c>
      <c r="E1732">
        <f>_xlfn.XLOOKUP(A1732,VIX!A:A,VIX!B:B,"",-1)</f>
        <v>18.23</v>
      </c>
      <c r="F1732">
        <f t="shared" ref="F1732:F1795" si="217">IF(OR(E1732="",E1731=""),"",E1732-E1731)</f>
        <v>-0.67999999999999972</v>
      </c>
      <c r="G1732">
        <f>_xlfn.XLOOKUP(A1732,'DGS10'!A:A,'DGS10'!B:B,"",-1)</f>
        <v>3.81</v>
      </c>
      <c r="H1732">
        <f t="shared" ref="H1732:H1795" si="218">IF(OR(G1732="",G1731=""),"",G1732-G1731)</f>
        <v>4.0000000000000036E-2</v>
      </c>
      <c r="I1732" s="2">
        <f>_xlfn.XLOOKUP(A1732,T10Y3M!A:A,T10Y3M!B:B,"",-1)</f>
        <v>-0.98</v>
      </c>
      <c r="J1732" s="2">
        <f>_xlfn.XLOOKUP(A1732,BAMLC0A4CBBB!A:A,BAMLC0A4CBBB!B:B,"",-1)</f>
        <v>1.54</v>
      </c>
      <c r="K1732" s="2">
        <f>_xlfn.XLOOKUP(A1732,CPIAUCSL!A:A,CPIAUCSL!B:B,"",-1)</f>
        <v>301.45</v>
      </c>
      <c r="L1732">
        <f>_xlfn.XLOOKUP(A1732,DFF!A:A,DFF!B:B,"",-1)</f>
        <v>4.58</v>
      </c>
      <c r="M1732">
        <f>_xlfn.XLOOKUP(A1732,'DGS2'!A:A,'DGS2'!B:B,"",-1)</f>
        <v>4.62</v>
      </c>
      <c r="N1732">
        <f t="shared" ref="N1732:N1795" si="219">IF(OR(M1732="",M1731=""),"",M1732-M1731)</f>
        <v>2.0000000000000462E-2</v>
      </c>
      <c r="O1732">
        <f t="shared" ref="O1732:O1795" si="220">IF(OR(B1733="",B1732=""),"",(B1733/B1732)-1)</f>
        <v>-1.378869707782826E-2</v>
      </c>
      <c r="P1732">
        <f t="shared" ref="P1732:P1795" si="221">IF(O1732="","",IF(O1732&gt;0,1,0))</f>
        <v>0</v>
      </c>
      <c r="Q1732">
        <f t="shared" ref="Q1732:Q1795" si="222">IF(O1732="","",IF(O1732&gt;0.003,1,IF(O1732&lt;-0.003,-1,0)))</f>
        <v>-1</v>
      </c>
    </row>
    <row r="1733" spans="1:17">
      <c r="A1733" s="1">
        <v>44973</v>
      </c>
      <c r="B1733">
        <v>4090.41</v>
      </c>
      <c r="C1733">
        <f t="shared" si="216"/>
        <v>-1.378869707782826E-2</v>
      </c>
      <c r="D1733">
        <f t="shared" si="215"/>
        <v>-1.1331088707825732E-2</v>
      </c>
      <c r="E1733">
        <f>_xlfn.XLOOKUP(A1733,VIX!A:A,VIX!B:B,"",-1)</f>
        <v>20.170000000000002</v>
      </c>
      <c r="F1733">
        <f t="shared" si="217"/>
        <v>1.9400000000000013</v>
      </c>
      <c r="G1733">
        <f>_xlfn.XLOOKUP(A1733,'DGS10'!A:A,'DGS10'!B:B,"",-1)</f>
        <v>3.86</v>
      </c>
      <c r="H1733">
        <f t="shared" si="218"/>
        <v>4.9999999999999822E-2</v>
      </c>
      <c r="I1733" s="2">
        <f>_xlfn.XLOOKUP(A1733,T10Y3M!A:A,T10Y3M!B:B,"",-1)</f>
        <v>-0.98</v>
      </c>
      <c r="J1733" s="2">
        <f>_xlfn.XLOOKUP(A1733,BAMLC0A4CBBB!A:A,BAMLC0A4CBBB!B:B,"",-1)</f>
        <v>1.54</v>
      </c>
      <c r="K1733" s="2">
        <f>_xlfn.XLOOKUP(A1733,CPIAUCSL!A:A,CPIAUCSL!B:B,"",-1)</f>
        <v>301.45</v>
      </c>
      <c r="L1733">
        <f>_xlfn.XLOOKUP(A1733,DFF!A:A,DFF!B:B,"",-1)</f>
        <v>4.58</v>
      </c>
      <c r="M1733">
        <f>_xlfn.XLOOKUP(A1733,'DGS2'!A:A,'DGS2'!B:B,"",-1)</f>
        <v>4.62</v>
      </c>
      <c r="N1733">
        <f t="shared" si="219"/>
        <v>0</v>
      </c>
      <c r="O1733">
        <f t="shared" si="220"/>
        <v>-2.7674487398573477E-3</v>
      </c>
      <c r="P1733">
        <f t="shared" si="221"/>
        <v>0</v>
      </c>
      <c r="Q1733">
        <f t="shared" si="222"/>
        <v>0</v>
      </c>
    </row>
    <row r="1734" spans="1:17">
      <c r="A1734" s="1">
        <v>44974</v>
      </c>
      <c r="B1734">
        <v>4079.09</v>
      </c>
      <c r="C1734">
        <f t="shared" si="216"/>
        <v>-2.7674487398573477E-3</v>
      </c>
      <c r="D1734">
        <f t="shared" ref="D1734:D1797" si="223">IF(OR(B1734="",B1731=""),"",(B1734/B1731)-1)</f>
        <v>-1.3790669055372962E-2</v>
      </c>
      <c r="E1734">
        <f>_xlfn.XLOOKUP(A1734,VIX!A:A,VIX!B:B,"",-1)</f>
        <v>20.02</v>
      </c>
      <c r="F1734">
        <f t="shared" si="217"/>
        <v>-0.15000000000000213</v>
      </c>
      <c r="G1734">
        <f>_xlfn.XLOOKUP(A1734,'DGS10'!A:A,'DGS10'!B:B,"",-1)</f>
        <v>3.82</v>
      </c>
      <c r="H1734">
        <f t="shared" si="218"/>
        <v>-4.0000000000000036E-2</v>
      </c>
      <c r="I1734" s="2">
        <f>_xlfn.XLOOKUP(A1734,T10Y3M!A:A,T10Y3M!B:B,"",-1)</f>
        <v>-1.02</v>
      </c>
      <c r="J1734" s="2">
        <f>_xlfn.XLOOKUP(A1734,BAMLC0A4CBBB!A:A,BAMLC0A4CBBB!B:B,"",-1)</f>
        <v>1.57</v>
      </c>
      <c r="K1734" s="2">
        <f>_xlfn.XLOOKUP(A1734,CPIAUCSL!A:A,CPIAUCSL!B:B,"",-1)</f>
        <v>301.45</v>
      </c>
      <c r="L1734">
        <f>_xlfn.XLOOKUP(A1734,DFF!A:A,DFF!B:B,"",-1)</f>
        <v>4.58</v>
      </c>
      <c r="M1734">
        <f>_xlfn.XLOOKUP(A1734,'DGS2'!A:A,'DGS2'!B:B,"",-1)</f>
        <v>4.5999999999999996</v>
      </c>
      <c r="N1734">
        <f t="shared" si="219"/>
        <v>-2.0000000000000462E-2</v>
      </c>
      <c r="O1734">
        <f t="shared" si="220"/>
        <v>-2.0041234687148357E-2</v>
      </c>
      <c r="P1734">
        <f t="shared" si="221"/>
        <v>0</v>
      </c>
      <c r="Q1734">
        <f t="shared" si="222"/>
        <v>-1</v>
      </c>
    </row>
    <row r="1735" spans="1:17">
      <c r="A1735" s="1">
        <v>44978</v>
      </c>
      <c r="B1735">
        <v>3997.34</v>
      </c>
      <c r="C1735">
        <f t="shared" si="216"/>
        <v>-2.0041234687148357E-2</v>
      </c>
      <c r="D1735">
        <f t="shared" si="223"/>
        <v>-3.6228180152377276E-2</v>
      </c>
      <c r="E1735">
        <f>_xlfn.XLOOKUP(A1735,VIX!A:A,VIX!B:B,"",-1)</f>
        <v>22.87</v>
      </c>
      <c r="F1735">
        <f t="shared" si="217"/>
        <v>2.8500000000000014</v>
      </c>
      <c r="G1735">
        <f>_xlfn.XLOOKUP(A1735,'DGS10'!A:A,'DGS10'!B:B,"",-1)</f>
        <v>3.95</v>
      </c>
      <c r="H1735">
        <f t="shared" si="218"/>
        <v>0.13000000000000034</v>
      </c>
      <c r="I1735" s="2">
        <f>_xlfn.XLOOKUP(A1735,T10Y3M!A:A,T10Y3M!B:B,"",-1)</f>
        <v>-0.91</v>
      </c>
      <c r="J1735" s="2">
        <f>_xlfn.XLOOKUP(A1735,BAMLC0A4CBBB!A:A,BAMLC0A4CBBB!B:B,"",-1)</f>
        <v>1.59</v>
      </c>
      <c r="K1735" s="2">
        <f>_xlfn.XLOOKUP(A1735,CPIAUCSL!A:A,CPIAUCSL!B:B,"",-1)</f>
        <v>301.45</v>
      </c>
      <c r="L1735">
        <f>_xlfn.XLOOKUP(A1735,DFF!A:A,DFF!B:B,"",-1)</f>
        <v>4.58</v>
      </c>
      <c r="M1735">
        <f>_xlfn.XLOOKUP(A1735,'DGS2'!A:A,'DGS2'!B:B,"",-1)</f>
        <v>4.67</v>
      </c>
      <c r="N1735">
        <f t="shared" si="219"/>
        <v>7.0000000000000284E-2</v>
      </c>
      <c r="O1735">
        <f t="shared" si="220"/>
        <v>-1.5735464083616035E-3</v>
      </c>
      <c r="P1735">
        <f t="shared" si="221"/>
        <v>0</v>
      </c>
      <c r="Q1735">
        <f t="shared" si="222"/>
        <v>0</v>
      </c>
    </row>
    <row r="1736" spans="1:17">
      <c r="A1736" s="1">
        <v>44979</v>
      </c>
      <c r="B1736">
        <v>3991.05</v>
      </c>
      <c r="C1736">
        <f t="shared" si="216"/>
        <v>-1.5735464083616035E-3</v>
      </c>
      <c r="D1736">
        <f t="shared" si="223"/>
        <v>-2.4290963497546669E-2</v>
      </c>
      <c r="E1736">
        <f>_xlfn.XLOOKUP(A1736,VIX!A:A,VIX!B:B,"",-1)</f>
        <v>22.29</v>
      </c>
      <c r="F1736">
        <f t="shared" si="217"/>
        <v>-0.58000000000000185</v>
      </c>
      <c r="G1736">
        <f>_xlfn.XLOOKUP(A1736,'DGS10'!A:A,'DGS10'!B:B,"",-1)</f>
        <v>3.93</v>
      </c>
      <c r="H1736">
        <f t="shared" si="218"/>
        <v>-2.0000000000000018E-2</v>
      </c>
      <c r="I1736" s="2">
        <f>_xlfn.XLOOKUP(A1736,T10Y3M!A:A,T10Y3M!B:B,"",-1)</f>
        <v>-0.91</v>
      </c>
      <c r="J1736" s="2">
        <f>_xlfn.XLOOKUP(A1736,BAMLC0A4CBBB!A:A,BAMLC0A4CBBB!B:B,"",-1)</f>
        <v>1.59</v>
      </c>
      <c r="K1736" s="2">
        <f>_xlfn.XLOOKUP(A1736,CPIAUCSL!A:A,CPIAUCSL!B:B,"",-1)</f>
        <v>301.45</v>
      </c>
      <c r="L1736">
        <f>_xlfn.XLOOKUP(A1736,DFF!A:A,DFF!B:B,"",-1)</f>
        <v>4.58</v>
      </c>
      <c r="M1736">
        <f>_xlfn.XLOOKUP(A1736,'DGS2'!A:A,'DGS2'!B:B,"",-1)</f>
        <v>4.66</v>
      </c>
      <c r="N1736">
        <f t="shared" si="219"/>
        <v>-9.9999999999997868E-3</v>
      </c>
      <c r="O1736">
        <f t="shared" si="220"/>
        <v>5.3294245875146196E-3</v>
      </c>
      <c r="P1736">
        <f t="shared" si="221"/>
        <v>1</v>
      </c>
      <c r="Q1736">
        <f t="shared" si="222"/>
        <v>1</v>
      </c>
    </row>
    <row r="1737" spans="1:17">
      <c r="A1737" s="1">
        <v>44980</v>
      </c>
      <c r="B1737">
        <v>4012.32</v>
      </c>
      <c r="C1737">
        <f t="shared" si="216"/>
        <v>5.3294245875146196E-3</v>
      </c>
      <c r="D1737">
        <f t="shared" si="223"/>
        <v>-1.636884697322194E-2</v>
      </c>
      <c r="E1737">
        <f>_xlfn.XLOOKUP(A1737,VIX!A:A,VIX!B:B,"",-1)</f>
        <v>21.14</v>
      </c>
      <c r="F1737">
        <f t="shared" si="217"/>
        <v>-1.1499999999999986</v>
      </c>
      <c r="G1737">
        <f>_xlfn.XLOOKUP(A1737,'DGS10'!A:A,'DGS10'!B:B,"",-1)</f>
        <v>3.88</v>
      </c>
      <c r="H1737">
        <f t="shared" si="218"/>
        <v>-5.0000000000000266E-2</v>
      </c>
      <c r="I1737" s="2">
        <f>_xlfn.XLOOKUP(A1737,T10Y3M!A:A,T10Y3M!B:B,"",-1)</f>
        <v>-0.96</v>
      </c>
      <c r="J1737" s="2">
        <f>_xlfn.XLOOKUP(A1737,BAMLC0A4CBBB!A:A,BAMLC0A4CBBB!B:B,"",-1)</f>
        <v>1.59</v>
      </c>
      <c r="K1737" s="2">
        <f>_xlfn.XLOOKUP(A1737,CPIAUCSL!A:A,CPIAUCSL!B:B,"",-1)</f>
        <v>301.45</v>
      </c>
      <c r="L1737">
        <f>_xlfn.XLOOKUP(A1737,DFF!A:A,DFF!B:B,"",-1)</f>
        <v>4.58</v>
      </c>
      <c r="M1737">
        <f>_xlfn.XLOOKUP(A1737,'DGS2'!A:A,'DGS2'!B:B,"",-1)</f>
        <v>4.66</v>
      </c>
      <c r="N1737">
        <f t="shared" si="219"/>
        <v>0</v>
      </c>
      <c r="O1737">
        <f t="shared" si="220"/>
        <v>-1.0537544363360851E-2</v>
      </c>
      <c r="P1737">
        <f t="shared" si="221"/>
        <v>0</v>
      </c>
      <c r="Q1737">
        <f t="shared" si="222"/>
        <v>-1</v>
      </c>
    </row>
    <row r="1738" spans="1:17">
      <c r="A1738" s="1">
        <v>44981</v>
      </c>
      <c r="B1738">
        <v>3970.04</v>
      </c>
      <c r="C1738">
        <f t="shared" si="216"/>
        <v>-1.0537544363360851E-2</v>
      </c>
      <c r="D1738">
        <f t="shared" si="223"/>
        <v>-6.8295416451941149E-3</v>
      </c>
      <c r="E1738">
        <f>_xlfn.XLOOKUP(A1738,VIX!A:A,VIX!B:B,"",-1)</f>
        <v>21.67</v>
      </c>
      <c r="F1738">
        <f t="shared" si="217"/>
        <v>0.53000000000000114</v>
      </c>
      <c r="G1738">
        <f>_xlfn.XLOOKUP(A1738,'DGS10'!A:A,'DGS10'!B:B,"",-1)</f>
        <v>3.95</v>
      </c>
      <c r="H1738">
        <f t="shared" si="218"/>
        <v>7.0000000000000284E-2</v>
      </c>
      <c r="I1738" s="2">
        <f>_xlfn.XLOOKUP(A1738,T10Y3M!A:A,T10Y3M!B:B,"",-1)</f>
        <v>-0.91</v>
      </c>
      <c r="J1738" s="2">
        <f>_xlfn.XLOOKUP(A1738,BAMLC0A4CBBB!A:A,BAMLC0A4CBBB!B:B,"",-1)</f>
        <v>1.59</v>
      </c>
      <c r="K1738" s="2">
        <f>_xlfn.XLOOKUP(A1738,CPIAUCSL!A:A,CPIAUCSL!B:B,"",-1)</f>
        <v>301.45</v>
      </c>
      <c r="L1738">
        <f>_xlfn.XLOOKUP(A1738,DFF!A:A,DFF!B:B,"",-1)</f>
        <v>4.58</v>
      </c>
      <c r="M1738">
        <f>_xlfn.XLOOKUP(A1738,'DGS2'!A:A,'DGS2'!B:B,"",-1)</f>
        <v>4.78</v>
      </c>
      <c r="N1738">
        <f t="shared" si="219"/>
        <v>0.12000000000000011</v>
      </c>
      <c r="O1738">
        <f t="shared" si="220"/>
        <v>3.0730168965551474E-3</v>
      </c>
      <c r="P1738">
        <f t="shared" si="221"/>
        <v>1</v>
      </c>
      <c r="Q1738">
        <f t="shared" si="222"/>
        <v>1</v>
      </c>
    </row>
    <row r="1739" spans="1:17">
      <c r="A1739" s="1">
        <v>44984</v>
      </c>
      <c r="B1739">
        <v>3982.24</v>
      </c>
      <c r="C1739">
        <f t="shared" si="216"/>
        <v>3.0730168965551474E-3</v>
      </c>
      <c r="D1739">
        <f t="shared" si="223"/>
        <v>-2.2074391450872533E-3</v>
      </c>
      <c r="E1739">
        <f>_xlfn.XLOOKUP(A1739,VIX!A:A,VIX!B:B,"",-1)</f>
        <v>20.95</v>
      </c>
      <c r="F1739">
        <f t="shared" si="217"/>
        <v>-0.72000000000000242</v>
      </c>
      <c r="G1739">
        <f>_xlfn.XLOOKUP(A1739,'DGS10'!A:A,'DGS10'!B:B,"",-1)</f>
        <v>3.92</v>
      </c>
      <c r="H1739">
        <f t="shared" si="218"/>
        <v>-3.0000000000000249E-2</v>
      </c>
      <c r="I1739" s="2">
        <f>_xlfn.XLOOKUP(A1739,T10Y3M!A:A,T10Y3M!B:B,"",-1)</f>
        <v>-0.97</v>
      </c>
      <c r="J1739" s="2">
        <f>_xlfn.XLOOKUP(A1739,BAMLC0A4CBBB!A:A,BAMLC0A4CBBB!B:B,"",-1)</f>
        <v>1.59</v>
      </c>
      <c r="K1739" s="2">
        <f>_xlfn.XLOOKUP(A1739,CPIAUCSL!A:A,CPIAUCSL!B:B,"",-1)</f>
        <v>301.45</v>
      </c>
      <c r="L1739">
        <f>_xlfn.XLOOKUP(A1739,DFF!A:A,DFF!B:B,"",-1)</f>
        <v>4.57</v>
      </c>
      <c r="M1739">
        <f>_xlfn.XLOOKUP(A1739,'DGS2'!A:A,'DGS2'!B:B,"",-1)</f>
        <v>4.78</v>
      </c>
      <c r="N1739">
        <f t="shared" si="219"/>
        <v>0</v>
      </c>
      <c r="O1739">
        <f t="shared" si="220"/>
        <v>-3.0359797500902896E-3</v>
      </c>
      <c r="P1739">
        <f t="shared" si="221"/>
        <v>0</v>
      </c>
      <c r="Q1739">
        <f t="shared" si="222"/>
        <v>-1</v>
      </c>
    </row>
    <row r="1740" spans="1:17">
      <c r="A1740" s="1">
        <v>44985</v>
      </c>
      <c r="B1740">
        <v>3970.15</v>
      </c>
      <c r="C1740">
        <f t="shared" si="216"/>
        <v>-3.0359797500902896E-3</v>
      </c>
      <c r="D1740">
        <f t="shared" si="223"/>
        <v>-1.0510128803285945E-2</v>
      </c>
      <c r="E1740">
        <f>_xlfn.XLOOKUP(A1740,VIX!A:A,VIX!B:B,"",-1)</f>
        <v>20.7</v>
      </c>
      <c r="F1740">
        <f t="shared" si="217"/>
        <v>-0.25</v>
      </c>
      <c r="G1740">
        <f>_xlfn.XLOOKUP(A1740,'DGS10'!A:A,'DGS10'!B:B,"",-1)</f>
        <v>3.92</v>
      </c>
      <c r="H1740">
        <f t="shared" si="218"/>
        <v>0</v>
      </c>
      <c r="I1740" s="2">
        <f>_xlfn.XLOOKUP(A1740,T10Y3M!A:A,T10Y3M!B:B,"",-1)</f>
        <v>-0.96</v>
      </c>
      <c r="J1740" s="2">
        <f>_xlfn.XLOOKUP(A1740,BAMLC0A4CBBB!A:A,BAMLC0A4CBBB!B:B,"",-1)</f>
        <v>1.6</v>
      </c>
      <c r="K1740" s="2">
        <f>_xlfn.XLOOKUP(A1740,CPIAUCSL!A:A,CPIAUCSL!B:B,"",-1)</f>
        <v>301.45</v>
      </c>
      <c r="L1740">
        <f>_xlfn.XLOOKUP(A1740,DFF!A:A,DFF!B:B,"",-1)</f>
        <v>4.57</v>
      </c>
      <c r="M1740">
        <f>_xlfn.XLOOKUP(A1740,'DGS2'!A:A,'DGS2'!B:B,"",-1)</f>
        <v>4.8099999999999996</v>
      </c>
      <c r="N1740">
        <f t="shared" si="219"/>
        <v>2.9999999999999361E-2</v>
      </c>
      <c r="O1740">
        <f t="shared" si="220"/>
        <v>-4.7252622696876134E-3</v>
      </c>
      <c r="P1740">
        <f t="shared" si="221"/>
        <v>0</v>
      </c>
      <c r="Q1740">
        <f t="shared" si="222"/>
        <v>-1</v>
      </c>
    </row>
    <row r="1741" spans="1:17">
      <c r="A1741" s="1">
        <v>44986</v>
      </c>
      <c r="B1741">
        <v>3951.39</v>
      </c>
      <c r="C1741">
        <f t="shared" si="216"/>
        <v>-4.7252622696876134E-3</v>
      </c>
      <c r="D1741">
        <f t="shared" si="223"/>
        <v>-4.6976856656356647E-3</v>
      </c>
      <c r="E1741">
        <f>_xlfn.XLOOKUP(A1741,VIX!A:A,VIX!B:B,"",-1)</f>
        <v>20.58</v>
      </c>
      <c r="F1741">
        <f t="shared" si="217"/>
        <v>-0.12000000000000099</v>
      </c>
      <c r="G1741">
        <f>_xlfn.XLOOKUP(A1741,'DGS10'!A:A,'DGS10'!B:B,"",-1)</f>
        <v>4.01</v>
      </c>
      <c r="H1741">
        <f t="shared" si="218"/>
        <v>8.9999999999999858E-2</v>
      </c>
      <c r="I1741" s="2">
        <f>_xlfn.XLOOKUP(A1741,T10Y3M!A:A,T10Y3M!B:B,"",-1)</f>
        <v>-0.89</v>
      </c>
      <c r="J1741" s="2">
        <f>_xlfn.XLOOKUP(A1741,BAMLC0A4CBBB!A:A,BAMLC0A4CBBB!B:B,"",-1)</f>
        <v>1.59</v>
      </c>
      <c r="K1741" s="2">
        <f>_xlfn.XLOOKUP(A1741,CPIAUCSL!A:A,CPIAUCSL!B:B,"",-1)</f>
        <v>301.82100000000003</v>
      </c>
      <c r="L1741">
        <f>_xlfn.XLOOKUP(A1741,DFF!A:A,DFF!B:B,"",-1)</f>
        <v>4.58</v>
      </c>
      <c r="M1741">
        <f>_xlfn.XLOOKUP(A1741,'DGS2'!A:A,'DGS2'!B:B,"",-1)</f>
        <v>4.8899999999999997</v>
      </c>
      <c r="N1741">
        <f t="shared" si="219"/>
        <v>8.0000000000000071E-2</v>
      </c>
      <c r="O1741">
        <f t="shared" si="220"/>
        <v>7.5821419804169565E-3</v>
      </c>
      <c r="P1741">
        <f t="shared" si="221"/>
        <v>1</v>
      </c>
      <c r="Q1741">
        <f t="shared" si="222"/>
        <v>1</v>
      </c>
    </row>
    <row r="1742" spans="1:17">
      <c r="A1742" s="1">
        <v>44987</v>
      </c>
      <c r="B1742">
        <v>3981.35</v>
      </c>
      <c r="C1742">
        <f t="shared" si="216"/>
        <v>7.5821419804169565E-3</v>
      </c>
      <c r="D1742">
        <f t="shared" si="223"/>
        <v>-2.2349230583784685E-4</v>
      </c>
      <c r="E1742">
        <f>_xlfn.XLOOKUP(A1742,VIX!A:A,VIX!B:B,"",-1)</f>
        <v>19.59</v>
      </c>
      <c r="F1742">
        <f t="shared" si="217"/>
        <v>-0.98999999999999844</v>
      </c>
      <c r="G1742">
        <f>_xlfn.XLOOKUP(A1742,'DGS10'!A:A,'DGS10'!B:B,"",-1)</f>
        <v>4.08</v>
      </c>
      <c r="H1742">
        <f t="shared" si="218"/>
        <v>7.0000000000000284E-2</v>
      </c>
      <c r="I1742" s="2">
        <f>_xlfn.XLOOKUP(A1742,T10Y3M!A:A,T10Y3M!B:B,"",-1)</f>
        <v>-0.83</v>
      </c>
      <c r="J1742" s="2">
        <f>_xlfn.XLOOKUP(A1742,BAMLC0A4CBBB!A:A,BAMLC0A4CBBB!B:B,"",-1)</f>
        <v>1.58</v>
      </c>
      <c r="K1742" s="2">
        <f>_xlfn.XLOOKUP(A1742,CPIAUCSL!A:A,CPIAUCSL!B:B,"",-1)</f>
        <v>301.82100000000003</v>
      </c>
      <c r="L1742">
        <f>_xlfn.XLOOKUP(A1742,DFF!A:A,DFF!B:B,"",-1)</f>
        <v>4.57</v>
      </c>
      <c r="M1742">
        <f>_xlfn.XLOOKUP(A1742,'DGS2'!A:A,'DGS2'!B:B,"",-1)</f>
        <v>4.8899999999999997</v>
      </c>
      <c r="N1742">
        <f t="shared" si="219"/>
        <v>0</v>
      </c>
      <c r="O1742">
        <f t="shared" si="220"/>
        <v>1.61477890665227E-2</v>
      </c>
      <c r="P1742">
        <f t="shared" si="221"/>
        <v>1</v>
      </c>
      <c r="Q1742">
        <f t="shared" si="222"/>
        <v>1</v>
      </c>
    </row>
    <row r="1743" spans="1:17">
      <c r="A1743" s="1">
        <v>44988</v>
      </c>
      <c r="B1743">
        <v>4045.64</v>
      </c>
      <c r="C1743">
        <f t="shared" si="216"/>
        <v>1.61477890665227E-2</v>
      </c>
      <c r="D1743">
        <f t="shared" si="223"/>
        <v>1.9014394922106215E-2</v>
      </c>
      <c r="E1743">
        <f>_xlfn.XLOOKUP(A1743,VIX!A:A,VIX!B:B,"",-1)</f>
        <v>18.489999999999998</v>
      </c>
      <c r="F1743">
        <f t="shared" si="217"/>
        <v>-1.1000000000000014</v>
      </c>
      <c r="G1743">
        <f>_xlfn.XLOOKUP(A1743,'DGS10'!A:A,'DGS10'!B:B,"",-1)</f>
        <v>3.97</v>
      </c>
      <c r="H1743">
        <f t="shared" si="218"/>
        <v>-0.10999999999999988</v>
      </c>
      <c r="I1743" s="2">
        <f>_xlfn.XLOOKUP(A1743,T10Y3M!A:A,T10Y3M!B:B,"",-1)</f>
        <v>-0.94</v>
      </c>
      <c r="J1743" s="2">
        <f>_xlfn.XLOOKUP(A1743,BAMLC0A4CBBB!A:A,BAMLC0A4CBBB!B:B,"",-1)</f>
        <v>1.56</v>
      </c>
      <c r="K1743" s="2">
        <f>_xlfn.XLOOKUP(A1743,CPIAUCSL!A:A,CPIAUCSL!B:B,"",-1)</f>
        <v>301.82100000000003</v>
      </c>
      <c r="L1743">
        <f>_xlfn.XLOOKUP(A1743,DFF!A:A,DFF!B:B,"",-1)</f>
        <v>4.57</v>
      </c>
      <c r="M1743">
        <f>_xlfn.XLOOKUP(A1743,'DGS2'!A:A,'DGS2'!B:B,"",-1)</f>
        <v>4.8600000000000003</v>
      </c>
      <c r="N1743">
        <f t="shared" si="219"/>
        <v>-2.9999999999999361E-2</v>
      </c>
      <c r="O1743">
        <f t="shared" si="220"/>
        <v>6.8715950999109765E-4</v>
      </c>
      <c r="P1743">
        <f t="shared" si="221"/>
        <v>1</v>
      </c>
      <c r="Q1743">
        <f t="shared" si="222"/>
        <v>0</v>
      </c>
    </row>
    <row r="1744" spans="1:17">
      <c r="A1744" s="1">
        <v>44991</v>
      </c>
      <c r="B1744">
        <v>4048.42</v>
      </c>
      <c r="C1744">
        <f t="shared" si="216"/>
        <v>6.8715950999109765E-4</v>
      </c>
      <c r="D1744">
        <f t="shared" si="223"/>
        <v>2.4555915766350633E-2</v>
      </c>
      <c r="E1744">
        <f>_xlfn.XLOOKUP(A1744,VIX!A:A,VIX!B:B,"",-1)</f>
        <v>18.61</v>
      </c>
      <c r="F1744">
        <f t="shared" si="217"/>
        <v>0.12000000000000099</v>
      </c>
      <c r="G1744">
        <f>_xlfn.XLOOKUP(A1744,'DGS10'!A:A,'DGS10'!B:B,"",-1)</f>
        <v>3.98</v>
      </c>
      <c r="H1744">
        <f t="shared" si="218"/>
        <v>9.9999999999997868E-3</v>
      </c>
      <c r="I1744" s="2">
        <f>_xlfn.XLOOKUP(A1744,T10Y3M!A:A,T10Y3M!B:B,"",-1)</f>
        <v>-0.95</v>
      </c>
      <c r="J1744" s="2">
        <f>_xlfn.XLOOKUP(A1744,BAMLC0A4CBBB!A:A,BAMLC0A4CBBB!B:B,"",-1)</f>
        <v>1.54</v>
      </c>
      <c r="K1744" s="2">
        <f>_xlfn.XLOOKUP(A1744,CPIAUCSL!A:A,CPIAUCSL!B:B,"",-1)</f>
        <v>301.82100000000003</v>
      </c>
      <c r="L1744">
        <f>_xlfn.XLOOKUP(A1744,DFF!A:A,DFF!B:B,"",-1)</f>
        <v>4.57</v>
      </c>
      <c r="M1744">
        <f>_xlfn.XLOOKUP(A1744,'DGS2'!A:A,'DGS2'!B:B,"",-1)</f>
        <v>4.8899999999999997</v>
      </c>
      <c r="N1744">
        <f t="shared" si="219"/>
        <v>2.9999999999999361E-2</v>
      </c>
      <c r="O1744">
        <f t="shared" si="220"/>
        <v>-1.5326967063694075E-2</v>
      </c>
      <c r="P1744">
        <f t="shared" si="221"/>
        <v>0</v>
      </c>
      <c r="Q1744">
        <f t="shared" si="222"/>
        <v>-1</v>
      </c>
    </row>
    <row r="1745" spans="1:17">
      <c r="A1745" s="1">
        <v>44992</v>
      </c>
      <c r="B1745">
        <v>3986.37</v>
      </c>
      <c r="C1745">
        <f t="shared" si="216"/>
        <v>-1.5326967063694075E-2</v>
      </c>
      <c r="D1745">
        <f t="shared" si="223"/>
        <v>1.260878847627156E-3</v>
      </c>
      <c r="E1745">
        <f>_xlfn.XLOOKUP(A1745,VIX!A:A,VIX!B:B,"",-1)</f>
        <v>19.59</v>
      </c>
      <c r="F1745">
        <f t="shared" si="217"/>
        <v>0.98000000000000043</v>
      </c>
      <c r="G1745">
        <f>_xlfn.XLOOKUP(A1745,'DGS10'!A:A,'DGS10'!B:B,"",-1)</f>
        <v>3.97</v>
      </c>
      <c r="H1745">
        <f t="shared" si="218"/>
        <v>-9.9999999999997868E-3</v>
      </c>
      <c r="I1745" s="2">
        <f>_xlfn.XLOOKUP(A1745,T10Y3M!A:A,T10Y3M!B:B,"",-1)</f>
        <v>-1.07</v>
      </c>
      <c r="J1745" s="2">
        <f>_xlfn.XLOOKUP(A1745,BAMLC0A4CBBB!A:A,BAMLC0A4CBBB!B:B,"",-1)</f>
        <v>1.55</v>
      </c>
      <c r="K1745" s="2">
        <f>_xlfn.XLOOKUP(A1745,CPIAUCSL!A:A,CPIAUCSL!B:B,"",-1)</f>
        <v>301.82100000000003</v>
      </c>
      <c r="L1745">
        <f>_xlfn.XLOOKUP(A1745,DFF!A:A,DFF!B:B,"",-1)</f>
        <v>4.57</v>
      </c>
      <c r="M1745">
        <f>_xlfn.XLOOKUP(A1745,'DGS2'!A:A,'DGS2'!B:B,"",-1)</f>
        <v>5</v>
      </c>
      <c r="N1745">
        <f t="shared" si="219"/>
        <v>0.11000000000000032</v>
      </c>
      <c r="O1745">
        <f t="shared" si="220"/>
        <v>1.4148210025664021E-3</v>
      </c>
      <c r="P1745">
        <f t="shared" si="221"/>
        <v>1</v>
      </c>
      <c r="Q1745">
        <f t="shared" si="222"/>
        <v>0</v>
      </c>
    </row>
    <row r="1746" spans="1:17">
      <c r="A1746" s="1">
        <v>44993</v>
      </c>
      <c r="B1746">
        <v>3992.01</v>
      </c>
      <c r="C1746">
        <f t="shared" si="216"/>
        <v>1.4148210025664021E-3</v>
      </c>
      <c r="D1746">
        <f t="shared" si="223"/>
        <v>-1.3256246230509805E-2</v>
      </c>
      <c r="E1746">
        <f>_xlfn.XLOOKUP(A1746,VIX!A:A,VIX!B:B,"",-1)</f>
        <v>19.11</v>
      </c>
      <c r="F1746">
        <f t="shared" si="217"/>
        <v>-0.48000000000000043</v>
      </c>
      <c r="G1746">
        <f>_xlfn.XLOOKUP(A1746,'DGS10'!A:A,'DGS10'!B:B,"",-1)</f>
        <v>3.98</v>
      </c>
      <c r="H1746">
        <f t="shared" si="218"/>
        <v>9.9999999999997868E-3</v>
      </c>
      <c r="I1746" s="2">
        <f>_xlfn.XLOOKUP(A1746,T10Y3M!A:A,T10Y3M!B:B,"",-1)</f>
        <v>-1.08</v>
      </c>
      <c r="J1746" s="2">
        <f>_xlfn.XLOOKUP(A1746,BAMLC0A4CBBB!A:A,BAMLC0A4CBBB!B:B,"",-1)</f>
        <v>1.58</v>
      </c>
      <c r="K1746" s="2">
        <f>_xlfn.XLOOKUP(A1746,CPIAUCSL!A:A,CPIAUCSL!B:B,"",-1)</f>
        <v>301.82100000000003</v>
      </c>
      <c r="L1746">
        <f>_xlfn.XLOOKUP(A1746,DFF!A:A,DFF!B:B,"",-1)</f>
        <v>4.57</v>
      </c>
      <c r="M1746">
        <f>_xlfn.XLOOKUP(A1746,'DGS2'!A:A,'DGS2'!B:B,"",-1)</f>
        <v>5.05</v>
      </c>
      <c r="N1746">
        <f t="shared" si="219"/>
        <v>4.9999999999999822E-2</v>
      </c>
      <c r="O1746">
        <f t="shared" si="220"/>
        <v>-1.8459372596762003E-2</v>
      </c>
      <c r="P1746">
        <f t="shared" si="221"/>
        <v>0</v>
      </c>
      <c r="Q1746">
        <f t="shared" si="222"/>
        <v>-1</v>
      </c>
    </row>
    <row r="1747" spans="1:17">
      <c r="A1747" s="1">
        <v>44994</v>
      </c>
      <c r="B1747">
        <v>3918.32</v>
      </c>
      <c r="C1747">
        <f t="shared" si="216"/>
        <v>-1.8459372596762003E-2</v>
      </c>
      <c r="D1747">
        <f t="shared" si="223"/>
        <v>-3.2135993795110118E-2</v>
      </c>
      <c r="E1747">
        <f>_xlfn.XLOOKUP(A1747,VIX!A:A,VIX!B:B,"",-1)</f>
        <v>22.61</v>
      </c>
      <c r="F1747">
        <f t="shared" si="217"/>
        <v>3.5</v>
      </c>
      <c r="G1747">
        <f>_xlfn.XLOOKUP(A1747,'DGS10'!A:A,'DGS10'!B:B,"",-1)</f>
        <v>3.93</v>
      </c>
      <c r="H1747">
        <f t="shared" si="218"/>
        <v>-4.9999999999999822E-2</v>
      </c>
      <c r="I1747" s="2">
        <f>_xlfn.XLOOKUP(A1747,T10Y3M!A:A,T10Y3M!B:B,"",-1)</f>
        <v>-1.1200000000000001</v>
      </c>
      <c r="J1747" s="2">
        <f>_xlfn.XLOOKUP(A1747,BAMLC0A4CBBB!A:A,BAMLC0A4CBBB!B:B,"",-1)</f>
        <v>1.61</v>
      </c>
      <c r="K1747" s="2">
        <f>_xlfn.XLOOKUP(A1747,CPIAUCSL!A:A,CPIAUCSL!B:B,"",-1)</f>
        <v>301.82100000000003</v>
      </c>
      <c r="L1747">
        <f>_xlfn.XLOOKUP(A1747,DFF!A:A,DFF!B:B,"",-1)</f>
        <v>4.57</v>
      </c>
      <c r="M1747">
        <f>_xlfn.XLOOKUP(A1747,'DGS2'!A:A,'DGS2'!B:B,"",-1)</f>
        <v>4.9000000000000004</v>
      </c>
      <c r="N1747">
        <f t="shared" si="219"/>
        <v>-0.14999999999999947</v>
      </c>
      <c r="O1747">
        <f t="shared" si="220"/>
        <v>-1.4478143694236278E-2</v>
      </c>
      <c r="P1747">
        <f t="shared" si="221"/>
        <v>0</v>
      </c>
      <c r="Q1747">
        <f t="shared" si="222"/>
        <v>-1</v>
      </c>
    </row>
    <row r="1748" spans="1:17">
      <c r="A1748" s="1">
        <v>44995</v>
      </c>
      <c r="B1748">
        <v>3861.59</v>
      </c>
      <c r="C1748">
        <f t="shared" si="216"/>
        <v>-1.4478143694236278E-2</v>
      </c>
      <c r="D1748">
        <f t="shared" si="223"/>
        <v>-3.130166040783966E-2</v>
      </c>
      <c r="E1748">
        <f>_xlfn.XLOOKUP(A1748,VIX!A:A,VIX!B:B,"",-1)</f>
        <v>24.8</v>
      </c>
      <c r="F1748">
        <f t="shared" si="217"/>
        <v>2.1900000000000013</v>
      </c>
      <c r="G1748">
        <f>_xlfn.XLOOKUP(A1748,'DGS10'!A:A,'DGS10'!B:B,"",-1)</f>
        <v>3.7</v>
      </c>
      <c r="H1748">
        <f t="shared" si="218"/>
        <v>-0.22999999999999998</v>
      </c>
      <c r="I1748" s="2">
        <f>_xlfn.XLOOKUP(A1748,T10Y3M!A:A,T10Y3M!B:B,"",-1)</f>
        <v>-1.31</v>
      </c>
      <c r="J1748" s="2">
        <f>_xlfn.XLOOKUP(A1748,BAMLC0A4CBBB!A:A,BAMLC0A4CBBB!B:B,"",-1)</f>
        <v>1.69</v>
      </c>
      <c r="K1748" s="2">
        <f>_xlfn.XLOOKUP(A1748,CPIAUCSL!A:A,CPIAUCSL!B:B,"",-1)</f>
        <v>301.82100000000003</v>
      </c>
      <c r="L1748">
        <f>_xlfn.XLOOKUP(A1748,DFF!A:A,DFF!B:B,"",-1)</f>
        <v>4.57</v>
      </c>
      <c r="M1748">
        <f>_xlfn.XLOOKUP(A1748,'DGS2'!A:A,'DGS2'!B:B,"",-1)</f>
        <v>4.5999999999999996</v>
      </c>
      <c r="N1748">
        <f t="shared" si="219"/>
        <v>-0.30000000000000071</v>
      </c>
      <c r="O1748">
        <f t="shared" si="220"/>
        <v>-1.5097408062482165E-3</v>
      </c>
      <c r="P1748">
        <f t="shared" si="221"/>
        <v>0</v>
      </c>
      <c r="Q1748">
        <f t="shared" si="222"/>
        <v>0</v>
      </c>
    </row>
    <row r="1749" spans="1:17">
      <c r="A1749" s="1">
        <v>44998</v>
      </c>
      <c r="B1749">
        <v>3855.76</v>
      </c>
      <c r="C1749">
        <f t="shared" si="216"/>
        <v>-1.5097408062482165E-3</v>
      </c>
      <c r="D1749">
        <f t="shared" si="223"/>
        <v>-3.4130676025360684E-2</v>
      </c>
      <c r="E1749">
        <f>_xlfn.XLOOKUP(A1749,VIX!A:A,VIX!B:B,"",-1)</f>
        <v>26.52</v>
      </c>
      <c r="F1749">
        <f t="shared" si="217"/>
        <v>1.7199999999999989</v>
      </c>
      <c r="G1749">
        <f>_xlfn.XLOOKUP(A1749,'DGS10'!A:A,'DGS10'!B:B,"",-1)</f>
        <v>3.55</v>
      </c>
      <c r="H1749">
        <f t="shared" si="218"/>
        <v>-0.15000000000000036</v>
      </c>
      <c r="I1749" s="2">
        <f>_xlfn.XLOOKUP(A1749,T10Y3M!A:A,T10Y3M!B:B,"",-1)</f>
        <v>-1.32</v>
      </c>
      <c r="J1749" s="2">
        <f>_xlfn.XLOOKUP(A1749,BAMLC0A4CBBB!A:A,BAMLC0A4CBBB!B:B,"",-1)</f>
        <v>1.84</v>
      </c>
      <c r="K1749" s="2">
        <f>_xlfn.XLOOKUP(A1749,CPIAUCSL!A:A,CPIAUCSL!B:B,"",-1)</f>
        <v>301.82100000000003</v>
      </c>
      <c r="L1749">
        <f>_xlfn.XLOOKUP(A1749,DFF!A:A,DFF!B:B,"",-1)</f>
        <v>4.58</v>
      </c>
      <c r="M1749">
        <f>_xlfn.XLOOKUP(A1749,'DGS2'!A:A,'DGS2'!B:B,"",-1)</f>
        <v>4.03</v>
      </c>
      <c r="N1749">
        <f t="shared" si="219"/>
        <v>-0.5699999999999994</v>
      </c>
      <c r="O1749">
        <f t="shared" si="220"/>
        <v>1.6476647924144494E-2</v>
      </c>
      <c r="P1749">
        <f t="shared" si="221"/>
        <v>1</v>
      </c>
      <c r="Q1749">
        <f t="shared" si="222"/>
        <v>1</v>
      </c>
    </row>
    <row r="1750" spans="1:17">
      <c r="A1750" s="1">
        <v>44999</v>
      </c>
      <c r="B1750">
        <v>3919.29</v>
      </c>
      <c r="C1750">
        <f t="shared" si="216"/>
        <v>1.6476647924144494E-2</v>
      </c>
      <c r="D1750">
        <f t="shared" si="223"/>
        <v>2.4755507462370652E-4</v>
      </c>
      <c r="E1750">
        <f>_xlfn.XLOOKUP(A1750,VIX!A:A,VIX!B:B,"",-1)</f>
        <v>23.73</v>
      </c>
      <c r="F1750">
        <f t="shared" si="217"/>
        <v>-2.7899999999999991</v>
      </c>
      <c r="G1750">
        <f>_xlfn.XLOOKUP(A1750,'DGS10'!A:A,'DGS10'!B:B,"",-1)</f>
        <v>3.64</v>
      </c>
      <c r="H1750">
        <f t="shared" si="218"/>
        <v>9.0000000000000302E-2</v>
      </c>
      <c r="I1750" s="2">
        <f>_xlfn.XLOOKUP(A1750,T10Y3M!A:A,T10Y3M!B:B,"",-1)</f>
        <v>-1.24</v>
      </c>
      <c r="J1750" s="2">
        <f>_xlfn.XLOOKUP(A1750,BAMLC0A4CBBB!A:A,BAMLC0A4CBBB!B:B,"",-1)</f>
        <v>1.83</v>
      </c>
      <c r="K1750" s="2">
        <f>_xlfn.XLOOKUP(A1750,CPIAUCSL!A:A,CPIAUCSL!B:B,"",-1)</f>
        <v>301.82100000000003</v>
      </c>
      <c r="L1750">
        <f>_xlfn.XLOOKUP(A1750,DFF!A:A,DFF!B:B,"",-1)</f>
        <v>4.58</v>
      </c>
      <c r="M1750">
        <f>_xlfn.XLOOKUP(A1750,'DGS2'!A:A,'DGS2'!B:B,"",-1)</f>
        <v>4.2</v>
      </c>
      <c r="N1750">
        <f t="shared" si="219"/>
        <v>0.16999999999999993</v>
      </c>
      <c r="O1750">
        <f t="shared" si="220"/>
        <v>-6.9808562265104568E-3</v>
      </c>
      <c r="P1750">
        <f t="shared" si="221"/>
        <v>0</v>
      </c>
      <c r="Q1750">
        <f t="shared" si="222"/>
        <v>-1</v>
      </c>
    </row>
    <row r="1751" spans="1:17">
      <c r="A1751" s="1">
        <v>45000</v>
      </c>
      <c r="B1751">
        <v>3891.93</v>
      </c>
      <c r="C1751">
        <f t="shared" si="216"/>
        <v>-6.9808562265104568E-3</v>
      </c>
      <c r="D1751">
        <f t="shared" si="223"/>
        <v>7.856867248982935E-3</v>
      </c>
      <c r="E1751">
        <f>_xlfn.XLOOKUP(A1751,VIX!A:A,VIX!B:B,"",-1)</f>
        <v>26.14</v>
      </c>
      <c r="F1751">
        <f t="shared" si="217"/>
        <v>2.41</v>
      </c>
      <c r="G1751">
        <f>_xlfn.XLOOKUP(A1751,'DGS10'!A:A,'DGS10'!B:B,"",-1)</f>
        <v>3.51</v>
      </c>
      <c r="H1751">
        <f t="shared" si="218"/>
        <v>-0.13000000000000034</v>
      </c>
      <c r="I1751" s="2">
        <f>_xlfn.XLOOKUP(A1751,T10Y3M!A:A,T10Y3M!B:B,"",-1)</f>
        <v>-1.24</v>
      </c>
      <c r="J1751" s="2">
        <f>_xlfn.XLOOKUP(A1751,BAMLC0A4CBBB!A:A,BAMLC0A4CBBB!B:B,"",-1)</f>
        <v>1.98</v>
      </c>
      <c r="K1751" s="2">
        <f>_xlfn.XLOOKUP(A1751,CPIAUCSL!A:A,CPIAUCSL!B:B,"",-1)</f>
        <v>301.82100000000003</v>
      </c>
      <c r="L1751">
        <f>_xlfn.XLOOKUP(A1751,DFF!A:A,DFF!B:B,"",-1)</f>
        <v>4.58</v>
      </c>
      <c r="M1751">
        <f>_xlfn.XLOOKUP(A1751,'DGS2'!A:A,'DGS2'!B:B,"",-1)</f>
        <v>3.93</v>
      </c>
      <c r="N1751">
        <f t="shared" si="219"/>
        <v>-0.27</v>
      </c>
      <c r="O1751">
        <f t="shared" si="220"/>
        <v>1.7561980816715783E-2</v>
      </c>
      <c r="P1751">
        <f t="shared" si="221"/>
        <v>1</v>
      </c>
      <c r="Q1751">
        <f t="shared" si="222"/>
        <v>1</v>
      </c>
    </row>
    <row r="1752" spans="1:17">
      <c r="A1752" s="1">
        <v>45001</v>
      </c>
      <c r="B1752">
        <v>3960.28</v>
      </c>
      <c r="C1752">
        <f t="shared" si="216"/>
        <v>1.7561980816715783E-2</v>
      </c>
      <c r="D1752">
        <f t="shared" si="223"/>
        <v>2.7107496317198221E-2</v>
      </c>
      <c r="E1752">
        <f>_xlfn.XLOOKUP(A1752,VIX!A:A,VIX!B:B,"",-1)</f>
        <v>22.99</v>
      </c>
      <c r="F1752">
        <f t="shared" si="217"/>
        <v>-3.1500000000000021</v>
      </c>
      <c r="G1752">
        <f>_xlfn.XLOOKUP(A1752,'DGS10'!A:A,'DGS10'!B:B,"",-1)</f>
        <v>3.56</v>
      </c>
      <c r="H1752">
        <f t="shared" si="218"/>
        <v>5.0000000000000266E-2</v>
      </c>
      <c r="I1752" s="2">
        <f>_xlfn.XLOOKUP(A1752,T10Y3M!A:A,T10Y3M!B:B,"",-1)</f>
        <v>-1.18</v>
      </c>
      <c r="J1752" s="2">
        <f>_xlfn.XLOOKUP(A1752,BAMLC0A4CBBB!A:A,BAMLC0A4CBBB!B:B,"",-1)</f>
        <v>1.96</v>
      </c>
      <c r="K1752" s="2">
        <f>_xlfn.XLOOKUP(A1752,CPIAUCSL!A:A,CPIAUCSL!B:B,"",-1)</f>
        <v>301.82100000000003</v>
      </c>
      <c r="L1752">
        <f>_xlfn.XLOOKUP(A1752,DFF!A:A,DFF!B:B,"",-1)</f>
        <v>4.58</v>
      </c>
      <c r="M1752">
        <f>_xlfn.XLOOKUP(A1752,'DGS2'!A:A,'DGS2'!B:B,"",-1)</f>
        <v>4.1399999999999997</v>
      </c>
      <c r="N1752">
        <f t="shared" si="219"/>
        <v>0.20999999999999952</v>
      </c>
      <c r="O1752">
        <f t="shared" si="220"/>
        <v>-1.101942286909019E-2</v>
      </c>
      <c r="P1752">
        <f t="shared" si="221"/>
        <v>0</v>
      </c>
      <c r="Q1752">
        <f t="shared" si="222"/>
        <v>-1</v>
      </c>
    </row>
    <row r="1753" spans="1:17">
      <c r="A1753" s="1">
        <v>45002</v>
      </c>
      <c r="B1753">
        <v>3916.64</v>
      </c>
      <c r="C1753">
        <f t="shared" si="216"/>
        <v>-1.101942286909019E-2</v>
      </c>
      <c r="D1753">
        <f t="shared" si="223"/>
        <v>-6.761428728162544E-4</v>
      </c>
      <c r="E1753">
        <f>_xlfn.XLOOKUP(A1753,VIX!A:A,VIX!B:B,"",-1)</f>
        <v>25.51</v>
      </c>
      <c r="F1753">
        <f t="shared" si="217"/>
        <v>2.5200000000000031</v>
      </c>
      <c r="G1753">
        <f>_xlfn.XLOOKUP(A1753,'DGS10'!A:A,'DGS10'!B:B,"",-1)</f>
        <v>3.39</v>
      </c>
      <c r="H1753">
        <f t="shared" si="218"/>
        <v>-0.16999999999999993</v>
      </c>
      <c r="I1753" s="2">
        <f>_xlfn.XLOOKUP(A1753,T10Y3M!A:A,T10Y3M!B:B,"",-1)</f>
        <v>-1.1299999999999999</v>
      </c>
      <c r="J1753" s="2">
        <f>_xlfn.XLOOKUP(A1753,BAMLC0A4CBBB!A:A,BAMLC0A4CBBB!B:B,"",-1)</f>
        <v>1.97</v>
      </c>
      <c r="K1753" s="2">
        <f>_xlfn.XLOOKUP(A1753,CPIAUCSL!A:A,CPIAUCSL!B:B,"",-1)</f>
        <v>301.82100000000003</v>
      </c>
      <c r="L1753">
        <f>_xlfn.XLOOKUP(A1753,DFF!A:A,DFF!B:B,"",-1)</f>
        <v>4.58</v>
      </c>
      <c r="M1753">
        <f>_xlfn.XLOOKUP(A1753,'DGS2'!A:A,'DGS2'!B:B,"",-1)</f>
        <v>3.81</v>
      </c>
      <c r="N1753">
        <f t="shared" si="219"/>
        <v>-0.32999999999999963</v>
      </c>
      <c r="O1753">
        <f t="shared" si="220"/>
        <v>8.9183585930798781E-3</v>
      </c>
      <c r="P1753">
        <f t="shared" si="221"/>
        <v>1</v>
      </c>
      <c r="Q1753">
        <f t="shared" si="222"/>
        <v>1</v>
      </c>
    </row>
    <row r="1754" spans="1:17">
      <c r="A1754" s="1">
        <v>45005</v>
      </c>
      <c r="B1754">
        <v>3951.57</v>
      </c>
      <c r="C1754">
        <f t="shared" si="216"/>
        <v>8.9183585930798781E-3</v>
      </c>
      <c r="D1754">
        <f t="shared" si="223"/>
        <v>1.5324016619004066E-2</v>
      </c>
      <c r="E1754">
        <f>_xlfn.XLOOKUP(A1754,VIX!A:A,VIX!B:B,"",-1)</f>
        <v>24.15</v>
      </c>
      <c r="F1754">
        <f t="shared" si="217"/>
        <v>-1.360000000000003</v>
      </c>
      <c r="G1754">
        <f>_xlfn.XLOOKUP(A1754,'DGS10'!A:A,'DGS10'!B:B,"",-1)</f>
        <v>3.47</v>
      </c>
      <c r="H1754">
        <f t="shared" si="218"/>
        <v>8.0000000000000071E-2</v>
      </c>
      <c r="I1754" s="2">
        <f>_xlfn.XLOOKUP(A1754,T10Y3M!A:A,T10Y3M!B:B,"",-1)</f>
        <v>-1.34</v>
      </c>
      <c r="J1754" s="2">
        <f>_xlfn.XLOOKUP(A1754,BAMLC0A4CBBB!A:A,BAMLC0A4CBBB!B:B,"",-1)</f>
        <v>1.96</v>
      </c>
      <c r="K1754" s="2">
        <f>_xlfn.XLOOKUP(A1754,CPIAUCSL!A:A,CPIAUCSL!B:B,"",-1)</f>
        <v>301.82100000000003</v>
      </c>
      <c r="L1754">
        <f>_xlfn.XLOOKUP(A1754,DFF!A:A,DFF!B:B,"",-1)</f>
        <v>4.58</v>
      </c>
      <c r="M1754">
        <f>_xlfn.XLOOKUP(A1754,'DGS2'!A:A,'DGS2'!B:B,"",-1)</f>
        <v>3.92</v>
      </c>
      <c r="N1754">
        <f t="shared" si="219"/>
        <v>0.10999999999999988</v>
      </c>
      <c r="O1754">
        <f t="shared" si="220"/>
        <v>1.2982181765728518E-2</v>
      </c>
      <c r="P1754">
        <f t="shared" si="221"/>
        <v>1</v>
      </c>
      <c r="Q1754">
        <f t="shared" si="222"/>
        <v>1</v>
      </c>
    </row>
    <row r="1755" spans="1:17">
      <c r="A1755" s="1">
        <v>45006</v>
      </c>
      <c r="B1755">
        <v>4002.87</v>
      </c>
      <c r="C1755">
        <f t="shared" si="216"/>
        <v>1.2982181765728518E-2</v>
      </c>
      <c r="D1755">
        <f t="shared" si="223"/>
        <v>1.0754290100699837E-2</v>
      </c>
      <c r="E1755">
        <f>_xlfn.XLOOKUP(A1755,VIX!A:A,VIX!B:B,"",-1)</f>
        <v>21.38</v>
      </c>
      <c r="F1755">
        <f t="shared" si="217"/>
        <v>-2.7699999999999996</v>
      </c>
      <c r="G1755">
        <f>_xlfn.XLOOKUP(A1755,'DGS10'!A:A,'DGS10'!B:B,"",-1)</f>
        <v>3.59</v>
      </c>
      <c r="H1755">
        <f t="shared" si="218"/>
        <v>0.11999999999999966</v>
      </c>
      <c r="I1755" s="2">
        <f>_xlfn.XLOOKUP(A1755,T10Y3M!A:A,T10Y3M!B:B,"",-1)</f>
        <v>-1.19</v>
      </c>
      <c r="J1755" s="2">
        <f>_xlfn.XLOOKUP(A1755,BAMLC0A4CBBB!A:A,BAMLC0A4CBBB!B:B,"",-1)</f>
        <v>1.85</v>
      </c>
      <c r="K1755" s="2">
        <f>_xlfn.XLOOKUP(A1755,CPIAUCSL!A:A,CPIAUCSL!B:B,"",-1)</f>
        <v>301.82100000000003</v>
      </c>
      <c r="L1755">
        <f>_xlfn.XLOOKUP(A1755,DFF!A:A,DFF!B:B,"",-1)</f>
        <v>4.58</v>
      </c>
      <c r="M1755">
        <f>_xlfn.XLOOKUP(A1755,'DGS2'!A:A,'DGS2'!B:B,"",-1)</f>
        <v>4.17</v>
      </c>
      <c r="N1755">
        <f t="shared" si="219"/>
        <v>0.25</v>
      </c>
      <c r="O1755">
        <f t="shared" si="220"/>
        <v>-1.646318766285193E-2</v>
      </c>
      <c r="P1755">
        <f t="shared" si="221"/>
        <v>0</v>
      </c>
      <c r="Q1755">
        <f t="shared" si="222"/>
        <v>-1</v>
      </c>
    </row>
    <row r="1756" spans="1:17">
      <c r="A1756" s="1">
        <v>45007</v>
      </c>
      <c r="B1756">
        <v>3936.97</v>
      </c>
      <c r="C1756">
        <f t="shared" si="216"/>
        <v>-1.646318766285193E-2</v>
      </c>
      <c r="D1756">
        <f t="shared" si="223"/>
        <v>5.1906736386289065E-3</v>
      </c>
      <c r="E1756">
        <f>_xlfn.XLOOKUP(A1756,VIX!A:A,VIX!B:B,"",-1)</f>
        <v>22.26</v>
      </c>
      <c r="F1756">
        <f t="shared" si="217"/>
        <v>0.88000000000000256</v>
      </c>
      <c r="G1756">
        <f>_xlfn.XLOOKUP(A1756,'DGS10'!A:A,'DGS10'!B:B,"",-1)</f>
        <v>3.48</v>
      </c>
      <c r="H1756">
        <f t="shared" si="218"/>
        <v>-0.10999999999999988</v>
      </c>
      <c r="I1756" s="2">
        <f>_xlfn.XLOOKUP(A1756,T10Y3M!A:A,T10Y3M!B:B,"",-1)</f>
        <v>-1.31</v>
      </c>
      <c r="J1756" s="2">
        <f>_xlfn.XLOOKUP(A1756,BAMLC0A4CBBB!A:A,BAMLC0A4CBBB!B:B,"",-1)</f>
        <v>1.83</v>
      </c>
      <c r="K1756" s="2">
        <f>_xlfn.XLOOKUP(A1756,CPIAUCSL!A:A,CPIAUCSL!B:B,"",-1)</f>
        <v>301.82100000000003</v>
      </c>
      <c r="L1756">
        <f>_xlfn.XLOOKUP(A1756,DFF!A:A,DFF!B:B,"",-1)</f>
        <v>4.58</v>
      </c>
      <c r="M1756">
        <f>_xlfn.XLOOKUP(A1756,'DGS2'!A:A,'DGS2'!B:B,"",-1)</f>
        <v>3.96</v>
      </c>
      <c r="N1756">
        <f t="shared" si="219"/>
        <v>-0.20999999999999996</v>
      </c>
      <c r="O1756">
        <f t="shared" si="220"/>
        <v>2.9845287111662788E-3</v>
      </c>
      <c r="P1756">
        <f t="shared" si="221"/>
        <v>1</v>
      </c>
      <c r="Q1756">
        <f t="shared" si="222"/>
        <v>0</v>
      </c>
    </row>
    <row r="1757" spans="1:17">
      <c r="A1757" s="1">
        <v>45008</v>
      </c>
      <c r="B1757">
        <v>3948.72</v>
      </c>
      <c r="C1757">
        <f t="shared" si="216"/>
        <v>2.9845287111662788E-3</v>
      </c>
      <c r="D1757">
        <f t="shared" si="223"/>
        <v>-7.2123232031839901E-4</v>
      </c>
      <c r="E1757">
        <f>_xlfn.XLOOKUP(A1757,VIX!A:A,VIX!B:B,"",-1)</f>
        <v>22.61</v>
      </c>
      <c r="F1757">
        <f t="shared" si="217"/>
        <v>0.34999999999999787</v>
      </c>
      <c r="G1757">
        <f>_xlfn.XLOOKUP(A1757,'DGS10'!A:A,'DGS10'!B:B,"",-1)</f>
        <v>3.38</v>
      </c>
      <c r="H1757">
        <f t="shared" si="218"/>
        <v>-0.10000000000000009</v>
      </c>
      <c r="I1757" s="2">
        <f>_xlfn.XLOOKUP(A1757,T10Y3M!A:A,T10Y3M!B:B,"",-1)</f>
        <v>-1.35</v>
      </c>
      <c r="J1757" s="2">
        <f>_xlfn.XLOOKUP(A1757,BAMLC0A4CBBB!A:A,BAMLC0A4CBBB!B:B,"",-1)</f>
        <v>1.85</v>
      </c>
      <c r="K1757" s="2">
        <f>_xlfn.XLOOKUP(A1757,CPIAUCSL!A:A,CPIAUCSL!B:B,"",-1)</f>
        <v>301.82100000000003</v>
      </c>
      <c r="L1757">
        <f>_xlfn.XLOOKUP(A1757,DFF!A:A,DFF!B:B,"",-1)</f>
        <v>4.83</v>
      </c>
      <c r="M1757">
        <f>_xlfn.XLOOKUP(A1757,'DGS2'!A:A,'DGS2'!B:B,"",-1)</f>
        <v>3.76</v>
      </c>
      <c r="N1757">
        <f t="shared" si="219"/>
        <v>-0.20000000000000018</v>
      </c>
      <c r="O1757">
        <f t="shared" si="220"/>
        <v>5.6398022650376856E-3</v>
      </c>
      <c r="P1757">
        <f t="shared" si="221"/>
        <v>1</v>
      </c>
      <c r="Q1757">
        <f t="shared" si="222"/>
        <v>1</v>
      </c>
    </row>
    <row r="1758" spans="1:17">
      <c r="A1758" s="1">
        <v>45009</v>
      </c>
      <c r="B1758">
        <v>3970.99</v>
      </c>
      <c r="C1758">
        <f t="shared" si="216"/>
        <v>5.6398022650376856E-3</v>
      </c>
      <c r="D1758">
        <f t="shared" si="223"/>
        <v>-7.9642856250640159E-3</v>
      </c>
      <c r="E1758">
        <f>_xlfn.XLOOKUP(A1758,VIX!A:A,VIX!B:B,"",-1)</f>
        <v>21.74</v>
      </c>
      <c r="F1758">
        <f t="shared" si="217"/>
        <v>-0.87000000000000099</v>
      </c>
      <c r="G1758">
        <f>_xlfn.XLOOKUP(A1758,'DGS10'!A:A,'DGS10'!B:B,"",-1)</f>
        <v>3.38</v>
      </c>
      <c r="H1758">
        <f t="shared" si="218"/>
        <v>0</v>
      </c>
      <c r="I1758" s="2">
        <f>_xlfn.XLOOKUP(A1758,T10Y3M!A:A,T10Y3M!B:B,"",-1)</f>
        <v>-1.36</v>
      </c>
      <c r="J1758" s="2">
        <f>_xlfn.XLOOKUP(A1758,BAMLC0A4CBBB!A:A,BAMLC0A4CBBB!B:B,"",-1)</f>
        <v>1.88</v>
      </c>
      <c r="K1758" s="2">
        <f>_xlfn.XLOOKUP(A1758,CPIAUCSL!A:A,CPIAUCSL!B:B,"",-1)</f>
        <v>301.82100000000003</v>
      </c>
      <c r="L1758">
        <f>_xlfn.XLOOKUP(A1758,DFF!A:A,DFF!B:B,"",-1)</f>
        <v>4.83</v>
      </c>
      <c r="M1758">
        <f>_xlfn.XLOOKUP(A1758,'DGS2'!A:A,'DGS2'!B:B,"",-1)</f>
        <v>3.76</v>
      </c>
      <c r="N1758">
        <f t="shared" si="219"/>
        <v>0</v>
      </c>
      <c r="O1758">
        <f t="shared" si="220"/>
        <v>1.6469444647304599E-3</v>
      </c>
      <c r="P1758">
        <f t="shared" si="221"/>
        <v>1</v>
      </c>
      <c r="Q1758">
        <f t="shared" si="222"/>
        <v>0</v>
      </c>
    </row>
    <row r="1759" spans="1:17">
      <c r="A1759" s="1">
        <v>45012</v>
      </c>
      <c r="B1759">
        <v>3977.53</v>
      </c>
      <c r="C1759">
        <f t="shared" si="216"/>
        <v>1.6469444647304599E-3</v>
      </c>
      <c r="D1759">
        <f t="shared" si="223"/>
        <v>1.0302339108502423E-2</v>
      </c>
      <c r="E1759">
        <f>_xlfn.XLOOKUP(A1759,VIX!A:A,VIX!B:B,"",-1)</f>
        <v>20.6</v>
      </c>
      <c r="F1759">
        <f t="shared" si="217"/>
        <v>-1.139999999999997</v>
      </c>
      <c r="G1759">
        <f>_xlfn.XLOOKUP(A1759,'DGS10'!A:A,'DGS10'!B:B,"",-1)</f>
        <v>3.53</v>
      </c>
      <c r="H1759">
        <f t="shared" si="218"/>
        <v>0.14999999999999991</v>
      </c>
      <c r="I1759" s="2">
        <f>_xlfn.XLOOKUP(A1759,T10Y3M!A:A,T10Y3M!B:B,"",-1)</f>
        <v>-1.38</v>
      </c>
      <c r="J1759" s="2">
        <f>_xlfn.XLOOKUP(A1759,BAMLC0A4CBBB!A:A,BAMLC0A4CBBB!B:B,"",-1)</f>
        <v>1.85</v>
      </c>
      <c r="K1759" s="2">
        <f>_xlfn.XLOOKUP(A1759,CPIAUCSL!A:A,CPIAUCSL!B:B,"",-1)</f>
        <v>301.82100000000003</v>
      </c>
      <c r="L1759">
        <f>_xlfn.XLOOKUP(A1759,DFF!A:A,DFF!B:B,"",-1)</f>
        <v>4.83</v>
      </c>
      <c r="M1759">
        <f>_xlfn.XLOOKUP(A1759,'DGS2'!A:A,'DGS2'!B:B,"",-1)</f>
        <v>3.94</v>
      </c>
      <c r="N1759">
        <f t="shared" si="219"/>
        <v>0.18000000000000016</v>
      </c>
      <c r="O1759">
        <f t="shared" si="220"/>
        <v>-1.5738410521103363E-3</v>
      </c>
      <c r="P1759">
        <f t="shared" si="221"/>
        <v>0</v>
      </c>
      <c r="Q1759">
        <f t="shared" si="222"/>
        <v>0</v>
      </c>
    </row>
    <row r="1760" spans="1:17">
      <c r="A1760" s="1">
        <v>45013</v>
      </c>
      <c r="B1760">
        <v>3971.27</v>
      </c>
      <c r="C1760">
        <f t="shared" si="216"/>
        <v>-1.5738410521103363E-3</v>
      </c>
      <c r="D1760">
        <f t="shared" si="223"/>
        <v>5.7107113191110503E-3</v>
      </c>
      <c r="E1760">
        <f>_xlfn.XLOOKUP(A1760,VIX!A:A,VIX!B:B,"",-1)</f>
        <v>19.97</v>
      </c>
      <c r="F1760">
        <f t="shared" si="217"/>
        <v>-0.63000000000000256</v>
      </c>
      <c r="G1760">
        <f>_xlfn.XLOOKUP(A1760,'DGS10'!A:A,'DGS10'!B:B,"",-1)</f>
        <v>3.55</v>
      </c>
      <c r="H1760">
        <f t="shared" si="218"/>
        <v>2.0000000000000018E-2</v>
      </c>
      <c r="I1760" s="2">
        <f>_xlfn.XLOOKUP(A1760,T10Y3M!A:A,T10Y3M!B:B,"",-1)</f>
        <v>-1.25</v>
      </c>
      <c r="J1760" s="2">
        <f>_xlfn.XLOOKUP(A1760,BAMLC0A4CBBB!A:A,BAMLC0A4CBBB!B:B,"",-1)</f>
        <v>1.86</v>
      </c>
      <c r="K1760" s="2">
        <f>_xlfn.XLOOKUP(A1760,CPIAUCSL!A:A,CPIAUCSL!B:B,"",-1)</f>
        <v>301.82100000000003</v>
      </c>
      <c r="L1760">
        <f>_xlfn.XLOOKUP(A1760,DFF!A:A,DFF!B:B,"",-1)</f>
        <v>4.83</v>
      </c>
      <c r="M1760">
        <f>_xlfn.XLOOKUP(A1760,'DGS2'!A:A,'DGS2'!B:B,"",-1)</f>
        <v>4.0199999999999996</v>
      </c>
      <c r="N1760">
        <f t="shared" si="219"/>
        <v>7.9999999999999627E-2</v>
      </c>
      <c r="O1760">
        <f t="shared" si="220"/>
        <v>1.4237259113583312E-2</v>
      </c>
      <c r="P1760">
        <f t="shared" si="221"/>
        <v>1</v>
      </c>
      <c r="Q1760">
        <f t="shared" si="222"/>
        <v>1</v>
      </c>
    </row>
    <row r="1761" spans="1:17">
      <c r="A1761" s="1">
        <v>45014</v>
      </c>
      <c r="B1761">
        <v>4027.81</v>
      </c>
      <c r="C1761">
        <f t="shared" si="216"/>
        <v>1.4237259113583312E-2</v>
      </c>
      <c r="D1761">
        <f t="shared" si="223"/>
        <v>1.4308774386236234E-2</v>
      </c>
      <c r="E1761">
        <f>_xlfn.XLOOKUP(A1761,VIX!A:A,VIX!B:B,"",-1)</f>
        <v>19.12</v>
      </c>
      <c r="F1761">
        <f t="shared" si="217"/>
        <v>-0.84999999999999787</v>
      </c>
      <c r="G1761">
        <f>_xlfn.XLOOKUP(A1761,'DGS10'!A:A,'DGS10'!B:B,"",-1)</f>
        <v>3.57</v>
      </c>
      <c r="H1761">
        <f t="shared" si="218"/>
        <v>2.0000000000000018E-2</v>
      </c>
      <c r="I1761" s="2">
        <f>_xlfn.XLOOKUP(A1761,T10Y3M!A:A,T10Y3M!B:B,"",-1)</f>
        <v>-1.23</v>
      </c>
      <c r="J1761" s="2">
        <f>_xlfn.XLOOKUP(A1761,BAMLC0A4CBBB!A:A,BAMLC0A4CBBB!B:B,"",-1)</f>
        <v>1.83</v>
      </c>
      <c r="K1761" s="2">
        <f>_xlfn.XLOOKUP(A1761,CPIAUCSL!A:A,CPIAUCSL!B:B,"",-1)</f>
        <v>301.82100000000003</v>
      </c>
      <c r="L1761">
        <f>_xlfn.XLOOKUP(A1761,DFF!A:A,DFF!B:B,"",-1)</f>
        <v>4.83</v>
      </c>
      <c r="M1761">
        <f>_xlfn.XLOOKUP(A1761,'DGS2'!A:A,'DGS2'!B:B,"",-1)</f>
        <v>4.08</v>
      </c>
      <c r="N1761">
        <f t="shared" si="219"/>
        <v>6.0000000000000497E-2</v>
      </c>
      <c r="O1761">
        <f t="shared" si="220"/>
        <v>5.7152646227105475E-3</v>
      </c>
      <c r="P1761">
        <f t="shared" si="221"/>
        <v>1</v>
      </c>
      <c r="Q1761">
        <f t="shared" si="222"/>
        <v>1</v>
      </c>
    </row>
    <row r="1762" spans="1:17">
      <c r="A1762" s="1">
        <v>45015</v>
      </c>
      <c r="B1762">
        <v>4050.83</v>
      </c>
      <c r="C1762">
        <f t="shared" si="216"/>
        <v>5.7152646227105475E-3</v>
      </c>
      <c r="D1762">
        <f t="shared" si="223"/>
        <v>1.8428522223590926E-2</v>
      </c>
      <c r="E1762">
        <f>_xlfn.XLOOKUP(A1762,VIX!A:A,VIX!B:B,"",-1)</f>
        <v>19.02</v>
      </c>
      <c r="F1762">
        <f t="shared" si="217"/>
        <v>-0.10000000000000142</v>
      </c>
      <c r="G1762">
        <f>_xlfn.XLOOKUP(A1762,'DGS10'!A:A,'DGS10'!B:B,"",-1)</f>
        <v>3.55</v>
      </c>
      <c r="H1762">
        <f t="shared" si="218"/>
        <v>-2.0000000000000018E-2</v>
      </c>
      <c r="I1762" s="2">
        <f>_xlfn.XLOOKUP(A1762,T10Y3M!A:A,T10Y3M!B:B,"",-1)</f>
        <v>-1.42</v>
      </c>
      <c r="J1762" s="2">
        <f>_xlfn.XLOOKUP(A1762,BAMLC0A4CBBB!A:A,BAMLC0A4CBBB!B:B,"",-1)</f>
        <v>1.8</v>
      </c>
      <c r="K1762" s="2">
        <f>_xlfn.XLOOKUP(A1762,CPIAUCSL!A:A,CPIAUCSL!B:B,"",-1)</f>
        <v>301.82100000000003</v>
      </c>
      <c r="L1762">
        <f>_xlfn.XLOOKUP(A1762,DFF!A:A,DFF!B:B,"",-1)</f>
        <v>4.83</v>
      </c>
      <c r="M1762">
        <f>_xlfn.XLOOKUP(A1762,'DGS2'!A:A,'DGS2'!B:B,"",-1)</f>
        <v>4.0999999999999996</v>
      </c>
      <c r="N1762">
        <f t="shared" si="219"/>
        <v>1.9999999999999574E-2</v>
      </c>
      <c r="O1762">
        <f t="shared" si="220"/>
        <v>1.4436547571732294E-2</v>
      </c>
      <c r="P1762">
        <f t="shared" si="221"/>
        <v>1</v>
      </c>
      <c r="Q1762">
        <f t="shared" si="222"/>
        <v>1</v>
      </c>
    </row>
    <row r="1763" spans="1:17">
      <c r="A1763" s="1">
        <v>45016</v>
      </c>
      <c r="B1763">
        <v>4109.3100000000004</v>
      </c>
      <c r="C1763">
        <f t="shared" si="216"/>
        <v>1.4436547571732294E-2</v>
      </c>
      <c r="D1763">
        <f t="shared" si="223"/>
        <v>3.4759661267050657E-2</v>
      </c>
      <c r="E1763">
        <f>_xlfn.XLOOKUP(A1763,VIX!A:A,VIX!B:B,"",-1)</f>
        <v>18.7</v>
      </c>
      <c r="F1763">
        <f t="shared" si="217"/>
        <v>-0.32000000000000028</v>
      </c>
      <c r="G1763">
        <f>_xlfn.XLOOKUP(A1763,'DGS10'!A:A,'DGS10'!B:B,"",-1)</f>
        <v>3.48</v>
      </c>
      <c r="H1763">
        <f t="shared" si="218"/>
        <v>-6.999999999999984E-2</v>
      </c>
      <c r="I1763" s="2">
        <f>_xlfn.XLOOKUP(A1763,T10Y3M!A:A,T10Y3M!B:B,"",-1)</f>
        <v>-1.37</v>
      </c>
      <c r="J1763" s="2">
        <f>_xlfn.XLOOKUP(A1763,BAMLC0A4CBBB!A:A,BAMLC0A4CBBB!B:B,"",-1)</f>
        <v>1.77</v>
      </c>
      <c r="K1763" s="2">
        <f>_xlfn.XLOOKUP(A1763,CPIAUCSL!A:A,CPIAUCSL!B:B,"",-1)</f>
        <v>301.82100000000003</v>
      </c>
      <c r="L1763">
        <f>_xlfn.XLOOKUP(A1763,DFF!A:A,DFF!B:B,"",-1)</f>
        <v>4.83</v>
      </c>
      <c r="M1763">
        <f>_xlfn.XLOOKUP(A1763,'DGS2'!A:A,'DGS2'!B:B,"",-1)</f>
        <v>4.0599999999999996</v>
      </c>
      <c r="N1763">
        <f t="shared" si="219"/>
        <v>-4.0000000000000036E-2</v>
      </c>
      <c r="O1763">
        <f t="shared" si="220"/>
        <v>3.6989178231867648E-3</v>
      </c>
      <c r="P1763">
        <f t="shared" si="221"/>
        <v>1</v>
      </c>
      <c r="Q1763">
        <f t="shared" si="222"/>
        <v>1</v>
      </c>
    </row>
    <row r="1764" spans="1:17">
      <c r="A1764" s="1">
        <v>45019</v>
      </c>
      <c r="B1764">
        <v>4124.51</v>
      </c>
      <c r="C1764">
        <f t="shared" si="216"/>
        <v>3.6989178231867648E-3</v>
      </c>
      <c r="D1764">
        <f t="shared" si="223"/>
        <v>2.4008083797398605E-2</v>
      </c>
      <c r="E1764">
        <f>_xlfn.XLOOKUP(A1764,VIX!A:A,VIX!B:B,"",-1)</f>
        <v>18.55</v>
      </c>
      <c r="F1764">
        <f t="shared" si="217"/>
        <v>-0.14999999999999858</v>
      </c>
      <c r="G1764">
        <f>_xlfn.XLOOKUP(A1764,'DGS10'!A:A,'DGS10'!B:B,"",-1)</f>
        <v>3.43</v>
      </c>
      <c r="H1764">
        <f t="shared" si="218"/>
        <v>-4.9999999999999822E-2</v>
      </c>
      <c r="I1764" s="2">
        <f>_xlfn.XLOOKUP(A1764,T10Y3M!A:A,T10Y3M!B:B,"",-1)</f>
        <v>-1.47</v>
      </c>
      <c r="J1764" s="2">
        <f>_xlfn.XLOOKUP(A1764,BAMLC0A4CBBB!A:A,BAMLC0A4CBBB!B:B,"",-1)</f>
        <v>1.75</v>
      </c>
      <c r="K1764" s="2">
        <f>_xlfn.XLOOKUP(A1764,CPIAUCSL!A:A,CPIAUCSL!B:B,"",-1)</f>
        <v>302.84500000000003</v>
      </c>
      <c r="L1764">
        <f>_xlfn.XLOOKUP(A1764,DFF!A:A,DFF!B:B,"",-1)</f>
        <v>4.83</v>
      </c>
      <c r="M1764">
        <f>_xlfn.XLOOKUP(A1764,'DGS2'!A:A,'DGS2'!B:B,"",-1)</f>
        <v>3.97</v>
      </c>
      <c r="N1764">
        <f t="shared" si="219"/>
        <v>-8.9999999999999414E-2</v>
      </c>
      <c r="O1764">
        <f t="shared" si="220"/>
        <v>-5.7970522559043225E-3</v>
      </c>
      <c r="P1764">
        <f t="shared" si="221"/>
        <v>0</v>
      </c>
      <c r="Q1764">
        <f t="shared" si="222"/>
        <v>-1</v>
      </c>
    </row>
    <row r="1765" spans="1:17">
      <c r="A1765" s="1">
        <v>45020</v>
      </c>
      <c r="B1765">
        <v>4100.6000000000004</v>
      </c>
      <c r="C1765">
        <f t="shared" si="216"/>
        <v>-5.7970522559043225E-3</v>
      </c>
      <c r="D1765">
        <f t="shared" si="223"/>
        <v>1.2286370941263947E-2</v>
      </c>
      <c r="E1765">
        <f>_xlfn.XLOOKUP(A1765,VIX!A:A,VIX!B:B,"",-1)</f>
        <v>19</v>
      </c>
      <c r="F1765">
        <f t="shared" si="217"/>
        <v>0.44999999999999929</v>
      </c>
      <c r="G1765">
        <f>_xlfn.XLOOKUP(A1765,'DGS10'!A:A,'DGS10'!B:B,"",-1)</f>
        <v>3.35</v>
      </c>
      <c r="H1765">
        <f t="shared" si="218"/>
        <v>-8.0000000000000071E-2</v>
      </c>
      <c r="I1765" s="2">
        <f>_xlfn.XLOOKUP(A1765,T10Y3M!A:A,T10Y3M!B:B,"",-1)</f>
        <v>-1.53</v>
      </c>
      <c r="J1765" s="2">
        <f>_xlfn.XLOOKUP(A1765,BAMLC0A4CBBB!A:A,BAMLC0A4CBBB!B:B,"",-1)</f>
        <v>1.76</v>
      </c>
      <c r="K1765" s="2">
        <f>_xlfn.XLOOKUP(A1765,CPIAUCSL!A:A,CPIAUCSL!B:B,"",-1)</f>
        <v>302.84500000000003</v>
      </c>
      <c r="L1765">
        <f>_xlfn.XLOOKUP(A1765,DFF!A:A,DFF!B:B,"",-1)</f>
        <v>4.83</v>
      </c>
      <c r="M1765">
        <f>_xlfn.XLOOKUP(A1765,'DGS2'!A:A,'DGS2'!B:B,"",-1)</f>
        <v>3.84</v>
      </c>
      <c r="N1765">
        <f t="shared" si="219"/>
        <v>-0.13000000000000034</v>
      </c>
      <c r="O1765">
        <f t="shared" si="220"/>
        <v>-2.4923181973370845E-3</v>
      </c>
      <c r="P1765">
        <f t="shared" si="221"/>
        <v>0</v>
      </c>
      <c r="Q1765">
        <f t="shared" si="222"/>
        <v>0</v>
      </c>
    </row>
    <row r="1766" spans="1:17">
      <c r="A1766" s="1">
        <v>45021</v>
      </c>
      <c r="B1766">
        <v>4090.38</v>
      </c>
      <c r="C1766">
        <f t="shared" si="216"/>
        <v>-2.4923181973370845E-3</v>
      </c>
      <c r="D1766">
        <f t="shared" si="223"/>
        <v>-4.6066127890084241E-3</v>
      </c>
      <c r="E1766">
        <f>_xlfn.XLOOKUP(A1766,VIX!A:A,VIX!B:B,"",-1)</f>
        <v>19.079999999999998</v>
      </c>
      <c r="F1766">
        <f t="shared" si="217"/>
        <v>7.9999999999998295E-2</v>
      </c>
      <c r="G1766">
        <f>_xlfn.XLOOKUP(A1766,'DGS10'!A:A,'DGS10'!B:B,"",-1)</f>
        <v>3.3</v>
      </c>
      <c r="H1766">
        <f t="shared" si="218"/>
        <v>-5.0000000000000266E-2</v>
      </c>
      <c r="I1766" s="2">
        <f>_xlfn.XLOOKUP(A1766,T10Y3M!A:A,T10Y3M!B:B,"",-1)</f>
        <v>-1.56</v>
      </c>
      <c r="J1766" s="2">
        <f>_xlfn.XLOOKUP(A1766,BAMLC0A4CBBB!A:A,BAMLC0A4CBBB!B:B,"",-1)</f>
        <v>1.78</v>
      </c>
      <c r="K1766" s="2">
        <f>_xlfn.XLOOKUP(A1766,CPIAUCSL!A:A,CPIAUCSL!B:B,"",-1)</f>
        <v>302.84500000000003</v>
      </c>
      <c r="L1766">
        <f>_xlfn.XLOOKUP(A1766,DFF!A:A,DFF!B:B,"",-1)</f>
        <v>4.83</v>
      </c>
      <c r="M1766">
        <f>_xlfn.XLOOKUP(A1766,'DGS2'!A:A,'DGS2'!B:B,"",-1)</f>
        <v>3.79</v>
      </c>
      <c r="N1766">
        <f t="shared" si="219"/>
        <v>-4.9999999999999822E-2</v>
      </c>
      <c r="O1766">
        <f t="shared" si="220"/>
        <v>3.5791295674241219E-3</v>
      </c>
      <c r="P1766">
        <f t="shared" si="221"/>
        <v>1</v>
      </c>
      <c r="Q1766">
        <f t="shared" si="222"/>
        <v>1</v>
      </c>
    </row>
    <row r="1767" spans="1:17">
      <c r="A1767" s="1">
        <v>45022</v>
      </c>
      <c r="B1767">
        <v>4105.0200000000004</v>
      </c>
      <c r="C1767">
        <f t="shared" si="216"/>
        <v>3.5791295674241219E-3</v>
      </c>
      <c r="D1767">
        <f t="shared" si="223"/>
        <v>-4.7254098062556871E-3</v>
      </c>
      <c r="E1767">
        <f>_xlfn.XLOOKUP(A1767,VIX!A:A,VIX!B:B,"",-1)</f>
        <v>18.399999999999999</v>
      </c>
      <c r="F1767">
        <f t="shared" si="217"/>
        <v>-0.67999999999999972</v>
      </c>
      <c r="G1767">
        <f>_xlfn.XLOOKUP(A1767,'DGS10'!A:A,'DGS10'!B:B,"",-1)</f>
        <v>3.3</v>
      </c>
      <c r="H1767">
        <f t="shared" si="218"/>
        <v>0</v>
      </c>
      <c r="I1767" s="2">
        <f>_xlfn.XLOOKUP(A1767,T10Y3M!A:A,T10Y3M!B:B,"",-1)</f>
        <v>-1.61</v>
      </c>
      <c r="J1767" s="2">
        <f>_xlfn.XLOOKUP(A1767,BAMLC0A4CBBB!A:A,BAMLC0A4CBBB!B:B,"",-1)</f>
        <v>1.79</v>
      </c>
      <c r="K1767" s="2">
        <f>_xlfn.XLOOKUP(A1767,CPIAUCSL!A:A,CPIAUCSL!B:B,"",-1)</f>
        <v>302.84500000000003</v>
      </c>
      <c r="L1767">
        <f>_xlfn.XLOOKUP(A1767,DFF!A:A,DFF!B:B,"",-1)</f>
        <v>4.83</v>
      </c>
      <c r="M1767">
        <f>_xlfn.XLOOKUP(A1767,'DGS2'!A:A,'DGS2'!B:B,"",-1)</f>
        <v>3.82</v>
      </c>
      <c r="N1767">
        <f t="shared" si="219"/>
        <v>2.9999999999999805E-2</v>
      </c>
      <c r="O1767">
        <f t="shared" si="220"/>
        <v>9.9634106532953126E-4</v>
      </c>
      <c r="P1767">
        <f t="shared" si="221"/>
        <v>1</v>
      </c>
      <c r="Q1767">
        <f t="shared" si="222"/>
        <v>0</v>
      </c>
    </row>
    <row r="1768" spans="1:17">
      <c r="A1768" s="1">
        <v>45026</v>
      </c>
      <c r="B1768">
        <v>4109.1099999999997</v>
      </c>
      <c r="C1768">
        <f t="shared" si="216"/>
        <v>9.9634106532953126E-4</v>
      </c>
      <c r="D1768">
        <f t="shared" si="223"/>
        <v>2.0753060527725076E-3</v>
      </c>
      <c r="E1768">
        <f>_xlfn.XLOOKUP(A1768,VIX!A:A,VIX!B:B,"",-1)</f>
        <v>18.97</v>
      </c>
      <c r="F1768">
        <f t="shared" si="217"/>
        <v>0.57000000000000028</v>
      </c>
      <c r="G1768">
        <f>_xlfn.XLOOKUP(A1768,'DGS10'!A:A,'DGS10'!B:B,"",-1)</f>
        <v>3.41</v>
      </c>
      <c r="H1768">
        <f t="shared" si="218"/>
        <v>0.11000000000000032</v>
      </c>
      <c r="I1768" s="2">
        <f>_xlfn.XLOOKUP(A1768,T10Y3M!A:A,T10Y3M!B:B,"",-1)</f>
        <v>-1.67</v>
      </c>
      <c r="J1768" s="2">
        <f>_xlfn.XLOOKUP(A1768,BAMLC0A4CBBB!A:A,BAMLC0A4CBBB!B:B,"",-1)</f>
        <v>1.78</v>
      </c>
      <c r="K1768" s="2">
        <f>_xlfn.XLOOKUP(A1768,CPIAUCSL!A:A,CPIAUCSL!B:B,"",-1)</f>
        <v>302.84500000000003</v>
      </c>
      <c r="L1768">
        <f>_xlfn.XLOOKUP(A1768,DFF!A:A,DFF!B:B,"",-1)</f>
        <v>4.83</v>
      </c>
      <c r="M1768">
        <f>_xlfn.XLOOKUP(A1768,'DGS2'!A:A,'DGS2'!B:B,"",-1)</f>
        <v>4</v>
      </c>
      <c r="N1768">
        <f t="shared" si="219"/>
        <v>0.18000000000000016</v>
      </c>
      <c r="O1768">
        <f t="shared" si="220"/>
        <v>-4.1371489203245737E-5</v>
      </c>
      <c r="P1768">
        <f t="shared" si="221"/>
        <v>0</v>
      </c>
      <c r="Q1768">
        <f t="shared" si="222"/>
        <v>0</v>
      </c>
    </row>
    <row r="1769" spans="1:17">
      <c r="A1769" s="1">
        <v>45027</v>
      </c>
      <c r="B1769">
        <v>4108.9399999999996</v>
      </c>
      <c r="C1769">
        <f t="shared" si="216"/>
        <v>-4.1371489203245737E-5</v>
      </c>
      <c r="D1769">
        <f t="shared" si="223"/>
        <v>4.5374757357505846E-3</v>
      </c>
      <c r="E1769">
        <f>_xlfn.XLOOKUP(A1769,VIX!A:A,VIX!B:B,"",-1)</f>
        <v>19.100000000000001</v>
      </c>
      <c r="F1769">
        <f t="shared" si="217"/>
        <v>0.13000000000000256</v>
      </c>
      <c r="G1769">
        <f>_xlfn.XLOOKUP(A1769,'DGS10'!A:A,'DGS10'!B:B,"",-1)</f>
        <v>3.43</v>
      </c>
      <c r="H1769">
        <f t="shared" si="218"/>
        <v>2.0000000000000018E-2</v>
      </c>
      <c r="I1769" s="2">
        <f>_xlfn.XLOOKUP(A1769,T10Y3M!A:A,T10Y3M!B:B,"",-1)</f>
        <v>-1.61</v>
      </c>
      <c r="J1769" s="2">
        <f>_xlfn.XLOOKUP(A1769,BAMLC0A4CBBB!A:A,BAMLC0A4CBBB!B:B,"",-1)</f>
        <v>1.76</v>
      </c>
      <c r="K1769" s="2">
        <f>_xlfn.XLOOKUP(A1769,CPIAUCSL!A:A,CPIAUCSL!B:B,"",-1)</f>
        <v>302.84500000000003</v>
      </c>
      <c r="L1769">
        <f>_xlfn.XLOOKUP(A1769,DFF!A:A,DFF!B:B,"",-1)</f>
        <v>4.83</v>
      </c>
      <c r="M1769">
        <f>_xlfn.XLOOKUP(A1769,'DGS2'!A:A,'DGS2'!B:B,"",-1)</f>
        <v>4.03</v>
      </c>
      <c r="N1769">
        <f t="shared" si="219"/>
        <v>3.0000000000000249E-2</v>
      </c>
      <c r="O1769">
        <f t="shared" si="220"/>
        <v>-4.1348863697205918E-3</v>
      </c>
      <c r="P1769">
        <f t="shared" si="221"/>
        <v>0</v>
      </c>
      <c r="Q1769">
        <f t="shared" si="222"/>
        <v>-1</v>
      </c>
    </row>
    <row r="1770" spans="1:17">
      <c r="A1770" s="1">
        <v>45028</v>
      </c>
      <c r="B1770">
        <v>4091.95</v>
      </c>
      <c r="C1770">
        <f t="shared" si="216"/>
        <v>-4.1348863697205918E-3</v>
      </c>
      <c r="D1770">
        <f t="shared" si="223"/>
        <v>-3.1839065339512862E-3</v>
      </c>
      <c r="E1770">
        <f>_xlfn.XLOOKUP(A1770,VIX!A:A,VIX!B:B,"",-1)</f>
        <v>19.09</v>
      </c>
      <c r="F1770">
        <f t="shared" si="217"/>
        <v>-1.0000000000001563E-2</v>
      </c>
      <c r="G1770">
        <f>_xlfn.XLOOKUP(A1770,'DGS10'!A:A,'DGS10'!B:B,"",-1)</f>
        <v>3.41</v>
      </c>
      <c r="H1770">
        <f t="shared" si="218"/>
        <v>-2.0000000000000018E-2</v>
      </c>
      <c r="I1770" s="2">
        <f>_xlfn.XLOOKUP(A1770,T10Y3M!A:A,T10Y3M!B:B,"",-1)</f>
        <v>-1.61</v>
      </c>
      <c r="J1770" s="2">
        <f>_xlfn.XLOOKUP(A1770,BAMLC0A4CBBB!A:A,BAMLC0A4CBBB!B:B,"",-1)</f>
        <v>1.76</v>
      </c>
      <c r="K1770" s="2">
        <f>_xlfn.XLOOKUP(A1770,CPIAUCSL!A:A,CPIAUCSL!B:B,"",-1)</f>
        <v>302.84500000000003</v>
      </c>
      <c r="L1770">
        <f>_xlfn.XLOOKUP(A1770,DFF!A:A,DFF!B:B,"",-1)</f>
        <v>4.83</v>
      </c>
      <c r="M1770">
        <f>_xlfn.XLOOKUP(A1770,'DGS2'!A:A,'DGS2'!B:B,"",-1)</f>
        <v>3.95</v>
      </c>
      <c r="N1770">
        <f t="shared" si="219"/>
        <v>-8.0000000000000071E-2</v>
      </c>
      <c r="O1770">
        <f t="shared" si="220"/>
        <v>1.3262625398648753E-2</v>
      </c>
      <c r="P1770">
        <f t="shared" si="221"/>
        <v>1</v>
      </c>
      <c r="Q1770">
        <f t="shared" si="222"/>
        <v>1</v>
      </c>
    </row>
    <row r="1771" spans="1:17">
      <c r="A1771" s="1">
        <v>45029</v>
      </c>
      <c r="B1771">
        <v>4146.22</v>
      </c>
      <c r="C1771">
        <f t="shared" si="216"/>
        <v>1.3262625398648753E-2</v>
      </c>
      <c r="D1771">
        <f t="shared" si="223"/>
        <v>9.0311527313702289E-3</v>
      </c>
      <c r="E1771">
        <f>_xlfn.XLOOKUP(A1771,VIX!A:A,VIX!B:B,"",-1)</f>
        <v>17.8</v>
      </c>
      <c r="F1771">
        <f t="shared" si="217"/>
        <v>-1.2899999999999991</v>
      </c>
      <c r="G1771">
        <f>_xlfn.XLOOKUP(A1771,'DGS10'!A:A,'DGS10'!B:B,"",-1)</f>
        <v>3.45</v>
      </c>
      <c r="H1771">
        <f t="shared" si="218"/>
        <v>4.0000000000000036E-2</v>
      </c>
      <c r="I1771" s="2">
        <f>_xlfn.XLOOKUP(A1771,T10Y3M!A:A,T10Y3M!B:B,"",-1)</f>
        <v>-1.65</v>
      </c>
      <c r="J1771" s="2">
        <f>_xlfn.XLOOKUP(A1771,BAMLC0A4CBBB!A:A,BAMLC0A4CBBB!B:B,"",-1)</f>
        <v>1.75</v>
      </c>
      <c r="K1771" s="2">
        <f>_xlfn.XLOOKUP(A1771,CPIAUCSL!A:A,CPIAUCSL!B:B,"",-1)</f>
        <v>302.84500000000003</v>
      </c>
      <c r="L1771">
        <f>_xlfn.XLOOKUP(A1771,DFF!A:A,DFF!B:B,"",-1)</f>
        <v>4.83</v>
      </c>
      <c r="M1771">
        <f>_xlfn.XLOOKUP(A1771,'DGS2'!A:A,'DGS2'!B:B,"",-1)</f>
        <v>3.96</v>
      </c>
      <c r="N1771">
        <f t="shared" si="219"/>
        <v>9.9999999999997868E-3</v>
      </c>
      <c r="O1771">
        <f t="shared" si="220"/>
        <v>-2.0693547375681964E-3</v>
      </c>
      <c r="P1771">
        <f t="shared" si="221"/>
        <v>0</v>
      </c>
      <c r="Q1771">
        <f t="shared" si="222"/>
        <v>0</v>
      </c>
    </row>
    <row r="1772" spans="1:17">
      <c r="A1772" s="1">
        <v>45030</v>
      </c>
      <c r="B1772">
        <v>4137.6400000000003</v>
      </c>
      <c r="C1772">
        <f t="shared" si="216"/>
        <v>-2.0693547375681964E-3</v>
      </c>
      <c r="D1772">
        <f t="shared" si="223"/>
        <v>6.9847697946430198E-3</v>
      </c>
      <c r="E1772">
        <f>_xlfn.XLOOKUP(A1772,VIX!A:A,VIX!B:B,"",-1)</f>
        <v>17.07</v>
      </c>
      <c r="F1772">
        <f t="shared" si="217"/>
        <v>-0.73000000000000043</v>
      </c>
      <c r="G1772">
        <f>_xlfn.XLOOKUP(A1772,'DGS10'!A:A,'DGS10'!B:B,"",-1)</f>
        <v>3.52</v>
      </c>
      <c r="H1772">
        <f t="shared" si="218"/>
        <v>6.999999999999984E-2</v>
      </c>
      <c r="I1772" s="2">
        <f>_xlfn.XLOOKUP(A1772,T10Y3M!A:A,T10Y3M!B:B,"",-1)</f>
        <v>-1.62</v>
      </c>
      <c r="J1772" s="2">
        <f>_xlfn.XLOOKUP(A1772,BAMLC0A4CBBB!A:A,BAMLC0A4CBBB!B:B,"",-1)</f>
        <v>1.72</v>
      </c>
      <c r="K1772" s="2">
        <f>_xlfn.XLOOKUP(A1772,CPIAUCSL!A:A,CPIAUCSL!B:B,"",-1)</f>
        <v>302.84500000000003</v>
      </c>
      <c r="L1772">
        <f>_xlfn.XLOOKUP(A1772,DFF!A:A,DFF!B:B,"",-1)</f>
        <v>4.83</v>
      </c>
      <c r="M1772">
        <f>_xlfn.XLOOKUP(A1772,'DGS2'!A:A,'DGS2'!B:B,"",-1)</f>
        <v>4.08</v>
      </c>
      <c r="N1772">
        <f t="shared" si="219"/>
        <v>0.12000000000000011</v>
      </c>
      <c r="O1772">
        <f t="shared" si="220"/>
        <v>3.3062325383550473E-3</v>
      </c>
      <c r="P1772">
        <f t="shared" si="221"/>
        <v>1</v>
      </c>
      <c r="Q1772">
        <f t="shared" si="222"/>
        <v>1</v>
      </c>
    </row>
    <row r="1773" spans="1:17">
      <c r="A1773" s="1">
        <v>45033</v>
      </c>
      <c r="B1773">
        <v>4151.32</v>
      </c>
      <c r="C1773">
        <f t="shared" si="216"/>
        <v>3.3062325383550473E-3</v>
      </c>
      <c r="D1773">
        <f t="shared" si="223"/>
        <v>1.4508974938598929E-2</v>
      </c>
      <c r="E1773">
        <f>_xlfn.XLOOKUP(A1773,VIX!A:A,VIX!B:B,"",-1)</f>
        <v>16.95</v>
      </c>
      <c r="F1773">
        <f t="shared" si="217"/>
        <v>-0.12000000000000099</v>
      </c>
      <c r="G1773">
        <f>_xlfn.XLOOKUP(A1773,'DGS10'!A:A,'DGS10'!B:B,"",-1)</f>
        <v>3.6</v>
      </c>
      <c r="H1773">
        <f t="shared" si="218"/>
        <v>8.0000000000000071E-2</v>
      </c>
      <c r="I1773" s="2">
        <f>_xlfn.XLOOKUP(A1773,T10Y3M!A:A,T10Y3M!B:B,"",-1)</f>
        <v>-1.61</v>
      </c>
      <c r="J1773" s="2">
        <f>_xlfn.XLOOKUP(A1773,BAMLC0A4CBBB!A:A,BAMLC0A4CBBB!B:B,"",-1)</f>
        <v>1.7</v>
      </c>
      <c r="K1773" s="2">
        <f>_xlfn.XLOOKUP(A1773,CPIAUCSL!A:A,CPIAUCSL!B:B,"",-1)</f>
        <v>302.84500000000003</v>
      </c>
      <c r="L1773">
        <f>_xlfn.XLOOKUP(A1773,DFF!A:A,DFF!B:B,"",-1)</f>
        <v>4.83</v>
      </c>
      <c r="M1773">
        <f>_xlfn.XLOOKUP(A1773,'DGS2'!A:A,'DGS2'!B:B,"",-1)</f>
        <v>4.18</v>
      </c>
      <c r="N1773">
        <f t="shared" si="219"/>
        <v>9.9999999999999645E-2</v>
      </c>
      <c r="O1773">
        <f t="shared" si="220"/>
        <v>8.5514968732836039E-4</v>
      </c>
      <c r="P1773">
        <f t="shared" si="221"/>
        <v>1</v>
      </c>
      <c r="Q1773">
        <f t="shared" si="222"/>
        <v>0</v>
      </c>
    </row>
    <row r="1774" spans="1:17">
      <c r="A1774" s="1">
        <v>45034</v>
      </c>
      <c r="B1774">
        <v>4154.87</v>
      </c>
      <c r="C1774">
        <f t="shared" si="216"/>
        <v>8.5514968732836039E-4</v>
      </c>
      <c r="D1774">
        <f t="shared" si="223"/>
        <v>2.0862375850774217E-3</v>
      </c>
      <c r="E1774">
        <f>_xlfn.XLOOKUP(A1774,VIX!A:A,VIX!B:B,"",-1)</f>
        <v>16.829999999999998</v>
      </c>
      <c r="F1774">
        <f t="shared" si="217"/>
        <v>-0.12000000000000099</v>
      </c>
      <c r="G1774">
        <f>_xlfn.XLOOKUP(A1774,'DGS10'!A:A,'DGS10'!B:B,"",-1)</f>
        <v>3.58</v>
      </c>
      <c r="H1774">
        <f t="shared" si="218"/>
        <v>-2.0000000000000018E-2</v>
      </c>
      <c r="I1774" s="2">
        <f>_xlfn.XLOOKUP(A1774,T10Y3M!A:A,T10Y3M!B:B,"",-1)</f>
        <v>-1.62</v>
      </c>
      <c r="J1774" s="2">
        <f>_xlfn.XLOOKUP(A1774,BAMLC0A4CBBB!A:A,BAMLC0A4CBBB!B:B,"",-1)</f>
        <v>1.69</v>
      </c>
      <c r="K1774" s="2">
        <f>_xlfn.XLOOKUP(A1774,CPIAUCSL!A:A,CPIAUCSL!B:B,"",-1)</f>
        <v>302.84500000000003</v>
      </c>
      <c r="L1774">
        <f>_xlfn.XLOOKUP(A1774,DFF!A:A,DFF!B:B,"",-1)</f>
        <v>4.83</v>
      </c>
      <c r="M1774">
        <f>_xlfn.XLOOKUP(A1774,'DGS2'!A:A,'DGS2'!B:B,"",-1)</f>
        <v>4.1900000000000004</v>
      </c>
      <c r="N1774">
        <f t="shared" si="219"/>
        <v>1.0000000000000675E-2</v>
      </c>
      <c r="O1774">
        <f t="shared" si="220"/>
        <v>-8.4238496029787058E-5</v>
      </c>
      <c r="P1774">
        <f t="shared" si="221"/>
        <v>0</v>
      </c>
      <c r="Q1774">
        <f t="shared" si="222"/>
        <v>0</v>
      </c>
    </row>
    <row r="1775" spans="1:17">
      <c r="A1775" s="1">
        <v>45035</v>
      </c>
      <c r="B1775">
        <v>4154.5200000000004</v>
      </c>
      <c r="C1775">
        <f t="shared" si="216"/>
        <v>-8.4238496029787058E-5</v>
      </c>
      <c r="D1775">
        <f t="shared" si="223"/>
        <v>4.0796202666253389E-3</v>
      </c>
      <c r="E1775">
        <f>_xlfn.XLOOKUP(A1775,VIX!A:A,VIX!B:B,"",-1)</f>
        <v>16.46</v>
      </c>
      <c r="F1775">
        <f t="shared" si="217"/>
        <v>-0.36999999999999744</v>
      </c>
      <c r="G1775">
        <f>_xlfn.XLOOKUP(A1775,'DGS10'!A:A,'DGS10'!B:B,"",-1)</f>
        <v>3.6</v>
      </c>
      <c r="H1775">
        <f t="shared" si="218"/>
        <v>2.0000000000000018E-2</v>
      </c>
      <c r="I1775" s="2">
        <f>_xlfn.XLOOKUP(A1775,T10Y3M!A:A,T10Y3M!B:B,"",-1)</f>
        <v>-1.56</v>
      </c>
      <c r="J1775" s="2">
        <f>_xlfn.XLOOKUP(A1775,BAMLC0A4CBBB!A:A,BAMLC0A4CBBB!B:B,"",-1)</f>
        <v>1.69</v>
      </c>
      <c r="K1775" s="2">
        <f>_xlfn.XLOOKUP(A1775,CPIAUCSL!A:A,CPIAUCSL!B:B,"",-1)</f>
        <v>302.84500000000003</v>
      </c>
      <c r="L1775">
        <f>_xlfn.XLOOKUP(A1775,DFF!A:A,DFF!B:B,"",-1)</f>
        <v>4.83</v>
      </c>
      <c r="M1775">
        <f>_xlfn.XLOOKUP(A1775,'DGS2'!A:A,'DGS2'!B:B,"",-1)</f>
        <v>4.24</v>
      </c>
      <c r="N1775">
        <f t="shared" si="219"/>
        <v>4.9999999999999822E-2</v>
      </c>
      <c r="O1775">
        <f t="shared" si="220"/>
        <v>-5.952552882162232E-3</v>
      </c>
      <c r="P1775">
        <f t="shared" si="221"/>
        <v>0</v>
      </c>
      <c r="Q1775">
        <f t="shared" si="222"/>
        <v>-1</v>
      </c>
    </row>
    <row r="1776" spans="1:17">
      <c r="A1776" s="1">
        <v>45036</v>
      </c>
      <c r="B1776">
        <v>4129.79</v>
      </c>
      <c r="C1776">
        <f t="shared" si="216"/>
        <v>-5.952552882162232E-3</v>
      </c>
      <c r="D1776">
        <f t="shared" si="223"/>
        <v>-5.1863021882195826E-3</v>
      </c>
      <c r="E1776">
        <f>_xlfn.XLOOKUP(A1776,VIX!A:A,VIX!B:B,"",-1)</f>
        <v>17.170000000000002</v>
      </c>
      <c r="F1776">
        <f t="shared" si="217"/>
        <v>0.71000000000000085</v>
      </c>
      <c r="G1776">
        <f>_xlfn.XLOOKUP(A1776,'DGS10'!A:A,'DGS10'!B:B,"",-1)</f>
        <v>3.54</v>
      </c>
      <c r="H1776">
        <f t="shared" si="218"/>
        <v>-6.0000000000000053E-2</v>
      </c>
      <c r="I1776" s="2">
        <f>_xlfn.XLOOKUP(A1776,T10Y3M!A:A,T10Y3M!B:B,"",-1)</f>
        <v>-1.58</v>
      </c>
      <c r="J1776" s="2">
        <f>_xlfn.XLOOKUP(A1776,BAMLC0A4CBBB!A:A,BAMLC0A4CBBB!B:B,"",-1)</f>
        <v>1.71</v>
      </c>
      <c r="K1776" s="2">
        <f>_xlfn.XLOOKUP(A1776,CPIAUCSL!A:A,CPIAUCSL!B:B,"",-1)</f>
        <v>302.84500000000003</v>
      </c>
      <c r="L1776">
        <f>_xlfn.XLOOKUP(A1776,DFF!A:A,DFF!B:B,"",-1)</f>
        <v>4.83</v>
      </c>
      <c r="M1776">
        <f>_xlfn.XLOOKUP(A1776,'DGS2'!A:A,'DGS2'!B:B,"",-1)</f>
        <v>4.1399999999999997</v>
      </c>
      <c r="N1776">
        <f t="shared" si="219"/>
        <v>-0.10000000000000053</v>
      </c>
      <c r="O1776">
        <f t="shared" si="220"/>
        <v>9.0319362485757893E-4</v>
      </c>
      <c r="P1776">
        <f t="shared" si="221"/>
        <v>1</v>
      </c>
      <c r="Q1776">
        <f t="shared" si="222"/>
        <v>0</v>
      </c>
    </row>
    <row r="1777" spans="1:17">
      <c r="A1777" s="1">
        <v>45037</v>
      </c>
      <c r="B1777">
        <v>4133.5200000000004</v>
      </c>
      <c r="C1777">
        <f t="shared" si="216"/>
        <v>9.0319362485757893E-4</v>
      </c>
      <c r="D1777">
        <f t="shared" si="223"/>
        <v>-5.1385482578274466E-3</v>
      </c>
      <c r="E1777">
        <f>_xlfn.XLOOKUP(A1777,VIX!A:A,VIX!B:B,"",-1)</f>
        <v>16.77</v>
      </c>
      <c r="F1777">
        <f t="shared" si="217"/>
        <v>-0.40000000000000213</v>
      </c>
      <c r="G1777">
        <f>_xlfn.XLOOKUP(A1777,'DGS10'!A:A,'DGS10'!B:B,"",-1)</f>
        <v>3.57</v>
      </c>
      <c r="H1777">
        <f t="shared" si="218"/>
        <v>2.9999999999999805E-2</v>
      </c>
      <c r="I1777" s="2">
        <f>_xlfn.XLOOKUP(A1777,T10Y3M!A:A,T10Y3M!B:B,"",-1)</f>
        <v>-1.57</v>
      </c>
      <c r="J1777" s="2">
        <f>_xlfn.XLOOKUP(A1777,BAMLC0A4CBBB!A:A,BAMLC0A4CBBB!B:B,"",-1)</f>
        <v>1.7</v>
      </c>
      <c r="K1777" s="2">
        <f>_xlfn.XLOOKUP(A1777,CPIAUCSL!A:A,CPIAUCSL!B:B,"",-1)</f>
        <v>302.84500000000003</v>
      </c>
      <c r="L1777">
        <f>_xlfn.XLOOKUP(A1777,DFF!A:A,DFF!B:B,"",-1)</f>
        <v>4.83</v>
      </c>
      <c r="M1777">
        <f>_xlfn.XLOOKUP(A1777,'DGS2'!A:A,'DGS2'!B:B,"",-1)</f>
        <v>4.17</v>
      </c>
      <c r="N1777">
        <f t="shared" si="219"/>
        <v>3.0000000000000249E-2</v>
      </c>
      <c r="O1777">
        <f t="shared" si="220"/>
        <v>8.5157444502503843E-4</v>
      </c>
      <c r="P1777">
        <f t="shared" si="221"/>
        <v>1</v>
      </c>
      <c r="Q1777">
        <f t="shared" si="222"/>
        <v>0</v>
      </c>
    </row>
    <row r="1778" spans="1:17">
      <c r="A1778" s="1">
        <v>45040</v>
      </c>
      <c r="B1778">
        <v>4137.04</v>
      </c>
      <c r="C1778">
        <f t="shared" si="216"/>
        <v>8.5157444502503843E-4</v>
      </c>
      <c r="D1778">
        <f t="shared" si="223"/>
        <v>-4.2074656037280889E-3</v>
      </c>
      <c r="E1778">
        <f>_xlfn.XLOOKUP(A1778,VIX!A:A,VIX!B:B,"",-1)</f>
        <v>16.89</v>
      </c>
      <c r="F1778">
        <f t="shared" si="217"/>
        <v>0.12000000000000099</v>
      </c>
      <c r="G1778">
        <f>_xlfn.XLOOKUP(A1778,'DGS10'!A:A,'DGS10'!B:B,"",-1)</f>
        <v>3.52</v>
      </c>
      <c r="H1778">
        <f t="shared" si="218"/>
        <v>-4.9999999999999822E-2</v>
      </c>
      <c r="I1778" s="2">
        <f>_xlfn.XLOOKUP(A1778,T10Y3M!A:A,T10Y3M!B:B,"",-1)</f>
        <v>-1.68</v>
      </c>
      <c r="J1778" s="2">
        <f>_xlfn.XLOOKUP(A1778,BAMLC0A4CBBB!A:A,BAMLC0A4CBBB!B:B,"",-1)</f>
        <v>1.7</v>
      </c>
      <c r="K1778" s="2">
        <f>_xlfn.XLOOKUP(A1778,CPIAUCSL!A:A,CPIAUCSL!B:B,"",-1)</f>
        <v>302.84500000000003</v>
      </c>
      <c r="L1778">
        <f>_xlfn.XLOOKUP(A1778,DFF!A:A,DFF!B:B,"",-1)</f>
        <v>4.83</v>
      </c>
      <c r="M1778">
        <f>_xlfn.XLOOKUP(A1778,'DGS2'!A:A,'DGS2'!B:B,"",-1)</f>
        <v>4.12</v>
      </c>
      <c r="N1778">
        <f t="shared" si="219"/>
        <v>-4.9999999999999822E-2</v>
      </c>
      <c r="O1778">
        <f t="shared" si="220"/>
        <v>-1.5810821263512076E-2</v>
      </c>
      <c r="P1778">
        <f t="shared" si="221"/>
        <v>0</v>
      </c>
      <c r="Q1778">
        <f t="shared" si="222"/>
        <v>-1</v>
      </c>
    </row>
    <row r="1779" spans="1:17">
      <c r="A1779" s="1">
        <v>45041</v>
      </c>
      <c r="B1779">
        <v>4071.63</v>
      </c>
      <c r="C1779">
        <f t="shared" si="216"/>
        <v>-1.5810821263512076E-2</v>
      </c>
      <c r="D1779">
        <f t="shared" si="223"/>
        <v>-1.4083040542013037E-2</v>
      </c>
      <c r="E1779">
        <f>_xlfn.XLOOKUP(A1779,VIX!A:A,VIX!B:B,"",-1)</f>
        <v>18.760000000000002</v>
      </c>
      <c r="F1779">
        <f t="shared" si="217"/>
        <v>1.870000000000001</v>
      </c>
      <c r="G1779">
        <f>_xlfn.XLOOKUP(A1779,'DGS10'!A:A,'DGS10'!B:B,"",-1)</f>
        <v>3.4</v>
      </c>
      <c r="H1779">
        <f t="shared" si="218"/>
        <v>-0.12000000000000011</v>
      </c>
      <c r="I1779" s="2">
        <f>_xlfn.XLOOKUP(A1779,T10Y3M!A:A,T10Y3M!B:B,"",-1)</f>
        <v>-1.72</v>
      </c>
      <c r="J1779" s="2">
        <f>_xlfn.XLOOKUP(A1779,BAMLC0A4CBBB!A:A,BAMLC0A4CBBB!B:B,"",-1)</f>
        <v>1.73</v>
      </c>
      <c r="K1779" s="2">
        <f>_xlfn.XLOOKUP(A1779,CPIAUCSL!A:A,CPIAUCSL!B:B,"",-1)</f>
        <v>302.84500000000003</v>
      </c>
      <c r="L1779">
        <f>_xlfn.XLOOKUP(A1779,DFF!A:A,DFF!B:B,"",-1)</f>
        <v>4.83</v>
      </c>
      <c r="M1779">
        <f>_xlfn.XLOOKUP(A1779,'DGS2'!A:A,'DGS2'!B:B,"",-1)</f>
        <v>3.86</v>
      </c>
      <c r="N1779">
        <f t="shared" si="219"/>
        <v>-0.26000000000000023</v>
      </c>
      <c r="O1779">
        <f t="shared" si="220"/>
        <v>-3.8412134697898281E-3</v>
      </c>
      <c r="P1779">
        <f t="shared" si="221"/>
        <v>0</v>
      </c>
      <c r="Q1779">
        <f t="shared" si="222"/>
        <v>-1</v>
      </c>
    </row>
    <row r="1780" spans="1:17">
      <c r="A1780" s="1">
        <v>45042</v>
      </c>
      <c r="B1780">
        <v>4055.99</v>
      </c>
      <c r="C1780">
        <f t="shared" si="216"/>
        <v>-3.8412134697898281E-3</v>
      </c>
      <c r="D1780">
        <f t="shared" si="223"/>
        <v>-1.8756411000793616E-2</v>
      </c>
      <c r="E1780">
        <f>_xlfn.XLOOKUP(A1780,VIX!A:A,VIX!B:B,"",-1)</f>
        <v>18.84</v>
      </c>
      <c r="F1780">
        <f t="shared" si="217"/>
        <v>7.9999999999998295E-2</v>
      </c>
      <c r="G1780">
        <f>_xlfn.XLOOKUP(A1780,'DGS10'!A:A,'DGS10'!B:B,"",-1)</f>
        <v>3.43</v>
      </c>
      <c r="H1780">
        <f t="shared" si="218"/>
        <v>3.0000000000000249E-2</v>
      </c>
      <c r="I1780" s="2">
        <f>_xlfn.XLOOKUP(A1780,T10Y3M!A:A,T10Y3M!B:B,"",-1)</f>
        <v>-1.73</v>
      </c>
      <c r="J1780" s="2">
        <f>_xlfn.XLOOKUP(A1780,BAMLC0A4CBBB!A:A,BAMLC0A4CBBB!B:B,"",-1)</f>
        <v>1.73</v>
      </c>
      <c r="K1780" s="2">
        <f>_xlfn.XLOOKUP(A1780,CPIAUCSL!A:A,CPIAUCSL!B:B,"",-1)</f>
        <v>302.84500000000003</v>
      </c>
      <c r="L1780">
        <f>_xlfn.XLOOKUP(A1780,DFF!A:A,DFF!B:B,"",-1)</f>
        <v>4.83</v>
      </c>
      <c r="M1780">
        <f>_xlfn.XLOOKUP(A1780,'DGS2'!A:A,'DGS2'!B:B,"",-1)</f>
        <v>3.9</v>
      </c>
      <c r="N1780">
        <f t="shared" si="219"/>
        <v>4.0000000000000036E-2</v>
      </c>
      <c r="O1780">
        <f t="shared" si="220"/>
        <v>1.9566123190639217E-2</v>
      </c>
      <c r="P1780">
        <f t="shared" si="221"/>
        <v>1</v>
      </c>
      <c r="Q1780">
        <f t="shared" si="222"/>
        <v>1</v>
      </c>
    </row>
    <row r="1781" spans="1:17">
      <c r="A1781" s="1">
        <v>45043</v>
      </c>
      <c r="B1781">
        <v>4135.3500000000004</v>
      </c>
      <c r="C1781">
        <f t="shared" si="216"/>
        <v>1.9566123190639217E-2</v>
      </c>
      <c r="D1781">
        <f t="shared" si="223"/>
        <v>-4.0850463133046411E-4</v>
      </c>
      <c r="E1781">
        <f>_xlfn.XLOOKUP(A1781,VIX!A:A,VIX!B:B,"",-1)</f>
        <v>17.03</v>
      </c>
      <c r="F1781">
        <f t="shared" si="217"/>
        <v>-1.8099999999999987</v>
      </c>
      <c r="G1781">
        <f>_xlfn.XLOOKUP(A1781,'DGS10'!A:A,'DGS10'!B:B,"",-1)</f>
        <v>3.53</v>
      </c>
      <c r="H1781">
        <f t="shared" si="218"/>
        <v>9.9999999999999645E-2</v>
      </c>
      <c r="I1781" s="2">
        <f>_xlfn.XLOOKUP(A1781,T10Y3M!A:A,T10Y3M!B:B,"",-1)</f>
        <v>-1.65</v>
      </c>
      <c r="J1781" s="2">
        <f>_xlfn.XLOOKUP(A1781,BAMLC0A4CBBB!A:A,BAMLC0A4CBBB!B:B,"",-1)</f>
        <v>1.71</v>
      </c>
      <c r="K1781" s="2">
        <f>_xlfn.XLOOKUP(A1781,CPIAUCSL!A:A,CPIAUCSL!B:B,"",-1)</f>
        <v>302.84500000000003</v>
      </c>
      <c r="L1781">
        <f>_xlfn.XLOOKUP(A1781,DFF!A:A,DFF!B:B,"",-1)</f>
        <v>4.83</v>
      </c>
      <c r="M1781">
        <f>_xlfn.XLOOKUP(A1781,'DGS2'!A:A,'DGS2'!B:B,"",-1)</f>
        <v>4.07</v>
      </c>
      <c r="N1781">
        <f t="shared" si="219"/>
        <v>0.17000000000000037</v>
      </c>
      <c r="O1781">
        <f t="shared" si="220"/>
        <v>8.2532312863479174E-3</v>
      </c>
      <c r="P1781">
        <f t="shared" si="221"/>
        <v>1</v>
      </c>
      <c r="Q1781">
        <f t="shared" si="222"/>
        <v>1</v>
      </c>
    </row>
    <row r="1782" spans="1:17">
      <c r="A1782" s="1">
        <v>45044</v>
      </c>
      <c r="B1782">
        <v>4169.4799999999996</v>
      </c>
      <c r="C1782">
        <f t="shared" si="216"/>
        <v>8.2532312863479174E-3</v>
      </c>
      <c r="D1782">
        <f t="shared" si="223"/>
        <v>2.403214437461143E-2</v>
      </c>
      <c r="E1782">
        <f>_xlfn.XLOOKUP(A1782,VIX!A:A,VIX!B:B,"",-1)</f>
        <v>15.78</v>
      </c>
      <c r="F1782">
        <f t="shared" si="217"/>
        <v>-1.2500000000000018</v>
      </c>
      <c r="G1782">
        <f>_xlfn.XLOOKUP(A1782,'DGS10'!A:A,'DGS10'!B:B,"",-1)</f>
        <v>3.44</v>
      </c>
      <c r="H1782">
        <f t="shared" si="218"/>
        <v>-8.9999999999999858E-2</v>
      </c>
      <c r="I1782" s="2">
        <f>_xlfn.XLOOKUP(A1782,T10Y3M!A:A,T10Y3M!B:B,"",-1)</f>
        <v>-1.66</v>
      </c>
      <c r="J1782" s="2">
        <f>_xlfn.XLOOKUP(A1782,BAMLC0A4CBBB!A:A,BAMLC0A4CBBB!B:B,"",-1)</f>
        <v>1.72</v>
      </c>
      <c r="K1782" s="2">
        <f>_xlfn.XLOOKUP(A1782,CPIAUCSL!A:A,CPIAUCSL!B:B,"",-1)</f>
        <v>302.84500000000003</v>
      </c>
      <c r="L1782">
        <f>_xlfn.XLOOKUP(A1782,DFF!A:A,DFF!B:B,"",-1)</f>
        <v>4.83</v>
      </c>
      <c r="M1782">
        <f>_xlfn.XLOOKUP(A1782,'DGS2'!A:A,'DGS2'!B:B,"",-1)</f>
        <v>4.04</v>
      </c>
      <c r="N1782">
        <f t="shared" si="219"/>
        <v>-3.0000000000000249E-2</v>
      </c>
      <c r="O1782">
        <f t="shared" si="220"/>
        <v>-3.861392787588569E-4</v>
      </c>
      <c r="P1782">
        <f t="shared" si="221"/>
        <v>0</v>
      </c>
      <c r="Q1782">
        <f t="shared" si="222"/>
        <v>0</v>
      </c>
    </row>
    <row r="1783" spans="1:17">
      <c r="A1783" s="1">
        <v>45047</v>
      </c>
      <c r="B1783">
        <v>4167.87</v>
      </c>
      <c r="C1783">
        <f t="shared" si="216"/>
        <v>-3.861392787588569E-4</v>
      </c>
      <c r="D1783">
        <f t="shared" si="223"/>
        <v>2.7583894437609668E-2</v>
      </c>
      <c r="E1783">
        <f>_xlfn.XLOOKUP(A1783,VIX!A:A,VIX!B:B,"",-1)</f>
        <v>16.079999999999998</v>
      </c>
      <c r="F1783">
        <f t="shared" si="217"/>
        <v>0.29999999999999893</v>
      </c>
      <c r="G1783">
        <f>_xlfn.XLOOKUP(A1783,'DGS10'!A:A,'DGS10'!B:B,"",-1)</f>
        <v>3.59</v>
      </c>
      <c r="H1783">
        <f t="shared" si="218"/>
        <v>0.14999999999999991</v>
      </c>
      <c r="I1783" s="2">
        <f>_xlfn.XLOOKUP(A1783,T10Y3M!A:A,T10Y3M!B:B,"",-1)</f>
        <v>-1.68</v>
      </c>
      <c r="J1783" s="2">
        <f>_xlfn.XLOOKUP(A1783,BAMLC0A4CBBB!A:A,BAMLC0A4CBBB!B:B,"",-1)</f>
        <v>1.73</v>
      </c>
      <c r="K1783" s="2">
        <f>_xlfn.XLOOKUP(A1783,CPIAUCSL!A:A,CPIAUCSL!B:B,"",-1)</f>
        <v>303.334</v>
      </c>
      <c r="L1783">
        <f>_xlfn.XLOOKUP(A1783,DFF!A:A,DFF!B:B,"",-1)</f>
        <v>4.83</v>
      </c>
      <c r="M1783">
        <f>_xlfn.XLOOKUP(A1783,'DGS2'!A:A,'DGS2'!B:B,"",-1)</f>
        <v>4.1399999999999997</v>
      </c>
      <c r="N1783">
        <f t="shared" si="219"/>
        <v>9.9999999999999645E-2</v>
      </c>
      <c r="O1783">
        <f t="shared" si="220"/>
        <v>-1.1586253889876552E-2</v>
      </c>
      <c r="P1783">
        <f t="shared" si="221"/>
        <v>0</v>
      </c>
      <c r="Q1783">
        <f t="shared" si="222"/>
        <v>-1</v>
      </c>
    </row>
    <row r="1784" spans="1:17">
      <c r="A1784" s="1">
        <v>45048</v>
      </c>
      <c r="B1784">
        <v>4119.58</v>
      </c>
      <c r="C1784">
        <f t="shared" si="216"/>
        <v>-1.1586253889876552E-2</v>
      </c>
      <c r="D1784">
        <f t="shared" si="223"/>
        <v>-3.813461980243571E-3</v>
      </c>
      <c r="E1784">
        <f>_xlfn.XLOOKUP(A1784,VIX!A:A,VIX!B:B,"",-1)</f>
        <v>17.78</v>
      </c>
      <c r="F1784">
        <f t="shared" si="217"/>
        <v>1.7000000000000028</v>
      </c>
      <c r="G1784">
        <f>_xlfn.XLOOKUP(A1784,'DGS10'!A:A,'DGS10'!B:B,"",-1)</f>
        <v>3.44</v>
      </c>
      <c r="H1784">
        <f t="shared" si="218"/>
        <v>-0.14999999999999991</v>
      </c>
      <c r="I1784" s="2">
        <f>_xlfn.XLOOKUP(A1784,T10Y3M!A:A,T10Y3M!B:B,"",-1)</f>
        <v>-1.8</v>
      </c>
      <c r="J1784" s="2">
        <f>_xlfn.XLOOKUP(A1784,BAMLC0A4CBBB!A:A,BAMLC0A4CBBB!B:B,"",-1)</f>
        <v>1.78</v>
      </c>
      <c r="K1784" s="2">
        <f>_xlfn.XLOOKUP(A1784,CPIAUCSL!A:A,CPIAUCSL!B:B,"",-1)</f>
        <v>303.334</v>
      </c>
      <c r="L1784">
        <f>_xlfn.XLOOKUP(A1784,DFF!A:A,DFF!B:B,"",-1)</f>
        <v>4.83</v>
      </c>
      <c r="M1784">
        <f>_xlfn.XLOOKUP(A1784,'DGS2'!A:A,'DGS2'!B:B,"",-1)</f>
        <v>3.97</v>
      </c>
      <c r="N1784">
        <f t="shared" si="219"/>
        <v>-0.16999999999999948</v>
      </c>
      <c r="O1784">
        <f t="shared" si="220"/>
        <v>-6.9982862330625339E-3</v>
      </c>
      <c r="P1784">
        <f t="shared" si="221"/>
        <v>0</v>
      </c>
      <c r="Q1784">
        <f t="shared" si="222"/>
        <v>-1</v>
      </c>
    </row>
    <row r="1785" spans="1:17">
      <c r="A1785" s="1">
        <v>45049</v>
      </c>
      <c r="B1785">
        <v>4090.75</v>
      </c>
      <c r="C1785">
        <f t="shared" si="216"/>
        <v>-6.9982862330625339E-3</v>
      </c>
      <c r="D1785">
        <f t="shared" si="223"/>
        <v>-1.8882450569375431E-2</v>
      </c>
      <c r="E1785">
        <f>_xlfn.XLOOKUP(A1785,VIX!A:A,VIX!B:B,"",-1)</f>
        <v>18.34</v>
      </c>
      <c r="F1785">
        <f t="shared" si="217"/>
        <v>0.55999999999999872</v>
      </c>
      <c r="G1785">
        <f>_xlfn.XLOOKUP(A1785,'DGS10'!A:A,'DGS10'!B:B,"",-1)</f>
        <v>3.38</v>
      </c>
      <c r="H1785">
        <f t="shared" si="218"/>
        <v>-6.0000000000000053E-2</v>
      </c>
      <c r="I1785" s="2">
        <f>_xlfn.XLOOKUP(A1785,T10Y3M!A:A,T10Y3M!B:B,"",-1)</f>
        <v>-1.88</v>
      </c>
      <c r="J1785" s="2">
        <f>_xlfn.XLOOKUP(A1785,BAMLC0A4CBBB!A:A,BAMLC0A4CBBB!B:B,"",-1)</f>
        <v>1.79</v>
      </c>
      <c r="K1785" s="2">
        <f>_xlfn.XLOOKUP(A1785,CPIAUCSL!A:A,CPIAUCSL!B:B,"",-1)</f>
        <v>303.334</v>
      </c>
      <c r="L1785">
        <f>_xlfn.XLOOKUP(A1785,DFF!A:A,DFF!B:B,"",-1)</f>
        <v>4.83</v>
      </c>
      <c r="M1785">
        <f>_xlfn.XLOOKUP(A1785,'DGS2'!A:A,'DGS2'!B:B,"",-1)</f>
        <v>3.89</v>
      </c>
      <c r="N1785">
        <f t="shared" si="219"/>
        <v>-8.0000000000000071E-2</v>
      </c>
      <c r="O1785">
        <f t="shared" si="220"/>
        <v>-7.2187251726456569E-3</v>
      </c>
      <c r="P1785">
        <f t="shared" si="221"/>
        <v>0</v>
      </c>
      <c r="Q1785">
        <f t="shared" si="222"/>
        <v>-1</v>
      </c>
    </row>
    <row r="1786" spans="1:17">
      <c r="A1786" s="1">
        <v>45050</v>
      </c>
      <c r="B1786">
        <v>4061.22</v>
      </c>
      <c r="C1786">
        <f t="shared" si="216"/>
        <v>-7.2187251726456569E-3</v>
      </c>
      <c r="D1786">
        <f t="shared" si="223"/>
        <v>-2.5588610009429247E-2</v>
      </c>
      <c r="E1786">
        <f>_xlfn.XLOOKUP(A1786,VIX!A:A,VIX!B:B,"",-1)</f>
        <v>20.09</v>
      </c>
      <c r="F1786">
        <f t="shared" si="217"/>
        <v>1.75</v>
      </c>
      <c r="G1786">
        <f>_xlfn.XLOOKUP(A1786,'DGS10'!A:A,'DGS10'!B:B,"",-1)</f>
        <v>3.37</v>
      </c>
      <c r="H1786">
        <f t="shared" si="218"/>
        <v>-9.9999999999997868E-3</v>
      </c>
      <c r="I1786" s="2">
        <f>_xlfn.XLOOKUP(A1786,T10Y3M!A:A,T10Y3M!B:B,"",-1)</f>
        <v>-1.89</v>
      </c>
      <c r="J1786" s="2">
        <f>_xlfn.XLOOKUP(A1786,BAMLC0A4CBBB!A:A,BAMLC0A4CBBB!B:B,"",-1)</f>
        <v>1.85</v>
      </c>
      <c r="K1786" s="2">
        <f>_xlfn.XLOOKUP(A1786,CPIAUCSL!A:A,CPIAUCSL!B:B,"",-1)</f>
        <v>303.334</v>
      </c>
      <c r="L1786">
        <f>_xlfn.XLOOKUP(A1786,DFF!A:A,DFF!B:B,"",-1)</f>
        <v>5.08</v>
      </c>
      <c r="M1786">
        <f>_xlfn.XLOOKUP(A1786,'DGS2'!A:A,'DGS2'!B:B,"",-1)</f>
        <v>3.75</v>
      </c>
      <c r="N1786">
        <f t="shared" si="219"/>
        <v>-0.14000000000000012</v>
      </c>
      <c r="O1786">
        <f t="shared" si="220"/>
        <v>1.8474744042430657E-2</v>
      </c>
      <c r="P1786">
        <f t="shared" si="221"/>
        <v>1</v>
      </c>
      <c r="Q1786">
        <f t="shared" si="222"/>
        <v>1</v>
      </c>
    </row>
    <row r="1787" spans="1:17">
      <c r="A1787" s="1">
        <v>45051</v>
      </c>
      <c r="B1787">
        <v>4136.25</v>
      </c>
      <c r="C1787">
        <f t="shared" si="216"/>
        <v>1.8474744042430657E-2</v>
      </c>
      <c r="D1787">
        <f t="shared" si="223"/>
        <v>4.046529015093725E-3</v>
      </c>
      <c r="E1787">
        <f>_xlfn.XLOOKUP(A1787,VIX!A:A,VIX!B:B,"",-1)</f>
        <v>17.190000000000001</v>
      </c>
      <c r="F1787">
        <f t="shared" si="217"/>
        <v>-2.8999999999999986</v>
      </c>
      <c r="G1787">
        <f>_xlfn.XLOOKUP(A1787,'DGS10'!A:A,'DGS10'!B:B,"",-1)</f>
        <v>3.44</v>
      </c>
      <c r="H1787">
        <f t="shared" si="218"/>
        <v>6.999999999999984E-2</v>
      </c>
      <c r="I1787" s="2">
        <f>_xlfn.XLOOKUP(A1787,T10Y3M!A:A,T10Y3M!B:B,"",-1)</f>
        <v>-1.82</v>
      </c>
      <c r="J1787" s="2">
        <f>_xlfn.XLOOKUP(A1787,BAMLC0A4CBBB!A:A,BAMLC0A4CBBB!B:B,"",-1)</f>
        <v>1.83</v>
      </c>
      <c r="K1787" s="2">
        <f>_xlfn.XLOOKUP(A1787,CPIAUCSL!A:A,CPIAUCSL!B:B,"",-1)</f>
        <v>303.334</v>
      </c>
      <c r="L1787">
        <f>_xlfn.XLOOKUP(A1787,DFF!A:A,DFF!B:B,"",-1)</f>
        <v>5.08</v>
      </c>
      <c r="M1787">
        <f>_xlfn.XLOOKUP(A1787,'DGS2'!A:A,'DGS2'!B:B,"",-1)</f>
        <v>3.92</v>
      </c>
      <c r="N1787">
        <f t="shared" si="219"/>
        <v>0.16999999999999993</v>
      </c>
      <c r="O1787">
        <f t="shared" si="220"/>
        <v>4.5210033242670811E-4</v>
      </c>
      <c r="P1787">
        <f t="shared" si="221"/>
        <v>1</v>
      </c>
      <c r="Q1787">
        <f t="shared" si="222"/>
        <v>0</v>
      </c>
    </row>
    <row r="1788" spans="1:17">
      <c r="A1788" s="1">
        <v>45054</v>
      </c>
      <c r="B1788">
        <v>4138.12</v>
      </c>
      <c r="C1788">
        <f t="shared" si="216"/>
        <v>4.5210033242670811E-4</v>
      </c>
      <c r="D1788">
        <f t="shared" si="223"/>
        <v>1.1579783658253406E-2</v>
      </c>
      <c r="E1788">
        <f>_xlfn.XLOOKUP(A1788,VIX!A:A,VIX!B:B,"",-1)</f>
        <v>16.98</v>
      </c>
      <c r="F1788">
        <f t="shared" si="217"/>
        <v>-0.21000000000000085</v>
      </c>
      <c r="G1788">
        <f>_xlfn.XLOOKUP(A1788,'DGS10'!A:A,'DGS10'!B:B,"",-1)</f>
        <v>3.52</v>
      </c>
      <c r="H1788">
        <f t="shared" si="218"/>
        <v>8.0000000000000071E-2</v>
      </c>
      <c r="I1788" s="2">
        <f>_xlfn.XLOOKUP(A1788,T10Y3M!A:A,T10Y3M!B:B,"",-1)</f>
        <v>-1.79</v>
      </c>
      <c r="J1788" s="2">
        <f>_xlfn.XLOOKUP(A1788,BAMLC0A4CBBB!A:A,BAMLC0A4CBBB!B:B,"",-1)</f>
        <v>1.83</v>
      </c>
      <c r="K1788" s="2">
        <f>_xlfn.XLOOKUP(A1788,CPIAUCSL!A:A,CPIAUCSL!B:B,"",-1)</f>
        <v>303.334</v>
      </c>
      <c r="L1788">
        <f>_xlfn.XLOOKUP(A1788,DFF!A:A,DFF!B:B,"",-1)</f>
        <v>5.08</v>
      </c>
      <c r="M1788">
        <f>_xlfn.XLOOKUP(A1788,'DGS2'!A:A,'DGS2'!B:B,"",-1)</f>
        <v>4</v>
      </c>
      <c r="N1788">
        <f t="shared" si="219"/>
        <v>8.0000000000000071E-2</v>
      </c>
      <c r="O1788">
        <f t="shared" si="220"/>
        <v>-4.5793742085777911E-3</v>
      </c>
      <c r="P1788">
        <f t="shared" si="221"/>
        <v>0</v>
      </c>
      <c r="Q1788">
        <f t="shared" si="222"/>
        <v>-1</v>
      </c>
    </row>
    <row r="1789" spans="1:17">
      <c r="A1789" s="1">
        <v>45055</v>
      </c>
      <c r="B1789">
        <v>4119.17</v>
      </c>
      <c r="C1789">
        <f t="shared" si="216"/>
        <v>-4.5793742085777911E-3</v>
      </c>
      <c r="D1789">
        <f t="shared" si="223"/>
        <v>1.4269111252283917E-2</v>
      </c>
      <c r="E1789">
        <f>_xlfn.XLOOKUP(A1789,VIX!A:A,VIX!B:B,"",-1)</f>
        <v>17.71</v>
      </c>
      <c r="F1789">
        <f t="shared" si="217"/>
        <v>0.73000000000000043</v>
      </c>
      <c r="G1789">
        <f>_xlfn.XLOOKUP(A1789,'DGS10'!A:A,'DGS10'!B:B,"",-1)</f>
        <v>3.53</v>
      </c>
      <c r="H1789">
        <f t="shared" si="218"/>
        <v>9.9999999999997868E-3</v>
      </c>
      <c r="I1789" s="2">
        <f>_xlfn.XLOOKUP(A1789,T10Y3M!A:A,T10Y3M!B:B,"",-1)</f>
        <v>-1.76</v>
      </c>
      <c r="J1789" s="2">
        <f>_xlfn.XLOOKUP(A1789,BAMLC0A4CBBB!A:A,BAMLC0A4CBBB!B:B,"",-1)</f>
        <v>1.83</v>
      </c>
      <c r="K1789" s="2">
        <f>_xlfn.XLOOKUP(A1789,CPIAUCSL!A:A,CPIAUCSL!B:B,"",-1)</f>
        <v>303.334</v>
      </c>
      <c r="L1789">
        <f>_xlfn.XLOOKUP(A1789,DFF!A:A,DFF!B:B,"",-1)</f>
        <v>5.08</v>
      </c>
      <c r="M1789">
        <f>_xlfn.XLOOKUP(A1789,'DGS2'!A:A,'DGS2'!B:B,"",-1)</f>
        <v>4.01</v>
      </c>
      <c r="N1789">
        <f t="shared" si="219"/>
        <v>9.9999999999997868E-3</v>
      </c>
      <c r="O1789">
        <f t="shared" si="220"/>
        <v>4.4839130213125689E-3</v>
      </c>
      <c r="P1789">
        <f t="shared" si="221"/>
        <v>1</v>
      </c>
      <c r="Q1789">
        <f t="shared" si="222"/>
        <v>1</v>
      </c>
    </row>
    <row r="1790" spans="1:17">
      <c r="A1790" s="1">
        <v>45056</v>
      </c>
      <c r="B1790">
        <v>4137.6400000000003</v>
      </c>
      <c r="C1790">
        <f t="shared" si="216"/>
        <v>4.4839130213125689E-3</v>
      </c>
      <c r="D1790">
        <f t="shared" si="223"/>
        <v>3.3605318827456543E-4</v>
      </c>
      <c r="E1790">
        <f>_xlfn.XLOOKUP(A1790,VIX!A:A,VIX!B:B,"",-1)</f>
        <v>16.940000000000001</v>
      </c>
      <c r="F1790">
        <f t="shared" si="217"/>
        <v>-0.76999999999999957</v>
      </c>
      <c r="G1790">
        <f>_xlfn.XLOOKUP(A1790,'DGS10'!A:A,'DGS10'!B:B,"",-1)</f>
        <v>3.43</v>
      </c>
      <c r="H1790">
        <f t="shared" si="218"/>
        <v>-9.9999999999999645E-2</v>
      </c>
      <c r="I1790" s="2">
        <f>_xlfn.XLOOKUP(A1790,T10Y3M!A:A,T10Y3M!B:B,"",-1)</f>
        <v>-1.81</v>
      </c>
      <c r="J1790" s="2">
        <f>_xlfn.XLOOKUP(A1790,BAMLC0A4CBBB!A:A,BAMLC0A4CBBB!B:B,"",-1)</f>
        <v>1.83</v>
      </c>
      <c r="K1790" s="2">
        <f>_xlfn.XLOOKUP(A1790,CPIAUCSL!A:A,CPIAUCSL!B:B,"",-1)</f>
        <v>303.334</v>
      </c>
      <c r="L1790">
        <f>_xlfn.XLOOKUP(A1790,DFF!A:A,DFF!B:B,"",-1)</f>
        <v>5.08</v>
      </c>
      <c r="M1790">
        <f>_xlfn.XLOOKUP(A1790,'DGS2'!A:A,'DGS2'!B:B,"",-1)</f>
        <v>3.9</v>
      </c>
      <c r="N1790">
        <f t="shared" si="219"/>
        <v>-0.10999999999999988</v>
      </c>
      <c r="O1790">
        <f t="shared" si="220"/>
        <v>-1.6966193288928677E-3</v>
      </c>
      <c r="P1790">
        <f t="shared" si="221"/>
        <v>0</v>
      </c>
      <c r="Q1790">
        <f t="shared" si="222"/>
        <v>0</v>
      </c>
    </row>
    <row r="1791" spans="1:17">
      <c r="A1791" s="1">
        <v>45057</v>
      </c>
      <c r="B1791">
        <v>4130.62</v>
      </c>
      <c r="C1791">
        <f t="shared" si="216"/>
        <v>-1.6966193288928677E-3</v>
      </c>
      <c r="D1791">
        <f t="shared" si="223"/>
        <v>-1.8124172329463395E-3</v>
      </c>
      <c r="E1791">
        <f>_xlfn.XLOOKUP(A1791,VIX!A:A,VIX!B:B,"",-1)</f>
        <v>16.93</v>
      </c>
      <c r="F1791">
        <f t="shared" si="217"/>
        <v>-1.0000000000001563E-2</v>
      </c>
      <c r="G1791">
        <f>_xlfn.XLOOKUP(A1791,'DGS10'!A:A,'DGS10'!B:B,"",-1)</f>
        <v>3.39</v>
      </c>
      <c r="H1791">
        <f t="shared" si="218"/>
        <v>-4.0000000000000036E-2</v>
      </c>
      <c r="I1791" s="2">
        <f>_xlfn.XLOOKUP(A1791,T10Y3M!A:A,T10Y3M!B:B,"",-1)</f>
        <v>-1.81</v>
      </c>
      <c r="J1791" s="2">
        <f>_xlfn.XLOOKUP(A1791,BAMLC0A4CBBB!A:A,BAMLC0A4CBBB!B:B,"",-1)</f>
        <v>1.83</v>
      </c>
      <c r="K1791" s="2">
        <f>_xlfn.XLOOKUP(A1791,CPIAUCSL!A:A,CPIAUCSL!B:B,"",-1)</f>
        <v>303.334</v>
      </c>
      <c r="L1791">
        <f>_xlfn.XLOOKUP(A1791,DFF!A:A,DFF!B:B,"",-1)</f>
        <v>5.08</v>
      </c>
      <c r="M1791">
        <f>_xlfn.XLOOKUP(A1791,'DGS2'!A:A,'DGS2'!B:B,"",-1)</f>
        <v>3.89</v>
      </c>
      <c r="N1791">
        <f t="shared" si="219"/>
        <v>-9.9999999999997868E-3</v>
      </c>
      <c r="O1791">
        <f t="shared" si="220"/>
        <v>-1.5832974226629437E-3</v>
      </c>
      <c r="P1791">
        <f t="shared" si="221"/>
        <v>0</v>
      </c>
      <c r="Q1791">
        <f t="shared" si="222"/>
        <v>0</v>
      </c>
    </row>
    <row r="1792" spans="1:17">
      <c r="A1792" s="1">
        <v>45058</v>
      </c>
      <c r="B1792">
        <v>4124.08</v>
      </c>
      <c r="C1792">
        <f t="shared" si="216"/>
        <v>-1.5832974226629437E-3</v>
      </c>
      <c r="D1792">
        <f t="shared" si="223"/>
        <v>1.1919877062611661E-3</v>
      </c>
      <c r="E1792">
        <f>_xlfn.XLOOKUP(A1792,VIX!A:A,VIX!B:B,"",-1)</f>
        <v>17.03</v>
      </c>
      <c r="F1792">
        <f t="shared" si="217"/>
        <v>0.10000000000000142</v>
      </c>
      <c r="G1792">
        <f>_xlfn.XLOOKUP(A1792,'DGS10'!A:A,'DGS10'!B:B,"",-1)</f>
        <v>3.46</v>
      </c>
      <c r="H1792">
        <f t="shared" si="218"/>
        <v>6.999999999999984E-2</v>
      </c>
      <c r="I1792" s="2">
        <f>_xlfn.XLOOKUP(A1792,T10Y3M!A:A,T10Y3M!B:B,"",-1)</f>
        <v>-1.79</v>
      </c>
      <c r="J1792" s="2">
        <f>_xlfn.XLOOKUP(A1792,BAMLC0A4CBBB!A:A,BAMLC0A4CBBB!B:B,"",-1)</f>
        <v>1.82</v>
      </c>
      <c r="K1792" s="2">
        <f>_xlfn.XLOOKUP(A1792,CPIAUCSL!A:A,CPIAUCSL!B:B,"",-1)</f>
        <v>303.334</v>
      </c>
      <c r="L1792">
        <f>_xlfn.XLOOKUP(A1792,DFF!A:A,DFF!B:B,"",-1)</f>
        <v>5.08</v>
      </c>
      <c r="M1792">
        <f>_xlfn.XLOOKUP(A1792,'DGS2'!A:A,'DGS2'!B:B,"",-1)</f>
        <v>3.98</v>
      </c>
      <c r="N1792">
        <f t="shared" si="219"/>
        <v>8.9999999999999858E-2</v>
      </c>
      <c r="O1792">
        <f t="shared" si="220"/>
        <v>2.958235533743192E-3</v>
      </c>
      <c r="P1792">
        <f t="shared" si="221"/>
        <v>1</v>
      </c>
      <c r="Q1792">
        <f t="shared" si="222"/>
        <v>0</v>
      </c>
    </row>
    <row r="1793" spans="1:17">
      <c r="A1793" s="1">
        <v>45061</v>
      </c>
      <c r="B1793">
        <v>4136.28</v>
      </c>
      <c r="C1793">
        <f t="shared" si="216"/>
        <v>2.958235533743192E-3</v>
      </c>
      <c r="D1793">
        <f t="shared" si="223"/>
        <v>-3.2868978451494613E-4</v>
      </c>
      <c r="E1793">
        <f>_xlfn.XLOOKUP(A1793,VIX!A:A,VIX!B:B,"",-1)</f>
        <v>17.12</v>
      </c>
      <c r="F1793">
        <f t="shared" si="217"/>
        <v>8.9999999999999858E-2</v>
      </c>
      <c r="G1793">
        <f>_xlfn.XLOOKUP(A1793,'DGS10'!A:A,'DGS10'!B:B,"",-1)</f>
        <v>3.5</v>
      </c>
      <c r="H1793">
        <f t="shared" si="218"/>
        <v>4.0000000000000036E-2</v>
      </c>
      <c r="I1793" s="2">
        <f>_xlfn.XLOOKUP(A1793,T10Y3M!A:A,T10Y3M!B:B,"",-1)</f>
        <v>-1.71</v>
      </c>
      <c r="J1793" s="2">
        <f>_xlfn.XLOOKUP(A1793,BAMLC0A4CBBB!A:A,BAMLC0A4CBBB!B:B,"",-1)</f>
        <v>1.83</v>
      </c>
      <c r="K1793" s="2">
        <f>_xlfn.XLOOKUP(A1793,CPIAUCSL!A:A,CPIAUCSL!B:B,"",-1)</f>
        <v>303.334</v>
      </c>
      <c r="L1793">
        <f>_xlfn.XLOOKUP(A1793,DFF!A:A,DFF!B:B,"",-1)</f>
        <v>5.08</v>
      </c>
      <c r="M1793">
        <f>_xlfn.XLOOKUP(A1793,'DGS2'!A:A,'DGS2'!B:B,"",-1)</f>
        <v>3.99</v>
      </c>
      <c r="N1793">
        <f t="shared" si="219"/>
        <v>1.0000000000000231E-2</v>
      </c>
      <c r="O1793">
        <f t="shared" si="220"/>
        <v>-6.3777113735047353E-3</v>
      </c>
      <c r="P1793">
        <f t="shared" si="221"/>
        <v>0</v>
      </c>
      <c r="Q1793">
        <f t="shared" si="222"/>
        <v>-1</v>
      </c>
    </row>
    <row r="1794" spans="1:17">
      <c r="A1794" s="1">
        <v>45062</v>
      </c>
      <c r="B1794">
        <v>4109.8999999999996</v>
      </c>
      <c r="C1794">
        <f t="shared" si="216"/>
        <v>-6.3777113735047353E-3</v>
      </c>
      <c r="D1794">
        <f t="shared" si="223"/>
        <v>-5.016196115837368E-3</v>
      </c>
      <c r="E1794">
        <f>_xlfn.XLOOKUP(A1794,VIX!A:A,VIX!B:B,"",-1)</f>
        <v>17.989999999999998</v>
      </c>
      <c r="F1794">
        <f t="shared" si="217"/>
        <v>0.86999999999999744</v>
      </c>
      <c r="G1794">
        <f>_xlfn.XLOOKUP(A1794,'DGS10'!A:A,'DGS10'!B:B,"",-1)</f>
        <v>3.54</v>
      </c>
      <c r="H1794">
        <f t="shared" si="218"/>
        <v>4.0000000000000036E-2</v>
      </c>
      <c r="I1794" s="2">
        <f>_xlfn.XLOOKUP(A1794,T10Y3M!A:A,T10Y3M!B:B,"",-1)</f>
        <v>-1.69</v>
      </c>
      <c r="J1794" s="2">
        <f>_xlfn.XLOOKUP(A1794,BAMLC0A4CBBB!A:A,BAMLC0A4CBBB!B:B,"",-1)</f>
        <v>1.84</v>
      </c>
      <c r="K1794" s="2">
        <f>_xlfn.XLOOKUP(A1794,CPIAUCSL!A:A,CPIAUCSL!B:B,"",-1)</f>
        <v>303.334</v>
      </c>
      <c r="L1794">
        <f>_xlfn.XLOOKUP(A1794,DFF!A:A,DFF!B:B,"",-1)</f>
        <v>5.08</v>
      </c>
      <c r="M1794">
        <f>_xlfn.XLOOKUP(A1794,'DGS2'!A:A,'DGS2'!B:B,"",-1)</f>
        <v>4.0599999999999996</v>
      </c>
      <c r="N1794">
        <f t="shared" si="219"/>
        <v>6.9999999999999396E-2</v>
      </c>
      <c r="O1794">
        <f t="shared" si="220"/>
        <v>1.1890800262780221E-2</v>
      </c>
      <c r="P1794">
        <f t="shared" si="221"/>
        <v>1</v>
      </c>
      <c r="Q1794">
        <f t="shared" si="222"/>
        <v>1</v>
      </c>
    </row>
    <row r="1795" spans="1:17">
      <c r="A1795" s="1">
        <v>45063</v>
      </c>
      <c r="B1795">
        <v>4158.7700000000004</v>
      </c>
      <c r="C1795">
        <f t="shared" si="216"/>
        <v>1.1890800262780221E-2</v>
      </c>
      <c r="D1795">
        <f t="shared" si="223"/>
        <v>8.4115730053735405E-3</v>
      </c>
      <c r="E1795">
        <f>_xlfn.XLOOKUP(A1795,VIX!A:A,VIX!B:B,"",-1)</f>
        <v>16.87</v>
      </c>
      <c r="F1795">
        <f t="shared" si="217"/>
        <v>-1.1199999999999974</v>
      </c>
      <c r="G1795">
        <f>_xlfn.XLOOKUP(A1795,'DGS10'!A:A,'DGS10'!B:B,"",-1)</f>
        <v>3.57</v>
      </c>
      <c r="H1795">
        <f t="shared" si="218"/>
        <v>2.9999999999999805E-2</v>
      </c>
      <c r="I1795" s="2">
        <f>_xlfn.XLOOKUP(A1795,T10Y3M!A:A,T10Y3M!B:B,"",-1)</f>
        <v>-1.69</v>
      </c>
      <c r="J1795" s="2">
        <f>_xlfn.XLOOKUP(A1795,BAMLC0A4CBBB!A:A,BAMLC0A4CBBB!B:B,"",-1)</f>
        <v>1.83</v>
      </c>
      <c r="K1795" s="2">
        <f>_xlfn.XLOOKUP(A1795,CPIAUCSL!A:A,CPIAUCSL!B:B,"",-1)</f>
        <v>303.334</v>
      </c>
      <c r="L1795">
        <f>_xlfn.XLOOKUP(A1795,DFF!A:A,DFF!B:B,"",-1)</f>
        <v>5.08</v>
      </c>
      <c r="M1795">
        <f>_xlfn.XLOOKUP(A1795,'DGS2'!A:A,'DGS2'!B:B,"",-1)</f>
        <v>4.12</v>
      </c>
      <c r="N1795">
        <f t="shared" si="219"/>
        <v>6.0000000000000497E-2</v>
      </c>
      <c r="O1795">
        <f t="shared" si="220"/>
        <v>9.4451003541911049E-3</v>
      </c>
      <c r="P1795">
        <f t="shared" si="221"/>
        <v>1</v>
      </c>
      <c r="Q1795">
        <f t="shared" si="222"/>
        <v>1</v>
      </c>
    </row>
    <row r="1796" spans="1:17">
      <c r="A1796" s="1">
        <v>45064</v>
      </c>
      <c r="B1796">
        <v>4198.05</v>
      </c>
      <c r="C1796">
        <f t="shared" ref="C1796:C1859" si="224">IF(OR(B1796="",B1795=""),"",(B1796/B1795)-1)</f>
        <v>9.4451003541911049E-3</v>
      </c>
      <c r="D1796">
        <f t="shared" si="223"/>
        <v>1.4933708549711433E-2</v>
      </c>
      <c r="E1796">
        <f>_xlfn.XLOOKUP(A1796,VIX!A:A,VIX!B:B,"",-1)</f>
        <v>16.05</v>
      </c>
      <c r="F1796">
        <f t="shared" ref="F1796:F1859" si="225">IF(OR(E1796="",E1795=""),"",E1796-E1795)</f>
        <v>-0.82000000000000028</v>
      </c>
      <c r="G1796">
        <f>_xlfn.XLOOKUP(A1796,'DGS10'!A:A,'DGS10'!B:B,"",-1)</f>
        <v>3.65</v>
      </c>
      <c r="H1796">
        <f t="shared" ref="H1796:H1859" si="226">IF(OR(G1796="",G1795=""),"",G1796-G1795)</f>
        <v>8.0000000000000071E-2</v>
      </c>
      <c r="I1796" s="2">
        <f>_xlfn.XLOOKUP(A1796,T10Y3M!A:A,T10Y3M!B:B,"",-1)</f>
        <v>-1.66</v>
      </c>
      <c r="J1796" s="2">
        <f>_xlfn.XLOOKUP(A1796,BAMLC0A4CBBB!A:A,BAMLC0A4CBBB!B:B,"",-1)</f>
        <v>1.82</v>
      </c>
      <c r="K1796" s="2">
        <f>_xlfn.XLOOKUP(A1796,CPIAUCSL!A:A,CPIAUCSL!B:B,"",-1)</f>
        <v>303.334</v>
      </c>
      <c r="L1796">
        <f>_xlfn.XLOOKUP(A1796,DFF!A:A,DFF!B:B,"",-1)</f>
        <v>5.08</v>
      </c>
      <c r="M1796">
        <f>_xlfn.XLOOKUP(A1796,'DGS2'!A:A,'DGS2'!B:B,"",-1)</f>
        <v>4.24</v>
      </c>
      <c r="N1796">
        <f t="shared" ref="N1796:N1859" si="227">IF(OR(M1796="",M1795=""),"",M1796-M1795)</f>
        <v>0.12000000000000011</v>
      </c>
      <c r="O1796">
        <f t="shared" ref="O1796:O1859" si="228">IF(OR(B1797="",B1796=""),"",(B1797/B1796)-1)</f>
        <v>-1.445909410321633E-3</v>
      </c>
      <c r="P1796">
        <f t="shared" ref="P1796:P1859" si="229">IF(O1796="","",IF(O1796&gt;0,1,0))</f>
        <v>0</v>
      </c>
      <c r="Q1796">
        <f t="shared" ref="Q1796:Q1859" si="230">IF(O1796="","",IF(O1796&gt;0.003,1,IF(O1796&lt;-0.003,-1,0)))</f>
        <v>0</v>
      </c>
    </row>
    <row r="1797" spans="1:17">
      <c r="A1797" s="1">
        <v>45065</v>
      </c>
      <c r="B1797">
        <v>4191.9799999999996</v>
      </c>
      <c r="C1797">
        <f t="shared" si="224"/>
        <v>-1.445909410321633E-3</v>
      </c>
      <c r="D1797">
        <f t="shared" si="223"/>
        <v>1.9971288839144563E-2</v>
      </c>
      <c r="E1797">
        <f>_xlfn.XLOOKUP(A1797,VIX!A:A,VIX!B:B,"",-1)</f>
        <v>16.809999999999999</v>
      </c>
      <c r="F1797">
        <f t="shared" si="225"/>
        <v>0.75999999999999801</v>
      </c>
      <c r="G1797">
        <f>_xlfn.XLOOKUP(A1797,'DGS10'!A:A,'DGS10'!B:B,"",-1)</f>
        <v>3.7</v>
      </c>
      <c r="H1797">
        <f t="shared" si="226"/>
        <v>5.0000000000000266E-2</v>
      </c>
      <c r="I1797" s="2">
        <f>_xlfn.XLOOKUP(A1797,T10Y3M!A:A,T10Y3M!B:B,"",-1)</f>
        <v>-1.59</v>
      </c>
      <c r="J1797" s="2">
        <f>_xlfn.XLOOKUP(A1797,BAMLC0A4CBBB!A:A,BAMLC0A4CBBB!B:B,"",-1)</f>
        <v>1.79</v>
      </c>
      <c r="K1797" s="2">
        <f>_xlfn.XLOOKUP(A1797,CPIAUCSL!A:A,CPIAUCSL!B:B,"",-1)</f>
        <v>303.334</v>
      </c>
      <c r="L1797">
        <f>_xlfn.XLOOKUP(A1797,DFF!A:A,DFF!B:B,"",-1)</f>
        <v>5.08</v>
      </c>
      <c r="M1797">
        <f>_xlfn.XLOOKUP(A1797,'DGS2'!A:A,'DGS2'!B:B,"",-1)</f>
        <v>4.28</v>
      </c>
      <c r="N1797">
        <f t="shared" si="227"/>
        <v>4.0000000000000036E-2</v>
      </c>
      <c r="O1797">
        <f t="shared" si="228"/>
        <v>1.5505799168891166E-4</v>
      </c>
      <c r="P1797">
        <f t="shared" si="229"/>
        <v>1</v>
      </c>
      <c r="Q1797">
        <f t="shared" si="230"/>
        <v>0</v>
      </c>
    </row>
    <row r="1798" spans="1:17">
      <c r="A1798" s="1">
        <v>45068</v>
      </c>
      <c r="B1798">
        <v>4192.63</v>
      </c>
      <c r="C1798">
        <f t="shared" si="224"/>
        <v>1.5505799168891166E-4</v>
      </c>
      <c r="D1798">
        <f t="shared" ref="D1798:D1861" si="231">IF(OR(B1798="",B1795=""),"",(B1798/B1795)-1)</f>
        <v>8.1418303969682526E-3</v>
      </c>
      <c r="E1798">
        <f>_xlfn.XLOOKUP(A1798,VIX!A:A,VIX!B:B,"",-1)</f>
        <v>17.21</v>
      </c>
      <c r="F1798">
        <f t="shared" si="225"/>
        <v>0.40000000000000213</v>
      </c>
      <c r="G1798">
        <f>_xlfn.XLOOKUP(A1798,'DGS10'!A:A,'DGS10'!B:B,"",-1)</f>
        <v>3.72</v>
      </c>
      <c r="H1798">
        <f t="shared" si="226"/>
        <v>2.0000000000000018E-2</v>
      </c>
      <c r="I1798" s="2">
        <f>_xlfn.XLOOKUP(A1798,T10Y3M!A:A,T10Y3M!B:B,"",-1)</f>
        <v>-1.68</v>
      </c>
      <c r="J1798" s="2">
        <f>_xlfn.XLOOKUP(A1798,BAMLC0A4CBBB!A:A,BAMLC0A4CBBB!B:B,"",-1)</f>
        <v>1.78</v>
      </c>
      <c r="K1798" s="2">
        <f>_xlfn.XLOOKUP(A1798,CPIAUCSL!A:A,CPIAUCSL!B:B,"",-1)</f>
        <v>303.334</v>
      </c>
      <c r="L1798">
        <f>_xlfn.XLOOKUP(A1798,DFF!A:A,DFF!B:B,"",-1)</f>
        <v>5.08</v>
      </c>
      <c r="M1798">
        <f>_xlfn.XLOOKUP(A1798,'DGS2'!A:A,'DGS2'!B:B,"",-1)</f>
        <v>4.29</v>
      </c>
      <c r="N1798">
        <f t="shared" si="227"/>
        <v>9.9999999999997868E-3</v>
      </c>
      <c r="O1798">
        <f t="shared" si="228"/>
        <v>-1.1222073018606449E-2</v>
      </c>
      <c r="P1798">
        <f t="shared" si="229"/>
        <v>0</v>
      </c>
      <c r="Q1798">
        <f t="shared" si="230"/>
        <v>-1</v>
      </c>
    </row>
    <row r="1799" spans="1:17">
      <c r="A1799" s="1">
        <v>45069</v>
      </c>
      <c r="B1799">
        <v>4145.58</v>
      </c>
      <c r="C1799">
        <f t="shared" si="224"/>
        <v>-1.1222073018606449E-2</v>
      </c>
      <c r="D1799">
        <f t="shared" si="231"/>
        <v>-1.2498660092185698E-2</v>
      </c>
      <c r="E1799">
        <f>_xlfn.XLOOKUP(A1799,VIX!A:A,VIX!B:B,"",-1)</f>
        <v>18.53</v>
      </c>
      <c r="F1799">
        <f t="shared" si="225"/>
        <v>1.3200000000000003</v>
      </c>
      <c r="G1799">
        <f>_xlfn.XLOOKUP(A1799,'DGS10'!A:A,'DGS10'!B:B,"",-1)</f>
        <v>3.7</v>
      </c>
      <c r="H1799">
        <f t="shared" si="226"/>
        <v>-2.0000000000000018E-2</v>
      </c>
      <c r="I1799" s="2">
        <f>_xlfn.XLOOKUP(A1799,T10Y3M!A:A,T10Y3M!B:B,"",-1)</f>
        <v>-1.64</v>
      </c>
      <c r="J1799" s="2">
        <f>_xlfn.XLOOKUP(A1799,BAMLC0A4CBBB!A:A,BAMLC0A4CBBB!B:B,"",-1)</f>
        <v>1.78</v>
      </c>
      <c r="K1799" s="2">
        <f>_xlfn.XLOOKUP(A1799,CPIAUCSL!A:A,CPIAUCSL!B:B,"",-1)</f>
        <v>303.334</v>
      </c>
      <c r="L1799">
        <f>_xlfn.XLOOKUP(A1799,DFF!A:A,DFF!B:B,"",-1)</f>
        <v>5.08</v>
      </c>
      <c r="M1799">
        <f>_xlfn.XLOOKUP(A1799,'DGS2'!A:A,'DGS2'!B:B,"",-1)</f>
        <v>4.26</v>
      </c>
      <c r="N1799">
        <f t="shared" si="227"/>
        <v>-3.0000000000000249E-2</v>
      </c>
      <c r="O1799">
        <f t="shared" si="228"/>
        <v>-7.3186381640205633E-3</v>
      </c>
      <c r="P1799">
        <f t="shared" si="229"/>
        <v>0</v>
      </c>
      <c r="Q1799">
        <f t="shared" si="230"/>
        <v>-1</v>
      </c>
    </row>
    <row r="1800" spans="1:17">
      <c r="A1800" s="1">
        <v>45070</v>
      </c>
      <c r="B1800">
        <v>4115.24</v>
      </c>
      <c r="C1800">
        <f t="shared" si="224"/>
        <v>-7.3186381640205633E-3</v>
      </c>
      <c r="D1800">
        <f t="shared" si="231"/>
        <v>-1.8306385049546958E-2</v>
      </c>
      <c r="E1800">
        <f>_xlfn.XLOOKUP(A1800,VIX!A:A,VIX!B:B,"",-1)</f>
        <v>20.03</v>
      </c>
      <c r="F1800">
        <f t="shared" si="225"/>
        <v>1.5</v>
      </c>
      <c r="G1800">
        <f>_xlfn.XLOOKUP(A1800,'DGS10'!A:A,'DGS10'!B:B,"",-1)</f>
        <v>3.73</v>
      </c>
      <c r="H1800">
        <f t="shared" si="226"/>
        <v>2.9999999999999805E-2</v>
      </c>
      <c r="I1800" s="2">
        <f>_xlfn.XLOOKUP(A1800,T10Y3M!A:A,T10Y3M!B:B,"",-1)</f>
        <v>-1.64</v>
      </c>
      <c r="J1800" s="2">
        <f>_xlfn.XLOOKUP(A1800,BAMLC0A4CBBB!A:A,BAMLC0A4CBBB!B:B,"",-1)</f>
        <v>1.78</v>
      </c>
      <c r="K1800" s="2">
        <f>_xlfn.XLOOKUP(A1800,CPIAUCSL!A:A,CPIAUCSL!B:B,"",-1)</f>
        <v>303.334</v>
      </c>
      <c r="L1800">
        <f>_xlfn.XLOOKUP(A1800,DFF!A:A,DFF!B:B,"",-1)</f>
        <v>5.08</v>
      </c>
      <c r="M1800">
        <f>_xlfn.XLOOKUP(A1800,'DGS2'!A:A,'DGS2'!B:B,"",-1)</f>
        <v>4.3099999999999996</v>
      </c>
      <c r="N1800">
        <f t="shared" si="227"/>
        <v>4.9999999999999822E-2</v>
      </c>
      <c r="O1800">
        <f t="shared" si="228"/>
        <v>8.7576909244662104E-3</v>
      </c>
      <c r="P1800">
        <f t="shared" si="229"/>
        <v>1</v>
      </c>
      <c r="Q1800">
        <f t="shared" si="230"/>
        <v>1</v>
      </c>
    </row>
    <row r="1801" spans="1:17">
      <c r="A1801" s="1">
        <v>45071</v>
      </c>
      <c r="B1801">
        <v>4151.28</v>
      </c>
      <c r="C1801">
        <f t="shared" si="224"/>
        <v>8.7576909244662104E-3</v>
      </c>
      <c r="D1801">
        <f t="shared" si="231"/>
        <v>-9.8625445126330202E-3</v>
      </c>
      <c r="E1801">
        <f>_xlfn.XLOOKUP(A1801,VIX!A:A,VIX!B:B,"",-1)</f>
        <v>19.14</v>
      </c>
      <c r="F1801">
        <f t="shared" si="225"/>
        <v>-0.89000000000000057</v>
      </c>
      <c r="G1801">
        <f>_xlfn.XLOOKUP(A1801,'DGS10'!A:A,'DGS10'!B:B,"",-1)</f>
        <v>3.83</v>
      </c>
      <c r="H1801">
        <f t="shared" si="226"/>
        <v>0.10000000000000009</v>
      </c>
      <c r="I1801" s="2">
        <f>_xlfn.XLOOKUP(A1801,T10Y3M!A:A,T10Y3M!B:B,"",-1)</f>
        <v>-1.55</v>
      </c>
      <c r="J1801" s="2">
        <f>_xlfn.XLOOKUP(A1801,BAMLC0A4CBBB!A:A,BAMLC0A4CBBB!B:B,"",-1)</f>
        <v>1.75</v>
      </c>
      <c r="K1801" s="2">
        <f>_xlfn.XLOOKUP(A1801,CPIAUCSL!A:A,CPIAUCSL!B:B,"",-1)</f>
        <v>303.334</v>
      </c>
      <c r="L1801">
        <f>_xlfn.XLOOKUP(A1801,DFF!A:A,DFF!B:B,"",-1)</f>
        <v>5.08</v>
      </c>
      <c r="M1801">
        <f>_xlfn.XLOOKUP(A1801,'DGS2'!A:A,'DGS2'!B:B,"",-1)</f>
        <v>4.5</v>
      </c>
      <c r="N1801">
        <f t="shared" si="227"/>
        <v>0.19000000000000039</v>
      </c>
      <c r="O1801">
        <f t="shared" si="228"/>
        <v>1.3048987300302572E-2</v>
      </c>
      <c r="P1801">
        <f t="shared" si="229"/>
        <v>1</v>
      </c>
      <c r="Q1801">
        <f t="shared" si="230"/>
        <v>1</v>
      </c>
    </row>
    <row r="1802" spans="1:17">
      <c r="A1802" s="1">
        <v>45072</v>
      </c>
      <c r="B1802">
        <v>4205.45</v>
      </c>
      <c r="C1802">
        <f t="shared" si="224"/>
        <v>1.3048987300302572E-2</v>
      </c>
      <c r="D1802">
        <f t="shared" si="231"/>
        <v>1.4441887504281548E-2</v>
      </c>
      <c r="E1802">
        <f>_xlfn.XLOOKUP(A1802,VIX!A:A,VIX!B:B,"",-1)</f>
        <v>17.95</v>
      </c>
      <c r="F1802">
        <f t="shared" si="225"/>
        <v>-1.1900000000000013</v>
      </c>
      <c r="G1802">
        <f>_xlfn.XLOOKUP(A1802,'DGS10'!A:A,'DGS10'!B:B,"",-1)</f>
        <v>3.8</v>
      </c>
      <c r="H1802">
        <f t="shared" si="226"/>
        <v>-3.0000000000000249E-2</v>
      </c>
      <c r="I1802" s="2">
        <f>_xlfn.XLOOKUP(A1802,T10Y3M!A:A,T10Y3M!B:B,"",-1)</f>
        <v>-1.54</v>
      </c>
      <c r="J1802" s="2">
        <f>_xlfn.XLOOKUP(A1802,BAMLC0A4CBBB!A:A,BAMLC0A4CBBB!B:B,"",-1)</f>
        <v>1.74</v>
      </c>
      <c r="K1802" s="2">
        <f>_xlfn.XLOOKUP(A1802,CPIAUCSL!A:A,CPIAUCSL!B:B,"",-1)</f>
        <v>303.334</v>
      </c>
      <c r="L1802">
        <f>_xlfn.XLOOKUP(A1802,DFF!A:A,DFF!B:B,"",-1)</f>
        <v>5.08</v>
      </c>
      <c r="M1802">
        <f>_xlfn.XLOOKUP(A1802,'DGS2'!A:A,'DGS2'!B:B,"",-1)</f>
        <v>4.54</v>
      </c>
      <c r="N1802">
        <f t="shared" si="227"/>
        <v>4.0000000000000036E-2</v>
      </c>
      <c r="O1802">
        <f t="shared" si="228"/>
        <v>1.6645067709930572E-5</v>
      </c>
      <c r="P1802">
        <f t="shared" si="229"/>
        <v>1</v>
      </c>
      <c r="Q1802">
        <f t="shared" si="230"/>
        <v>0</v>
      </c>
    </row>
    <row r="1803" spans="1:17">
      <c r="A1803" s="1">
        <v>45076</v>
      </c>
      <c r="B1803">
        <v>4205.5200000000004</v>
      </c>
      <c r="C1803">
        <f t="shared" si="224"/>
        <v>1.6645067709930572E-5</v>
      </c>
      <c r="D1803">
        <f t="shared" si="231"/>
        <v>2.1937967165949201E-2</v>
      </c>
      <c r="E1803">
        <f>_xlfn.XLOOKUP(A1803,VIX!A:A,VIX!B:B,"",-1)</f>
        <v>17.46</v>
      </c>
      <c r="F1803">
        <f t="shared" si="225"/>
        <v>-0.48999999999999844</v>
      </c>
      <c r="G1803">
        <f>_xlfn.XLOOKUP(A1803,'DGS10'!A:A,'DGS10'!B:B,"",-1)</f>
        <v>3.69</v>
      </c>
      <c r="H1803">
        <f t="shared" si="226"/>
        <v>-0.10999999999999988</v>
      </c>
      <c r="I1803" s="2">
        <f>_xlfn.XLOOKUP(A1803,T10Y3M!A:A,T10Y3M!B:B,"",-1)</f>
        <v>-1.86</v>
      </c>
      <c r="J1803" s="2">
        <f>_xlfn.XLOOKUP(A1803,BAMLC0A4CBBB!A:A,BAMLC0A4CBBB!B:B,"",-1)</f>
        <v>1.74</v>
      </c>
      <c r="K1803" s="2">
        <f>_xlfn.XLOOKUP(A1803,CPIAUCSL!A:A,CPIAUCSL!B:B,"",-1)</f>
        <v>303.334</v>
      </c>
      <c r="L1803">
        <f>_xlfn.XLOOKUP(A1803,DFF!A:A,DFF!B:B,"",-1)</f>
        <v>5.08</v>
      </c>
      <c r="M1803">
        <f>_xlfn.XLOOKUP(A1803,'DGS2'!A:A,'DGS2'!B:B,"",-1)</f>
        <v>4.46</v>
      </c>
      <c r="N1803">
        <f t="shared" si="227"/>
        <v>-8.0000000000000071E-2</v>
      </c>
      <c r="O1803">
        <f t="shared" si="228"/>
        <v>-6.1086381707852189E-3</v>
      </c>
      <c r="P1803">
        <f t="shared" si="229"/>
        <v>0</v>
      </c>
      <c r="Q1803">
        <f t="shared" si="230"/>
        <v>-1</v>
      </c>
    </row>
    <row r="1804" spans="1:17">
      <c r="A1804" s="1">
        <v>45077</v>
      </c>
      <c r="B1804">
        <v>4179.83</v>
      </c>
      <c r="C1804">
        <f t="shared" si="224"/>
        <v>-6.1086381707852189E-3</v>
      </c>
      <c r="D1804">
        <f t="shared" si="231"/>
        <v>6.8773968510917882E-3</v>
      </c>
      <c r="E1804">
        <f>_xlfn.XLOOKUP(A1804,VIX!A:A,VIX!B:B,"",-1)</f>
        <v>17.940000000000001</v>
      </c>
      <c r="F1804">
        <f t="shared" si="225"/>
        <v>0.48000000000000043</v>
      </c>
      <c r="G1804">
        <f>_xlfn.XLOOKUP(A1804,'DGS10'!A:A,'DGS10'!B:B,"",-1)</f>
        <v>3.64</v>
      </c>
      <c r="H1804">
        <f t="shared" si="226"/>
        <v>-4.9999999999999822E-2</v>
      </c>
      <c r="I1804" s="2">
        <f>_xlfn.XLOOKUP(A1804,T10Y3M!A:A,T10Y3M!B:B,"",-1)</f>
        <v>-1.88</v>
      </c>
      <c r="J1804" s="2">
        <f>_xlfn.XLOOKUP(A1804,BAMLC0A4CBBB!A:A,BAMLC0A4CBBB!B:B,"",-1)</f>
        <v>1.76</v>
      </c>
      <c r="K1804" s="2">
        <f>_xlfn.XLOOKUP(A1804,CPIAUCSL!A:A,CPIAUCSL!B:B,"",-1)</f>
        <v>303.334</v>
      </c>
      <c r="L1804">
        <f>_xlfn.XLOOKUP(A1804,DFF!A:A,DFF!B:B,"",-1)</f>
        <v>5.08</v>
      </c>
      <c r="M1804">
        <f>_xlfn.XLOOKUP(A1804,'DGS2'!A:A,'DGS2'!B:B,"",-1)</f>
        <v>4.4000000000000004</v>
      </c>
      <c r="N1804">
        <f t="shared" si="227"/>
        <v>-5.9999999999999609E-2</v>
      </c>
      <c r="O1804">
        <f t="shared" si="228"/>
        <v>9.8544677654355262E-3</v>
      </c>
      <c r="P1804">
        <f t="shared" si="229"/>
        <v>1</v>
      </c>
      <c r="Q1804">
        <f t="shared" si="230"/>
        <v>1</v>
      </c>
    </row>
    <row r="1805" spans="1:17">
      <c r="A1805" s="1">
        <v>45078</v>
      </c>
      <c r="B1805">
        <v>4221.0200000000004</v>
      </c>
      <c r="C1805">
        <f t="shared" si="224"/>
        <v>9.8544677654355262E-3</v>
      </c>
      <c r="D1805">
        <f t="shared" si="231"/>
        <v>3.7023386320134133E-3</v>
      </c>
      <c r="E1805">
        <f>_xlfn.XLOOKUP(A1805,VIX!A:A,VIX!B:B,"",-1)</f>
        <v>15.65</v>
      </c>
      <c r="F1805">
        <f t="shared" si="225"/>
        <v>-2.2900000000000009</v>
      </c>
      <c r="G1805">
        <f>_xlfn.XLOOKUP(A1805,'DGS10'!A:A,'DGS10'!B:B,"",-1)</f>
        <v>3.61</v>
      </c>
      <c r="H1805">
        <f t="shared" si="226"/>
        <v>-3.0000000000000249E-2</v>
      </c>
      <c r="I1805" s="2">
        <f>_xlfn.XLOOKUP(A1805,T10Y3M!A:A,T10Y3M!B:B,"",-1)</f>
        <v>-1.89</v>
      </c>
      <c r="J1805" s="2">
        <f>_xlfn.XLOOKUP(A1805,BAMLC0A4CBBB!A:A,BAMLC0A4CBBB!B:B,"",-1)</f>
        <v>1.76</v>
      </c>
      <c r="K1805" s="2">
        <f>_xlfn.XLOOKUP(A1805,CPIAUCSL!A:A,CPIAUCSL!B:B,"",-1)</f>
        <v>304.01400000000001</v>
      </c>
      <c r="L1805">
        <f>_xlfn.XLOOKUP(A1805,DFF!A:A,DFF!B:B,"",-1)</f>
        <v>5.08</v>
      </c>
      <c r="M1805">
        <f>_xlfn.XLOOKUP(A1805,'DGS2'!A:A,'DGS2'!B:B,"",-1)</f>
        <v>4.33</v>
      </c>
      <c r="N1805">
        <f t="shared" si="227"/>
        <v>-7.0000000000000284E-2</v>
      </c>
      <c r="O1805">
        <f t="shared" si="228"/>
        <v>1.4534401637518846E-2</v>
      </c>
      <c r="P1805">
        <f t="shared" si="229"/>
        <v>1</v>
      </c>
      <c r="Q1805">
        <f t="shared" si="230"/>
        <v>1</v>
      </c>
    </row>
    <row r="1806" spans="1:17">
      <c r="A1806" s="1">
        <v>45079</v>
      </c>
      <c r="B1806">
        <v>4282.37</v>
      </c>
      <c r="C1806">
        <f t="shared" si="224"/>
        <v>1.4534401637518846E-2</v>
      </c>
      <c r="D1806">
        <f t="shared" si="231"/>
        <v>1.8273602313150228E-2</v>
      </c>
      <c r="E1806">
        <f>_xlfn.XLOOKUP(A1806,VIX!A:A,VIX!B:B,"",-1)</f>
        <v>14.6</v>
      </c>
      <c r="F1806">
        <f t="shared" si="225"/>
        <v>-1.0500000000000007</v>
      </c>
      <c r="G1806">
        <f>_xlfn.XLOOKUP(A1806,'DGS10'!A:A,'DGS10'!B:B,"",-1)</f>
        <v>3.69</v>
      </c>
      <c r="H1806">
        <f t="shared" si="226"/>
        <v>8.0000000000000071E-2</v>
      </c>
      <c r="I1806" s="2">
        <f>_xlfn.XLOOKUP(A1806,T10Y3M!A:A,T10Y3M!B:B,"",-1)</f>
        <v>-1.81</v>
      </c>
      <c r="J1806" s="2">
        <f>_xlfn.XLOOKUP(A1806,BAMLC0A4CBBB!A:A,BAMLC0A4CBBB!B:B,"",-1)</f>
        <v>1.73</v>
      </c>
      <c r="K1806" s="2">
        <f>_xlfn.XLOOKUP(A1806,CPIAUCSL!A:A,CPIAUCSL!B:B,"",-1)</f>
        <v>304.01400000000001</v>
      </c>
      <c r="L1806">
        <f>_xlfn.XLOOKUP(A1806,DFF!A:A,DFF!B:B,"",-1)</f>
        <v>5.08</v>
      </c>
      <c r="M1806">
        <f>_xlfn.XLOOKUP(A1806,'DGS2'!A:A,'DGS2'!B:B,"",-1)</f>
        <v>4.5</v>
      </c>
      <c r="N1806">
        <f t="shared" si="227"/>
        <v>0.16999999999999993</v>
      </c>
      <c r="O1806">
        <f t="shared" si="228"/>
        <v>-2.0035634473434261E-3</v>
      </c>
      <c r="P1806">
        <f t="shared" si="229"/>
        <v>0</v>
      </c>
      <c r="Q1806">
        <f t="shared" si="230"/>
        <v>0</v>
      </c>
    </row>
    <row r="1807" spans="1:17">
      <c r="A1807" s="1">
        <v>45082</v>
      </c>
      <c r="B1807">
        <v>4273.79</v>
      </c>
      <c r="C1807">
        <f t="shared" si="224"/>
        <v>-2.0035634473434261E-3</v>
      </c>
      <c r="D1807">
        <f t="shared" si="231"/>
        <v>2.2479383132806952E-2</v>
      </c>
      <c r="E1807">
        <f>_xlfn.XLOOKUP(A1807,VIX!A:A,VIX!B:B,"",-1)</f>
        <v>14.73</v>
      </c>
      <c r="F1807">
        <f t="shared" si="225"/>
        <v>0.13000000000000078</v>
      </c>
      <c r="G1807">
        <f>_xlfn.XLOOKUP(A1807,'DGS10'!A:A,'DGS10'!B:B,"",-1)</f>
        <v>3.69</v>
      </c>
      <c r="H1807">
        <f t="shared" si="226"/>
        <v>0</v>
      </c>
      <c r="I1807" s="2">
        <f>_xlfn.XLOOKUP(A1807,T10Y3M!A:A,T10Y3M!B:B,"",-1)</f>
        <v>-1.77</v>
      </c>
      <c r="J1807" s="2">
        <f>_xlfn.XLOOKUP(A1807,BAMLC0A4CBBB!A:A,BAMLC0A4CBBB!B:B,"",-1)</f>
        <v>1.73</v>
      </c>
      <c r="K1807" s="2">
        <f>_xlfn.XLOOKUP(A1807,CPIAUCSL!A:A,CPIAUCSL!B:B,"",-1)</f>
        <v>304.01400000000001</v>
      </c>
      <c r="L1807">
        <f>_xlfn.XLOOKUP(A1807,DFF!A:A,DFF!B:B,"",-1)</f>
        <v>5.08</v>
      </c>
      <c r="M1807">
        <f>_xlfn.XLOOKUP(A1807,'DGS2'!A:A,'DGS2'!B:B,"",-1)</f>
        <v>4.46</v>
      </c>
      <c r="N1807">
        <f t="shared" si="227"/>
        <v>-4.0000000000000036E-2</v>
      </c>
      <c r="O1807">
        <f t="shared" si="228"/>
        <v>2.3538826194080542E-3</v>
      </c>
      <c r="P1807">
        <f t="shared" si="229"/>
        <v>1</v>
      </c>
      <c r="Q1807">
        <f t="shared" si="230"/>
        <v>0</v>
      </c>
    </row>
    <row r="1808" spans="1:17">
      <c r="A1808" s="1">
        <v>45083</v>
      </c>
      <c r="B1808">
        <v>4283.8500000000004</v>
      </c>
      <c r="C1808">
        <f t="shared" si="224"/>
        <v>2.3538826194080542E-3</v>
      </c>
      <c r="D1808">
        <f t="shared" si="231"/>
        <v>1.4885027789491634E-2</v>
      </c>
      <c r="E1808">
        <f>_xlfn.XLOOKUP(A1808,VIX!A:A,VIX!B:B,"",-1)</f>
        <v>13.96</v>
      </c>
      <c r="F1808">
        <f t="shared" si="225"/>
        <v>-0.76999999999999957</v>
      </c>
      <c r="G1808">
        <f>_xlfn.XLOOKUP(A1808,'DGS10'!A:A,'DGS10'!B:B,"",-1)</f>
        <v>3.7</v>
      </c>
      <c r="H1808">
        <f t="shared" si="226"/>
        <v>1.0000000000000231E-2</v>
      </c>
      <c r="I1808" s="2">
        <f>_xlfn.XLOOKUP(A1808,T10Y3M!A:A,T10Y3M!B:B,"",-1)</f>
        <v>-1.74</v>
      </c>
      <c r="J1808" s="2">
        <f>_xlfn.XLOOKUP(A1808,BAMLC0A4CBBB!A:A,BAMLC0A4CBBB!B:B,"",-1)</f>
        <v>1.73</v>
      </c>
      <c r="K1808" s="2">
        <f>_xlfn.XLOOKUP(A1808,CPIAUCSL!A:A,CPIAUCSL!B:B,"",-1)</f>
        <v>304.01400000000001</v>
      </c>
      <c r="L1808">
        <f>_xlfn.XLOOKUP(A1808,DFF!A:A,DFF!B:B,"",-1)</f>
        <v>5.08</v>
      </c>
      <c r="M1808">
        <f>_xlfn.XLOOKUP(A1808,'DGS2'!A:A,'DGS2'!B:B,"",-1)</f>
        <v>4.51</v>
      </c>
      <c r="N1808">
        <f t="shared" si="227"/>
        <v>4.9999999999999822E-2</v>
      </c>
      <c r="O1808">
        <f t="shared" si="228"/>
        <v>-3.8119915496573897E-3</v>
      </c>
      <c r="P1808">
        <f t="shared" si="229"/>
        <v>0</v>
      </c>
      <c r="Q1808">
        <f t="shared" si="230"/>
        <v>-1</v>
      </c>
    </row>
    <row r="1809" spans="1:17">
      <c r="A1809" s="1">
        <v>45084</v>
      </c>
      <c r="B1809">
        <v>4267.5200000000004</v>
      </c>
      <c r="C1809">
        <f t="shared" si="224"/>
        <v>-3.8119915496573897E-3</v>
      </c>
      <c r="D1809">
        <f t="shared" si="231"/>
        <v>-3.4677059665557675E-3</v>
      </c>
      <c r="E1809">
        <f>_xlfn.XLOOKUP(A1809,VIX!A:A,VIX!B:B,"",-1)</f>
        <v>13.94</v>
      </c>
      <c r="F1809">
        <f t="shared" si="225"/>
        <v>-2.000000000000135E-2</v>
      </c>
      <c r="G1809">
        <f>_xlfn.XLOOKUP(A1809,'DGS10'!A:A,'DGS10'!B:B,"",-1)</f>
        <v>3.79</v>
      </c>
      <c r="H1809">
        <f t="shared" si="226"/>
        <v>8.9999999999999858E-2</v>
      </c>
      <c r="I1809" s="2">
        <f>_xlfn.XLOOKUP(A1809,T10Y3M!A:A,T10Y3M!B:B,"",-1)</f>
        <v>-1.63</v>
      </c>
      <c r="J1809" s="2">
        <f>_xlfn.XLOOKUP(A1809,BAMLC0A4CBBB!A:A,BAMLC0A4CBBB!B:B,"",-1)</f>
        <v>1.73</v>
      </c>
      <c r="K1809" s="2">
        <f>_xlfn.XLOOKUP(A1809,CPIAUCSL!A:A,CPIAUCSL!B:B,"",-1)</f>
        <v>304.01400000000001</v>
      </c>
      <c r="L1809">
        <f>_xlfn.XLOOKUP(A1809,DFF!A:A,DFF!B:B,"",-1)</f>
        <v>5.08</v>
      </c>
      <c r="M1809">
        <f>_xlfn.XLOOKUP(A1809,'DGS2'!A:A,'DGS2'!B:B,"",-1)</f>
        <v>4.5599999999999996</v>
      </c>
      <c r="N1809">
        <f t="shared" si="227"/>
        <v>4.9999999999999822E-2</v>
      </c>
      <c r="O1809">
        <f t="shared" si="228"/>
        <v>6.1886060287941191E-3</v>
      </c>
      <c r="P1809">
        <f t="shared" si="229"/>
        <v>1</v>
      </c>
      <c r="Q1809">
        <f t="shared" si="230"/>
        <v>1</v>
      </c>
    </row>
    <row r="1810" spans="1:17">
      <c r="A1810" s="1">
        <v>45085</v>
      </c>
      <c r="B1810">
        <v>4293.93</v>
      </c>
      <c r="C1810">
        <f t="shared" si="224"/>
        <v>6.1886060287941191E-3</v>
      </c>
      <c r="D1810">
        <f t="shared" si="231"/>
        <v>4.7124449259323686E-3</v>
      </c>
      <c r="E1810">
        <f>_xlfn.XLOOKUP(A1810,VIX!A:A,VIX!B:B,"",-1)</f>
        <v>13.65</v>
      </c>
      <c r="F1810">
        <f t="shared" si="225"/>
        <v>-0.28999999999999915</v>
      </c>
      <c r="G1810">
        <f>_xlfn.XLOOKUP(A1810,'DGS10'!A:A,'DGS10'!B:B,"",-1)</f>
        <v>3.73</v>
      </c>
      <c r="H1810">
        <f t="shared" si="226"/>
        <v>-6.0000000000000053E-2</v>
      </c>
      <c r="I1810" s="2">
        <f>_xlfn.XLOOKUP(A1810,T10Y3M!A:A,T10Y3M!B:B,"",-1)</f>
        <v>-1.65</v>
      </c>
      <c r="J1810" s="2">
        <f>_xlfn.XLOOKUP(A1810,BAMLC0A4CBBB!A:A,BAMLC0A4CBBB!B:B,"",-1)</f>
        <v>1.74</v>
      </c>
      <c r="K1810" s="2">
        <f>_xlfn.XLOOKUP(A1810,CPIAUCSL!A:A,CPIAUCSL!B:B,"",-1)</f>
        <v>304.01400000000001</v>
      </c>
      <c r="L1810">
        <f>_xlfn.XLOOKUP(A1810,DFF!A:A,DFF!B:B,"",-1)</f>
        <v>5.08</v>
      </c>
      <c r="M1810">
        <f>_xlfn.XLOOKUP(A1810,'DGS2'!A:A,'DGS2'!B:B,"",-1)</f>
        <v>4.5199999999999996</v>
      </c>
      <c r="N1810">
        <f t="shared" si="227"/>
        <v>-4.0000000000000036E-2</v>
      </c>
      <c r="O1810">
        <f t="shared" si="228"/>
        <v>1.1481323635922358E-3</v>
      </c>
      <c r="P1810">
        <f t="shared" si="229"/>
        <v>1</v>
      </c>
      <c r="Q1810">
        <f t="shared" si="230"/>
        <v>0</v>
      </c>
    </row>
    <row r="1811" spans="1:17">
      <c r="A1811" s="1">
        <v>45086</v>
      </c>
      <c r="B1811">
        <v>4298.8599999999997</v>
      </c>
      <c r="C1811">
        <f t="shared" si="224"/>
        <v>1.1481323635922358E-3</v>
      </c>
      <c r="D1811">
        <f t="shared" si="231"/>
        <v>3.5038575113506276E-3</v>
      </c>
      <c r="E1811">
        <f>_xlfn.XLOOKUP(A1811,VIX!A:A,VIX!B:B,"",-1)</f>
        <v>13.83</v>
      </c>
      <c r="F1811">
        <f t="shared" si="225"/>
        <v>0.17999999999999972</v>
      </c>
      <c r="G1811">
        <f>_xlfn.XLOOKUP(A1811,'DGS10'!A:A,'DGS10'!B:B,"",-1)</f>
        <v>3.75</v>
      </c>
      <c r="H1811">
        <f t="shared" si="226"/>
        <v>2.0000000000000018E-2</v>
      </c>
      <c r="I1811" s="2">
        <f>_xlfn.XLOOKUP(A1811,T10Y3M!A:A,T10Y3M!B:B,"",-1)</f>
        <v>-1.62</v>
      </c>
      <c r="J1811" s="2">
        <f>_xlfn.XLOOKUP(A1811,BAMLC0A4CBBB!A:A,BAMLC0A4CBBB!B:B,"",-1)</f>
        <v>1.73</v>
      </c>
      <c r="K1811" s="2">
        <f>_xlfn.XLOOKUP(A1811,CPIAUCSL!A:A,CPIAUCSL!B:B,"",-1)</f>
        <v>304.01400000000001</v>
      </c>
      <c r="L1811">
        <f>_xlfn.XLOOKUP(A1811,DFF!A:A,DFF!B:B,"",-1)</f>
        <v>5.08</v>
      </c>
      <c r="M1811">
        <f>_xlfn.XLOOKUP(A1811,'DGS2'!A:A,'DGS2'!B:B,"",-1)</f>
        <v>4.59</v>
      </c>
      <c r="N1811">
        <f t="shared" si="227"/>
        <v>7.0000000000000284E-2</v>
      </c>
      <c r="O1811">
        <f t="shared" si="228"/>
        <v>9.3210758201012212E-3</v>
      </c>
      <c r="P1811">
        <f t="shared" si="229"/>
        <v>1</v>
      </c>
      <c r="Q1811">
        <f t="shared" si="230"/>
        <v>1</v>
      </c>
    </row>
    <row r="1812" spans="1:17">
      <c r="A1812" s="1">
        <v>45089</v>
      </c>
      <c r="B1812">
        <v>4338.93</v>
      </c>
      <c r="C1812">
        <f t="shared" si="224"/>
        <v>9.3210758201012212E-3</v>
      </c>
      <c r="D1812">
        <f t="shared" si="231"/>
        <v>1.6733372075584896E-2</v>
      </c>
      <c r="E1812">
        <f>_xlfn.XLOOKUP(A1812,VIX!A:A,VIX!B:B,"",-1)</f>
        <v>15.01</v>
      </c>
      <c r="F1812">
        <f t="shared" si="225"/>
        <v>1.1799999999999997</v>
      </c>
      <c r="G1812">
        <f>_xlfn.XLOOKUP(A1812,'DGS10'!A:A,'DGS10'!B:B,"",-1)</f>
        <v>3.73</v>
      </c>
      <c r="H1812">
        <f t="shared" si="226"/>
        <v>-2.0000000000000018E-2</v>
      </c>
      <c r="I1812" s="2">
        <f>_xlfn.XLOOKUP(A1812,T10Y3M!A:A,T10Y3M!B:B,"",-1)</f>
        <v>-1.67</v>
      </c>
      <c r="J1812" s="2">
        <f>_xlfn.XLOOKUP(A1812,BAMLC0A4CBBB!A:A,BAMLC0A4CBBB!B:B,"",-1)</f>
        <v>1.74</v>
      </c>
      <c r="K1812" s="2">
        <f>_xlfn.XLOOKUP(A1812,CPIAUCSL!A:A,CPIAUCSL!B:B,"",-1)</f>
        <v>304.01400000000001</v>
      </c>
      <c r="L1812">
        <f>_xlfn.XLOOKUP(A1812,DFF!A:A,DFF!B:B,"",-1)</f>
        <v>5.08</v>
      </c>
      <c r="M1812">
        <f>_xlfn.XLOOKUP(A1812,'DGS2'!A:A,'DGS2'!B:B,"",-1)</f>
        <v>4.55</v>
      </c>
      <c r="N1812">
        <f t="shared" si="227"/>
        <v>-4.0000000000000036E-2</v>
      </c>
      <c r="O1812">
        <f t="shared" si="228"/>
        <v>6.9325847616807934E-3</v>
      </c>
      <c r="P1812">
        <f t="shared" si="229"/>
        <v>1</v>
      </c>
      <c r="Q1812">
        <f t="shared" si="230"/>
        <v>1</v>
      </c>
    </row>
    <row r="1813" spans="1:17">
      <c r="A1813" s="1">
        <v>45090</v>
      </c>
      <c r="B1813">
        <v>4369.01</v>
      </c>
      <c r="C1813">
        <f t="shared" si="224"/>
        <v>6.9325847616807934E-3</v>
      </c>
      <c r="D1813">
        <f t="shared" si="231"/>
        <v>1.7485147638643284E-2</v>
      </c>
      <c r="E1813">
        <f>_xlfn.XLOOKUP(A1813,VIX!A:A,VIX!B:B,"",-1)</f>
        <v>14.61</v>
      </c>
      <c r="F1813">
        <f t="shared" si="225"/>
        <v>-0.40000000000000036</v>
      </c>
      <c r="G1813">
        <f>_xlfn.XLOOKUP(A1813,'DGS10'!A:A,'DGS10'!B:B,"",-1)</f>
        <v>3.84</v>
      </c>
      <c r="H1813">
        <f t="shared" si="226"/>
        <v>0.10999999999999988</v>
      </c>
      <c r="I1813" s="2">
        <f>_xlfn.XLOOKUP(A1813,T10Y3M!A:A,T10Y3M!B:B,"",-1)</f>
        <v>-1.52</v>
      </c>
      <c r="J1813" s="2">
        <f>_xlfn.XLOOKUP(A1813,BAMLC0A4CBBB!A:A,BAMLC0A4CBBB!B:B,"",-1)</f>
        <v>1.71</v>
      </c>
      <c r="K1813" s="2">
        <f>_xlfn.XLOOKUP(A1813,CPIAUCSL!A:A,CPIAUCSL!B:B,"",-1)</f>
        <v>304.01400000000001</v>
      </c>
      <c r="L1813">
        <f>_xlfn.XLOOKUP(A1813,DFF!A:A,DFF!B:B,"",-1)</f>
        <v>5.08</v>
      </c>
      <c r="M1813">
        <f>_xlfn.XLOOKUP(A1813,'DGS2'!A:A,'DGS2'!B:B,"",-1)</f>
        <v>4.67</v>
      </c>
      <c r="N1813">
        <f t="shared" si="227"/>
        <v>0.12000000000000011</v>
      </c>
      <c r="O1813">
        <f t="shared" si="228"/>
        <v>8.1940760034870941E-4</v>
      </c>
      <c r="P1813">
        <f t="shared" si="229"/>
        <v>1</v>
      </c>
      <c r="Q1813">
        <f t="shared" si="230"/>
        <v>0</v>
      </c>
    </row>
    <row r="1814" spans="1:17">
      <c r="A1814" s="1">
        <v>45091</v>
      </c>
      <c r="B1814">
        <v>4372.59</v>
      </c>
      <c r="C1814">
        <f t="shared" si="224"/>
        <v>8.1940760034870941E-4</v>
      </c>
      <c r="D1814">
        <f t="shared" si="231"/>
        <v>1.7151058652759232E-2</v>
      </c>
      <c r="E1814">
        <f>_xlfn.XLOOKUP(A1814,VIX!A:A,VIX!B:B,"",-1)</f>
        <v>13.88</v>
      </c>
      <c r="F1814">
        <f t="shared" si="225"/>
        <v>-0.72999999999999865</v>
      </c>
      <c r="G1814">
        <f>_xlfn.XLOOKUP(A1814,'DGS10'!A:A,'DGS10'!B:B,"",-1)</f>
        <v>3.83</v>
      </c>
      <c r="H1814">
        <f t="shared" si="226"/>
        <v>-9.9999999999997868E-3</v>
      </c>
      <c r="I1814" s="2">
        <f>_xlfn.XLOOKUP(A1814,T10Y3M!A:A,T10Y3M!B:B,"",-1)</f>
        <v>-1.53</v>
      </c>
      <c r="J1814" s="2">
        <f>_xlfn.XLOOKUP(A1814,BAMLC0A4CBBB!A:A,BAMLC0A4CBBB!B:B,"",-1)</f>
        <v>1.7</v>
      </c>
      <c r="K1814" s="2">
        <f>_xlfn.XLOOKUP(A1814,CPIAUCSL!A:A,CPIAUCSL!B:B,"",-1)</f>
        <v>304.01400000000001</v>
      </c>
      <c r="L1814">
        <f>_xlfn.XLOOKUP(A1814,DFF!A:A,DFF!B:B,"",-1)</f>
        <v>5.08</v>
      </c>
      <c r="M1814">
        <f>_xlfn.XLOOKUP(A1814,'DGS2'!A:A,'DGS2'!B:B,"",-1)</f>
        <v>4.74</v>
      </c>
      <c r="N1814">
        <f t="shared" si="227"/>
        <v>7.0000000000000284E-2</v>
      </c>
      <c r="O1814">
        <f t="shared" si="228"/>
        <v>1.2178136985173449E-2</v>
      </c>
      <c r="P1814">
        <f t="shared" si="229"/>
        <v>1</v>
      </c>
      <c r="Q1814">
        <f t="shared" si="230"/>
        <v>1</v>
      </c>
    </row>
    <row r="1815" spans="1:17">
      <c r="A1815" s="1">
        <v>45092</v>
      </c>
      <c r="B1815">
        <v>4425.84</v>
      </c>
      <c r="C1815">
        <f t="shared" si="224"/>
        <v>1.2178136985173449E-2</v>
      </c>
      <c r="D1815">
        <f t="shared" si="231"/>
        <v>2.0030283964018736E-2</v>
      </c>
      <c r="E1815">
        <f>_xlfn.XLOOKUP(A1815,VIX!A:A,VIX!B:B,"",-1)</f>
        <v>14.5</v>
      </c>
      <c r="F1815">
        <f t="shared" si="225"/>
        <v>0.61999999999999922</v>
      </c>
      <c r="G1815">
        <f>_xlfn.XLOOKUP(A1815,'DGS10'!A:A,'DGS10'!B:B,"",-1)</f>
        <v>3.72</v>
      </c>
      <c r="H1815">
        <f t="shared" si="226"/>
        <v>-0.10999999999999988</v>
      </c>
      <c r="I1815" s="2">
        <f>_xlfn.XLOOKUP(A1815,T10Y3M!A:A,T10Y3M!B:B,"",-1)</f>
        <v>-1.61</v>
      </c>
      <c r="J1815" s="2">
        <f>_xlfn.XLOOKUP(A1815,BAMLC0A4CBBB!A:A,BAMLC0A4CBBB!B:B,"",-1)</f>
        <v>1.7</v>
      </c>
      <c r="K1815" s="2">
        <f>_xlfn.XLOOKUP(A1815,CPIAUCSL!A:A,CPIAUCSL!B:B,"",-1)</f>
        <v>304.01400000000001</v>
      </c>
      <c r="L1815">
        <f>_xlfn.XLOOKUP(A1815,DFF!A:A,DFF!B:B,"",-1)</f>
        <v>5.07</v>
      </c>
      <c r="M1815">
        <f>_xlfn.XLOOKUP(A1815,'DGS2'!A:A,'DGS2'!B:B,"",-1)</f>
        <v>4.62</v>
      </c>
      <c r="N1815">
        <f t="shared" si="227"/>
        <v>-0.12000000000000011</v>
      </c>
      <c r="O1815">
        <f t="shared" si="228"/>
        <v>-3.6716193988033385E-3</v>
      </c>
      <c r="P1815">
        <f t="shared" si="229"/>
        <v>0</v>
      </c>
      <c r="Q1815">
        <f t="shared" si="230"/>
        <v>-1</v>
      </c>
    </row>
    <row r="1816" spans="1:17">
      <c r="A1816" s="1">
        <v>45093</v>
      </c>
      <c r="B1816">
        <v>4409.59</v>
      </c>
      <c r="C1816">
        <f t="shared" si="224"/>
        <v>-3.6716193988033385E-3</v>
      </c>
      <c r="D1816">
        <f t="shared" si="231"/>
        <v>9.2881453693169913E-3</v>
      </c>
      <c r="E1816">
        <f>_xlfn.XLOOKUP(A1816,VIX!A:A,VIX!B:B,"",-1)</f>
        <v>13.54</v>
      </c>
      <c r="F1816">
        <f t="shared" si="225"/>
        <v>-0.96000000000000085</v>
      </c>
      <c r="G1816">
        <f>_xlfn.XLOOKUP(A1816,'DGS10'!A:A,'DGS10'!B:B,"",-1)</f>
        <v>3.77</v>
      </c>
      <c r="H1816">
        <f t="shared" si="226"/>
        <v>4.9999999999999822E-2</v>
      </c>
      <c r="I1816" s="2">
        <f>_xlfn.XLOOKUP(A1816,T10Y3M!A:A,T10Y3M!B:B,"",-1)</f>
        <v>-1.57</v>
      </c>
      <c r="J1816" s="2">
        <f>_xlfn.XLOOKUP(A1816,BAMLC0A4CBBB!A:A,BAMLC0A4CBBB!B:B,"",-1)</f>
        <v>1.67</v>
      </c>
      <c r="K1816" s="2">
        <f>_xlfn.XLOOKUP(A1816,CPIAUCSL!A:A,CPIAUCSL!B:B,"",-1)</f>
        <v>304.01400000000001</v>
      </c>
      <c r="L1816">
        <f>_xlfn.XLOOKUP(A1816,DFF!A:A,DFF!B:B,"",-1)</f>
        <v>5.08</v>
      </c>
      <c r="M1816">
        <f>_xlfn.XLOOKUP(A1816,'DGS2'!A:A,'DGS2'!B:B,"",-1)</f>
        <v>4.7</v>
      </c>
      <c r="N1816">
        <f t="shared" si="227"/>
        <v>8.0000000000000071E-2</v>
      </c>
      <c r="O1816">
        <f t="shared" si="228"/>
        <v>-4.7351341054383544E-3</v>
      </c>
      <c r="P1816">
        <f t="shared" si="229"/>
        <v>0</v>
      </c>
      <c r="Q1816">
        <f t="shared" si="230"/>
        <v>-1</v>
      </c>
    </row>
    <row r="1817" spans="1:17">
      <c r="A1817" s="1">
        <v>45097</v>
      </c>
      <c r="B1817">
        <v>4388.71</v>
      </c>
      <c r="C1817">
        <f t="shared" si="224"/>
        <v>-4.7351341054383544E-3</v>
      </c>
      <c r="D1817">
        <f t="shared" si="231"/>
        <v>3.6866022197370452E-3</v>
      </c>
      <c r="E1817">
        <f>_xlfn.XLOOKUP(A1817,VIX!A:A,VIX!B:B,"",-1)</f>
        <v>13.88</v>
      </c>
      <c r="F1817">
        <f t="shared" si="225"/>
        <v>0.34000000000000163</v>
      </c>
      <c r="G1817">
        <f>_xlfn.XLOOKUP(A1817,'DGS10'!A:A,'DGS10'!B:B,"",-1)</f>
        <v>3.74</v>
      </c>
      <c r="H1817">
        <f t="shared" si="226"/>
        <v>-2.9999999999999805E-2</v>
      </c>
      <c r="I1817" s="2">
        <f>_xlfn.XLOOKUP(A1817,T10Y3M!A:A,T10Y3M!B:B,"",-1)</f>
        <v>-1.65</v>
      </c>
      <c r="J1817" s="2">
        <f>_xlfn.XLOOKUP(A1817,BAMLC0A4CBBB!A:A,BAMLC0A4CBBB!B:B,"",-1)</f>
        <v>1.66</v>
      </c>
      <c r="K1817" s="2">
        <f>_xlfn.XLOOKUP(A1817,CPIAUCSL!A:A,CPIAUCSL!B:B,"",-1)</f>
        <v>304.01400000000001</v>
      </c>
      <c r="L1817">
        <f>_xlfn.XLOOKUP(A1817,DFF!A:A,DFF!B:B,"",-1)</f>
        <v>5.07</v>
      </c>
      <c r="M1817">
        <f>_xlfn.XLOOKUP(A1817,'DGS2'!A:A,'DGS2'!B:B,"",-1)</f>
        <v>4.68</v>
      </c>
      <c r="N1817">
        <f t="shared" si="227"/>
        <v>-2.0000000000000462E-2</v>
      </c>
      <c r="O1817">
        <f t="shared" si="228"/>
        <v>-5.245277085977551E-3</v>
      </c>
      <c r="P1817">
        <f t="shared" si="229"/>
        <v>0</v>
      </c>
      <c r="Q1817">
        <f t="shared" si="230"/>
        <v>-1</v>
      </c>
    </row>
    <row r="1818" spans="1:17">
      <c r="A1818" s="1">
        <v>45098</v>
      </c>
      <c r="B1818">
        <v>4365.6899999999996</v>
      </c>
      <c r="C1818">
        <f t="shared" si="224"/>
        <v>-5.245277085977551E-3</v>
      </c>
      <c r="D1818">
        <f t="shared" si="231"/>
        <v>-1.3590640420801603E-2</v>
      </c>
      <c r="E1818">
        <f>_xlfn.XLOOKUP(A1818,VIX!A:A,VIX!B:B,"",-1)</f>
        <v>13.2</v>
      </c>
      <c r="F1818">
        <f t="shared" si="225"/>
        <v>-0.68000000000000149</v>
      </c>
      <c r="G1818">
        <f>_xlfn.XLOOKUP(A1818,'DGS10'!A:A,'DGS10'!B:B,"",-1)</f>
        <v>3.72</v>
      </c>
      <c r="H1818">
        <f t="shared" si="226"/>
        <v>-2.0000000000000018E-2</v>
      </c>
      <c r="I1818" s="2">
        <f>_xlfn.XLOOKUP(A1818,T10Y3M!A:A,T10Y3M!B:B,"",-1)</f>
        <v>-1.68</v>
      </c>
      <c r="J1818" s="2">
        <f>_xlfn.XLOOKUP(A1818,BAMLC0A4CBBB!A:A,BAMLC0A4CBBB!B:B,"",-1)</f>
        <v>1.67</v>
      </c>
      <c r="K1818" s="2">
        <f>_xlfn.XLOOKUP(A1818,CPIAUCSL!A:A,CPIAUCSL!B:B,"",-1)</f>
        <v>304.01400000000001</v>
      </c>
      <c r="L1818">
        <f>_xlfn.XLOOKUP(A1818,DFF!A:A,DFF!B:B,"",-1)</f>
        <v>5.07</v>
      </c>
      <c r="M1818">
        <f>_xlfn.XLOOKUP(A1818,'DGS2'!A:A,'DGS2'!B:B,"",-1)</f>
        <v>4.68</v>
      </c>
      <c r="N1818">
        <f t="shared" si="227"/>
        <v>0</v>
      </c>
      <c r="O1818">
        <f t="shared" si="228"/>
        <v>3.7107536265745811E-3</v>
      </c>
      <c r="P1818">
        <f t="shared" si="229"/>
        <v>1</v>
      </c>
      <c r="Q1818">
        <f t="shared" si="230"/>
        <v>1</v>
      </c>
    </row>
    <row r="1819" spans="1:17">
      <c r="A1819" s="1">
        <v>45099</v>
      </c>
      <c r="B1819">
        <v>4381.8900000000003</v>
      </c>
      <c r="C1819">
        <f t="shared" si="224"/>
        <v>3.7107536265745811E-3</v>
      </c>
      <c r="D1819">
        <f t="shared" si="231"/>
        <v>-6.2817631571189247E-3</v>
      </c>
      <c r="E1819">
        <f>_xlfn.XLOOKUP(A1819,VIX!A:A,VIX!B:B,"",-1)</f>
        <v>12.91</v>
      </c>
      <c r="F1819">
        <f t="shared" si="225"/>
        <v>-0.28999999999999915</v>
      </c>
      <c r="G1819">
        <f>_xlfn.XLOOKUP(A1819,'DGS10'!A:A,'DGS10'!B:B,"",-1)</f>
        <v>3.8</v>
      </c>
      <c r="H1819">
        <f t="shared" si="226"/>
        <v>7.9999999999999627E-2</v>
      </c>
      <c r="I1819" s="2">
        <f>_xlfn.XLOOKUP(A1819,T10Y3M!A:A,T10Y3M!B:B,"",-1)</f>
        <v>-1.6</v>
      </c>
      <c r="J1819" s="2">
        <f>_xlfn.XLOOKUP(A1819,BAMLC0A4CBBB!A:A,BAMLC0A4CBBB!B:B,"",-1)</f>
        <v>1.66</v>
      </c>
      <c r="K1819" s="2">
        <f>_xlfn.XLOOKUP(A1819,CPIAUCSL!A:A,CPIAUCSL!B:B,"",-1)</f>
        <v>304.01400000000001</v>
      </c>
      <c r="L1819">
        <f>_xlfn.XLOOKUP(A1819,DFF!A:A,DFF!B:B,"",-1)</f>
        <v>5.07</v>
      </c>
      <c r="M1819">
        <f>_xlfn.XLOOKUP(A1819,'DGS2'!A:A,'DGS2'!B:B,"",-1)</f>
        <v>4.7699999999999996</v>
      </c>
      <c r="N1819">
        <f t="shared" si="227"/>
        <v>8.9999999999999858E-2</v>
      </c>
      <c r="O1819">
        <f t="shared" si="228"/>
        <v>-7.6587956338476371E-3</v>
      </c>
      <c r="P1819">
        <f t="shared" si="229"/>
        <v>0</v>
      </c>
      <c r="Q1819">
        <f t="shared" si="230"/>
        <v>-1</v>
      </c>
    </row>
    <row r="1820" spans="1:17">
      <c r="A1820" s="1">
        <v>45100</v>
      </c>
      <c r="B1820">
        <v>4348.33</v>
      </c>
      <c r="C1820">
        <f t="shared" si="224"/>
        <v>-7.6587956338476371E-3</v>
      </c>
      <c r="D1820">
        <f t="shared" si="231"/>
        <v>-9.2008813523791755E-3</v>
      </c>
      <c r="E1820">
        <f>_xlfn.XLOOKUP(A1820,VIX!A:A,VIX!B:B,"",-1)</f>
        <v>13.44</v>
      </c>
      <c r="F1820">
        <f t="shared" si="225"/>
        <v>0.52999999999999936</v>
      </c>
      <c r="G1820">
        <f>_xlfn.XLOOKUP(A1820,'DGS10'!A:A,'DGS10'!B:B,"",-1)</f>
        <v>3.74</v>
      </c>
      <c r="H1820">
        <f t="shared" si="226"/>
        <v>-5.9999999999999609E-2</v>
      </c>
      <c r="I1820" s="2">
        <f>_xlfn.XLOOKUP(A1820,T10Y3M!A:A,T10Y3M!B:B,"",-1)</f>
        <v>-1.67</v>
      </c>
      <c r="J1820" s="2">
        <f>_xlfn.XLOOKUP(A1820,BAMLC0A4CBBB!A:A,BAMLC0A4CBBB!B:B,"",-1)</f>
        <v>1.67</v>
      </c>
      <c r="K1820" s="2">
        <f>_xlfn.XLOOKUP(A1820,CPIAUCSL!A:A,CPIAUCSL!B:B,"",-1)</f>
        <v>304.01400000000001</v>
      </c>
      <c r="L1820">
        <f>_xlfn.XLOOKUP(A1820,DFF!A:A,DFF!B:B,"",-1)</f>
        <v>5.07</v>
      </c>
      <c r="M1820">
        <f>_xlfn.XLOOKUP(A1820,'DGS2'!A:A,'DGS2'!B:B,"",-1)</f>
        <v>4.71</v>
      </c>
      <c r="N1820">
        <f t="shared" si="227"/>
        <v>-5.9999999999999609E-2</v>
      </c>
      <c r="O1820">
        <f t="shared" si="228"/>
        <v>-4.4867799822001508E-3</v>
      </c>
      <c r="P1820">
        <f t="shared" si="229"/>
        <v>0</v>
      </c>
      <c r="Q1820">
        <f t="shared" si="230"/>
        <v>-1</v>
      </c>
    </row>
    <row r="1821" spans="1:17">
      <c r="A1821" s="1">
        <v>45103</v>
      </c>
      <c r="B1821">
        <v>4328.82</v>
      </c>
      <c r="C1821">
        <f t="shared" si="224"/>
        <v>-4.4867799822001508E-3</v>
      </c>
      <c r="D1821">
        <f t="shared" si="231"/>
        <v>-8.4454003834445457E-3</v>
      </c>
      <c r="E1821">
        <f>_xlfn.XLOOKUP(A1821,VIX!A:A,VIX!B:B,"",-1)</f>
        <v>14.25</v>
      </c>
      <c r="F1821">
        <f t="shared" si="225"/>
        <v>0.8100000000000005</v>
      </c>
      <c r="G1821">
        <f>_xlfn.XLOOKUP(A1821,'DGS10'!A:A,'DGS10'!B:B,"",-1)</f>
        <v>3.72</v>
      </c>
      <c r="H1821">
        <f t="shared" si="226"/>
        <v>-2.0000000000000018E-2</v>
      </c>
      <c r="I1821" s="2">
        <f>_xlfn.XLOOKUP(A1821,T10Y3M!A:A,T10Y3M!B:B,"",-1)</f>
        <v>-1.78</v>
      </c>
      <c r="J1821" s="2">
        <f>_xlfn.XLOOKUP(A1821,BAMLC0A4CBBB!A:A,BAMLC0A4CBBB!B:B,"",-1)</f>
        <v>1.67</v>
      </c>
      <c r="K1821" s="2">
        <f>_xlfn.XLOOKUP(A1821,CPIAUCSL!A:A,CPIAUCSL!B:B,"",-1)</f>
        <v>304.01400000000001</v>
      </c>
      <c r="L1821">
        <f>_xlfn.XLOOKUP(A1821,DFF!A:A,DFF!B:B,"",-1)</f>
        <v>5.07</v>
      </c>
      <c r="M1821">
        <f>_xlfn.XLOOKUP(A1821,'DGS2'!A:A,'DGS2'!B:B,"",-1)</f>
        <v>4.6500000000000004</v>
      </c>
      <c r="N1821">
        <f t="shared" si="227"/>
        <v>-5.9999999999999609E-2</v>
      </c>
      <c r="O1821">
        <f t="shared" si="228"/>
        <v>1.1455777787018118E-2</v>
      </c>
      <c r="P1821">
        <f t="shared" si="229"/>
        <v>1</v>
      </c>
      <c r="Q1821">
        <f t="shared" si="230"/>
        <v>1</v>
      </c>
    </row>
    <row r="1822" spans="1:17">
      <c r="A1822" s="1">
        <v>45104</v>
      </c>
      <c r="B1822">
        <v>4378.41</v>
      </c>
      <c r="C1822">
        <f t="shared" si="224"/>
        <v>1.1455777787018118E-2</v>
      </c>
      <c r="D1822">
        <f t="shared" si="231"/>
        <v>-7.9417785476143532E-4</v>
      </c>
      <c r="E1822">
        <f>_xlfn.XLOOKUP(A1822,VIX!A:A,VIX!B:B,"",-1)</f>
        <v>13.74</v>
      </c>
      <c r="F1822">
        <f t="shared" si="225"/>
        <v>-0.50999999999999979</v>
      </c>
      <c r="G1822">
        <f>_xlfn.XLOOKUP(A1822,'DGS10'!A:A,'DGS10'!B:B,"",-1)</f>
        <v>3.77</v>
      </c>
      <c r="H1822">
        <f t="shared" si="226"/>
        <v>4.9999999999999822E-2</v>
      </c>
      <c r="I1822" s="2">
        <f>_xlfn.XLOOKUP(A1822,T10Y3M!A:A,T10Y3M!B:B,"",-1)</f>
        <v>-1.67</v>
      </c>
      <c r="J1822" s="2">
        <f>_xlfn.XLOOKUP(A1822,BAMLC0A4CBBB!A:A,BAMLC0A4CBBB!B:B,"",-1)</f>
        <v>1.66</v>
      </c>
      <c r="K1822" s="2">
        <f>_xlfn.XLOOKUP(A1822,CPIAUCSL!A:A,CPIAUCSL!B:B,"",-1)</f>
        <v>304.01400000000001</v>
      </c>
      <c r="L1822">
        <f>_xlfn.XLOOKUP(A1822,DFF!A:A,DFF!B:B,"",-1)</f>
        <v>5.07</v>
      </c>
      <c r="M1822">
        <f>_xlfn.XLOOKUP(A1822,'DGS2'!A:A,'DGS2'!B:B,"",-1)</f>
        <v>4.74</v>
      </c>
      <c r="N1822">
        <f t="shared" si="227"/>
        <v>8.9999999999999858E-2</v>
      </c>
      <c r="O1822">
        <f t="shared" si="228"/>
        <v>-3.5400978894173374E-4</v>
      </c>
      <c r="P1822">
        <f t="shared" si="229"/>
        <v>0</v>
      </c>
      <c r="Q1822">
        <f t="shared" si="230"/>
        <v>0</v>
      </c>
    </row>
    <row r="1823" spans="1:17">
      <c r="A1823" s="1">
        <v>45105</v>
      </c>
      <c r="B1823">
        <v>4376.8599999999997</v>
      </c>
      <c r="C1823">
        <f t="shared" si="224"/>
        <v>-3.5400978894173374E-4</v>
      </c>
      <c r="D1823">
        <f t="shared" si="231"/>
        <v>6.5611395639244563E-3</v>
      </c>
      <c r="E1823">
        <f>_xlfn.XLOOKUP(A1823,VIX!A:A,VIX!B:B,"",-1)</f>
        <v>13.43</v>
      </c>
      <c r="F1823">
        <f t="shared" si="225"/>
        <v>-0.3100000000000005</v>
      </c>
      <c r="G1823">
        <f>_xlfn.XLOOKUP(A1823,'DGS10'!A:A,'DGS10'!B:B,"",-1)</f>
        <v>3.71</v>
      </c>
      <c r="H1823">
        <f t="shared" si="226"/>
        <v>-6.0000000000000053E-2</v>
      </c>
      <c r="I1823" s="2">
        <f>_xlfn.XLOOKUP(A1823,T10Y3M!A:A,T10Y3M!B:B,"",-1)</f>
        <v>-1.73</v>
      </c>
      <c r="J1823" s="2">
        <f>_xlfn.XLOOKUP(A1823,BAMLC0A4CBBB!A:A,BAMLC0A4CBBB!B:B,"",-1)</f>
        <v>1.65</v>
      </c>
      <c r="K1823" s="2">
        <f>_xlfn.XLOOKUP(A1823,CPIAUCSL!A:A,CPIAUCSL!B:B,"",-1)</f>
        <v>304.01400000000001</v>
      </c>
      <c r="L1823">
        <f>_xlfn.XLOOKUP(A1823,DFF!A:A,DFF!B:B,"",-1)</f>
        <v>5.07</v>
      </c>
      <c r="M1823">
        <f>_xlfn.XLOOKUP(A1823,'DGS2'!A:A,'DGS2'!B:B,"",-1)</f>
        <v>4.71</v>
      </c>
      <c r="N1823">
        <f t="shared" si="227"/>
        <v>-3.0000000000000249E-2</v>
      </c>
      <c r="O1823">
        <f t="shared" si="228"/>
        <v>4.4735266835127518E-3</v>
      </c>
      <c r="P1823">
        <f t="shared" si="229"/>
        <v>1</v>
      </c>
      <c r="Q1823">
        <f t="shared" si="230"/>
        <v>1</v>
      </c>
    </row>
    <row r="1824" spans="1:17">
      <c r="A1824" s="1">
        <v>45106</v>
      </c>
      <c r="B1824">
        <v>4396.4399999999996</v>
      </c>
      <c r="C1824">
        <f t="shared" si="224"/>
        <v>4.4735266835127518E-3</v>
      </c>
      <c r="D1824">
        <f t="shared" si="231"/>
        <v>1.5620885137289209E-2</v>
      </c>
      <c r="E1824">
        <f>_xlfn.XLOOKUP(A1824,VIX!A:A,VIX!B:B,"",-1)</f>
        <v>13.54</v>
      </c>
      <c r="F1824">
        <f t="shared" si="225"/>
        <v>0.10999999999999943</v>
      </c>
      <c r="G1824">
        <f>_xlfn.XLOOKUP(A1824,'DGS10'!A:A,'DGS10'!B:B,"",-1)</f>
        <v>3.85</v>
      </c>
      <c r="H1824">
        <f t="shared" si="226"/>
        <v>0.14000000000000012</v>
      </c>
      <c r="I1824" s="2">
        <f>_xlfn.XLOOKUP(A1824,T10Y3M!A:A,T10Y3M!B:B,"",-1)</f>
        <v>-1.61</v>
      </c>
      <c r="J1824" s="2">
        <f>_xlfn.XLOOKUP(A1824,BAMLC0A4CBBB!A:A,BAMLC0A4CBBB!B:B,"",-1)</f>
        <v>1.62</v>
      </c>
      <c r="K1824" s="2">
        <f>_xlfn.XLOOKUP(A1824,CPIAUCSL!A:A,CPIAUCSL!B:B,"",-1)</f>
        <v>304.01400000000001</v>
      </c>
      <c r="L1824">
        <f>_xlfn.XLOOKUP(A1824,DFF!A:A,DFF!B:B,"",-1)</f>
        <v>5.07</v>
      </c>
      <c r="M1824">
        <f>_xlfn.XLOOKUP(A1824,'DGS2'!A:A,'DGS2'!B:B,"",-1)</f>
        <v>4.87</v>
      </c>
      <c r="N1824">
        <f t="shared" si="227"/>
        <v>0.16000000000000014</v>
      </c>
      <c r="O1824">
        <f t="shared" si="228"/>
        <v>1.2269017659743087E-2</v>
      </c>
      <c r="P1824">
        <f t="shared" si="229"/>
        <v>1</v>
      </c>
      <c r="Q1824">
        <f t="shared" si="230"/>
        <v>1</v>
      </c>
    </row>
    <row r="1825" spans="1:17">
      <c r="A1825" s="1">
        <v>45107</v>
      </c>
      <c r="B1825">
        <v>4450.38</v>
      </c>
      <c r="C1825">
        <f t="shared" si="224"/>
        <v>1.2269017659743087E-2</v>
      </c>
      <c r="D1825">
        <f t="shared" si="231"/>
        <v>1.6437473877503495E-2</v>
      </c>
      <c r="E1825">
        <f>_xlfn.XLOOKUP(A1825,VIX!A:A,VIX!B:B,"",-1)</f>
        <v>13.59</v>
      </c>
      <c r="F1825">
        <f t="shared" si="225"/>
        <v>5.0000000000000711E-2</v>
      </c>
      <c r="G1825">
        <f>_xlfn.XLOOKUP(A1825,'DGS10'!A:A,'DGS10'!B:B,"",-1)</f>
        <v>3.81</v>
      </c>
      <c r="H1825">
        <f t="shared" si="226"/>
        <v>-4.0000000000000036E-2</v>
      </c>
      <c r="I1825" s="2">
        <f>_xlfn.XLOOKUP(A1825,T10Y3M!A:A,T10Y3M!B:B,"",-1)</f>
        <v>-1.62</v>
      </c>
      <c r="J1825" s="2">
        <f>_xlfn.XLOOKUP(A1825,BAMLC0A4CBBB!A:A,BAMLC0A4CBBB!B:B,"",-1)</f>
        <v>1.61</v>
      </c>
      <c r="K1825" s="2">
        <f>_xlfn.XLOOKUP(A1825,CPIAUCSL!A:A,CPIAUCSL!B:B,"",-1)</f>
        <v>304.01400000000001</v>
      </c>
      <c r="L1825">
        <f>_xlfn.XLOOKUP(A1825,DFF!A:A,DFF!B:B,"",-1)</f>
        <v>5.08</v>
      </c>
      <c r="M1825">
        <f>_xlfn.XLOOKUP(A1825,'DGS2'!A:A,'DGS2'!B:B,"",-1)</f>
        <v>4.87</v>
      </c>
      <c r="N1825">
        <f t="shared" si="227"/>
        <v>0</v>
      </c>
      <c r="O1825">
        <f t="shared" si="228"/>
        <v>1.1706865481149187E-3</v>
      </c>
      <c r="P1825">
        <f t="shared" si="229"/>
        <v>1</v>
      </c>
      <c r="Q1825">
        <f t="shared" si="230"/>
        <v>0</v>
      </c>
    </row>
    <row r="1826" spans="1:17">
      <c r="A1826" s="1">
        <v>45110</v>
      </c>
      <c r="B1826">
        <v>4455.59</v>
      </c>
      <c r="C1826">
        <f t="shared" si="224"/>
        <v>1.1706865481149187E-3</v>
      </c>
      <c r="D1826">
        <f t="shared" si="231"/>
        <v>1.7987781194737984E-2</v>
      </c>
      <c r="E1826">
        <f>_xlfn.XLOOKUP(A1826,VIX!A:A,VIX!B:B,"",-1)</f>
        <v>13.57</v>
      </c>
      <c r="F1826">
        <f t="shared" si="225"/>
        <v>-1.9999999999999574E-2</v>
      </c>
      <c r="G1826">
        <f>_xlfn.XLOOKUP(A1826,'DGS10'!A:A,'DGS10'!B:B,"",-1)</f>
        <v>3.86</v>
      </c>
      <c r="H1826">
        <f t="shared" si="226"/>
        <v>4.9999999999999822E-2</v>
      </c>
      <c r="I1826" s="2">
        <f>_xlfn.XLOOKUP(A1826,T10Y3M!A:A,T10Y3M!B:B,"",-1)</f>
        <v>-1.58</v>
      </c>
      <c r="J1826" s="2">
        <f>_xlfn.XLOOKUP(A1826,BAMLC0A4CBBB!A:A,BAMLC0A4CBBB!B:B,"",-1)</f>
        <v>1.6</v>
      </c>
      <c r="K1826" s="2">
        <f>_xlfn.XLOOKUP(A1826,CPIAUCSL!A:A,CPIAUCSL!B:B,"",-1)</f>
        <v>304.60899999999998</v>
      </c>
      <c r="L1826">
        <f>_xlfn.XLOOKUP(A1826,DFF!A:A,DFF!B:B,"",-1)</f>
        <v>5.08</v>
      </c>
      <c r="M1826">
        <f>_xlfn.XLOOKUP(A1826,'DGS2'!A:A,'DGS2'!B:B,"",-1)</f>
        <v>4.9400000000000004</v>
      </c>
      <c r="N1826">
        <f t="shared" si="227"/>
        <v>7.0000000000000284E-2</v>
      </c>
      <c r="O1826">
        <f t="shared" si="228"/>
        <v>-1.9683139606652134E-3</v>
      </c>
      <c r="P1826">
        <f t="shared" si="229"/>
        <v>0</v>
      </c>
      <c r="Q1826">
        <f t="shared" si="230"/>
        <v>0</v>
      </c>
    </row>
    <row r="1827" spans="1:17">
      <c r="A1827" s="1">
        <v>45112</v>
      </c>
      <c r="B1827">
        <v>4446.82</v>
      </c>
      <c r="C1827">
        <f t="shared" si="224"/>
        <v>-1.9683139606652134E-3</v>
      </c>
      <c r="D1827">
        <f t="shared" si="231"/>
        <v>1.1459271592470399E-2</v>
      </c>
      <c r="E1827">
        <f>_xlfn.XLOOKUP(A1827,VIX!A:A,VIX!B:B,"",-1)</f>
        <v>14.18</v>
      </c>
      <c r="F1827">
        <f t="shared" si="225"/>
        <v>0.60999999999999943</v>
      </c>
      <c r="G1827">
        <f>_xlfn.XLOOKUP(A1827,'DGS10'!A:A,'DGS10'!B:B,"",-1)</f>
        <v>3.95</v>
      </c>
      <c r="H1827">
        <f t="shared" si="226"/>
        <v>9.0000000000000302E-2</v>
      </c>
      <c r="I1827" s="2">
        <f>_xlfn.XLOOKUP(A1827,T10Y3M!A:A,T10Y3M!B:B,"",-1)</f>
        <v>-1.49</v>
      </c>
      <c r="J1827" s="2">
        <f>_xlfn.XLOOKUP(A1827,BAMLC0A4CBBB!A:A,BAMLC0A4CBBB!B:B,"",-1)</f>
        <v>1.58</v>
      </c>
      <c r="K1827" s="2">
        <f>_xlfn.XLOOKUP(A1827,CPIAUCSL!A:A,CPIAUCSL!B:B,"",-1)</f>
        <v>304.60899999999998</v>
      </c>
      <c r="L1827">
        <f>_xlfn.XLOOKUP(A1827,DFF!A:A,DFF!B:B,"",-1)</f>
        <v>5.08</v>
      </c>
      <c r="M1827">
        <f>_xlfn.XLOOKUP(A1827,'DGS2'!A:A,'DGS2'!B:B,"",-1)</f>
        <v>4.9400000000000004</v>
      </c>
      <c r="N1827">
        <f t="shared" si="227"/>
        <v>0</v>
      </c>
      <c r="O1827">
        <f t="shared" si="228"/>
        <v>-7.9225154155103672E-3</v>
      </c>
      <c r="P1827">
        <f t="shared" si="229"/>
        <v>0</v>
      </c>
      <c r="Q1827">
        <f t="shared" si="230"/>
        <v>-1</v>
      </c>
    </row>
    <row r="1828" spans="1:17">
      <c r="A1828" s="1">
        <v>45113</v>
      </c>
      <c r="B1828">
        <v>4411.59</v>
      </c>
      <c r="C1828">
        <f t="shared" si="224"/>
        <v>-7.9225154155103672E-3</v>
      </c>
      <c r="D1828">
        <f t="shared" si="231"/>
        <v>-8.7161096355816703E-3</v>
      </c>
      <c r="E1828">
        <f>_xlfn.XLOOKUP(A1828,VIX!A:A,VIX!B:B,"",-1)</f>
        <v>15.44</v>
      </c>
      <c r="F1828">
        <f t="shared" si="225"/>
        <v>1.2599999999999998</v>
      </c>
      <c r="G1828">
        <f>_xlfn.XLOOKUP(A1828,'DGS10'!A:A,'DGS10'!B:B,"",-1)</f>
        <v>4.05</v>
      </c>
      <c r="H1828">
        <f t="shared" si="226"/>
        <v>9.9999999999999645E-2</v>
      </c>
      <c r="I1828" s="2">
        <f>_xlfn.XLOOKUP(A1828,T10Y3M!A:A,T10Y3M!B:B,"",-1)</f>
        <v>-1.41</v>
      </c>
      <c r="J1828" s="2">
        <f>_xlfn.XLOOKUP(A1828,BAMLC0A4CBBB!A:A,BAMLC0A4CBBB!B:B,"",-1)</f>
        <v>1.59</v>
      </c>
      <c r="K1828" s="2">
        <f>_xlfn.XLOOKUP(A1828,CPIAUCSL!A:A,CPIAUCSL!B:B,"",-1)</f>
        <v>304.60899999999998</v>
      </c>
      <c r="L1828">
        <f>_xlfn.XLOOKUP(A1828,DFF!A:A,DFF!B:B,"",-1)</f>
        <v>5.08</v>
      </c>
      <c r="M1828">
        <f>_xlfn.XLOOKUP(A1828,'DGS2'!A:A,'DGS2'!B:B,"",-1)</f>
        <v>4.99</v>
      </c>
      <c r="N1828">
        <f t="shared" si="227"/>
        <v>4.9999999999999822E-2</v>
      </c>
      <c r="O1828">
        <f t="shared" si="228"/>
        <v>-2.8651801277997935E-3</v>
      </c>
      <c r="P1828">
        <f t="shared" si="229"/>
        <v>0</v>
      </c>
      <c r="Q1828">
        <f t="shared" si="230"/>
        <v>0</v>
      </c>
    </row>
    <row r="1829" spans="1:17">
      <c r="A1829" s="1">
        <v>45114</v>
      </c>
      <c r="B1829">
        <v>4398.95</v>
      </c>
      <c r="C1829">
        <f t="shared" si="224"/>
        <v>-2.8651801277997935E-3</v>
      </c>
      <c r="D1829">
        <f t="shared" si="231"/>
        <v>-1.2712121178115598E-2</v>
      </c>
      <c r="E1829">
        <f>_xlfn.XLOOKUP(A1829,VIX!A:A,VIX!B:B,"",-1)</f>
        <v>14.83</v>
      </c>
      <c r="F1829">
        <f t="shared" si="225"/>
        <v>-0.60999999999999943</v>
      </c>
      <c r="G1829">
        <f>_xlfn.XLOOKUP(A1829,'DGS10'!A:A,'DGS10'!B:B,"",-1)</f>
        <v>4.0599999999999996</v>
      </c>
      <c r="H1829">
        <f t="shared" si="226"/>
        <v>9.9999999999997868E-3</v>
      </c>
      <c r="I1829" s="2">
        <f>_xlfn.XLOOKUP(A1829,T10Y3M!A:A,T10Y3M!B:B,"",-1)</f>
        <v>-1.4</v>
      </c>
      <c r="J1829" s="2">
        <f>_xlfn.XLOOKUP(A1829,BAMLC0A4CBBB!A:A,BAMLC0A4CBBB!B:B,"",-1)</f>
        <v>1.58</v>
      </c>
      <c r="K1829" s="2">
        <f>_xlfn.XLOOKUP(A1829,CPIAUCSL!A:A,CPIAUCSL!B:B,"",-1)</f>
        <v>304.60899999999998</v>
      </c>
      <c r="L1829">
        <f>_xlfn.XLOOKUP(A1829,DFF!A:A,DFF!B:B,"",-1)</f>
        <v>5.08</v>
      </c>
      <c r="M1829">
        <f>_xlfn.XLOOKUP(A1829,'DGS2'!A:A,'DGS2'!B:B,"",-1)</f>
        <v>4.9400000000000004</v>
      </c>
      <c r="N1829">
        <f t="shared" si="227"/>
        <v>-4.9999999999999822E-2</v>
      </c>
      <c r="O1829">
        <f t="shared" si="228"/>
        <v>2.4051194034939716E-3</v>
      </c>
      <c r="P1829">
        <f t="shared" si="229"/>
        <v>1</v>
      </c>
      <c r="Q1829">
        <f t="shared" si="230"/>
        <v>0</v>
      </c>
    </row>
    <row r="1830" spans="1:17">
      <c r="A1830" s="1">
        <v>45117</v>
      </c>
      <c r="B1830">
        <v>4409.53</v>
      </c>
      <c r="C1830">
        <f t="shared" si="224"/>
        <v>2.4051194034939716E-3</v>
      </c>
      <c r="D1830">
        <f t="shared" si="231"/>
        <v>-8.3857678071070918E-3</v>
      </c>
      <c r="E1830">
        <f>_xlfn.XLOOKUP(A1830,VIX!A:A,VIX!B:B,"",-1)</f>
        <v>15.07</v>
      </c>
      <c r="F1830">
        <f t="shared" si="225"/>
        <v>0.24000000000000021</v>
      </c>
      <c r="G1830">
        <f>_xlfn.XLOOKUP(A1830,'DGS10'!A:A,'DGS10'!B:B,"",-1)</f>
        <v>4.01</v>
      </c>
      <c r="H1830">
        <f t="shared" si="226"/>
        <v>-4.9999999999999822E-2</v>
      </c>
      <c r="I1830" s="2">
        <f>_xlfn.XLOOKUP(A1830,T10Y3M!A:A,T10Y3M!B:B,"",-1)</f>
        <v>-1.47</v>
      </c>
      <c r="J1830" s="2">
        <f>_xlfn.XLOOKUP(A1830,BAMLC0A4CBBB!A:A,BAMLC0A4CBBB!B:B,"",-1)</f>
        <v>1.59</v>
      </c>
      <c r="K1830" s="2">
        <f>_xlfn.XLOOKUP(A1830,CPIAUCSL!A:A,CPIAUCSL!B:B,"",-1)</f>
        <v>304.60899999999998</v>
      </c>
      <c r="L1830">
        <f>_xlfn.XLOOKUP(A1830,DFF!A:A,DFF!B:B,"",-1)</f>
        <v>5.07</v>
      </c>
      <c r="M1830">
        <f>_xlfn.XLOOKUP(A1830,'DGS2'!A:A,'DGS2'!B:B,"",-1)</f>
        <v>4.8499999999999996</v>
      </c>
      <c r="N1830">
        <f t="shared" si="227"/>
        <v>-9.0000000000000746E-2</v>
      </c>
      <c r="O1830">
        <f t="shared" si="228"/>
        <v>6.7422151567175792E-3</v>
      </c>
      <c r="P1830">
        <f t="shared" si="229"/>
        <v>1</v>
      </c>
      <c r="Q1830">
        <f t="shared" si="230"/>
        <v>1</v>
      </c>
    </row>
    <row r="1831" spans="1:17">
      <c r="A1831" s="1">
        <v>45118</v>
      </c>
      <c r="B1831">
        <v>4439.26</v>
      </c>
      <c r="C1831">
        <f t="shared" si="224"/>
        <v>6.7422151567175792E-3</v>
      </c>
      <c r="D1831">
        <f t="shared" si="231"/>
        <v>6.2721150424223104E-3</v>
      </c>
      <c r="E1831">
        <f>_xlfn.XLOOKUP(A1831,VIX!A:A,VIX!B:B,"",-1)</f>
        <v>14.84</v>
      </c>
      <c r="F1831">
        <f t="shared" si="225"/>
        <v>-0.23000000000000043</v>
      </c>
      <c r="G1831">
        <f>_xlfn.XLOOKUP(A1831,'DGS10'!A:A,'DGS10'!B:B,"",-1)</f>
        <v>3.99</v>
      </c>
      <c r="H1831">
        <f t="shared" si="226"/>
        <v>-1.9999999999999574E-2</v>
      </c>
      <c r="I1831" s="2">
        <f>_xlfn.XLOOKUP(A1831,T10Y3M!A:A,T10Y3M!B:B,"",-1)</f>
        <v>-1.5</v>
      </c>
      <c r="J1831" s="2">
        <f>_xlfn.XLOOKUP(A1831,BAMLC0A4CBBB!A:A,BAMLC0A4CBBB!B:B,"",-1)</f>
        <v>1.58</v>
      </c>
      <c r="K1831" s="2">
        <f>_xlfn.XLOOKUP(A1831,CPIAUCSL!A:A,CPIAUCSL!B:B,"",-1)</f>
        <v>304.60899999999998</v>
      </c>
      <c r="L1831">
        <f>_xlfn.XLOOKUP(A1831,DFF!A:A,DFF!B:B,"",-1)</f>
        <v>5.08</v>
      </c>
      <c r="M1831">
        <f>_xlfn.XLOOKUP(A1831,'DGS2'!A:A,'DGS2'!B:B,"",-1)</f>
        <v>4.88</v>
      </c>
      <c r="N1831">
        <f t="shared" si="227"/>
        <v>3.0000000000000249E-2</v>
      </c>
      <c r="O1831">
        <f t="shared" si="228"/>
        <v>7.4111451007599083E-3</v>
      </c>
      <c r="P1831">
        <f t="shared" si="229"/>
        <v>1</v>
      </c>
      <c r="Q1831">
        <f t="shared" si="230"/>
        <v>1</v>
      </c>
    </row>
    <row r="1832" spans="1:17">
      <c r="A1832" s="1">
        <v>45119</v>
      </c>
      <c r="B1832">
        <v>4472.16</v>
      </c>
      <c r="C1832">
        <f t="shared" si="224"/>
        <v>7.4111451007599083E-3</v>
      </c>
      <c r="D1832">
        <f t="shared" si="231"/>
        <v>1.6642607895065886E-2</v>
      </c>
      <c r="E1832">
        <f>_xlfn.XLOOKUP(A1832,VIX!A:A,VIX!B:B,"",-1)</f>
        <v>13.54</v>
      </c>
      <c r="F1832">
        <f t="shared" si="225"/>
        <v>-1.3000000000000007</v>
      </c>
      <c r="G1832">
        <f>_xlfn.XLOOKUP(A1832,'DGS10'!A:A,'DGS10'!B:B,"",-1)</f>
        <v>3.86</v>
      </c>
      <c r="H1832">
        <f t="shared" si="226"/>
        <v>-0.13000000000000034</v>
      </c>
      <c r="I1832" s="2">
        <f>_xlfn.XLOOKUP(A1832,T10Y3M!A:A,T10Y3M!B:B,"",-1)</f>
        <v>-1.61</v>
      </c>
      <c r="J1832" s="2">
        <f>_xlfn.XLOOKUP(A1832,BAMLC0A4CBBB!A:A,BAMLC0A4CBBB!B:B,"",-1)</f>
        <v>1.56</v>
      </c>
      <c r="K1832" s="2">
        <f>_xlfn.XLOOKUP(A1832,CPIAUCSL!A:A,CPIAUCSL!B:B,"",-1)</f>
        <v>304.60899999999998</v>
      </c>
      <c r="L1832">
        <f>_xlfn.XLOOKUP(A1832,DFF!A:A,DFF!B:B,"",-1)</f>
        <v>5.08</v>
      </c>
      <c r="M1832">
        <f>_xlfn.XLOOKUP(A1832,'DGS2'!A:A,'DGS2'!B:B,"",-1)</f>
        <v>4.72</v>
      </c>
      <c r="N1832">
        <f t="shared" si="227"/>
        <v>-0.16000000000000014</v>
      </c>
      <c r="O1832">
        <f t="shared" si="228"/>
        <v>8.4701799577833192E-3</v>
      </c>
      <c r="P1832">
        <f t="shared" si="229"/>
        <v>1</v>
      </c>
      <c r="Q1832">
        <f t="shared" si="230"/>
        <v>1</v>
      </c>
    </row>
    <row r="1833" spans="1:17">
      <c r="A1833" s="1">
        <v>45120</v>
      </c>
      <c r="B1833">
        <v>4510.04</v>
      </c>
      <c r="C1833">
        <f t="shared" si="224"/>
        <v>8.4701799577833192E-3</v>
      </c>
      <c r="D1833">
        <f t="shared" si="231"/>
        <v>2.2793812492488019E-2</v>
      </c>
      <c r="E1833">
        <f>_xlfn.XLOOKUP(A1833,VIX!A:A,VIX!B:B,"",-1)</f>
        <v>13.61</v>
      </c>
      <c r="F1833">
        <f t="shared" si="225"/>
        <v>7.0000000000000284E-2</v>
      </c>
      <c r="G1833">
        <f>_xlfn.XLOOKUP(A1833,'DGS10'!A:A,'DGS10'!B:B,"",-1)</f>
        <v>3.76</v>
      </c>
      <c r="H1833">
        <f t="shared" si="226"/>
        <v>-0.10000000000000009</v>
      </c>
      <c r="I1833" s="2">
        <f>_xlfn.XLOOKUP(A1833,T10Y3M!A:A,T10Y3M!B:B,"",-1)</f>
        <v>-1.71</v>
      </c>
      <c r="J1833" s="2">
        <f>_xlfn.XLOOKUP(A1833,BAMLC0A4CBBB!A:A,BAMLC0A4CBBB!B:B,"",-1)</f>
        <v>1.56</v>
      </c>
      <c r="K1833" s="2">
        <f>_xlfn.XLOOKUP(A1833,CPIAUCSL!A:A,CPIAUCSL!B:B,"",-1)</f>
        <v>304.60899999999998</v>
      </c>
      <c r="L1833">
        <f>_xlfn.XLOOKUP(A1833,DFF!A:A,DFF!B:B,"",-1)</f>
        <v>5.08</v>
      </c>
      <c r="M1833">
        <f>_xlfn.XLOOKUP(A1833,'DGS2'!A:A,'DGS2'!B:B,"",-1)</f>
        <v>4.59</v>
      </c>
      <c r="N1833">
        <f t="shared" si="227"/>
        <v>-0.12999999999999989</v>
      </c>
      <c r="O1833">
        <f t="shared" si="228"/>
        <v>-1.0243811584819129E-3</v>
      </c>
      <c r="P1833">
        <f t="shared" si="229"/>
        <v>0</v>
      </c>
      <c r="Q1833">
        <f t="shared" si="230"/>
        <v>0</v>
      </c>
    </row>
    <row r="1834" spans="1:17">
      <c r="A1834" s="1">
        <v>45121</v>
      </c>
      <c r="B1834">
        <v>4505.42</v>
      </c>
      <c r="C1834">
        <f t="shared" si="224"/>
        <v>-1.0243811584819129E-3</v>
      </c>
      <c r="D1834">
        <f t="shared" si="231"/>
        <v>1.4903384798367281E-2</v>
      </c>
      <c r="E1834">
        <f>_xlfn.XLOOKUP(A1834,VIX!A:A,VIX!B:B,"",-1)</f>
        <v>13.34</v>
      </c>
      <c r="F1834">
        <f t="shared" si="225"/>
        <v>-0.26999999999999957</v>
      </c>
      <c r="G1834">
        <f>_xlfn.XLOOKUP(A1834,'DGS10'!A:A,'DGS10'!B:B,"",-1)</f>
        <v>3.83</v>
      </c>
      <c r="H1834">
        <f t="shared" si="226"/>
        <v>7.0000000000000284E-2</v>
      </c>
      <c r="I1834" s="2">
        <f>_xlfn.XLOOKUP(A1834,T10Y3M!A:A,T10Y3M!B:B,"",-1)</f>
        <v>-1.66</v>
      </c>
      <c r="J1834" s="2">
        <f>_xlfn.XLOOKUP(A1834,BAMLC0A4CBBB!A:A,BAMLC0A4CBBB!B:B,"",-1)</f>
        <v>1.57</v>
      </c>
      <c r="K1834" s="2">
        <f>_xlfn.XLOOKUP(A1834,CPIAUCSL!A:A,CPIAUCSL!B:B,"",-1)</f>
        <v>304.60899999999998</v>
      </c>
      <c r="L1834">
        <f>_xlfn.XLOOKUP(A1834,DFF!A:A,DFF!B:B,"",-1)</f>
        <v>5.08</v>
      </c>
      <c r="M1834">
        <f>_xlfn.XLOOKUP(A1834,'DGS2'!A:A,'DGS2'!B:B,"",-1)</f>
        <v>4.74</v>
      </c>
      <c r="N1834">
        <f t="shared" si="227"/>
        <v>0.15000000000000036</v>
      </c>
      <c r="O1834">
        <f t="shared" si="228"/>
        <v>3.8553564373575711E-3</v>
      </c>
      <c r="P1834">
        <f t="shared" si="229"/>
        <v>1</v>
      </c>
      <c r="Q1834">
        <f t="shared" si="230"/>
        <v>1</v>
      </c>
    </row>
    <row r="1835" spans="1:17">
      <c r="A1835" s="1">
        <v>45124</v>
      </c>
      <c r="B1835">
        <v>4522.79</v>
      </c>
      <c r="C1835">
        <f t="shared" si="224"/>
        <v>3.8553564373575711E-3</v>
      </c>
      <c r="D1835">
        <f t="shared" si="231"/>
        <v>1.1321151300490273E-2</v>
      </c>
      <c r="E1835">
        <f>_xlfn.XLOOKUP(A1835,VIX!A:A,VIX!B:B,"",-1)</f>
        <v>13.48</v>
      </c>
      <c r="F1835">
        <f t="shared" si="225"/>
        <v>0.14000000000000057</v>
      </c>
      <c r="G1835">
        <f>_xlfn.XLOOKUP(A1835,'DGS10'!A:A,'DGS10'!B:B,"",-1)</f>
        <v>3.81</v>
      </c>
      <c r="H1835">
        <f t="shared" si="226"/>
        <v>-2.0000000000000018E-2</v>
      </c>
      <c r="I1835" s="2">
        <f>_xlfn.XLOOKUP(A1835,T10Y3M!A:A,T10Y3M!B:B,"",-1)</f>
        <v>-1.68</v>
      </c>
      <c r="J1835" s="2">
        <f>_xlfn.XLOOKUP(A1835,BAMLC0A4CBBB!A:A,BAMLC0A4CBBB!B:B,"",-1)</f>
        <v>1.58</v>
      </c>
      <c r="K1835" s="2">
        <f>_xlfn.XLOOKUP(A1835,CPIAUCSL!A:A,CPIAUCSL!B:B,"",-1)</f>
        <v>304.60899999999998</v>
      </c>
      <c r="L1835">
        <f>_xlfn.XLOOKUP(A1835,DFF!A:A,DFF!B:B,"",-1)</f>
        <v>5.08</v>
      </c>
      <c r="M1835">
        <f>_xlfn.XLOOKUP(A1835,'DGS2'!A:A,'DGS2'!B:B,"",-1)</f>
        <v>4.74</v>
      </c>
      <c r="N1835">
        <f t="shared" si="227"/>
        <v>0</v>
      </c>
      <c r="O1835">
        <f t="shared" si="228"/>
        <v>7.1172882225352119E-3</v>
      </c>
      <c r="P1835">
        <f t="shared" si="229"/>
        <v>1</v>
      </c>
      <c r="Q1835">
        <f t="shared" si="230"/>
        <v>1</v>
      </c>
    </row>
    <row r="1836" spans="1:17">
      <c r="A1836" s="1">
        <v>45125</v>
      </c>
      <c r="B1836">
        <v>4554.9799999999996</v>
      </c>
      <c r="C1836">
        <f t="shared" si="224"/>
        <v>7.1172882225352119E-3</v>
      </c>
      <c r="D1836">
        <f t="shared" si="231"/>
        <v>9.9644349052334658E-3</v>
      </c>
      <c r="E1836">
        <f>_xlfn.XLOOKUP(A1836,VIX!A:A,VIX!B:B,"",-1)</f>
        <v>13.3</v>
      </c>
      <c r="F1836">
        <f t="shared" si="225"/>
        <v>-0.17999999999999972</v>
      </c>
      <c r="G1836">
        <f>_xlfn.XLOOKUP(A1836,'DGS10'!A:A,'DGS10'!B:B,"",-1)</f>
        <v>3.8</v>
      </c>
      <c r="H1836">
        <f t="shared" si="226"/>
        <v>-1.0000000000000231E-2</v>
      </c>
      <c r="I1836" s="2">
        <f>_xlfn.XLOOKUP(A1836,T10Y3M!A:A,T10Y3M!B:B,"",-1)</f>
        <v>-1.69</v>
      </c>
      <c r="J1836" s="2">
        <f>_xlfn.XLOOKUP(A1836,BAMLC0A4CBBB!A:A,BAMLC0A4CBBB!B:B,"",-1)</f>
        <v>1.58</v>
      </c>
      <c r="K1836" s="2">
        <f>_xlfn.XLOOKUP(A1836,CPIAUCSL!A:A,CPIAUCSL!B:B,"",-1)</f>
        <v>304.60899999999998</v>
      </c>
      <c r="L1836">
        <f>_xlfn.XLOOKUP(A1836,DFF!A:A,DFF!B:B,"",-1)</f>
        <v>5.08</v>
      </c>
      <c r="M1836">
        <f>_xlfn.XLOOKUP(A1836,'DGS2'!A:A,'DGS2'!B:B,"",-1)</f>
        <v>4.74</v>
      </c>
      <c r="N1836">
        <f t="shared" si="227"/>
        <v>0</v>
      </c>
      <c r="O1836">
        <f t="shared" si="228"/>
        <v>2.3578588709500803E-3</v>
      </c>
      <c r="P1836">
        <f t="shared" si="229"/>
        <v>1</v>
      </c>
      <c r="Q1836">
        <f t="shared" si="230"/>
        <v>0</v>
      </c>
    </row>
    <row r="1837" spans="1:17">
      <c r="A1837" s="1">
        <v>45126</v>
      </c>
      <c r="B1837">
        <v>4565.72</v>
      </c>
      <c r="C1837">
        <f t="shared" si="224"/>
        <v>2.3578588709500803E-3</v>
      </c>
      <c r="D1837">
        <f t="shared" si="231"/>
        <v>1.3383879860257242E-2</v>
      </c>
      <c r="E1837">
        <f>_xlfn.XLOOKUP(A1837,VIX!A:A,VIX!B:B,"",-1)</f>
        <v>13.76</v>
      </c>
      <c r="F1837">
        <f t="shared" si="225"/>
        <v>0.45999999999999908</v>
      </c>
      <c r="G1837">
        <f>_xlfn.XLOOKUP(A1837,'DGS10'!A:A,'DGS10'!B:B,"",-1)</f>
        <v>3.75</v>
      </c>
      <c r="H1837">
        <f t="shared" si="226"/>
        <v>-4.9999999999999822E-2</v>
      </c>
      <c r="I1837" s="2">
        <f>_xlfn.XLOOKUP(A1837,T10Y3M!A:A,T10Y3M!B:B,"",-1)</f>
        <v>-1.74</v>
      </c>
      <c r="J1837" s="2">
        <f>_xlfn.XLOOKUP(A1837,BAMLC0A4CBBB!A:A,BAMLC0A4CBBB!B:B,"",-1)</f>
        <v>1.57</v>
      </c>
      <c r="K1837" s="2">
        <f>_xlfn.XLOOKUP(A1837,CPIAUCSL!A:A,CPIAUCSL!B:B,"",-1)</f>
        <v>304.60899999999998</v>
      </c>
      <c r="L1837">
        <f>_xlfn.XLOOKUP(A1837,DFF!A:A,DFF!B:B,"",-1)</f>
        <v>5.08</v>
      </c>
      <c r="M1837">
        <f>_xlfn.XLOOKUP(A1837,'DGS2'!A:A,'DGS2'!B:B,"",-1)</f>
        <v>4.74</v>
      </c>
      <c r="N1837">
        <f t="shared" si="227"/>
        <v>0</v>
      </c>
      <c r="O1837">
        <f t="shared" si="228"/>
        <v>-6.7568751478409572E-3</v>
      </c>
      <c r="P1837">
        <f t="shared" si="229"/>
        <v>0</v>
      </c>
      <c r="Q1837">
        <f t="shared" si="230"/>
        <v>-1</v>
      </c>
    </row>
    <row r="1838" spans="1:17">
      <c r="A1838" s="1">
        <v>45127</v>
      </c>
      <c r="B1838">
        <v>4534.87</v>
      </c>
      <c r="C1838">
        <f t="shared" si="224"/>
        <v>-6.7568751478409572E-3</v>
      </c>
      <c r="D1838">
        <f t="shared" si="231"/>
        <v>2.6709177299852893E-3</v>
      </c>
      <c r="E1838">
        <f>_xlfn.XLOOKUP(A1838,VIX!A:A,VIX!B:B,"",-1)</f>
        <v>13.99</v>
      </c>
      <c r="F1838">
        <f t="shared" si="225"/>
        <v>0.23000000000000043</v>
      </c>
      <c r="G1838">
        <f>_xlfn.XLOOKUP(A1838,'DGS10'!A:A,'DGS10'!B:B,"",-1)</f>
        <v>3.85</v>
      </c>
      <c r="H1838">
        <f t="shared" si="226"/>
        <v>0.10000000000000009</v>
      </c>
      <c r="I1838" s="2">
        <f>_xlfn.XLOOKUP(A1838,T10Y3M!A:A,T10Y3M!B:B,"",-1)</f>
        <v>-1.64</v>
      </c>
      <c r="J1838" s="2">
        <f>_xlfn.XLOOKUP(A1838,BAMLC0A4CBBB!A:A,BAMLC0A4CBBB!B:B,"",-1)</f>
        <v>1.56</v>
      </c>
      <c r="K1838" s="2">
        <f>_xlfn.XLOOKUP(A1838,CPIAUCSL!A:A,CPIAUCSL!B:B,"",-1)</f>
        <v>304.60899999999998</v>
      </c>
      <c r="L1838">
        <f>_xlfn.XLOOKUP(A1838,DFF!A:A,DFF!B:B,"",-1)</f>
        <v>5.08</v>
      </c>
      <c r="M1838">
        <f>_xlfn.XLOOKUP(A1838,'DGS2'!A:A,'DGS2'!B:B,"",-1)</f>
        <v>4.8</v>
      </c>
      <c r="N1838">
        <f t="shared" si="227"/>
        <v>5.9999999999999609E-2</v>
      </c>
      <c r="O1838">
        <f t="shared" si="228"/>
        <v>3.2415482692993436E-4</v>
      </c>
      <c r="P1838">
        <f t="shared" si="229"/>
        <v>1</v>
      </c>
      <c r="Q1838">
        <f t="shared" si="230"/>
        <v>0</v>
      </c>
    </row>
    <row r="1839" spans="1:17">
      <c r="A1839" s="1">
        <v>45128</v>
      </c>
      <c r="B1839">
        <v>4536.34</v>
      </c>
      <c r="C1839">
        <f t="shared" si="224"/>
        <v>3.2415482692993436E-4</v>
      </c>
      <c r="D1839">
        <f t="shared" si="231"/>
        <v>-4.0922243346841469E-3</v>
      </c>
      <c r="E1839">
        <f>_xlfn.XLOOKUP(A1839,VIX!A:A,VIX!B:B,"",-1)</f>
        <v>13.6</v>
      </c>
      <c r="F1839">
        <f t="shared" si="225"/>
        <v>-0.39000000000000057</v>
      </c>
      <c r="G1839">
        <f>_xlfn.XLOOKUP(A1839,'DGS10'!A:A,'DGS10'!B:B,"",-1)</f>
        <v>3.84</v>
      </c>
      <c r="H1839">
        <f t="shared" si="226"/>
        <v>-1.0000000000000231E-2</v>
      </c>
      <c r="I1839" s="2">
        <f>_xlfn.XLOOKUP(A1839,T10Y3M!A:A,T10Y3M!B:B,"",-1)</f>
        <v>-1.66</v>
      </c>
      <c r="J1839" s="2">
        <f>_xlfn.XLOOKUP(A1839,BAMLC0A4CBBB!A:A,BAMLC0A4CBBB!B:B,"",-1)</f>
        <v>1.55</v>
      </c>
      <c r="K1839" s="2">
        <f>_xlfn.XLOOKUP(A1839,CPIAUCSL!A:A,CPIAUCSL!B:B,"",-1)</f>
        <v>304.60899999999998</v>
      </c>
      <c r="L1839">
        <f>_xlfn.XLOOKUP(A1839,DFF!A:A,DFF!B:B,"",-1)</f>
        <v>5.08</v>
      </c>
      <c r="M1839">
        <f>_xlfn.XLOOKUP(A1839,'DGS2'!A:A,'DGS2'!B:B,"",-1)</f>
        <v>4.82</v>
      </c>
      <c r="N1839">
        <f t="shared" si="227"/>
        <v>2.0000000000000462E-2</v>
      </c>
      <c r="O1839">
        <f t="shared" si="228"/>
        <v>4.0340891555747938E-3</v>
      </c>
      <c r="P1839">
        <f t="shared" si="229"/>
        <v>1</v>
      </c>
      <c r="Q1839">
        <f t="shared" si="230"/>
        <v>1</v>
      </c>
    </row>
    <row r="1840" spans="1:17">
      <c r="A1840" s="1">
        <v>45131</v>
      </c>
      <c r="B1840">
        <v>4554.6400000000003</v>
      </c>
      <c r="C1840">
        <f t="shared" si="224"/>
        <v>4.0340891555747938E-3</v>
      </c>
      <c r="D1840">
        <f t="shared" si="231"/>
        <v>-2.4267804420770034E-3</v>
      </c>
      <c r="E1840">
        <f>_xlfn.XLOOKUP(A1840,VIX!A:A,VIX!B:B,"",-1)</f>
        <v>13.91</v>
      </c>
      <c r="F1840">
        <f t="shared" si="225"/>
        <v>0.3100000000000005</v>
      </c>
      <c r="G1840">
        <f>_xlfn.XLOOKUP(A1840,'DGS10'!A:A,'DGS10'!B:B,"",-1)</f>
        <v>3.86</v>
      </c>
      <c r="H1840">
        <f t="shared" si="226"/>
        <v>2.0000000000000018E-2</v>
      </c>
      <c r="I1840" s="2">
        <f>_xlfn.XLOOKUP(A1840,T10Y3M!A:A,T10Y3M!B:B,"",-1)</f>
        <v>-1.65</v>
      </c>
      <c r="J1840" s="2">
        <f>_xlfn.XLOOKUP(A1840,BAMLC0A4CBBB!A:A,BAMLC0A4CBBB!B:B,"",-1)</f>
        <v>1.53</v>
      </c>
      <c r="K1840" s="2">
        <f>_xlfn.XLOOKUP(A1840,CPIAUCSL!A:A,CPIAUCSL!B:B,"",-1)</f>
        <v>304.60899999999998</v>
      </c>
      <c r="L1840">
        <f>_xlfn.XLOOKUP(A1840,DFF!A:A,DFF!B:B,"",-1)</f>
        <v>5.08</v>
      </c>
      <c r="M1840">
        <f>_xlfn.XLOOKUP(A1840,'DGS2'!A:A,'DGS2'!B:B,"",-1)</f>
        <v>4.8099999999999996</v>
      </c>
      <c r="N1840">
        <f t="shared" si="227"/>
        <v>-1.0000000000000675E-2</v>
      </c>
      <c r="O1840">
        <f t="shared" si="228"/>
        <v>2.8147120299297779E-3</v>
      </c>
      <c r="P1840">
        <f t="shared" si="229"/>
        <v>1</v>
      </c>
      <c r="Q1840">
        <f t="shared" si="230"/>
        <v>0</v>
      </c>
    </row>
    <row r="1841" spans="1:17">
      <c r="A1841" s="1">
        <v>45132</v>
      </c>
      <c r="B1841">
        <v>4567.46</v>
      </c>
      <c r="C1841">
        <f t="shared" si="224"/>
        <v>2.8147120299297779E-3</v>
      </c>
      <c r="D1841">
        <f t="shared" si="231"/>
        <v>7.1865345643866707E-3</v>
      </c>
      <c r="E1841">
        <f>_xlfn.XLOOKUP(A1841,VIX!A:A,VIX!B:B,"",-1)</f>
        <v>13.86</v>
      </c>
      <c r="F1841">
        <f t="shared" si="225"/>
        <v>-5.0000000000000711E-2</v>
      </c>
      <c r="G1841">
        <f>_xlfn.XLOOKUP(A1841,'DGS10'!A:A,'DGS10'!B:B,"",-1)</f>
        <v>3.91</v>
      </c>
      <c r="H1841">
        <f t="shared" si="226"/>
        <v>5.0000000000000266E-2</v>
      </c>
      <c r="I1841" s="2">
        <f>_xlfn.XLOOKUP(A1841,T10Y3M!A:A,T10Y3M!B:B,"",-1)</f>
        <v>-1.6</v>
      </c>
      <c r="J1841" s="2">
        <f>_xlfn.XLOOKUP(A1841,BAMLC0A4CBBB!A:A,BAMLC0A4CBBB!B:B,"",-1)</f>
        <v>1.52</v>
      </c>
      <c r="K1841" s="2">
        <f>_xlfn.XLOOKUP(A1841,CPIAUCSL!A:A,CPIAUCSL!B:B,"",-1)</f>
        <v>304.60899999999998</v>
      </c>
      <c r="L1841">
        <f>_xlfn.XLOOKUP(A1841,DFF!A:A,DFF!B:B,"",-1)</f>
        <v>5.08</v>
      </c>
      <c r="M1841">
        <f>_xlfn.XLOOKUP(A1841,'DGS2'!A:A,'DGS2'!B:B,"",-1)</f>
        <v>4.8499999999999996</v>
      </c>
      <c r="N1841">
        <f t="shared" si="227"/>
        <v>4.0000000000000036E-2</v>
      </c>
      <c r="O1841">
        <f t="shared" si="228"/>
        <v>-1.5544744781559316E-4</v>
      </c>
      <c r="P1841">
        <f t="shared" si="229"/>
        <v>0</v>
      </c>
      <c r="Q1841">
        <f t="shared" si="230"/>
        <v>0</v>
      </c>
    </row>
    <row r="1842" spans="1:17">
      <c r="A1842" s="1">
        <v>45133</v>
      </c>
      <c r="B1842">
        <v>4566.75</v>
      </c>
      <c r="C1842">
        <f t="shared" si="224"/>
        <v>-1.5544744781559316E-4</v>
      </c>
      <c r="D1842">
        <f t="shared" si="231"/>
        <v>6.7036421432256077E-3</v>
      </c>
      <c r="E1842">
        <f>_xlfn.XLOOKUP(A1842,VIX!A:A,VIX!B:B,"",-1)</f>
        <v>13.19</v>
      </c>
      <c r="F1842">
        <f t="shared" si="225"/>
        <v>-0.66999999999999993</v>
      </c>
      <c r="G1842">
        <f>_xlfn.XLOOKUP(A1842,'DGS10'!A:A,'DGS10'!B:B,"",-1)</f>
        <v>3.86</v>
      </c>
      <c r="H1842">
        <f t="shared" si="226"/>
        <v>-5.0000000000000266E-2</v>
      </c>
      <c r="I1842" s="2">
        <f>_xlfn.XLOOKUP(A1842,T10Y3M!A:A,T10Y3M!B:B,"",-1)</f>
        <v>-1.65</v>
      </c>
      <c r="J1842" s="2">
        <f>_xlfn.XLOOKUP(A1842,BAMLC0A4CBBB!A:A,BAMLC0A4CBBB!B:B,"",-1)</f>
        <v>1.52</v>
      </c>
      <c r="K1842" s="2">
        <f>_xlfn.XLOOKUP(A1842,CPIAUCSL!A:A,CPIAUCSL!B:B,"",-1)</f>
        <v>304.60899999999998</v>
      </c>
      <c r="L1842">
        <f>_xlfn.XLOOKUP(A1842,DFF!A:A,DFF!B:B,"",-1)</f>
        <v>5.08</v>
      </c>
      <c r="M1842">
        <f>_xlfn.XLOOKUP(A1842,'DGS2'!A:A,'DGS2'!B:B,"",-1)</f>
        <v>4.82</v>
      </c>
      <c r="N1842">
        <f t="shared" si="227"/>
        <v>-2.9999999999999361E-2</v>
      </c>
      <c r="O1842">
        <f t="shared" si="228"/>
        <v>-6.4247002791920638E-3</v>
      </c>
      <c r="P1842">
        <f t="shared" si="229"/>
        <v>0</v>
      </c>
      <c r="Q1842">
        <f t="shared" si="230"/>
        <v>-1</v>
      </c>
    </row>
    <row r="1843" spans="1:17">
      <c r="A1843" s="1">
        <v>45134</v>
      </c>
      <c r="B1843">
        <v>4537.41</v>
      </c>
      <c r="C1843">
        <f t="shared" si="224"/>
        <v>-6.4247002791920638E-3</v>
      </c>
      <c r="D1843">
        <f t="shared" si="231"/>
        <v>-3.7829554037203117E-3</v>
      </c>
      <c r="E1843">
        <f>_xlfn.XLOOKUP(A1843,VIX!A:A,VIX!B:B,"",-1)</f>
        <v>14.41</v>
      </c>
      <c r="F1843">
        <f t="shared" si="225"/>
        <v>1.2200000000000006</v>
      </c>
      <c r="G1843">
        <f>_xlfn.XLOOKUP(A1843,'DGS10'!A:A,'DGS10'!B:B,"",-1)</f>
        <v>4.01</v>
      </c>
      <c r="H1843">
        <f t="shared" si="226"/>
        <v>0.14999999999999991</v>
      </c>
      <c r="I1843" s="2">
        <f>_xlfn.XLOOKUP(A1843,T10Y3M!A:A,T10Y3M!B:B,"",-1)</f>
        <v>-1.5</v>
      </c>
      <c r="J1843" s="2">
        <f>_xlfn.XLOOKUP(A1843,BAMLC0A4CBBB!A:A,BAMLC0A4CBBB!B:B,"",-1)</f>
        <v>1.48</v>
      </c>
      <c r="K1843" s="2">
        <f>_xlfn.XLOOKUP(A1843,CPIAUCSL!A:A,CPIAUCSL!B:B,"",-1)</f>
        <v>304.60899999999998</v>
      </c>
      <c r="L1843">
        <f>_xlfn.XLOOKUP(A1843,DFF!A:A,DFF!B:B,"",-1)</f>
        <v>5.33</v>
      </c>
      <c r="M1843">
        <f>_xlfn.XLOOKUP(A1843,'DGS2'!A:A,'DGS2'!B:B,"",-1)</f>
        <v>4.91</v>
      </c>
      <c r="N1843">
        <f t="shared" si="227"/>
        <v>8.9999999999999858E-2</v>
      </c>
      <c r="O1843">
        <f t="shared" si="228"/>
        <v>9.8778818753428865E-3</v>
      </c>
      <c r="P1843">
        <f t="shared" si="229"/>
        <v>1</v>
      </c>
      <c r="Q1843">
        <f t="shared" si="230"/>
        <v>1</v>
      </c>
    </row>
    <row r="1844" spans="1:17">
      <c r="A1844" s="1">
        <v>45135</v>
      </c>
      <c r="B1844">
        <v>4582.2299999999996</v>
      </c>
      <c r="C1844">
        <f t="shared" si="224"/>
        <v>9.8778818753428865E-3</v>
      </c>
      <c r="D1844">
        <f t="shared" si="231"/>
        <v>3.2337447946997333E-3</v>
      </c>
      <c r="E1844">
        <f>_xlfn.XLOOKUP(A1844,VIX!A:A,VIX!B:B,"",-1)</f>
        <v>13.33</v>
      </c>
      <c r="F1844">
        <f t="shared" si="225"/>
        <v>-1.08</v>
      </c>
      <c r="G1844">
        <f>_xlfn.XLOOKUP(A1844,'DGS10'!A:A,'DGS10'!B:B,"",-1)</f>
        <v>3.96</v>
      </c>
      <c r="H1844">
        <f t="shared" si="226"/>
        <v>-4.9999999999999822E-2</v>
      </c>
      <c r="I1844" s="2">
        <f>_xlfn.XLOOKUP(A1844,T10Y3M!A:A,T10Y3M!B:B,"",-1)</f>
        <v>-1.56</v>
      </c>
      <c r="J1844" s="2">
        <f>_xlfn.XLOOKUP(A1844,BAMLC0A4CBBB!A:A,BAMLC0A4CBBB!B:B,"",-1)</f>
        <v>1.48</v>
      </c>
      <c r="K1844" s="2">
        <f>_xlfn.XLOOKUP(A1844,CPIAUCSL!A:A,CPIAUCSL!B:B,"",-1)</f>
        <v>304.60899999999998</v>
      </c>
      <c r="L1844">
        <f>_xlfn.XLOOKUP(A1844,DFF!A:A,DFF!B:B,"",-1)</f>
        <v>5.33</v>
      </c>
      <c r="M1844">
        <f>_xlfn.XLOOKUP(A1844,'DGS2'!A:A,'DGS2'!B:B,"",-1)</f>
        <v>4.87</v>
      </c>
      <c r="N1844">
        <f t="shared" si="227"/>
        <v>-4.0000000000000036E-2</v>
      </c>
      <c r="O1844">
        <f t="shared" si="228"/>
        <v>1.4687171966489831E-3</v>
      </c>
      <c r="P1844">
        <f t="shared" si="229"/>
        <v>1</v>
      </c>
      <c r="Q1844">
        <f t="shared" si="230"/>
        <v>0</v>
      </c>
    </row>
    <row r="1845" spans="1:17">
      <c r="A1845" s="1">
        <v>45138</v>
      </c>
      <c r="B1845">
        <v>4588.96</v>
      </c>
      <c r="C1845">
        <f t="shared" si="224"/>
        <v>1.4687171966489831E-3</v>
      </c>
      <c r="D1845">
        <f t="shared" si="231"/>
        <v>4.8634149011879124E-3</v>
      </c>
      <c r="E1845">
        <f>_xlfn.XLOOKUP(A1845,VIX!A:A,VIX!B:B,"",-1)</f>
        <v>13.63</v>
      </c>
      <c r="F1845">
        <f t="shared" si="225"/>
        <v>0.30000000000000071</v>
      </c>
      <c r="G1845">
        <f>_xlfn.XLOOKUP(A1845,'DGS10'!A:A,'DGS10'!B:B,"",-1)</f>
        <v>3.97</v>
      </c>
      <c r="H1845">
        <f t="shared" si="226"/>
        <v>1.0000000000000231E-2</v>
      </c>
      <c r="I1845" s="2">
        <f>_xlfn.XLOOKUP(A1845,T10Y3M!A:A,T10Y3M!B:B,"",-1)</f>
        <v>-1.58</v>
      </c>
      <c r="J1845" s="2">
        <f>_xlfn.XLOOKUP(A1845,BAMLC0A4CBBB!A:A,BAMLC0A4CBBB!B:B,"",-1)</f>
        <v>1.47</v>
      </c>
      <c r="K1845" s="2">
        <f>_xlfn.XLOOKUP(A1845,CPIAUCSL!A:A,CPIAUCSL!B:B,"",-1)</f>
        <v>304.60899999999998</v>
      </c>
      <c r="L1845">
        <f>_xlfn.XLOOKUP(A1845,DFF!A:A,DFF!B:B,"",-1)</f>
        <v>5.33</v>
      </c>
      <c r="M1845">
        <f>_xlfn.XLOOKUP(A1845,'DGS2'!A:A,'DGS2'!B:B,"",-1)</f>
        <v>4.88</v>
      </c>
      <c r="N1845">
        <f t="shared" si="227"/>
        <v>9.9999999999997868E-3</v>
      </c>
      <c r="O1845">
        <f t="shared" si="228"/>
        <v>-2.6650918726683903E-3</v>
      </c>
      <c r="P1845">
        <f t="shared" si="229"/>
        <v>0</v>
      </c>
      <c r="Q1845">
        <f t="shared" si="230"/>
        <v>0</v>
      </c>
    </row>
    <row r="1846" spans="1:17">
      <c r="A1846" s="1">
        <v>45139</v>
      </c>
      <c r="B1846">
        <v>4576.7299999999996</v>
      </c>
      <c r="C1846">
        <f t="shared" si="224"/>
        <v>-2.6650918726683903E-3</v>
      </c>
      <c r="D1846">
        <f t="shared" si="231"/>
        <v>8.6657366206712716E-3</v>
      </c>
      <c r="E1846">
        <f>_xlfn.XLOOKUP(A1846,VIX!A:A,VIX!B:B,"",-1)</f>
        <v>13.93</v>
      </c>
      <c r="F1846">
        <f t="shared" si="225"/>
        <v>0.29999999999999893</v>
      </c>
      <c r="G1846">
        <f>_xlfn.XLOOKUP(A1846,'DGS10'!A:A,'DGS10'!B:B,"",-1)</f>
        <v>4.05</v>
      </c>
      <c r="H1846">
        <f t="shared" si="226"/>
        <v>7.9999999999999627E-2</v>
      </c>
      <c r="I1846" s="2">
        <f>_xlfn.XLOOKUP(A1846,T10Y3M!A:A,T10Y3M!B:B,"",-1)</f>
        <v>-1.49</v>
      </c>
      <c r="J1846" s="2">
        <f>_xlfn.XLOOKUP(A1846,BAMLC0A4CBBB!A:A,BAMLC0A4CBBB!B:B,"",-1)</f>
        <v>1.47</v>
      </c>
      <c r="K1846" s="2">
        <f>_xlfn.XLOOKUP(A1846,CPIAUCSL!A:A,CPIAUCSL!B:B,"",-1)</f>
        <v>306.08199999999999</v>
      </c>
      <c r="L1846">
        <f>_xlfn.XLOOKUP(A1846,DFF!A:A,DFF!B:B,"",-1)</f>
        <v>5.33</v>
      </c>
      <c r="M1846">
        <f>_xlfn.XLOOKUP(A1846,'DGS2'!A:A,'DGS2'!B:B,"",-1)</f>
        <v>4.92</v>
      </c>
      <c r="N1846">
        <f t="shared" si="227"/>
        <v>4.0000000000000036E-2</v>
      </c>
      <c r="O1846">
        <f t="shared" si="228"/>
        <v>-1.383957541738301E-2</v>
      </c>
      <c r="P1846">
        <f t="shared" si="229"/>
        <v>0</v>
      </c>
      <c r="Q1846">
        <f t="shared" si="230"/>
        <v>-1</v>
      </c>
    </row>
    <row r="1847" spans="1:17">
      <c r="A1847" s="1">
        <v>45140</v>
      </c>
      <c r="B1847">
        <v>4513.3900000000003</v>
      </c>
      <c r="C1847">
        <f t="shared" si="224"/>
        <v>-1.383957541738301E-2</v>
      </c>
      <c r="D1847">
        <f t="shared" si="231"/>
        <v>-1.5023252870327131E-2</v>
      </c>
      <c r="E1847">
        <f>_xlfn.XLOOKUP(A1847,VIX!A:A,VIX!B:B,"",-1)</f>
        <v>16.09</v>
      </c>
      <c r="F1847">
        <f t="shared" si="225"/>
        <v>2.16</v>
      </c>
      <c r="G1847">
        <f>_xlfn.XLOOKUP(A1847,'DGS10'!A:A,'DGS10'!B:B,"",-1)</f>
        <v>4.08</v>
      </c>
      <c r="H1847">
        <f t="shared" si="226"/>
        <v>3.0000000000000249E-2</v>
      </c>
      <c r="I1847" s="2">
        <f>_xlfn.XLOOKUP(A1847,T10Y3M!A:A,T10Y3M!B:B,"",-1)</f>
        <v>-1.45</v>
      </c>
      <c r="J1847" s="2">
        <f>_xlfn.XLOOKUP(A1847,BAMLC0A4CBBB!A:A,BAMLC0A4CBBB!B:B,"",-1)</f>
        <v>1.5</v>
      </c>
      <c r="K1847" s="2">
        <f>_xlfn.XLOOKUP(A1847,CPIAUCSL!A:A,CPIAUCSL!B:B,"",-1)</f>
        <v>306.08199999999999</v>
      </c>
      <c r="L1847">
        <f>_xlfn.XLOOKUP(A1847,DFF!A:A,DFF!B:B,"",-1)</f>
        <v>5.33</v>
      </c>
      <c r="M1847">
        <f>_xlfn.XLOOKUP(A1847,'DGS2'!A:A,'DGS2'!B:B,"",-1)</f>
        <v>4.88</v>
      </c>
      <c r="N1847">
        <f t="shared" si="227"/>
        <v>-4.0000000000000036E-2</v>
      </c>
      <c r="O1847">
        <f t="shared" si="228"/>
        <v>-2.5479739176096361E-3</v>
      </c>
      <c r="P1847">
        <f t="shared" si="229"/>
        <v>0</v>
      </c>
      <c r="Q1847">
        <f t="shared" si="230"/>
        <v>0</v>
      </c>
    </row>
    <row r="1848" spans="1:17">
      <c r="A1848" s="1">
        <v>45141</v>
      </c>
      <c r="B1848">
        <v>4501.8900000000003</v>
      </c>
      <c r="C1848">
        <f t="shared" si="224"/>
        <v>-2.5479739176096361E-3</v>
      </c>
      <c r="D1848">
        <f t="shared" si="231"/>
        <v>-1.8973797984728535E-2</v>
      </c>
      <c r="E1848">
        <f>_xlfn.XLOOKUP(A1848,VIX!A:A,VIX!B:B,"",-1)</f>
        <v>15.92</v>
      </c>
      <c r="F1848">
        <f t="shared" si="225"/>
        <v>-0.16999999999999993</v>
      </c>
      <c r="G1848">
        <f>_xlfn.XLOOKUP(A1848,'DGS10'!A:A,'DGS10'!B:B,"",-1)</f>
        <v>4.2</v>
      </c>
      <c r="H1848">
        <f t="shared" si="226"/>
        <v>0.12000000000000011</v>
      </c>
      <c r="I1848" s="2">
        <f>_xlfn.XLOOKUP(A1848,T10Y3M!A:A,T10Y3M!B:B,"",-1)</f>
        <v>-1.34</v>
      </c>
      <c r="J1848" s="2">
        <f>_xlfn.XLOOKUP(A1848,BAMLC0A4CBBB!A:A,BAMLC0A4CBBB!B:B,"",-1)</f>
        <v>1.51</v>
      </c>
      <c r="K1848" s="2">
        <f>_xlfn.XLOOKUP(A1848,CPIAUCSL!A:A,CPIAUCSL!B:B,"",-1)</f>
        <v>306.08199999999999</v>
      </c>
      <c r="L1848">
        <f>_xlfn.XLOOKUP(A1848,DFF!A:A,DFF!B:B,"",-1)</f>
        <v>5.33</v>
      </c>
      <c r="M1848">
        <f>_xlfn.XLOOKUP(A1848,'DGS2'!A:A,'DGS2'!B:B,"",-1)</f>
        <v>4.9000000000000004</v>
      </c>
      <c r="N1848">
        <f t="shared" si="227"/>
        <v>2.0000000000000462E-2</v>
      </c>
      <c r="O1848">
        <f t="shared" si="228"/>
        <v>-5.2999962238083898E-3</v>
      </c>
      <c r="P1848">
        <f t="shared" si="229"/>
        <v>0</v>
      </c>
      <c r="Q1848">
        <f t="shared" si="230"/>
        <v>-1</v>
      </c>
    </row>
    <row r="1849" spans="1:17">
      <c r="A1849" s="1">
        <v>45142</v>
      </c>
      <c r="B1849">
        <v>4478.03</v>
      </c>
      <c r="C1849">
        <f t="shared" si="224"/>
        <v>-5.2999962238083898E-3</v>
      </c>
      <c r="D1849">
        <f t="shared" si="231"/>
        <v>-2.1565615625129708E-2</v>
      </c>
      <c r="E1849">
        <f>_xlfn.XLOOKUP(A1849,VIX!A:A,VIX!B:B,"",-1)</f>
        <v>17.100000000000001</v>
      </c>
      <c r="F1849">
        <f t="shared" si="225"/>
        <v>1.1800000000000015</v>
      </c>
      <c r="G1849">
        <f>_xlfn.XLOOKUP(A1849,'DGS10'!A:A,'DGS10'!B:B,"",-1)</f>
        <v>4.05</v>
      </c>
      <c r="H1849">
        <f t="shared" si="226"/>
        <v>-0.15000000000000036</v>
      </c>
      <c r="I1849" s="2">
        <f>_xlfn.XLOOKUP(A1849,T10Y3M!A:A,T10Y3M!B:B,"",-1)</f>
        <v>-1.49</v>
      </c>
      <c r="J1849" s="2">
        <f>_xlfn.XLOOKUP(A1849,BAMLC0A4CBBB!A:A,BAMLC0A4CBBB!B:B,"",-1)</f>
        <v>1.51</v>
      </c>
      <c r="K1849" s="2">
        <f>_xlfn.XLOOKUP(A1849,CPIAUCSL!A:A,CPIAUCSL!B:B,"",-1)</f>
        <v>306.08199999999999</v>
      </c>
      <c r="L1849">
        <f>_xlfn.XLOOKUP(A1849,DFF!A:A,DFF!B:B,"",-1)</f>
        <v>5.33</v>
      </c>
      <c r="M1849">
        <f>_xlfn.XLOOKUP(A1849,'DGS2'!A:A,'DGS2'!B:B,"",-1)</f>
        <v>4.78</v>
      </c>
      <c r="N1849">
        <f t="shared" si="227"/>
        <v>-0.12000000000000011</v>
      </c>
      <c r="O1849">
        <f t="shared" si="228"/>
        <v>9.02405745383561E-3</v>
      </c>
      <c r="P1849">
        <f t="shared" si="229"/>
        <v>1</v>
      </c>
      <c r="Q1849">
        <f t="shared" si="230"/>
        <v>1</v>
      </c>
    </row>
    <row r="1850" spans="1:17">
      <c r="A1850" s="1">
        <v>45145</v>
      </c>
      <c r="B1850">
        <v>4518.4399999999996</v>
      </c>
      <c r="C1850">
        <f t="shared" si="224"/>
        <v>9.02405745383561E-3</v>
      </c>
      <c r="D1850">
        <f t="shared" si="231"/>
        <v>1.1188928942544862E-3</v>
      </c>
      <c r="E1850">
        <f>_xlfn.XLOOKUP(A1850,VIX!A:A,VIX!B:B,"",-1)</f>
        <v>15.77</v>
      </c>
      <c r="F1850">
        <f t="shared" si="225"/>
        <v>-1.3300000000000018</v>
      </c>
      <c r="G1850">
        <f>_xlfn.XLOOKUP(A1850,'DGS10'!A:A,'DGS10'!B:B,"",-1)</f>
        <v>4.09</v>
      </c>
      <c r="H1850">
        <f t="shared" si="226"/>
        <v>4.0000000000000036E-2</v>
      </c>
      <c r="I1850" s="2">
        <f>_xlfn.XLOOKUP(A1850,T10Y3M!A:A,T10Y3M!B:B,"",-1)</f>
        <v>-1.47</v>
      </c>
      <c r="J1850" s="2">
        <f>_xlfn.XLOOKUP(A1850,BAMLC0A4CBBB!A:A,BAMLC0A4CBBB!B:B,"",-1)</f>
        <v>1.51</v>
      </c>
      <c r="K1850" s="2">
        <f>_xlfn.XLOOKUP(A1850,CPIAUCSL!A:A,CPIAUCSL!B:B,"",-1)</f>
        <v>306.08199999999999</v>
      </c>
      <c r="L1850">
        <f>_xlfn.XLOOKUP(A1850,DFF!A:A,DFF!B:B,"",-1)</f>
        <v>5.33</v>
      </c>
      <c r="M1850">
        <f>_xlfn.XLOOKUP(A1850,'DGS2'!A:A,'DGS2'!B:B,"",-1)</f>
        <v>4.76</v>
      </c>
      <c r="N1850">
        <f t="shared" si="227"/>
        <v>-2.0000000000000462E-2</v>
      </c>
      <c r="O1850">
        <f t="shared" si="228"/>
        <v>-4.2182700223970526E-3</v>
      </c>
      <c r="P1850">
        <f t="shared" si="229"/>
        <v>0</v>
      </c>
      <c r="Q1850">
        <f t="shared" si="230"/>
        <v>-1</v>
      </c>
    </row>
    <row r="1851" spans="1:17">
      <c r="A1851" s="1">
        <v>45146</v>
      </c>
      <c r="B1851">
        <v>4499.38</v>
      </c>
      <c r="C1851">
        <f t="shared" si="224"/>
        <v>-4.2182700223970526E-3</v>
      </c>
      <c r="D1851">
        <f t="shared" si="231"/>
        <v>-5.5754360946180803E-4</v>
      </c>
      <c r="E1851">
        <f>_xlfn.XLOOKUP(A1851,VIX!A:A,VIX!B:B,"",-1)</f>
        <v>15.99</v>
      </c>
      <c r="F1851">
        <f t="shared" si="225"/>
        <v>0.22000000000000064</v>
      </c>
      <c r="G1851">
        <f>_xlfn.XLOOKUP(A1851,'DGS10'!A:A,'DGS10'!B:B,"",-1)</f>
        <v>4.0199999999999996</v>
      </c>
      <c r="H1851">
        <f t="shared" si="226"/>
        <v>-7.0000000000000284E-2</v>
      </c>
      <c r="I1851" s="2">
        <f>_xlfn.XLOOKUP(A1851,T10Y3M!A:A,T10Y3M!B:B,"",-1)</f>
        <v>-1.55</v>
      </c>
      <c r="J1851" s="2">
        <f>_xlfn.XLOOKUP(A1851,BAMLC0A4CBBB!A:A,BAMLC0A4CBBB!B:B,"",-1)</f>
        <v>1.52</v>
      </c>
      <c r="K1851" s="2">
        <f>_xlfn.XLOOKUP(A1851,CPIAUCSL!A:A,CPIAUCSL!B:B,"",-1)</f>
        <v>306.08199999999999</v>
      </c>
      <c r="L1851">
        <f>_xlfn.XLOOKUP(A1851,DFF!A:A,DFF!B:B,"",-1)</f>
        <v>5.33</v>
      </c>
      <c r="M1851">
        <f>_xlfn.XLOOKUP(A1851,'DGS2'!A:A,'DGS2'!B:B,"",-1)</f>
        <v>4.74</v>
      </c>
      <c r="N1851">
        <f t="shared" si="227"/>
        <v>-1.9999999999999574E-2</v>
      </c>
      <c r="O1851">
        <f t="shared" si="228"/>
        <v>-7.0387475607750494E-3</v>
      </c>
      <c r="P1851">
        <f t="shared" si="229"/>
        <v>0</v>
      </c>
      <c r="Q1851">
        <f t="shared" si="230"/>
        <v>-1</v>
      </c>
    </row>
    <row r="1852" spans="1:17">
      <c r="A1852" s="1">
        <v>45147</v>
      </c>
      <c r="B1852">
        <v>4467.71</v>
      </c>
      <c r="C1852">
        <f t="shared" si="224"/>
        <v>-7.0387475607750494E-3</v>
      </c>
      <c r="D1852">
        <f t="shared" si="231"/>
        <v>-2.3045848285964121E-3</v>
      </c>
      <c r="E1852">
        <f>_xlfn.XLOOKUP(A1852,VIX!A:A,VIX!B:B,"",-1)</f>
        <v>15.96</v>
      </c>
      <c r="F1852">
        <f t="shared" si="225"/>
        <v>-2.9999999999999361E-2</v>
      </c>
      <c r="G1852">
        <f>_xlfn.XLOOKUP(A1852,'DGS10'!A:A,'DGS10'!B:B,"",-1)</f>
        <v>4</v>
      </c>
      <c r="H1852">
        <f t="shared" si="226"/>
        <v>-1.9999999999999574E-2</v>
      </c>
      <c r="I1852" s="2">
        <f>_xlfn.XLOOKUP(A1852,T10Y3M!A:A,T10Y3M!B:B,"",-1)</f>
        <v>-1.55</v>
      </c>
      <c r="J1852" s="2">
        <f>_xlfn.XLOOKUP(A1852,BAMLC0A4CBBB!A:A,BAMLC0A4CBBB!B:B,"",-1)</f>
        <v>1.52</v>
      </c>
      <c r="K1852" s="2">
        <f>_xlfn.XLOOKUP(A1852,CPIAUCSL!A:A,CPIAUCSL!B:B,"",-1)</f>
        <v>306.08199999999999</v>
      </c>
      <c r="L1852">
        <f>_xlfn.XLOOKUP(A1852,DFF!A:A,DFF!B:B,"",-1)</f>
        <v>5.33</v>
      </c>
      <c r="M1852">
        <f>_xlfn.XLOOKUP(A1852,'DGS2'!A:A,'DGS2'!B:B,"",-1)</f>
        <v>4.79</v>
      </c>
      <c r="N1852">
        <f t="shared" si="227"/>
        <v>4.9999999999999822E-2</v>
      </c>
      <c r="O1852">
        <f t="shared" si="228"/>
        <v>2.5068771249703303E-4</v>
      </c>
      <c r="P1852">
        <f t="shared" si="229"/>
        <v>1</v>
      </c>
      <c r="Q1852">
        <f t="shared" si="230"/>
        <v>0</v>
      </c>
    </row>
    <row r="1853" spans="1:17">
      <c r="A1853" s="1">
        <v>45148</v>
      </c>
      <c r="B1853">
        <v>4468.83</v>
      </c>
      <c r="C1853">
        <f t="shared" si="224"/>
        <v>2.5068771249703303E-4</v>
      </c>
      <c r="D1853">
        <f t="shared" si="231"/>
        <v>-1.0979453085578128E-2</v>
      </c>
      <c r="E1853">
        <f>_xlfn.XLOOKUP(A1853,VIX!A:A,VIX!B:B,"",-1)</f>
        <v>15.85</v>
      </c>
      <c r="F1853">
        <f t="shared" si="225"/>
        <v>-0.11000000000000121</v>
      </c>
      <c r="G1853">
        <f>_xlfn.XLOOKUP(A1853,'DGS10'!A:A,'DGS10'!B:B,"",-1)</f>
        <v>4.09</v>
      </c>
      <c r="H1853">
        <f t="shared" si="226"/>
        <v>8.9999999999999858E-2</v>
      </c>
      <c r="I1853" s="2">
        <f>_xlfn.XLOOKUP(A1853,T10Y3M!A:A,T10Y3M!B:B,"",-1)</f>
        <v>-1.45</v>
      </c>
      <c r="J1853" s="2">
        <f>_xlfn.XLOOKUP(A1853,BAMLC0A4CBBB!A:A,BAMLC0A4CBBB!B:B,"",-1)</f>
        <v>1.51</v>
      </c>
      <c r="K1853" s="2">
        <f>_xlfn.XLOOKUP(A1853,CPIAUCSL!A:A,CPIAUCSL!B:B,"",-1)</f>
        <v>306.08199999999999</v>
      </c>
      <c r="L1853">
        <f>_xlfn.XLOOKUP(A1853,DFF!A:A,DFF!B:B,"",-1)</f>
        <v>5.33</v>
      </c>
      <c r="M1853">
        <f>_xlfn.XLOOKUP(A1853,'DGS2'!A:A,'DGS2'!B:B,"",-1)</f>
        <v>4.82</v>
      </c>
      <c r="N1853">
        <f t="shared" si="227"/>
        <v>3.0000000000000249E-2</v>
      </c>
      <c r="O1853">
        <f t="shared" si="228"/>
        <v>-1.0696312010077813E-3</v>
      </c>
      <c r="P1853">
        <f t="shared" si="229"/>
        <v>0</v>
      </c>
      <c r="Q1853">
        <f t="shared" si="230"/>
        <v>0</v>
      </c>
    </row>
    <row r="1854" spans="1:17">
      <c r="A1854" s="1">
        <v>45149</v>
      </c>
      <c r="B1854">
        <v>4464.05</v>
      </c>
      <c r="C1854">
        <f t="shared" si="224"/>
        <v>-1.0696312010077813E-3</v>
      </c>
      <c r="D1854">
        <f t="shared" si="231"/>
        <v>-7.8521929688090131E-3</v>
      </c>
      <c r="E1854">
        <f>_xlfn.XLOOKUP(A1854,VIX!A:A,VIX!B:B,"",-1)</f>
        <v>14.84</v>
      </c>
      <c r="F1854">
        <f t="shared" si="225"/>
        <v>-1.0099999999999998</v>
      </c>
      <c r="G1854">
        <f>_xlfn.XLOOKUP(A1854,'DGS10'!A:A,'DGS10'!B:B,"",-1)</f>
        <v>4.16</v>
      </c>
      <c r="H1854">
        <f t="shared" si="226"/>
        <v>7.0000000000000284E-2</v>
      </c>
      <c r="I1854" s="2">
        <f>_xlfn.XLOOKUP(A1854,T10Y3M!A:A,T10Y3M!B:B,"",-1)</f>
        <v>-1.38</v>
      </c>
      <c r="J1854" s="2">
        <f>_xlfn.XLOOKUP(A1854,BAMLC0A4CBBB!A:A,BAMLC0A4CBBB!B:B,"",-1)</f>
        <v>1.51</v>
      </c>
      <c r="K1854" s="2">
        <f>_xlfn.XLOOKUP(A1854,CPIAUCSL!A:A,CPIAUCSL!B:B,"",-1)</f>
        <v>306.08199999999999</v>
      </c>
      <c r="L1854">
        <f>_xlfn.XLOOKUP(A1854,DFF!A:A,DFF!B:B,"",-1)</f>
        <v>5.33</v>
      </c>
      <c r="M1854">
        <f>_xlfn.XLOOKUP(A1854,'DGS2'!A:A,'DGS2'!B:B,"",-1)</f>
        <v>4.8899999999999997</v>
      </c>
      <c r="N1854">
        <f t="shared" si="227"/>
        <v>6.9999999999999396E-2</v>
      </c>
      <c r="O1854">
        <f t="shared" si="228"/>
        <v>5.7503836202552616E-3</v>
      </c>
      <c r="P1854">
        <f t="shared" si="229"/>
        <v>1</v>
      </c>
      <c r="Q1854">
        <f t="shared" si="230"/>
        <v>1</v>
      </c>
    </row>
    <row r="1855" spans="1:17">
      <c r="A1855" s="1">
        <v>45152</v>
      </c>
      <c r="B1855">
        <v>4489.72</v>
      </c>
      <c r="C1855">
        <f t="shared" si="224"/>
        <v>5.7503836202552616E-3</v>
      </c>
      <c r="D1855">
        <f t="shared" si="231"/>
        <v>4.9264612071957536E-3</v>
      </c>
      <c r="E1855">
        <f>_xlfn.XLOOKUP(A1855,VIX!A:A,VIX!B:B,"",-1)</f>
        <v>14.82</v>
      </c>
      <c r="F1855">
        <f t="shared" si="225"/>
        <v>-1.9999999999999574E-2</v>
      </c>
      <c r="G1855">
        <f>_xlfn.XLOOKUP(A1855,'DGS10'!A:A,'DGS10'!B:B,"",-1)</f>
        <v>4.1900000000000004</v>
      </c>
      <c r="H1855">
        <f t="shared" si="226"/>
        <v>3.0000000000000249E-2</v>
      </c>
      <c r="I1855" s="2">
        <f>_xlfn.XLOOKUP(A1855,T10Y3M!A:A,T10Y3M!B:B,"",-1)</f>
        <v>-1.37</v>
      </c>
      <c r="J1855" s="2">
        <f>_xlfn.XLOOKUP(A1855,BAMLC0A4CBBB!A:A,BAMLC0A4CBBB!B:B,"",-1)</f>
        <v>1.51</v>
      </c>
      <c r="K1855" s="2">
        <f>_xlfn.XLOOKUP(A1855,CPIAUCSL!A:A,CPIAUCSL!B:B,"",-1)</f>
        <v>306.08199999999999</v>
      </c>
      <c r="L1855">
        <f>_xlfn.XLOOKUP(A1855,DFF!A:A,DFF!B:B,"",-1)</f>
        <v>5.33</v>
      </c>
      <c r="M1855">
        <f>_xlfn.XLOOKUP(A1855,'DGS2'!A:A,'DGS2'!B:B,"",-1)</f>
        <v>4.96</v>
      </c>
      <c r="N1855">
        <f t="shared" si="227"/>
        <v>7.0000000000000284E-2</v>
      </c>
      <c r="O1855">
        <f t="shared" si="228"/>
        <v>-1.1550831677699436E-2</v>
      </c>
      <c r="P1855">
        <f t="shared" si="229"/>
        <v>0</v>
      </c>
      <c r="Q1855">
        <f t="shared" si="230"/>
        <v>-1</v>
      </c>
    </row>
    <row r="1856" spans="1:17">
      <c r="A1856" s="1">
        <v>45153</v>
      </c>
      <c r="B1856">
        <v>4437.8599999999997</v>
      </c>
      <c r="C1856">
        <f t="shared" si="224"/>
        <v>-1.1550831677699436E-2</v>
      </c>
      <c r="D1856">
        <f t="shared" si="231"/>
        <v>-6.9302255847728533E-3</v>
      </c>
      <c r="E1856">
        <f>_xlfn.XLOOKUP(A1856,VIX!A:A,VIX!B:B,"",-1)</f>
        <v>16.46</v>
      </c>
      <c r="F1856">
        <f t="shared" si="225"/>
        <v>1.6400000000000006</v>
      </c>
      <c r="G1856">
        <f>_xlfn.XLOOKUP(A1856,'DGS10'!A:A,'DGS10'!B:B,"",-1)</f>
        <v>4.21</v>
      </c>
      <c r="H1856">
        <f t="shared" si="226"/>
        <v>1.9999999999999574E-2</v>
      </c>
      <c r="I1856" s="2">
        <f>_xlfn.XLOOKUP(A1856,T10Y3M!A:A,T10Y3M!B:B,"",-1)</f>
        <v>-1.35</v>
      </c>
      <c r="J1856" s="2">
        <f>_xlfn.XLOOKUP(A1856,BAMLC0A4CBBB!A:A,BAMLC0A4CBBB!B:B,"",-1)</f>
        <v>1.52</v>
      </c>
      <c r="K1856" s="2">
        <f>_xlfn.XLOOKUP(A1856,CPIAUCSL!A:A,CPIAUCSL!B:B,"",-1)</f>
        <v>306.08199999999999</v>
      </c>
      <c r="L1856">
        <f>_xlfn.XLOOKUP(A1856,DFF!A:A,DFF!B:B,"",-1)</f>
        <v>5.33</v>
      </c>
      <c r="M1856">
        <f>_xlfn.XLOOKUP(A1856,'DGS2'!A:A,'DGS2'!B:B,"",-1)</f>
        <v>4.92</v>
      </c>
      <c r="N1856">
        <f t="shared" si="227"/>
        <v>-4.0000000000000036E-2</v>
      </c>
      <c r="O1856">
        <f t="shared" si="228"/>
        <v>-7.5554433893813E-3</v>
      </c>
      <c r="P1856">
        <f t="shared" si="229"/>
        <v>0</v>
      </c>
      <c r="Q1856">
        <f t="shared" si="230"/>
        <v>-1</v>
      </c>
    </row>
    <row r="1857" spans="1:17">
      <c r="A1857" s="1">
        <v>45154</v>
      </c>
      <c r="B1857">
        <v>4404.33</v>
      </c>
      <c r="C1857">
        <f t="shared" si="224"/>
        <v>-7.5554433893813E-3</v>
      </c>
      <c r="D1857">
        <f t="shared" si="231"/>
        <v>-1.3377986357679728E-2</v>
      </c>
      <c r="E1857">
        <f>_xlfn.XLOOKUP(A1857,VIX!A:A,VIX!B:B,"",-1)</f>
        <v>16.78</v>
      </c>
      <c r="F1857">
        <f t="shared" si="225"/>
        <v>0.32000000000000028</v>
      </c>
      <c r="G1857">
        <f>_xlfn.XLOOKUP(A1857,'DGS10'!A:A,'DGS10'!B:B,"",-1)</f>
        <v>4.28</v>
      </c>
      <c r="H1857">
        <f t="shared" si="226"/>
        <v>7.0000000000000284E-2</v>
      </c>
      <c r="I1857" s="2">
        <f>_xlfn.XLOOKUP(A1857,T10Y3M!A:A,T10Y3M!B:B,"",-1)</f>
        <v>-1.28</v>
      </c>
      <c r="J1857" s="2">
        <f>_xlfn.XLOOKUP(A1857,BAMLC0A4CBBB!A:A,BAMLC0A4CBBB!B:B,"",-1)</f>
        <v>1.53</v>
      </c>
      <c r="K1857" s="2">
        <f>_xlfn.XLOOKUP(A1857,CPIAUCSL!A:A,CPIAUCSL!B:B,"",-1)</f>
        <v>306.08199999999999</v>
      </c>
      <c r="L1857">
        <f>_xlfn.XLOOKUP(A1857,DFF!A:A,DFF!B:B,"",-1)</f>
        <v>5.33</v>
      </c>
      <c r="M1857">
        <f>_xlfn.XLOOKUP(A1857,'DGS2'!A:A,'DGS2'!B:B,"",-1)</f>
        <v>4.97</v>
      </c>
      <c r="N1857">
        <f t="shared" si="227"/>
        <v>4.9999999999999822E-2</v>
      </c>
      <c r="O1857">
        <f t="shared" si="228"/>
        <v>-7.7128643857296009E-3</v>
      </c>
      <c r="P1857">
        <f t="shared" si="229"/>
        <v>0</v>
      </c>
      <c r="Q1857">
        <f t="shared" si="230"/>
        <v>-1</v>
      </c>
    </row>
    <row r="1858" spans="1:17">
      <c r="A1858" s="1">
        <v>45155</v>
      </c>
      <c r="B1858">
        <v>4370.3599999999997</v>
      </c>
      <c r="C1858">
        <f t="shared" si="224"/>
        <v>-7.7128643857296009E-3</v>
      </c>
      <c r="D1858">
        <f t="shared" si="231"/>
        <v>-2.6585176803898825E-2</v>
      </c>
      <c r="E1858">
        <f>_xlfn.XLOOKUP(A1858,VIX!A:A,VIX!B:B,"",-1)</f>
        <v>17.89</v>
      </c>
      <c r="F1858">
        <f t="shared" si="225"/>
        <v>1.1099999999999994</v>
      </c>
      <c r="G1858">
        <f>_xlfn.XLOOKUP(A1858,'DGS10'!A:A,'DGS10'!B:B,"",-1)</f>
        <v>4.3</v>
      </c>
      <c r="H1858">
        <f t="shared" si="226"/>
        <v>1.9999999999999574E-2</v>
      </c>
      <c r="I1858" s="2">
        <f>_xlfn.XLOOKUP(A1858,T10Y3M!A:A,T10Y3M!B:B,"",-1)</f>
        <v>-1.26</v>
      </c>
      <c r="J1858" s="2">
        <f>_xlfn.XLOOKUP(A1858,BAMLC0A4CBBB!A:A,BAMLC0A4CBBB!B:B,"",-1)</f>
        <v>1.55</v>
      </c>
      <c r="K1858" s="2">
        <f>_xlfn.XLOOKUP(A1858,CPIAUCSL!A:A,CPIAUCSL!B:B,"",-1)</f>
        <v>306.08199999999999</v>
      </c>
      <c r="L1858">
        <f>_xlfn.XLOOKUP(A1858,DFF!A:A,DFF!B:B,"",-1)</f>
        <v>5.33</v>
      </c>
      <c r="M1858">
        <f>_xlfn.XLOOKUP(A1858,'DGS2'!A:A,'DGS2'!B:B,"",-1)</f>
        <v>4.9400000000000004</v>
      </c>
      <c r="N1858">
        <f t="shared" si="227"/>
        <v>-2.9999999999999361E-2</v>
      </c>
      <c r="O1858">
        <f t="shared" si="228"/>
        <v>-1.4872916647590273E-4</v>
      </c>
      <c r="P1858">
        <f t="shared" si="229"/>
        <v>0</v>
      </c>
      <c r="Q1858">
        <f t="shared" si="230"/>
        <v>0</v>
      </c>
    </row>
    <row r="1859" spans="1:17">
      <c r="A1859" s="1">
        <v>45156</v>
      </c>
      <c r="B1859">
        <v>4369.71</v>
      </c>
      <c r="C1859">
        <f t="shared" si="224"/>
        <v>-1.4872916647590273E-4</v>
      </c>
      <c r="D1859">
        <f t="shared" si="231"/>
        <v>-1.5356500655721361E-2</v>
      </c>
      <c r="E1859">
        <f>_xlfn.XLOOKUP(A1859,VIX!A:A,VIX!B:B,"",-1)</f>
        <v>17.3</v>
      </c>
      <c r="F1859">
        <f t="shared" si="225"/>
        <v>-0.58999999999999986</v>
      </c>
      <c r="G1859">
        <f>_xlfn.XLOOKUP(A1859,'DGS10'!A:A,'DGS10'!B:B,"",-1)</f>
        <v>4.26</v>
      </c>
      <c r="H1859">
        <f t="shared" si="226"/>
        <v>-4.0000000000000036E-2</v>
      </c>
      <c r="I1859" s="2">
        <f>_xlfn.XLOOKUP(A1859,T10Y3M!A:A,T10Y3M!B:B,"",-1)</f>
        <v>-1.29</v>
      </c>
      <c r="J1859" s="2">
        <f>_xlfn.XLOOKUP(A1859,BAMLC0A4CBBB!A:A,BAMLC0A4CBBB!B:B,"",-1)</f>
        <v>1.56</v>
      </c>
      <c r="K1859" s="2">
        <f>_xlfn.XLOOKUP(A1859,CPIAUCSL!A:A,CPIAUCSL!B:B,"",-1)</f>
        <v>306.08199999999999</v>
      </c>
      <c r="L1859">
        <f>_xlfn.XLOOKUP(A1859,DFF!A:A,DFF!B:B,"",-1)</f>
        <v>5.33</v>
      </c>
      <c r="M1859">
        <f>_xlfn.XLOOKUP(A1859,'DGS2'!A:A,'DGS2'!B:B,"",-1)</f>
        <v>4.92</v>
      </c>
      <c r="N1859">
        <f t="shared" si="227"/>
        <v>-2.0000000000000462E-2</v>
      </c>
      <c r="O1859">
        <f t="shared" si="228"/>
        <v>6.8791750482297687E-3</v>
      </c>
      <c r="P1859">
        <f t="shared" si="229"/>
        <v>1</v>
      </c>
      <c r="Q1859">
        <f t="shared" si="230"/>
        <v>1</v>
      </c>
    </row>
    <row r="1860" spans="1:17">
      <c r="A1860" s="1">
        <v>45159</v>
      </c>
      <c r="B1860">
        <v>4399.7700000000004</v>
      </c>
      <c r="C1860">
        <f t="shared" ref="C1860:C1923" si="232">IF(OR(B1860="",B1859=""),"",(B1860/B1859)-1)</f>
        <v>6.8791750482297687E-3</v>
      </c>
      <c r="D1860">
        <f t="shared" si="231"/>
        <v>-1.0353447629944945E-3</v>
      </c>
      <c r="E1860">
        <f>_xlfn.XLOOKUP(A1860,VIX!A:A,VIX!B:B,"",-1)</f>
        <v>17.13</v>
      </c>
      <c r="F1860">
        <f t="shared" ref="F1860:F1923" si="233">IF(OR(E1860="",E1859=""),"",E1860-E1859)</f>
        <v>-0.17000000000000171</v>
      </c>
      <c r="G1860">
        <f>_xlfn.XLOOKUP(A1860,'DGS10'!A:A,'DGS10'!B:B,"",-1)</f>
        <v>4.34</v>
      </c>
      <c r="H1860">
        <f t="shared" ref="H1860:H1923" si="234">IF(OR(G1860="",G1859=""),"",G1860-G1859)</f>
        <v>8.0000000000000071E-2</v>
      </c>
      <c r="I1860" s="2">
        <f>_xlfn.XLOOKUP(A1860,T10Y3M!A:A,T10Y3M!B:B,"",-1)</f>
        <v>-1.23</v>
      </c>
      <c r="J1860" s="2">
        <f>_xlfn.XLOOKUP(A1860,BAMLC0A4CBBB!A:A,BAMLC0A4CBBB!B:B,"",-1)</f>
        <v>1.55</v>
      </c>
      <c r="K1860" s="2">
        <f>_xlfn.XLOOKUP(A1860,CPIAUCSL!A:A,CPIAUCSL!B:B,"",-1)</f>
        <v>306.08199999999999</v>
      </c>
      <c r="L1860">
        <f>_xlfn.XLOOKUP(A1860,DFF!A:A,DFF!B:B,"",-1)</f>
        <v>5.33</v>
      </c>
      <c r="M1860">
        <f>_xlfn.XLOOKUP(A1860,'DGS2'!A:A,'DGS2'!B:B,"",-1)</f>
        <v>4.97</v>
      </c>
      <c r="N1860">
        <f t="shared" ref="N1860:N1923" si="235">IF(OR(M1860="",M1859=""),"",M1860-M1859)</f>
        <v>4.9999999999999822E-2</v>
      </c>
      <c r="O1860">
        <f t="shared" ref="O1860:O1923" si="236">IF(OR(B1861="",B1860=""),"",(B1861/B1860)-1)</f>
        <v>-2.7774179104816943E-3</v>
      </c>
      <c r="P1860">
        <f t="shared" ref="P1860:P1923" si="237">IF(O1860="","",IF(O1860&gt;0,1,0))</f>
        <v>0</v>
      </c>
      <c r="Q1860">
        <f t="shared" ref="Q1860:Q1923" si="238">IF(O1860="","",IF(O1860&gt;0.003,1,IF(O1860&lt;-0.003,-1,0)))</f>
        <v>0</v>
      </c>
    </row>
    <row r="1861" spans="1:17">
      <c r="A1861" s="1">
        <v>45160</v>
      </c>
      <c r="B1861">
        <v>4387.55</v>
      </c>
      <c r="C1861">
        <f t="shared" si="232"/>
        <v>-2.7774179104816943E-3</v>
      </c>
      <c r="D1861">
        <f t="shared" si="231"/>
        <v>3.9333144180342394E-3</v>
      </c>
      <c r="E1861">
        <f>_xlfn.XLOOKUP(A1861,VIX!A:A,VIX!B:B,"",-1)</f>
        <v>16.97</v>
      </c>
      <c r="F1861">
        <f t="shared" si="233"/>
        <v>-0.16000000000000014</v>
      </c>
      <c r="G1861">
        <f>_xlfn.XLOOKUP(A1861,'DGS10'!A:A,'DGS10'!B:B,"",-1)</f>
        <v>4.34</v>
      </c>
      <c r="H1861">
        <f t="shared" si="234"/>
        <v>0</v>
      </c>
      <c r="I1861" s="2">
        <f>_xlfn.XLOOKUP(A1861,T10Y3M!A:A,T10Y3M!B:B,"",-1)</f>
        <v>-1.23</v>
      </c>
      <c r="J1861" s="2">
        <f>_xlfn.XLOOKUP(A1861,BAMLC0A4CBBB!A:A,BAMLC0A4CBBB!B:B,"",-1)</f>
        <v>1.54</v>
      </c>
      <c r="K1861" s="2">
        <f>_xlfn.XLOOKUP(A1861,CPIAUCSL!A:A,CPIAUCSL!B:B,"",-1)</f>
        <v>306.08199999999999</v>
      </c>
      <c r="L1861">
        <f>_xlfn.XLOOKUP(A1861,DFF!A:A,DFF!B:B,"",-1)</f>
        <v>5.33</v>
      </c>
      <c r="M1861">
        <f>_xlfn.XLOOKUP(A1861,'DGS2'!A:A,'DGS2'!B:B,"",-1)</f>
        <v>5.0199999999999996</v>
      </c>
      <c r="N1861">
        <f t="shared" si="235"/>
        <v>4.9999999999999822E-2</v>
      </c>
      <c r="O1861">
        <f t="shared" si="236"/>
        <v>1.1044888377340412E-2</v>
      </c>
      <c r="P1861">
        <f t="shared" si="237"/>
        <v>1</v>
      </c>
      <c r="Q1861">
        <f t="shared" si="238"/>
        <v>1</v>
      </c>
    </row>
    <row r="1862" spans="1:17">
      <c r="A1862" s="1">
        <v>45161</v>
      </c>
      <c r="B1862">
        <v>4436.01</v>
      </c>
      <c r="C1862">
        <f t="shared" si="232"/>
        <v>1.1044888377340412E-2</v>
      </c>
      <c r="D1862">
        <f t="shared" ref="D1862:D1925" si="239">IF(OR(B1862="",B1859=""),"",(B1862/B1859)-1)</f>
        <v>1.5172631593400876E-2</v>
      </c>
      <c r="E1862">
        <f>_xlfn.XLOOKUP(A1862,VIX!A:A,VIX!B:B,"",-1)</f>
        <v>15.98</v>
      </c>
      <c r="F1862">
        <f t="shared" si="233"/>
        <v>-0.98999999999999844</v>
      </c>
      <c r="G1862">
        <f>_xlfn.XLOOKUP(A1862,'DGS10'!A:A,'DGS10'!B:B,"",-1)</f>
        <v>4.1900000000000004</v>
      </c>
      <c r="H1862">
        <f t="shared" si="234"/>
        <v>-0.14999999999999947</v>
      </c>
      <c r="I1862" s="2">
        <f>_xlfn.XLOOKUP(A1862,T10Y3M!A:A,T10Y3M!B:B,"",-1)</f>
        <v>-1.38</v>
      </c>
      <c r="J1862" s="2">
        <f>_xlfn.XLOOKUP(A1862,BAMLC0A4CBBB!A:A,BAMLC0A4CBBB!B:B,"",-1)</f>
        <v>1.54</v>
      </c>
      <c r="K1862" s="2">
        <f>_xlfn.XLOOKUP(A1862,CPIAUCSL!A:A,CPIAUCSL!B:B,"",-1)</f>
        <v>306.08199999999999</v>
      </c>
      <c r="L1862">
        <f>_xlfn.XLOOKUP(A1862,DFF!A:A,DFF!B:B,"",-1)</f>
        <v>5.33</v>
      </c>
      <c r="M1862">
        <f>_xlfn.XLOOKUP(A1862,'DGS2'!A:A,'DGS2'!B:B,"",-1)</f>
        <v>4.95</v>
      </c>
      <c r="N1862">
        <f t="shared" si="235"/>
        <v>-6.9999999999999396E-2</v>
      </c>
      <c r="O1862">
        <f t="shared" si="236"/>
        <v>-1.3458039995401183E-2</v>
      </c>
      <c r="P1862">
        <f t="shared" si="237"/>
        <v>0</v>
      </c>
      <c r="Q1862">
        <f t="shared" si="238"/>
        <v>-1</v>
      </c>
    </row>
    <row r="1863" spans="1:17">
      <c r="A1863" s="1">
        <v>45162</v>
      </c>
      <c r="B1863">
        <v>4376.3100000000004</v>
      </c>
      <c r="C1863">
        <f t="shared" si="232"/>
        <v>-1.3458039995401183E-2</v>
      </c>
      <c r="D1863">
        <f t="shared" si="239"/>
        <v>-5.3320969050655309E-3</v>
      </c>
      <c r="E1863">
        <f>_xlfn.XLOOKUP(A1863,VIX!A:A,VIX!B:B,"",-1)</f>
        <v>17.2</v>
      </c>
      <c r="F1863">
        <f t="shared" si="233"/>
        <v>1.2199999999999989</v>
      </c>
      <c r="G1863">
        <f>_xlfn.XLOOKUP(A1863,'DGS10'!A:A,'DGS10'!B:B,"",-1)</f>
        <v>4.2300000000000004</v>
      </c>
      <c r="H1863">
        <f t="shared" si="234"/>
        <v>4.0000000000000036E-2</v>
      </c>
      <c r="I1863" s="2">
        <f>_xlfn.XLOOKUP(A1863,T10Y3M!A:A,T10Y3M!B:B,"",-1)</f>
        <v>-1.35</v>
      </c>
      <c r="J1863" s="2">
        <f>_xlfn.XLOOKUP(A1863,BAMLC0A4CBBB!A:A,BAMLC0A4CBBB!B:B,"",-1)</f>
        <v>1.52</v>
      </c>
      <c r="K1863" s="2">
        <f>_xlfn.XLOOKUP(A1863,CPIAUCSL!A:A,CPIAUCSL!B:B,"",-1)</f>
        <v>306.08199999999999</v>
      </c>
      <c r="L1863">
        <f>_xlfn.XLOOKUP(A1863,DFF!A:A,DFF!B:B,"",-1)</f>
        <v>5.33</v>
      </c>
      <c r="M1863">
        <f>_xlfn.XLOOKUP(A1863,'DGS2'!A:A,'DGS2'!B:B,"",-1)</f>
        <v>4.9800000000000004</v>
      </c>
      <c r="N1863">
        <f t="shared" si="235"/>
        <v>3.0000000000000249E-2</v>
      </c>
      <c r="O1863">
        <f t="shared" si="236"/>
        <v>6.7179884423178571E-3</v>
      </c>
      <c r="P1863">
        <f t="shared" si="237"/>
        <v>1</v>
      </c>
      <c r="Q1863">
        <f t="shared" si="238"/>
        <v>1</v>
      </c>
    </row>
    <row r="1864" spans="1:17">
      <c r="A1864" s="1">
        <v>45163</v>
      </c>
      <c r="B1864">
        <v>4405.71</v>
      </c>
      <c r="C1864">
        <f t="shared" si="232"/>
        <v>6.7179884423178571E-3</v>
      </c>
      <c r="D1864">
        <f t="shared" si="239"/>
        <v>4.1389841711205744E-3</v>
      </c>
      <c r="E1864">
        <f>_xlfn.XLOOKUP(A1864,VIX!A:A,VIX!B:B,"",-1)</f>
        <v>15.68</v>
      </c>
      <c r="F1864">
        <f t="shared" si="233"/>
        <v>-1.5199999999999996</v>
      </c>
      <c r="G1864">
        <f>_xlfn.XLOOKUP(A1864,'DGS10'!A:A,'DGS10'!B:B,"",-1)</f>
        <v>4.25</v>
      </c>
      <c r="H1864">
        <f t="shared" si="234"/>
        <v>1.9999999999999574E-2</v>
      </c>
      <c r="I1864" s="2">
        <f>_xlfn.XLOOKUP(A1864,T10Y3M!A:A,T10Y3M!B:B,"",-1)</f>
        <v>-1.36</v>
      </c>
      <c r="J1864" s="2">
        <f>_xlfn.XLOOKUP(A1864,BAMLC0A4CBBB!A:A,BAMLC0A4CBBB!B:B,"",-1)</f>
        <v>1.51</v>
      </c>
      <c r="K1864" s="2">
        <f>_xlfn.XLOOKUP(A1864,CPIAUCSL!A:A,CPIAUCSL!B:B,"",-1)</f>
        <v>306.08199999999999</v>
      </c>
      <c r="L1864">
        <f>_xlfn.XLOOKUP(A1864,DFF!A:A,DFF!B:B,"",-1)</f>
        <v>5.33</v>
      </c>
      <c r="M1864">
        <f>_xlfn.XLOOKUP(A1864,'DGS2'!A:A,'DGS2'!B:B,"",-1)</f>
        <v>5.03</v>
      </c>
      <c r="N1864">
        <f t="shared" si="235"/>
        <v>4.9999999999999822E-2</v>
      </c>
      <c r="O1864">
        <f t="shared" si="236"/>
        <v>6.2645975336552695E-3</v>
      </c>
      <c r="P1864">
        <f t="shared" si="237"/>
        <v>1</v>
      </c>
      <c r="Q1864">
        <f t="shared" si="238"/>
        <v>1</v>
      </c>
    </row>
    <row r="1865" spans="1:17">
      <c r="A1865" s="1">
        <v>45166</v>
      </c>
      <c r="B1865">
        <v>4433.3100000000004</v>
      </c>
      <c r="C1865">
        <f t="shared" si="232"/>
        <v>6.2645975336552695E-3</v>
      </c>
      <c r="D1865">
        <f t="shared" si="239"/>
        <v>-6.0865507516882911E-4</v>
      </c>
      <c r="E1865">
        <f>_xlfn.XLOOKUP(A1865,VIX!A:A,VIX!B:B,"",-1)</f>
        <v>15.08</v>
      </c>
      <c r="F1865">
        <f t="shared" si="233"/>
        <v>-0.59999999999999964</v>
      </c>
      <c r="G1865">
        <f>_xlfn.XLOOKUP(A1865,'DGS10'!A:A,'DGS10'!B:B,"",-1)</f>
        <v>4.2</v>
      </c>
      <c r="H1865">
        <f t="shared" si="234"/>
        <v>-4.9999999999999822E-2</v>
      </c>
      <c r="I1865" s="2">
        <f>_xlfn.XLOOKUP(A1865,T10Y3M!A:A,T10Y3M!B:B,"",-1)</f>
        <v>-1.38</v>
      </c>
      <c r="J1865" s="2">
        <f>_xlfn.XLOOKUP(A1865,BAMLC0A4CBBB!A:A,BAMLC0A4CBBB!B:B,"",-1)</f>
        <v>1.51</v>
      </c>
      <c r="K1865" s="2">
        <f>_xlfn.XLOOKUP(A1865,CPIAUCSL!A:A,CPIAUCSL!B:B,"",-1)</f>
        <v>306.08199999999999</v>
      </c>
      <c r="L1865">
        <f>_xlfn.XLOOKUP(A1865,DFF!A:A,DFF!B:B,"",-1)</f>
        <v>5.33</v>
      </c>
      <c r="M1865">
        <f>_xlfn.XLOOKUP(A1865,'DGS2'!A:A,'DGS2'!B:B,"",-1)</f>
        <v>4.9800000000000004</v>
      </c>
      <c r="N1865">
        <f t="shared" si="235"/>
        <v>-4.9999999999999822E-2</v>
      </c>
      <c r="O1865">
        <f t="shared" si="236"/>
        <v>1.4508347036412905E-2</v>
      </c>
      <c r="P1865">
        <f t="shared" si="237"/>
        <v>1</v>
      </c>
      <c r="Q1865">
        <f t="shared" si="238"/>
        <v>1</v>
      </c>
    </row>
    <row r="1866" spans="1:17">
      <c r="A1866" s="1">
        <v>45167</v>
      </c>
      <c r="B1866">
        <v>4497.63</v>
      </c>
      <c r="C1866">
        <f t="shared" si="232"/>
        <v>1.4508347036412905E-2</v>
      </c>
      <c r="D1866">
        <f t="shared" si="239"/>
        <v>2.7721984959931945E-2</v>
      </c>
      <c r="E1866">
        <f>_xlfn.XLOOKUP(A1866,VIX!A:A,VIX!B:B,"",-1)</f>
        <v>14.45</v>
      </c>
      <c r="F1866">
        <f t="shared" si="233"/>
        <v>-0.63000000000000078</v>
      </c>
      <c r="G1866">
        <f>_xlfn.XLOOKUP(A1866,'DGS10'!A:A,'DGS10'!B:B,"",-1)</f>
        <v>4.12</v>
      </c>
      <c r="H1866">
        <f t="shared" si="234"/>
        <v>-8.0000000000000071E-2</v>
      </c>
      <c r="I1866" s="2">
        <f>_xlfn.XLOOKUP(A1866,T10Y3M!A:A,T10Y3M!B:B,"",-1)</f>
        <v>-1.44</v>
      </c>
      <c r="J1866" s="2">
        <f>_xlfn.XLOOKUP(A1866,BAMLC0A4CBBB!A:A,BAMLC0A4CBBB!B:B,"",-1)</f>
        <v>1.51</v>
      </c>
      <c r="K1866" s="2">
        <f>_xlfn.XLOOKUP(A1866,CPIAUCSL!A:A,CPIAUCSL!B:B,"",-1)</f>
        <v>306.08199999999999</v>
      </c>
      <c r="L1866">
        <f>_xlfn.XLOOKUP(A1866,DFF!A:A,DFF!B:B,"",-1)</f>
        <v>5.33</v>
      </c>
      <c r="M1866">
        <f>_xlfn.XLOOKUP(A1866,'DGS2'!A:A,'DGS2'!B:B,"",-1)</f>
        <v>4.87</v>
      </c>
      <c r="N1866">
        <f t="shared" si="235"/>
        <v>-0.11000000000000032</v>
      </c>
      <c r="O1866">
        <f t="shared" si="236"/>
        <v>3.8331298928546698E-3</v>
      </c>
      <c r="P1866">
        <f t="shared" si="237"/>
        <v>1</v>
      </c>
      <c r="Q1866">
        <f t="shared" si="238"/>
        <v>1</v>
      </c>
    </row>
    <row r="1867" spans="1:17">
      <c r="A1867" s="1">
        <v>45168</v>
      </c>
      <c r="B1867">
        <v>4514.87</v>
      </c>
      <c r="C1867">
        <f t="shared" si="232"/>
        <v>3.8331298928546698E-3</v>
      </c>
      <c r="D1867">
        <f t="shared" si="239"/>
        <v>2.477693720194929E-2</v>
      </c>
      <c r="E1867">
        <f>_xlfn.XLOOKUP(A1867,VIX!A:A,VIX!B:B,"",-1)</f>
        <v>13.88</v>
      </c>
      <c r="F1867">
        <f t="shared" si="233"/>
        <v>-0.56999999999999851</v>
      </c>
      <c r="G1867">
        <f>_xlfn.XLOOKUP(A1867,'DGS10'!A:A,'DGS10'!B:B,"",-1)</f>
        <v>4.12</v>
      </c>
      <c r="H1867">
        <f t="shared" si="234"/>
        <v>0</v>
      </c>
      <c r="I1867" s="2">
        <f>_xlfn.XLOOKUP(A1867,T10Y3M!A:A,T10Y3M!B:B,"",-1)</f>
        <v>-1.44</v>
      </c>
      <c r="J1867" s="2">
        <f>_xlfn.XLOOKUP(A1867,BAMLC0A4CBBB!A:A,BAMLC0A4CBBB!B:B,"",-1)</f>
        <v>1.51</v>
      </c>
      <c r="K1867" s="2">
        <f>_xlfn.XLOOKUP(A1867,CPIAUCSL!A:A,CPIAUCSL!B:B,"",-1)</f>
        <v>306.08199999999999</v>
      </c>
      <c r="L1867">
        <f>_xlfn.XLOOKUP(A1867,DFF!A:A,DFF!B:B,"",-1)</f>
        <v>5.33</v>
      </c>
      <c r="M1867">
        <f>_xlfn.XLOOKUP(A1867,'DGS2'!A:A,'DGS2'!B:B,"",-1)</f>
        <v>4.9000000000000004</v>
      </c>
      <c r="N1867">
        <f t="shared" si="235"/>
        <v>3.0000000000000249E-2</v>
      </c>
      <c r="O1867">
        <f t="shared" si="236"/>
        <v>-1.5969452055097921E-3</v>
      </c>
      <c r="P1867">
        <f t="shared" si="237"/>
        <v>0</v>
      </c>
      <c r="Q1867">
        <f t="shared" si="238"/>
        <v>0</v>
      </c>
    </row>
    <row r="1868" spans="1:17">
      <c r="A1868" s="1">
        <v>45169</v>
      </c>
      <c r="B1868">
        <v>4507.66</v>
      </c>
      <c r="C1868">
        <f t="shared" si="232"/>
        <v>-1.5969452055097921E-3</v>
      </c>
      <c r="D1868">
        <f t="shared" si="239"/>
        <v>1.6770764958913276E-2</v>
      </c>
      <c r="E1868">
        <f>_xlfn.XLOOKUP(A1868,VIX!A:A,VIX!B:B,"",-1)</f>
        <v>13.57</v>
      </c>
      <c r="F1868">
        <f t="shared" si="233"/>
        <v>-0.3100000000000005</v>
      </c>
      <c r="G1868">
        <f>_xlfn.XLOOKUP(A1868,'DGS10'!A:A,'DGS10'!B:B,"",-1)</f>
        <v>4.09</v>
      </c>
      <c r="H1868">
        <f t="shared" si="234"/>
        <v>-3.0000000000000249E-2</v>
      </c>
      <c r="I1868" s="2">
        <f>_xlfn.XLOOKUP(A1868,T10Y3M!A:A,T10Y3M!B:B,"",-1)</f>
        <v>-1.47</v>
      </c>
      <c r="J1868" s="2">
        <f>_xlfn.XLOOKUP(A1868,BAMLC0A4CBBB!A:A,BAMLC0A4CBBB!B:B,"",-1)</f>
        <v>1.51</v>
      </c>
      <c r="K1868" s="2">
        <f>_xlfn.XLOOKUP(A1868,CPIAUCSL!A:A,CPIAUCSL!B:B,"",-1)</f>
        <v>306.08199999999999</v>
      </c>
      <c r="L1868">
        <f>_xlfn.XLOOKUP(A1868,DFF!A:A,DFF!B:B,"",-1)</f>
        <v>5.33</v>
      </c>
      <c r="M1868">
        <f>_xlfn.XLOOKUP(A1868,'DGS2'!A:A,'DGS2'!B:B,"",-1)</f>
        <v>4.8499999999999996</v>
      </c>
      <c r="N1868">
        <f t="shared" si="235"/>
        <v>-5.0000000000000711E-2</v>
      </c>
      <c r="O1868">
        <f t="shared" si="236"/>
        <v>1.7991596526802933E-3</v>
      </c>
      <c r="P1868">
        <f t="shared" si="237"/>
        <v>1</v>
      </c>
      <c r="Q1868">
        <f t="shared" si="238"/>
        <v>0</v>
      </c>
    </row>
    <row r="1869" spans="1:17">
      <c r="A1869" s="1">
        <v>45170</v>
      </c>
      <c r="B1869">
        <v>4515.7700000000004</v>
      </c>
      <c r="C1869">
        <f t="shared" si="232"/>
        <v>1.7991596526802933E-3</v>
      </c>
      <c r="D1869">
        <f t="shared" si="239"/>
        <v>4.0332352816929706E-3</v>
      </c>
      <c r="E1869">
        <f>_xlfn.XLOOKUP(A1869,VIX!A:A,VIX!B:B,"",-1)</f>
        <v>13.09</v>
      </c>
      <c r="F1869">
        <f t="shared" si="233"/>
        <v>-0.48000000000000043</v>
      </c>
      <c r="G1869">
        <f>_xlfn.XLOOKUP(A1869,'DGS10'!A:A,'DGS10'!B:B,"",-1)</f>
        <v>4.18</v>
      </c>
      <c r="H1869">
        <f t="shared" si="234"/>
        <v>8.9999999999999858E-2</v>
      </c>
      <c r="I1869" s="2">
        <f>_xlfn.XLOOKUP(A1869,T10Y3M!A:A,T10Y3M!B:B,"",-1)</f>
        <v>-1.35</v>
      </c>
      <c r="J1869" s="2">
        <f>_xlfn.XLOOKUP(A1869,BAMLC0A4CBBB!A:A,BAMLC0A4CBBB!B:B,"",-1)</f>
        <v>1.51</v>
      </c>
      <c r="K1869" s="2">
        <f>_xlfn.XLOOKUP(A1869,CPIAUCSL!A:A,CPIAUCSL!B:B,"",-1)</f>
        <v>307.27600000000001</v>
      </c>
      <c r="L1869">
        <f>_xlfn.XLOOKUP(A1869,DFF!A:A,DFF!B:B,"",-1)</f>
        <v>5.33</v>
      </c>
      <c r="M1869">
        <f>_xlfn.XLOOKUP(A1869,'DGS2'!A:A,'DGS2'!B:B,"",-1)</f>
        <v>4.87</v>
      </c>
      <c r="N1869">
        <f t="shared" si="235"/>
        <v>2.0000000000000462E-2</v>
      </c>
      <c r="O1869">
        <f t="shared" si="236"/>
        <v>-4.1941905810084501E-3</v>
      </c>
      <c r="P1869">
        <f t="shared" si="237"/>
        <v>0</v>
      </c>
      <c r="Q1869">
        <f t="shared" si="238"/>
        <v>-1</v>
      </c>
    </row>
    <row r="1870" spans="1:17">
      <c r="A1870" s="1">
        <v>45174</v>
      </c>
      <c r="B1870">
        <v>4496.83</v>
      </c>
      <c r="C1870">
        <f t="shared" si="232"/>
        <v>-4.1941905810084501E-3</v>
      </c>
      <c r="D1870">
        <f t="shared" si="239"/>
        <v>-3.9956853685709781E-3</v>
      </c>
      <c r="E1870">
        <f>_xlfn.XLOOKUP(A1870,VIX!A:A,VIX!B:B,"",-1)</f>
        <v>14.01</v>
      </c>
      <c r="F1870">
        <f t="shared" si="233"/>
        <v>0.91999999999999993</v>
      </c>
      <c r="G1870">
        <f>_xlfn.XLOOKUP(A1870,'DGS10'!A:A,'DGS10'!B:B,"",-1)</f>
        <v>4.2699999999999996</v>
      </c>
      <c r="H1870">
        <f t="shared" si="234"/>
        <v>8.9999999999999858E-2</v>
      </c>
      <c r="I1870" s="2">
        <f>_xlfn.XLOOKUP(A1870,T10Y3M!A:A,T10Y3M!B:B,"",-1)</f>
        <v>-1.28</v>
      </c>
      <c r="J1870" s="2">
        <f>_xlfn.XLOOKUP(A1870,BAMLC0A4CBBB!A:A,BAMLC0A4CBBB!B:B,"",-1)</f>
        <v>1.51</v>
      </c>
      <c r="K1870" s="2">
        <f>_xlfn.XLOOKUP(A1870,CPIAUCSL!A:A,CPIAUCSL!B:B,"",-1)</f>
        <v>307.27600000000001</v>
      </c>
      <c r="L1870">
        <f>_xlfn.XLOOKUP(A1870,DFF!A:A,DFF!B:B,"",-1)</f>
        <v>5.33</v>
      </c>
      <c r="M1870">
        <f>_xlfn.XLOOKUP(A1870,'DGS2'!A:A,'DGS2'!B:B,"",-1)</f>
        <v>4.9400000000000004</v>
      </c>
      <c r="N1870">
        <f t="shared" si="235"/>
        <v>7.0000000000000284E-2</v>
      </c>
      <c r="O1870">
        <f t="shared" si="236"/>
        <v>-6.9715777558858605E-3</v>
      </c>
      <c r="P1870">
        <f t="shared" si="237"/>
        <v>0</v>
      </c>
      <c r="Q1870">
        <f t="shared" si="238"/>
        <v>-1</v>
      </c>
    </row>
    <row r="1871" spans="1:17">
      <c r="A1871" s="1">
        <v>45175</v>
      </c>
      <c r="B1871">
        <v>4465.4799999999996</v>
      </c>
      <c r="C1871">
        <f t="shared" si="232"/>
        <v>-6.9715777558858605E-3</v>
      </c>
      <c r="D1871">
        <f t="shared" si="239"/>
        <v>-9.3574049506840451E-3</v>
      </c>
      <c r="E1871">
        <f>_xlfn.XLOOKUP(A1871,VIX!A:A,VIX!B:B,"",-1)</f>
        <v>14.45</v>
      </c>
      <c r="F1871">
        <f t="shared" si="233"/>
        <v>0.4399999999999995</v>
      </c>
      <c r="G1871">
        <f>_xlfn.XLOOKUP(A1871,'DGS10'!A:A,'DGS10'!B:B,"",-1)</f>
        <v>4.3</v>
      </c>
      <c r="H1871">
        <f t="shared" si="234"/>
        <v>3.0000000000000249E-2</v>
      </c>
      <c r="I1871" s="2">
        <f>_xlfn.XLOOKUP(A1871,T10Y3M!A:A,T10Y3M!B:B,"",-1)</f>
        <v>-1.25</v>
      </c>
      <c r="J1871" s="2">
        <f>_xlfn.XLOOKUP(A1871,BAMLC0A4CBBB!A:A,BAMLC0A4CBBB!B:B,"",-1)</f>
        <v>1.52</v>
      </c>
      <c r="K1871" s="2">
        <f>_xlfn.XLOOKUP(A1871,CPIAUCSL!A:A,CPIAUCSL!B:B,"",-1)</f>
        <v>307.27600000000001</v>
      </c>
      <c r="L1871">
        <f>_xlfn.XLOOKUP(A1871,DFF!A:A,DFF!B:B,"",-1)</f>
        <v>5.33</v>
      </c>
      <c r="M1871">
        <f>_xlfn.XLOOKUP(A1871,'DGS2'!A:A,'DGS2'!B:B,"",-1)</f>
        <v>5.01</v>
      </c>
      <c r="N1871">
        <f t="shared" si="235"/>
        <v>6.9999999999999396E-2</v>
      </c>
      <c r="O1871">
        <f t="shared" si="236"/>
        <v>-3.2113009127796577E-3</v>
      </c>
      <c r="P1871">
        <f t="shared" si="237"/>
        <v>0</v>
      </c>
      <c r="Q1871">
        <f t="shared" si="238"/>
        <v>-1</v>
      </c>
    </row>
    <row r="1872" spans="1:17">
      <c r="A1872" s="1">
        <v>45176</v>
      </c>
      <c r="B1872">
        <v>4451.1400000000003</v>
      </c>
      <c r="C1872">
        <f t="shared" si="232"/>
        <v>-3.2113009127796577E-3</v>
      </c>
      <c r="D1872">
        <f t="shared" si="239"/>
        <v>-1.4312066380705812E-2</v>
      </c>
      <c r="E1872">
        <f>_xlfn.XLOOKUP(A1872,VIX!A:A,VIX!B:B,"",-1)</f>
        <v>14.4</v>
      </c>
      <c r="F1872">
        <f t="shared" si="233"/>
        <v>-4.9999999999998934E-2</v>
      </c>
      <c r="G1872">
        <f>_xlfn.XLOOKUP(A1872,'DGS10'!A:A,'DGS10'!B:B,"",-1)</f>
        <v>4.2699999999999996</v>
      </c>
      <c r="H1872">
        <f t="shared" si="234"/>
        <v>-3.0000000000000249E-2</v>
      </c>
      <c r="I1872" s="2">
        <f>_xlfn.XLOOKUP(A1872,T10Y3M!A:A,T10Y3M!B:B,"",-1)</f>
        <v>-1.26</v>
      </c>
      <c r="J1872" s="2">
        <f>_xlfn.XLOOKUP(A1872,BAMLC0A4CBBB!A:A,BAMLC0A4CBBB!B:B,"",-1)</f>
        <v>1.52</v>
      </c>
      <c r="K1872" s="2">
        <f>_xlfn.XLOOKUP(A1872,CPIAUCSL!A:A,CPIAUCSL!B:B,"",-1)</f>
        <v>307.27600000000001</v>
      </c>
      <c r="L1872">
        <f>_xlfn.XLOOKUP(A1872,DFF!A:A,DFF!B:B,"",-1)</f>
        <v>5.33</v>
      </c>
      <c r="M1872">
        <f>_xlfn.XLOOKUP(A1872,'DGS2'!A:A,'DGS2'!B:B,"",-1)</f>
        <v>4.9400000000000004</v>
      </c>
      <c r="N1872">
        <f t="shared" si="235"/>
        <v>-6.9999999999999396E-2</v>
      </c>
      <c r="O1872">
        <f t="shared" si="236"/>
        <v>1.4266008258556617E-3</v>
      </c>
      <c r="P1872">
        <f t="shared" si="237"/>
        <v>1</v>
      </c>
      <c r="Q1872">
        <f t="shared" si="238"/>
        <v>0</v>
      </c>
    </row>
    <row r="1873" spans="1:17">
      <c r="A1873" s="1">
        <v>45177</v>
      </c>
      <c r="B1873">
        <v>4457.49</v>
      </c>
      <c r="C1873">
        <f t="shared" si="232"/>
        <v>1.4266008258556617E-3</v>
      </c>
      <c r="D1873">
        <f t="shared" si="239"/>
        <v>-8.7483849734146801E-3</v>
      </c>
      <c r="E1873">
        <f>_xlfn.XLOOKUP(A1873,VIX!A:A,VIX!B:B,"",-1)</f>
        <v>13.84</v>
      </c>
      <c r="F1873">
        <f t="shared" si="233"/>
        <v>-0.5600000000000005</v>
      </c>
      <c r="G1873">
        <f>_xlfn.XLOOKUP(A1873,'DGS10'!A:A,'DGS10'!B:B,"",-1)</f>
        <v>4.26</v>
      </c>
      <c r="H1873">
        <f t="shared" si="234"/>
        <v>-9.9999999999997868E-3</v>
      </c>
      <c r="I1873" s="2">
        <f>_xlfn.XLOOKUP(A1873,T10Y3M!A:A,T10Y3M!B:B,"",-1)</f>
        <v>-1.29</v>
      </c>
      <c r="J1873" s="2">
        <f>_xlfn.XLOOKUP(A1873,BAMLC0A4CBBB!A:A,BAMLC0A4CBBB!B:B,"",-1)</f>
        <v>1.51</v>
      </c>
      <c r="K1873" s="2">
        <f>_xlfn.XLOOKUP(A1873,CPIAUCSL!A:A,CPIAUCSL!B:B,"",-1)</f>
        <v>307.27600000000001</v>
      </c>
      <c r="L1873">
        <f>_xlfn.XLOOKUP(A1873,DFF!A:A,DFF!B:B,"",-1)</f>
        <v>5.33</v>
      </c>
      <c r="M1873">
        <f>_xlfn.XLOOKUP(A1873,'DGS2'!A:A,'DGS2'!B:B,"",-1)</f>
        <v>4.9800000000000004</v>
      </c>
      <c r="N1873">
        <f t="shared" si="235"/>
        <v>4.0000000000000036E-2</v>
      </c>
      <c r="O1873">
        <f t="shared" si="236"/>
        <v>6.7235148031741243E-3</v>
      </c>
      <c r="P1873">
        <f t="shared" si="237"/>
        <v>1</v>
      </c>
      <c r="Q1873">
        <f t="shared" si="238"/>
        <v>1</v>
      </c>
    </row>
    <row r="1874" spans="1:17">
      <c r="A1874" s="1">
        <v>45180</v>
      </c>
      <c r="B1874">
        <v>4487.46</v>
      </c>
      <c r="C1874">
        <f t="shared" si="232"/>
        <v>6.7235148031741243E-3</v>
      </c>
      <c r="D1874">
        <f t="shared" si="239"/>
        <v>4.9222032121967185E-3</v>
      </c>
      <c r="E1874">
        <f>_xlfn.XLOOKUP(A1874,VIX!A:A,VIX!B:B,"",-1)</f>
        <v>13.8</v>
      </c>
      <c r="F1874">
        <f t="shared" si="233"/>
        <v>-3.9999999999999147E-2</v>
      </c>
      <c r="G1874">
        <f>_xlfn.XLOOKUP(A1874,'DGS10'!A:A,'DGS10'!B:B,"",-1)</f>
        <v>4.29</v>
      </c>
      <c r="H1874">
        <f t="shared" si="234"/>
        <v>3.0000000000000249E-2</v>
      </c>
      <c r="I1874" s="2">
        <f>_xlfn.XLOOKUP(A1874,T10Y3M!A:A,T10Y3M!B:B,"",-1)</f>
        <v>-1.26</v>
      </c>
      <c r="J1874" s="2">
        <f>_xlfn.XLOOKUP(A1874,BAMLC0A4CBBB!A:A,BAMLC0A4CBBB!B:B,"",-1)</f>
        <v>1.51</v>
      </c>
      <c r="K1874" s="2">
        <f>_xlfn.XLOOKUP(A1874,CPIAUCSL!A:A,CPIAUCSL!B:B,"",-1)</f>
        <v>307.27600000000001</v>
      </c>
      <c r="L1874">
        <f>_xlfn.XLOOKUP(A1874,DFF!A:A,DFF!B:B,"",-1)</f>
        <v>5.33</v>
      </c>
      <c r="M1874">
        <f>_xlfn.XLOOKUP(A1874,'DGS2'!A:A,'DGS2'!B:B,"",-1)</f>
        <v>4.97</v>
      </c>
      <c r="N1874">
        <f t="shared" si="235"/>
        <v>-1.0000000000000675E-2</v>
      </c>
      <c r="O1874">
        <f t="shared" si="236"/>
        <v>-5.6958724980279429E-3</v>
      </c>
      <c r="P1874">
        <f t="shared" si="237"/>
        <v>0</v>
      </c>
      <c r="Q1874">
        <f t="shared" si="238"/>
        <v>-1</v>
      </c>
    </row>
    <row r="1875" spans="1:17">
      <c r="A1875" s="1">
        <v>45181</v>
      </c>
      <c r="B1875">
        <v>4461.8999999999996</v>
      </c>
      <c r="C1875">
        <f t="shared" si="232"/>
        <v>-5.6958724980279429E-3</v>
      </c>
      <c r="D1875">
        <f t="shared" si="239"/>
        <v>2.4173582497966084E-3</v>
      </c>
      <c r="E1875">
        <f>_xlfn.XLOOKUP(A1875,VIX!A:A,VIX!B:B,"",-1)</f>
        <v>14.23</v>
      </c>
      <c r="F1875">
        <f t="shared" si="233"/>
        <v>0.42999999999999972</v>
      </c>
      <c r="G1875">
        <f>_xlfn.XLOOKUP(A1875,'DGS10'!A:A,'DGS10'!B:B,"",-1)</f>
        <v>4.2699999999999996</v>
      </c>
      <c r="H1875">
        <f t="shared" si="234"/>
        <v>-2.0000000000000462E-2</v>
      </c>
      <c r="I1875" s="2">
        <f>_xlfn.XLOOKUP(A1875,T10Y3M!A:A,T10Y3M!B:B,"",-1)</f>
        <v>-1.29</v>
      </c>
      <c r="J1875" s="2">
        <f>_xlfn.XLOOKUP(A1875,BAMLC0A4CBBB!A:A,BAMLC0A4CBBB!B:B,"",-1)</f>
        <v>1.52</v>
      </c>
      <c r="K1875" s="2">
        <f>_xlfn.XLOOKUP(A1875,CPIAUCSL!A:A,CPIAUCSL!B:B,"",-1)</f>
        <v>307.27600000000001</v>
      </c>
      <c r="L1875">
        <f>_xlfn.XLOOKUP(A1875,DFF!A:A,DFF!B:B,"",-1)</f>
        <v>5.33</v>
      </c>
      <c r="M1875">
        <f>_xlfn.XLOOKUP(A1875,'DGS2'!A:A,'DGS2'!B:B,"",-1)</f>
        <v>4.9800000000000004</v>
      </c>
      <c r="N1875">
        <f t="shared" si="235"/>
        <v>1.0000000000000675E-2</v>
      </c>
      <c r="O1875">
        <f t="shared" si="236"/>
        <v>1.2416235236110129E-3</v>
      </c>
      <c r="P1875">
        <f t="shared" si="237"/>
        <v>1</v>
      </c>
      <c r="Q1875">
        <f t="shared" si="238"/>
        <v>0</v>
      </c>
    </row>
    <row r="1876" spans="1:17">
      <c r="A1876" s="1">
        <v>45182</v>
      </c>
      <c r="B1876">
        <v>4467.4399999999996</v>
      </c>
      <c r="C1876">
        <f t="shared" si="232"/>
        <v>1.2416235236110129E-3</v>
      </c>
      <c r="D1876">
        <f t="shared" si="239"/>
        <v>2.2321979409936077E-3</v>
      </c>
      <c r="E1876">
        <f>_xlfn.XLOOKUP(A1876,VIX!A:A,VIX!B:B,"",-1)</f>
        <v>13.48</v>
      </c>
      <c r="F1876">
        <f t="shared" si="233"/>
        <v>-0.75</v>
      </c>
      <c r="G1876">
        <f>_xlfn.XLOOKUP(A1876,'DGS10'!A:A,'DGS10'!B:B,"",-1)</f>
        <v>4.25</v>
      </c>
      <c r="H1876">
        <f t="shared" si="234"/>
        <v>-1.9999999999999574E-2</v>
      </c>
      <c r="I1876" s="2">
        <f>_xlfn.XLOOKUP(A1876,T10Y3M!A:A,T10Y3M!B:B,"",-1)</f>
        <v>-1.3</v>
      </c>
      <c r="J1876" s="2">
        <f>_xlfn.XLOOKUP(A1876,BAMLC0A4CBBB!A:A,BAMLC0A4CBBB!B:B,"",-1)</f>
        <v>1.53</v>
      </c>
      <c r="K1876" s="2">
        <f>_xlfn.XLOOKUP(A1876,CPIAUCSL!A:A,CPIAUCSL!B:B,"",-1)</f>
        <v>307.27600000000001</v>
      </c>
      <c r="L1876">
        <f>_xlfn.XLOOKUP(A1876,DFF!A:A,DFF!B:B,"",-1)</f>
        <v>5.33</v>
      </c>
      <c r="M1876">
        <f>_xlfn.XLOOKUP(A1876,'DGS2'!A:A,'DGS2'!B:B,"",-1)</f>
        <v>4.96</v>
      </c>
      <c r="N1876">
        <f t="shared" si="235"/>
        <v>-2.0000000000000462E-2</v>
      </c>
      <c r="O1876">
        <f t="shared" si="236"/>
        <v>8.4298837813157057E-3</v>
      </c>
      <c r="P1876">
        <f t="shared" si="237"/>
        <v>1</v>
      </c>
      <c r="Q1876">
        <f t="shared" si="238"/>
        <v>1</v>
      </c>
    </row>
    <row r="1877" spans="1:17">
      <c r="A1877" s="1">
        <v>45183</v>
      </c>
      <c r="B1877">
        <v>4505.1000000000004</v>
      </c>
      <c r="C1877">
        <f t="shared" si="232"/>
        <v>8.4298837813157057E-3</v>
      </c>
      <c r="D1877">
        <f t="shared" si="239"/>
        <v>3.9309542592023128E-3</v>
      </c>
      <c r="E1877">
        <f>_xlfn.XLOOKUP(A1877,VIX!A:A,VIX!B:B,"",-1)</f>
        <v>12.82</v>
      </c>
      <c r="F1877">
        <f t="shared" si="233"/>
        <v>-0.66000000000000014</v>
      </c>
      <c r="G1877">
        <f>_xlfn.XLOOKUP(A1877,'DGS10'!A:A,'DGS10'!B:B,"",-1)</f>
        <v>4.29</v>
      </c>
      <c r="H1877">
        <f t="shared" si="234"/>
        <v>4.0000000000000036E-2</v>
      </c>
      <c r="I1877" s="2">
        <f>_xlfn.XLOOKUP(A1877,T10Y3M!A:A,T10Y3M!B:B,"",-1)</f>
        <v>-1.26</v>
      </c>
      <c r="J1877" s="2">
        <f>_xlfn.XLOOKUP(A1877,BAMLC0A4CBBB!A:A,BAMLC0A4CBBB!B:B,"",-1)</f>
        <v>1.51</v>
      </c>
      <c r="K1877" s="2">
        <f>_xlfn.XLOOKUP(A1877,CPIAUCSL!A:A,CPIAUCSL!B:B,"",-1)</f>
        <v>307.27600000000001</v>
      </c>
      <c r="L1877">
        <f>_xlfn.XLOOKUP(A1877,DFF!A:A,DFF!B:B,"",-1)</f>
        <v>5.33</v>
      </c>
      <c r="M1877">
        <f>_xlfn.XLOOKUP(A1877,'DGS2'!A:A,'DGS2'!B:B,"",-1)</f>
        <v>5</v>
      </c>
      <c r="N1877">
        <f t="shared" si="235"/>
        <v>4.0000000000000036E-2</v>
      </c>
      <c r="O1877">
        <f t="shared" si="236"/>
        <v>-1.2159552507158722E-2</v>
      </c>
      <c r="P1877">
        <f t="shared" si="237"/>
        <v>0</v>
      </c>
      <c r="Q1877">
        <f t="shared" si="238"/>
        <v>-1</v>
      </c>
    </row>
    <row r="1878" spans="1:17">
      <c r="A1878" s="1">
        <v>45184</v>
      </c>
      <c r="B1878">
        <v>4450.32</v>
      </c>
      <c r="C1878">
        <f t="shared" si="232"/>
        <v>-1.2159552507158722E-2</v>
      </c>
      <c r="D1878">
        <f t="shared" si="239"/>
        <v>-2.595306932024477E-3</v>
      </c>
      <c r="E1878">
        <f>_xlfn.XLOOKUP(A1878,VIX!A:A,VIX!B:B,"",-1)</f>
        <v>13.79</v>
      </c>
      <c r="F1878">
        <f t="shared" si="233"/>
        <v>0.96999999999999886</v>
      </c>
      <c r="G1878">
        <f>_xlfn.XLOOKUP(A1878,'DGS10'!A:A,'DGS10'!B:B,"",-1)</f>
        <v>4.33</v>
      </c>
      <c r="H1878">
        <f t="shared" si="234"/>
        <v>4.0000000000000036E-2</v>
      </c>
      <c r="I1878" s="2">
        <f>_xlfn.XLOOKUP(A1878,T10Y3M!A:A,T10Y3M!B:B,"",-1)</f>
        <v>-1.23</v>
      </c>
      <c r="J1878" s="2">
        <f>_xlfn.XLOOKUP(A1878,BAMLC0A4CBBB!A:A,BAMLC0A4CBBB!B:B,"",-1)</f>
        <v>1.51</v>
      </c>
      <c r="K1878" s="2">
        <f>_xlfn.XLOOKUP(A1878,CPIAUCSL!A:A,CPIAUCSL!B:B,"",-1)</f>
        <v>307.27600000000001</v>
      </c>
      <c r="L1878">
        <f>_xlfn.XLOOKUP(A1878,DFF!A:A,DFF!B:B,"",-1)</f>
        <v>5.33</v>
      </c>
      <c r="M1878">
        <f>_xlfn.XLOOKUP(A1878,'DGS2'!A:A,'DGS2'!B:B,"",-1)</f>
        <v>5.0199999999999996</v>
      </c>
      <c r="N1878">
        <f t="shared" si="235"/>
        <v>1.9999999999999574E-2</v>
      </c>
      <c r="O1878">
        <f t="shared" si="236"/>
        <v>7.2129644609830734E-4</v>
      </c>
      <c r="P1878">
        <f t="shared" si="237"/>
        <v>1</v>
      </c>
      <c r="Q1878">
        <f t="shared" si="238"/>
        <v>0</v>
      </c>
    </row>
    <row r="1879" spans="1:17">
      <c r="A1879" s="1">
        <v>45187</v>
      </c>
      <c r="B1879">
        <v>4453.53</v>
      </c>
      <c r="C1879">
        <f t="shared" si="232"/>
        <v>7.2129644609830734E-4</v>
      </c>
      <c r="D1879">
        <f t="shared" si="239"/>
        <v>-3.1136400265028286E-3</v>
      </c>
      <c r="E1879">
        <f>_xlfn.XLOOKUP(A1879,VIX!A:A,VIX!B:B,"",-1)</f>
        <v>14</v>
      </c>
      <c r="F1879">
        <f t="shared" si="233"/>
        <v>0.21000000000000085</v>
      </c>
      <c r="G1879">
        <f>_xlfn.XLOOKUP(A1879,'DGS10'!A:A,'DGS10'!B:B,"",-1)</f>
        <v>4.32</v>
      </c>
      <c r="H1879">
        <f t="shared" si="234"/>
        <v>-9.9999999999997868E-3</v>
      </c>
      <c r="I1879" s="2">
        <f>_xlfn.XLOOKUP(A1879,T10Y3M!A:A,T10Y3M!B:B,"",-1)</f>
        <v>-1.23</v>
      </c>
      <c r="J1879" s="2">
        <f>_xlfn.XLOOKUP(A1879,BAMLC0A4CBBB!A:A,BAMLC0A4CBBB!B:B,"",-1)</f>
        <v>1.51</v>
      </c>
      <c r="K1879" s="2">
        <f>_xlfn.XLOOKUP(A1879,CPIAUCSL!A:A,CPIAUCSL!B:B,"",-1)</f>
        <v>307.27600000000001</v>
      </c>
      <c r="L1879">
        <f>_xlfn.XLOOKUP(A1879,DFF!A:A,DFF!B:B,"",-1)</f>
        <v>5.33</v>
      </c>
      <c r="M1879">
        <f>_xlfn.XLOOKUP(A1879,'DGS2'!A:A,'DGS2'!B:B,"",-1)</f>
        <v>5.05</v>
      </c>
      <c r="N1879">
        <f t="shared" si="235"/>
        <v>3.0000000000000249E-2</v>
      </c>
      <c r="O1879">
        <f t="shared" si="236"/>
        <v>-2.1511026084926055E-3</v>
      </c>
      <c r="P1879">
        <f t="shared" si="237"/>
        <v>0</v>
      </c>
      <c r="Q1879">
        <f t="shared" si="238"/>
        <v>0</v>
      </c>
    </row>
    <row r="1880" spans="1:17">
      <c r="A1880" s="1">
        <v>45188</v>
      </c>
      <c r="B1880">
        <v>4443.95</v>
      </c>
      <c r="C1880">
        <f t="shared" si="232"/>
        <v>-2.1511026084926055E-3</v>
      </c>
      <c r="D1880">
        <f t="shared" si="239"/>
        <v>-1.3573505582562095E-2</v>
      </c>
      <c r="E1880">
        <f>_xlfn.XLOOKUP(A1880,VIX!A:A,VIX!B:B,"",-1)</f>
        <v>14.11</v>
      </c>
      <c r="F1880">
        <f t="shared" si="233"/>
        <v>0.10999999999999943</v>
      </c>
      <c r="G1880">
        <f>_xlfn.XLOOKUP(A1880,'DGS10'!A:A,'DGS10'!B:B,"",-1)</f>
        <v>4.37</v>
      </c>
      <c r="H1880">
        <f t="shared" si="234"/>
        <v>4.9999999999999822E-2</v>
      </c>
      <c r="I1880" s="2">
        <f>_xlfn.XLOOKUP(A1880,T10Y3M!A:A,T10Y3M!B:B,"",-1)</f>
        <v>-1.17</v>
      </c>
      <c r="J1880" s="2">
        <f>_xlfn.XLOOKUP(A1880,BAMLC0A4CBBB!A:A,BAMLC0A4CBBB!B:B,"",-1)</f>
        <v>1.5</v>
      </c>
      <c r="K1880" s="2">
        <f>_xlfn.XLOOKUP(A1880,CPIAUCSL!A:A,CPIAUCSL!B:B,"",-1)</f>
        <v>307.27600000000001</v>
      </c>
      <c r="L1880">
        <f>_xlfn.XLOOKUP(A1880,DFF!A:A,DFF!B:B,"",-1)</f>
        <v>5.33</v>
      </c>
      <c r="M1880">
        <f>_xlfn.XLOOKUP(A1880,'DGS2'!A:A,'DGS2'!B:B,"",-1)</f>
        <v>5.08</v>
      </c>
      <c r="N1880">
        <f t="shared" si="235"/>
        <v>3.0000000000000249E-2</v>
      </c>
      <c r="O1880">
        <f t="shared" si="236"/>
        <v>-9.3947951709627553E-3</v>
      </c>
      <c r="P1880">
        <f t="shared" si="237"/>
        <v>0</v>
      </c>
      <c r="Q1880">
        <f t="shared" si="238"/>
        <v>-1</v>
      </c>
    </row>
    <row r="1881" spans="1:17">
      <c r="A1881" s="1">
        <v>45189</v>
      </c>
      <c r="B1881">
        <v>4402.2</v>
      </c>
      <c r="C1881">
        <f t="shared" si="232"/>
        <v>-9.3947951709627553E-3</v>
      </c>
      <c r="D1881">
        <f t="shared" si="239"/>
        <v>-1.0812705603192585E-2</v>
      </c>
      <c r="E1881">
        <f>_xlfn.XLOOKUP(A1881,VIX!A:A,VIX!B:B,"",-1)</f>
        <v>15.14</v>
      </c>
      <c r="F1881">
        <f t="shared" si="233"/>
        <v>1.0300000000000011</v>
      </c>
      <c r="G1881">
        <f>_xlfn.XLOOKUP(A1881,'DGS10'!A:A,'DGS10'!B:B,"",-1)</f>
        <v>4.3499999999999996</v>
      </c>
      <c r="H1881">
        <f t="shared" si="234"/>
        <v>-2.0000000000000462E-2</v>
      </c>
      <c r="I1881" s="2">
        <f>_xlfn.XLOOKUP(A1881,T10Y3M!A:A,T10Y3M!B:B,"",-1)</f>
        <v>-1.21</v>
      </c>
      <c r="J1881" s="2">
        <f>_xlfn.XLOOKUP(A1881,BAMLC0A4CBBB!A:A,BAMLC0A4CBBB!B:B,"",-1)</f>
        <v>1.48</v>
      </c>
      <c r="K1881" s="2">
        <f>_xlfn.XLOOKUP(A1881,CPIAUCSL!A:A,CPIAUCSL!B:B,"",-1)</f>
        <v>307.27600000000001</v>
      </c>
      <c r="L1881">
        <f>_xlfn.XLOOKUP(A1881,DFF!A:A,DFF!B:B,"",-1)</f>
        <v>5.33</v>
      </c>
      <c r="M1881">
        <f>_xlfn.XLOOKUP(A1881,'DGS2'!A:A,'DGS2'!B:B,"",-1)</f>
        <v>5.12</v>
      </c>
      <c r="N1881">
        <f t="shared" si="235"/>
        <v>4.0000000000000036E-2</v>
      </c>
      <c r="O1881">
        <f t="shared" si="236"/>
        <v>-1.6400890463858953E-2</v>
      </c>
      <c r="P1881">
        <f t="shared" si="237"/>
        <v>0</v>
      </c>
      <c r="Q1881">
        <f t="shared" si="238"/>
        <v>-1</v>
      </c>
    </row>
    <row r="1882" spans="1:17">
      <c r="A1882" s="1">
        <v>45190</v>
      </c>
      <c r="B1882">
        <v>4330</v>
      </c>
      <c r="C1882">
        <f t="shared" si="232"/>
        <v>-1.6400890463858953E-2</v>
      </c>
      <c r="D1882">
        <f t="shared" si="239"/>
        <v>-2.7737547518485228E-2</v>
      </c>
      <c r="E1882">
        <f>_xlfn.XLOOKUP(A1882,VIX!A:A,VIX!B:B,"",-1)</f>
        <v>17.54</v>
      </c>
      <c r="F1882">
        <f t="shared" si="233"/>
        <v>2.3999999999999986</v>
      </c>
      <c r="G1882">
        <f>_xlfn.XLOOKUP(A1882,'DGS10'!A:A,'DGS10'!B:B,"",-1)</f>
        <v>4.49</v>
      </c>
      <c r="H1882">
        <f t="shared" si="234"/>
        <v>0.14000000000000057</v>
      </c>
      <c r="I1882" s="2">
        <f>_xlfn.XLOOKUP(A1882,T10Y3M!A:A,T10Y3M!B:B,"",-1)</f>
        <v>-1.08</v>
      </c>
      <c r="J1882" s="2">
        <f>_xlfn.XLOOKUP(A1882,BAMLC0A4CBBB!A:A,BAMLC0A4CBBB!B:B,"",-1)</f>
        <v>1.48</v>
      </c>
      <c r="K1882" s="2">
        <f>_xlfn.XLOOKUP(A1882,CPIAUCSL!A:A,CPIAUCSL!B:B,"",-1)</f>
        <v>307.27600000000001</v>
      </c>
      <c r="L1882">
        <f>_xlfn.XLOOKUP(A1882,DFF!A:A,DFF!B:B,"",-1)</f>
        <v>5.33</v>
      </c>
      <c r="M1882">
        <f>_xlfn.XLOOKUP(A1882,'DGS2'!A:A,'DGS2'!B:B,"",-1)</f>
        <v>5.12</v>
      </c>
      <c r="N1882">
        <f t="shared" si="235"/>
        <v>0</v>
      </c>
      <c r="O1882">
        <f t="shared" si="236"/>
        <v>-2.2956120092377796E-3</v>
      </c>
      <c r="P1882">
        <f t="shared" si="237"/>
        <v>0</v>
      </c>
      <c r="Q1882">
        <f t="shared" si="238"/>
        <v>0</v>
      </c>
    </row>
    <row r="1883" spans="1:17">
      <c r="A1883" s="1">
        <v>45191</v>
      </c>
      <c r="B1883">
        <v>4320.0600000000004</v>
      </c>
      <c r="C1883">
        <f t="shared" si="232"/>
        <v>-2.2956120092377796E-3</v>
      </c>
      <c r="D1883">
        <f t="shared" si="239"/>
        <v>-2.7878351466600559E-2</v>
      </c>
      <c r="E1883">
        <f>_xlfn.XLOOKUP(A1883,VIX!A:A,VIX!B:B,"",-1)</f>
        <v>17.2</v>
      </c>
      <c r="F1883">
        <f t="shared" si="233"/>
        <v>-0.33999999999999986</v>
      </c>
      <c r="G1883">
        <f>_xlfn.XLOOKUP(A1883,'DGS10'!A:A,'DGS10'!B:B,"",-1)</f>
        <v>4.4400000000000004</v>
      </c>
      <c r="H1883">
        <f t="shared" si="234"/>
        <v>-4.9999999999999822E-2</v>
      </c>
      <c r="I1883" s="2">
        <f>_xlfn.XLOOKUP(A1883,T10Y3M!A:A,T10Y3M!B:B,"",-1)</f>
        <v>-1.1200000000000001</v>
      </c>
      <c r="J1883" s="2">
        <f>_xlfn.XLOOKUP(A1883,BAMLC0A4CBBB!A:A,BAMLC0A4CBBB!B:B,"",-1)</f>
        <v>1.48</v>
      </c>
      <c r="K1883" s="2">
        <f>_xlfn.XLOOKUP(A1883,CPIAUCSL!A:A,CPIAUCSL!B:B,"",-1)</f>
        <v>307.27600000000001</v>
      </c>
      <c r="L1883">
        <f>_xlfn.XLOOKUP(A1883,DFF!A:A,DFF!B:B,"",-1)</f>
        <v>5.33</v>
      </c>
      <c r="M1883">
        <f>_xlfn.XLOOKUP(A1883,'DGS2'!A:A,'DGS2'!B:B,"",-1)</f>
        <v>5.0999999999999996</v>
      </c>
      <c r="N1883">
        <f t="shared" si="235"/>
        <v>-2.0000000000000462E-2</v>
      </c>
      <c r="O1883">
        <f t="shared" si="236"/>
        <v>4.0230922718664797E-3</v>
      </c>
      <c r="P1883">
        <f t="shared" si="237"/>
        <v>1</v>
      </c>
      <c r="Q1883">
        <f t="shared" si="238"/>
        <v>1</v>
      </c>
    </row>
    <row r="1884" spans="1:17">
      <c r="A1884" s="1">
        <v>45194</v>
      </c>
      <c r="B1884">
        <v>4337.4399999999996</v>
      </c>
      <c r="C1884">
        <f t="shared" si="232"/>
        <v>4.0230922718664797E-3</v>
      </c>
      <c r="D1884">
        <f t="shared" si="239"/>
        <v>-1.4710826404979338E-2</v>
      </c>
      <c r="E1884">
        <f>_xlfn.XLOOKUP(A1884,VIX!A:A,VIX!B:B,"",-1)</f>
        <v>16.899999999999999</v>
      </c>
      <c r="F1884">
        <f t="shared" si="233"/>
        <v>-0.30000000000000071</v>
      </c>
      <c r="G1884">
        <f>_xlfn.XLOOKUP(A1884,'DGS10'!A:A,'DGS10'!B:B,"",-1)</f>
        <v>4.55</v>
      </c>
      <c r="H1884">
        <f t="shared" si="234"/>
        <v>0.10999999999999943</v>
      </c>
      <c r="I1884" s="2">
        <f>_xlfn.XLOOKUP(A1884,T10Y3M!A:A,T10Y3M!B:B,"",-1)</f>
        <v>-1.03</v>
      </c>
      <c r="J1884" s="2">
        <f>_xlfn.XLOOKUP(A1884,BAMLC0A4CBBB!A:A,BAMLC0A4CBBB!B:B,"",-1)</f>
        <v>1.47</v>
      </c>
      <c r="K1884" s="2">
        <f>_xlfn.XLOOKUP(A1884,CPIAUCSL!A:A,CPIAUCSL!B:B,"",-1)</f>
        <v>307.27600000000001</v>
      </c>
      <c r="L1884">
        <f>_xlfn.XLOOKUP(A1884,DFF!A:A,DFF!B:B,"",-1)</f>
        <v>5.33</v>
      </c>
      <c r="M1884">
        <f>_xlfn.XLOOKUP(A1884,'DGS2'!A:A,'DGS2'!B:B,"",-1)</f>
        <v>5.09</v>
      </c>
      <c r="N1884">
        <f t="shared" si="235"/>
        <v>-9.9999999999997868E-3</v>
      </c>
      <c r="O1884">
        <f t="shared" si="236"/>
        <v>-1.473449776826885E-2</v>
      </c>
      <c r="P1884">
        <f t="shared" si="237"/>
        <v>0</v>
      </c>
      <c r="Q1884">
        <f t="shared" si="238"/>
        <v>-1</v>
      </c>
    </row>
    <row r="1885" spans="1:17">
      <c r="A1885" s="1">
        <v>45195</v>
      </c>
      <c r="B1885">
        <v>4273.53</v>
      </c>
      <c r="C1885">
        <f t="shared" si="232"/>
        <v>-1.473449776826885E-2</v>
      </c>
      <c r="D1885">
        <f t="shared" si="239"/>
        <v>-1.3041570438799166E-2</v>
      </c>
      <c r="E1885">
        <f>_xlfn.XLOOKUP(A1885,VIX!A:A,VIX!B:B,"",-1)</f>
        <v>18.940000000000001</v>
      </c>
      <c r="F1885">
        <f t="shared" si="233"/>
        <v>2.0400000000000027</v>
      </c>
      <c r="G1885">
        <f>_xlfn.XLOOKUP(A1885,'DGS10'!A:A,'DGS10'!B:B,"",-1)</f>
        <v>4.5599999999999996</v>
      </c>
      <c r="H1885">
        <f t="shared" si="234"/>
        <v>9.9999999999997868E-3</v>
      </c>
      <c r="I1885" s="2">
        <f>_xlfn.XLOOKUP(A1885,T10Y3M!A:A,T10Y3M!B:B,"",-1)</f>
        <v>-1.02</v>
      </c>
      <c r="J1885" s="2">
        <f>_xlfn.XLOOKUP(A1885,BAMLC0A4CBBB!A:A,BAMLC0A4CBBB!B:B,"",-1)</f>
        <v>1.48</v>
      </c>
      <c r="K1885" s="2">
        <f>_xlfn.XLOOKUP(A1885,CPIAUCSL!A:A,CPIAUCSL!B:B,"",-1)</f>
        <v>307.27600000000001</v>
      </c>
      <c r="L1885">
        <f>_xlfn.XLOOKUP(A1885,DFF!A:A,DFF!B:B,"",-1)</f>
        <v>5.33</v>
      </c>
      <c r="M1885">
        <f>_xlfn.XLOOKUP(A1885,'DGS2'!A:A,'DGS2'!B:B,"",-1)</f>
        <v>5.04</v>
      </c>
      <c r="N1885">
        <f t="shared" si="235"/>
        <v>-4.9999999999999822E-2</v>
      </c>
      <c r="O1885">
        <f t="shared" si="236"/>
        <v>2.2931861950192811E-4</v>
      </c>
      <c r="P1885">
        <f t="shared" si="237"/>
        <v>1</v>
      </c>
      <c r="Q1885">
        <f t="shared" si="238"/>
        <v>0</v>
      </c>
    </row>
    <row r="1886" spans="1:17">
      <c r="A1886" s="1">
        <v>45196</v>
      </c>
      <c r="B1886">
        <v>4274.51</v>
      </c>
      <c r="C1886">
        <f t="shared" si="232"/>
        <v>2.2931861950192811E-4</v>
      </c>
      <c r="D1886">
        <f t="shared" si="239"/>
        <v>-1.0543835039328209E-2</v>
      </c>
      <c r="E1886">
        <f>_xlfn.XLOOKUP(A1886,VIX!A:A,VIX!B:B,"",-1)</f>
        <v>18.22</v>
      </c>
      <c r="F1886">
        <f t="shared" si="233"/>
        <v>-0.72000000000000242</v>
      </c>
      <c r="G1886">
        <f>_xlfn.XLOOKUP(A1886,'DGS10'!A:A,'DGS10'!B:B,"",-1)</f>
        <v>4.6100000000000003</v>
      </c>
      <c r="H1886">
        <f t="shared" si="234"/>
        <v>5.0000000000000711E-2</v>
      </c>
      <c r="I1886" s="2">
        <f>_xlfn.XLOOKUP(A1886,T10Y3M!A:A,T10Y3M!B:B,"",-1)</f>
        <v>-0.97</v>
      </c>
      <c r="J1886" s="2">
        <f>_xlfn.XLOOKUP(A1886,BAMLC0A4CBBB!A:A,BAMLC0A4CBBB!B:B,"",-1)</f>
        <v>1.49</v>
      </c>
      <c r="K1886" s="2">
        <f>_xlfn.XLOOKUP(A1886,CPIAUCSL!A:A,CPIAUCSL!B:B,"",-1)</f>
        <v>307.27600000000001</v>
      </c>
      <c r="L1886">
        <f>_xlfn.XLOOKUP(A1886,DFF!A:A,DFF!B:B,"",-1)</f>
        <v>5.33</v>
      </c>
      <c r="M1886">
        <f>_xlfn.XLOOKUP(A1886,'DGS2'!A:A,'DGS2'!B:B,"",-1)</f>
        <v>5.0999999999999996</v>
      </c>
      <c r="N1886">
        <f t="shared" si="235"/>
        <v>5.9999999999999609E-2</v>
      </c>
      <c r="O1886">
        <f t="shared" si="236"/>
        <v>5.8930731241708667E-3</v>
      </c>
      <c r="P1886">
        <f t="shared" si="237"/>
        <v>1</v>
      </c>
      <c r="Q1886">
        <f t="shared" si="238"/>
        <v>1</v>
      </c>
    </row>
    <row r="1887" spans="1:17">
      <c r="A1887" s="1">
        <v>45197</v>
      </c>
      <c r="B1887">
        <v>4299.7</v>
      </c>
      <c r="C1887">
        <f t="shared" si="232"/>
        <v>5.8930731241708667E-3</v>
      </c>
      <c r="D1887">
        <f t="shared" si="239"/>
        <v>-8.7009849127595018E-3</v>
      </c>
      <c r="E1887">
        <f>_xlfn.XLOOKUP(A1887,VIX!A:A,VIX!B:B,"",-1)</f>
        <v>17.34</v>
      </c>
      <c r="F1887">
        <f t="shared" si="233"/>
        <v>-0.87999999999999901</v>
      </c>
      <c r="G1887">
        <f>_xlfn.XLOOKUP(A1887,'DGS10'!A:A,'DGS10'!B:B,"",-1)</f>
        <v>4.59</v>
      </c>
      <c r="H1887">
        <f t="shared" si="234"/>
        <v>-2.0000000000000462E-2</v>
      </c>
      <c r="I1887" s="2">
        <f>_xlfn.XLOOKUP(A1887,T10Y3M!A:A,T10Y3M!B:B,"",-1)</f>
        <v>-0.97</v>
      </c>
      <c r="J1887" s="2">
        <f>_xlfn.XLOOKUP(A1887,BAMLC0A4CBBB!A:A,BAMLC0A4CBBB!B:B,"",-1)</f>
        <v>1.51</v>
      </c>
      <c r="K1887" s="2">
        <f>_xlfn.XLOOKUP(A1887,CPIAUCSL!A:A,CPIAUCSL!B:B,"",-1)</f>
        <v>307.27600000000001</v>
      </c>
      <c r="L1887">
        <f>_xlfn.XLOOKUP(A1887,DFF!A:A,DFF!B:B,"",-1)</f>
        <v>5.33</v>
      </c>
      <c r="M1887">
        <f>_xlfn.XLOOKUP(A1887,'DGS2'!A:A,'DGS2'!B:B,"",-1)</f>
        <v>5.04</v>
      </c>
      <c r="N1887">
        <f t="shared" si="235"/>
        <v>-5.9999999999999609E-2</v>
      </c>
      <c r="O1887">
        <f t="shared" si="236"/>
        <v>-2.7094913598622039E-3</v>
      </c>
      <c r="P1887">
        <f t="shared" si="237"/>
        <v>0</v>
      </c>
      <c r="Q1887">
        <f t="shared" si="238"/>
        <v>0</v>
      </c>
    </row>
    <row r="1888" spans="1:17">
      <c r="A1888" s="1">
        <v>45198</v>
      </c>
      <c r="B1888">
        <v>4288.05</v>
      </c>
      <c r="C1888">
        <f t="shared" si="232"/>
        <v>-2.7094913598622039E-3</v>
      </c>
      <c r="D1888">
        <f t="shared" si="239"/>
        <v>3.3976595460896153E-3</v>
      </c>
      <c r="E1888">
        <f>_xlfn.XLOOKUP(A1888,VIX!A:A,VIX!B:B,"",-1)</f>
        <v>17.52</v>
      </c>
      <c r="F1888">
        <f t="shared" si="233"/>
        <v>0.17999999999999972</v>
      </c>
      <c r="G1888">
        <f>_xlfn.XLOOKUP(A1888,'DGS10'!A:A,'DGS10'!B:B,"",-1)</f>
        <v>4.59</v>
      </c>
      <c r="H1888">
        <f t="shared" si="234"/>
        <v>0</v>
      </c>
      <c r="I1888" s="2">
        <f>_xlfn.XLOOKUP(A1888,T10Y3M!A:A,T10Y3M!B:B,"",-1)</f>
        <v>-0.96</v>
      </c>
      <c r="J1888" s="2">
        <f>_xlfn.XLOOKUP(A1888,BAMLC0A4CBBB!A:A,BAMLC0A4CBBB!B:B,"",-1)</f>
        <v>1.51</v>
      </c>
      <c r="K1888" s="2">
        <f>_xlfn.XLOOKUP(A1888,CPIAUCSL!A:A,CPIAUCSL!B:B,"",-1)</f>
        <v>307.27600000000001</v>
      </c>
      <c r="L1888">
        <f>_xlfn.XLOOKUP(A1888,DFF!A:A,DFF!B:B,"",-1)</f>
        <v>5.33</v>
      </c>
      <c r="M1888">
        <f>_xlfn.XLOOKUP(A1888,'DGS2'!A:A,'DGS2'!B:B,"",-1)</f>
        <v>5.03</v>
      </c>
      <c r="N1888">
        <f t="shared" si="235"/>
        <v>-9.9999999999997868E-3</v>
      </c>
      <c r="O1888">
        <f t="shared" si="236"/>
        <v>7.9290120217789806E-5</v>
      </c>
      <c r="P1888">
        <f t="shared" si="237"/>
        <v>1</v>
      </c>
      <c r="Q1888">
        <f t="shared" si="238"/>
        <v>0</v>
      </c>
    </row>
    <row r="1889" spans="1:17">
      <c r="A1889" s="1">
        <v>45201</v>
      </c>
      <c r="B1889">
        <v>4288.3900000000003</v>
      </c>
      <c r="C1889">
        <f t="shared" si="232"/>
        <v>7.9290120217789806E-5</v>
      </c>
      <c r="D1889">
        <f t="shared" si="239"/>
        <v>3.2471558143507551E-3</v>
      </c>
      <c r="E1889">
        <f>_xlfn.XLOOKUP(A1889,VIX!A:A,VIX!B:B,"",-1)</f>
        <v>17.61</v>
      </c>
      <c r="F1889">
        <f t="shared" si="233"/>
        <v>8.9999999999999858E-2</v>
      </c>
      <c r="G1889">
        <f>_xlfn.XLOOKUP(A1889,'DGS10'!A:A,'DGS10'!B:B,"",-1)</f>
        <v>4.6900000000000004</v>
      </c>
      <c r="H1889">
        <f t="shared" si="234"/>
        <v>0.10000000000000053</v>
      </c>
      <c r="I1889" s="2">
        <f>_xlfn.XLOOKUP(A1889,T10Y3M!A:A,T10Y3M!B:B,"",-1)</f>
        <v>-0.93</v>
      </c>
      <c r="J1889" s="2">
        <f>_xlfn.XLOOKUP(A1889,BAMLC0A4CBBB!A:A,BAMLC0A4CBBB!B:B,"",-1)</f>
        <v>1.54</v>
      </c>
      <c r="K1889" s="2">
        <f>_xlfn.XLOOKUP(A1889,CPIAUCSL!A:A,CPIAUCSL!B:B,"",-1)</f>
        <v>307.69600000000003</v>
      </c>
      <c r="L1889">
        <f>_xlfn.XLOOKUP(A1889,DFF!A:A,DFF!B:B,"",-1)</f>
        <v>5.33</v>
      </c>
      <c r="M1889">
        <f>_xlfn.XLOOKUP(A1889,'DGS2'!A:A,'DGS2'!B:B,"",-1)</f>
        <v>5.12</v>
      </c>
      <c r="N1889">
        <f t="shared" si="235"/>
        <v>8.9999999999999858E-2</v>
      </c>
      <c r="O1889">
        <f t="shared" si="236"/>
        <v>-1.374408577578079E-2</v>
      </c>
      <c r="P1889">
        <f t="shared" si="237"/>
        <v>0</v>
      </c>
      <c r="Q1889">
        <f t="shared" si="238"/>
        <v>-1</v>
      </c>
    </row>
    <row r="1890" spans="1:17">
      <c r="A1890" s="1">
        <v>45202</v>
      </c>
      <c r="B1890">
        <v>4229.45</v>
      </c>
      <c r="C1890">
        <f t="shared" si="232"/>
        <v>-1.374408577578079E-2</v>
      </c>
      <c r="D1890">
        <f t="shared" si="239"/>
        <v>-1.6338349187152601E-2</v>
      </c>
      <c r="E1890">
        <f>_xlfn.XLOOKUP(A1890,VIX!A:A,VIX!B:B,"",-1)</f>
        <v>19.78</v>
      </c>
      <c r="F1890">
        <f t="shared" si="233"/>
        <v>2.1700000000000017</v>
      </c>
      <c r="G1890">
        <f>_xlfn.XLOOKUP(A1890,'DGS10'!A:A,'DGS10'!B:B,"",-1)</f>
        <v>4.8099999999999996</v>
      </c>
      <c r="H1890">
        <f t="shared" si="234"/>
        <v>0.11999999999999922</v>
      </c>
      <c r="I1890" s="2">
        <f>_xlfn.XLOOKUP(A1890,T10Y3M!A:A,T10Y3M!B:B,"",-1)</f>
        <v>-0.81</v>
      </c>
      <c r="J1890" s="2">
        <f>_xlfn.XLOOKUP(A1890,BAMLC0A4CBBB!A:A,BAMLC0A4CBBB!B:B,"",-1)</f>
        <v>1.57</v>
      </c>
      <c r="K1890" s="2">
        <f>_xlfn.XLOOKUP(A1890,CPIAUCSL!A:A,CPIAUCSL!B:B,"",-1)</f>
        <v>307.69600000000003</v>
      </c>
      <c r="L1890">
        <f>_xlfn.XLOOKUP(A1890,DFF!A:A,DFF!B:B,"",-1)</f>
        <v>5.33</v>
      </c>
      <c r="M1890">
        <f>_xlfn.XLOOKUP(A1890,'DGS2'!A:A,'DGS2'!B:B,"",-1)</f>
        <v>5.15</v>
      </c>
      <c r="N1890">
        <f t="shared" si="235"/>
        <v>3.0000000000000249E-2</v>
      </c>
      <c r="O1890">
        <f t="shared" si="236"/>
        <v>8.1098015108347354E-3</v>
      </c>
      <c r="P1890">
        <f t="shared" si="237"/>
        <v>1</v>
      </c>
      <c r="Q1890">
        <f t="shared" si="238"/>
        <v>1</v>
      </c>
    </row>
    <row r="1891" spans="1:17">
      <c r="A1891" s="1">
        <v>45203</v>
      </c>
      <c r="B1891">
        <v>4263.75</v>
      </c>
      <c r="C1891">
        <f t="shared" si="232"/>
        <v>8.1098015108347354E-3</v>
      </c>
      <c r="D1891">
        <f t="shared" si="239"/>
        <v>-5.6669115332144138E-3</v>
      </c>
      <c r="E1891">
        <f>_xlfn.XLOOKUP(A1891,VIX!A:A,VIX!B:B,"",-1)</f>
        <v>18.579999999999998</v>
      </c>
      <c r="F1891">
        <f t="shared" si="233"/>
        <v>-1.2000000000000028</v>
      </c>
      <c r="G1891">
        <f>_xlfn.XLOOKUP(A1891,'DGS10'!A:A,'DGS10'!B:B,"",-1)</f>
        <v>4.7300000000000004</v>
      </c>
      <c r="H1891">
        <f t="shared" si="234"/>
        <v>-7.9999999999999183E-2</v>
      </c>
      <c r="I1891" s="2">
        <f>_xlfn.XLOOKUP(A1891,T10Y3M!A:A,T10Y3M!B:B,"",-1)</f>
        <v>-0.88</v>
      </c>
      <c r="J1891" s="2">
        <f>_xlfn.XLOOKUP(A1891,BAMLC0A4CBBB!A:A,BAMLC0A4CBBB!B:B,"",-1)</f>
        <v>1.58</v>
      </c>
      <c r="K1891" s="2">
        <f>_xlfn.XLOOKUP(A1891,CPIAUCSL!A:A,CPIAUCSL!B:B,"",-1)</f>
        <v>307.69600000000003</v>
      </c>
      <c r="L1891">
        <f>_xlfn.XLOOKUP(A1891,DFF!A:A,DFF!B:B,"",-1)</f>
        <v>5.33</v>
      </c>
      <c r="M1891">
        <f>_xlfn.XLOOKUP(A1891,'DGS2'!A:A,'DGS2'!B:B,"",-1)</f>
        <v>5.05</v>
      </c>
      <c r="N1891">
        <f t="shared" si="235"/>
        <v>-0.10000000000000053</v>
      </c>
      <c r="O1891">
        <f t="shared" si="236"/>
        <v>-1.3040164174730196E-3</v>
      </c>
      <c r="P1891">
        <f t="shared" si="237"/>
        <v>0</v>
      </c>
      <c r="Q1891">
        <f t="shared" si="238"/>
        <v>0</v>
      </c>
    </row>
    <row r="1892" spans="1:17">
      <c r="A1892" s="1">
        <v>45204</v>
      </c>
      <c r="B1892">
        <v>4258.1899999999996</v>
      </c>
      <c r="C1892">
        <f t="shared" si="232"/>
        <v>-1.3040164174730196E-3</v>
      </c>
      <c r="D1892">
        <f t="shared" si="239"/>
        <v>-7.0422699427992175E-3</v>
      </c>
      <c r="E1892">
        <f>_xlfn.XLOOKUP(A1892,VIX!A:A,VIX!B:B,"",-1)</f>
        <v>18.489999999999998</v>
      </c>
      <c r="F1892">
        <f t="shared" si="233"/>
        <v>-8.9999999999999858E-2</v>
      </c>
      <c r="G1892">
        <f>_xlfn.XLOOKUP(A1892,'DGS10'!A:A,'DGS10'!B:B,"",-1)</f>
        <v>4.72</v>
      </c>
      <c r="H1892">
        <f t="shared" si="234"/>
        <v>-1.0000000000000675E-2</v>
      </c>
      <c r="I1892" s="2">
        <f>_xlfn.XLOOKUP(A1892,T10Y3M!A:A,T10Y3M!B:B,"",-1)</f>
        <v>-0.89</v>
      </c>
      <c r="J1892" s="2">
        <f>_xlfn.XLOOKUP(A1892,BAMLC0A4CBBB!A:A,BAMLC0A4CBBB!B:B,"",-1)</f>
        <v>1.59</v>
      </c>
      <c r="K1892" s="2">
        <f>_xlfn.XLOOKUP(A1892,CPIAUCSL!A:A,CPIAUCSL!B:B,"",-1)</f>
        <v>307.69600000000003</v>
      </c>
      <c r="L1892">
        <f>_xlfn.XLOOKUP(A1892,DFF!A:A,DFF!B:B,"",-1)</f>
        <v>5.33</v>
      </c>
      <c r="M1892">
        <f>_xlfn.XLOOKUP(A1892,'DGS2'!A:A,'DGS2'!B:B,"",-1)</f>
        <v>5.03</v>
      </c>
      <c r="N1892">
        <f t="shared" si="235"/>
        <v>-1.9999999999999574E-2</v>
      </c>
      <c r="O1892">
        <f t="shared" si="236"/>
        <v>1.1814879091820885E-2</v>
      </c>
      <c r="P1892">
        <f t="shared" si="237"/>
        <v>1</v>
      </c>
      <c r="Q1892">
        <f t="shared" si="238"/>
        <v>1</v>
      </c>
    </row>
    <row r="1893" spans="1:17">
      <c r="A1893" s="1">
        <v>45205</v>
      </c>
      <c r="B1893">
        <v>4308.5</v>
      </c>
      <c r="C1893">
        <f t="shared" si="232"/>
        <v>1.1814879091820885E-2</v>
      </c>
      <c r="D1893">
        <f t="shared" si="239"/>
        <v>1.8690373452812992E-2</v>
      </c>
      <c r="E1893">
        <f>_xlfn.XLOOKUP(A1893,VIX!A:A,VIX!B:B,"",-1)</f>
        <v>17.45</v>
      </c>
      <c r="F1893">
        <f t="shared" si="233"/>
        <v>-1.0399999999999991</v>
      </c>
      <c r="G1893">
        <f>_xlfn.XLOOKUP(A1893,'DGS10'!A:A,'DGS10'!B:B,"",-1)</f>
        <v>4.78</v>
      </c>
      <c r="H1893">
        <f t="shared" si="234"/>
        <v>6.0000000000000497E-2</v>
      </c>
      <c r="I1893" s="2">
        <f>_xlfn.XLOOKUP(A1893,T10Y3M!A:A,T10Y3M!B:B,"",-1)</f>
        <v>-0.85</v>
      </c>
      <c r="J1893" s="2">
        <f>_xlfn.XLOOKUP(A1893,BAMLC0A4CBBB!A:A,BAMLC0A4CBBB!B:B,"",-1)</f>
        <v>1.58</v>
      </c>
      <c r="K1893" s="2">
        <f>_xlfn.XLOOKUP(A1893,CPIAUCSL!A:A,CPIAUCSL!B:B,"",-1)</f>
        <v>307.69600000000003</v>
      </c>
      <c r="L1893">
        <f>_xlfn.XLOOKUP(A1893,DFF!A:A,DFF!B:B,"",-1)</f>
        <v>5.33</v>
      </c>
      <c r="M1893">
        <f>_xlfn.XLOOKUP(A1893,'DGS2'!A:A,'DGS2'!B:B,"",-1)</f>
        <v>5.08</v>
      </c>
      <c r="N1893">
        <f t="shared" si="235"/>
        <v>4.9999999999999822E-2</v>
      </c>
      <c r="O1893">
        <f t="shared" si="236"/>
        <v>6.3038180341186134E-3</v>
      </c>
      <c r="P1893">
        <f t="shared" si="237"/>
        <v>1</v>
      </c>
      <c r="Q1893">
        <f t="shared" si="238"/>
        <v>1</v>
      </c>
    </row>
    <row r="1894" spans="1:17">
      <c r="A1894" s="1">
        <v>45208</v>
      </c>
      <c r="B1894">
        <v>4335.66</v>
      </c>
      <c r="C1894">
        <f t="shared" si="232"/>
        <v>6.3038180341186134E-3</v>
      </c>
      <c r="D1894">
        <f t="shared" si="239"/>
        <v>1.6865435356200553E-2</v>
      </c>
      <c r="E1894">
        <f>_xlfn.XLOOKUP(A1894,VIX!A:A,VIX!B:B,"",-1)</f>
        <v>17.7</v>
      </c>
      <c r="F1894">
        <f t="shared" si="233"/>
        <v>0.25</v>
      </c>
      <c r="G1894">
        <f>_xlfn.XLOOKUP(A1894,'DGS10'!A:A,'DGS10'!B:B,"",-1)</f>
        <v>0</v>
      </c>
      <c r="H1894">
        <f t="shared" si="234"/>
        <v>-4.78</v>
      </c>
      <c r="I1894" s="2">
        <f>_xlfn.XLOOKUP(A1894,T10Y3M!A:A,T10Y3M!B:B,"",-1)</f>
        <v>0</v>
      </c>
      <c r="J1894" s="2">
        <f>_xlfn.XLOOKUP(A1894,BAMLC0A4CBBB!A:A,BAMLC0A4CBBB!B:B,"",-1)</f>
        <v>1.58</v>
      </c>
      <c r="K1894" s="2">
        <f>_xlfn.XLOOKUP(A1894,CPIAUCSL!A:A,CPIAUCSL!B:B,"",-1)</f>
        <v>307.69600000000003</v>
      </c>
      <c r="L1894">
        <f>_xlfn.XLOOKUP(A1894,DFF!A:A,DFF!B:B,"",-1)</f>
        <v>5.33</v>
      </c>
      <c r="M1894">
        <f>_xlfn.XLOOKUP(A1894,'DGS2'!A:A,'DGS2'!B:B,"",-1)</f>
        <v>0</v>
      </c>
      <c r="N1894">
        <f t="shared" si="235"/>
        <v>-5.08</v>
      </c>
      <c r="O1894">
        <f t="shared" si="236"/>
        <v>5.2079729499083793E-3</v>
      </c>
      <c r="P1894">
        <f t="shared" si="237"/>
        <v>1</v>
      </c>
      <c r="Q1894">
        <f t="shared" si="238"/>
        <v>1</v>
      </c>
    </row>
    <row r="1895" spans="1:17">
      <c r="A1895" s="1">
        <v>45209</v>
      </c>
      <c r="B1895">
        <v>4358.24</v>
      </c>
      <c r="C1895">
        <f t="shared" si="232"/>
        <v>5.2079729499083793E-3</v>
      </c>
      <c r="D1895">
        <f t="shared" si="239"/>
        <v>2.3495898492082334E-2</v>
      </c>
      <c r="E1895">
        <f>_xlfn.XLOOKUP(A1895,VIX!A:A,VIX!B:B,"",-1)</f>
        <v>17.03</v>
      </c>
      <c r="F1895">
        <f t="shared" si="233"/>
        <v>-0.66999999999999815</v>
      </c>
      <c r="G1895">
        <f>_xlfn.XLOOKUP(A1895,'DGS10'!A:A,'DGS10'!B:B,"",-1)</f>
        <v>4.66</v>
      </c>
      <c r="H1895">
        <f t="shared" si="234"/>
        <v>4.66</v>
      </c>
      <c r="I1895" s="2">
        <f>_xlfn.XLOOKUP(A1895,T10Y3M!A:A,T10Y3M!B:B,"",-1)</f>
        <v>-0.95</v>
      </c>
      <c r="J1895" s="2">
        <f>_xlfn.XLOOKUP(A1895,BAMLC0A4CBBB!A:A,BAMLC0A4CBBB!B:B,"",-1)</f>
        <v>1.58</v>
      </c>
      <c r="K1895" s="2">
        <f>_xlfn.XLOOKUP(A1895,CPIAUCSL!A:A,CPIAUCSL!B:B,"",-1)</f>
        <v>307.69600000000003</v>
      </c>
      <c r="L1895">
        <f>_xlfn.XLOOKUP(A1895,DFF!A:A,DFF!B:B,"",-1)</f>
        <v>5.33</v>
      </c>
      <c r="M1895">
        <f>_xlfn.XLOOKUP(A1895,'DGS2'!A:A,'DGS2'!B:B,"",-1)</f>
        <v>4.96</v>
      </c>
      <c r="N1895">
        <f t="shared" si="235"/>
        <v>4.96</v>
      </c>
      <c r="O1895">
        <f t="shared" si="236"/>
        <v>4.2930173648079162E-3</v>
      </c>
      <c r="P1895">
        <f t="shared" si="237"/>
        <v>1</v>
      </c>
      <c r="Q1895">
        <f t="shared" si="238"/>
        <v>1</v>
      </c>
    </row>
    <row r="1896" spans="1:17">
      <c r="A1896" s="1">
        <v>45210</v>
      </c>
      <c r="B1896">
        <v>4376.95</v>
      </c>
      <c r="C1896">
        <f t="shared" si="232"/>
        <v>4.2930173648079162E-3</v>
      </c>
      <c r="D1896">
        <f t="shared" si="239"/>
        <v>1.5887199721480671E-2</v>
      </c>
      <c r="E1896">
        <f>_xlfn.XLOOKUP(A1896,VIX!A:A,VIX!B:B,"",-1)</f>
        <v>16.09</v>
      </c>
      <c r="F1896">
        <f t="shared" si="233"/>
        <v>-0.94000000000000128</v>
      </c>
      <c r="G1896">
        <f>_xlfn.XLOOKUP(A1896,'DGS10'!A:A,'DGS10'!B:B,"",-1)</f>
        <v>4.58</v>
      </c>
      <c r="H1896">
        <f t="shared" si="234"/>
        <v>-8.0000000000000071E-2</v>
      </c>
      <c r="I1896" s="2">
        <f>_xlfn.XLOOKUP(A1896,T10Y3M!A:A,T10Y3M!B:B,"",-1)</f>
        <v>-1.03</v>
      </c>
      <c r="J1896" s="2">
        <f>_xlfn.XLOOKUP(A1896,BAMLC0A4CBBB!A:A,BAMLC0A4CBBB!B:B,"",-1)</f>
        <v>1.57</v>
      </c>
      <c r="K1896" s="2">
        <f>_xlfn.XLOOKUP(A1896,CPIAUCSL!A:A,CPIAUCSL!B:B,"",-1)</f>
        <v>307.69600000000003</v>
      </c>
      <c r="L1896">
        <f>_xlfn.XLOOKUP(A1896,DFF!A:A,DFF!B:B,"",-1)</f>
        <v>5.33</v>
      </c>
      <c r="M1896">
        <f>_xlfn.XLOOKUP(A1896,'DGS2'!A:A,'DGS2'!B:B,"",-1)</f>
        <v>4.99</v>
      </c>
      <c r="N1896">
        <f t="shared" si="235"/>
        <v>3.0000000000000249E-2</v>
      </c>
      <c r="O1896">
        <f t="shared" si="236"/>
        <v>-6.2463587658072584E-3</v>
      </c>
      <c r="P1896">
        <f t="shared" si="237"/>
        <v>0</v>
      </c>
      <c r="Q1896">
        <f t="shared" si="238"/>
        <v>-1</v>
      </c>
    </row>
    <row r="1897" spans="1:17">
      <c r="A1897" s="1">
        <v>45211</v>
      </c>
      <c r="B1897">
        <v>4349.6099999999997</v>
      </c>
      <c r="C1897">
        <f t="shared" si="232"/>
        <v>-6.2463587658072584E-3</v>
      </c>
      <c r="D1897">
        <f t="shared" si="239"/>
        <v>3.2175032175032481E-3</v>
      </c>
      <c r="E1897">
        <f>_xlfn.XLOOKUP(A1897,VIX!A:A,VIX!B:B,"",-1)</f>
        <v>16.690000000000001</v>
      </c>
      <c r="F1897">
        <f t="shared" si="233"/>
        <v>0.60000000000000142</v>
      </c>
      <c r="G1897">
        <f>_xlfn.XLOOKUP(A1897,'DGS10'!A:A,'DGS10'!B:B,"",-1)</f>
        <v>4.7</v>
      </c>
      <c r="H1897">
        <f t="shared" si="234"/>
        <v>0.12000000000000011</v>
      </c>
      <c r="I1897" s="2">
        <f>_xlfn.XLOOKUP(A1897,T10Y3M!A:A,T10Y3M!B:B,"",-1)</f>
        <v>-0.93</v>
      </c>
      <c r="J1897" s="2">
        <f>_xlfn.XLOOKUP(A1897,BAMLC0A4CBBB!A:A,BAMLC0A4CBBB!B:B,"",-1)</f>
        <v>1.56</v>
      </c>
      <c r="K1897" s="2">
        <f>_xlfn.XLOOKUP(A1897,CPIAUCSL!A:A,CPIAUCSL!B:B,"",-1)</f>
        <v>307.69600000000003</v>
      </c>
      <c r="L1897">
        <f>_xlfn.XLOOKUP(A1897,DFF!A:A,DFF!B:B,"",-1)</f>
        <v>5.33</v>
      </c>
      <c r="M1897">
        <f>_xlfn.XLOOKUP(A1897,'DGS2'!A:A,'DGS2'!B:B,"",-1)</f>
        <v>5.0599999999999996</v>
      </c>
      <c r="N1897">
        <f t="shared" si="235"/>
        <v>6.9999999999999396E-2</v>
      </c>
      <c r="O1897">
        <f t="shared" si="236"/>
        <v>-5.0188407696322157E-3</v>
      </c>
      <c r="P1897">
        <f t="shared" si="237"/>
        <v>0</v>
      </c>
      <c r="Q1897">
        <f t="shared" si="238"/>
        <v>-1</v>
      </c>
    </row>
    <row r="1898" spans="1:17">
      <c r="A1898" s="1">
        <v>45212</v>
      </c>
      <c r="B1898">
        <v>4327.78</v>
      </c>
      <c r="C1898">
        <f t="shared" si="232"/>
        <v>-5.0188407696322157E-3</v>
      </c>
      <c r="D1898">
        <f t="shared" si="239"/>
        <v>-6.9890598039575869E-3</v>
      </c>
      <c r="E1898">
        <f>_xlfn.XLOOKUP(A1898,VIX!A:A,VIX!B:B,"",-1)</f>
        <v>19.32</v>
      </c>
      <c r="F1898">
        <f t="shared" si="233"/>
        <v>2.629999999999999</v>
      </c>
      <c r="G1898">
        <f>_xlfn.XLOOKUP(A1898,'DGS10'!A:A,'DGS10'!B:B,"",-1)</f>
        <v>4.63</v>
      </c>
      <c r="H1898">
        <f t="shared" si="234"/>
        <v>-7.0000000000000284E-2</v>
      </c>
      <c r="I1898" s="2">
        <f>_xlfn.XLOOKUP(A1898,T10Y3M!A:A,T10Y3M!B:B,"",-1)</f>
        <v>-0.99</v>
      </c>
      <c r="J1898" s="2">
        <f>_xlfn.XLOOKUP(A1898,BAMLC0A4CBBB!A:A,BAMLC0A4CBBB!B:B,"",-1)</f>
        <v>1.57</v>
      </c>
      <c r="K1898" s="2">
        <f>_xlfn.XLOOKUP(A1898,CPIAUCSL!A:A,CPIAUCSL!B:B,"",-1)</f>
        <v>307.69600000000003</v>
      </c>
      <c r="L1898">
        <f>_xlfn.XLOOKUP(A1898,DFF!A:A,DFF!B:B,"",-1)</f>
        <v>5.33</v>
      </c>
      <c r="M1898">
        <f>_xlfn.XLOOKUP(A1898,'DGS2'!A:A,'DGS2'!B:B,"",-1)</f>
        <v>5.04</v>
      </c>
      <c r="N1898">
        <f t="shared" si="235"/>
        <v>-1.9999999999999574E-2</v>
      </c>
      <c r="O1898">
        <f t="shared" si="236"/>
        <v>1.0594346293018697E-2</v>
      </c>
      <c r="P1898">
        <f t="shared" si="237"/>
        <v>1</v>
      </c>
      <c r="Q1898">
        <f t="shared" si="238"/>
        <v>1</v>
      </c>
    </row>
    <row r="1899" spans="1:17">
      <c r="A1899" s="1">
        <v>45215</v>
      </c>
      <c r="B1899">
        <v>4373.63</v>
      </c>
      <c r="C1899">
        <f t="shared" si="232"/>
        <v>1.0594346293018697E-2</v>
      </c>
      <c r="D1899">
        <f t="shared" si="239"/>
        <v>-7.5851906007606829E-4</v>
      </c>
      <c r="E1899">
        <f>_xlfn.XLOOKUP(A1899,VIX!A:A,VIX!B:B,"",-1)</f>
        <v>17.21</v>
      </c>
      <c r="F1899">
        <f t="shared" si="233"/>
        <v>-2.1099999999999994</v>
      </c>
      <c r="G1899">
        <f>_xlfn.XLOOKUP(A1899,'DGS10'!A:A,'DGS10'!B:B,"",-1)</f>
        <v>4.71</v>
      </c>
      <c r="H1899">
        <f t="shared" si="234"/>
        <v>8.0000000000000071E-2</v>
      </c>
      <c r="I1899" s="2">
        <f>_xlfn.XLOOKUP(A1899,T10Y3M!A:A,T10Y3M!B:B,"",-1)</f>
        <v>-0.9</v>
      </c>
      <c r="J1899" s="2">
        <f>_xlfn.XLOOKUP(A1899,BAMLC0A4CBBB!A:A,BAMLC0A4CBBB!B:B,"",-1)</f>
        <v>1.56</v>
      </c>
      <c r="K1899" s="2">
        <f>_xlfn.XLOOKUP(A1899,CPIAUCSL!A:A,CPIAUCSL!B:B,"",-1)</f>
        <v>307.69600000000003</v>
      </c>
      <c r="L1899">
        <f>_xlfn.XLOOKUP(A1899,DFF!A:A,DFF!B:B,"",-1)</f>
        <v>5.33</v>
      </c>
      <c r="M1899">
        <f>_xlfn.XLOOKUP(A1899,'DGS2'!A:A,'DGS2'!B:B,"",-1)</f>
        <v>5.09</v>
      </c>
      <c r="N1899">
        <f t="shared" si="235"/>
        <v>4.9999999999999822E-2</v>
      </c>
      <c r="O1899">
        <f t="shared" si="236"/>
        <v>-9.831650139591197E-5</v>
      </c>
      <c r="P1899">
        <f t="shared" si="237"/>
        <v>0</v>
      </c>
      <c r="Q1899">
        <f t="shared" si="238"/>
        <v>0</v>
      </c>
    </row>
    <row r="1900" spans="1:17">
      <c r="A1900" s="1">
        <v>45216</v>
      </c>
      <c r="B1900">
        <v>4373.2</v>
      </c>
      <c r="C1900">
        <f t="shared" si="232"/>
        <v>-9.831650139591197E-5</v>
      </c>
      <c r="D1900">
        <f t="shared" si="239"/>
        <v>5.4234747483108414E-3</v>
      </c>
      <c r="E1900">
        <f>_xlfn.XLOOKUP(A1900,VIX!A:A,VIX!B:B,"",-1)</f>
        <v>17.88</v>
      </c>
      <c r="F1900">
        <f t="shared" si="233"/>
        <v>0.66999999999999815</v>
      </c>
      <c r="G1900">
        <f>_xlfn.XLOOKUP(A1900,'DGS10'!A:A,'DGS10'!B:B,"",-1)</f>
        <v>4.83</v>
      </c>
      <c r="H1900">
        <f t="shared" si="234"/>
        <v>0.12000000000000011</v>
      </c>
      <c r="I1900" s="2">
        <f>_xlfn.XLOOKUP(A1900,T10Y3M!A:A,T10Y3M!B:B,"",-1)</f>
        <v>-0.79</v>
      </c>
      <c r="J1900" s="2">
        <f>_xlfn.XLOOKUP(A1900,BAMLC0A4CBBB!A:A,BAMLC0A4CBBB!B:B,"",-1)</f>
        <v>1.56</v>
      </c>
      <c r="K1900" s="2">
        <f>_xlfn.XLOOKUP(A1900,CPIAUCSL!A:A,CPIAUCSL!B:B,"",-1)</f>
        <v>307.69600000000003</v>
      </c>
      <c r="L1900">
        <f>_xlfn.XLOOKUP(A1900,DFF!A:A,DFF!B:B,"",-1)</f>
        <v>5.33</v>
      </c>
      <c r="M1900">
        <f>_xlfn.XLOOKUP(A1900,'DGS2'!A:A,'DGS2'!B:B,"",-1)</f>
        <v>5.19</v>
      </c>
      <c r="N1900">
        <f t="shared" si="235"/>
        <v>0.10000000000000053</v>
      </c>
      <c r="O1900">
        <f t="shared" si="236"/>
        <v>-1.3399798774352711E-2</v>
      </c>
      <c r="P1900">
        <f t="shared" si="237"/>
        <v>0</v>
      </c>
      <c r="Q1900">
        <f t="shared" si="238"/>
        <v>-1</v>
      </c>
    </row>
    <row r="1901" spans="1:17">
      <c r="A1901" s="1">
        <v>45217</v>
      </c>
      <c r="B1901">
        <v>4314.6000000000004</v>
      </c>
      <c r="C1901">
        <f t="shared" si="232"/>
        <v>-1.3399798774352711E-2</v>
      </c>
      <c r="D1901">
        <f t="shared" si="239"/>
        <v>-3.0454413117115831E-3</v>
      </c>
      <c r="E1901">
        <f>_xlfn.XLOOKUP(A1901,VIX!A:A,VIX!B:B,"",-1)</f>
        <v>19.22</v>
      </c>
      <c r="F1901">
        <f t="shared" si="233"/>
        <v>1.3399999999999999</v>
      </c>
      <c r="G1901">
        <f>_xlfn.XLOOKUP(A1901,'DGS10'!A:A,'DGS10'!B:B,"",-1)</f>
        <v>4.91</v>
      </c>
      <c r="H1901">
        <f t="shared" si="234"/>
        <v>8.0000000000000071E-2</v>
      </c>
      <c r="I1901" s="2">
        <f>_xlfn.XLOOKUP(A1901,T10Y3M!A:A,T10Y3M!B:B,"",-1)</f>
        <v>-0.7</v>
      </c>
      <c r="J1901" s="2">
        <f>_xlfn.XLOOKUP(A1901,BAMLC0A4CBBB!A:A,BAMLC0A4CBBB!B:B,"",-1)</f>
        <v>1.58</v>
      </c>
      <c r="K1901" s="2">
        <f>_xlfn.XLOOKUP(A1901,CPIAUCSL!A:A,CPIAUCSL!B:B,"",-1)</f>
        <v>307.69600000000003</v>
      </c>
      <c r="L1901">
        <f>_xlfn.XLOOKUP(A1901,DFF!A:A,DFF!B:B,"",-1)</f>
        <v>5.33</v>
      </c>
      <c r="M1901">
        <f>_xlfn.XLOOKUP(A1901,'DGS2'!A:A,'DGS2'!B:B,"",-1)</f>
        <v>5.19</v>
      </c>
      <c r="N1901">
        <f t="shared" si="235"/>
        <v>0</v>
      </c>
      <c r="O1901">
        <f t="shared" si="236"/>
        <v>-8.4828257544152796E-3</v>
      </c>
      <c r="P1901">
        <f t="shared" si="237"/>
        <v>0</v>
      </c>
      <c r="Q1901">
        <f t="shared" si="238"/>
        <v>-1</v>
      </c>
    </row>
    <row r="1902" spans="1:17">
      <c r="A1902" s="1">
        <v>45218</v>
      </c>
      <c r="B1902">
        <v>4278</v>
      </c>
      <c r="C1902">
        <f t="shared" si="232"/>
        <v>-8.4828257544152796E-3</v>
      </c>
      <c r="D1902">
        <f t="shared" si="239"/>
        <v>-2.1865132624387495E-2</v>
      </c>
      <c r="E1902">
        <f>_xlfn.XLOOKUP(A1902,VIX!A:A,VIX!B:B,"",-1)</f>
        <v>21.4</v>
      </c>
      <c r="F1902">
        <f t="shared" si="233"/>
        <v>2.1799999999999997</v>
      </c>
      <c r="G1902">
        <f>_xlfn.XLOOKUP(A1902,'DGS10'!A:A,'DGS10'!B:B,"",-1)</f>
        <v>4.9800000000000004</v>
      </c>
      <c r="H1902">
        <f t="shared" si="234"/>
        <v>7.0000000000000284E-2</v>
      </c>
      <c r="I1902" s="2">
        <f>_xlfn.XLOOKUP(A1902,T10Y3M!A:A,T10Y3M!B:B,"",-1)</f>
        <v>-0.62</v>
      </c>
      <c r="J1902" s="2">
        <f>_xlfn.XLOOKUP(A1902,BAMLC0A4CBBB!A:A,BAMLC0A4CBBB!B:B,"",-1)</f>
        <v>1.6</v>
      </c>
      <c r="K1902" s="2">
        <f>_xlfn.XLOOKUP(A1902,CPIAUCSL!A:A,CPIAUCSL!B:B,"",-1)</f>
        <v>307.69600000000003</v>
      </c>
      <c r="L1902">
        <f>_xlfn.XLOOKUP(A1902,DFF!A:A,DFF!B:B,"",-1)</f>
        <v>5.33</v>
      </c>
      <c r="M1902">
        <f>_xlfn.XLOOKUP(A1902,'DGS2'!A:A,'DGS2'!B:B,"",-1)</f>
        <v>5.14</v>
      </c>
      <c r="N1902">
        <f t="shared" si="235"/>
        <v>-5.0000000000000711E-2</v>
      </c>
      <c r="O1902">
        <f t="shared" si="236"/>
        <v>-1.2585320243104325E-2</v>
      </c>
      <c r="P1902">
        <f t="shared" si="237"/>
        <v>0</v>
      </c>
      <c r="Q1902">
        <f t="shared" si="238"/>
        <v>-1</v>
      </c>
    </row>
    <row r="1903" spans="1:17">
      <c r="A1903" s="1">
        <v>45219</v>
      </c>
      <c r="B1903">
        <v>4224.16</v>
      </c>
      <c r="C1903">
        <f t="shared" si="232"/>
        <v>-1.2585320243104325E-2</v>
      </c>
      <c r="D1903">
        <f t="shared" si="239"/>
        <v>-3.4080307326442849E-2</v>
      </c>
      <c r="E1903">
        <f>_xlfn.XLOOKUP(A1903,VIX!A:A,VIX!B:B,"",-1)</f>
        <v>21.71</v>
      </c>
      <c r="F1903">
        <f t="shared" si="233"/>
        <v>0.31000000000000227</v>
      </c>
      <c r="G1903">
        <f>_xlfn.XLOOKUP(A1903,'DGS10'!A:A,'DGS10'!B:B,"",-1)</f>
        <v>4.93</v>
      </c>
      <c r="H1903">
        <f t="shared" si="234"/>
        <v>-5.0000000000000711E-2</v>
      </c>
      <c r="I1903" s="2">
        <f>_xlfn.XLOOKUP(A1903,T10Y3M!A:A,T10Y3M!B:B,"",-1)</f>
        <v>-0.65</v>
      </c>
      <c r="J1903" s="2">
        <f>_xlfn.XLOOKUP(A1903,BAMLC0A4CBBB!A:A,BAMLC0A4CBBB!B:B,"",-1)</f>
        <v>1.63</v>
      </c>
      <c r="K1903" s="2">
        <f>_xlfn.XLOOKUP(A1903,CPIAUCSL!A:A,CPIAUCSL!B:B,"",-1)</f>
        <v>307.69600000000003</v>
      </c>
      <c r="L1903">
        <f>_xlfn.XLOOKUP(A1903,DFF!A:A,DFF!B:B,"",-1)</f>
        <v>5.33</v>
      </c>
      <c r="M1903">
        <f>_xlfn.XLOOKUP(A1903,'DGS2'!A:A,'DGS2'!B:B,"",-1)</f>
        <v>5.07</v>
      </c>
      <c r="N1903">
        <f t="shared" si="235"/>
        <v>-6.9999999999999396E-2</v>
      </c>
      <c r="O1903">
        <f t="shared" si="236"/>
        <v>-1.685542214310054E-3</v>
      </c>
      <c r="P1903">
        <f t="shared" si="237"/>
        <v>0</v>
      </c>
      <c r="Q1903">
        <f t="shared" si="238"/>
        <v>0</v>
      </c>
    </row>
    <row r="1904" spans="1:17">
      <c r="A1904" s="1">
        <v>45222</v>
      </c>
      <c r="B1904">
        <v>4217.04</v>
      </c>
      <c r="C1904">
        <f t="shared" si="232"/>
        <v>-1.685542214310054E-3</v>
      </c>
      <c r="D1904">
        <f t="shared" si="239"/>
        <v>-2.2611597830621721E-2</v>
      </c>
      <c r="E1904">
        <f>_xlfn.XLOOKUP(A1904,VIX!A:A,VIX!B:B,"",-1)</f>
        <v>20.37</v>
      </c>
      <c r="F1904">
        <f t="shared" si="233"/>
        <v>-1.3399999999999999</v>
      </c>
      <c r="G1904">
        <f>_xlfn.XLOOKUP(A1904,'DGS10'!A:A,'DGS10'!B:B,"",-1)</f>
        <v>4.8600000000000003</v>
      </c>
      <c r="H1904">
        <f t="shared" si="234"/>
        <v>-6.9999999999999396E-2</v>
      </c>
      <c r="I1904" s="2">
        <f>_xlfn.XLOOKUP(A1904,T10Y3M!A:A,T10Y3M!B:B,"",-1)</f>
        <v>-0.72</v>
      </c>
      <c r="J1904" s="2">
        <f>_xlfn.XLOOKUP(A1904,BAMLC0A4CBBB!A:A,BAMLC0A4CBBB!B:B,"",-1)</f>
        <v>1.63</v>
      </c>
      <c r="K1904" s="2">
        <f>_xlfn.XLOOKUP(A1904,CPIAUCSL!A:A,CPIAUCSL!B:B,"",-1)</f>
        <v>307.69600000000003</v>
      </c>
      <c r="L1904">
        <f>_xlfn.XLOOKUP(A1904,DFF!A:A,DFF!B:B,"",-1)</f>
        <v>5.33</v>
      </c>
      <c r="M1904">
        <f>_xlfn.XLOOKUP(A1904,'DGS2'!A:A,'DGS2'!B:B,"",-1)</f>
        <v>5.05</v>
      </c>
      <c r="N1904">
        <f t="shared" si="235"/>
        <v>-2.0000000000000462E-2</v>
      </c>
      <c r="O1904">
        <f t="shared" si="236"/>
        <v>7.2657598694820802E-3</v>
      </c>
      <c r="P1904">
        <f t="shared" si="237"/>
        <v>1</v>
      </c>
      <c r="Q1904">
        <f t="shared" si="238"/>
        <v>1</v>
      </c>
    </row>
    <row r="1905" spans="1:17">
      <c r="A1905" s="1">
        <v>45223</v>
      </c>
      <c r="B1905">
        <v>4247.68</v>
      </c>
      <c r="C1905">
        <f t="shared" si="232"/>
        <v>7.2657598694820802E-3</v>
      </c>
      <c r="D1905">
        <f t="shared" si="239"/>
        <v>-7.0874240299204638E-3</v>
      </c>
      <c r="E1905">
        <f>_xlfn.XLOOKUP(A1905,VIX!A:A,VIX!B:B,"",-1)</f>
        <v>18.97</v>
      </c>
      <c r="F1905">
        <f t="shared" si="233"/>
        <v>-1.4000000000000021</v>
      </c>
      <c r="G1905">
        <f>_xlfn.XLOOKUP(A1905,'DGS10'!A:A,'DGS10'!B:B,"",-1)</f>
        <v>4.83</v>
      </c>
      <c r="H1905">
        <f t="shared" si="234"/>
        <v>-3.0000000000000249E-2</v>
      </c>
      <c r="I1905" s="2">
        <f>_xlfn.XLOOKUP(A1905,T10Y3M!A:A,T10Y3M!B:B,"",-1)</f>
        <v>-0.75</v>
      </c>
      <c r="J1905" s="2">
        <f>_xlfn.XLOOKUP(A1905,BAMLC0A4CBBB!A:A,BAMLC0A4CBBB!B:B,"",-1)</f>
        <v>1.6</v>
      </c>
      <c r="K1905" s="2">
        <f>_xlfn.XLOOKUP(A1905,CPIAUCSL!A:A,CPIAUCSL!B:B,"",-1)</f>
        <v>307.69600000000003</v>
      </c>
      <c r="L1905">
        <f>_xlfn.XLOOKUP(A1905,DFF!A:A,DFF!B:B,"",-1)</f>
        <v>5.33</v>
      </c>
      <c r="M1905">
        <f>_xlfn.XLOOKUP(A1905,'DGS2'!A:A,'DGS2'!B:B,"",-1)</f>
        <v>5.0199999999999996</v>
      </c>
      <c r="N1905">
        <f t="shared" si="235"/>
        <v>-3.0000000000000249E-2</v>
      </c>
      <c r="O1905">
        <f t="shared" si="236"/>
        <v>-1.4339592436341642E-2</v>
      </c>
      <c r="P1905">
        <f t="shared" si="237"/>
        <v>0</v>
      </c>
      <c r="Q1905">
        <f t="shared" si="238"/>
        <v>-1</v>
      </c>
    </row>
    <row r="1906" spans="1:17">
      <c r="A1906" s="1">
        <v>45224</v>
      </c>
      <c r="B1906">
        <v>4186.7700000000004</v>
      </c>
      <c r="C1906">
        <f t="shared" si="232"/>
        <v>-1.4339592436341642E-2</v>
      </c>
      <c r="D1906">
        <f t="shared" si="239"/>
        <v>-8.8514639596983802E-3</v>
      </c>
      <c r="E1906">
        <f>_xlfn.XLOOKUP(A1906,VIX!A:A,VIX!B:B,"",-1)</f>
        <v>20.190000000000001</v>
      </c>
      <c r="F1906">
        <f t="shared" si="233"/>
        <v>1.2200000000000024</v>
      </c>
      <c r="G1906">
        <f>_xlfn.XLOOKUP(A1906,'DGS10'!A:A,'DGS10'!B:B,"",-1)</f>
        <v>4.95</v>
      </c>
      <c r="H1906">
        <f t="shared" si="234"/>
        <v>0.12000000000000011</v>
      </c>
      <c r="I1906" s="2">
        <f>_xlfn.XLOOKUP(A1906,T10Y3M!A:A,T10Y3M!B:B,"",-1)</f>
        <v>-0.64</v>
      </c>
      <c r="J1906" s="2">
        <f>_xlfn.XLOOKUP(A1906,BAMLC0A4CBBB!A:A,BAMLC0A4CBBB!B:B,"",-1)</f>
        <v>1.59</v>
      </c>
      <c r="K1906" s="2">
        <f>_xlfn.XLOOKUP(A1906,CPIAUCSL!A:A,CPIAUCSL!B:B,"",-1)</f>
        <v>307.69600000000003</v>
      </c>
      <c r="L1906">
        <f>_xlfn.XLOOKUP(A1906,DFF!A:A,DFF!B:B,"",-1)</f>
        <v>5.33</v>
      </c>
      <c r="M1906">
        <f>_xlfn.XLOOKUP(A1906,'DGS2'!A:A,'DGS2'!B:B,"",-1)</f>
        <v>5.08</v>
      </c>
      <c r="N1906">
        <f t="shared" si="235"/>
        <v>6.0000000000000497E-2</v>
      </c>
      <c r="O1906">
        <f t="shared" si="236"/>
        <v>-1.183251050332379E-2</v>
      </c>
      <c r="P1906">
        <f t="shared" si="237"/>
        <v>0</v>
      </c>
      <c r="Q1906">
        <f t="shared" si="238"/>
        <v>-1</v>
      </c>
    </row>
    <row r="1907" spans="1:17">
      <c r="A1907" s="1">
        <v>45225</v>
      </c>
      <c r="B1907">
        <v>4137.2299999999996</v>
      </c>
      <c r="C1907">
        <f t="shared" si="232"/>
        <v>-1.183251050332379E-2</v>
      </c>
      <c r="D1907">
        <f t="shared" si="239"/>
        <v>-1.8925597101284386E-2</v>
      </c>
      <c r="E1907">
        <f>_xlfn.XLOOKUP(A1907,VIX!A:A,VIX!B:B,"",-1)</f>
        <v>20.68</v>
      </c>
      <c r="F1907">
        <f t="shared" si="233"/>
        <v>0.48999999999999844</v>
      </c>
      <c r="G1907">
        <f>_xlfn.XLOOKUP(A1907,'DGS10'!A:A,'DGS10'!B:B,"",-1)</f>
        <v>4.8600000000000003</v>
      </c>
      <c r="H1907">
        <f t="shared" si="234"/>
        <v>-8.9999999999999858E-2</v>
      </c>
      <c r="I1907" s="2">
        <f>_xlfn.XLOOKUP(A1907,T10Y3M!A:A,T10Y3M!B:B,"",-1)</f>
        <v>-0.73</v>
      </c>
      <c r="J1907" s="2">
        <f>_xlfn.XLOOKUP(A1907,BAMLC0A4CBBB!A:A,BAMLC0A4CBBB!B:B,"",-1)</f>
        <v>1.6</v>
      </c>
      <c r="K1907" s="2">
        <f>_xlfn.XLOOKUP(A1907,CPIAUCSL!A:A,CPIAUCSL!B:B,"",-1)</f>
        <v>307.69600000000003</v>
      </c>
      <c r="L1907">
        <f>_xlfn.XLOOKUP(A1907,DFF!A:A,DFF!B:B,"",-1)</f>
        <v>5.33</v>
      </c>
      <c r="M1907">
        <f>_xlfn.XLOOKUP(A1907,'DGS2'!A:A,'DGS2'!B:B,"",-1)</f>
        <v>5.0199999999999996</v>
      </c>
      <c r="N1907">
        <f t="shared" si="235"/>
        <v>-6.0000000000000497E-2</v>
      </c>
      <c r="O1907">
        <f t="shared" si="236"/>
        <v>-4.8003132530701764E-3</v>
      </c>
      <c r="P1907">
        <f t="shared" si="237"/>
        <v>0</v>
      </c>
      <c r="Q1907">
        <f t="shared" si="238"/>
        <v>-1</v>
      </c>
    </row>
    <row r="1908" spans="1:17">
      <c r="A1908" s="1">
        <v>45226</v>
      </c>
      <c r="B1908">
        <v>4117.37</v>
      </c>
      <c r="C1908">
        <f t="shared" si="232"/>
        <v>-4.8003132530701764E-3</v>
      </c>
      <c r="D1908">
        <f t="shared" si="239"/>
        <v>-3.0677923007382923E-2</v>
      </c>
      <c r="E1908">
        <f>_xlfn.XLOOKUP(A1908,VIX!A:A,VIX!B:B,"",-1)</f>
        <v>21.27</v>
      </c>
      <c r="F1908">
        <f t="shared" si="233"/>
        <v>0.58999999999999986</v>
      </c>
      <c r="G1908">
        <f>_xlfn.XLOOKUP(A1908,'DGS10'!A:A,'DGS10'!B:B,"",-1)</f>
        <v>4.84</v>
      </c>
      <c r="H1908">
        <f t="shared" si="234"/>
        <v>-2.0000000000000462E-2</v>
      </c>
      <c r="I1908" s="2">
        <f>_xlfn.XLOOKUP(A1908,T10Y3M!A:A,T10Y3M!B:B,"",-1)</f>
        <v>-0.75</v>
      </c>
      <c r="J1908" s="2">
        <f>_xlfn.XLOOKUP(A1908,BAMLC0A4CBBB!A:A,BAMLC0A4CBBB!B:B,"",-1)</f>
        <v>1.61</v>
      </c>
      <c r="K1908" s="2">
        <f>_xlfn.XLOOKUP(A1908,CPIAUCSL!A:A,CPIAUCSL!B:B,"",-1)</f>
        <v>307.69600000000003</v>
      </c>
      <c r="L1908">
        <f>_xlfn.XLOOKUP(A1908,DFF!A:A,DFF!B:B,"",-1)</f>
        <v>5.33</v>
      </c>
      <c r="M1908">
        <f>_xlfn.XLOOKUP(A1908,'DGS2'!A:A,'DGS2'!B:B,"",-1)</f>
        <v>4.99</v>
      </c>
      <c r="N1908">
        <f t="shared" si="235"/>
        <v>-2.9999999999999361E-2</v>
      </c>
      <c r="O1908">
        <f t="shared" si="236"/>
        <v>1.2010093822027113E-2</v>
      </c>
      <c r="P1908">
        <f t="shared" si="237"/>
        <v>1</v>
      </c>
      <c r="Q1908">
        <f t="shared" si="238"/>
        <v>1</v>
      </c>
    </row>
    <row r="1909" spans="1:17">
      <c r="A1909" s="1">
        <v>45229</v>
      </c>
      <c r="B1909">
        <v>4166.82</v>
      </c>
      <c r="C1909">
        <f t="shared" si="232"/>
        <v>1.2010093822027113E-2</v>
      </c>
      <c r="D1909">
        <f t="shared" si="239"/>
        <v>-4.7650097808097369E-3</v>
      </c>
      <c r="E1909">
        <f>_xlfn.XLOOKUP(A1909,VIX!A:A,VIX!B:B,"",-1)</f>
        <v>19.75</v>
      </c>
      <c r="F1909">
        <f t="shared" si="233"/>
        <v>-1.5199999999999996</v>
      </c>
      <c r="G1909">
        <f>_xlfn.XLOOKUP(A1909,'DGS10'!A:A,'DGS10'!B:B,"",-1)</f>
        <v>4.88</v>
      </c>
      <c r="H1909">
        <f t="shared" si="234"/>
        <v>4.0000000000000036E-2</v>
      </c>
      <c r="I1909" s="2">
        <f>_xlfn.XLOOKUP(A1909,T10Y3M!A:A,T10Y3M!B:B,"",-1)</f>
        <v>-0.72</v>
      </c>
      <c r="J1909" s="2">
        <f>_xlfn.XLOOKUP(A1909,BAMLC0A4CBBB!A:A,BAMLC0A4CBBB!B:B,"",-1)</f>
        <v>1.62</v>
      </c>
      <c r="K1909" s="2">
        <f>_xlfn.XLOOKUP(A1909,CPIAUCSL!A:A,CPIAUCSL!B:B,"",-1)</f>
        <v>307.69600000000003</v>
      </c>
      <c r="L1909">
        <f>_xlfn.XLOOKUP(A1909,DFF!A:A,DFF!B:B,"",-1)</f>
        <v>5.33</v>
      </c>
      <c r="M1909">
        <f>_xlfn.XLOOKUP(A1909,'DGS2'!A:A,'DGS2'!B:B,"",-1)</f>
        <v>5.03</v>
      </c>
      <c r="N1909">
        <f t="shared" si="235"/>
        <v>4.0000000000000036E-2</v>
      </c>
      <c r="O1909">
        <f t="shared" si="236"/>
        <v>6.4749617214088229E-3</v>
      </c>
      <c r="P1909">
        <f t="shared" si="237"/>
        <v>1</v>
      </c>
      <c r="Q1909">
        <f t="shared" si="238"/>
        <v>1</v>
      </c>
    </row>
    <row r="1910" spans="1:17">
      <c r="A1910" s="1">
        <v>45230</v>
      </c>
      <c r="B1910">
        <v>4193.8</v>
      </c>
      <c r="C1910">
        <f t="shared" si="232"/>
        <v>6.4749617214088229E-3</v>
      </c>
      <c r="D1910">
        <f t="shared" si="239"/>
        <v>1.3673399835155475E-2</v>
      </c>
      <c r="E1910">
        <f>_xlfn.XLOOKUP(A1910,VIX!A:A,VIX!B:B,"",-1)</f>
        <v>18.14</v>
      </c>
      <c r="F1910">
        <f t="shared" si="233"/>
        <v>-1.6099999999999994</v>
      </c>
      <c r="G1910">
        <f>_xlfn.XLOOKUP(A1910,'DGS10'!A:A,'DGS10'!B:B,"",-1)</f>
        <v>4.88</v>
      </c>
      <c r="H1910">
        <f t="shared" si="234"/>
        <v>0</v>
      </c>
      <c r="I1910" s="2">
        <f>_xlfn.XLOOKUP(A1910,T10Y3M!A:A,T10Y3M!B:B,"",-1)</f>
        <v>-0.71</v>
      </c>
      <c r="J1910" s="2">
        <f>_xlfn.XLOOKUP(A1910,BAMLC0A4CBBB!A:A,BAMLC0A4CBBB!B:B,"",-1)</f>
        <v>1.62</v>
      </c>
      <c r="K1910" s="2">
        <f>_xlfn.XLOOKUP(A1910,CPIAUCSL!A:A,CPIAUCSL!B:B,"",-1)</f>
        <v>307.69600000000003</v>
      </c>
      <c r="L1910">
        <f>_xlfn.XLOOKUP(A1910,DFF!A:A,DFF!B:B,"",-1)</f>
        <v>5.33</v>
      </c>
      <c r="M1910">
        <f>_xlfn.XLOOKUP(A1910,'DGS2'!A:A,'DGS2'!B:B,"",-1)</f>
        <v>5.07</v>
      </c>
      <c r="N1910">
        <f t="shared" si="235"/>
        <v>4.0000000000000036E-2</v>
      </c>
      <c r="O1910">
        <f t="shared" si="236"/>
        <v>1.0505985025513809E-2</v>
      </c>
      <c r="P1910">
        <f t="shared" si="237"/>
        <v>1</v>
      </c>
      <c r="Q1910">
        <f t="shared" si="238"/>
        <v>1</v>
      </c>
    </row>
    <row r="1911" spans="1:17">
      <c r="A1911" s="1">
        <v>45231</v>
      </c>
      <c r="B1911">
        <v>4237.8599999999997</v>
      </c>
      <c r="C1911">
        <f t="shared" si="232"/>
        <v>1.0505985025513809E-2</v>
      </c>
      <c r="D1911">
        <f t="shared" si="239"/>
        <v>2.9263826180304431E-2</v>
      </c>
      <c r="E1911">
        <f>_xlfn.XLOOKUP(A1911,VIX!A:A,VIX!B:B,"",-1)</f>
        <v>16.87</v>
      </c>
      <c r="F1911">
        <f t="shared" si="233"/>
        <v>-1.2699999999999996</v>
      </c>
      <c r="G1911">
        <f>_xlfn.XLOOKUP(A1911,'DGS10'!A:A,'DGS10'!B:B,"",-1)</f>
        <v>4.7699999999999996</v>
      </c>
      <c r="H1911">
        <f t="shared" si="234"/>
        <v>-0.11000000000000032</v>
      </c>
      <c r="I1911" s="2">
        <f>_xlfn.XLOOKUP(A1911,T10Y3M!A:A,T10Y3M!B:B,"",-1)</f>
        <v>-0.8</v>
      </c>
      <c r="J1911" s="2">
        <f>_xlfn.XLOOKUP(A1911,BAMLC0A4CBBB!A:A,BAMLC0A4CBBB!B:B,"",-1)</f>
        <v>1.63</v>
      </c>
      <c r="K1911" s="2">
        <f>_xlfn.XLOOKUP(A1911,CPIAUCSL!A:A,CPIAUCSL!B:B,"",-1)</f>
        <v>308.14800000000002</v>
      </c>
      <c r="L1911">
        <f>_xlfn.XLOOKUP(A1911,DFF!A:A,DFF!B:B,"",-1)</f>
        <v>5.33</v>
      </c>
      <c r="M1911">
        <f>_xlfn.XLOOKUP(A1911,'DGS2'!A:A,'DGS2'!B:B,"",-1)</f>
        <v>4.95</v>
      </c>
      <c r="N1911">
        <f t="shared" si="235"/>
        <v>-0.12000000000000011</v>
      </c>
      <c r="O1911">
        <f t="shared" si="236"/>
        <v>1.8858574846738696E-2</v>
      </c>
      <c r="P1911">
        <f t="shared" si="237"/>
        <v>1</v>
      </c>
      <c r="Q1911">
        <f t="shared" si="238"/>
        <v>1</v>
      </c>
    </row>
    <row r="1912" spans="1:17">
      <c r="A1912" s="1">
        <v>45232</v>
      </c>
      <c r="B1912">
        <v>4317.78</v>
      </c>
      <c r="C1912">
        <f t="shared" si="232"/>
        <v>1.8858574846738696E-2</v>
      </c>
      <c r="D1912">
        <f t="shared" si="239"/>
        <v>3.6229066770342877E-2</v>
      </c>
      <c r="E1912">
        <f>_xlfn.XLOOKUP(A1912,VIX!A:A,VIX!B:B,"",-1)</f>
        <v>15.66</v>
      </c>
      <c r="F1912">
        <f t="shared" si="233"/>
        <v>-1.2100000000000009</v>
      </c>
      <c r="G1912">
        <f>_xlfn.XLOOKUP(A1912,'DGS10'!A:A,'DGS10'!B:B,"",-1)</f>
        <v>4.67</v>
      </c>
      <c r="H1912">
        <f t="shared" si="234"/>
        <v>-9.9999999999999645E-2</v>
      </c>
      <c r="I1912" s="2">
        <f>_xlfn.XLOOKUP(A1912,T10Y3M!A:A,T10Y3M!B:B,"",-1)</f>
        <v>-0.87</v>
      </c>
      <c r="J1912" s="2">
        <f>_xlfn.XLOOKUP(A1912,BAMLC0A4CBBB!A:A,BAMLC0A4CBBB!B:B,"",-1)</f>
        <v>1.59</v>
      </c>
      <c r="K1912" s="2">
        <f>_xlfn.XLOOKUP(A1912,CPIAUCSL!A:A,CPIAUCSL!B:B,"",-1)</f>
        <v>308.14800000000002</v>
      </c>
      <c r="L1912">
        <f>_xlfn.XLOOKUP(A1912,DFF!A:A,DFF!B:B,"",-1)</f>
        <v>5.33</v>
      </c>
      <c r="M1912">
        <f>_xlfn.XLOOKUP(A1912,'DGS2'!A:A,'DGS2'!B:B,"",-1)</f>
        <v>4.9800000000000004</v>
      </c>
      <c r="N1912">
        <f t="shared" si="235"/>
        <v>3.0000000000000249E-2</v>
      </c>
      <c r="O1912">
        <f t="shared" si="236"/>
        <v>9.3937162152772924E-3</v>
      </c>
      <c r="P1912">
        <f t="shared" si="237"/>
        <v>1</v>
      </c>
      <c r="Q1912">
        <f t="shared" si="238"/>
        <v>1</v>
      </c>
    </row>
    <row r="1913" spans="1:17">
      <c r="A1913" s="1">
        <v>45233</v>
      </c>
      <c r="B1913">
        <v>4358.34</v>
      </c>
      <c r="C1913">
        <f t="shared" si="232"/>
        <v>9.3937162152772924E-3</v>
      </c>
      <c r="D1913">
        <f t="shared" si="239"/>
        <v>3.9234107492011949E-2</v>
      </c>
      <c r="E1913">
        <f>_xlfn.XLOOKUP(A1913,VIX!A:A,VIX!B:B,"",-1)</f>
        <v>14.91</v>
      </c>
      <c r="F1913">
        <f t="shared" si="233"/>
        <v>-0.75</v>
      </c>
      <c r="G1913">
        <f>_xlfn.XLOOKUP(A1913,'DGS10'!A:A,'DGS10'!B:B,"",-1)</f>
        <v>4.57</v>
      </c>
      <c r="H1913">
        <f t="shared" si="234"/>
        <v>-9.9999999999999645E-2</v>
      </c>
      <c r="I1913" s="2">
        <f>_xlfn.XLOOKUP(A1913,T10Y3M!A:A,T10Y3M!B:B,"",-1)</f>
        <v>-0.96</v>
      </c>
      <c r="J1913" s="2">
        <f>_xlfn.XLOOKUP(A1913,BAMLC0A4CBBB!A:A,BAMLC0A4CBBB!B:B,"",-1)</f>
        <v>1.58</v>
      </c>
      <c r="K1913" s="2">
        <f>_xlfn.XLOOKUP(A1913,CPIAUCSL!A:A,CPIAUCSL!B:B,"",-1)</f>
        <v>308.14800000000002</v>
      </c>
      <c r="L1913">
        <f>_xlfn.XLOOKUP(A1913,DFF!A:A,DFF!B:B,"",-1)</f>
        <v>5.33</v>
      </c>
      <c r="M1913">
        <f>_xlfn.XLOOKUP(A1913,'DGS2'!A:A,'DGS2'!B:B,"",-1)</f>
        <v>4.83</v>
      </c>
      <c r="N1913">
        <f t="shared" si="235"/>
        <v>-0.15000000000000036</v>
      </c>
      <c r="O1913">
        <f t="shared" si="236"/>
        <v>1.7529609897344312E-3</v>
      </c>
      <c r="P1913">
        <f t="shared" si="237"/>
        <v>1</v>
      </c>
      <c r="Q1913">
        <f t="shared" si="238"/>
        <v>0</v>
      </c>
    </row>
    <row r="1914" spans="1:17">
      <c r="A1914" s="1">
        <v>45236</v>
      </c>
      <c r="B1914">
        <v>4365.9799999999996</v>
      </c>
      <c r="C1914">
        <f t="shared" si="232"/>
        <v>1.7529609897344312E-3</v>
      </c>
      <c r="D1914">
        <f t="shared" si="239"/>
        <v>3.0232239856908816E-2</v>
      </c>
      <c r="E1914">
        <f>_xlfn.XLOOKUP(A1914,VIX!A:A,VIX!B:B,"",-1)</f>
        <v>14.89</v>
      </c>
      <c r="F1914">
        <f t="shared" si="233"/>
        <v>-1.9999999999999574E-2</v>
      </c>
      <c r="G1914">
        <f>_xlfn.XLOOKUP(A1914,'DGS10'!A:A,'DGS10'!B:B,"",-1)</f>
        <v>4.67</v>
      </c>
      <c r="H1914">
        <f t="shared" si="234"/>
        <v>9.9999999999999645E-2</v>
      </c>
      <c r="I1914" s="2">
        <f>_xlfn.XLOOKUP(A1914,T10Y3M!A:A,T10Y3M!B:B,"",-1)</f>
        <v>-0.89</v>
      </c>
      <c r="J1914" s="2">
        <f>_xlfn.XLOOKUP(A1914,BAMLC0A4CBBB!A:A,BAMLC0A4CBBB!B:B,"",-1)</f>
        <v>1.58</v>
      </c>
      <c r="K1914" s="2">
        <f>_xlfn.XLOOKUP(A1914,CPIAUCSL!A:A,CPIAUCSL!B:B,"",-1)</f>
        <v>308.14800000000002</v>
      </c>
      <c r="L1914">
        <f>_xlfn.XLOOKUP(A1914,DFF!A:A,DFF!B:B,"",-1)</f>
        <v>5.33</v>
      </c>
      <c r="M1914">
        <f>_xlfn.XLOOKUP(A1914,'DGS2'!A:A,'DGS2'!B:B,"",-1)</f>
        <v>4.93</v>
      </c>
      <c r="N1914">
        <f t="shared" si="235"/>
        <v>9.9999999999999645E-2</v>
      </c>
      <c r="O1914">
        <f t="shared" si="236"/>
        <v>2.8401412741241305E-3</v>
      </c>
      <c r="P1914">
        <f t="shared" si="237"/>
        <v>1</v>
      </c>
      <c r="Q1914">
        <f t="shared" si="238"/>
        <v>0</v>
      </c>
    </row>
    <row r="1915" spans="1:17">
      <c r="A1915" s="1">
        <v>45237</v>
      </c>
      <c r="B1915">
        <v>4378.38</v>
      </c>
      <c r="C1915">
        <f t="shared" si="232"/>
        <v>2.8401412741241305E-3</v>
      </c>
      <c r="D1915">
        <f t="shared" si="239"/>
        <v>1.4034990203299014E-2</v>
      </c>
      <c r="E1915">
        <f>_xlfn.XLOOKUP(A1915,VIX!A:A,VIX!B:B,"",-1)</f>
        <v>14.81</v>
      </c>
      <c r="F1915">
        <f t="shared" si="233"/>
        <v>-8.0000000000000071E-2</v>
      </c>
      <c r="G1915">
        <f>_xlfn.XLOOKUP(A1915,'DGS10'!A:A,'DGS10'!B:B,"",-1)</f>
        <v>4.58</v>
      </c>
      <c r="H1915">
        <f t="shared" si="234"/>
        <v>-8.9999999999999858E-2</v>
      </c>
      <c r="I1915" s="2">
        <f>_xlfn.XLOOKUP(A1915,T10Y3M!A:A,T10Y3M!B:B,"",-1)</f>
        <v>-0.97</v>
      </c>
      <c r="J1915" s="2">
        <f>_xlfn.XLOOKUP(A1915,BAMLC0A4CBBB!A:A,BAMLC0A4CBBB!B:B,"",-1)</f>
        <v>1.58</v>
      </c>
      <c r="K1915" s="2">
        <f>_xlfn.XLOOKUP(A1915,CPIAUCSL!A:A,CPIAUCSL!B:B,"",-1)</f>
        <v>308.14800000000002</v>
      </c>
      <c r="L1915">
        <f>_xlfn.XLOOKUP(A1915,DFF!A:A,DFF!B:B,"",-1)</f>
        <v>5.33</v>
      </c>
      <c r="M1915">
        <f>_xlfn.XLOOKUP(A1915,'DGS2'!A:A,'DGS2'!B:B,"",-1)</f>
        <v>4.91</v>
      </c>
      <c r="N1915">
        <f t="shared" si="235"/>
        <v>-1.9999999999999574E-2</v>
      </c>
      <c r="O1915">
        <f t="shared" si="236"/>
        <v>1.0049378994057001E-3</v>
      </c>
      <c r="P1915">
        <f t="shared" si="237"/>
        <v>1</v>
      </c>
      <c r="Q1915">
        <f t="shared" si="238"/>
        <v>0</v>
      </c>
    </row>
    <row r="1916" spans="1:17">
      <c r="A1916" s="1">
        <v>45238</v>
      </c>
      <c r="B1916">
        <v>4382.78</v>
      </c>
      <c r="C1916">
        <f t="shared" si="232"/>
        <v>1.0049378994057001E-3</v>
      </c>
      <c r="D1916">
        <f t="shared" si="239"/>
        <v>5.6076396059048239E-3</v>
      </c>
      <c r="E1916">
        <f>_xlfn.XLOOKUP(A1916,VIX!A:A,VIX!B:B,"",-1)</f>
        <v>14.45</v>
      </c>
      <c r="F1916">
        <f t="shared" si="233"/>
        <v>-0.36000000000000121</v>
      </c>
      <c r="G1916">
        <f>_xlfn.XLOOKUP(A1916,'DGS10'!A:A,'DGS10'!B:B,"",-1)</f>
        <v>4.49</v>
      </c>
      <c r="H1916">
        <f t="shared" si="234"/>
        <v>-8.9999999999999858E-2</v>
      </c>
      <c r="I1916" s="2">
        <f>_xlfn.XLOOKUP(A1916,T10Y3M!A:A,T10Y3M!B:B,"",-1)</f>
        <v>-1.05</v>
      </c>
      <c r="J1916" s="2">
        <f>_xlfn.XLOOKUP(A1916,BAMLC0A4CBBB!A:A,BAMLC0A4CBBB!B:B,"",-1)</f>
        <v>1.58</v>
      </c>
      <c r="K1916" s="2">
        <f>_xlfn.XLOOKUP(A1916,CPIAUCSL!A:A,CPIAUCSL!B:B,"",-1)</f>
        <v>308.14800000000002</v>
      </c>
      <c r="L1916">
        <f>_xlfn.XLOOKUP(A1916,DFF!A:A,DFF!B:B,"",-1)</f>
        <v>5.33</v>
      </c>
      <c r="M1916">
        <f>_xlfn.XLOOKUP(A1916,'DGS2'!A:A,'DGS2'!B:B,"",-1)</f>
        <v>4.93</v>
      </c>
      <c r="N1916">
        <f t="shared" si="235"/>
        <v>1.9999999999999574E-2</v>
      </c>
      <c r="O1916">
        <f t="shared" si="236"/>
        <v>-8.0839102122395312E-3</v>
      </c>
      <c r="P1916">
        <f t="shared" si="237"/>
        <v>0</v>
      </c>
      <c r="Q1916">
        <f t="shared" si="238"/>
        <v>-1</v>
      </c>
    </row>
    <row r="1917" spans="1:17">
      <c r="A1917" s="1">
        <v>45239</v>
      </c>
      <c r="B1917">
        <v>4347.3500000000004</v>
      </c>
      <c r="C1917">
        <f t="shared" si="232"/>
        <v>-8.0839102122395312E-3</v>
      </c>
      <c r="D1917">
        <f t="shared" si="239"/>
        <v>-4.2670832207200027E-3</v>
      </c>
      <c r="E1917">
        <f>_xlfn.XLOOKUP(A1917,VIX!A:A,VIX!B:B,"",-1)</f>
        <v>15.29</v>
      </c>
      <c r="F1917">
        <f t="shared" si="233"/>
        <v>0.83999999999999986</v>
      </c>
      <c r="G1917">
        <f>_xlfn.XLOOKUP(A1917,'DGS10'!A:A,'DGS10'!B:B,"",-1)</f>
        <v>4.62</v>
      </c>
      <c r="H1917">
        <f t="shared" si="234"/>
        <v>0.12999999999999989</v>
      </c>
      <c r="I1917" s="2">
        <f>_xlfn.XLOOKUP(A1917,T10Y3M!A:A,T10Y3M!B:B,"",-1)</f>
        <v>-0.92</v>
      </c>
      <c r="J1917" s="2">
        <f>_xlfn.XLOOKUP(A1917,BAMLC0A4CBBB!A:A,BAMLC0A4CBBB!B:B,"",-1)</f>
        <v>1.56</v>
      </c>
      <c r="K1917" s="2">
        <f>_xlfn.XLOOKUP(A1917,CPIAUCSL!A:A,CPIAUCSL!B:B,"",-1)</f>
        <v>308.14800000000002</v>
      </c>
      <c r="L1917">
        <f>_xlfn.XLOOKUP(A1917,DFF!A:A,DFF!B:B,"",-1)</f>
        <v>5.33</v>
      </c>
      <c r="M1917">
        <f>_xlfn.XLOOKUP(A1917,'DGS2'!A:A,'DGS2'!B:B,"",-1)</f>
        <v>5.03</v>
      </c>
      <c r="N1917">
        <f t="shared" si="235"/>
        <v>0.10000000000000053</v>
      </c>
      <c r="O1917">
        <f t="shared" si="236"/>
        <v>1.5616409996894509E-2</v>
      </c>
      <c r="P1917">
        <f t="shared" si="237"/>
        <v>1</v>
      </c>
      <c r="Q1917">
        <f t="shared" si="238"/>
        <v>1</v>
      </c>
    </row>
    <row r="1918" spans="1:17">
      <c r="A1918" s="1">
        <v>45240</v>
      </c>
      <c r="B1918">
        <v>4415.24</v>
      </c>
      <c r="C1918">
        <f t="shared" si="232"/>
        <v>1.5616409996894509E-2</v>
      </c>
      <c r="D1918">
        <f t="shared" si="239"/>
        <v>8.4186388572942139E-3</v>
      </c>
      <c r="E1918">
        <f>_xlfn.XLOOKUP(A1918,VIX!A:A,VIX!B:B,"",-1)</f>
        <v>14.17</v>
      </c>
      <c r="F1918">
        <f t="shared" si="233"/>
        <v>-1.1199999999999992</v>
      </c>
      <c r="G1918">
        <f>_xlfn.XLOOKUP(A1918,'DGS10'!A:A,'DGS10'!B:B,"",-1)</f>
        <v>4.6100000000000003</v>
      </c>
      <c r="H1918">
        <f t="shared" si="234"/>
        <v>-9.9999999999997868E-3</v>
      </c>
      <c r="I1918" s="2">
        <f>_xlfn.XLOOKUP(A1918,T10Y3M!A:A,T10Y3M!B:B,"",-1)</f>
        <v>-0.92</v>
      </c>
      <c r="J1918" s="2">
        <f>_xlfn.XLOOKUP(A1918,BAMLC0A4CBBB!A:A,BAMLC0A4CBBB!B:B,"",-1)</f>
        <v>1.56</v>
      </c>
      <c r="K1918" s="2">
        <f>_xlfn.XLOOKUP(A1918,CPIAUCSL!A:A,CPIAUCSL!B:B,"",-1)</f>
        <v>308.14800000000002</v>
      </c>
      <c r="L1918">
        <f>_xlfn.XLOOKUP(A1918,DFF!A:A,DFF!B:B,"",-1)</f>
        <v>5.33</v>
      </c>
      <c r="M1918">
        <f>_xlfn.XLOOKUP(A1918,'DGS2'!A:A,'DGS2'!B:B,"",-1)</f>
        <v>5.04</v>
      </c>
      <c r="N1918">
        <f t="shared" si="235"/>
        <v>9.9999999999997868E-3</v>
      </c>
      <c r="O1918">
        <f t="shared" si="236"/>
        <v>-8.3574165843747217E-4</v>
      </c>
      <c r="P1918">
        <f t="shared" si="237"/>
        <v>0</v>
      </c>
      <c r="Q1918">
        <f t="shared" si="238"/>
        <v>0</v>
      </c>
    </row>
    <row r="1919" spans="1:17">
      <c r="A1919" s="1">
        <v>45243</v>
      </c>
      <c r="B1919">
        <v>4411.55</v>
      </c>
      <c r="C1919">
        <f t="shared" si="232"/>
        <v>-8.3574165843747217E-4</v>
      </c>
      <c r="D1919">
        <f t="shared" si="239"/>
        <v>6.5643267515140824E-3</v>
      </c>
      <c r="E1919">
        <f>_xlfn.XLOOKUP(A1919,VIX!A:A,VIX!B:B,"",-1)</f>
        <v>14.76</v>
      </c>
      <c r="F1919">
        <f t="shared" si="233"/>
        <v>0.58999999999999986</v>
      </c>
      <c r="G1919">
        <f>_xlfn.XLOOKUP(A1919,'DGS10'!A:A,'DGS10'!B:B,"",-1)</f>
        <v>4.63</v>
      </c>
      <c r="H1919">
        <f t="shared" si="234"/>
        <v>1.9999999999999574E-2</v>
      </c>
      <c r="I1919" s="2">
        <f>_xlfn.XLOOKUP(A1919,T10Y3M!A:A,T10Y3M!B:B,"",-1)</f>
        <v>-0.92</v>
      </c>
      <c r="J1919" s="2">
        <f>_xlfn.XLOOKUP(A1919,BAMLC0A4CBBB!A:A,BAMLC0A4CBBB!B:B,"",-1)</f>
        <v>1.55</v>
      </c>
      <c r="K1919" s="2">
        <f>_xlfn.XLOOKUP(A1919,CPIAUCSL!A:A,CPIAUCSL!B:B,"",-1)</f>
        <v>308.14800000000002</v>
      </c>
      <c r="L1919">
        <f>_xlfn.XLOOKUP(A1919,DFF!A:A,DFF!B:B,"",-1)</f>
        <v>5.33</v>
      </c>
      <c r="M1919">
        <f>_xlfn.XLOOKUP(A1919,'DGS2'!A:A,'DGS2'!B:B,"",-1)</f>
        <v>5.0199999999999996</v>
      </c>
      <c r="N1919">
        <f t="shared" si="235"/>
        <v>-2.0000000000000462E-2</v>
      </c>
      <c r="O1919">
        <f t="shared" si="236"/>
        <v>1.9074928313177919E-2</v>
      </c>
      <c r="P1919">
        <f t="shared" si="237"/>
        <v>1</v>
      </c>
      <c r="Q1919">
        <f t="shared" si="238"/>
        <v>1</v>
      </c>
    </row>
    <row r="1920" spans="1:17">
      <c r="A1920" s="1">
        <v>45244</v>
      </c>
      <c r="B1920">
        <v>4495.7</v>
      </c>
      <c r="C1920">
        <f t="shared" si="232"/>
        <v>1.9074928313177919E-2</v>
      </c>
      <c r="D1920">
        <f t="shared" si="239"/>
        <v>3.4124236603908065E-2</v>
      </c>
      <c r="E1920">
        <f>_xlfn.XLOOKUP(A1920,VIX!A:A,VIX!B:B,"",-1)</f>
        <v>14.16</v>
      </c>
      <c r="F1920">
        <f t="shared" si="233"/>
        <v>-0.59999999999999964</v>
      </c>
      <c r="G1920">
        <f>_xlfn.XLOOKUP(A1920,'DGS10'!A:A,'DGS10'!B:B,"",-1)</f>
        <v>4.4400000000000004</v>
      </c>
      <c r="H1920">
        <f t="shared" si="234"/>
        <v>-0.1899999999999995</v>
      </c>
      <c r="I1920" s="2">
        <f>_xlfn.XLOOKUP(A1920,T10Y3M!A:A,T10Y3M!B:B,"",-1)</f>
        <v>-1.08</v>
      </c>
      <c r="J1920" s="2">
        <f>_xlfn.XLOOKUP(A1920,BAMLC0A4CBBB!A:A,BAMLC0A4CBBB!B:B,"",-1)</f>
        <v>1.52</v>
      </c>
      <c r="K1920" s="2">
        <f>_xlfn.XLOOKUP(A1920,CPIAUCSL!A:A,CPIAUCSL!B:B,"",-1)</f>
        <v>308.14800000000002</v>
      </c>
      <c r="L1920">
        <f>_xlfn.XLOOKUP(A1920,DFF!A:A,DFF!B:B,"",-1)</f>
        <v>5.33</v>
      </c>
      <c r="M1920">
        <f>_xlfn.XLOOKUP(A1920,'DGS2'!A:A,'DGS2'!B:B,"",-1)</f>
        <v>4.8</v>
      </c>
      <c r="N1920">
        <f t="shared" si="235"/>
        <v>-0.21999999999999975</v>
      </c>
      <c r="O1920">
        <f t="shared" si="236"/>
        <v>1.597081655804411E-3</v>
      </c>
      <c r="P1920">
        <f t="shared" si="237"/>
        <v>1</v>
      </c>
      <c r="Q1920">
        <f t="shared" si="238"/>
        <v>0</v>
      </c>
    </row>
    <row r="1921" spans="1:17">
      <c r="A1921" s="1">
        <v>45245</v>
      </c>
      <c r="B1921">
        <v>4502.88</v>
      </c>
      <c r="C1921">
        <f t="shared" si="232"/>
        <v>1.597081655804411E-3</v>
      </c>
      <c r="D1921">
        <f t="shared" si="239"/>
        <v>1.9849430608528618E-2</v>
      </c>
      <c r="E1921">
        <f>_xlfn.XLOOKUP(A1921,VIX!A:A,VIX!B:B,"",-1)</f>
        <v>14.18</v>
      </c>
      <c r="F1921">
        <f t="shared" si="233"/>
        <v>1.9999999999999574E-2</v>
      </c>
      <c r="G1921">
        <f>_xlfn.XLOOKUP(A1921,'DGS10'!A:A,'DGS10'!B:B,"",-1)</f>
        <v>4.53</v>
      </c>
      <c r="H1921">
        <f t="shared" si="234"/>
        <v>8.9999999999999858E-2</v>
      </c>
      <c r="I1921" s="2">
        <f>_xlfn.XLOOKUP(A1921,T10Y3M!A:A,T10Y3M!B:B,"",-1)</f>
        <v>-1</v>
      </c>
      <c r="J1921" s="2">
        <f>_xlfn.XLOOKUP(A1921,BAMLC0A4CBBB!A:A,BAMLC0A4CBBB!B:B,"",-1)</f>
        <v>1.51</v>
      </c>
      <c r="K1921" s="2">
        <f>_xlfn.XLOOKUP(A1921,CPIAUCSL!A:A,CPIAUCSL!B:B,"",-1)</f>
        <v>308.14800000000002</v>
      </c>
      <c r="L1921">
        <f>_xlfn.XLOOKUP(A1921,DFF!A:A,DFF!B:B,"",-1)</f>
        <v>5.33</v>
      </c>
      <c r="M1921">
        <f>_xlfn.XLOOKUP(A1921,'DGS2'!A:A,'DGS2'!B:B,"",-1)</f>
        <v>4.9000000000000004</v>
      </c>
      <c r="N1921">
        <f t="shared" si="235"/>
        <v>0.10000000000000053</v>
      </c>
      <c r="O1921">
        <f t="shared" si="236"/>
        <v>1.1903492875668942E-3</v>
      </c>
      <c r="P1921">
        <f t="shared" si="237"/>
        <v>1</v>
      </c>
      <c r="Q1921">
        <f t="shared" si="238"/>
        <v>0</v>
      </c>
    </row>
    <row r="1922" spans="1:17">
      <c r="A1922" s="1">
        <v>45246</v>
      </c>
      <c r="B1922">
        <v>4508.24</v>
      </c>
      <c r="C1922">
        <f t="shared" si="232"/>
        <v>1.1903492875668942E-3</v>
      </c>
      <c r="D1922">
        <f t="shared" si="239"/>
        <v>2.191746665004346E-2</v>
      </c>
      <c r="E1922">
        <f>_xlfn.XLOOKUP(A1922,VIX!A:A,VIX!B:B,"",-1)</f>
        <v>14.32</v>
      </c>
      <c r="F1922">
        <f t="shared" si="233"/>
        <v>0.14000000000000057</v>
      </c>
      <c r="G1922">
        <f>_xlfn.XLOOKUP(A1922,'DGS10'!A:A,'DGS10'!B:B,"",-1)</f>
        <v>4.45</v>
      </c>
      <c r="H1922">
        <f t="shared" si="234"/>
        <v>-8.0000000000000071E-2</v>
      </c>
      <c r="I1922" s="2">
        <f>_xlfn.XLOOKUP(A1922,T10Y3M!A:A,T10Y3M!B:B,"",-1)</f>
        <v>-1.06</v>
      </c>
      <c r="J1922" s="2">
        <f>_xlfn.XLOOKUP(A1922,BAMLC0A4CBBB!A:A,BAMLC0A4CBBB!B:B,"",-1)</f>
        <v>1.5</v>
      </c>
      <c r="K1922" s="2">
        <f>_xlfn.XLOOKUP(A1922,CPIAUCSL!A:A,CPIAUCSL!B:B,"",-1)</f>
        <v>308.14800000000002</v>
      </c>
      <c r="L1922">
        <f>_xlfn.XLOOKUP(A1922,DFF!A:A,DFF!B:B,"",-1)</f>
        <v>5.33</v>
      </c>
      <c r="M1922">
        <f>_xlfn.XLOOKUP(A1922,'DGS2'!A:A,'DGS2'!B:B,"",-1)</f>
        <v>4.83</v>
      </c>
      <c r="N1922">
        <f t="shared" si="235"/>
        <v>-7.0000000000000284E-2</v>
      </c>
      <c r="O1922">
        <f t="shared" si="236"/>
        <v>1.2820967827800178E-3</v>
      </c>
      <c r="P1922">
        <f t="shared" si="237"/>
        <v>1</v>
      </c>
      <c r="Q1922">
        <f t="shared" si="238"/>
        <v>0</v>
      </c>
    </row>
    <row r="1923" spans="1:17">
      <c r="A1923" s="1">
        <v>45247</v>
      </c>
      <c r="B1923">
        <v>4514.0200000000004</v>
      </c>
      <c r="C1923">
        <f t="shared" si="232"/>
        <v>1.2820967827800178E-3</v>
      </c>
      <c r="D1923">
        <f t="shared" si="239"/>
        <v>4.0750050047824171E-3</v>
      </c>
      <c r="E1923">
        <f>_xlfn.XLOOKUP(A1923,VIX!A:A,VIX!B:B,"",-1)</f>
        <v>13.8</v>
      </c>
      <c r="F1923">
        <f t="shared" si="233"/>
        <v>-0.51999999999999957</v>
      </c>
      <c r="G1923">
        <f>_xlfn.XLOOKUP(A1923,'DGS10'!A:A,'DGS10'!B:B,"",-1)</f>
        <v>4.4400000000000004</v>
      </c>
      <c r="H1923">
        <f t="shared" si="234"/>
        <v>-9.9999999999997868E-3</v>
      </c>
      <c r="I1923" s="2">
        <f>_xlfn.XLOOKUP(A1923,T10Y3M!A:A,T10Y3M!B:B,"",-1)</f>
        <v>-1.06</v>
      </c>
      <c r="J1923" s="2">
        <f>_xlfn.XLOOKUP(A1923,BAMLC0A4CBBB!A:A,BAMLC0A4CBBB!B:B,"",-1)</f>
        <v>1.48</v>
      </c>
      <c r="K1923" s="2">
        <f>_xlfn.XLOOKUP(A1923,CPIAUCSL!A:A,CPIAUCSL!B:B,"",-1)</f>
        <v>308.14800000000002</v>
      </c>
      <c r="L1923">
        <f>_xlfn.XLOOKUP(A1923,DFF!A:A,DFF!B:B,"",-1)</f>
        <v>5.33</v>
      </c>
      <c r="M1923">
        <f>_xlfn.XLOOKUP(A1923,'DGS2'!A:A,'DGS2'!B:B,"",-1)</f>
        <v>4.88</v>
      </c>
      <c r="N1923">
        <f t="shared" si="235"/>
        <v>4.9999999999999822E-2</v>
      </c>
      <c r="O1923">
        <f t="shared" si="236"/>
        <v>7.3903084168878141E-3</v>
      </c>
      <c r="P1923">
        <f t="shared" si="237"/>
        <v>1</v>
      </c>
      <c r="Q1923">
        <f t="shared" si="238"/>
        <v>1</v>
      </c>
    </row>
    <row r="1924" spans="1:17">
      <c r="A1924" s="1">
        <v>45250</v>
      </c>
      <c r="B1924">
        <v>4547.38</v>
      </c>
      <c r="C1924">
        <f t="shared" ref="C1924:C1987" si="240">IF(OR(B1924="",B1923=""),"",(B1924/B1923)-1)</f>
        <v>7.3903084168878141E-3</v>
      </c>
      <c r="D1924">
        <f t="shared" si="239"/>
        <v>9.8825640478983345E-3</v>
      </c>
      <c r="E1924">
        <f>_xlfn.XLOOKUP(A1924,VIX!A:A,VIX!B:B,"",-1)</f>
        <v>13.41</v>
      </c>
      <c r="F1924">
        <f t="shared" ref="F1924:F1987" si="241">IF(OR(E1924="",E1923=""),"",E1924-E1923)</f>
        <v>-0.39000000000000057</v>
      </c>
      <c r="G1924">
        <f>_xlfn.XLOOKUP(A1924,'DGS10'!A:A,'DGS10'!B:B,"",-1)</f>
        <v>4.42</v>
      </c>
      <c r="H1924">
        <f t="shared" ref="H1924:H1987" si="242">IF(OR(G1924="",G1923=""),"",G1924-G1923)</f>
        <v>-2.0000000000000462E-2</v>
      </c>
      <c r="I1924" s="2">
        <f>_xlfn.XLOOKUP(A1924,T10Y3M!A:A,T10Y3M!B:B,"",-1)</f>
        <v>-1.1200000000000001</v>
      </c>
      <c r="J1924" s="2">
        <f>_xlfn.XLOOKUP(A1924,BAMLC0A4CBBB!A:A,BAMLC0A4CBBB!B:B,"",-1)</f>
        <v>1.46</v>
      </c>
      <c r="K1924" s="2">
        <f>_xlfn.XLOOKUP(A1924,CPIAUCSL!A:A,CPIAUCSL!B:B,"",-1)</f>
        <v>308.14800000000002</v>
      </c>
      <c r="L1924">
        <f>_xlfn.XLOOKUP(A1924,DFF!A:A,DFF!B:B,"",-1)</f>
        <v>5.33</v>
      </c>
      <c r="M1924">
        <f>_xlfn.XLOOKUP(A1924,'DGS2'!A:A,'DGS2'!B:B,"",-1)</f>
        <v>4.8899999999999997</v>
      </c>
      <c r="N1924">
        <f t="shared" ref="N1924:N1987" si="243">IF(OR(M1924="",M1923=""),"",M1924-M1923)</f>
        <v>9.9999999999997868E-3</v>
      </c>
      <c r="O1924">
        <f t="shared" ref="O1924:O1987" si="244">IF(OR(B1925="",B1924=""),"",(B1925/B1924)-1)</f>
        <v>-2.020943928152108E-3</v>
      </c>
      <c r="P1924">
        <f t="shared" ref="P1924:P1987" si="245">IF(O1924="","",IF(O1924&gt;0,1,0))</f>
        <v>0</v>
      </c>
      <c r="Q1924">
        <f t="shared" ref="Q1924:Q1987" si="246">IF(O1924="","",IF(O1924&gt;0.003,1,IF(O1924&lt;-0.003,-1,0)))</f>
        <v>0</v>
      </c>
    </row>
    <row r="1925" spans="1:17">
      <c r="A1925" s="1">
        <v>45251</v>
      </c>
      <c r="B1925">
        <v>4538.1899999999996</v>
      </c>
      <c r="C1925">
        <f t="shared" si="240"/>
        <v>-2.020943928152108E-3</v>
      </c>
      <c r="D1925">
        <f t="shared" si="239"/>
        <v>6.6433907689031901E-3</v>
      </c>
      <c r="E1925">
        <f>_xlfn.XLOOKUP(A1925,VIX!A:A,VIX!B:B,"",-1)</f>
        <v>13.35</v>
      </c>
      <c r="F1925">
        <f t="shared" si="241"/>
        <v>-6.0000000000000497E-2</v>
      </c>
      <c r="G1925">
        <f>_xlfn.XLOOKUP(A1925,'DGS10'!A:A,'DGS10'!B:B,"",-1)</f>
        <v>4.41</v>
      </c>
      <c r="H1925">
        <f t="shared" si="242"/>
        <v>-9.9999999999997868E-3</v>
      </c>
      <c r="I1925" s="2">
        <f>_xlfn.XLOOKUP(A1925,T10Y3M!A:A,T10Y3M!B:B,"",-1)</f>
        <v>-1.1200000000000001</v>
      </c>
      <c r="J1925" s="2">
        <f>_xlfn.XLOOKUP(A1925,BAMLC0A4CBBB!A:A,BAMLC0A4CBBB!B:B,"",-1)</f>
        <v>1.46</v>
      </c>
      <c r="K1925" s="2">
        <f>_xlfn.XLOOKUP(A1925,CPIAUCSL!A:A,CPIAUCSL!B:B,"",-1)</f>
        <v>308.14800000000002</v>
      </c>
      <c r="L1925">
        <f>_xlfn.XLOOKUP(A1925,DFF!A:A,DFF!B:B,"",-1)</f>
        <v>5.33</v>
      </c>
      <c r="M1925">
        <f>_xlfn.XLOOKUP(A1925,'DGS2'!A:A,'DGS2'!B:B,"",-1)</f>
        <v>4.8600000000000003</v>
      </c>
      <c r="N1925">
        <f t="shared" si="243"/>
        <v>-2.9999999999999361E-2</v>
      </c>
      <c r="O1925">
        <f t="shared" si="244"/>
        <v>4.0610904347329058E-3</v>
      </c>
      <c r="P1925">
        <f t="shared" si="245"/>
        <v>1</v>
      </c>
      <c r="Q1925">
        <f t="shared" si="246"/>
        <v>1</v>
      </c>
    </row>
    <row r="1926" spans="1:17">
      <c r="A1926" s="1">
        <v>45252</v>
      </c>
      <c r="B1926">
        <v>4556.62</v>
      </c>
      <c r="C1926">
        <f t="shared" si="240"/>
        <v>4.0610904347329058E-3</v>
      </c>
      <c r="D1926">
        <f t="shared" ref="D1926:D1989" si="247">IF(OR(B1926="",B1923=""),"",(B1926/B1923)-1)</f>
        <v>9.4372643453062288E-3</v>
      </c>
      <c r="E1926">
        <f>_xlfn.XLOOKUP(A1926,VIX!A:A,VIX!B:B,"",-1)</f>
        <v>12.85</v>
      </c>
      <c r="F1926">
        <f t="shared" si="241"/>
        <v>-0.5</v>
      </c>
      <c r="G1926">
        <f>_xlfn.XLOOKUP(A1926,'DGS10'!A:A,'DGS10'!B:B,"",-1)</f>
        <v>4.42</v>
      </c>
      <c r="H1926">
        <f t="shared" si="242"/>
        <v>9.9999999999997868E-3</v>
      </c>
      <c r="I1926" s="2">
        <f>_xlfn.XLOOKUP(A1926,T10Y3M!A:A,T10Y3M!B:B,"",-1)</f>
        <v>-1.1200000000000001</v>
      </c>
      <c r="J1926" s="2">
        <f>_xlfn.XLOOKUP(A1926,BAMLC0A4CBBB!A:A,BAMLC0A4CBBB!B:B,"",-1)</f>
        <v>1.43</v>
      </c>
      <c r="K1926" s="2">
        <f>_xlfn.XLOOKUP(A1926,CPIAUCSL!A:A,CPIAUCSL!B:B,"",-1)</f>
        <v>308.14800000000002</v>
      </c>
      <c r="L1926">
        <f>_xlfn.XLOOKUP(A1926,DFF!A:A,DFF!B:B,"",-1)</f>
        <v>5.33</v>
      </c>
      <c r="M1926">
        <f>_xlfn.XLOOKUP(A1926,'DGS2'!A:A,'DGS2'!B:B,"",-1)</f>
        <v>4.8899999999999997</v>
      </c>
      <c r="N1926">
        <f t="shared" si="243"/>
        <v>2.9999999999999361E-2</v>
      </c>
      <c r="O1926">
        <f t="shared" si="244"/>
        <v>5.9693369207880487E-4</v>
      </c>
      <c r="P1926">
        <f t="shared" si="245"/>
        <v>1</v>
      </c>
      <c r="Q1926">
        <f t="shared" si="246"/>
        <v>0</v>
      </c>
    </row>
    <row r="1927" spans="1:17">
      <c r="A1927" s="1">
        <v>45254</v>
      </c>
      <c r="B1927">
        <v>4559.34</v>
      </c>
      <c r="C1927">
        <f t="shared" si="240"/>
        <v>5.9693369207880487E-4</v>
      </c>
      <c r="D1927">
        <f t="shared" si="247"/>
        <v>2.6300858956145312E-3</v>
      </c>
      <c r="E1927">
        <f>_xlfn.XLOOKUP(A1927,VIX!A:A,VIX!B:B,"",-1)</f>
        <v>12.46</v>
      </c>
      <c r="F1927">
        <f t="shared" si="241"/>
        <v>-0.38999999999999879</v>
      </c>
      <c r="G1927">
        <f>_xlfn.XLOOKUP(A1927,'DGS10'!A:A,'DGS10'!B:B,"",-1)</f>
        <v>4.47</v>
      </c>
      <c r="H1927">
        <f t="shared" si="242"/>
        <v>4.9999999999999822E-2</v>
      </c>
      <c r="I1927" s="2">
        <f>_xlfn.XLOOKUP(A1927,T10Y3M!A:A,T10Y3M!B:B,"",-1)</f>
        <v>-1.07</v>
      </c>
      <c r="J1927" s="2">
        <f>_xlfn.XLOOKUP(A1927,BAMLC0A4CBBB!A:A,BAMLC0A4CBBB!B:B,"",-1)</f>
        <v>1.42</v>
      </c>
      <c r="K1927" s="2">
        <f>_xlfn.XLOOKUP(A1927,CPIAUCSL!A:A,CPIAUCSL!B:B,"",-1)</f>
        <v>308.14800000000002</v>
      </c>
      <c r="L1927">
        <f>_xlfn.XLOOKUP(A1927,DFF!A:A,DFF!B:B,"",-1)</f>
        <v>5.33</v>
      </c>
      <c r="M1927">
        <f>_xlfn.XLOOKUP(A1927,'DGS2'!A:A,'DGS2'!B:B,"",-1)</f>
        <v>4.92</v>
      </c>
      <c r="N1927">
        <f t="shared" si="243"/>
        <v>3.0000000000000249E-2</v>
      </c>
      <c r="O1927">
        <f t="shared" si="244"/>
        <v>-1.9542302175314941E-3</v>
      </c>
      <c r="P1927">
        <f t="shared" si="245"/>
        <v>0</v>
      </c>
      <c r="Q1927">
        <f t="shared" si="246"/>
        <v>0</v>
      </c>
    </row>
    <row r="1928" spans="1:17">
      <c r="A1928" s="1">
        <v>45257</v>
      </c>
      <c r="B1928">
        <v>4550.43</v>
      </c>
      <c r="C1928">
        <f t="shared" si="240"/>
        <v>-1.9542302175314941E-3</v>
      </c>
      <c r="D1928">
        <f t="shared" si="247"/>
        <v>2.6971105220363611E-3</v>
      </c>
      <c r="E1928">
        <f>_xlfn.XLOOKUP(A1928,VIX!A:A,VIX!B:B,"",-1)</f>
        <v>12.69</v>
      </c>
      <c r="F1928">
        <f t="shared" si="241"/>
        <v>0.22999999999999865</v>
      </c>
      <c r="G1928">
        <f>_xlfn.XLOOKUP(A1928,'DGS10'!A:A,'DGS10'!B:B,"",-1)</f>
        <v>4.3899999999999997</v>
      </c>
      <c r="H1928">
        <f t="shared" si="242"/>
        <v>-8.0000000000000071E-2</v>
      </c>
      <c r="I1928" s="2">
        <f>_xlfn.XLOOKUP(A1928,T10Y3M!A:A,T10Y3M!B:B,"",-1)</f>
        <v>-1.1000000000000001</v>
      </c>
      <c r="J1928" s="2">
        <f>_xlfn.XLOOKUP(A1928,BAMLC0A4CBBB!A:A,BAMLC0A4CBBB!B:B,"",-1)</f>
        <v>1.41</v>
      </c>
      <c r="K1928" s="2">
        <f>_xlfn.XLOOKUP(A1928,CPIAUCSL!A:A,CPIAUCSL!B:B,"",-1)</f>
        <v>308.14800000000002</v>
      </c>
      <c r="L1928">
        <f>_xlfn.XLOOKUP(A1928,DFF!A:A,DFF!B:B,"",-1)</f>
        <v>5.33</v>
      </c>
      <c r="M1928">
        <f>_xlfn.XLOOKUP(A1928,'DGS2'!A:A,'DGS2'!B:B,"",-1)</f>
        <v>4.84</v>
      </c>
      <c r="N1928">
        <f t="shared" si="243"/>
        <v>-8.0000000000000071E-2</v>
      </c>
      <c r="O1928">
        <f t="shared" si="244"/>
        <v>9.801271528184774E-4</v>
      </c>
      <c r="P1928">
        <f t="shared" si="245"/>
        <v>1</v>
      </c>
      <c r="Q1928">
        <f t="shared" si="246"/>
        <v>0</v>
      </c>
    </row>
    <row r="1929" spans="1:17">
      <c r="A1929" s="1">
        <v>45258</v>
      </c>
      <c r="B1929">
        <v>4554.8900000000003</v>
      </c>
      <c r="C1929">
        <f t="shared" si="240"/>
        <v>9.801271528184774E-4</v>
      </c>
      <c r="D1929">
        <f t="shared" si="247"/>
        <v>-3.7966738503525388E-4</v>
      </c>
      <c r="E1929">
        <f>_xlfn.XLOOKUP(A1929,VIX!A:A,VIX!B:B,"",-1)</f>
        <v>12.69</v>
      </c>
      <c r="F1929">
        <f t="shared" si="241"/>
        <v>0</v>
      </c>
      <c r="G1929">
        <f>_xlfn.XLOOKUP(A1929,'DGS10'!A:A,'DGS10'!B:B,"",-1)</f>
        <v>4.34</v>
      </c>
      <c r="H1929">
        <f t="shared" si="242"/>
        <v>-4.9999999999999822E-2</v>
      </c>
      <c r="I1929" s="2">
        <f>_xlfn.XLOOKUP(A1929,T10Y3M!A:A,T10Y3M!B:B,"",-1)</f>
        <v>-1.1299999999999999</v>
      </c>
      <c r="J1929" s="2">
        <f>_xlfn.XLOOKUP(A1929,BAMLC0A4CBBB!A:A,BAMLC0A4CBBB!B:B,"",-1)</f>
        <v>1.41</v>
      </c>
      <c r="K1929" s="2">
        <f>_xlfn.XLOOKUP(A1929,CPIAUCSL!A:A,CPIAUCSL!B:B,"",-1)</f>
        <v>308.14800000000002</v>
      </c>
      <c r="L1929">
        <f>_xlfn.XLOOKUP(A1929,DFF!A:A,DFF!B:B,"",-1)</f>
        <v>5.33</v>
      </c>
      <c r="M1929">
        <f>_xlfn.XLOOKUP(A1929,'DGS2'!A:A,'DGS2'!B:B,"",-1)</f>
        <v>4.7300000000000004</v>
      </c>
      <c r="N1929">
        <f t="shared" si="243"/>
        <v>-0.10999999999999943</v>
      </c>
      <c r="O1929">
        <f t="shared" si="244"/>
        <v>-9.4623580371877569E-4</v>
      </c>
      <c r="P1929">
        <f t="shared" si="245"/>
        <v>0</v>
      </c>
      <c r="Q1929">
        <f t="shared" si="246"/>
        <v>0</v>
      </c>
    </row>
    <row r="1930" spans="1:17">
      <c r="A1930" s="1">
        <v>45259</v>
      </c>
      <c r="B1930">
        <v>4550.58</v>
      </c>
      <c r="C1930">
        <f t="shared" si="240"/>
        <v>-9.4623580371877569E-4</v>
      </c>
      <c r="D1930">
        <f t="shared" si="247"/>
        <v>-1.921330718919867E-3</v>
      </c>
      <c r="E1930">
        <f>_xlfn.XLOOKUP(A1930,VIX!A:A,VIX!B:B,"",-1)</f>
        <v>12.98</v>
      </c>
      <c r="F1930">
        <f t="shared" si="241"/>
        <v>0.29000000000000092</v>
      </c>
      <c r="G1930">
        <f>_xlfn.XLOOKUP(A1930,'DGS10'!A:A,'DGS10'!B:B,"",-1)</f>
        <v>4.2699999999999996</v>
      </c>
      <c r="H1930">
        <f t="shared" si="242"/>
        <v>-7.0000000000000284E-2</v>
      </c>
      <c r="I1930" s="2">
        <f>_xlfn.XLOOKUP(A1930,T10Y3M!A:A,T10Y3M!B:B,"",-1)</f>
        <v>-1.18</v>
      </c>
      <c r="J1930" s="2">
        <f>_xlfn.XLOOKUP(A1930,BAMLC0A4CBBB!A:A,BAMLC0A4CBBB!B:B,"",-1)</f>
        <v>1.38</v>
      </c>
      <c r="K1930" s="2">
        <f>_xlfn.XLOOKUP(A1930,CPIAUCSL!A:A,CPIAUCSL!B:B,"",-1)</f>
        <v>308.14800000000002</v>
      </c>
      <c r="L1930">
        <f>_xlfn.XLOOKUP(A1930,DFF!A:A,DFF!B:B,"",-1)</f>
        <v>5.33</v>
      </c>
      <c r="M1930">
        <f>_xlfn.XLOOKUP(A1930,'DGS2'!A:A,'DGS2'!B:B,"",-1)</f>
        <v>4.6399999999999997</v>
      </c>
      <c r="N1930">
        <f t="shared" si="243"/>
        <v>-9.0000000000000746E-2</v>
      </c>
      <c r="O1930">
        <f t="shared" si="244"/>
        <v>3.7841330116161753E-3</v>
      </c>
      <c r="P1930">
        <f t="shared" si="245"/>
        <v>1</v>
      </c>
      <c r="Q1930">
        <f t="shared" si="246"/>
        <v>1</v>
      </c>
    </row>
    <row r="1931" spans="1:17">
      <c r="A1931" s="1">
        <v>45260</v>
      </c>
      <c r="B1931">
        <v>4567.8</v>
      </c>
      <c r="C1931">
        <f t="shared" si="240"/>
        <v>3.7841330116161753E-3</v>
      </c>
      <c r="D1931">
        <f t="shared" si="247"/>
        <v>3.8172216691609862E-3</v>
      </c>
      <c r="E1931">
        <f>_xlfn.XLOOKUP(A1931,VIX!A:A,VIX!B:B,"",-1)</f>
        <v>12.92</v>
      </c>
      <c r="F1931">
        <f t="shared" si="241"/>
        <v>-6.0000000000000497E-2</v>
      </c>
      <c r="G1931">
        <f>_xlfn.XLOOKUP(A1931,'DGS10'!A:A,'DGS10'!B:B,"",-1)</f>
        <v>4.37</v>
      </c>
      <c r="H1931">
        <f t="shared" si="242"/>
        <v>0.10000000000000053</v>
      </c>
      <c r="I1931" s="2">
        <f>_xlfn.XLOOKUP(A1931,T10Y3M!A:A,T10Y3M!B:B,"",-1)</f>
        <v>-1.08</v>
      </c>
      <c r="J1931" s="2">
        <f>_xlfn.XLOOKUP(A1931,BAMLC0A4CBBB!A:A,BAMLC0A4CBBB!B:B,"",-1)</f>
        <v>1.39</v>
      </c>
      <c r="K1931" s="2">
        <f>_xlfn.XLOOKUP(A1931,CPIAUCSL!A:A,CPIAUCSL!B:B,"",-1)</f>
        <v>308.14800000000002</v>
      </c>
      <c r="L1931">
        <f>_xlfn.XLOOKUP(A1931,DFF!A:A,DFF!B:B,"",-1)</f>
        <v>5.33</v>
      </c>
      <c r="M1931">
        <f>_xlfn.XLOOKUP(A1931,'DGS2'!A:A,'DGS2'!B:B,"",-1)</f>
        <v>4.7300000000000004</v>
      </c>
      <c r="N1931">
        <f t="shared" si="243"/>
        <v>9.0000000000000746E-2</v>
      </c>
      <c r="O1931">
        <f t="shared" si="244"/>
        <v>5.873724769035471E-3</v>
      </c>
      <c r="P1931">
        <f t="shared" si="245"/>
        <v>1</v>
      </c>
      <c r="Q1931">
        <f t="shared" si="246"/>
        <v>1</v>
      </c>
    </row>
    <row r="1932" spans="1:17">
      <c r="A1932" s="1">
        <v>45261</v>
      </c>
      <c r="B1932">
        <v>4594.63</v>
      </c>
      <c r="C1932">
        <f t="shared" si="240"/>
        <v>5.873724769035471E-3</v>
      </c>
      <c r="D1932">
        <f t="shared" si="247"/>
        <v>8.724689289971721E-3</v>
      </c>
      <c r="E1932">
        <f>_xlfn.XLOOKUP(A1932,VIX!A:A,VIX!B:B,"",-1)</f>
        <v>12.63</v>
      </c>
      <c r="F1932">
        <f t="shared" si="241"/>
        <v>-0.28999999999999915</v>
      </c>
      <c r="G1932">
        <f>_xlfn.XLOOKUP(A1932,'DGS10'!A:A,'DGS10'!B:B,"",-1)</f>
        <v>4.22</v>
      </c>
      <c r="H1932">
        <f t="shared" si="242"/>
        <v>-0.15000000000000036</v>
      </c>
      <c r="I1932" s="2">
        <f>_xlfn.XLOOKUP(A1932,T10Y3M!A:A,T10Y3M!B:B,"",-1)</f>
        <v>-1.21</v>
      </c>
      <c r="J1932" s="2">
        <f>_xlfn.XLOOKUP(A1932,BAMLC0A4CBBB!A:A,BAMLC0A4CBBB!B:B,"",-1)</f>
        <v>1.39</v>
      </c>
      <c r="K1932" s="2">
        <f>_xlfn.XLOOKUP(A1932,CPIAUCSL!A:A,CPIAUCSL!B:B,"",-1)</f>
        <v>308.74099999999999</v>
      </c>
      <c r="L1932">
        <f>_xlfn.XLOOKUP(A1932,DFF!A:A,DFF!B:B,"",-1)</f>
        <v>5.33</v>
      </c>
      <c r="M1932">
        <f>_xlfn.XLOOKUP(A1932,'DGS2'!A:A,'DGS2'!B:B,"",-1)</f>
        <v>4.5599999999999996</v>
      </c>
      <c r="N1932">
        <f t="shared" si="243"/>
        <v>-0.17000000000000082</v>
      </c>
      <c r="O1932">
        <f t="shared" si="244"/>
        <v>-5.4084877345945692E-3</v>
      </c>
      <c r="P1932">
        <f t="shared" si="245"/>
        <v>0</v>
      </c>
      <c r="Q1932">
        <f t="shared" si="246"/>
        <v>-1</v>
      </c>
    </row>
    <row r="1933" spans="1:17">
      <c r="A1933" s="1">
        <v>45264</v>
      </c>
      <c r="B1933">
        <v>4569.78</v>
      </c>
      <c r="C1933">
        <f t="shared" si="240"/>
        <v>-5.4084877345945692E-3</v>
      </c>
      <c r="D1933">
        <f t="shared" si="247"/>
        <v>4.2192423822897673E-3</v>
      </c>
      <c r="E1933">
        <f>_xlfn.XLOOKUP(A1933,VIX!A:A,VIX!B:B,"",-1)</f>
        <v>13.08</v>
      </c>
      <c r="F1933">
        <f t="shared" si="241"/>
        <v>0.44999999999999929</v>
      </c>
      <c r="G1933">
        <f>_xlfn.XLOOKUP(A1933,'DGS10'!A:A,'DGS10'!B:B,"",-1)</f>
        <v>4.28</v>
      </c>
      <c r="H1933">
        <f t="shared" si="242"/>
        <v>6.0000000000000497E-2</v>
      </c>
      <c r="I1933" s="2">
        <f>_xlfn.XLOOKUP(A1933,T10Y3M!A:A,T10Y3M!B:B,"",-1)</f>
        <v>-1.18</v>
      </c>
      <c r="J1933" s="2">
        <f>_xlfn.XLOOKUP(A1933,BAMLC0A4CBBB!A:A,BAMLC0A4CBBB!B:B,"",-1)</f>
        <v>1.38</v>
      </c>
      <c r="K1933" s="2">
        <f>_xlfn.XLOOKUP(A1933,CPIAUCSL!A:A,CPIAUCSL!B:B,"",-1)</f>
        <v>308.74099999999999</v>
      </c>
      <c r="L1933">
        <f>_xlfn.XLOOKUP(A1933,DFF!A:A,DFF!B:B,"",-1)</f>
        <v>5.33</v>
      </c>
      <c r="M1933">
        <f>_xlfn.XLOOKUP(A1933,'DGS2'!A:A,'DGS2'!B:B,"",-1)</f>
        <v>4.6399999999999997</v>
      </c>
      <c r="N1933">
        <f t="shared" si="243"/>
        <v>8.0000000000000071E-2</v>
      </c>
      <c r="O1933">
        <f t="shared" si="244"/>
        <v>-5.6895517946142782E-4</v>
      </c>
      <c r="P1933">
        <f t="shared" si="245"/>
        <v>0</v>
      </c>
      <c r="Q1933">
        <f t="shared" si="246"/>
        <v>0</v>
      </c>
    </row>
    <row r="1934" spans="1:17">
      <c r="A1934" s="1">
        <v>45265</v>
      </c>
      <c r="B1934">
        <v>4567.18</v>
      </c>
      <c r="C1934">
        <f t="shared" si="240"/>
        <v>-5.6895517946142782E-4</v>
      </c>
      <c r="D1934">
        <f t="shared" si="247"/>
        <v>-1.3573273786060547E-4</v>
      </c>
      <c r="E1934">
        <f>_xlfn.XLOOKUP(A1934,VIX!A:A,VIX!B:B,"",-1)</f>
        <v>12.85</v>
      </c>
      <c r="F1934">
        <f t="shared" si="241"/>
        <v>-0.23000000000000043</v>
      </c>
      <c r="G1934">
        <f>_xlfn.XLOOKUP(A1934,'DGS10'!A:A,'DGS10'!B:B,"",-1)</f>
        <v>4.18</v>
      </c>
      <c r="H1934">
        <f t="shared" si="242"/>
        <v>-0.10000000000000053</v>
      </c>
      <c r="I1934" s="2">
        <f>_xlfn.XLOOKUP(A1934,T10Y3M!A:A,T10Y3M!B:B,"",-1)</f>
        <v>-1.27</v>
      </c>
      <c r="J1934" s="2">
        <f>_xlfn.XLOOKUP(A1934,BAMLC0A4CBBB!A:A,BAMLC0A4CBBB!B:B,"",-1)</f>
        <v>1.39</v>
      </c>
      <c r="K1934" s="2">
        <f>_xlfn.XLOOKUP(A1934,CPIAUCSL!A:A,CPIAUCSL!B:B,"",-1)</f>
        <v>308.74099999999999</v>
      </c>
      <c r="L1934">
        <f>_xlfn.XLOOKUP(A1934,DFF!A:A,DFF!B:B,"",-1)</f>
        <v>5.33</v>
      </c>
      <c r="M1934">
        <f>_xlfn.XLOOKUP(A1934,'DGS2'!A:A,'DGS2'!B:B,"",-1)</f>
        <v>4.57</v>
      </c>
      <c r="N1934">
        <f t="shared" si="243"/>
        <v>-6.9999999999999396E-2</v>
      </c>
      <c r="O1934">
        <f t="shared" si="244"/>
        <v>-3.9061302598102365E-3</v>
      </c>
      <c r="P1934">
        <f t="shared" si="245"/>
        <v>0</v>
      </c>
      <c r="Q1934">
        <f t="shared" si="246"/>
        <v>-1</v>
      </c>
    </row>
    <row r="1935" spans="1:17">
      <c r="A1935" s="1">
        <v>45266</v>
      </c>
      <c r="B1935">
        <v>4549.34</v>
      </c>
      <c r="C1935">
        <f t="shared" si="240"/>
        <v>-3.9061302598102365E-3</v>
      </c>
      <c r="D1935">
        <f t="shared" si="247"/>
        <v>-9.8571593360075038E-3</v>
      </c>
      <c r="E1935">
        <f>_xlfn.XLOOKUP(A1935,VIX!A:A,VIX!B:B,"",-1)</f>
        <v>12.97</v>
      </c>
      <c r="F1935">
        <f t="shared" si="241"/>
        <v>0.12000000000000099</v>
      </c>
      <c r="G1935">
        <f>_xlfn.XLOOKUP(A1935,'DGS10'!A:A,'DGS10'!B:B,"",-1)</f>
        <v>4.12</v>
      </c>
      <c r="H1935">
        <f t="shared" si="242"/>
        <v>-5.9999999999999609E-2</v>
      </c>
      <c r="I1935" s="2">
        <f>_xlfn.XLOOKUP(A1935,T10Y3M!A:A,T10Y3M!B:B,"",-1)</f>
        <v>-1.33</v>
      </c>
      <c r="J1935" s="2">
        <f>_xlfn.XLOOKUP(A1935,BAMLC0A4CBBB!A:A,BAMLC0A4CBBB!B:B,"",-1)</f>
        <v>1.4</v>
      </c>
      <c r="K1935" s="2">
        <f>_xlfn.XLOOKUP(A1935,CPIAUCSL!A:A,CPIAUCSL!B:B,"",-1)</f>
        <v>308.74099999999999</v>
      </c>
      <c r="L1935">
        <f>_xlfn.XLOOKUP(A1935,DFF!A:A,DFF!B:B,"",-1)</f>
        <v>5.33</v>
      </c>
      <c r="M1935">
        <f>_xlfn.XLOOKUP(A1935,'DGS2'!A:A,'DGS2'!B:B,"",-1)</f>
        <v>4.5999999999999996</v>
      </c>
      <c r="N1935">
        <f t="shared" si="243"/>
        <v>2.9999999999999361E-2</v>
      </c>
      <c r="O1935">
        <f t="shared" si="244"/>
        <v>7.9681887922204986E-3</v>
      </c>
      <c r="P1935">
        <f t="shared" si="245"/>
        <v>1</v>
      </c>
      <c r="Q1935">
        <f t="shared" si="246"/>
        <v>1</v>
      </c>
    </row>
    <row r="1936" spans="1:17">
      <c r="A1936" s="1">
        <v>45267</v>
      </c>
      <c r="B1936">
        <v>4585.59</v>
      </c>
      <c r="C1936">
        <f t="shared" si="240"/>
        <v>7.9681887922204986E-3</v>
      </c>
      <c r="D1936">
        <f t="shared" si="247"/>
        <v>3.4596851489570035E-3</v>
      </c>
      <c r="E1936">
        <f>_xlfn.XLOOKUP(A1936,VIX!A:A,VIX!B:B,"",-1)</f>
        <v>13.06</v>
      </c>
      <c r="F1936">
        <f t="shared" si="241"/>
        <v>8.9999999999999858E-2</v>
      </c>
      <c r="G1936">
        <f>_xlfn.XLOOKUP(A1936,'DGS10'!A:A,'DGS10'!B:B,"",-1)</f>
        <v>4.1399999999999997</v>
      </c>
      <c r="H1936">
        <f t="shared" si="242"/>
        <v>1.9999999999999574E-2</v>
      </c>
      <c r="I1936" s="2">
        <f>_xlfn.XLOOKUP(A1936,T10Y3M!A:A,T10Y3M!B:B,"",-1)</f>
        <v>-1.3</v>
      </c>
      <c r="J1936" s="2">
        <f>_xlfn.XLOOKUP(A1936,BAMLC0A4CBBB!A:A,BAMLC0A4CBBB!B:B,"",-1)</f>
        <v>1.39</v>
      </c>
      <c r="K1936" s="2">
        <f>_xlfn.XLOOKUP(A1936,CPIAUCSL!A:A,CPIAUCSL!B:B,"",-1)</f>
        <v>308.74099999999999</v>
      </c>
      <c r="L1936">
        <f>_xlfn.XLOOKUP(A1936,DFF!A:A,DFF!B:B,"",-1)</f>
        <v>5.33</v>
      </c>
      <c r="M1936">
        <f>_xlfn.XLOOKUP(A1936,'DGS2'!A:A,'DGS2'!B:B,"",-1)</f>
        <v>4.58</v>
      </c>
      <c r="N1936">
        <f t="shared" si="243"/>
        <v>-1.9999999999999574E-2</v>
      </c>
      <c r="O1936">
        <f t="shared" si="244"/>
        <v>4.0954381006588214E-3</v>
      </c>
      <c r="P1936">
        <f t="shared" si="245"/>
        <v>1</v>
      </c>
      <c r="Q1936">
        <f t="shared" si="246"/>
        <v>1</v>
      </c>
    </row>
    <row r="1937" spans="1:17">
      <c r="A1937" s="1">
        <v>45268</v>
      </c>
      <c r="B1937">
        <v>4604.37</v>
      </c>
      <c r="C1937">
        <f t="shared" si="240"/>
        <v>4.0954381006588214E-3</v>
      </c>
      <c r="D1937">
        <f t="shared" si="247"/>
        <v>8.1428802893688257E-3</v>
      </c>
      <c r="E1937">
        <f>_xlfn.XLOOKUP(A1937,VIX!A:A,VIX!B:B,"",-1)</f>
        <v>12.35</v>
      </c>
      <c r="F1937">
        <f t="shared" si="241"/>
        <v>-0.71000000000000085</v>
      </c>
      <c r="G1937">
        <f>_xlfn.XLOOKUP(A1937,'DGS10'!A:A,'DGS10'!B:B,"",-1)</f>
        <v>4.2300000000000004</v>
      </c>
      <c r="H1937">
        <f t="shared" si="242"/>
        <v>9.0000000000000746E-2</v>
      </c>
      <c r="I1937" s="2">
        <f>_xlfn.XLOOKUP(A1937,T10Y3M!A:A,T10Y3M!B:B,"",-1)</f>
        <v>-1.21</v>
      </c>
      <c r="J1937" s="2">
        <f>_xlfn.XLOOKUP(A1937,BAMLC0A4CBBB!A:A,BAMLC0A4CBBB!B:B,"",-1)</f>
        <v>1.38</v>
      </c>
      <c r="K1937" s="2">
        <f>_xlfn.XLOOKUP(A1937,CPIAUCSL!A:A,CPIAUCSL!B:B,"",-1)</f>
        <v>308.74099999999999</v>
      </c>
      <c r="L1937">
        <f>_xlfn.XLOOKUP(A1937,DFF!A:A,DFF!B:B,"",-1)</f>
        <v>5.33</v>
      </c>
      <c r="M1937">
        <f>_xlfn.XLOOKUP(A1937,'DGS2'!A:A,'DGS2'!B:B,"",-1)</f>
        <v>4.71</v>
      </c>
      <c r="N1937">
        <f t="shared" si="243"/>
        <v>0.12999999999999989</v>
      </c>
      <c r="O1937">
        <f t="shared" si="244"/>
        <v>3.9245325636296791E-3</v>
      </c>
      <c r="P1937">
        <f t="shared" si="245"/>
        <v>1</v>
      </c>
      <c r="Q1937">
        <f t="shared" si="246"/>
        <v>1</v>
      </c>
    </row>
    <row r="1938" spans="1:17">
      <c r="A1938" s="1">
        <v>45271</v>
      </c>
      <c r="B1938">
        <v>4622.4399999999996</v>
      </c>
      <c r="C1938">
        <f t="shared" si="240"/>
        <v>3.9245325636296791E-3</v>
      </c>
      <c r="D1938">
        <f t="shared" si="247"/>
        <v>1.606826484720858E-2</v>
      </c>
      <c r="E1938">
        <f>_xlfn.XLOOKUP(A1938,VIX!A:A,VIX!B:B,"",-1)</f>
        <v>12.63</v>
      </c>
      <c r="F1938">
        <f t="shared" si="241"/>
        <v>0.28000000000000114</v>
      </c>
      <c r="G1938">
        <f>_xlfn.XLOOKUP(A1938,'DGS10'!A:A,'DGS10'!B:B,"",-1)</f>
        <v>4.2300000000000004</v>
      </c>
      <c r="H1938">
        <f t="shared" si="242"/>
        <v>0</v>
      </c>
      <c r="I1938" s="2">
        <f>_xlfn.XLOOKUP(A1938,T10Y3M!A:A,T10Y3M!B:B,"",-1)</f>
        <v>-1.24</v>
      </c>
      <c r="J1938" s="2">
        <f>_xlfn.XLOOKUP(A1938,BAMLC0A4CBBB!A:A,BAMLC0A4CBBB!B:B,"",-1)</f>
        <v>1.38</v>
      </c>
      <c r="K1938" s="2">
        <f>_xlfn.XLOOKUP(A1938,CPIAUCSL!A:A,CPIAUCSL!B:B,"",-1)</f>
        <v>308.74099999999999</v>
      </c>
      <c r="L1938">
        <f>_xlfn.XLOOKUP(A1938,DFF!A:A,DFF!B:B,"",-1)</f>
        <v>5.33</v>
      </c>
      <c r="M1938">
        <f>_xlfn.XLOOKUP(A1938,'DGS2'!A:A,'DGS2'!B:B,"",-1)</f>
        <v>4.71</v>
      </c>
      <c r="N1938">
        <f t="shared" si="243"/>
        <v>0</v>
      </c>
      <c r="O1938">
        <f t="shared" si="244"/>
        <v>4.599302532861449E-3</v>
      </c>
      <c r="P1938">
        <f t="shared" si="245"/>
        <v>1</v>
      </c>
      <c r="Q1938">
        <f t="shared" si="246"/>
        <v>1</v>
      </c>
    </row>
    <row r="1939" spans="1:17">
      <c r="A1939" s="1">
        <v>45272</v>
      </c>
      <c r="B1939">
        <v>4643.7</v>
      </c>
      <c r="C1939">
        <f t="shared" si="240"/>
        <v>4.599302532861449E-3</v>
      </c>
      <c r="D1939">
        <f t="shared" si="247"/>
        <v>1.2672306071846773E-2</v>
      </c>
      <c r="E1939">
        <f>_xlfn.XLOOKUP(A1939,VIX!A:A,VIX!B:B,"",-1)</f>
        <v>12.07</v>
      </c>
      <c r="F1939">
        <f t="shared" si="241"/>
        <v>-0.5600000000000005</v>
      </c>
      <c r="G1939">
        <f>_xlfn.XLOOKUP(A1939,'DGS10'!A:A,'DGS10'!B:B,"",-1)</f>
        <v>4.2</v>
      </c>
      <c r="H1939">
        <f t="shared" si="242"/>
        <v>-3.0000000000000249E-2</v>
      </c>
      <c r="I1939" s="2">
        <f>_xlfn.XLOOKUP(A1939,T10Y3M!A:A,T10Y3M!B:B,"",-1)</f>
        <v>-1.26</v>
      </c>
      <c r="J1939" s="2">
        <f>_xlfn.XLOOKUP(A1939,BAMLC0A4CBBB!A:A,BAMLC0A4CBBB!B:B,"",-1)</f>
        <v>1.36</v>
      </c>
      <c r="K1939" s="2">
        <f>_xlfn.XLOOKUP(A1939,CPIAUCSL!A:A,CPIAUCSL!B:B,"",-1)</f>
        <v>308.74099999999999</v>
      </c>
      <c r="L1939">
        <f>_xlfn.XLOOKUP(A1939,DFF!A:A,DFF!B:B,"",-1)</f>
        <v>5.33</v>
      </c>
      <c r="M1939">
        <f>_xlfn.XLOOKUP(A1939,'DGS2'!A:A,'DGS2'!B:B,"",-1)</f>
        <v>4.7300000000000004</v>
      </c>
      <c r="N1939">
        <f t="shared" si="243"/>
        <v>2.0000000000000462E-2</v>
      </c>
      <c r="O1939">
        <f t="shared" si="244"/>
        <v>1.3650752632599072E-2</v>
      </c>
      <c r="P1939">
        <f t="shared" si="245"/>
        <v>1</v>
      </c>
      <c r="Q1939">
        <f t="shared" si="246"/>
        <v>1</v>
      </c>
    </row>
    <row r="1940" spans="1:17">
      <c r="A1940" s="1">
        <v>45273</v>
      </c>
      <c r="B1940">
        <v>4707.09</v>
      </c>
      <c r="C1940">
        <f t="shared" si="240"/>
        <v>1.3650752632599072E-2</v>
      </c>
      <c r="D1940">
        <f t="shared" si="247"/>
        <v>2.2309241003655389E-2</v>
      </c>
      <c r="E1940">
        <f>_xlfn.XLOOKUP(A1940,VIX!A:A,VIX!B:B,"",-1)</f>
        <v>12.19</v>
      </c>
      <c r="F1940">
        <f t="shared" si="241"/>
        <v>0.11999999999999922</v>
      </c>
      <c r="G1940">
        <f>_xlfn.XLOOKUP(A1940,'DGS10'!A:A,'DGS10'!B:B,"",-1)</f>
        <v>4.04</v>
      </c>
      <c r="H1940">
        <f t="shared" si="242"/>
        <v>-0.16000000000000014</v>
      </c>
      <c r="I1940" s="2">
        <f>_xlfn.XLOOKUP(A1940,T10Y3M!A:A,T10Y3M!B:B,"",-1)</f>
        <v>-1.4</v>
      </c>
      <c r="J1940" s="2">
        <f>_xlfn.XLOOKUP(A1940,BAMLC0A4CBBB!A:A,BAMLC0A4CBBB!B:B,"",-1)</f>
        <v>1.35</v>
      </c>
      <c r="K1940" s="2">
        <f>_xlfn.XLOOKUP(A1940,CPIAUCSL!A:A,CPIAUCSL!B:B,"",-1)</f>
        <v>308.74099999999999</v>
      </c>
      <c r="L1940">
        <f>_xlfn.XLOOKUP(A1940,DFF!A:A,DFF!B:B,"",-1)</f>
        <v>5.33</v>
      </c>
      <c r="M1940">
        <f>_xlfn.XLOOKUP(A1940,'DGS2'!A:A,'DGS2'!B:B,"",-1)</f>
        <v>4.46</v>
      </c>
      <c r="N1940">
        <f t="shared" si="243"/>
        <v>-0.27000000000000046</v>
      </c>
      <c r="O1940">
        <f t="shared" si="244"/>
        <v>2.6470706954828671E-3</v>
      </c>
      <c r="P1940">
        <f t="shared" si="245"/>
        <v>1</v>
      </c>
      <c r="Q1940">
        <f t="shared" si="246"/>
        <v>0</v>
      </c>
    </row>
    <row r="1941" spans="1:17">
      <c r="A1941" s="1">
        <v>45274</v>
      </c>
      <c r="B1941">
        <v>4719.55</v>
      </c>
      <c r="C1941">
        <f t="shared" si="240"/>
        <v>2.6470706954828671E-3</v>
      </c>
      <c r="D1941">
        <f t="shared" si="247"/>
        <v>2.1008385181852107E-2</v>
      </c>
      <c r="E1941">
        <f>_xlfn.XLOOKUP(A1941,VIX!A:A,VIX!B:B,"",-1)</f>
        <v>12.48</v>
      </c>
      <c r="F1941">
        <f t="shared" si="241"/>
        <v>0.29000000000000092</v>
      </c>
      <c r="G1941">
        <f>_xlfn.XLOOKUP(A1941,'DGS10'!A:A,'DGS10'!B:B,"",-1)</f>
        <v>3.92</v>
      </c>
      <c r="H1941">
        <f t="shared" si="242"/>
        <v>-0.12000000000000011</v>
      </c>
      <c r="I1941" s="2">
        <f>_xlfn.XLOOKUP(A1941,T10Y3M!A:A,T10Y3M!B:B,"",-1)</f>
        <v>-1.51</v>
      </c>
      <c r="J1941" s="2">
        <f>_xlfn.XLOOKUP(A1941,BAMLC0A4CBBB!A:A,BAMLC0A4CBBB!B:B,"",-1)</f>
        <v>1.31</v>
      </c>
      <c r="K1941" s="2">
        <f>_xlfn.XLOOKUP(A1941,CPIAUCSL!A:A,CPIAUCSL!B:B,"",-1)</f>
        <v>308.74099999999999</v>
      </c>
      <c r="L1941">
        <f>_xlfn.XLOOKUP(A1941,DFF!A:A,DFF!B:B,"",-1)</f>
        <v>5.33</v>
      </c>
      <c r="M1941">
        <f>_xlfn.XLOOKUP(A1941,'DGS2'!A:A,'DGS2'!B:B,"",-1)</f>
        <v>4.37</v>
      </c>
      <c r="N1941">
        <f t="shared" si="243"/>
        <v>-8.9999999999999858E-2</v>
      </c>
      <c r="O1941">
        <f t="shared" si="244"/>
        <v>-7.6278458751466438E-5</v>
      </c>
      <c r="P1941">
        <f t="shared" si="245"/>
        <v>0</v>
      </c>
      <c r="Q1941">
        <f t="shared" si="246"/>
        <v>0</v>
      </c>
    </row>
    <row r="1942" spans="1:17">
      <c r="A1942" s="1">
        <v>45275</v>
      </c>
      <c r="B1942">
        <v>4719.1899999999996</v>
      </c>
      <c r="C1942">
        <f t="shared" si="240"/>
        <v>-7.6278458751466438E-5</v>
      </c>
      <c r="D1942">
        <f t="shared" si="247"/>
        <v>1.6256433447466412E-2</v>
      </c>
      <c r="E1942">
        <f>_xlfn.XLOOKUP(A1942,VIX!A:A,VIX!B:B,"",-1)</f>
        <v>12.28</v>
      </c>
      <c r="F1942">
        <f t="shared" si="241"/>
        <v>-0.20000000000000107</v>
      </c>
      <c r="G1942">
        <f>_xlfn.XLOOKUP(A1942,'DGS10'!A:A,'DGS10'!B:B,"",-1)</f>
        <v>3.91</v>
      </c>
      <c r="H1942">
        <f t="shared" si="242"/>
        <v>-9.9999999999997868E-3</v>
      </c>
      <c r="I1942" s="2">
        <f>_xlfn.XLOOKUP(A1942,T10Y3M!A:A,T10Y3M!B:B,"",-1)</f>
        <v>-1.53</v>
      </c>
      <c r="J1942" s="2">
        <f>_xlfn.XLOOKUP(A1942,BAMLC0A4CBBB!A:A,BAMLC0A4CBBB!B:B,"",-1)</f>
        <v>1.31</v>
      </c>
      <c r="K1942" s="2">
        <f>_xlfn.XLOOKUP(A1942,CPIAUCSL!A:A,CPIAUCSL!B:B,"",-1)</f>
        <v>308.74099999999999</v>
      </c>
      <c r="L1942">
        <f>_xlfn.XLOOKUP(A1942,DFF!A:A,DFF!B:B,"",-1)</f>
        <v>5.33</v>
      </c>
      <c r="M1942">
        <f>_xlfn.XLOOKUP(A1942,'DGS2'!A:A,'DGS2'!B:B,"",-1)</f>
        <v>4.4400000000000004</v>
      </c>
      <c r="N1942">
        <f t="shared" si="243"/>
        <v>7.0000000000000284E-2</v>
      </c>
      <c r="O1942">
        <f t="shared" si="244"/>
        <v>4.5283194785548098E-3</v>
      </c>
      <c r="P1942">
        <f t="shared" si="245"/>
        <v>1</v>
      </c>
      <c r="Q1942">
        <f t="shared" si="246"/>
        <v>1</v>
      </c>
    </row>
    <row r="1943" spans="1:17">
      <c r="A1943" s="1">
        <v>45278</v>
      </c>
      <c r="B1943">
        <v>4740.5600000000004</v>
      </c>
      <c r="C1943">
        <f t="shared" si="240"/>
        <v>4.5283194785548098E-3</v>
      </c>
      <c r="D1943">
        <f t="shared" si="247"/>
        <v>7.1105502550408151E-3</v>
      </c>
      <c r="E1943">
        <f>_xlfn.XLOOKUP(A1943,VIX!A:A,VIX!B:B,"",-1)</f>
        <v>12.56</v>
      </c>
      <c r="F1943">
        <f t="shared" si="241"/>
        <v>0.28000000000000114</v>
      </c>
      <c r="G1943">
        <f>_xlfn.XLOOKUP(A1943,'DGS10'!A:A,'DGS10'!B:B,"",-1)</f>
        <v>3.95</v>
      </c>
      <c r="H1943">
        <f t="shared" si="242"/>
        <v>4.0000000000000036E-2</v>
      </c>
      <c r="I1943" s="2">
        <f>_xlfn.XLOOKUP(A1943,T10Y3M!A:A,T10Y3M!B:B,"",-1)</f>
        <v>-1.51</v>
      </c>
      <c r="J1943" s="2">
        <f>_xlfn.XLOOKUP(A1943,BAMLC0A4CBBB!A:A,BAMLC0A4CBBB!B:B,"",-1)</f>
        <v>1.31</v>
      </c>
      <c r="K1943" s="2">
        <f>_xlfn.XLOOKUP(A1943,CPIAUCSL!A:A,CPIAUCSL!B:B,"",-1)</f>
        <v>308.74099999999999</v>
      </c>
      <c r="L1943">
        <f>_xlfn.XLOOKUP(A1943,DFF!A:A,DFF!B:B,"",-1)</f>
        <v>5.33</v>
      </c>
      <c r="M1943">
        <f>_xlfn.XLOOKUP(A1943,'DGS2'!A:A,'DGS2'!B:B,"",-1)</f>
        <v>4.43</v>
      </c>
      <c r="N1943">
        <f t="shared" si="243"/>
        <v>-1.0000000000000675E-2</v>
      </c>
      <c r="O1943">
        <f t="shared" si="244"/>
        <v>5.8663955313296157E-3</v>
      </c>
      <c r="P1943">
        <f t="shared" si="245"/>
        <v>1</v>
      </c>
      <c r="Q1943">
        <f t="shared" si="246"/>
        <v>1</v>
      </c>
    </row>
    <row r="1944" spans="1:17">
      <c r="A1944" s="1">
        <v>45279</v>
      </c>
      <c r="B1944">
        <v>4768.37</v>
      </c>
      <c r="C1944">
        <f t="shared" si="240"/>
        <v>5.8663955313296157E-3</v>
      </c>
      <c r="D1944">
        <f t="shared" si="247"/>
        <v>1.0344206545115364E-2</v>
      </c>
      <c r="E1944">
        <f>_xlfn.XLOOKUP(A1944,VIX!A:A,VIX!B:B,"",-1)</f>
        <v>12.53</v>
      </c>
      <c r="F1944">
        <f t="shared" si="241"/>
        <v>-3.0000000000001137E-2</v>
      </c>
      <c r="G1944">
        <f>_xlfn.XLOOKUP(A1944,'DGS10'!A:A,'DGS10'!B:B,"",-1)</f>
        <v>3.93</v>
      </c>
      <c r="H1944">
        <f t="shared" si="242"/>
        <v>-2.0000000000000018E-2</v>
      </c>
      <c r="I1944" s="2">
        <f>_xlfn.XLOOKUP(A1944,T10Y3M!A:A,T10Y3M!B:B,"",-1)</f>
        <v>-1.5</v>
      </c>
      <c r="J1944" s="2">
        <f>_xlfn.XLOOKUP(A1944,BAMLC0A4CBBB!A:A,BAMLC0A4CBBB!B:B,"",-1)</f>
        <v>1.32</v>
      </c>
      <c r="K1944" s="2">
        <f>_xlfn.XLOOKUP(A1944,CPIAUCSL!A:A,CPIAUCSL!B:B,"",-1)</f>
        <v>308.74099999999999</v>
      </c>
      <c r="L1944">
        <f>_xlfn.XLOOKUP(A1944,DFF!A:A,DFF!B:B,"",-1)</f>
        <v>5.33</v>
      </c>
      <c r="M1944">
        <f>_xlfn.XLOOKUP(A1944,'DGS2'!A:A,'DGS2'!B:B,"",-1)</f>
        <v>4.41</v>
      </c>
      <c r="N1944">
        <f t="shared" si="243"/>
        <v>-1.9999999999999574E-2</v>
      </c>
      <c r="O1944">
        <f t="shared" si="244"/>
        <v>-1.4684263175886003E-2</v>
      </c>
      <c r="P1944">
        <f t="shared" si="245"/>
        <v>0</v>
      </c>
      <c r="Q1944">
        <f t="shared" si="246"/>
        <v>-1</v>
      </c>
    </row>
    <row r="1945" spans="1:17">
      <c r="A1945" s="1">
        <v>45280</v>
      </c>
      <c r="B1945">
        <v>4698.3500000000004</v>
      </c>
      <c r="C1945">
        <f t="shared" si="240"/>
        <v>-1.4684263175886003E-2</v>
      </c>
      <c r="D1945">
        <f t="shared" si="247"/>
        <v>-4.4160120698677474E-3</v>
      </c>
      <c r="E1945">
        <f>_xlfn.XLOOKUP(A1945,VIX!A:A,VIX!B:B,"",-1)</f>
        <v>13.67</v>
      </c>
      <c r="F1945">
        <f t="shared" si="241"/>
        <v>1.1400000000000006</v>
      </c>
      <c r="G1945">
        <f>_xlfn.XLOOKUP(A1945,'DGS10'!A:A,'DGS10'!B:B,"",-1)</f>
        <v>3.86</v>
      </c>
      <c r="H1945">
        <f t="shared" si="242"/>
        <v>-7.0000000000000284E-2</v>
      </c>
      <c r="I1945" s="2">
        <f>_xlfn.XLOOKUP(A1945,T10Y3M!A:A,T10Y3M!B:B,"",-1)</f>
        <v>-1.58</v>
      </c>
      <c r="J1945" s="2">
        <f>_xlfn.XLOOKUP(A1945,BAMLC0A4CBBB!A:A,BAMLC0A4CBBB!B:B,"",-1)</f>
        <v>1.33</v>
      </c>
      <c r="K1945" s="2">
        <f>_xlfn.XLOOKUP(A1945,CPIAUCSL!A:A,CPIAUCSL!B:B,"",-1)</f>
        <v>308.74099999999999</v>
      </c>
      <c r="L1945">
        <f>_xlfn.XLOOKUP(A1945,DFF!A:A,DFF!B:B,"",-1)</f>
        <v>5.33</v>
      </c>
      <c r="M1945">
        <f>_xlfn.XLOOKUP(A1945,'DGS2'!A:A,'DGS2'!B:B,"",-1)</f>
        <v>4.34</v>
      </c>
      <c r="N1945">
        <f t="shared" si="243"/>
        <v>-7.0000000000000284E-2</v>
      </c>
      <c r="O1945">
        <f t="shared" si="244"/>
        <v>1.030148882054327E-2</v>
      </c>
      <c r="P1945">
        <f t="shared" si="245"/>
        <v>1</v>
      </c>
      <c r="Q1945">
        <f t="shared" si="246"/>
        <v>1</v>
      </c>
    </row>
    <row r="1946" spans="1:17">
      <c r="A1946" s="1">
        <v>45281</v>
      </c>
      <c r="B1946">
        <v>4746.75</v>
      </c>
      <c r="C1946">
        <f t="shared" si="240"/>
        <v>1.030148882054327E-2</v>
      </c>
      <c r="D1946">
        <f t="shared" si="247"/>
        <v>1.3057529068294382E-3</v>
      </c>
      <c r="E1946">
        <f>_xlfn.XLOOKUP(A1946,VIX!A:A,VIX!B:B,"",-1)</f>
        <v>13.65</v>
      </c>
      <c r="F1946">
        <f t="shared" si="241"/>
        <v>-1.9999999999999574E-2</v>
      </c>
      <c r="G1946">
        <f>_xlfn.XLOOKUP(A1946,'DGS10'!A:A,'DGS10'!B:B,"",-1)</f>
        <v>3.89</v>
      </c>
      <c r="H1946">
        <f t="shared" si="242"/>
        <v>3.0000000000000249E-2</v>
      </c>
      <c r="I1946" s="2">
        <f>_xlfn.XLOOKUP(A1946,T10Y3M!A:A,T10Y3M!B:B,"",-1)</f>
        <v>-1.53</v>
      </c>
      <c r="J1946" s="2">
        <f>_xlfn.XLOOKUP(A1946,BAMLC0A4CBBB!A:A,BAMLC0A4CBBB!B:B,"",-1)</f>
        <v>1.33</v>
      </c>
      <c r="K1946" s="2">
        <f>_xlfn.XLOOKUP(A1946,CPIAUCSL!A:A,CPIAUCSL!B:B,"",-1)</f>
        <v>308.74099999999999</v>
      </c>
      <c r="L1946">
        <f>_xlfn.XLOOKUP(A1946,DFF!A:A,DFF!B:B,"",-1)</f>
        <v>5.33</v>
      </c>
      <c r="M1946">
        <f>_xlfn.XLOOKUP(A1946,'DGS2'!A:A,'DGS2'!B:B,"",-1)</f>
        <v>4.33</v>
      </c>
      <c r="N1946">
        <f t="shared" si="243"/>
        <v>-9.9999999999997868E-3</v>
      </c>
      <c r="O1946">
        <f t="shared" si="244"/>
        <v>1.6600832148312428E-3</v>
      </c>
      <c r="P1946">
        <f t="shared" si="245"/>
        <v>1</v>
      </c>
      <c r="Q1946">
        <f t="shared" si="246"/>
        <v>0</v>
      </c>
    </row>
    <row r="1947" spans="1:17">
      <c r="A1947" s="1">
        <v>45282</v>
      </c>
      <c r="B1947">
        <v>4754.63</v>
      </c>
      <c r="C1947">
        <f t="shared" si="240"/>
        <v>1.6600832148312428E-3</v>
      </c>
      <c r="D1947">
        <f t="shared" si="247"/>
        <v>-2.8814878040084313E-3</v>
      </c>
      <c r="E1947">
        <f>_xlfn.XLOOKUP(A1947,VIX!A:A,VIX!B:B,"",-1)</f>
        <v>13.03</v>
      </c>
      <c r="F1947">
        <f t="shared" si="241"/>
        <v>-0.62000000000000099</v>
      </c>
      <c r="G1947">
        <f>_xlfn.XLOOKUP(A1947,'DGS10'!A:A,'DGS10'!B:B,"",-1)</f>
        <v>3.9</v>
      </c>
      <c r="H1947">
        <f t="shared" si="242"/>
        <v>9.9999999999997868E-3</v>
      </c>
      <c r="I1947" s="2">
        <f>_xlfn.XLOOKUP(A1947,T10Y3M!A:A,T10Y3M!B:B,"",-1)</f>
        <v>-1.54</v>
      </c>
      <c r="J1947" s="2">
        <f>_xlfn.XLOOKUP(A1947,BAMLC0A4CBBB!A:A,BAMLC0A4CBBB!B:B,"",-1)</f>
        <v>1.33</v>
      </c>
      <c r="K1947" s="2">
        <f>_xlfn.XLOOKUP(A1947,CPIAUCSL!A:A,CPIAUCSL!B:B,"",-1)</f>
        <v>308.74099999999999</v>
      </c>
      <c r="L1947">
        <f>_xlfn.XLOOKUP(A1947,DFF!A:A,DFF!B:B,"",-1)</f>
        <v>5.33</v>
      </c>
      <c r="M1947">
        <f>_xlfn.XLOOKUP(A1947,'DGS2'!A:A,'DGS2'!B:B,"",-1)</f>
        <v>4.3099999999999996</v>
      </c>
      <c r="N1947">
        <f t="shared" si="243"/>
        <v>-2.0000000000000462E-2</v>
      </c>
      <c r="O1947">
        <f t="shared" si="244"/>
        <v>4.2316647141837915E-3</v>
      </c>
      <c r="P1947">
        <f t="shared" si="245"/>
        <v>1</v>
      </c>
      <c r="Q1947">
        <f t="shared" si="246"/>
        <v>1</v>
      </c>
    </row>
    <row r="1948" spans="1:17">
      <c r="A1948" s="1">
        <v>45286</v>
      </c>
      <c r="B1948">
        <v>4774.75</v>
      </c>
      <c r="C1948">
        <f t="shared" si="240"/>
        <v>4.2316647141837915E-3</v>
      </c>
      <c r="D1948">
        <f t="shared" si="247"/>
        <v>1.6261027807634498E-2</v>
      </c>
      <c r="E1948">
        <f>_xlfn.XLOOKUP(A1948,VIX!A:A,VIX!B:B,"",-1)</f>
        <v>12.99</v>
      </c>
      <c r="F1948">
        <f t="shared" si="241"/>
        <v>-3.9999999999999147E-2</v>
      </c>
      <c r="G1948">
        <f>_xlfn.XLOOKUP(A1948,'DGS10'!A:A,'DGS10'!B:B,"",-1)</f>
        <v>3.89</v>
      </c>
      <c r="H1948">
        <f t="shared" si="242"/>
        <v>-9.9999999999997868E-3</v>
      </c>
      <c r="I1948" s="2">
        <f>_xlfn.XLOOKUP(A1948,T10Y3M!A:A,T10Y3M!B:B,"",-1)</f>
        <v>-1.56</v>
      </c>
      <c r="J1948" s="2">
        <f>_xlfn.XLOOKUP(A1948,BAMLC0A4CBBB!A:A,BAMLC0A4CBBB!B:B,"",-1)</f>
        <v>1.32</v>
      </c>
      <c r="K1948" s="2">
        <f>_xlfn.XLOOKUP(A1948,CPIAUCSL!A:A,CPIAUCSL!B:B,"",-1)</f>
        <v>308.74099999999999</v>
      </c>
      <c r="L1948">
        <f>_xlfn.XLOOKUP(A1948,DFF!A:A,DFF!B:B,"",-1)</f>
        <v>5.33</v>
      </c>
      <c r="M1948">
        <f>_xlfn.XLOOKUP(A1948,'DGS2'!A:A,'DGS2'!B:B,"",-1)</f>
        <v>4.26</v>
      </c>
      <c r="N1948">
        <f t="shared" si="243"/>
        <v>-4.9999999999999822E-2</v>
      </c>
      <c r="O1948">
        <f t="shared" si="244"/>
        <v>1.430441384365766E-3</v>
      </c>
      <c r="P1948">
        <f t="shared" si="245"/>
        <v>1</v>
      </c>
      <c r="Q1948">
        <f t="shared" si="246"/>
        <v>0</v>
      </c>
    </row>
    <row r="1949" spans="1:17">
      <c r="A1949" s="1">
        <v>45287</v>
      </c>
      <c r="B1949">
        <v>4781.58</v>
      </c>
      <c r="C1949">
        <f t="shared" si="240"/>
        <v>1.430441384365766E-3</v>
      </c>
      <c r="D1949">
        <f t="shared" si="247"/>
        <v>7.3376520777372889E-3</v>
      </c>
      <c r="E1949">
        <f>_xlfn.XLOOKUP(A1949,VIX!A:A,VIX!B:B,"",-1)</f>
        <v>12.43</v>
      </c>
      <c r="F1949">
        <f t="shared" si="241"/>
        <v>-0.5600000000000005</v>
      </c>
      <c r="G1949">
        <f>_xlfn.XLOOKUP(A1949,'DGS10'!A:A,'DGS10'!B:B,"",-1)</f>
        <v>3.79</v>
      </c>
      <c r="H1949">
        <f t="shared" si="242"/>
        <v>-0.10000000000000009</v>
      </c>
      <c r="I1949" s="2">
        <f>_xlfn.XLOOKUP(A1949,T10Y3M!A:A,T10Y3M!B:B,"",-1)</f>
        <v>-1.65</v>
      </c>
      <c r="J1949" s="2">
        <f>_xlfn.XLOOKUP(A1949,BAMLC0A4CBBB!A:A,BAMLC0A4CBBB!B:B,"",-1)</f>
        <v>1.31</v>
      </c>
      <c r="K1949" s="2">
        <f>_xlfn.XLOOKUP(A1949,CPIAUCSL!A:A,CPIAUCSL!B:B,"",-1)</f>
        <v>308.74099999999999</v>
      </c>
      <c r="L1949">
        <f>_xlfn.XLOOKUP(A1949,DFF!A:A,DFF!B:B,"",-1)</f>
        <v>5.33</v>
      </c>
      <c r="M1949">
        <f>_xlfn.XLOOKUP(A1949,'DGS2'!A:A,'DGS2'!B:B,"",-1)</f>
        <v>4.2</v>
      </c>
      <c r="N1949">
        <f t="shared" si="243"/>
        <v>-5.9999999999999609E-2</v>
      </c>
      <c r="O1949">
        <f t="shared" si="244"/>
        <v>3.7017052940679918E-4</v>
      </c>
      <c r="P1949">
        <f t="shared" si="245"/>
        <v>1</v>
      </c>
      <c r="Q1949">
        <f t="shared" si="246"/>
        <v>0</v>
      </c>
    </row>
    <row r="1950" spans="1:17">
      <c r="A1950" s="1">
        <v>45288</v>
      </c>
      <c r="B1950">
        <v>4783.3500000000004</v>
      </c>
      <c r="C1950">
        <f t="shared" si="240"/>
        <v>3.7017052940679918E-4</v>
      </c>
      <c r="D1950">
        <f t="shared" si="247"/>
        <v>6.0404279617973788E-3</v>
      </c>
      <c r="E1950">
        <f>_xlfn.XLOOKUP(A1950,VIX!A:A,VIX!B:B,"",-1)</f>
        <v>12.47</v>
      </c>
      <c r="F1950">
        <f t="shared" si="241"/>
        <v>4.0000000000000924E-2</v>
      </c>
      <c r="G1950">
        <f>_xlfn.XLOOKUP(A1950,'DGS10'!A:A,'DGS10'!B:B,"",-1)</f>
        <v>3.84</v>
      </c>
      <c r="H1950">
        <f t="shared" si="242"/>
        <v>4.9999999999999822E-2</v>
      </c>
      <c r="I1950" s="2">
        <f>_xlfn.XLOOKUP(A1950,T10Y3M!A:A,T10Y3M!B:B,"",-1)</f>
        <v>-1.61</v>
      </c>
      <c r="J1950" s="2">
        <f>_xlfn.XLOOKUP(A1950,BAMLC0A4CBBB!A:A,BAMLC0A4CBBB!B:B,"",-1)</f>
        <v>1.29</v>
      </c>
      <c r="K1950" s="2">
        <f>_xlfn.XLOOKUP(A1950,CPIAUCSL!A:A,CPIAUCSL!B:B,"",-1)</f>
        <v>308.74099999999999</v>
      </c>
      <c r="L1950">
        <f>_xlfn.XLOOKUP(A1950,DFF!A:A,DFF!B:B,"",-1)</f>
        <v>5.33</v>
      </c>
      <c r="M1950">
        <f>_xlfn.XLOOKUP(A1950,'DGS2'!A:A,'DGS2'!B:B,"",-1)</f>
        <v>4.26</v>
      </c>
      <c r="N1950">
        <f t="shared" si="243"/>
        <v>5.9999999999999609E-2</v>
      </c>
      <c r="O1950">
        <f t="shared" si="244"/>
        <v>-2.8264709879060046E-3</v>
      </c>
      <c r="P1950">
        <f t="shared" si="245"/>
        <v>0</v>
      </c>
      <c r="Q1950">
        <f t="shared" si="246"/>
        <v>0</v>
      </c>
    </row>
    <row r="1951" spans="1:17">
      <c r="A1951" s="1">
        <v>45289</v>
      </c>
      <c r="B1951">
        <v>4769.83</v>
      </c>
      <c r="C1951">
        <f t="shared" si="240"/>
        <v>-2.8264709879060046E-3</v>
      </c>
      <c r="D1951">
        <f t="shared" si="247"/>
        <v>-1.0304204408607687E-3</v>
      </c>
      <c r="E1951">
        <f>_xlfn.XLOOKUP(A1951,VIX!A:A,VIX!B:B,"",-1)</f>
        <v>12.45</v>
      </c>
      <c r="F1951">
        <f t="shared" si="241"/>
        <v>-2.000000000000135E-2</v>
      </c>
      <c r="G1951">
        <f>_xlfn.XLOOKUP(A1951,'DGS10'!A:A,'DGS10'!B:B,"",-1)</f>
        <v>3.88</v>
      </c>
      <c r="H1951">
        <f t="shared" si="242"/>
        <v>4.0000000000000036E-2</v>
      </c>
      <c r="I1951" s="2">
        <f>_xlfn.XLOOKUP(A1951,T10Y3M!A:A,T10Y3M!B:B,"",-1)</f>
        <v>-1.52</v>
      </c>
      <c r="J1951" s="2">
        <f>_xlfn.XLOOKUP(A1951,BAMLC0A4CBBB!A:A,BAMLC0A4CBBB!B:B,"",-1)</f>
        <v>1.29</v>
      </c>
      <c r="K1951" s="2">
        <f>_xlfn.XLOOKUP(A1951,CPIAUCSL!A:A,CPIAUCSL!B:B,"",-1)</f>
        <v>308.74099999999999</v>
      </c>
      <c r="L1951">
        <f>_xlfn.XLOOKUP(A1951,DFF!A:A,DFF!B:B,"",-1)</f>
        <v>5.33</v>
      </c>
      <c r="M1951">
        <f>_xlfn.XLOOKUP(A1951,'DGS2'!A:A,'DGS2'!B:B,"",-1)</f>
        <v>4.2300000000000004</v>
      </c>
      <c r="N1951">
        <f t="shared" si="243"/>
        <v>-2.9999999999999361E-2</v>
      </c>
      <c r="O1951">
        <f t="shared" si="244"/>
        <v>-5.6605790982068305E-3</v>
      </c>
      <c r="P1951">
        <f t="shared" si="245"/>
        <v>0</v>
      </c>
      <c r="Q1951">
        <f t="shared" si="246"/>
        <v>-1</v>
      </c>
    </row>
    <row r="1952" spans="1:17">
      <c r="A1952" s="1">
        <v>45293</v>
      </c>
      <c r="B1952">
        <v>4742.83</v>
      </c>
      <c r="C1952">
        <f t="shared" si="240"/>
        <v>-5.6605790982068305E-3</v>
      </c>
      <c r="D1952">
        <f t="shared" si="247"/>
        <v>-8.1040158274042762E-3</v>
      </c>
      <c r="E1952">
        <f>_xlfn.XLOOKUP(A1952,VIX!A:A,VIX!B:B,"",-1)</f>
        <v>13.2</v>
      </c>
      <c r="F1952">
        <f t="shared" si="241"/>
        <v>0.75</v>
      </c>
      <c r="G1952">
        <f>_xlfn.XLOOKUP(A1952,'DGS10'!A:A,'DGS10'!B:B,"",-1)</f>
        <v>3.95</v>
      </c>
      <c r="H1952">
        <f t="shared" si="242"/>
        <v>7.0000000000000284E-2</v>
      </c>
      <c r="I1952" s="2">
        <f>_xlfn.XLOOKUP(A1952,T10Y3M!A:A,T10Y3M!B:B,"",-1)</f>
        <v>-1.51</v>
      </c>
      <c r="J1952" s="2">
        <f>_xlfn.XLOOKUP(A1952,BAMLC0A4CBBB!A:A,BAMLC0A4CBBB!B:B,"",-1)</f>
        <v>1.31</v>
      </c>
      <c r="K1952" s="2">
        <f>_xlfn.XLOOKUP(A1952,CPIAUCSL!A:A,CPIAUCSL!B:B,"",-1)</f>
        <v>309.69799999999998</v>
      </c>
      <c r="L1952">
        <f>_xlfn.XLOOKUP(A1952,DFF!A:A,DFF!B:B,"",-1)</f>
        <v>5.33</v>
      </c>
      <c r="M1952">
        <f>_xlfn.XLOOKUP(A1952,'DGS2'!A:A,'DGS2'!B:B,"",-1)</f>
        <v>4.33</v>
      </c>
      <c r="N1952">
        <f t="shared" si="243"/>
        <v>9.9999999999999645E-2</v>
      </c>
      <c r="O1952">
        <f t="shared" si="244"/>
        <v>-8.0163109367190621E-3</v>
      </c>
      <c r="P1952">
        <f t="shared" si="245"/>
        <v>0</v>
      </c>
      <c r="Q1952">
        <f t="shared" si="246"/>
        <v>-1</v>
      </c>
    </row>
    <row r="1953" spans="1:17">
      <c r="A1953" s="1">
        <v>45294</v>
      </c>
      <c r="B1953">
        <v>4704.8100000000004</v>
      </c>
      <c r="C1953">
        <f t="shared" si="240"/>
        <v>-8.0163109367190621E-3</v>
      </c>
      <c r="D1953">
        <f t="shared" si="247"/>
        <v>-1.6419454984477388E-2</v>
      </c>
      <c r="E1953">
        <f>_xlfn.XLOOKUP(A1953,VIX!A:A,VIX!B:B,"",-1)</f>
        <v>14.04</v>
      </c>
      <c r="F1953">
        <f t="shared" si="241"/>
        <v>0.83999999999999986</v>
      </c>
      <c r="G1953">
        <f>_xlfn.XLOOKUP(A1953,'DGS10'!A:A,'DGS10'!B:B,"",-1)</f>
        <v>3.91</v>
      </c>
      <c r="H1953">
        <f t="shared" si="242"/>
        <v>-4.0000000000000036E-2</v>
      </c>
      <c r="I1953" s="2">
        <f>_xlfn.XLOOKUP(A1953,T10Y3M!A:A,T10Y3M!B:B,"",-1)</f>
        <v>-1.57</v>
      </c>
      <c r="J1953" s="2">
        <f>_xlfn.XLOOKUP(A1953,BAMLC0A4CBBB!A:A,BAMLC0A4CBBB!B:B,"",-1)</f>
        <v>1.34</v>
      </c>
      <c r="K1953" s="2">
        <f>_xlfn.XLOOKUP(A1953,CPIAUCSL!A:A,CPIAUCSL!B:B,"",-1)</f>
        <v>309.69799999999998</v>
      </c>
      <c r="L1953">
        <f>_xlfn.XLOOKUP(A1953,DFF!A:A,DFF!B:B,"",-1)</f>
        <v>5.33</v>
      </c>
      <c r="M1953">
        <f>_xlfn.XLOOKUP(A1953,'DGS2'!A:A,'DGS2'!B:B,"",-1)</f>
        <v>4.33</v>
      </c>
      <c r="N1953">
        <f t="shared" si="243"/>
        <v>0</v>
      </c>
      <c r="O1953">
        <f t="shared" si="244"/>
        <v>-3.4284062480738342E-3</v>
      </c>
      <c r="P1953">
        <f t="shared" si="245"/>
        <v>0</v>
      </c>
      <c r="Q1953">
        <f t="shared" si="246"/>
        <v>-1</v>
      </c>
    </row>
    <row r="1954" spans="1:17">
      <c r="A1954" s="1">
        <v>45295</v>
      </c>
      <c r="B1954">
        <v>4688.68</v>
      </c>
      <c r="C1954">
        <f t="shared" si="240"/>
        <v>-3.4284062480738342E-3</v>
      </c>
      <c r="D1954">
        <f t="shared" si="247"/>
        <v>-1.7013184956277239E-2</v>
      </c>
      <c r="E1954">
        <f>_xlfn.XLOOKUP(A1954,VIX!A:A,VIX!B:B,"",-1)</f>
        <v>14.13</v>
      </c>
      <c r="F1954">
        <f t="shared" si="241"/>
        <v>9.0000000000001634E-2</v>
      </c>
      <c r="G1954">
        <f>_xlfn.XLOOKUP(A1954,'DGS10'!A:A,'DGS10'!B:B,"",-1)</f>
        <v>3.99</v>
      </c>
      <c r="H1954">
        <f t="shared" si="242"/>
        <v>8.0000000000000071E-2</v>
      </c>
      <c r="I1954" s="2">
        <f>_xlfn.XLOOKUP(A1954,T10Y3M!A:A,T10Y3M!B:B,"",-1)</f>
        <v>-1.49</v>
      </c>
      <c r="J1954" s="2">
        <f>_xlfn.XLOOKUP(A1954,BAMLC0A4CBBB!A:A,BAMLC0A4CBBB!B:B,"",-1)</f>
        <v>1.34</v>
      </c>
      <c r="K1954" s="2">
        <f>_xlfn.XLOOKUP(A1954,CPIAUCSL!A:A,CPIAUCSL!B:B,"",-1)</f>
        <v>309.69799999999998</v>
      </c>
      <c r="L1954">
        <f>_xlfn.XLOOKUP(A1954,DFF!A:A,DFF!B:B,"",-1)</f>
        <v>5.33</v>
      </c>
      <c r="M1954">
        <f>_xlfn.XLOOKUP(A1954,'DGS2'!A:A,'DGS2'!B:B,"",-1)</f>
        <v>4.38</v>
      </c>
      <c r="N1954">
        <f t="shared" si="243"/>
        <v>4.9999999999999822E-2</v>
      </c>
      <c r="O1954">
        <f t="shared" si="244"/>
        <v>1.8256737503945519E-3</v>
      </c>
      <c r="P1954">
        <f t="shared" si="245"/>
        <v>1</v>
      </c>
      <c r="Q1954">
        <f t="shared" si="246"/>
        <v>0</v>
      </c>
    </row>
    <row r="1955" spans="1:17">
      <c r="A1955" s="1">
        <v>45296</v>
      </c>
      <c r="B1955">
        <v>4697.24</v>
      </c>
      <c r="C1955">
        <f t="shared" si="240"/>
        <v>1.8256737503945519E-3</v>
      </c>
      <c r="D1955">
        <f t="shared" si="247"/>
        <v>-9.6124044083385485E-3</v>
      </c>
      <c r="E1955">
        <f>_xlfn.XLOOKUP(A1955,VIX!A:A,VIX!B:B,"",-1)</f>
        <v>13.35</v>
      </c>
      <c r="F1955">
        <f t="shared" si="241"/>
        <v>-0.78000000000000114</v>
      </c>
      <c r="G1955">
        <f>_xlfn.XLOOKUP(A1955,'DGS10'!A:A,'DGS10'!B:B,"",-1)</f>
        <v>4.05</v>
      </c>
      <c r="H1955">
        <f t="shared" si="242"/>
        <v>5.9999999999999609E-2</v>
      </c>
      <c r="I1955" s="2">
        <f>_xlfn.XLOOKUP(A1955,T10Y3M!A:A,T10Y3M!B:B,"",-1)</f>
        <v>-1.42</v>
      </c>
      <c r="J1955" s="2">
        <f>_xlfn.XLOOKUP(A1955,BAMLC0A4CBBB!A:A,BAMLC0A4CBBB!B:B,"",-1)</f>
        <v>1.33</v>
      </c>
      <c r="K1955" s="2">
        <f>_xlfn.XLOOKUP(A1955,CPIAUCSL!A:A,CPIAUCSL!B:B,"",-1)</f>
        <v>309.69799999999998</v>
      </c>
      <c r="L1955">
        <f>_xlfn.XLOOKUP(A1955,DFF!A:A,DFF!B:B,"",-1)</f>
        <v>5.33</v>
      </c>
      <c r="M1955">
        <f>_xlfn.XLOOKUP(A1955,'DGS2'!A:A,'DGS2'!B:B,"",-1)</f>
        <v>4.4000000000000004</v>
      </c>
      <c r="N1955">
        <f t="shared" si="243"/>
        <v>2.0000000000000462E-2</v>
      </c>
      <c r="O1955">
        <f t="shared" si="244"/>
        <v>1.4114671594383177E-2</v>
      </c>
      <c r="P1955">
        <f t="shared" si="245"/>
        <v>1</v>
      </c>
      <c r="Q1955">
        <f t="shared" si="246"/>
        <v>1</v>
      </c>
    </row>
    <row r="1956" spans="1:17">
      <c r="A1956" s="1">
        <v>45299</v>
      </c>
      <c r="B1956">
        <v>4763.54</v>
      </c>
      <c r="C1956">
        <f t="shared" si="240"/>
        <v>1.4114671594383177E-2</v>
      </c>
      <c r="D1956">
        <f t="shared" si="247"/>
        <v>1.2482969556687706E-2</v>
      </c>
      <c r="E1956">
        <f>_xlfn.XLOOKUP(A1956,VIX!A:A,VIX!B:B,"",-1)</f>
        <v>13.08</v>
      </c>
      <c r="F1956">
        <f t="shared" si="241"/>
        <v>-0.26999999999999957</v>
      </c>
      <c r="G1956">
        <f>_xlfn.XLOOKUP(A1956,'DGS10'!A:A,'DGS10'!B:B,"",-1)</f>
        <v>4.01</v>
      </c>
      <c r="H1956">
        <f t="shared" si="242"/>
        <v>-4.0000000000000036E-2</v>
      </c>
      <c r="I1956" s="2">
        <f>_xlfn.XLOOKUP(A1956,T10Y3M!A:A,T10Y3M!B:B,"",-1)</f>
        <v>-1.48</v>
      </c>
      <c r="J1956" s="2">
        <f>_xlfn.XLOOKUP(A1956,BAMLC0A4CBBB!A:A,BAMLC0A4CBBB!B:B,"",-1)</f>
        <v>1.32</v>
      </c>
      <c r="K1956" s="2">
        <f>_xlfn.XLOOKUP(A1956,CPIAUCSL!A:A,CPIAUCSL!B:B,"",-1)</f>
        <v>309.69799999999998</v>
      </c>
      <c r="L1956">
        <f>_xlfn.XLOOKUP(A1956,DFF!A:A,DFF!B:B,"",-1)</f>
        <v>5.33</v>
      </c>
      <c r="M1956">
        <f>_xlfn.XLOOKUP(A1956,'DGS2'!A:A,'DGS2'!B:B,"",-1)</f>
        <v>4.3600000000000003</v>
      </c>
      <c r="N1956">
        <f t="shared" si="243"/>
        <v>-4.0000000000000036E-2</v>
      </c>
      <c r="O1956">
        <f t="shared" si="244"/>
        <v>-1.4778924917183689E-3</v>
      </c>
      <c r="P1956">
        <f t="shared" si="245"/>
        <v>0</v>
      </c>
      <c r="Q1956">
        <f t="shared" si="246"/>
        <v>0</v>
      </c>
    </row>
    <row r="1957" spans="1:17">
      <c r="A1957" s="1">
        <v>45300</v>
      </c>
      <c r="B1957">
        <v>4756.5</v>
      </c>
      <c r="C1957">
        <f t="shared" si="240"/>
        <v>-1.4778924917183689E-3</v>
      </c>
      <c r="D1957">
        <f t="shared" si="247"/>
        <v>1.4464625438289636E-2</v>
      </c>
      <c r="E1957">
        <f>_xlfn.XLOOKUP(A1957,VIX!A:A,VIX!B:B,"",-1)</f>
        <v>12.76</v>
      </c>
      <c r="F1957">
        <f t="shared" si="241"/>
        <v>-0.32000000000000028</v>
      </c>
      <c r="G1957">
        <f>_xlfn.XLOOKUP(A1957,'DGS10'!A:A,'DGS10'!B:B,"",-1)</f>
        <v>4.0199999999999996</v>
      </c>
      <c r="H1957">
        <f t="shared" si="242"/>
        <v>9.9999999999997868E-3</v>
      </c>
      <c r="I1957" s="2">
        <f>_xlfn.XLOOKUP(A1957,T10Y3M!A:A,T10Y3M!B:B,"",-1)</f>
        <v>-1.45</v>
      </c>
      <c r="J1957" s="2">
        <f>_xlfn.XLOOKUP(A1957,BAMLC0A4CBBB!A:A,BAMLC0A4CBBB!B:B,"",-1)</f>
        <v>1.3</v>
      </c>
      <c r="K1957" s="2">
        <f>_xlfn.XLOOKUP(A1957,CPIAUCSL!A:A,CPIAUCSL!B:B,"",-1)</f>
        <v>309.69799999999998</v>
      </c>
      <c r="L1957">
        <f>_xlfn.XLOOKUP(A1957,DFF!A:A,DFF!B:B,"",-1)</f>
        <v>5.33</v>
      </c>
      <c r="M1957">
        <f>_xlfn.XLOOKUP(A1957,'DGS2'!A:A,'DGS2'!B:B,"",-1)</f>
        <v>4.3600000000000003</v>
      </c>
      <c r="N1957">
        <f t="shared" si="243"/>
        <v>0</v>
      </c>
      <c r="O1957">
        <f t="shared" si="244"/>
        <v>5.6659308314936929E-3</v>
      </c>
      <c r="P1957">
        <f t="shared" si="245"/>
        <v>1</v>
      </c>
      <c r="Q1957">
        <f t="shared" si="246"/>
        <v>1</v>
      </c>
    </row>
    <row r="1958" spans="1:17">
      <c r="A1958" s="1">
        <v>45301</v>
      </c>
      <c r="B1958">
        <v>4783.45</v>
      </c>
      <c r="C1958">
        <f t="shared" si="240"/>
        <v>5.6659308314936929E-3</v>
      </c>
      <c r="D1958">
        <f t="shared" si="247"/>
        <v>1.8353330892183495E-2</v>
      </c>
      <c r="E1958">
        <f>_xlfn.XLOOKUP(A1958,VIX!A:A,VIX!B:B,"",-1)</f>
        <v>12.69</v>
      </c>
      <c r="F1958">
        <f t="shared" si="241"/>
        <v>-7.0000000000000284E-2</v>
      </c>
      <c r="G1958">
        <f>_xlfn.XLOOKUP(A1958,'DGS10'!A:A,'DGS10'!B:B,"",-1)</f>
        <v>4.04</v>
      </c>
      <c r="H1958">
        <f t="shared" si="242"/>
        <v>2.0000000000000462E-2</v>
      </c>
      <c r="I1958" s="2">
        <f>_xlfn.XLOOKUP(A1958,T10Y3M!A:A,T10Y3M!B:B,"",-1)</f>
        <v>-1.42</v>
      </c>
      <c r="J1958" s="2">
        <f>_xlfn.XLOOKUP(A1958,BAMLC0A4CBBB!A:A,BAMLC0A4CBBB!B:B,"",-1)</f>
        <v>1.28</v>
      </c>
      <c r="K1958" s="2">
        <f>_xlfn.XLOOKUP(A1958,CPIAUCSL!A:A,CPIAUCSL!B:B,"",-1)</f>
        <v>309.69799999999998</v>
      </c>
      <c r="L1958">
        <f>_xlfn.XLOOKUP(A1958,DFF!A:A,DFF!B:B,"",-1)</f>
        <v>5.33</v>
      </c>
      <c r="M1958">
        <f>_xlfn.XLOOKUP(A1958,'DGS2'!A:A,'DGS2'!B:B,"",-1)</f>
        <v>4.37</v>
      </c>
      <c r="N1958">
        <f t="shared" si="243"/>
        <v>9.9999999999997868E-3</v>
      </c>
      <c r="O1958">
        <f t="shared" si="244"/>
        <v>-6.7106377196379796E-4</v>
      </c>
      <c r="P1958">
        <f t="shared" si="245"/>
        <v>0</v>
      </c>
      <c r="Q1958">
        <f t="shared" si="246"/>
        <v>0</v>
      </c>
    </row>
    <row r="1959" spans="1:17">
      <c r="A1959" s="1">
        <v>45302</v>
      </c>
      <c r="B1959">
        <v>4780.24</v>
      </c>
      <c r="C1959">
        <f t="shared" si="240"/>
        <v>-6.7106377196379796E-4</v>
      </c>
      <c r="D1959">
        <f t="shared" si="247"/>
        <v>3.5057961096158774E-3</v>
      </c>
      <c r="E1959">
        <f>_xlfn.XLOOKUP(A1959,VIX!A:A,VIX!B:B,"",-1)</f>
        <v>12.44</v>
      </c>
      <c r="F1959">
        <f t="shared" si="241"/>
        <v>-0.25</v>
      </c>
      <c r="G1959">
        <f>_xlfn.XLOOKUP(A1959,'DGS10'!A:A,'DGS10'!B:B,"",-1)</f>
        <v>3.98</v>
      </c>
      <c r="H1959">
        <f t="shared" si="242"/>
        <v>-6.0000000000000053E-2</v>
      </c>
      <c r="I1959" s="2">
        <f>_xlfn.XLOOKUP(A1959,T10Y3M!A:A,T10Y3M!B:B,"",-1)</f>
        <v>-1.48</v>
      </c>
      <c r="J1959" s="2">
        <f>_xlfn.XLOOKUP(A1959,BAMLC0A4CBBB!A:A,BAMLC0A4CBBB!B:B,"",-1)</f>
        <v>1.27</v>
      </c>
      <c r="K1959" s="2">
        <f>_xlfn.XLOOKUP(A1959,CPIAUCSL!A:A,CPIAUCSL!B:B,"",-1)</f>
        <v>309.69799999999998</v>
      </c>
      <c r="L1959">
        <f>_xlfn.XLOOKUP(A1959,DFF!A:A,DFF!B:B,"",-1)</f>
        <v>5.33</v>
      </c>
      <c r="M1959">
        <f>_xlfn.XLOOKUP(A1959,'DGS2'!A:A,'DGS2'!B:B,"",-1)</f>
        <v>4.26</v>
      </c>
      <c r="N1959">
        <f t="shared" si="243"/>
        <v>-0.11000000000000032</v>
      </c>
      <c r="O1959">
        <f t="shared" si="244"/>
        <v>7.5100831757413111E-4</v>
      </c>
      <c r="P1959">
        <f t="shared" si="245"/>
        <v>1</v>
      </c>
      <c r="Q1959">
        <f t="shared" si="246"/>
        <v>0</v>
      </c>
    </row>
    <row r="1960" spans="1:17">
      <c r="A1960" s="1">
        <v>45303</v>
      </c>
      <c r="B1960">
        <v>4783.83</v>
      </c>
      <c r="C1960">
        <f t="shared" si="240"/>
        <v>7.5100831757413111E-4</v>
      </c>
      <c r="D1960">
        <f t="shared" si="247"/>
        <v>5.7458215074108754E-3</v>
      </c>
      <c r="E1960">
        <f>_xlfn.XLOOKUP(A1960,VIX!A:A,VIX!B:B,"",-1)</f>
        <v>12.7</v>
      </c>
      <c r="F1960">
        <f t="shared" si="241"/>
        <v>0.25999999999999979</v>
      </c>
      <c r="G1960">
        <f>_xlfn.XLOOKUP(A1960,'DGS10'!A:A,'DGS10'!B:B,"",-1)</f>
        <v>3.96</v>
      </c>
      <c r="H1960">
        <f t="shared" si="242"/>
        <v>-2.0000000000000018E-2</v>
      </c>
      <c r="I1960" s="2">
        <f>_xlfn.XLOOKUP(A1960,T10Y3M!A:A,T10Y3M!B:B,"",-1)</f>
        <v>-1.49</v>
      </c>
      <c r="J1960" s="2">
        <f>_xlfn.XLOOKUP(A1960,BAMLC0A4CBBB!A:A,BAMLC0A4CBBB!B:B,"",-1)</f>
        <v>1.26</v>
      </c>
      <c r="K1960" s="2">
        <f>_xlfn.XLOOKUP(A1960,CPIAUCSL!A:A,CPIAUCSL!B:B,"",-1)</f>
        <v>309.69799999999998</v>
      </c>
      <c r="L1960">
        <f>_xlfn.XLOOKUP(A1960,DFF!A:A,DFF!B:B,"",-1)</f>
        <v>5.33</v>
      </c>
      <c r="M1960">
        <f>_xlfn.XLOOKUP(A1960,'DGS2'!A:A,'DGS2'!B:B,"",-1)</f>
        <v>4.1399999999999997</v>
      </c>
      <c r="N1960">
        <f t="shared" si="243"/>
        <v>-0.12000000000000011</v>
      </c>
      <c r="O1960">
        <f t="shared" si="244"/>
        <v>-3.7313198838587747E-3</v>
      </c>
      <c r="P1960">
        <f t="shared" si="245"/>
        <v>0</v>
      </c>
      <c r="Q1960">
        <f t="shared" si="246"/>
        <v>-1</v>
      </c>
    </row>
    <row r="1961" spans="1:17">
      <c r="A1961" s="1">
        <v>45307</v>
      </c>
      <c r="B1961">
        <v>4765.9799999999996</v>
      </c>
      <c r="C1961">
        <f t="shared" si="240"/>
        <v>-3.7313198838587747E-3</v>
      </c>
      <c r="D1961">
        <f t="shared" si="247"/>
        <v>-3.6521757309055936E-3</v>
      </c>
      <c r="E1961">
        <f>_xlfn.XLOOKUP(A1961,VIX!A:A,VIX!B:B,"",-1)</f>
        <v>13.84</v>
      </c>
      <c r="F1961">
        <f t="shared" si="241"/>
        <v>1.1400000000000006</v>
      </c>
      <c r="G1961">
        <f>_xlfn.XLOOKUP(A1961,'DGS10'!A:A,'DGS10'!B:B,"",-1)</f>
        <v>4.07</v>
      </c>
      <c r="H1961">
        <f t="shared" si="242"/>
        <v>0.11000000000000032</v>
      </c>
      <c r="I1961" s="2">
        <f>_xlfn.XLOOKUP(A1961,T10Y3M!A:A,T10Y3M!B:B,"",-1)</f>
        <v>-1.38</v>
      </c>
      <c r="J1961" s="2">
        <f>_xlfn.XLOOKUP(A1961,BAMLC0A4CBBB!A:A,BAMLC0A4CBBB!B:B,"",-1)</f>
        <v>1.26</v>
      </c>
      <c r="K1961" s="2">
        <f>_xlfn.XLOOKUP(A1961,CPIAUCSL!A:A,CPIAUCSL!B:B,"",-1)</f>
        <v>309.69799999999998</v>
      </c>
      <c r="L1961">
        <f>_xlfn.XLOOKUP(A1961,DFF!A:A,DFF!B:B,"",-1)</f>
        <v>5.33</v>
      </c>
      <c r="M1961">
        <f>_xlfn.XLOOKUP(A1961,'DGS2'!A:A,'DGS2'!B:B,"",-1)</f>
        <v>4.22</v>
      </c>
      <c r="N1961">
        <f t="shared" si="243"/>
        <v>8.0000000000000071E-2</v>
      </c>
      <c r="O1961">
        <f t="shared" si="244"/>
        <v>-5.6168930629166836E-3</v>
      </c>
      <c r="P1961">
        <f t="shared" si="245"/>
        <v>0</v>
      </c>
      <c r="Q1961">
        <f t="shared" si="246"/>
        <v>-1</v>
      </c>
    </row>
    <row r="1962" spans="1:17">
      <c r="A1962" s="1">
        <v>45308</v>
      </c>
      <c r="B1962">
        <v>4739.21</v>
      </c>
      <c r="C1962">
        <f t="shared" si="240"/>
        <v>-5.6168930629166836E-3</v>
      </c>
      <c r="D1962">
        <f t="shared" si="247"/>
        <v>-8.5832510501564485E-3</v>
      </c>
      <c r="E1962">
        <f>_xlfn.XLOOKUP(A1962,VIX!A:A,VIX!B:B,"",-1)</f>
        <v>14.79</v>
      </c>
      <c r="F1962">
        <f t="shared" si="241"/>
        <v>0.94999999999999929</v>
      </c>
      <c r="G1962">
        <f>_xlfn.XLOOKUP(A1962,'DGS10'!A:A,'DGS10'!B:B,"",-1)</f>
        <v>4.0999999999999996</v>
      </c>
      <c r="H1962">
        <f t="shared" si="242"/>
        <v>2.9999999999999361E-2</v>
      </c>
      <c r="I1962" s="2">
        <f>_xlfn.XLOOKUP(A1962,T10Y3M!A:A,T10Y3M!B:B,"",-1)</f>
        <v>-1.37</v>
      </c>
      <c r="J1962" s="2">
        <f>_xlfn.XLOOKUP(A1962,BAMLC0A4CBBB!A:A,BAMLC0A4CBBB!B:B,"",-1)</f>
        <v>1.26</v>
      </c>
      <c r="K1962" s="2">
        <f>_xlfn.XLOOKUP(A1962,CPIAUCSL!A:A,CPIAUCSL!B:B,"",-1)</f>
        <v>309.69799999999998</v>
      </c>
      <c r="L1962">
        <f>_xlfn.XLOOKUP(A1962,DFF!A:A,DFF!B:B,"",-1)</f>
        <v>5.33</v>
      </c>
      <c r="M1962">
        <f>_xlfn.XLOOKUP(A1962,'DGS2'!A:A,'DGS2'!B:B,"",-1)</f>
        <v>4.34</v>
      </c>
      <c r="N1962">
        <f t="shared" si="243"/>
        <v>0.12000000000000011</v>
      </c>
      <c r="O1962">
        <f t="shared" si="244"/>
        <v>8.8052650125229892E-3</v>
      </c>
      <c r="P1962">
        <f t="shared" si="245"/>
        <v>1</v>
      </c>
      <c r="Q1962">
        <f t="shared" si="246"/>
        <v>1</v>
      </c>
    </row>
    <row r="1963" spans="1:17">
      <c r="A1963" s="1">
        <v>45309</v>
      </c>
      <c r="B1963">
        <v>4780.9399999999996</v>
      </c>
      <c r="C1963">
        <f t="shared" si="240"/>
        <v>8.8052650125229892E-3</v>
      </c>
      <c r="D1963">
        <f t="shared" si="247"/>
        <v>-6.0411845738672643E-4</v>
      </c>
      <c r="E1963">
        <f>_xlfn.XLOOKUP(A1963,VIX!A:A,VIX!B:B,"",-1)</f>
        <v>14.13</v>
      </c>
      <c r="F1963">
        <f t="shared" si="241"/>
        <v>-0.65999999999999837</v>
      </c>
      <c r="G1963">
        <f>_xlfn.XLOOKUP(A1963,'DGS10'!A:A,'DGS10'!B:B,"",-1)</f>
        <v>4.1399999999999997</v>
      </c>
      <c r="H1963">
        <f t="shared" si="242"/>
        <v>4.0000000000000036E-2</v>
      </c>
      <c r="I1963" s="2">
        <f>_xlfn.XLOOKUP(A1963,T10Y3M!A:A,T10Y3M!B:B,"",-1)</f>
        <v>-1.31</v>
      </c>
      <c r="J1963" s="2">
        <f>_xlfn.XLOOKUP(A1963,BAMLC0A4CBBB!A:A,BAMLC0A4CBBB!B:B,"",-1)</f>
        <v>1.24</v>
      </c>
      <c r="K1963" s="2">
        <f>_xlfn.XLOOKUP(A1963,CPIAUCSL!A:A,CPIAUCSL!B:B,"",-1)</f>
        <v>309.69799999999998</v>
      </c>
      <c r="L1963">
        <f>_xlfn.XLOOKUP(A1963,DFF!A:A,DFF!B:B,"",-1)</f>
        <v>5.33</v>
      </c>
      <c r="M1963">
        <f>_xlfn.XLOOKUP(A1963,'DGS2'!A:A,'DGS2'!B:B,"",-1)</f>
        <v>4.34</v>
      </c>
      <c r="N1963">
        <f t="shared" si="243"/>
        <v>0</v>
      </c>
      <c r="O1963">
        <f t="shared" si="244"/>
        <v>1.2313478102632613E-2</v>
      </c>
      <c r="P1963">
        <f t="shared" si="245"/>
        <v>1</v>
      </c>
      <c r="Q1963">
        <f t="shared" si="246"/>
        <v>1</v>
      </c>
    </row>
    <row r="1964" spans="1:17">
      <c r="A1964" s="1">
        <v>45310</v>
      </c>
      <c r="B1964">
        <v>4839.8100000000004</v>
      </c>
      <c r="C1964">
        <f t="shared" si="240"/>
        <v>1.2313478102632613E-2</v>
      </c>
      <c r="D1964">
        <f t="shared" si="247"/>
        <v>1.5491042765601426E-2</v>
      </c>
      <c r="E1964">
        <f>_xlfn.XLOOKUP(A1964,VIX!A:A,VIX!B:B,"",-1)</f>
        <v>13.3</v>
      </c>
      <c r="F1964">
        <f t="shared" si="241"/>
        <v>-0.83000000000000007</v>
      </c>
      <c r="G1964">
        <f>_xlfn.XLOOKUP(A1964,'DGS10'!A:A,'DGS10'!B:B,"",-1)</f>
        <v>4.1500000000000004</v>
      </c>
      <c r="H1964">
        <f t="shared" si="242"/>
        <v>1.0000000000000675E-2</v>
      </c>
      <c r="I1964" s="2">
        <f>_xlfn.XLOOKUP(A1964,T10Y3M!A:A,T10Y3M!B:B,"",-1)</f>
        <v>-1.3</v>
      </c>
      <c r="J1964" s="2">
        <f>_xlfn.XLOOKUP(A1964,BAMLC0A4CBBB!A:A,BAMLC0A4CBBB!B:B,"",-1)</f>
        <v>1.24</v>
      </c>
      <c r="K1964" s="2">
        <f>_xlfn.XLOOKUP(A1964,CPIAUCSL!A:A,CPIAUCSL!B:B,"",-1)</f>
        <v>309.69799999999998</v>
      </c>
      <c r="L1964">
        <f>_xlfn.XLOOKUP(A1964,DFF!A:A,DFF!B:B,"",-1)</f>
        <v>5.33</v>
      </c>
      <c r="M1964">
        <f>_xlfn.XLOOKUP(A1964,'DGS2'!A:A,'DGS2'!B:B,"",-1)</f>
        <v>4.3899999999999997</v>
      </c>
      <c r="N1964">
        <f t="shared" si="243"/>
        <v>4.9999999999999822E-2</v>
      </c>
      <c r="O1964">
        <f t="shared" si="244"/>
        <v>2.194301015948863E-3</v>
      </c>
      <c r="P1964">
        <f t="shared" si="245"/>
        <v>1</v>
      </c>
      <c r="Q1964">
        <f t="shared" si="246"/>
        <v>0</v>
      </c>
    </row>
    <row r="1965" spans="1:17">
      <c r="A1965" s="1">
        <v>45313</v>
      </c>
      <c r="B1965">
        <v>4850.43</v>
      </c>
      <c r="C1965">
        <f t="shared" si="240"/>
        <v>2.194301015948863E-3</v>
      </c>
      <c r="D1965">
        <f t="shared" si="247"/>
        <v>2.3468046362157491E-2</v>
      </c>
      <c r="E1965">
        <f>_xlfn.XLOOKUP(A1965,VIX!A:A,VIX!B:B,"",-1)</f>
        <v>13.19</v>
      </c>
      <c r="F1965">
        <f t="shared" si="241"/>
        <v>-0.11000000000000121</v>
      </c>
      <c r="G1965">
        <f>_xlfn.XLOOKUP(A1965,'DGS10'!A:A,'DGS10'!B:B,"",-1)</f>
        <v>4.1100000000000003</v>
      </c>
      <c r="H1965">
        <f t="shared" si="242"/>
        <v>-4.0000000000000036E-2</v>
      </c>
      <c r="I1965" s="2">
        <f>_xlfn.XLOOKUP(A1965,T10Y3M!A:A,T10Y3M!B:B,"",-1)</f>
        <v>-1.35</v>
      </c>
      <c r="J1965" s="2">
        <f>_xlfn.XLOOKUP(A1965,BAMLC0A4CBBB!A:A,BAMLC0A4CBBB!B:B,"",-1)</f>
        <v>1.24</v>
      </c>
      <c r="K1965" s="2">
        <f>_xlfn.XLOOKUP(A1965,CPIAUCSL!A:A,CPIAUCSL!B:B,"",-1)</f>
        <v>309.69799999999998</v>
      </c>
      <c r="L1965">
        <f>_xlfn.XLOOKUP(A1965,DFF!A:A,DFF!B:B,"",-1)</f>
        <v>5.33</v>
      </c>
      <c r="M1965">
        <f>_xlfn.XLOOKUP(A1965,'DGS2'!A:A,'DGS2'!B:B,"",-1)</f>
        <v>4.37</v>
      </c>
      <c r="N1965">
        <f t="shared" si="243"/>
        <v>-1.9999999999999574E-2</v>
      </c>
      <c r="O1965">
        <f t="shared" si="244"/>
        <v>2.9213904746590025E-3</v>
      </c>
      <c r="P1965">
        <f t="shared" si="245"/>
        <v>1</v>
      </c>
      <c r="Q1965">
        <f t="shared" si="246"/>
        <v>0</v>
      </c>
    </row>
    <row r="1966" spans="1:17">
      <c r="A1966" s="1">
        <v>45314</v>
      </c>
      <c r="B1966">
        <v>4864.6000000000004</v>
      </c>
      <c r="C1966">
        <f t="shared" si="240"/>
        <v>2.9213904746590025E-3</v>
      </c>
      <c r="D1966">
        <f t="shared" si="247"/>
        <v>1.7498650892920908E-2</v>
      </c>
      <c r="E1966">
        <f>_xlfn.XLOOKUP(A1966,VIX!A:A,VIX!B:B,"",-1)</f>
        <v>12.55</v>
      </c>
      <c r="F1966">
        <f t="shared" si="241"/>
        <v>-0.63999999999999879</v>
      </c>
      <c r="G1966">
        <f>_xlfn.XLOOKUP(A1966,'DGS10'!A:A,'DGS10'!B:B,"",-1)</f>
        <v>4.1399999999999997</v>
      </c>
      <c r="H1966">
        <f t="shared" si="242"/>
        <v>2.9999999999999361E-2</v>
      </c>
      <c r="I1966" s="2">
        <f>_xlfn.XLOOKUP(A1966,T10Y3M!A:A,T10Y3M!B:B,"",-1)</f>
        <v>-1.31</v>
      </c>
      <c r="J1966" s="2">
        <f>_xlfn.XLOOKUP(A1966,BAMLC0A4CBBB!A:A,BAMLC0A4CBBB!B:B,"",-1)</f>
        <v>1.24</v>
      </c>
      <c r="K1966" s="2">
        <f>_xlfn.XLOOKUP(A1966,CPIAUCSL!A:A,CPIAUCSL!B:B,"",-1)</f>
        <v>309.69799999999998</v>
      </c>
      <c r="L1966">
        <f>_xlfn.XLOOKUP(A1966,DFF!A:A,DFF!B:B,"",-1)</f>
        <v>5.33</v>
      </c>
      <c r="M1966">
        <f>_xlfn.XLOOKUP(A1966,'DGS2'!A:A,'DGS2'!B:B,"",-1)</f>
        <v>4.3099999999999996</v>
      </c>
      <c r="N1966">
        <f t="shared" si="243"/>
        <v>-6.0000000000000497E-2</v>
      </c>
      <c r="O1966">
        <f t="shared" si="244"/>
        <v>8.1198865271558951E-4</v>
      </c>
      <c r="P1966">
        <f t="shared" si="245"/>
        <v>1</v>
      </c>
      <c r="Q1966">
        <f t="shared" si="246"/>
        <v>0</v>
      </c>
    </row>
    <row r="1967" spans="1:17">
      <c r="A1967" s="1">
        <v>45315</v>
      </c>
      <c r="B1967">
        <v>4868.55</v>
      </c>
      <c r="C1967">
        <f t="shared" si="240"/>
        <v>8.1198865271558951E-4</v>
      </c>
      <c r="D1967">
        <f t="shared" si="247"/>
        <v>5.938249642031268E-3</v>
      </c>
      <c r="E1967">
        <f>_xlfn.XLOOKUP(A1967,VIX!A:A,VIX!B:B,"",-1)</f>
        <v>13.14</v>
      </c>
      <c r="F1967">
        <f t="shared" si="241"/>
        <v>0.58999999999999986</v>
      </c>
      <c r="G1967">
        <f>_xlfn.XLOOKUP(A1967,'DGS10'!A:A,'DGS10'!B:B,"",-1)</f>
        <v>4.18</v>
      </c>
      <c r="H1967">
        <f t="shared" si="242"/>
        <v>4.0000000000000036E-2</v>
      </c>
      <c r="I1967" s="2">
        <f>_xlfn.XLOOKUP(A1967,T10Y3M!A:A,T10Y3M!B:B,"",-1)</f>
        <v>-1.26</v>
      </c>
      <c r="J1967" s="2">
        <f>_xlfn.XLOOKUP(A1967,BAMLC0A4CBBB!A:A,BAMLC0A4CBBB!B:B,"",-1)</f>
        <v>1.23</v>
      </c>
      <c r="K1967" s="2">
        <f>_xlfn.XLOOKUP(A1967,CPIAUCSL!A:A,CPIAUCSL!B:B,"",-1)</f>
        <v>309.69799999999998</v>
      </c>
      <c r="L1967">
        <f>_xlfn.XLOOKUP(A1967,DFF!A:A,DFF!B:B,"",-1)</f>
        <v>5.33</v>
      </c>
      <c r="M1967">
        <f>_xlfn.XLOOKUP(A1967,'DGS2'!A:A,'DGS2'!B:B,"",-1)</f>
        <v>4.34</v>
      </c>
      <c r="N1967">
        <f t="shared" si="243"/>
        <v>3.0000000000000249E-2</v>
      </c>
      <c r="O1967">
        <f t="shared" si="244"/>
        <v>5.2602931057501578E-3</v>
      </c>
      <c r="P1967">
        <f t="shared" si="245"/>
        <v>1</v>
      </c>
      <c r="Q1967">
        <f t="shared" si="246"/>
        <v>1</v>
      </c>
    </row>
    <row r="1968" spans="1:17">
      <c r="A1968" s="1">
        <v>45316</v>
      </c>
      <c r="B1968">
        <v>4894.16</v>
      </c>
      <c r="C1968">
        <f t="shared" si="240"/>
        <v>5.2602931057501578E-3</v>
      </c>
      <c r="D1968">
        <f t="shared" si="247"/>
        <v>9.0156955156552865E-3</v>
      </c>
      <c r="E1968">
        <f>_xlfn.XLOOKUP(A1968,VIX!A:A,VIX!B:B,"",-1)</f>
        <v>13.45</v>
      </c>
      <c r="F1968">
        <f t="shared" si="241"/>
        <v>0.30999999999999872</v>
      </c>
      <c r="G1968">
        <f>_xlfn.XLOOKUP(A1968,'DGS10'!A:A,'DGS10'!B:B,"",-1)</f>
        <v>4.1399999999999997</v>
      </c>
      <c r="H1968">
        <f t="shared" si="242"/>
        <v>-4.0000000000000036E-2</v>
      </c>
      <c r="I1968" s="2">
        <f>_xlfn.XLOOKUP(A1968,T10Y3M!A:A,T10Y3M!B:B,"",-1)</f>
        <v>-1.3</v>
      </c>
      <c r="J1968" s="2">
        <f>_xlfn.XLOOKUP(A1968,BAMLC0A4CBBB!A:A,BAMLC0A4CBBB!B:B,"",-1)</f>
        <v>1.22</v>
      </c>
      <c r="K1968" s="2">
        <f>_xlfn.XLOOKUP(A1968,CPIAUCSL!A:A,CPIAUCSL!B:B,"",-1)</f>
        <v>309.69799999999998</v>
      </c>
      <c r="L1968">
        <f>_xlfn.XLOOKUP(A1968,DFF!A:A,DFF!B:B,"",-1)</f>
        <v>5.33</v>
      </c>
      <c r="M1968">
        <f>_xlfn.XLOOKUP(A1968,'DGS2'!A:A,'DGS2'!B:B,"",-1)</f>
        <v>4.28</v>
      </c>
      <c r="N1968">
        <f t="shared" si="243"/>
        <v>-5.9999999999999609E-2</v>
      </c>
      <c r="O1968">
        <f t="shared" si="244"/>
        <v>-6.517972440622799E-4</v>
      </c>
      <c r="P1968">
        <f t="shared" si="245"/>
        <v>0</v>
      </c>
      <c r="Q1968">
        <f t="shared" si="246"/>
        <v>0</v>
      </c>
    </row>
    <row r="1969" spans="1:17">
      <c r="A1969" s="1">
        <v>45317</v>
      </c>
      <c r="B1969">
        <v>4890.97</v>
      </c>
      <c r="C1969">
        <f t="shared" si="240"/>
        <v>-6.517972440622799E-4</v>
      </c>
      <c r="D1969">
        <f t="shared" si="247"/>
        <v>5.4207951321794123E-3</v>
      </c>
      <c r="E1969">
        <f>_xlfn.XLOOKUP(A1969,VIX!A:A,VIX!B:B,"",-1)</f>
        <v>13.26</v>
      </c>
      <c r="F1969">
        <f t="shared" si="241"/>
        <v>-0.1899999999999995</v>
      </c>
      <c r="G1969">
        <f>_xlfn.XLOOKUP(A1969,'DGS10'!A:A,'DGS10'!B:B,"",-1)</f>
        <v>4.1500000000000004</v>
      </c>
      <c r="H1969">
        <f t="shared" si="242"/>
        <v>1.0000000000000675E-2</v>
      </c>
      <c r="I1969" s="2">
        <f>_xlfn.XLOOKUP(A1969,T10Y3M!A:A,T10Y3M!B:B,"",-1)</f>
        <v>-1.29</v>
      </c>
      <c r="J1969" s="2">
        <f>_xlfn.XLOOKUP(A1969,BAMLC0A4CBBB!A:A,BAMLC0A4CBBB!B:B,"",-1)</f>
        <v>1.21</v>
      </c>
      <c r="K1969" s="2">
        <f>_xlfn.XLOOKUP(A1969,CPIAUCSL!A:A,CPIAUCSL!B:B,"",-1)</f>
        <v>309.69799999999998</v>
      </c>
      <c r="L1969">
        <f>_xlfn.XLOOKUP(A1969,DFF!A:A,DFF!B:B,"",-1)</f>
        <v>5.33</v>
      </c>
      <c r="M1969">
        <f>_xlfn.XLOOKUP(A1969,'DGS2'!A:A,'DGS2'!B:B,"",-1)</f>
        <v>4.34</v>
      </c>
      <c r="N1969">
        <f t="shared" si="243"/>
        <v>5.9999999999999609E-2</v>
      </c>
      <c r="O1969">
        <f t="shared" si="244"/>
        <v>7.5567832147815928E-3</v>
      </c>
      <c r="P1969">
        <f t="shared" si="245"/>
        <v>1</v>
      </c>
      <c r="Q1969">
        <f t="shared" si="246"/>
        <v>1</v>
      </c>
    </row>
    <row r="1970" spans="1:17">
      <c r="A1970" s="1">
        <v>45320</v>
      </c>
      <c r="B1970">
        <v>4927.93</v>
      </c>
      <c r="C1970">
        <f t="shared" si="240"/>
        <v>7.5567832147815928E-3</v>
      </c>
      <c r="D1970">
        <f t="shared" si="247"/>
        <v>1.2196649926569547E-2</v>
      </c>
      <c r="E1970">
        <f>_xlfn.XLOOKUP(A1970,VIX!A:A,VIX!B:B,"",-1)</f>
        <v>13.6</v>
      </c>
      <c r="F1970">
        <f t="shared" si="241"/>
        <v>0.33999999999999986</v>
      </c>
      <c r="G1970">
        <f>_xlfn.XLOOKUP(A1970,'DGS10'!A:A,'DGS10'!B:B,"",-1)</f>
        <v>4.08</v>
      </c>
      <c r="H1970">
        <f t="shared" si="242"/>
        <v>-7.0000000000000284E-2</v>
      </c>
      <c r="I1970" s="2">
        <f>_xlfn.XLOOKUP(A1970,T10Y3M!A:A,T10Y3M!B:B,"",-1)</f>
        <v>-1.34</v>
      </c>
      <c r="J1970" s="2">
        <f>_xlfn.XLOOKUP(A1970,BAMLC0A4CBBB!A:A,BAMLC0A4CBBB!B:B,"",-1)</f>
        <v>1.22</v>
      </c>
      <c r="K1970" s="2">
        <f>_xlfn.XLOOKUP(A1970,CPIAUCSL!A:A,CPIAUCSL!B:B,"",-1)</f>
        <v>309.69799999999998</v>
      </c>
      <c r="L1970">
        <f>_xlfn.XLOOKUP(A1970,DFF!A:A,DFF!B:B,"",-1)</f>
        <v>5.33</v>
      </c>
      <c r="M1970">
        <f>_xlfn.XLOOKUP(A1970,'DGS2'!A:A,'DGS2'!B:B,"",-1)</f>
        <v>4.29</v>
      </c>
      <c r="N1970">
        <f t="shared" si="243"/>
        <v>-4.9999999999999822E-2</v>
      </c>
      <c r="O1970">
        <f t="shared" si="244"/>
        <v>-6.0065788272156695E-4</v>
      </c>
      <c r="P1970">
        <f t="shared" si="245"/>
        <v>0</v>
      </c>
      <c r="Q1970">
        <f t="shared" si="246"/>
        <v>0</v>
      </c>
    </row>
    <row r="1971" spans="1:17">
      <c r="A1971" s="1">
        <v>45321</v>
      </c>
      <c r="B1971">
        <v>4924.97</v>
      </c>
      <c r="C1971">
        <f t="shared" si="240"/>
        <v>-6.0065788272156695E-4</v>
      </c>
      <c r="D1971">
        <f t="shared" si="247"/>
        <v>6.2952580218056386E-3</v>
      </c>
      <c r="E1971">
        <f>_xlfn.XLOOKUP(A1971,VIX!A:A,VIX!B:B,"",-1)</f>
        <v>13.31</v>
      </c>
      <c r="F1971">
        <f t="shared" si="241"/>
        <v>-0.28999999999999915</v>
      </c>
      <c r="G1971">
        <f>_xlfn.XLOOKUP(A1971,'DGS10'!A:A,'DGS10'!B:B,"",-1)</f>
        <v>4.0599999999999996</v>
      </c>
      <c r="H1971">
        <f t="shared" si="242"/>
        <v>-2.0000000000000462E-2</v>
      </c>
      <c r="I1971" s="2">
        <f>_xlfn.XLOOKUP(A1971,T10Y3M!A:A,T10Y3M!B:B,"",-1)</f>
        <v>-1.36</v>
      </c>
      <c r="J1971" s="2">
        <f>_xlfn.XLOOKUP(A1971,BAMLC0A4CBBB!A:A,BAMLC0A4CBBB!B:B,"",-1)</f>
        <v>1.23</v>
      </c>
      <c r="K1971" s="2">
        <f>_xlfn.XLOOKUP(A1971,CPIAUCSL!A:A,CPIAUCSL!B:B,"",-1)</f>
        <v>309.69799999999998</v>
      </c>
      <c r="L1971">
        <f>_xlfn.XLOOKUP(A1971,DFF!A:A,DFF!B:B,"",-1)</f>
        <v>5.33</v>
      </c>
      <c r="M1971">
        <f>_xlfn.XLOOKUP(A1971,'DGS2'!A:A,'DGS2'!B:B,"",-1)</f>
        <v>4.3600000000000003</v>
      </c>
      <c r="N1971">
        <f t="shared" si="243"/>
        <v>7.0000000000000284E-2</v>
      </c>
      <c r="O1971">
        <f t="shared" si="244"/>
        <v>-1.6105681862021659E-2</v>
      </c>
      <c r="P1971">
        <f t="shared" si="245"/>
        <v>0</v>
      </c>
      <c r="Q1971">
        <f t="shared" si="246"/>
        <v>-1</v>
      </c>
    </row>
    <row r="1972" spans="1:17">
      <c r="A1972" s="1">
        <v>45322</v>
      </c>
      <c r="B1972">
        <v>4845.6499999999996</v>
      </c>
      <c r="C1972">
        <f t="shared" si="240"/>
        <v>-1.6105681862021659E-2</v>
      </c>
      <c r="D1972">
        <f t="shared" si="247"/>
        <v>-9.2660556086012758E-3</v>
      </c>
      <c r="E1972">
        <f>_xlfn.XLOOKUP(A1972,VIX!A:A,VIX!B:B,"",-1)</f>
        <v>14.35</v>
      </c>
      <c r="F1972">
        <f t="shared" si="241"/>
        <v>1.0399999999999991</v>
      </c>
      <c r="G1972">
        <f>_xlfn.XLOOKUP(A1972,'DGS10'!A:A,'DGS10'!B:B,"",-1)</f>
        <v>3.99</v>
      </c>
      <c r="H1972">
        <f t="shared" si="242"/>
        <v>-6.9999999999999396E-2</v>
      </c>
      <c r="I1972" s="2">
        <f>_xlfn.XLOOKUP(A1972,T10Y3M!A:A,T10Y3M!B:B,"",-1)</f>
        <v>-1.43</v>
      </c>
      <c r="J1972" s="2">
        <f>_xlfn.XLOOKUP(A1972,BAMLC0A4CBBB!A:A,BAMLC0A4CBBB!B:B,"",-1)</f>
        <v>1.26</v>
      </c>
      <c r="K1972" s="2">
        <f>_xlfn.XLOOKUP(A1972,CPIAUCSL!A:A,CPIAUCSL!B:B,"",-1)</f>
        <v>309.69799999999998</v>
      </c>
      <c r="L1972">
        <f>_xlfn.XLOOKUP(A1972,DFF!A:A,DFF!B:B,"",-1)</f>
        <v>5.33</v>
      </c>
      <c r="M1972">
        <f>_xlfn.XLOOKUP(A1972,'DGS2'!A:A,'DGS2'!B:B,"",-1)</f>
        <v>4.2699999999999996</v>
      </c>
      <c r="N1972">
        <f t="shared" si="243"/>
        <v>-9.0000000000000746E-2</v>
      </c>
      <c r="O1972">
        <f t="shared" si="244"/>
        <v>1.2493679898465615E-2</v>
      </c>
      <c r="P1972">
        <f t="shared" si="245"/>
        <v>1</v>
      </c>
      <c r="Q1972">
        <f t="shared" si="246"/>
        <v>1</v>
      </c>
    </row>
    <row r="1973" spans="1:17">
      <c r="A1973" s="1">
        <v>45323</v>
      </c>
      <c r="B1973">
        <v>4906.1899999999996</v>
      </c>
      <c r="C1973">
        <f t="shared" si="240"/>
        <v>1.2493679898465615E-2</v>
      </c>
      <c r="D1973">
        <f t="shared" si="247"/>
        <v>-4.4115886386374425E-3</v>
      </c>
      <c r="E1973">
        <f>_xlfn.XLOOKUP(A1973,VIX!A:A,VIX!B:B,"",-1)</f>
        <v>13.88</v>
      </c>
      <c r="F1973">
        <f t="shared" si="241"/>
        <v>-0.46999999999999886</v>
      </c>
      <c r="G1973">
        <f>_xlfn.XLOOKUP(A1973,'DGS10'!A:A,'DGS10'!B:B,"",-1)</f>
        <v>3.87</v>
      </c>
      <c r="H1973">
        <f t="shared" si="242"/>
        <v>-0.12000000000000011</v>
      </c>
      <c r="I1973" s="2">
        <f>_xlfn.XLOOKUP(A1973,T10Y3M!A:A,T10Y3M!B:B,"",-1)</f>
        <v>-1.55</v>
      </c>
      <c r="J1973" s="2">
        <f>_xlfn.XLOOKUP(A1973,BAMLC0A4CBBB!A:A,BAMLC0A4CBBB!B:B,"",-1)</f>
        <v>1.28</v>
      </c>
      <c r="K1973" s="2">
        <f>_xlfn.XLOOKUP(A1973,CPIAUCSL!A:A,CPIAUCSL!B:B,"",-1)</f>
        <v>310.96699999999998</v>
      </c>
      <c r="L1973">
        <f>_xlfn.XLOOKUP(A1973,DFF!A:A,DFF!B:B,"",-1)</f>
        <v>5.33</v>
      </c>
      <c r="M1973">
        <f>_xlfn.XLOOKUP(A1973,'DGS2'!A:A,'DGS2'!B:B,"",-1)</f>
        <v>4.2</v>
      </c>
      <c r="N1973">
        <f t="shared" si="243"/>
        <v>-6.9999999999999396E-2</v>
      </c>
      <c r="O1973">
        <f t="shared" si="244"/>
        <v>1.0684461873673889E-2</v>
      </c>
      <c r="P1973">
        <f t="shared" si="245"/>
        <v>1</v>
      </c>
      <c r="Q1973">
        <f t="shared" si="246"/>
        <v>1</v>
      </c>
    </row>
    <row r="1974" spans="1:17">
      <c r="A1974" s="1">
        <v>45324</v>
      </c>
      <c r="B1974">
        <v>4958.6099999999997</v>
      </c>
      <c r="C1974">
        <f t="shared" si="240"/>
        <v>1.0684461873673889E-2</v>
      </c>
      <c r="D1974">
        <f t="shared" si="247"/>
        <v>6.8304984598890339E-3</v>
      </c>
      <c r="E1974">
        <f>_xlfn.XLOOKUP(A1974,VIX!A:A,VIX!B:B,"",-1)</f>
        <v>13.85</v>
      </c>
      <c r="F1974">
        <f t="shared" si="241"/>
        <v>-3.0000000000001137E-2</v>
      </c>
      <c r="G1974">
        <f>_xlfn.XLOOKUP(A1974,'DGS10'!A:A,'DGS10'!B:B,"",-1)</f>
        <v>4.03</v>
      </c>
      <c r="H1974">
        <f t="shared" si="242"/>
        <v>0.16000000000000014</v>
      </c>
      <c r="I1974" s="2">
        <f>_xlfn.XLOOKUP(A1974,T10Y3M!A:A,T10Y3M!B:B,"",-1)</f>
        <v>-1.4</v>
      </c>
      <c r="J1974" s="2">
        <f>_xlfn.XLOOKUP(A1974,BAMLC0A4CBBB!A:A,BAMLC0A4CBBB!B:B,"",-1)</f>
        <v>1.25</v>
      </c>
      <c r="K1974" s="2">
        <f>_xlfn.XLOOKUP(A1974,CPIAUCSL!A:A,CPIAUCSL!B:B,"",-1)</f>
        <v>310.96699999999998</v>
      </c>
      <c r="L1974">
        <f>_xlfn.XLOOKUP(A1974,DFF!A:A,DFF!B:B,"",-1)</f>
        <v>5.33</v>
      </c>
      <c r="M1974">
        <f>_xlfn.XLOOKUP(A1974,'DGS2'!A:A,'DGS2'!B:B,"",-1)</f>
        <v>4.3600000000000003</v>
      </c>
      <c r="N1974">
        <f t="shared" si="243"/>
        <v>0.16000000000000014</v>
      </c>
      <c r="O1974">
        <f t="shared" si="244"/>
        <v>-3.18637682737688E-3</v>
      </c>
      <c r="P1974">
        <f t="shared" si="245"/>
        <v>0</v>
      </c>
      <c r="Q1974">
        <f t="shared" si="246"/>
        <v>-1</v>
      </c>
    </row>
    <row r="1975" spans="1:17">
      <c r="A1975" s="1">
        <v>45327</v>
      </c>
      <c r="B1975">
        <v>4942.8100000000004</v>
      </c>
      <c r="C1975">
        <f t="shared" si="240"/>
        <v>-3.18637682737688E-3</v>
      </c>
      <c r="D1975">
        <f t="shared" si="247"/>
        <v>2.005097355359986E-2</v>
      </c>
      <c r="E1975">
        <f>_xlfn.XLOOKUP(A1975,VIX!A:A,VIX!B:B,"",-1)</f>
        <v>13.67</v>
      </c>
      <c r="F1975">
        <f t="shared" si="241"/>
        <v>-0.17999999999999972</v>
      </c>
      <c r="G1975">
        <f>_xlfn.XLOOKUP(A1975,'DGS10'!A:A,'DGS10'!B:B,"",-1)</f>
        <v>4.17</v>
      </c>
      <c r="H1975">
        <f t="shared" si="242"/>
        <v>0.13999999999999968</v>
      </c>
      <c r="I1975" s="2">
        <f>_xlfn.XLOOKUP(A1975,T10Y3M!A:A,T10Y3M!B:B,"",-1)</f>
        <v>-1.25</v>
      </c>
      <c r="J1975" s="2">
        <f>_xlfn.XLOOKUP(A1975,BAMLC0A4CBBB!A:A,BAMLC0A4CBBB!B:B,"",-1)</f>
        <v>1.24</v>
      </c>
      <c r="K1975" s="2">
        <f>_xlfn.XLOOKUP(A1975,CPIAUCSL!A:A,CPIAUCSL!B:B,"",-1)</f>
        <v>310.96699999999998</v>
      </c>
      <c r="L1975">
        <f>_xlfn.XLOOKUP(A1975,DFF!A:A,DFF!B:B,"",-1)</f>
        <v>5.33</v>
      </c>
      <c r="M1975">
        <f>_xlfn.XLOOKUP(A1975,'DGS2'!A:A,'DGS2'!B:B,"",-1)</f>
        <v>4.46</v>
      </c>
      <c r="N1975">
        <f t="shared" si="243"/>
        <v>9.9999999999999645E-2</v>
      </c>
      <c r="O1975">
        <f t="shared" si="244"/>
        <v>2.310426660138587E-3</v>
      </c>
      <c r="P1975">
        <f t="shared" si="245"/>
        <v>1</v>
      </c>
      <c r="Q1975">
        <f t="shared" si="246"/>
        <v>0</v>
      </c>
    </row>
    <row r="1976" spans="1:17">
      <c r="A1976" s="1">
        <v>45328</v>
      </c>
      <c r="B1976">
        <v>4954.2299999999996</v>
      </c>
      <c r="C1976">
        <f t="shared" si="240"/>
        <v>2.310426660138587E-3</v>
      </c>
      <c r="D1976">
        <f t="shared" si="247"/>
        <v>9.7917121024664322E-3</v>
      </c>
      <c r="E1976">
        <f>_xlfn.XLOOKUP(A1976,VIX!A:A,VIX!B:B,"",-1)</f>
        <v>13.06</v>
      </c>
      <c r="F1976">
        <f t="shared" si="241"/>
        <v>-0.60999999999999943</v>
      </c>
      <c r="G1976">
        <f>_xlfn.XLOOKUP(A1976,'DGS10'!A:A,'DGS10'!B:B,"",-1)</f>
        <v>4.09</v>
      </c>
      <c r="H1976">
        <f t="shared" si="242"/>
        <v>-8.0000000000000071E-2</v>
      </c>
      <c r="I1976" s="2">
        <f>_xlfn.XLOOKUP(A1976,T10Y3M!A:A,T10Y3M!B:B,"",-1)</f>
        <v>-1.35</v>
      </c>
      <c r="J1976" s="2">
        <f>_xlfn.XLOOKUP(A1976,BAMLC0A4CBBB!A:A,BAMLC0A4CBBB!B:B,"",-1)</f>
        <v>1.24</v>
      </c>
      <c r="K1976" s="2">
        <f>_xlfn.XLOOKUP(A1976,CPIAUCSL!A:A,CPIAUCSL!B:B,"",-1)</f>
        <v>310.96699999999998</v>
      </c>
      <c r="L1976">
        <f>_xlfn.XLOOKUP(A1976,DFF!A:A,DFF!B:B,"",-1)</f>
        <v>5.33</v>
      </c>
      <c r="M1976">
        <f>_xlfn.XLOOKUP(A1976,'DGS2'!A:A,'DGS2'!B:B,"",-1)</f>
        <v>4.3899999999999997</v>
      </c>
      <c r="N1976">
        <f t="shared" si="243"/>
        <v>-7.0000000000000284E-2</v>
      </c>
      <c r="O1976">
        <f t="shared" si="244"/>
        <v>8.2414421615468747E-3</v>
      </c>
      <c r="P1976">
        <f t="shared" si="245"/>
        <v>1</v>
      </c>
      <c r="Q1976">
        <f t="shared" si="246"/>
        <v>1</v>
      </c>
    </row>
    <row r="1977" spans="1:17">
      <c r="A1977" s="1">
        <v>45329</v>
      </c>
      <c r="B1977">
        <v>4995.0600000000004</v>
      </c>
      <c r="C1977">
        <f t="shared" si="240"/>
        <v>8.2414421615468747E-3</v>
      </c>
      <c r="D1977">
        <f t="shared" si="247"/>
        <v>7.3508503391073177E-3</v>
      </c>
      <c r="E1977">
        <f>_xlfn.XLOOKUP(A1977,VIX!A:A,VIX!B:B,"",-1)</f>
        <v>12.83</v>
      </c>
      <c r="F1977">
        <f t="shared" si="241"/>
        <v>-0.23000000000000043</v>
      </c>
      <c r="G1977">
        <f>_xlfn.XLOOKUP(A1977,'DGS10'!A:A,'DGS10'!B:B,"",-1)</f>
        <v>4.09</v>
      </c>
      <c r="H1977">
        <f t="shared" si="242"/>
        <v>0</v>
      </c>
      <c r="I1977" s="2">
        <f>_xlfn.XLOOKUP(A1977,T10Y3M!A:A,T10Y3M!B:B,"",-1)</f>
        <v>-1.34</v>
      </c>
      <c r="J1977" s="2">
        <f>_xlfn.XLOOKUP(A1977,BAMLC0A4CBBB!A:A,BAMLC0A4CBBB!B:B,"",-1)</f>
        <v>1.24</v>
      </c>
      <c r="K1977" s="2">
        <f>_xlfn.XLOOKUP(A1977,CPIAUCSL!A:A,CPIAUCSL!B:B,"",-1)</f>
        <v>310.96699999999998</v>
      </c>
      <c r="L1977">
        <f>_xlfn.XLOOKUP(A1977,DFF!A:A,DFF!B:B,"",-1)</f>
        <v>5.33</v>
      </c>
      <c r="M1977">
        <f>_xlfn.XLOOKUP(A1977,'DGS2'!A:A,'DGS2'!B:B,"",-1)</f>
        <v>4.41</v>
      </c>
      <c r="N1977">
        <f t="shared" si="243"/>
        <v>2.0000000000000462E-2</v>
      </c>
      <c r="O1977">
        <f t="shared" si="244"/>
        <v>5.7056371695218822E-4</v>
      </c>
      <c r="P1977">
        <f t="shared" si="245"/>
        <v>1</v>
      </c>
      <c r="Q1977">
        <f t="shared" si="246"/>
        <v>0</v>
      </c>
    </row>
    <row r="1978" spans="1:17">
      <c r="A1978" s="1">
        <v>45330</v>
      </c>
      <c r="B1978">
        <v>4997.91</v>
      </c>
      <c r="C1978">
        <f t="shared" si="240"/>
        <v>5.7056371695218822E-4</v>
      </c>
      <c r="D1978">
        <f t="shared" si="247"/>
        <v>1.1147505164066374E-2</v>
      </c>
      <c r="E1978">
        <f>_xlfn.XLOOKUP(A1978,VIX!A:A,VIX!B:B,"",-1)</f>
        <v>12.79</v>
      </c>
      <c r="F1978">
        <f t="shared" si="241"/>
        <v>-4.0000000000000924E-2</v>
      </c>
      <c r="G1978">
        <f>_xlfn.XLOOKUP(A1978,'DGS10'!A:A,'DGS10'!B:B,"",-1)</f>
        <v>4.1500000000000004</v>
      </c>
      <c r="H1978">
        <f t="shared" si="242"/>
        <v>6.0000000000000497E-2</v>
      </c>
      <c r="I1978" s="2">
        <f>_xlfn.XLOOKUP(A1978,T10Y3M!A:A,T10Y3M!B:B,"",-1)</f>
        <v>-1.29</v>
      </c>
      <c r="J1978" s="2">
        <f>_xlfn.XLOOKUP(A1978,BAMLC0A4CBBB!A:A,BAMLC0A4CBBB!B:B,"",-1)</f>
        <v>1.23</v>
      </c>
      <c r="K1978" s="2">
        <f>_xlfn.XLOOKUP(A1978,CPIAUCSL!A:A,CPIAUCSL!B:B,"",-1)</f>
        <v>310.96699999999998</v>
      </c>
      <c r="L1978">
        <f>_xlfn.XLOOKUP(A1978,DFF!A:A,DFF!B:B,"",-1)</f>
        <v>5.33</v>
      </c>
      <c r="M1978">
        <f>_xlfn.XLOOKUP(A1978,'DGS2'!A:A,'DGS2'!B:B,"",-1)</f>
        <v>4.46</v>
      </c>
      <c r="N1978">
        <f t="shared" si="243"/>
        <v>4.9999999999999822E-2</v>
      </c>
      <c r="O1978">
        <f t="shared" si="244"/>
        <v>5.7424003233350618E-3</v>
      </c>
      <c r="P1978">
        <f t="shared" si="245"/>
        <v>1</v>
      </c>
      <c r="Q1978">
        <f t="shared" si="246"/>
        <v>1</v>
      </c>
    </row>
    <row r="1979" spans="1:17">
      <c r="A1979" s="1">
        <v>45331</v>
      </c>
      <c r="B1979">
        <v>5026.6099999999997</v>
      </c>
      <c r="C1979">
        <f t="shared" si="240"/>
        <v>5.7424003233350618E-3</v>
      </c>
      <c r="D1979">
        <f t="shared" si="247"/>
        <v>1.4609737537417455E-2</v>
      </c>
      <c r="E1979">
        <f>_xlfn.XLOOKUP(A1979,VIX!A:A,VIX!B:B,"",-1)</f>
        <v>12.93</v>
      </c>
      <c r="F1979">
        <f t="shared" si="241"/>
        <v>0.14000000000000057</v>
      </c>
      <c r="G1979">
        <f>_xlfn.XLOOKUP(A1979,'DGS10'!A:A,'DGS10'!B:B,"",-1)</f>
        <v>4.17</v>
      </c>
      <c r="H1979">
        <f t="shared" si="242"/>
        <v>1.9999999999999574E-2</v>
      </c>
      <c r="I1979" s="2">
        <f>_xlfn.XLOOKUP(A1979,T10Y3M!A:A,T10Y3M!B:B,"",-1)</f>
        <v>-1.27</v>
      </c>
      <c r="J1979" s="2">
        <f>_xlfn.XLOOKUP(A1979,BAMLC0A4CBBB!A:A,BAMLC0A4CBBB!B:B,"",-1)</f>
        <v>1.24</v>
      </c>
      <c r="K1979" s="2">
        <f>_xlfn.XLOOKUP(A1979,CPIAUCSL!A:A,CPIAUCSL!B:B,"",-1)</f>
        <v>310.96699999999998</v>
      </c>
      <c r="L1979">
        <f>_xlfn.XLOOKUP(A1979,DFF!A:A,DFF!B:B,"",-1)</f>
        <v>5.33</v>
      </c>
      <c r="M1979">
        <f>_xlfn.XLOOKUP(A1979,'DGS2'!A:A,'DGS2'!B:B,"",-1)</f>
        <v>4.4800000000000004</v>
      </c>
      <c r="N1979">
        <f t="shared" si="243"/>
        <v>2.0000000000000462E-2</v>
      </c>
      <c r="O1979">
        <f t="shared" si="244"/>
        <v>-9.4894968975101079E-4</v>
      </c>
      <c r="P1979">
        <f t="shared" si="245"/>
        <v>0</v>
      </c>
      <c r="Q1979">
        <f t="shared" si="246"/>
        <v>0</v>
      </c>
    </row>
    <row r="1980" spans="1:17">
      <c r="A1980" s="1">
        <v>45334</v>
      </c>
      <c r="B1980">
        <v>5021.84</v>
      </c>
      <c r="C1980">
        <f t="shared" si="240"/>
        <v>-9.4894968975101079E-4</v>
      </c>
      <c r="D1980">
        <f t="shared" si="247"/>
        <v>5.3612969613978656E-3</v>
      </c>
      <c r="E1980">
        <f>_xlfn.XLOOKUP(A1980,VIX!A:A,VIX!B:B,"",-1)</f>
        <v>13.93</v>
      </c>
      <c r="F1980">
        <f t="shared" si="241"/>
        <v>1</v>
      </c>
      <c r="G1980">
        <f>_xlfn.XLOOKUP(A1980,'DGS10'!A:A,'DGS10'!B:B,"",-1)</f>
        <v>4.17</v>
      </c>
      <c r="H1980">
        <f t="shared" si="242"/>
        <v>0</v>
      </c>
      <c r="I1980" s="2">
        <f>_xlfn.XLOOKUP(A1980,T10Y3M!A:A,T10Y3M!B:B,"",-1)</f>
        <v>-1.26</v>
      </c>
      <c r="J1980" s="2">
        <f>_xlfn.XLOOKUP(A1980,BAMLC0A4CBBB!A:A,BAMLC0A4CBBB!B:B,"",-1)</f>
        <v>1.24</v>
      </c>
      <c r="K1980" s="2">
        <f>_xlfn.XLOOKUP(A1980,CPIAUCSL!A:A,CPIAUCSL!B:B,"",-1)</f>
        <v>310.96699999999998</v>
      </c>
      <c r="L1980">
        <f>_xlfn.XLOOKUP(A1980,DFF!A:A,DFF!B:B,"",-1)</f>
        <v>5.33</v>
      </c>
      <c r="M1980">
        <f>_xlfn.XLOOKUP(A1980,'DGS2'!A:A,'DGS2'!B:B,"",-1)</f>
        <v>4.46</v>
      </c>
      <c r="N1980">
        <f t="shared" si="243"/>
        <v>-2.0000000000000462E-2</v>
      </c>
      <c r="O1980">
        <f t="shared" si="244"/>
        <v>-1.3674270785210219E-2</v>
      </c>
      <c r="P1980">
        <f t="shared" si="245"/>
        <v>0</v>
      </c>
      <c r="Q1980">
        <f t="shared" si="246"/>
        <v>-1</v>
      </c>
    </row>
    <row r="1981" spans="1:17">
      <c r="A1981" s="1">
        <v>45335</v>
      </c>
      <c r="B1981">
        <v>4953.17</v>
      </c>
      <c r="C1981">
        <f t="shared" si="240"/>
        <v>-1.3674270785210219E-2</v>
      </c>
      <c r="D1981">
        <f t="shared" si="247"/>
        <v>-8.9517418280841143E-3</v>
      </c>
      <c r="E1981">
        <f>_xlfn.XLOOKUP(A1981,VIX!A:A,VIX!B:B,"",-1)</f>
        <v>15.85</v>
      </c>
      <c r="F1981">
        <f t="shared" si="241"/>
        <v>1.92</v>
      </c>
      <c r="G1981">
        <f>_xlfn.XLOOKUP(A1981,'DGS10'!A:A,'DGS10'!B:B,"",-1)</f>
        <v>4.3099999999999996</v>
      </c>
      <c r="H1981">
        <f t="shared" si="242"/>
        <v>0.13999999999999968</v>
      </c>
      <c r="I1981" s="2">
        <f>_xlfn.XLOOKUP(A1981,T10Y3M!A:A,T10Y3M!B:B,"",-1)</f>
        <v>-1.1399999999999999</v>
      </c>
      <c r="J1981" s="2">
        <f>_xlfn.XLOOKUP(A1981,BAMLC0A4CBBB!A:A,BAMLC0A4CBBB!B:B,"",-1)</f>
        <v>1.22</v>
      </c>
      <c r="K1981" s="2">
        <f>_xlfn.XLOOKUP(A1981,CPIAUCSL!A:A,CPIAUCSL!B:B,"",-1)</f>
        <v>310.96699999999998</v>
      </c>
      <c r="L1981">
        <f>_xlfn.XLOOKUP(A1981,DFF!A:A,DFF!B:B,"",-1)</f>
        <v>5.33</v>
      </c>
      <c r="M1981">
        <f>_xlfn.XLOOKUP(A1981,'DGS2'!A:A,'DGS2'!B:B,"",-1)</f>
        <v>4.6399999999999997</v>
      </c>
      <c r="N1981">
        <f t="shared" si="243"/>
        <v>0.17999999999999972</v>
      </c>
      <c r="O1981">
        <f t="shared" si="244"/>
        <v>9.5797236921002504E-3</v>
      </c>
      <c r="P1981">
        <f t="shared" si="245"/>
        <v>1</v>
      </c>
      <c r="Q1981">
        <f t="shared" si="246"/>
        <v>1</v>
      </c>
    </row>
    <row r="1982" spans="1:17">
      <c r="A1982" s="1">
        <v>45336</v>
      </c>
      <c r="B1982">
        <v>5000.62</v>
      </c>
      <c r="C1982">
        <f t="shared" si="240"/>
        <v>9.5797236921002504E-3</v>
      </c>
      <c r="D1982">
        <f t="shared" si="247"/>
        <v>-5.1704826911178614E-3</v>
      </c>
      <c r="E1982">
        <f>_xlfn.XLOOKUP(A1982,VIX!A:A,VIX!B:B,"",-1)</f>
        <v>14.38</v>
      </c>
      <c r="F1982">
        <f t="shared" si="241"/>
        <v>-1.4699999999999989</v>
      </c>
      <c r="G1982">
        <f>_xlfn.XLOOKUP(A1982,'DGS10'!A:A,'DGS10'!B:B,"",-1)</f>
        <v>4.2699999999999996</v>
      </c>
      <c r="H1982">
        <f t="shared" si="242"/>
        <v>-4.0000000000000036E-2</v>
      </c>
      <c r="I1982" s="2">
        <f>_xlfn.XLOOKUP(A1982,T10Y3M!A:A,T10Y3M!B:B,"",-1)</f>
        <v>-1.1599999999999999</v>
      </c>
      <c r="J1982" s="2">
        <f>_xlfn.XLOOKUP(A1982,BAMLC0A4CBBB!A:A,BAMLC0A4CBBB!B:B,"",-1)</f>
        <v>1.22</v>
      </c>
      <c r="K1982" s="2">
        <f>_xlfn.XLOOKUP(A1982,CPIAUCSL!A:A,CPIAUCSL!B:B,"",-1)</f>
        <v>310.96699999999998</v>
      </c>
      <c r="L1982">
        <f>_xlfn.XLOOKUP(A1982,DFF!A:A,DFF!B:B,"",-1)</f>
        <v>5.33</v>
      </c>
      <c r="M1982">
        <f>_xlfn.XLOOKUP(A1982,'DGS2'!A:A,'DGS2'!B:B,"",-1)</f>
        <v>4.5599999999999996</v>
      </c>
      <c r="N1982">
        <f t="shared" si="243"/>
        <v>-8.0000000000000071E-2</v>
      </c>
      <c r="O1982">
        <f t="shared" si="244"/>
        <v>5.8212781615079034E-3</v>
      </c>
      <c r="P1982">
        <f t="shared" si="245"/>
        <v>1</v>
      </c>
      <c r="Q1982">
        <f t="shared" si="246"/>
        <v>1</v>
      </c>
    </row>
    <row r="1983" spans="1:17">
      <c r="A1983" s="1">
        <v>45337</v>
      </c>
      <c r="B1983">
        <v>5029.7299999999996</v>
      </c>
      <c r="C1983">
        <f t="shared" si="240"/>
        <v>5.8212781615079034E-3</v>
      </c>
      <c r="D1983">
        <f t="shared" si="247"/>
        <v>1.5711372723941075E-3</v>
      </c>
      <c r="E1983">
        <f>_xlfn.XLOOKUP(A1983,VIX!A:A,VIX!B:B,"",-1)</f>
        <v>14.01</v>
      </c>
      <c r="F1983">
        <f t="shared" si="241"/>
        <v>-0.37000000000000099</v>
      </c>
      <c r="G1983">
        <f>_xlfn.XLOOKUP(A1983,'DGS10'!A:A,'DGS10'!B:B,"",-1)</f>
        <v>4.24</v>
      </c>
      <c r="H1983">
        <f t="shared" si="242"/>
        <v>-2.9999999999999361E-2</v>
      </c>
      <c r="I1983" s="2">
        <f>_xlfn.XLOOKUP(A1983,T10Y3M!A:A,T10Y3M!B:B,"",-1)</f>
        <v>-1.19</v>
      </c>
      <c r="J1983" s="2">
        <f>_xlfn.XLOOKUP(A1983,BAMLC0A4CBBB!A:A,BAMLC0A4CBBB!B:B,"",-1)</f>
        <v>1.2</v>
      </c>
      <c r="K1983" s="2">
        <f>_xlfn.XLOOKUP(A1983,CPIAUCSL!A:A,CPIAUCSL!B:B,"",-1)</f>
        <v>310.96699999999998</v>
      </c>
      <c r="L1983">
        <f>_xlfn.XLOOKUP(A1983,DFF!A:A,DFF!B:B,"",-1)</f>
        <v>5.33</v>
      </c>
      <c r="M1983">
        <f>_xlfn.XLOOKUP(A1983,'DGS2'!A:A,'DGS2'!B:B,"",-1)</f>
        <v>4.5599999999999996</v>
      </c>
      <c r="N1983">
        <f t="shared" si="243"/>
        <v>0</v>
      </c>
      <c r="O1983">
        <f t="shared" si="244"/>
        <v>-4.8034387531735723E-3</v>
      </c>
      <c r="P1983">
        <f t="shared" si="245"/>
        <v>0</v>
      </c>
      <c r="Q1983">
        <f t="shared" si="246"/>
        <v>-1</v>
      </c>
    </row>
    <row r="1984" spans="1:17">
      <c r="A1984" s="1">
        <v>45338</v>
      </c>
      <c r="B1984">
        <v>5005.57</v>
      </c>
      <c r="C1984">
        <f t="shared" si="240"/>
        <v>-4.8034387531735723E-3</v>
      </c>
      <c r="D1984">
        <f t="shared" si="247"/>
        <v>1.0579083697914493E-2</v>
      </c>
      <c r="E1984">
        <f>_xlfn.XLOOKUP(A1984,VIX!A:A,VIX!B:B,"",-1)</f>
        <v>14.24</v>
      </c>
      <c r="F1984">
        <f t="shared" si="241"/>
        <v>0.23000000000000043</v>
      </c>
      <c r="G1984">
        <f>_xlfn.XLOOKUP(A1984,'DGS10'!A:A,'DGS10'!B:B,"",-1)</f>
        <v>4.3</v>
      </c>
      <c r="H1984">
        <f t="shared" si="242"/>
        <v>5.9999999999999609E-2</v>
      </c>
      <c r="I1984" s="2">
        <f>_xlfn.XLOOKUP(A1984,T10Y3M!A:A,T10Y3M!B:B,"",-1)</f>
        <v>-1.1399999999999999</v>
      </c>
      <c r="J1984" s="2">
        <f>_xlfn.XLOOKUP(A1984,BAMLC0A4CBBB!A:A,BAMLC0A4CBBB!B:B,"",-1)</f>
        <v>1.19</v>
      </c>
      <c r="K1984" s="2">
        <f>_xlfn.XLOOKUP(A1984,CPIAUCSL!A:A,CPIAUCSL!B:B,"",-1)</f>
        <v>310.96699999999998</v>
      </c>
      <c r="L1984">
        <f>_xlfn.XLOOKUP(A1984,DFF!A:A,DFF!B:B,"",-1)</f>
        <v>5.33</v>
      </c>
      <c r="M1984">
        <f>_xlfn.XLOOKUP(A1984,'DGS2'!A:A,'DGS2'!B:B,"",-1)</f>
        <v>4.6399999999999997</v>
      </c>
      <c r="N1984">
        <f t="shared" si="243"/>
        <v>8.0000000000000071E-2</v>
      </c>
      <c r="O1984">
        <f t="shared" si="244"/>
        <v>-6.0053100845657292E-3</v>
      </c>
      <c r="P1984">
        <f t="shared" si="245"/>
        <v>0</v>
      </c>
      <c r="Q1984">
        <f t="shared" si="246"/>
        <v>-1</v>
      </c>
    </row>
    <row r="1985" spans="1:17">
      <c r="A1985" s="1">
        <v>45342</v>
      </c>
      <c r="B1985">
        <v>4975.51</v>
      </c>
      <c r="C1985">
        <f t="shared" si="240"/>
        <v>-6.0053100845657292E-3</v>
      </c>
      <c r="D1985">
        <f t="shared" si="247"/>
        <v>-5.0213773492086E-3</v>
      </c>
      <c r="E1985">
        <f>_xlfn.XLOOKUP(A1985,VIX!A:A,VIX!B:B,"",-1)</f>
        <v>15.42</v>
      </c>
      <c r="F1985">
        <f t="shared" si="241"/>
        <v>1.1799999999999997</v>
      </c>
      <c r="G1985">
        <f>_xlfn.XLOOKUP(A1985,'DGS10'!A:A,'DGS10'!B:B,"",-1)</f>
        <v>4.2699999999999996</v>
      </c>
      <c r="H1985">
        <f t="shared" si="242"/>
        <v>-3.0000000000000249E-2</v>
      </c>
      <c r="I1985" s="2">
        <f>_xlfn.XLOOKUP(A1985,T10Y3M!A:A,T10Y3M!B:B,"",-1)</f>
        <v>-1.17</v>
      </c>
      <c r="J1985" s="2">
        <f>_xlfn.XLOOKUP(A1985,BAMLC0A4CBBB!A:A,BAMLC0A4CBBB!B:B,"",-1)</f>
        <v>1.19</v>
      </c>
      <c r="K1985" s="2">
        <f>_xlfn.XLOOKUP(A1985,CPIAUCSL!A:A,CPIAUCSL!B:B,"",-1)</f>
        <v>310.96699999999998</v>
      </c>
      <c r="L1985">
        <f>_xlfn.XLOOKUP(A1985,DFF!A:A,DFF!B:B,"",-1)</f>
        <v>5.33</v>
      </c>
      <c r="M1985">
        <f>_xlfn.XLOOKUP(A1985,'DGS2'!A:A,'DGS2'!B:B,"",-1)</f>
        <v>4.59</v>
      </c>
      <c r="N1985">
        <f t="shared" si="243"/>
        <v>-4.9999999999999822E-2</v>
      </c>
      <c r="O1985">
        <f t="shared" si="244"/>
        <v>1.2641920124771833E-3</v>
      </c>
      <c r="P1985">
        <f t="shared" si="245"/>
        <v>1</v>
      </c>
      <c r="Q1985">
        <f t="shared" si="246"/>
        <v>0</v>
      </c>
    </row>
    <row r="1986" spans="1:17">
      <c r="A1986" s="1">
        <v>45343</v>
      </c>
      <c r="B1986">
        <v>4981.8</v>
      </c>
      <c r="C1986">
        <f t="shared" si="240"/>
        <v>1.2641920124771833E-3</v>
      </c>
      <c r="D1986">
        <f t="shared" si="247"/>
        <v>-9.5293385529640062E-3</v>
      </c>
      <c r="E1986">
        <f>_xlfn.XLOOKUP(A1986,VIX!A:A,VIX!B:B,"",-1)</f>
        <v>15.34</v>
      </c>
      <c r="F1986">
        <f t="shared" si="241"/>
        <v>-8.0000000000000071E-2</v>
      </c>
      <c r="G1986">
        <f>_xlfn.XLOOKUP(A1986,'DGS10'!A:A,'DGS10'!B:B,"",-1)</f>
        <v>4.32</v>
      </c>
      <c r="H1986">
        <f t="shared" si="242"/>
        <v>5.0000000000000711E-2</v>
      </c>
      <c r="I1986" s="2">
        <f>_xlfn.XLOOKUP(A1986,T10Y3M!A:A,T10Y3M!B:B,"",-1)</f>
        <v>-1.1200000000000001</v>
      </c>
      <c r="J1986" s="2">
        <f>_xlfn.XLOOKUP(A1986,BAMLC0A4CBBB!A:A,BAMLC0A4CBBB!B:B,"",-1)</f>
        <v>1.18</v>
      </c>
      <c r="K1986" s="2">
        <f>_xlfn.XLOOKUP(A1986,CPIAUCSL!A:A,CPIAUCSL!B:B,"",-1)</f>
        <v>310.96699999999998</v>
      </c>
      <c r="L1986">
        <f>_xlfn.XLOOKUP(A1986,DFF!A:A,DFF!B:B,"",-1)</f>
        <v>5.33</v>
      </c>
      <c r="M1986">
        <f>_xlfn.XLOOKUP(A1986,'DGS2'!A:A,'DGS2'!B:B,"",-1)</f>
        <v>4.6399999999999997</v>
      </c>
      <c r="N1986">
        <f t="shared" si="243"/>
        <v>4.9999999999999822E-2</v>
      </c>
      <c r="O1986">
        <f t="shared" si="244"/>
        <v>2.1122887309807714E-2</v>
      </c>
      <c r="P1986">
        <f t="shared" si="245"/>
        <v>1</v>
      </c>
      <c r="Q1986">
        <f t="shared" si="246"/>
        <v>1</v>
      </c>
    </row>
    <row r="1987" spans="1:17">
      <c r="A1987" s="1">
        <v>45344</v>
      </c>
      <c r="B1987">
        <v>5087.03</v>
      </c>
      <c r="C1987">
        <f t="shared" si="240"/>
        <v>2.1122887309807714E-2</v>
      </c>
      <c r="D1987">
        <f t="shared" si="247"/>
        <v>1.6273870907808741E-2</v>
      </c>
      <c r="E1987">
        <f>_xlfn.XLOOKUP(A1987,VIX!A:A,VIX!B:B,"",-1)</f>
        <v>14.54</v>
      </c>
      <c r="F1987">
        <f t="shared" si="241"/>
        <v>-0.80000000000000071</v>
      </c>
      <c r="G1987">
        <f>_xlfn.XLOOKUP(A1987,'DGS10'!A:A,'DGS10'!B:B,"",-1)</f>
        <v>4.33</v>
      </c>
      <c r="H1987">
        <f t="shared" si="242"/>
        <v>9.9999999999997868E-3</v>
      </c>
      <c r="I1987" s="2">
        <f>_xlfn.XLOOKUP(A1987,T10Y3M!A:A,T10Y3M!B:B,"",-1)</f>
        <v>-1.1200000000000001</v>
      </c>
      <c r="J1987" s="2">
        <f>_xlfn.XLOOKUP(A1987,BAMLC0A4CBBB!A:A,BAMLC0A4CBBB!B:B,"",-1)</f>
        <v>1.1599999999999999</v>
      </c>
      <c r="K1987" s="2">
        <f>_xlfn.XLOOKUP(A1987,CPIAUCSL!A:A,CPIAUCSL!B:B,"",-1)</f>
        <v>310.96699999999998</v>
      </c>
      <c r="L1987">
        <f>_xlfn.XLOOKUP(A1987,DFF!A:A,DFF!B:B,"",-1)</f>
        <v>5.33</v>
      </c>
      <c r="M1987">
        <f>_xlfn.XLOOKUP(A1987,'DGS2'!A:A,'DGS2'!B:B,"",-1)</f>
        <v>4.6900000000000004</v>
      </c>
      <c r="N1987">
        <f t="shared" si="243"/>
        <v>5.0000000000000711E-2</v>
      </c>
      <c r="O1987">
        <f t="shared" si="244"/>
        <v>3.4794369209545373E-4</v>
      </c>
      <c r="P1987">
        <f t="shared" si="245"/>
        <v>1</v>
      </c>
      <c r="Q1987">
        <f t="shared" si="246"/>
        <v>0</v>
      </c>
    </row>
    <row r="1988" spans="1:17">
      <c r="A1988" s="1">
        <v>45345</v>
      </c>
      <c r="B1988">
        <v>5088.8</v>
      </c>
      <c r="C1988">
        <f t="shared" ref="C1988:C2051" si="248">IF(OR(B1988="",B1987=""),"",(B1988/B1987)-1)</f>
        <v>3.4794369209545373E-4</v>
      </c>
      <c r="D1988">
        <f t="shared" si="247"/>
        <v>2.2769525134106905E-2</v>
      </c>
      <c r="E1988">
        <f>_xlfn.XLOOKUP(A1988,VIX!A:A,VIX!B:B,"",-1)</f>
        <v>13.75</v>
      </c>
      <c r="F1988">
        <f t="shared" ref="F1988:F2051" si="249">IF(OR(E1988="",E1987=""),"",E1988-E1987)</f>
        <v>-0.78999999999999915</v>
      </c>
      <c r="G1988">
        <f>_xlfn.XLOOKUP(A1988,'DGS10'!A:A,'DGS10'!B:B,"",-1)</f>
        <v>4.26</v>
      </c>
      <c r="H1988">
        <f t="shared" ref="H1988:H2051" si="250">IF(OR(G1988="",G1987=""),"",G1988-G1987)</f>
        <v>-7.0000000000000284E-2</v>
      </c>
      <c r="I1988" s="2">
        <f>_xlfn.XLOOKUP(A1988,T10Y3M!A:A,T10Y3M!B:B,"",-1)</f>
        <v>-1.2</v>
      </c>
      <c r="J1988" s="2">
        <f>_xlfn.XLOOKUP(A1988,BAMLC0A4CBBB!A:A,BAMLC0A4CBBB!B:B,"",-1)</f>
        <v>1.18</v>
      </c>
      <c r="K1988" s="2">
        <f>_xlfn.XLOOKUP(A1988,CPIAUCSL!A:A,CPIAUCSL!B:B,"",-1)</f>
        <v>310.96699999999998</v>
      </c>
      <c r="L1988">
        <f>_xlfn.XLOOKUP(A1988,DFF!A:A,DFF!B:B,"",-1)</f>
        <v>5.33</v>
      </c>
      <c r="M1988">
        <f>_xlfn.XLOOKUP(A1988,'DGS2'!A:A,'DGS2'!B:B,"",-1)</f>
        <v>4.67</v>
      </c>
      <c r="N1988">
        <f t="shared" ref="N1988:N2051" si="251">IF(OR(M1988="",M1987=""),"",M1988-M1987)</f>
        <v>-2.0000000000000462E-2</v>
      </c>
      <c r="O1988">
        <f t="shared" ref="O1988:O2051" si="252">IF(OR(B1989="",B1988=""),"",(B1989/B1988)-1)</f>
        <v>-3.7867473667663187E-3</v>
      </c>
      <c r="P1988">
        <f t="shared" ref="P1988:P2051" si="253">IF(O1988="","",IF(O1988&gt;0,1,0))</f>
        <v>0</v>
      </c>
      <c r="Q1988">
        <f t="shared" ref="Q1988:Q2051" si="254">IF(O1988="","",IF(O1988&gt;0.003,1,IF(O1988&lt;-0.003,-1,0)))</f>
        <v>-1</v>
      </c>
    </row>
    <row r="1989" spans="1:17">
      <c r="A1989" s="1">
        <v>45348</v>
      </c>
      <c r="B1989">
        <v>5069.53</v>
      </c>
      <c r="C1989">
        <f t="shared" si="248"/>
        <v>-3.7867473667663187E-3</v>
      </c>
      <c r="D1989">
        <f t="shared" si="247"/>
        <v>1.7610100766791037E-2</v>
      </c>
      <c r="E1989">
        <f>_xlfn.XLOOKUP(A1989,VIX!A:A,VIX!B:B,"",-1)</f>
        <v>13.74</v>
      </c>
      <c r="F1989">
        <f t="shared" si="249"/>
        <v>-9.9999999999997868E-3</v>
      </c>
      <c r="G1989">
        <f>_xlfn.XLOOKUP(A1989,'DGS10'!A:A,'DGS10'!B:B,"",-1)</f>
        <v>4.28</v>
      </c>
      <c r="H1989">
        <f t="shared" si="250"/>
        <v>2.0000000000000462E-2</v>
      </c>
      <c r="I1989" s="2">
        <f>_xlfn.XLOOKUP(A1989,T10Y3M!A:A,T10Y3M!B:B,"",-1)</f>
        <v>-1.19</v>
      </c>
      <c r="J1989" s="2">
        <f>_xlfn.XLOOKUP(A1989,BAMLC0A4CBBB!A:A,BAMLC0A4CBBB!B:B,"",-1)</f>
        <v>1.2</v>
      </c>
      <c r="K1989" s="2">
        <f>_xlfn.XLOOKUP(A1989,CPIAUCSL!A:A,CPIAUCSL!B:B,"",-1)</f>
        <v>310.96699999999998</v>
      </c>
      <c r="L1989">
        <f>_xlfn.XLOOKUP(A1989,DFF!A:A,DFF!B:B,"",-1)</f>
        <v>5.33</v>
      </c>
      <c r="M1989">
        <f>_xlfn.XLOOKUP(A1989,'DGS2'!A:A,'DGS2'!B:B,"",-1)</f>
        <v>4.6900000000000004</v>
      </c>
      <c r="N1989">
        <f t="shared" si="251"/>
        <v>2.0000000000000462E-2</v>
      </c>
      <c r="O1989">
        <f t="shared" si="252"/>
        <v>1.7062725735916828E-3</v>
      </c>
      <c r="P1989">
        <f t="shared" si="253"/>
        <v>1</v>
      </c>
      <c r="Q1989">
        <f t="shared" si="254"/>
        <v>0</v>
      </c>
    </row>
    <row r="1990" spans="1:17">
      <c r="A1990" s="1">
        <v>45349</v>
      </c>
      <c r="B1990">
        <v>5078.18</v>
      </c>
      <c r="C1990">
        <f t="shared" si="248"/>
        <v>1.7062725735916828E-3</v>
      </c>
      <c r="D1990">
        <f t="shared" ref="D1990:D2053" si="255">IF(OR(B1990="",B1987=""),"",(B1990/B1987)-1)</f>
        <v>-1.7397184604768245E-3</v>
      </c>
      <c r="E1990">
        <f>_xlfn.XLOOKUP(A1990,VIX!A:A,VIX!B:B,"",-1)</f>
        <v>13.43</v>
      </c>
      <c r="F1990">
        <f t="shared" si="249"/>
        <v>-0.3100000000000005</v>
      </c>
      <c r="G1990">
        <f>_xlfn.XLOOKUP(A1990,'DGS10'!A:A,'DGS10'!B:B,"",-1)</f>
        <v>4.3099999999999996</v>
      </c>
      <c r="H1990">
        <f t="shared" si="250"/>
        <v>2.9999999999999361E-2</v>
      </c>
      <c r="I1990" s="2">
        <f>_xlfn.XLOOKUP(A1990,T10Y3M!A:A,T10Y3M!B:B,"",-1)</f>
        <v>-1.1399999999999999</v>
      </c>
      <c r="J1990" s="2">
        <f>_xlfn.XLOOKUP(A1990,BAMLC0A4CBBB!A:A,BAMLC0A4CBBB!B:B,"",-1)</f>
        <v>1.2</v>
      </c>
      <c r="K1990" s="2">
        <f>_xlfn.XLOOKUP(A1990,CPIAUCSL!A:A,CPIAUCSL!B:B,"",-1)</f>
        <v>310.96699999999998</v>
      </c>
      <c r="L1990">
        <f>_xlfn.XLOOKUP(A1990,DFF!A:A,DFF!B:B,"",-1)</f>
        <v>5.33</v>
      </c>
      <c r="M1990">
        <f>_xlfn.XLOOKUP(A1990,'DGS2'!A:A,'DGS2'!B:B,"",-1)</f>
        <v>4.7</v>
      </c>
      <c r="N1990">
        <f t="shared" si="251"/>
        <v>9.9999999999997868E-3</v>
      </c>
      <c r="O1990">
        <f t="shared" si="252"/>
        <v>-1.6580743494716277E-3</v>
      </c>
      <c r="P1990">
        <f t="shared" si="253"/>
        <v>0</v>
      </c>
      <c r="Q1990">
        <f t="shared" si="254"/>
        <v>0</v>
      </c>
    </row>
    <row r="1991" spans="1:17">
      <c r="A1991" s="1">
        <v>45350</v>
      </c>
      <c r="B1991">
        <v>5069.76</v>
      </c>
      <c r="C1991">
        <f t="shared" si="248"/>
        <v>-1.6580743494716277E-3</v>
      </c>
      <c r="D1991">
        <f t="shared" si="255"/>
        <v>-3.7415500707436156E-3</v>
      </c>
      <c r="E1991">
        <f>_xlfn.XLOOKUP(A1991,VIX!A:A,VIX!B:B,"",-1)</f>
        <v>13.84</v>
      </c>
      <c r="F1991">
        <f t="shared" si="249"/>
        <v>0.41000000000000014</v>
      </c>
      <c r="G1991">
        <f>_xlfn.XLOOKUP(A1991,'DGS10'!A:A,'DGS10'!B:B,"",-1)</f>
        <v>4.2699999999999996</v>
      </c>
      <c r="H1991">
        <f t="shared" si="250"/>
        <v>-4.0000000000000036E-2</v>
      </c>
      <c r="I1991" s="2">
        <f>_xlfn.XLOOKUP(A1991,T10Y3M!A:A,T10Y3M!B:B,"",-1)</f>
        <v>-1.18</v>
      </c>
      <c r="J1991" s="2">
        <f>_xlfn.XLOOKUP(A1991,BAMLC0A4CBBB!A:A,BAMLC0A4CBBB!B:B,"",-1)</f>
        <v>1.22</v>
      </c>
      <c r="K1991" s="2">
        <f>_xlfn.XLOOKUP(A1991,CPIAUCSL!A:A,CPIAUCSL!B:B,"",-1)</f>
        <v>310.96699999999998</v>
      </c>
      <c r="L1991">
        <f>_xlfn.XLOOKUP(A1991,DFF!A:A,DFF!B:B,"",-1)</f>
        <v>5.33</v>
      </c>
      <c r="M1991">
        <f>_xlfn.XLOOKUP(A1991,'DGS2'!A:A,'DGS2'!B:B,"",-1)</f>
        <v>4.6399999999999997</v>
      </c>
      <c r="N1991">
        <f t="shared" si="251"/>
        <v>-6.0000000000000497E-2</v>
      </c>
      <c r="O1991">
        <f t="shared" si="252"/>
        <v>5.229044372909275E-3</v>
      </c>
      <c r="P1991">
        <f t="shared" si="253"/>
        <v>1</v>
      </c>
      <c r="Q1991">
        <f t="shared" si="254"/>
        <v>1</v>
      </c>
    </row>
    <row r="1992" spans="1:17">
      <c r="A1992" s="1">
        <v>45351</v>
      </c>
      <c r="B1992">
        <v>5096.2700000000004</v>
      </c>
      <c r="C1992">
        <f t="shared" si="248"/>
        <v>5.229044372909275E-3</v>
      </c>
      <c r="D1992">
        <f t="shared" si="255"/>
        <v>5.2746507072649607E-3</v>
      </c>
      <c r="E1992">
        <f>_xlfn.XLOOKUP(A1992,VIX!A:A,VIX!B:B,"",-1)</f>
        <v>13.4</v>
      </c>
      <c r="F1992">
        <f t="shared" si="249"/>
        <v>-0.4399999999999995</v>
      </c>
      <c r="G1992">
        <f>_xlfn.XLOOKUP(A1992,'DGS10'!A:A,'DGS10'!B:B,"",-1)</f>
        <v>4.25</v>
      </c>
      <c r="H1992">
        <f t="shared" si="250"/>
        <v>-1.9999999999999574E-2</v>
      </c>
      <c r="I1992" s="2">
        <f>_xlfn.XLOOKUP(A1992,T10Y3M!A:A,T10Y3M!B:B,"",-1)</f>
        <v>-1.2</v>
      </c>
      <c r="J1992" s="2">
        <f>_xlfn.XLOOKUP(A1992,BAMLC0A4CBBB!A:A,BAMLC0A4CBBB!B:B,"",-1)</f>
        <v>1.24</v>
      </c>
      <c r="K1992" s="2">
        <f>_xlfn.XLOOKUP(A1992,CPIAUCSL!A:A,CPIAUCSL!B:B,"",-1)</f>
        <v>310.96699999999998</v>
      </c>
      <c r="L1992">
        <f>_xlfn.XLOOKUP(A1992,DFF!A:A,DFF!B:B,"",-1)</f>
        <v>5.33</v>
      </c>
      <c r="M1992">
        <f>_xlfn.XLOOKUP(A1992,'DGS2'!A:A,'DGS2'!B:B,"",-1)</f>
        <v>4.6399999999999997</v>
      </c>
      <c r="N1992">
        <f t="shared" si="251"/>
        <v>0</v>
      </c>
      <c r="O1992">
        <f t="shared" si="252"/>
        <v>8.0078174821975878E-3</v>
      </c>
      <c r="P1992">
        <f t="shared" si="253"/>
        <v>1</v>
      </c>
      <c r="Q1992">
        <f t="shared" si="254"/>
        <v>1</v>
      </c>
    </row>
    <row r="1993" spans="1:17">
      <c r="A1993" s="1">
        <v>45352</v>
      </c>
      <c r="B1993">
        <v>5137.08</v>
      </c>
      <c r="C1993">
        <f t="shared" si="248"/>
        <v>8.0078174821975878E-3</v>
      </c>
      <c r="D1993">
        <f t="shared" si="255"/>
        <v>1.1598643608536907E-2</v>
      </c>
      <c r="E1993">
        <f>_xlfn.XLOOKUP(A1993,VIX!A:A,VIX!B:B,"",-1)</f>
        <v>13.11</v>
      </c>
      <c r="F1993">
        <f t="shared" si="249"/>
        <v>-0.29000000000000092</v>
      </c>
      <c r="G1993">
        <f>_xlfn.XLOOKUP(A1993,'DGS10'!A:A,'DGS10'!B:B,"",-1)</f>
        <v>4.1900000000000004</v>
      </c>
      <c r="H1993">
        <f t="shared" si="250"/>
        <v>-5.9999999999999609E-2</v>
      </c>
      <c r="I1993" s="2">
        <f>_xlfn.XLOOKUP(A1993,T10Y3M!A:A,T10Y3M!B:B,"",-1)</f>
        <v>-1.23</v>
      </c>
      <c r="J1993" s="2">
        <f>_xlfn.XLOOKUP(A1993,BAMLC0A4CBBB!A:A,BAMLC0A4CBBB!B:B,"",-1)</f>
        <v>1.25</v>
      </c>
      <c r="K1993" s="2">
        <f>_xlfn.XLOOKUP(A1993,CPIAUCSL!A:A,CPIAUCSL!B:B,"",-1)</f>
        <v>312.34500000000003</v>
      </c>
      <c r="L1993">
        <f>_xlfn.XLOOKUP(A1993,DFF!A:A,DFF!B:B,"",-1)</f>
        <v>5.33</v>
      </c>
      <c r="M1993">
        <f>_xlfn.XLOOKUP(A1993,'DGS2'!A:A,'DGS2'!B:B,"",-1)</f>
        <v>4.54</v>
      </c>
      <c r="N1993">
        <f t="shared" si="251"/>
        <v>-9.9999999999999645E-2</v>
      </c>
      <c r="O1993">
        <f t="shared" si="252"/>
        <v>-1.1932849011501157E-3</v>
      </c>
      <c r="P1993">
        <f t="shared" si="253"/>
        <v>0</v>
      </c>
      <c r="Q1993">
        <f t="shared" si="254"/>
        <v>0</v>
      </c>
    </row>
    <row r="1994" spans="1:17">
      <c r="A1994" s="1">
        <v>45355</v>
      </c>
      <c r="B1994">
        <v>5130.95</v>
      </c>
      <c r="C1994">
        <f t="shared" si="248"/>
        <v>-1.1932849011501157E-3</v>
      </c>
      <c r="D1994">
        <f t="shared" si="255"/>
        <v>1.2069604872814388E-2</v>
      </c>
      <c r="E1994">
        <f>_xlfn.XLOOKUP(A1994,VIX!A:A,VIX!B:B,"",-1)</f>
        <v>13.49</v>
      </c>
      <c r="F1994">
        <f t="shared" si="249"/>
        <v>0.38000000000000078</v>
      </c>
      <c r="G1994">
        <f>_xlfn.XLOOKUP(A1994,'DGS10'!A:A,'DGS10'!B:B,"",-1)</f>
        <v>4.22</v>
      </c>
      <c r="H1994">
        <f t="shared" si="250"/>
        <v>2.9999999999999361E-2</v>
      </c>
      <c r="I1994" s="2">
        <f>_xlfn.XLOOKUP(A1994,T10Y3M!A:A,T10Y3M!B:B,"",-1)</f>
        <v>-1.26</v>
      </c>
      <c r="J1994" s="2">
        <f>_xlfn.XLOOKUP(A1994,BAMLC0A4CBBB!A:A,BAMLC0A4CBBB!B:B,"",-1)</f>
        <v>1.24</v>
      </c>
      <c r="K1994" s="2">
        <f>_xlfn.XLOOKUP(A1994,CPIAUCSL!A:A,CPIAUCSL!B:B,"",-1)</f>
        <v>312.34500000000003</v>
      </c>
      <c r="L1994">
        <f>_xlfn.XLOOKUP(A1994,DFF!A:A,DFF!B:B,"",-1)</f>
        <v>5.33</v>
      </c>
      <c r="M1994">
        <f>_xlfn.XLOOKUP(A1994,'DGS2'!A:A,'DGS2'!B:B,"",-1)</f>
        <v>4.6100000000000003</v>
      </c>
      <c r="N1994">
        <f t="shared" si="251"/>
        <v>7.0000000000000284E-2</v>
      </c>
      <c r="O1994">
        <f t="shared" si="252"/>
        <v>-1.0193044173106403E-2</v>
      </c>
      <c r="P1994">
        <f t="shared" si="253"/>
        <v>0</v>
      </c>
      <c r="Q1994">
        <f t="shared" si="254"/>
        <v>-1</v>
      </c>
    </row>
    <row r="1995" spans="1:17">
      <c r="A1995" s="1">
        <v>45356</v>
      </c>
      <c r="B1995">
        <v>5078.6499999999996</v>
      </c>
      <c r="C1995">
        <f t="shared" si="248"/>
        <v>-1.0193044173106403E-2</v>
      </c>
      <c r="D1995">
        <f t="shared" si="255"/>
        <v>-3.4574306306378588E-3</v>
      </c>
      <c r="E1995">
        <f>_xlfn.XLOOKUP(A1995,VIX!A:A,VIX!B:B,"",-1)</f>
        <v>14.46</v>
      </c>
      <c r="F1995">
        <f t="shared" si="249"/>
        <v>0.97000000000000064</v>
      </c>
      <c r="G1995">
        <f>_xlfn.XLOOKUP(A1995,'DGS10'!A:A,'DGS10'!B:B,"",-1)</f>
        <v>4.13</v>
      </c>
      <c r="H1995">
        <f t="shared" si="250"/>
        <v>-8.9999999999999858E-2</v>
      </c>
      <c r="I1995" s="2">
        <f>_xlfn.XLOOKUP(A1995,T10Y3M!A:A,T10Y3M!B:B,"",-1)</f>
        <v>-1.34</v>
      </c>
      <c r="J1995" s="2">
        <f>_xlfn.XLOOKUP(A1995,BAMLC0A4CBBB!A:A,BAMLC0A4CBBB!B:B,"",-1)</f>
        <v>1.25</v>
      </c>
      <c r="K1995" s="2">
        <f>_xlfn.XLOOKUP(A1995,CPIAUCSL!A:A,CPIAUCSL!B:B,"",-1)</f>
        <v>312.34500000000003</v>
      </c>
      <c r="L1995">
        <f>_xlfn.XLOOKUP(A1995,DFF!A:A,DFF!B:B,"",-1)</f>
        <v>5.33</v>
      </c>
      <c r="M1995">
        <f>_xlfn.XLOOKUP(A1995,'DGS2'!A:A,'DGS2'!B:B,"",-1)</f>
        <v>4.54</v>
      </c>
      <c r="N1995">
        <f t="shared" si="251"/>
        <v>-7.0000000000000284E-2</v>
      </c>
      <c r="O1995">
        <f t="shared" si="252"/>
        <v>5.1411300247115044E-3</v>
      </c>
      <c r="P1995">
        <f t="shared" si="253"/>
        <v>1</v>
      </c>
      <c r="Q1995">
        <f t="shared" si="254"/>
        <v>1</v>
      </c>
    </row>
    <row r="1996" spans="1:17">
      <c r="A1996" s="1">
        <v>45357</v>
      </c>
      <c r="B1996">
        <v>5104.76</v>
      </c>
      <c r="C1996">
        <f t="shared" si="248"/>
        <v>5.1411300247115044E-3</v>
      </c>
      <c r="D1996">
        <f t="shared" si="255"/>
        <v>-6.2915119094894001E-3</v>
      </c>
      <c r="E1996">
        <f>_xlfn.XLOOKUP(A1996,VIX!A:A,VIX!B:B,"",-1)</f>
        <v>14.5</v>
      </c>
      <c r="F1996">
        <f t="shared" si="249"/>
        <v>3.9999999999999147E-2</v>
      </c>
      <c r="G1996">
        <f>_xlfn.XLOOKUP(A1996,'DGS10'!A:A,'DGS10'!B:B,"",-1)</f>
        <v>4.1100000000000003</v>
      </c>
      <c r="H1996">
        <f t="shared" si="250"/>
        <v>-1.9999999999999574E-2</v>
      </c>
      <c r="I1996" s="2">
        <f>_xlfn.XLOOKUP(A1996,T10Y3M!A:A,T10Y3M!B:B,"",-1)</f>
        <v>-1.36</v>
      </c>
      <c r="J1996" s="2">
        <f>_xlfn.XLOOKUP(A1996,BAMLC0A4CBBB!A:A,BAMLC0A4CBBB!B:B,"",-1)</f>
        <v>1.25</v>
      </c>
      <c r="K1996" s="2">
        <f>_xlfn.XLOOKUP(A1996,CPIAUCSL!A:A,CPIAUCSL!B:B,"",-1)</f>
        <v>312.34500000000003</v>
      </c>
      <c r="L1996">
        <f>_xlfn.XLOOKUP(A1996,DFF!A:A,DFF!B:B,"",-1)</f>
        <v>5.33</v>
      </c>
      <c r="M1996">
        <f>_xlfn.XLOOKUP(A1996,'DGS2'!A:A,'DGS2'!B:B,"",-1)</f>
        <v>4.55</v>
      </c>
      <c r="N1996">
        <f t="shared" si="251"/>
        <v>9.9999999999997868E-3</v>
      </c>
      <c r="O1996">
        <f t="shared" si="252"/>
        <v>1.0304108322428451E-2</v>
      </c>
      <c r="P1996">
        <f t="shared" si="253"/>
        <v>1</v>
      </c>
      <c r="Q1996">
        <f t="shared" si="254"/>
        <v>1</v>
      </c>
    </row>
    <row r="1997" spans="1:17">
      <c r="A1997" s="1">
        <v>45358</v>
      </c>
      <c r="B1997">
        <v>5157.3599999999997</v>
      </c>
      <c r="C1997">
        <f t="shared" si="248"/>
        <v>1.0304108322428451E-2</v>
      </c>
      <c r="D1997">
        <f t="shared" si="255"/>
        <v>5.147194963895485E-3</v>
      </c>
      <c r="E1997">
        <f>_xlfn.XLOOKUP(A1997,VIX!A:A,VIX!B:B,"",-1)</f>
        <v>14.44</v>
      </c>
      <c r="F1997">
        <f t="shared" si="249"/>
        <v>-6.0000000000000497E-2</v>
      </c>
      <c r="G1997">
        <f>_xlfn.XLOOKUP(A1997,'DGS10'!A:A,'DGS10'!B:B,"",-1)</f>
        <v>4.09</v>
      </c>
      <c r="H1997">
        <f t="shared" si="250"/>
        <v>-2.0000000000000462E-2</v>
      </c>
      <c r="I1997" s="2">
        <f>_xlfn.XLOOKUP(A1997,T10Y3M!A:A,T10Y3M!B:B,"",-1)</f>
        <v>-1.38</v>
      </c>
      <c r="J1997" s="2">
        <f>_xlfn.XLOOKUP(A1997,BAMLC0A4CBBB!A:A,BAMLC0A4CBBB!B:B,"",-1)</f>
        <v>1.24</v>
      </c>
      <c r="K1997" s="2">
        <f>_xlfn.XLOOKUP(A1997,CPIAUCSL!A:A,CPIAUCSL!B:B,"",-1)</f>
        <v>312.34500000000003</v>
      </c>
      <c r="L1997">
        <f>_xlfn.XLOOKUP(A1997,DFF!A:A,DFF!B:B,"",-1)</f>
        <v>5.33</v>
      </c>
      <c r="M1997">
        <f>_xlfn.XLOOKUP(A1997,'DGS2'!A:A,'DGS2'!B:B,"",-1)</f>
        <v>4.5</v>
      </c>
      <c r="N1997">
        <f t="shared" si="251"/>
        <v>-4.9999999999999822E-2</v>
      </c>
      <c r="O1997">
        <f t="shared" si="252"/>
        <v>-6.5285339786247398E-3</v>
      </c>
      <c r="P1997">
        <f t="shared" si="253"/>
        <v>0</v>
      </c>
      <c r="Q1997">
        <f t="shared" si="254"/>
        <v>-1</v>
      </c>
    </row>
    <row r="1998" spans="1:17">
      <c r="A1998" s="1">
        <v>45359</v>
      </c>
      <c r="B1998">
        <v>5123.6899999999996</v>
      </c>
      <c r="C1998">
        <f t="shared" si="248"/>
        <v>-6.5285339786247398E-3</v>
      </c>
      <c r="D1998">
        <f t="shared" si="255"/>
        <v>8.8684985183069553E-3</v>
      </c>
      <c r="E1998">
        <f>_xlfn.XLOOKUP(A1998,VIX!A:A,VIX!B:B,"",-1)</f>
        <v>14.74</v>
      </c>
      <c r="F1998">
        <f t="shared" si="249"/>
        <v>0.30000000000000071</v>
      </c>
      <c r="G1998">
        <f>_xlfn.XLOOKUP(A1998,'DGS10'!A:A,'DGS10'!B:B,"",-1)</f>
        <v>4.09</v>
      </c>
      <c r="H1998">
        <f t="shared" si="250"/>
        <v>0</v>
      </c>
      <c r="I1998" s="2">
        <f>_xlfn.XLOOKUP(A1998,T10Y3M!A:A,T10Y3M!B:B,"",-1)</f>
        <v>-1.37</v>
      </c>
      <c r="J1998" s="2">
        <f>_xlfn.XLOOKUP(A1998,BAMLC0A4CBBB!A:A,BAMLC0A4CBBB!B:B,"",-1)</f>
        <v>1.23</v>
      </c>
      <c r="K1998" s="2">
        <f>_xlfn.XLOOKUP(A1998,CPIAUCSL!A:A,CPIAUCSL!B:B,"",-1)</f>
        <v>312.34500000000003</v>
      </c>
      <c r="L1998">
        <f>_xlfn.XLOOKUP(A1998,DFF!A:A,DFF!B:B,"",-1)</f>
        <v>5.33</v>
      </c>
      <c r="M1998">
        <f>_xlfn.XLOOKUP(A1998,'DGS2'!A:A,'DGS2'!B:B,"",-1)</f>
        <v>4.4800000000000004</v>
      </c>
      <c r="N1998">
        <f t="shared" si="251"/>
        <v>-1.9999999999999574E-2</v>
      </c>
      <c r="O1998">
        <f t="shared" si="252"/>
        <v>-1.1222380745127269E-3</v>
      </c>
      <c r="P1998">
        <f t="shared" si="253"/>
        <v>0</v>
      </c>
      <c r="Q1998">
        <f t="shared" si="254"/>
        <v>0</v>
      </c>
    </row>
    <row r="1999" spans="1:17">
      <c r="A1999" s="1">
        <v>45362</v>
      </c>
      <c r="B1999">
        <v>5117.9399999999996</v>
      </c>
      <c r="C1999">
        <f t="shared" si="248"/>
        <v>-1.1222380745127269E-3</v>
      </c>
      <c r="D1999">
        <f t="shared" si="255"/>
        <v>2.5819039484715756E-3</v>
      </c>
      <c r="E1999">
        <f>_xlfn.XLOOKUP(A1999,VIX!A:A,VIX!B:B,"",-1)</f>
        <v>15.22</v>
      </c>
      <c r="F1999">
        <f t="shared" si="249"/>
        <v>0.48000000000000043</v>
      </c>
      <c r="G1999">
        <f>_xlfn.XLOOKUP(A1999,'DGS10'!A:A,'DGS10'!B:B,"",-1)</f>
        <v>4.0999999999999996</v>
      </c>
      <c r="H1999">
        <f t="shared" si="250"/>
        <v>9.9999999999997868E-3</v>
      </c>
      <c r="I1999" s="2">
        <f>_xlfn.XLOOKUP(A1999,T10Y3M!A:A,T10Y3M!B:B,"",-1)</f>
        <v>-1.38</v>
      </c>
      <c r="J1999" s="2">
        <f>_xlfn.XLOOKUP(A1999,BAMLC0A4CBBB!A:A,BAMLC0A4CBBB!B:B,"",-1)</f>
        <v>1.23</v>
      </c>
      <c r="K1999" s="2">
        <f>_xlfn.XLOOKUP(A1999,CPIAUCSL!A:A,CPIAUCSL!B:B,"",-1)</f>
        <v>312.34500000000003</v>
      </c>
      <c r="L1999">
        <f>_xlfn.XLOOKUP(A1999,DFF!A:A,DFF!B:B,"",-1)</f>
        <v>5.33</v>
      </c>
      <c r="M1999">
        <f>_xlfn.XLOOKUP(A1999,'DGS2'!A:A,'DGS2'!B:B,"",-1)</f>
        <v>4.51</v>
      </c>
      <c r="N1999">
        <f t="shared" si="251"/>
        <v>2.9999999999999361E-2</v>
      </c>
      <c r="O1999">
        <f t="shared" si="252"/>
        <v>1.1201772588189884E-2</v>
      </c>
      <c r="P1999">
        <f t="shared" si="253"/>
        <v>1</v>
      </c>
      <c r="Q1999">
        <f t="shared" si="254"/>
        <v>1</v>
      </c>
    </row>
    <row r="2000" spans="1:17">
      <c r="A2000" s="1">
        <v>45363</v>
      </c>
      <c r="B2000">
        <v>5175.2700000000004</v>
      </c>
      <c r="C2000">
        <f t="shared" si="248"/>
        <v>1.1201772588189884E-2</v>
      </c>
      <c r="D2000">
        <f t="shared" si="255"/>
        <v>3.4727069663549326E-3</v>
      </c>
      <c r="E2000">
        <f>_xlfn.XLOOKUP(A2000,VIX!A:A,VIX!B:B,"",-1)</f>
        <v>13.84</v>
      </c>
      <c r="F2000">
        <f t="shared" si="249"/>
        <v>-1.3800000000000008</v>
      </c>
      <c r="G2000">
        <f>_xlfn.XLOOKUP(A2000,'DGS10'!A:A,'DGS10'!B:B,"",-1)</f>
        <v>4.16</v>
      </c>
      <c r="H2000">
        <f t="shared" si="250"/>
        <v>6.0000000000000497E-2</v>
      </c>
      <c r="I2000" s="2">
        <f>_xlfn.XLOOKUP(A2000,T10Y3M!A:A,T10Y3M!B:B,"",-1)</f>
        <v>-1.32</v>
      </c>
      <c r="J2000" s="2">
        <f>_xlfn.XLOOKUP(A2000,BAMLC0A4CBBB!A:A,BAMLC0A4CBBB!B:B,"",-1)</f>
        <v>1.21</v>
      </c>
      <c r="K2000" s="2">
        <f>_xlfn.XLOOKUP(A2000,CPIAUCSL!A:A,CPIAUCSL!B:B,"",-1)</f>
        <v>312.34500000000003</v>
      </c>
      <c r="L2000">
        <f>_xlfn.XLOOKUP(A2000,DFF!A:A,DFF!B:B,"",-1)</f>
        <v>5.33</v>
      </c>
      <c r="M2000">
        <f>_xlfn.XLOOKUP(A2000,'DGS2'!A:A,'DGS2'!B:B,"",-1)</f>
        <v>4.58</v>
      </c>
      <c r="N2000">
        <f t="shared" si="251"/>
        <v>7.0000000000000284E-2</v>
      </c>
      <c r="O2000">
        <f t="shared" si="252"/>
        <v>-1.9245372705192221E-3</v>
      </c>
      <c r="P2000">
        <f t="shared" si="253"/>
        <v>0</v>
      </c>
      <c r="Q2000">
        <f t="shared" si="254"/>
        <v>0</v>
      </c>
    </row>
    <row r="2001" spans="1:17">
      <c r="A2001" s="1">
        <v>45364</v>
      </c>
      <c r="B2001">
        <v>5165.3100000000004</v>
      </c>
      <c r="C2001">
        <f t="shared" si="248"/>
        <v>-1.9245372705192221E-3</v>
      </c>
      <c r="D2001">
        <f t="shared" si="255"/>
        <v>8.1230519410817603E-3</v>
      </c>
      <c r="E2001">
        <f>_xlfn.XLOOKUP(A2001,VIX!A:A,VIX!B:B,"",-1)</f>
        <v>13.75</v>
      </c>
      <c r="F2001">
        <f t="shared" si="249"/>
        <v>-8.9999999999999858E-2</v>
      </c>
      <c r="G2001">
        <f>_xlfn.XLOOKUP(A2001,'DGS10'!A:A,'DGS10'!B:B,"",-1)</f>
        <v>4.1900000000000004</v>
      </c>
      <c r="H2001">
        <f t="shared" si="250"/>
        <v>3.0000000000000249E-2</v>
      </c>
      <c r="I2001" s="2">
        <f>_xlfn.XLOOKUP(A2001,T10Y3M!A:A,T10Y3M!B:B,"",-1)</f>
        <v>-1.29</v>
      </c>
      <c r="J2001" s="2">
        <f>_xlfn.XLOOKUP(A2001,BAMLC0A4CBBB!A:A,BAMLC0A4CBBB!B:B,"",-1)</f>
        <v>1.19</v>
      </c>
      <c r="K2001" s="2">
        <f>_xlfn.XLOOKUP(A2001,CPIAUCSL!A:A,CPIAUCSL!B:B,"",-1)</f>
        <v>312.34500000000003</v>
      </c>
      <c r="L2001">
        <f>_xlfn.XLOOKUP(A2001,DFF!A:A,DFF!B:B,"",-1)</f>
        <v>5.33</v>
      </c>
      <c r="M2001">
        <f>_xlfn.XLOOKUP(A2001,'DGS2'!A:A,'DGS2'!B:B,"",-1)</f>
        <v>4.6100000000000003</v>
      </c>
      <c r="N2001">
        <f t="shared" si="251"/>
        <v>3.0000000000000249E-2</v>
      </c>
      <c r="O2001">
        <f t="shared" si="252"/>
        <v>-2.871076469757039E-3</v>
      </c>
      <c r="P2001">
        <f t="shared" si="253"/>
        <v>0</v>
      </c>
      <c r="Q2001">
        <f t="shared" si="254"/>
        <v>0</v>
      </c>
    </row>
    <row r="2002" spans="1:17">
      <c r="A2002" s="1">
        <v>45365</v>
      </c>
      <c r="B2002">
        <v>5150.4799999999996</v>
      </c>
      <c r="C2002">
        <f t="shared" si="248"/>
        <v>-2.871076469757039E-3</v>
      </c>
      <c r="D2002">
        <f t="shared" si="255"/>
        <v>6.3580268623704139E-3</v>
      </c>
      <c r="E2002">
        <f>_xlfn.XLOOKUP(A2002,VIX!A:A,VIX!B:B,"",-1)</f>
        <v>14.4</v>
      </c>
      <c r="F2002">
        <f t="shared" si="249"/>
        <v>0.65000000000000036</v>
      </c>
      <c r="G2002">
        <f>_xlfn.XLOOKUP(A2002,'DGS10'!A:A,'DGS10'!B:B,"",-1)</f>
        <v>4.29</v>
      </c>
      <c r="H2002">
        <f t="shared" si="250"/>
        <v>9.9999999999999645E-2</v>
      </c>
      <c r="I2002" s="2">
        <f>_xlfn.XLOOKUP(A2002,T10Y3M!A:A,T10Y3M!B:B,"",-1)</f>
        <v>-1.19</v>
      </c>
      <c r="J2002" s="2">
        <f>_xlfn.XLOOKUP(A2002,BAMLC0A4CBBB!A:A,BAMLC0A4CBBB!B:B,"",-1)</f>
        <v>1.17</v>
      </c>
      <c r="K2002" s="2">
        <f>_xlfn.XLOOKUP(A2002,CPIAUCSL!A:A,CPIAUCSL!B:B,"",-1)</f>
        <v>312.34500000000003</v>
      </c>
      <c r="L2002">
        <f>_xlfn.XLOOKUP(A2002,DFF!A:A,DFF!B:B,"",-1)</f>
        <v>5.33</v>
      </c>
      <c r="M2002">
        <f>_xlfn.XLOOKUP(A2002,'DGS2'!A:A,'DGS2'!B:B,"",-1)</f>
        <v>4.68</v>
      </c>
      <c r="N2002">
        <f t="shared" si="251"/>
        <v>6.9999999999999396E-2</v>
      </c>
      <c r="O2002">
        <f t="shared" si="252"/>
        <v>-6.4828909150214109E-3</v>
      </c>
      <c r="P2002">
        <f t="shared" si="253"/>
        <v>0</v>
      </c>
      <c r="Q2002">
        <f t="shared" si="254"/>
        <v>-1</v>
      </c>
    </row>
    <row r="2003" spans="1:17">
      <c r="A2003" s="1">
        <v>45366</v>
      </c>
      <c r="B2003">
        <v>5117.09</v>
      </c>
      <c r="C2003">
        <f t="shared" si="248"/>
        <v>-6.4828909150214109E-3</v>
      </c>
      <c r="D2003">
        <f t="shared" si="255"/>
        <v>-1.1241925542049058E-2</v>
      </c>
      <c r="E2003">
        <f>_xlfn.XLOOKUP(A2003,VIX!A:A,VIX!B:B,"",-1)</f>
        <v>14.41</v>
      </c>
      <c r="F2003">
        <f t="shared" si="249"/>
        <v>9.9999999999997868E-3</v>
      </c>
      <c r="G2003">
        <f>_xlfn.XLOOKUP(A2003,'DGS10'!A:A,'DGS10'!B:B,"",-1)</f>
        <v>4.3099999999999996</v>
      </c>
      <c r="H2003">
        <f t="shared" si="250"/>
        <v>1.9999999999999574E-2</v>
      </c>
      <c r="I2003" s="2">
        <f>_xlfn.XLOOKUP(A2003,T10Y3M!A:A,T10Y3M!B:B,"",-1)</f>
        <v>-1.17</v>
      </c>
      <c r="J2003" s="2">
        <f>_xlfn.XLOOKUP(A2003,BAMLC0A4CBBB!A:A,BAMLC0A4CBBB!B:B,"",-1)</f>
        <v>1.17</v>
      </c>
      <c r="K2003" s="2">
        <f>_xlfn.XLOOKUP(A2003,CPIAUCSL!A:A,CPIAUCSL!B:B,"",-1)</f>
        <v>312.34500000000003</v>
      </c>
      <c r="L2003">
        <f>_xlfn.XLOOKUP(A2003,DFF!A:A,DFF!B:B,"",-1)</f>
        <v>5.33</v>
      </c>
      <c r="M2003">
        <f>_xlfn.XLOOKUP(A2003,'DGS2'!A:A,'DGS2'!B:B,"",-1)</f>
        <v>4.72</v>
      </c>
      <c r="N2003">
        <f t="shared" si="251"/>
        <v>4.0000000000000036E-2</v>
      </c>
      <c r="O2003">
        <f t="shared" si="252"/>
        <v>6.3180440445644859E-3</v>
      </c>
      <c r="P2003">
        <f t="shared" si="253"/>
        <v>1</v>
      </c>
      <c r="Q2003">
        <f t="shared" si="254"/>
        <v>1</v>
      </c>
    </row>
    <row r="2004" spans="1:17">
      <c r="A2004" s="1">
        <v>45369</v>
      </c>
      <c r="B2004">
        <v>5149.42</v>
      </c>
      <c r="C2004">
        <f t="shared" si="248"/>
        <v>6.3180440445644859E-3</v>
      </c>
      <c r="D2004">
        <f t="shared" si="255"/>
        <v>-3.0762916456128497E-3</v>
      </c>
      <c r="E2004">
        <f>_xlfn.XLOOKUP(A2004,VIX!A:A,VIX!B:B,"",-1)</f>
        <v>14.33</v>
      </c>
      <c r="F2004">
        <f t="shared" si="249"/>
        <v>-8.0000000000000071E-2</v>
      </c>
      <c r="G2004">
        <f>_xlfn.XLOOKUP(A2004,'DGS10'!A:A,'DGS10'!B:B,"",-1)</f>
        <v>4.34</v>
      </c>
      <c r="H2004">
        <f t="shared" si="250"/>
        <v>3.0000000000000249E-2</v>
      </c>
      <c r="I2004" s="2">
        <f>_xlfn.XLOOKUP(A2004,T10Y3M!A:A,T10Y3M!B:B,"",-1)</f>
        <v>-1.1399999999999999</v>
      </c>
      <c r="J2004" s="2">
        <f>_xlfn.XLOOKUP(A2004,BAMLC0A4CBBB!A:A,BAMLC0A4CBBB!B:B,"",-1)</f>
        <v>1.1499999999999999</v>
      </c>
      <c r="K2004" s="2">
        <f>_xlfn.XLOOKUP(A2004,CPIAUCSL!A:A,CPIAUCSL!B:B,"",-1)</f>
        <v>312.34500000000003</v>
      </c>
      <c r="L2004">
        <f>_xlfn.XLOOKUP(A2004,DFF!A:A,DFF!B:B,"",-1)</f>
        <v>5.33</v>
      </c>
      <c r="M2004">
        <f>_xlfn.XLOOKUP(A2004,'DGS2'!A:A,'DGS2'!B:B,"",-1)</f>
        <v>4.7300000000000004</v>
      </c>
      <c r="N2004">
        <f t="shared" si="251"/>
        <v>1.0000000000000675E-2</v>
      </c>
      <c r="O2004">
        <f t="shared" si="252"/>
        <v>5.6491799076401339E-3</v>
      </c>
      <c r="P2004">
        <f t="shared" si="253"/>
        <v>1</v>
      </c>
      <c r="Q2004">
        <f t="shared" si="254"/>
        <v>1</v>
      </c>
    </row>
    <row r="2005" spans="1:17">
      <c r="A2005" s="1">
        <v>45370</v>
      </c>
      <c r="B2005">
        <v>5178.51</v>
      </c>
      <c r="C2005">
        <f t="shared" si="248"/>
        <v>5.6491799076401339E-3</v>
      </c>
      <c r="D2005">
        <f t="shared" si="255"/>
        <v>5.4422112113823307E-3</v>
      </c>
      <c r="E2005">
        <f>_xlfn.XLOOKUP(A2005,VIX!A:A,VIX!B:B,"",-1)</f>
        <v>13.82</v>
      </c>
      <c r="F2005">
        <f t="shared" si="249"/>
        <v>-0.50999999999999979</v>
      </c>
      <c r="G2005">
        <f>_xlfn.XLOOKUP(A2005,'DGS10'!A:A,'DGS10'!B:B,"",-1)</f>
        <v>4.3</v>
      </c>
      <c r="H2005">
        <f t="shared" si="250"/>
        <v>-4.0000000000000036E-2</v>
      </c>
      <c r="I2005" s="2">
        <f>_xlfn.XLOOKUP(A2005,T10Y3M!A:A,T10Y3M!B:B,"",-1)</f>
        <v>-1.18</v>
      </c>
      <c r="J2005" s="2">
        <f>_xlfn.XLOOKUP(A2005,BAMLC0A4CBBB!A:A,BAMLC0A4CBBB!B:B,"",-1)</f>
        <v>1.1499999999999999</v>
      </c>
      <c r="K2005" s="2">
        <f>_xlfn.XLOOKUP(A2005,CPIAUCSL!A:A,CPIAUCSL!B:B,"",-1)</f>
        <v>312.34500000000003</v>
      </c>
      <c r="L2005">
        <f>_xlfn.XLOOKUP(A2005,DFF!A:A,DFF!B:B,"",-1)</f>
        <v>5.33</v>
      </c>
      <c r="M2005">
        <f>_xlfn.XLOOKUP(A2005,'DGS2'!A:A,'DGS2'!B:B,"",-1)</f>
        <v>4.68</v>
      </c>
      <c r="N2005">
        <f t="shared" si="251"/>
        <v>-5.0000000000000711E-2</v>
      </c>
      <c r="O2005">
        <f t="shared" si="252"/>
        <v>8.9041056211149883E-3</v>
      </c>
      <c r="P2005">
        <f t="shared" si="253"/>
        <v>1</v>
      </c>
      <c r="Q2005">
        <f t="shared" si="254"/>
        <v>1</v>
      </c>
    </row>
    <row r="2006" spans="1:17">
      <c r="A2006" s="1">
        <v>45371</v>
      </c>
      <c r="B2006">
        <v>5224.62</v>
      </c>
      <c r="C2006">
        <f t="shared" si="248"/>
        <v>8.9041056211149883E-3</v>
      </c>
      <c r="D2006">
        <f t="shared" si="255"/>
        <v>2.101389657012076E-2</v>
      </c>
      <c r="E2006">
        <f>_xlfn.XLOOKUP(A2006,VIX!A:A,VIX!B:B,"",-1)</f>
        <v>13.04</v>
      </c>
      <c r="F2006">
        <f t="shared" si="249"/>
        <v>-0.78000000000000114</v>
      </c>
      <c r="G2006">
        <f>_xlfn.XLOOKUP(A2006,'DGS10'!A:A,'DGS10'!B:B,"",-1)</f>
        <v>4.2699999999999996</v>
      </c>
      <c r="H2006">
        <f t="shared" si="250"/>
        <v>-3.0000000000000249E-2</v>
      </c>
      <c r="I2006" s="2">
        <f>_xlfn.XLOOKUP(A2006,T10Y3M!A:A,T10Y3M!B:B,"",-1)</f>
        <v>-1.2</v>
      </c>
      <c r="J2006" s="2">
        <f>_xlfn.XLOOKUP(A2006,BAMLC0A4CBBB!A:A,BAMLC0A4CBBB!B:B,"",-1)</f>
        <v>1.1599999999999999</v>
      </c>
      <c r="K2006" s="2">
        <f>_xlfn.XLOOKUP(A2006,CPIAUCSL!A:A,CPIAUCSL!B:B,"",-1)</f>
        <v>312.34500000000003</v>
      </c>
      <c r="L2006">
        <f>_xlfn.XLOOKUP(A2006,DFF!A:A,DFF!B:B,"",-1)</f>
        <v>5.33</v>
      </c>
      <c r="M2006">
        <f>_xlfn.XLOOKUP(A2006,'DGS2'!A:A,'DGS2'!B:B,"",-1)</f>
        <v>4.59</v>
      </c>
      <c r="N2006">
        <f t="shared" si="251"/>
        <v>-8.9999999999999858E-2</v>
      </c>
      <c r="O2006">
        <f t="shared" si="252"/>
        <v>3.2365990253835353E-3</v>
      </c>
      <c r="P2006">
        <f t="shared" si="253"/>
        <v>1</v>
      </c>
      <c r="Q2006">
        <f t="shared" si="254"/>
        <v>1</v>
      </c>
    </row>
    <row r="2007" spans="1:17">
      <c r="A2007" s="1">
        <v>45372</v>
      </c>
      <c r="B2007">
        <v>5241.53</v>
      </c>
      <c r="C2007">
        <f t="shared" si="248"/>
        <v>3.2365990253835353E-3</v>
      </c>
      <c r="D2007">
        <f t="shared" si="255"/>
        <v>1.7887451402293753E-2</v>
      </c>
      <c r="E2007">
        <f>_xlfn.XLOOKUP(A2007,VIX!A:A,VIX!B:B,"",-1)</f>
        <v>12.92</v>
      </c>
      <c r="F2007">
        <f t="shared" si="249"/>
        <v>-0.11999999999999922</v>
      </c>
      <c r="G2007">
        <f>_xlfn.XLOOKUP(A2007,'DGS10'!A:A,'DGS10'!B:B,"",-1)</f>
        <v>4.2699999999999996</v>
      </c>
      <c r="H2007">
        <f t="shared" si="250"/>
        <v>0</v>
      </c>
      <c r="I2007" s="2">
        <f>_xlfn.XLOOKUP(A2007,T10Y3M!A:A,T10Y3M!B:B,"",-1)</f>
        <v>-1.21</v>
      </c>
      <c r="J2007" s="2">
        <f>_xlfn.XLOOKUP(A2007,BAMLC0A4CBBB!A:A,BAMLC0A4CBBB!B:B,"",-1)</f>
        <v>1.1399999999999999</v>
      </c>
      <c r="K2007" s="2">
        <f>_xlfn.XLOOKUP(A2007,CPIAUCSL!A:A,CPIAUCSL!B:B,"",-1)</f>
        <v>312.34500000000003</v>
      </c>
      <c r="L2007">
        <f>_xlfn.XLOOKUP(A2007,DFF!A:A,DFF!B:B,"",-1)</f>
        <v>5.33</v>
      </c>
      <c r="M2007">
        <f>_xlfn.XLOOKUP(A2007,'DGS2'!A:A,'DGS2'!B:B,"",-1)</f>
        <v>4.62</v>
      </c>
      <c r="N2007">
        <f t="shared" si="251"/>
        <v>3.0000000000000249E-2</v>
      </c>
      <c r="O2007">
        <f t="shared" si="252"/>
        <v>-1.4022623165372838E-3</v>
      </c>
      <c r="P2007">
        <f t="shared" si="253"/>
        <v>0</v>
      </c>
      <c r="Q2007">
        <f t="shared" si="254"/>
        <v>0</v>
      </c>
    </row>
    <row r="2008" spans="1:17">
      <c r="A2008" s="1">
        <v>45373</v>
      </c>
      <c r="B2008">
        <v>5234.18</v>
      </c>
      <c r="C2008">
        <f t="shared" si="248"/>
        <v>-1.4022623165372838E-3</v>
      </c>
      <c r="D2008">
        <f t="shared" si="255"/>
        <v>1.0750196485089347E-2</v>
      </c>
      <c r="E2008">
        <f>_xlfn.XLOOKUP(A2008,VIX!A:A,VIX!B:B,"",-1)</f>
        <v>13.06</v>
      </c>
      <c r="F2008">
        <f t="shared" si="249"/>
        <v>0.14000000000000057</v>
      </c>
      <c r="G2008">
        <f>_xlfn.XLOOKUP(A2008,'DGS10'!A:A,'DGS10'!B:B,"",-1)</f>
        <v>4.22</v>
      </c>
      <c r="H2008">
        <f t="shared" si="250"/>
        <v>-4.9999999999999822E-2</v>
      </c>
      <c r="I2008" s="2">
        <f>_xlfn.XLOOKUP(A2008,T10Y3M!A:A,T10Y3M!B:B,"",-1)</f>
        <v>-1.24</v>
      </c>
      <c r="J2008" s="2">
        <f>_xlfn.XLOOKUP(A2008,BAMLC0A4CBBB!A:A,BAMLC0A4CBBB!B:B,"",-1)</f>
        <v>1.1499999999999999</v>
      </c>
      <c r="K2008" s="2">
        <f>_xlfn.XLOOKUP(A2008,CPIAUCSL!A:A,CPIAUCSL!B:B,"",-1)</f>
        <v>312.34500000000003</v>
      </c>
      <c r="L2008">
        <f>_xlfn.XLOOKUP(A2008,DFF!A:A,DFF!B:B,"",-1)</f>
        <v>5.33</v>
      </c>
      <c r="M2008">
        <f>_xlfn.XLOOKUP(A2008,'DGS2'!A:A,'DGS2'!B:B,"",-1)</f>
        <v>4.59</v>
      </c>
      <c r="N2008">
        <f t="shared" si="251"/>
        <v>-3.0000000000000249E-2</v>
      </c>
      <c r="O2008">
        <f t="shared" si="252"/>
        <v>-3.0549197773100945E-3</v>
      </c>
      <c r="P2008">
        <f t="shared" si="253"/>
        <v>0</v>
      </c>
      <c r="Q2008">
        <f t="shared" si="254"/>
        <v>-1</v>
      </c>
    </row>
    <row r="2009" spans="1:17">
      <c r="A2009" s="1">
        <v>45376</v>
      </c>
      <c r="B2009">
        <v>5218.1899999999996</v>
      </c>
      <c r="C2009">
        <f t="shared" si="248"/>
        <v>-3.0549197773100945E-3</v>
      </c>
      <c r="D2009">
        <f t="shared" si="255"/>
        <v>-1.2307115158615156E-3</v>
      </c>
      <c r="E2009">
        <f>_xlfn.XLOOKUP(A2009,VIX!A:A,VIX!B:B,"",-1)</f>
        <v>13.19</v>
      </c>
      <c r="F2009">
        <f t="shared" si="249"/>
        <v>0.12999999999999901</v>
      </c>
      <c r="G2009">
        <f>_xlfn.XLOOKUP(A2009,'DGS10'!A:A,'DGS10'!B:B,"",-1)</f>
        <v>4.25</v>
      </c>
      <c r="H2009">
        <f t="shared" si="250"/>
        <v>3.0000000000000249E-2</v>
      </c>
      <c r="I2009" s="2">
        <f>_xlfn.XLOOKUP(A2009,T10Y3M!A:A,T10Y3M!B:B,"",-1)</f>
        <v>-1.21</v>
      </c>
      <c r="J2009" s="2">
        <f>_xlfn.XLOOKUP(A2009,BAMLC0A4CBBB!A:A,BAMLC0A4CBBB!B:B,"",-1)</f>
        <v>1.1499999999999999</v>
      </c>
      <c r="K2009" s="2">
        <f>_xlfn.XLOOKUP(A2009,CPIAUCSL!A:A,CPIAUCSL!B:B,"",-1)</f>
        <v>312.34500000000003</v>
      </c>
      <c r="L2009">
        <f>_xlfn.XLOOKUP(A2009,DFF!A:A,DFF!B:B,"",-1)</f>
        <v>5.33</v>
      </c>
      <c r="M2009">
        <f>_xlfn.XLOOKUP(A2009,'DGS2'!A:A,'DGS2'!B:B,"",-1)</f>
        <v>4.54</v>
      </c>
      <c r="N2009">
        <f t="shared" si="251"/>
        <v>-4.9999999999999822E-2</v>
      </c>
      <c r="O2009">
        <f t="shared" si="252"/>
        <v>-2.7998213940082506E-3</v>
      </c>
      <c r="P2009">
        <f t="shared" si="253"/>
        <v>0</v>
      </c>
      <c r="Q2009">
        <f t="shared" si="254"/>
        <v>0</v>
      </c>
    </row>
    <row r="2010" spans="1:17">
      <c r="A2010" s="1">
        <v>45377</v>
      </c>
      <c r="B2010">
        <v>5203.58</v>
      </c>
      <c r="C2010">
        <f t="shared" si="248"/>
        <v>-2.7998213940082506E-3</v>
      </c>
      <c r="D2010">
        <f t="shared" si="255"/>
        <v>-7.2402523690601184E-3</v>
      </c>
      <c r="E2010">
        <f>_xlfn.XLOOKUP(A2010,VIX!A:A,VIX!B:B,"",-1)</f>
        <v>13.24</v>
      </c>
      <c r="F2010">
        <f t="shared" si="249"/>
        <v>5.0000000000000711E-2</v>
      </c>
      <c r="G2010">
        <f>_xlfn.XLOOKUP(A2010,'DGS10'!A:A,'DGS10'!B:B,"",-1)</f>
        <v>4.24</v>
      </c>
      <c r="H2010">
        <f t="shared" si="250"/>
        <v>-9.9999999999997868E-3</v>
      </c>
      <c r="I2010" s="2">
        <f>_xlfn.XLOOKUP(A2010,T10Y3M!A:A,T10Y3M!B:B,"",-1)</f>
        <v>-1.22</v>
      </c>
      <c r="J2010" s="2">
        <f>_xlfn.XLOOKUP(A2010,BAMLC0A4CBBB!A:A,BAMLC0A4CBBB!B:B,"",-1)</f>
        <v>1.1599999999999999</v>
      </c>
      <c r="K2010" s="2">
        <f>_xlfn.XLOOKUP(A2010,CPIAUCSL!A:A,CPIAUCSL!B:B,"",-1)</f>
        <v>312.34500000000003</v>
      </c>
      <c r="L2010">
        <f>_xlfn.XLOOKUP(A2010,DFF!A:A,DFF!B:B,"",-1)</f>
        <v>5.33</v>
      </c>
      <c r="M2010">
        <f>_xlfn.XLOOKUP(A2010,'DGS2'!A:A,'DGS2'!B:B,"",-1)</f>
        <v>4.5599999999999996</v>
      </c>
      <c r="N2010">
        <f t="shared" si="251"/>
        <v>1.9999999999999574E-2</v>
      </c>
      <c r="O2010">
        <f t="shared" si="252"/>
        <v>8.6305966277062662E-3</v>
      </c>
      <c r="P2010">
        <f t="shared" si="253"/>
        <v>1</v>
      </c>
      <c r="Q2010">
        <f t="shared" si="254"/>
        <v>1</v>
      </c>
    </row>
    <row r="2011" spans="1:17">
      <c r="A2011" s="1">
        <v>45378</v>
      </c>
      <c r="B2011">
        <v>5248.49</v>
      </c>
      <c r="C2011">
        <f t="shared" si="248"/>
        <v>8.6305966277062662E-3</v>
      </c>
      <c r="D2011">
        <f t="shared" si="255"/>
        <v>2.7339525962040145E-3</v>
      </c>
      <c r="E2011">
        <f>_xlfn.XLOOKUP(A2011,VIX!A:A,VIX!B:B,"",-1)</f>
        <v>12.78</v>
      </c>
      <c r="F2011">
        <f t="shared" si="249"/>
        <v>-0.46000000000000085</v>
      </c>
      <c r="G2011">
        <f>_xlfn.XLOOKUP(A2011,'DGS10'!A:A,'DGS10'!B:B,"",-1)</f>
        <v>4.2</v>
      </c>
      <c r="H2011">
        <f t="shared" si="250"/>
        <v>-4.0000000000000036E-2</v>
      </c>
      <c r="I2011" s="2">
        <f>_xlfn.XLOOKUP(A2011,T10Y3M!A:A,T10Y3M!B:B,"",-1)</f>
        <v>-1.25</v>
      </c>
      <c r="J2011" s="2">
        <f>_xlfn.XLOOKUP(A2011,BAMLC0A4CBBB!A:A,BAMLC0A4CBBB!B:B,"",-1)</f>
        <v>1.1599999999999999</v>
      </c>
      <c r="K2011" s="2">
        <f>_xlfn.XLOOKUP(A2011,CPIAUCSL!A:A,CPIAUCSL!B:B,"",-1)</f>
        <v>312.34500000000003</v>
      </c>
      <c r="L2011">
        <f>_xlfn.XLOOKUP(A2011,DFF!A:A,DFF!B:B,"",-1)</f>
        <v>5.33</v>
      </c>
      <c r="M2011">
        <f>_xlfn.XLOOKUP(A2011,'DGS2'!A:A,'DGS2'!B:B,"",-1)</f>
        <v>4.54</v>
      </c>
      <c r="N2011">
        <f t="shared" si="251"/>
        <v>-1.9999999999999574E-2</v>
      </c>
      <c r="O2011">
        <f t="shared" si="252"/>
        <v>1.1165116061955249E-3</v>
      </c>
      <c r="P2011">
        <f t="shared" si="253"/>
        <v>1</v>
      </c>
      <c r="Q2011">
        <f t="shared" si="254"/>
        <v>0</v>
      </c>
    </row>
    <row r="2012" spans="1:17">
      <c r="A2012" s="1">
        <v>45379</v>
      </c>
      <c r="B2012">
        <v>5254.35</v>
      </c>
      <c r="C2012">
        <f t="shared" si="248"/>
        <v>1.1165116061955249E-3</v>
      </c>
      <c r="D2012">
        <f t="shared" si="255"/>
        <v>6.9296058595031962E-3</v>
      </c>
      <c r="E2012">
        <f>_xlfn.XLOOKUP(A2012,VIX!A:A,VIX!B:B,"",-1)</f>
        <v>13.01</v>
      </c>
      <c r="F2012">
        <f t="shared" si="249"/>
        <v>0.23000000000000043</v>
      </c>
      <c r="G2012">
        <f>_xlfn.XLOOKUP(A2012,'DGS10'!A:A,'DGS10'!B:B,"",-1)</f>
        <v>4.2</v>
      </c>
      <c r="H2012">
        <f t="shared" si="250"/>
        <v>0</v>
      </c>
      <c r="I2012" s="2">
        <f>_xlfn.XLOOKUP(A2012,T10Y3M!A:A,T10Y3M!B:B,"",-1)</f>
        <v>-1.26</v>
      </c>
      <c r="J2012" s="2">
        <f>_xlfn.XLOOKUP(A2012,BAMLC0A4CBBB!A:A,BAMLC0A4CBBB!B:B,"",-1)</f>
        <v>1.1499999999999999</v>
      </c>
      <c r="K2012" s="2">
        <f>_xlfn.XLOOKUP(A2012,CPIAUCSL!A:A,CPIAUCSL!B:B,"",-1)</f>
        <v>312.34500000000003</v>
      </c>
      <c r="L2012">
        <f>_xlfn.XLOOKUP(A2012,DFF!A:A,DFF!B:B,"",-1)</f>
        <v>5.33</v>
      </c>
      <c r="M2012">
        <f>_xlfn.XLOOKUP(A2012,'DGS2'!A:A,'DGS2'!B:B,"",-1)</f>
        <v>4.59</v>
      </c>
      <c r="N2012">
        <f t="shared" si="251"/>
        <v>4.9999999999999822E-2</v>
      </c>
      <c r="O2012">
        <f t="shared" si="252"/>
        <v>-2.0135697089078697E-3</v>
      </c>
      <c r="P2012">
        <f t="shared" si="253"/>
        <v>0</v>
      </c>
      <c r="Q2012">
        <f t="shared" si="254"/>
        <v>0</v>
      </c>
    </row>
    <row r="2013" spans="1:17">
      <c r="A2013" s="1">
        <v>45383</v>
      </c>
      <c r="B2013">
        <v>5243.77</v>
      </c>
      <c r="C2013">
        <f t="shared" si="248"/>
        <v>-2.0135697089078697E-3</v>
      </c>
      <c r="D2013">
        <f t="shared" si="255"/>
        <v>7.7235288013253189E-3</v>
      </c>
      <c r="E2013">
        <f>_xlfn.XLOOKUP(A2013,VIX!A:A,VIX!B:B,"",-1)</f>
        <v>13.65</v>
      </c>
      <c r="F2013">
        <f t="shared" si="249"/>
        <v>0.64000000000000057</v>
      </c>
      <c r="G2013">
        <f>_xlfn.XLOOKUP(A2013,'DGS10'!A:A,'DGS10'!B:B,"",-1)</f>
        <v>4.33</v>
      </c>
      <c r="H2013">
        <f t="shared" si="250"/>
        <v>0.12999999999999989</v>
      </c>
      <c r="I2013" s="2">
        <f>_xlfn.XLOOKUP(A2013,T10Y3M!A:A,T10Y3M!B:B,"",-1)</f>
        <v>-1.1100000000000001</v>
      </c>
      <c r="J2013" s="2">
        <f>_xlfn.XLOOKUP(A2013,BAMLC0A4CBBB!A:A,BAMLC0A4CBBB!B:B,"",-1)</f>
        <v>1.1599999999999999</v>
      </c>
      <c r="K2013" s="2">
        <f>_xlfn.XLOOKUP(A2013,CPIAUCSL!A:A,CPIAUCSL!B:B,"",-1)</f>
        <v>313.02300000000002</v>
      </c>
      <c r="L2013">
        <f>_xlfn.XLOOKUP(A2013,DFF!A:A,DFF!B:B,"",-1)</f>
        <v>5.33</v>
      </c>
      <c r="M2013">
        <f>_xlfn.XLOOKUP(A2013,'DGS2'!A:A,'DGS2'!B:B,"",-1)</f>
        <v>4.72</v>
      </c>
      <c r="N2013">
        <f t="shared" si="251"/>
        <v>0.12999999999999989</v>
      </c>
      <c r="O2013">
        <f t="shared" si="252"/>
        <v>-7.2390665494481699E-3</v>
      </c>
      <c r="P2013">
        <f t="shared" si="253"/>
        <v>0</v>
      </c>
      <c r="Q2013">
        <f t="shared" si="254"/>
        <v>-1</v>
      </c>
    </row>
    <row r="2014" spans="1:17">
      <c r="A2014" s="1">
        <v>45384</v>
      </c>
      <c r="B2014">
        <v>5205.8100000000004</v>
      </c>
      <c r="C2014">
        <f t="shared" si="248"/>
        <v>-7.2390665494481699E-3</v>
      </c>
      <c r="D2014">
        <f t="shared" si="255"/>
        <v>-8.1318626881253797E-3</v>
      </c>
      <c r="E2014">
        <f>_xlfn.XLOOKUP(A2014,VIX!A:A,VIX!B:B,"",-1)</f>
        <v>14.61</v>
      </c>
      <c r="F2014">
        <f t="shared" si="249"/>
        <v>0.95999999999999908</v>
      </c>
      <c r="G2014">
        <f>_xlfn.XLOOKUP(A2014,'DGS10'!A:A,'DGS10'!B:B,"",-1)</f>
        <v>4.3600000000000003</v>
      </c>
      <c r="H2014">
        <f t="shared" si="250"/>
        <v>3.0000000000000249E-2</v>
      </c>
      <c r="I2014" s="2">
        <f>_xlfn.XLOOKUP(A2014,T10Y3M!A:A,T10Y3M!B:B,"",-1)</f>
        <v>-1.06</v>
      </c>
      <c r="J2014" s="2">
        <f>_xlfn.XLOOKUP(A2014,BAMLC0A4CBBB!A:A,BAMLC0A4CBBB!B:B,"",-1)</f>
        <v>1.1599999999999999</v>
      </c>
      <c r="K2014" s="2">
        <f>_xlfn.XLOOKUP(A2014,CPIAUCSL!A:A,CPIAUCSL!B:B,"",-1)</f>
        <v>313.02300000000002</v>
      </c>
      <c r="L2014">
        <f>_xlfn.XLOOKUP(A2014,DFF!A:A,DFF!B:B,"",-1)</f>
        <v>5.33</v>
      </c>
      <c r="M2014">
        <f>_xlfn.XLOOKUP(A2014,'DGS2'!A:A,'DGS2'!B:B,"",-1)</f>
        <v>4.7</v>
      </c>
      <c r="N2014">
        <f t="shared" si="251"/>
        <v>-1.9999999999999574E-2</v>
      </c>
      <c r="O2014">
        <f t="shared" si="252"/>
        <v>1.0910886106099138E-3</v>
      </c>
      <c r="P2014">
        <f t="shared" si="253"/>
        <v>1</v>
      </c>
      <c r="Q2014">
        <f t="shared" si="254"/>
        <v>0</v>
      </c>
    </row>
    <row r="2015" spans="1:17">
      <c r="A2015" s="1">
        <v>45385</v>
      </c>
      <c r="B2015">
        <v>5211.49</v>
      </c>
      <c r="C2015">
        <f t="shared" si="248"/>
        <v>1.0910886106099138E-3</v>
      </c>
      <c r="D2015">
        <f t="shared" si="255"/>
        <v>-8.1570508245549789E-3</v>
      </c>
      <c r="E2015">
        <f>_xlfn.XLOOKUP(A2015,VIX!A:A,VIX!B:B,"",-1)</f>
        <v>14.33</v>
      </c>
      <c r="F2015">
        <f t="shared" si="249"/>
        <v>-0.27999999999999936</v>
      </c>
      <c r="G2015">
        <f>_xlfn.XLOOKUP(A2015,'DGS10'!A:A,'DGS10'!B:B,"",-1)</f>
        <v>4.3600000000000003</v>
      </c>
      <c r="H2015">
        <f t="shared" si="250"/>
        <v>0</v>
      </c>
      <c r="I2015" s="2">
        <f>_xlfn.XLOOKUP(A2015,T10Y3M!A:A,T10Y3M!B:B,"",-1)</f>
        <v>-1.06</v>
      </c>
      <c r="J2015" s="2">
        <f>_xlfn.XLOOKUP(A2015,BAMLC0A4CBBB!A:A,BAMLC0A4CBBB!B:B,"",-1)</f>
        <v>1.1399999999999999</v>
      </c>
      <c r="K2015" s="2">
        <f>_xlfn.XLOOKUP(A2015,CPIAUCSL!A:A,CPIAUCSL!B:B,"",-1)</f>
        <v>313.02300000000002</v>
      </c>
      <c r="L2015">
        <f>_xlfn.XLOOKUP(A2015,DFF!A:A,DFF!B:B,"",-1)</f>
        <v>5.33</v>
      </c>
      <c r="M2015">
        <f>_xlfn.XLOOKUP(A2015,'DGS2'!A:A,'DGS2'!B:B,"",-1)</f>
        <v>4.68</v>
      </c>
      <c r="N2015">
        <f t="shared" si="251"/>
        <v>-2.0000000000000462E-2</v>
      </c>
      <c r="O2015">
        <f t="shared" si="252"/>
        <v>-1.2334284436888443E-2</v>
      </c>
      <c r="P2015">
        <f t="shared" si="253"/>
        <v>0</v>
      </c>
      <c r="Q2015">
        <f t="shared" si="254"/>
        <v>-1</v>
      </c>
    </row>
    <row r="2016" spans="1:17">
      <c r="A2016" s="1">
        <v>45386</v>
      </c>
      <c r="B2016">
        <v>5147.21</v>
      </c>
      <c r="C2016">
        <f t="shared" si="248"/>
        <v>-1.2334284436888443E-2</v>
      </c>
      <c r="D2016">
        <f t="shared" si="255"/>
        <v>-1.8414232508290884E-2</v>
      </c>
      <c r="E2016">
        <f>_xlfn.XLOOKUP(A2016,VIX!A:A,VIX!B:B,"",-1)</f>
        <v>16.350000000000001</v>
      </c>
      <c r="F2016">
        <f t="shared" si="249"/>
        <v>2.0200000000000014</v>
      </c>
      <c r="G2016">
        <f>_xlfn.XLOOKUP(A2016,'DGS10'!A:A,'DGS10'!B:B,"",-1)</f>
        <v>4.3099999999999996</v>
      </c>
      <c r="H2016">
        <f t="shared" si="250"/>
        <v>-5.0000000000000711E-2</v>
      </c>
      <c r="I2016" s="2">
        <f>_xlfn.XLOOKUP(A2016,T10Y3M!A:A,T10Y3M!B:B,"",-1)</f>
        <v>-1.1000000000000001</v>
      </c>
      <c r="J2016" s="2">
        <f>_xlfn.XLOOKUP(A2016,BAMLC0A4CBBB!A:A,BAMLC0A4CBBB!B:B,"",-1)</f>
        <v>1.1499999999999999</v>
      </c>
      <c r="K2016" s="2">
        <f>_xlfn.XLOOKUP(A2016,CPIAUCSL!A:A,CPIAUCSL!B:B,"",-1)</f>
        <v>313.02300000000002</v>
      </c>
      <c r="L2016">
        <f>_xlfn.XLOOKUP(A2016,DFF!A:A,DFF!B:B,"",-1)</f>
        <v>5.33</v>
      </c>
      <c r="M2016">
        <f>_xlfn.XLOOKUP(A2016,'DGS2'!A:A,'DGS2'!B:B,"",-1)</f>
        <v>4.6500000000000004</v>
      </c>
      <c r="N2016">
        <f t="shared" si="251"/>
        <v>-2.9999999999999361E-2</v>
      </c>
      <c r="O2016">
        <f t="shared" si="252"/>
        <v>1.1099216857287653E-2</v>
      </c>
      <c r="P2016">
        <f t="shared" si="253"/>
        <v>1</v>
      </c>
      <c r="Q2016">
        <f t="shared" si="254"/>
        <v>1</v>
      </c>
    </row>
    <row r="2017" spans="1:17">
      <c r="A2017" s="1">
        <v>45387</v>
      </c>
      <c r="B2017">
        <v>5204.34</v>
      </c>
      <c r="C2017">
        <f t="shared" si="248"/>
        <v>1.1099216857287653E-2</v>
      </c>
      <c r="D2017">
        <f t="shared" si="255"/>
        <v>-2.8237680591503E-4</v>
      </c>
      <c r="E2017">
        <f>_xlfn.XLOOKUP(A2017,VIX!A:A,VIX!B:B,"",-1)</f>
        <v>16.03</v>
      </c>
      <c r="F2017">
        <f t="shared" si="249"/>
        <v>-0.32000000000000028</v>
      </c>
      <c r="G2017">
        <f>_xlfn.XLOOKUP(A2017,'DGS10'!A:A,'DGS10'!B:B,"",-1)</f>
        <v>4.3899999999999997</v>
      </c>
      <c r="H2017">
        <f t="shared" si="250"/>
        <v>8.0000000000000071E-2</v>
      </c>
      <c r="I2017" s="2">
        <f>_xlfn.XLOOKUP(A2017,T10Y3M!A:A,T10Y3M!B:B,"",-1)</f>
        <v>-1.04</v>
      </c>
      <c r="J2017" s="2">
        <f>_xlfn.XLOOKUP(A2017,BAMLC0A4CBBB!A:A,BAMLC0A4CBBB!B:B,"",-1)</f>
        <v>1.1399999999999999</v>
      </c>
      <c r="K2017" s="2">
        <f>_xlfn.XLOOKUP(A2017,CPIAUCSL!A:A,CPIAUCSL!B:B,"",-1)</f>
        <v>313.02300000000002</v>
      </c>
      <c r="L2017">
        <f>_xlfn.XLOOKUP(A2017,DFF!A:A,DFF!B:B,"",-1)</f>
        <v>5.33</v>
      </c>
      <c r="M2017">
        <f>_xlfn.XLOOKUP(A2017,'DGS2'!A:A,'DGS2'!B:B,"",-1)</f>
        <v>4.7300000000000004</v>
      </c>
      <c r="N2017">
        <f t="shared" si="251"/>
        <v>8.0000000000000071E-2</v>
      </c>
      <c r="O2017">
        <f t="shared" si="252"/>
        <v>-3.7468728023148934E-4</v>
      </c>
      <c r="P2017">
        <f t="shared" si="253"/>
        <v>0</v>
      </c>
      <c r="Q2017">
        <f t="shared" si="254"/>
        <v>0</v>
      </c>
    </row>
    <row r="2018" spans="1:17">
      <c r="A2018" s="1">
        <v>45390</v>
      </c>
      <c r="B2018">
        <v>5202.3900000000003</v>
      </c>
      <c r="C2018">
        <f t="shared" si="248"/>
        <v>-3.7468728023148934E-4</v>
      </c>
      <c r="D2018">
        <f t="shared" si="255"/>
        <v>-1.7461416984393408E-3</v>
      </c>
      <c r="E2018">
        <f>_xlfn.XLOOKUP(A2018,VIX!A:A,VIX!B:B,"",-1)</f>
        <v>15.19</v>
      </c>
      <c r="F2018">
        <f t="shared" si="249"/>
        <v>-0.84000000000000163</v>
      </c>
      <c r="G2018">
        <f>_xlfn.XLOOKUP(A2018,'DGS10'!A:A,'DGS10'!B:B,"",-1)</f>
        <v>4.42</v>
      </c>
      <c r="H2018">
        <f t="shared" si="250"/>
        <v>3.0000000000000249E-2</v>
      </c>
      <c r="I2018" s="2">
        <f>_xlfn.XLOOKUP(A2018,T10Y3M!A:A,T10Y3M!B:B,"",-1)</f>
        <v>-1.01</v>
      </c>
      <c r="J2018" s="2">
        <f>_xlfn.XLOOKUP(A2018,BAMLC0A4CBBB!A:A,BAMLC0A4CBBB!B:B,"",-1)</f>
        <v>1.1299999999999999</v>
      </c>
      <c r="K2018" s="2">
        <f>_xlfn.XLOOKUP(A2018,CPIAUCSL!A:A,CPIAUCSL!B:B,"",-1)</f>
        <v>313.02300000000002</v>
      </c>
      <c r="L2018">
        <f>_xlfn.XLOOKUP(A2018,DFF!A:A,DFF!B:B,"",-1)</f>
        <v>5.33</v>
      </c>
      <c r="M2018">
        <f>_xlfn.XLOOKUP(A2018,'DGS2'!A:A,'DGS2'!B:B,"",-1)</f>
        <v>4.78</v>
      </c>
      <c r="N2018">
        <f t="shared" si="251"/>
        <v>4.9999999999999822E-2</v>
      </c>
      <c r="O2018">
        <f t="shared" si="252"/>
        <v>1.4454894769517779E-3</v>
      </c>
      <c r="P2018">
        <f t="shared" si="253"/>
        <v>1</v>
      </c>
      <c r="Q2018">
        <f t="shared" si="254"/>
        <v>0</v>
      </c>
    </row>
    <row r="2019" spans="1:17">
      <c r="A2019" s="1">
        <v>45391</v>
      </c>
      <c r="B2019">
        <v>5209.91</v>
      </c>
      <c r="C2019">
        <f t="shared" si="248"/>
        <v>1.4454894769517779E-3</v>
      </c>
      <c r="D2019">
        <f t="shared" si="255"/>
        <v>1.2181356501871798E-2</v>
      </c>
      <c r="E2019">
        <f>_xlfn.XLOOKUP(A2019,VIX!A:A,VIX!B:B,"",-1)</f>
        <v>14.98</v>
      </c>
      <c r="F2019">
        <f t="shared" si="249"/>
        <v>-0.20999999999999908</v>
      </c>
      <c r="G2019">
        <f>_xlfn.XLOOKUP(A2019,'DGS10'!A:A,'DGS10'!B:B,"",-1)</f>
        <v>4.3600000000000003</v>
      </c>
      <c r="H2019">
        <f t="shared" si="250"/>
        <v>-5.9999999999999609E-2</v>
      </c>
      <c r="I2019" s="2">
        <f>_xlfn.XLOOKUP(A2019,T10Y3M!A:A,T10Y3M!B:B,"",-1)</f>
        <v>-1.07</v>
      </c>
      <c r="J2019" s="2">
        <f>_xlfn.XLOOKUP(A2019,BAMLC0A4CBBB!A:A,BAMLC0A4CBBB!B:B,"",-1)</f>
        <v>1.1299999999999999</v>
      </c>
      <c r="K2019" s="2">
        <f>_xlfn.XLOOKUP(A2019,CPIAUCSL!A:A,CPIAUCSL!B:B,"",-1)</f>
        <v>313.02300000000002</v>
      </c>
      <c r="L2019">
        <f>_xlfn.XLOOKUP(A2019,DFF!A:A,DFF!B:B,"",-1)</f>
        <v>5.33</v>
      </c>
      <c r="M2019">
        <f>_xlfn.XLOOKUP(A2019,'DGS2'!A:A,'DGS2'!B:B,"",-1)</f>
        <v>4.74</v>
      </c>
      <c r="N2019">
        <f t="shared" si="251"/>
        <v>-4.0000000000000036E-2</v>
      </c>
      <c r="O2019">
        <f t="shared" si="252"/>
        <v>-9.4569771838668437E-3</v>
      </c>
      <c r="P2019">
        <f t="shared" si="253"/>
        <v>0</v>
      </c>
      <c r="Q2019">
        <f t="shared" si="254"/>
        <v>-1</v>
      </c>
    </row>
    <row r="2020" spans="1:17">
      <c r="A2020" s="1">
        <v>45392</v>
      </c>
      <c r="B2020">
        <v>5160.6400000000003</v>
      </c>
      <c r="C2020">
        <f t="shared" si="248"/>
        <v>-9.4569771838668437E-3</v>
      </c>
      <c r="D2020">
        <f t="shared" si="255"/>
        <v>-8.3968380236494333E-3</v>
      </c>
      <c r="E2020">
        <f>_xlfn.XLOOKUP(A2020,VIX!A:A,VIX!B:B,"",-1)</f>
        <v>15.8</v>
      </c>
      <c r="F2020">
        <f t="shared" si="249"/>
        <v>0.82000000000000028</v>
      </c>
      <c r="G2020">
        <f>_xlfn.XLOOKUP(A2020,'DGS10'!A:A,'DGS10'!B:B,"",-1)</f>
        <v>4.55</v>
      </c>
      <c r="H2020">
        <f t="shared" si="250"/>
        <v>0.1899999999999995</v>
      </c>
      <c r="I2020" s="2">
        <f>_xlfn.XLOOKUP(A2020,T10Y3M!A:A,T10Y3M!B:B,"",-1)</f>
        <v>-0.9</v>
      </c>
      <c r="J2020" s="2">
        <f>_xlfn.XLOOKUP(A2020,BAMLC0A4CBBB!A:A,BAMLC0A4CBBB!B:B,"",-1)</f>
        <v>1.1100000000000001</v>
      </c>
      <c r="K2020" s="2">
        <f>_xlfn.XLOOKUP(A2020,CPIAUCSL!A:A,CPIAUCSL!B:B,"",-1)</f>
        <v>313.02300000000002</v>
      </c>
      <c r="L2020">
        <f>_xlfn.XLOOKUP(A2020,DFF!A:A,DFF!B:B,"",-1)</f>
        <v>5.33</v>
      </c>
      <c r="M2020">
        <f>_xlfn.XLOOKUP(A2020,'DGS2'!A:A,'DGS2'!B:B,"",-1)</f>
        <v>4.97</v>
      </c>
      <c r="N2020">
        <f t="shared" si="251"/>
        <v>0.22999999999999954</v>
      </c>
      <c r="O2020">
        <f t="shared" si="252"/>
        <v>7.4448130464439544E-3</v>
      </c>
      <c r="P2020">
        <f t="shared" si="253"/>
        <v>1</v>
      </c>
      <c r="Q2020">
        <f t="shared" si="254"/>
        <v>1</v>
      </c>
    </row>
    <row r="2021" spans="1:17">
      <c r="A2021" s="1">
        <v>45393</v>
      </c>
      <c r="B2021">
        <v>5199.0600000000004</v>
      </c>
      <c r="C2021">
        <f t="shared" si="248"/>
        <v>7.4448130464439544E-3</v>
      </c>
      <c r="D2021">
        <f t="shared" si="255"/>
        <v>-6.400904199800328E-4</v>
      </c>
      <c r="E2021">
        <f>_xlfn.XLOOKUP(A2021,VIX!A:A,VIX!B:B,"",-1)</f>
        <v>14.91</v>
      </c>
      <c r="F2021">
        <f t="shared" si="249"/>
        <v>-0.89000000000000057</v>
      </c>
      <c r="G2021">
        <f>_xlfn.XLOOKUP(A2021,'DGS10'!A:A,'DGS10'!B:B,"",-1)</f>
        <v>4.5599999999999996</v>
      </c>
      <c r="H2021">
        <f t="shared" si="250"/>
        <v>9.9999999999997868E-3</v>
      </c>
      <c r="I2021" s="2">
        <f>_xlfn.XLOOKUP(A2021,T10Y3M!A:A,T10Y3M!B:B,"",-1)</f>
        <v>-0.89</v>
      </c>
      <c r="J2021" s="2">
        <f>_xlfn.XLOOKUP(A2021,BAMLC0A4CBBB!A:A,BAMLC0A4CBBB!B:B,"",-1)</f>
        <v>1.1100000000000001</v>
      </c>
      <c r="K2021" s="2">
        <f>_xlfn.XLOOKUP(A2021,CPIAUCSL!A:A,CPIAUCSL!B:B,"",-1)</f>
        <v>313.02300000000002</v>
      </c>
      <c r="L2021">
        <f>_xlfn.XLOOKUP(A2021,DFF!A:A,DFF!B:B,"",-1)</f>
        <v>5.33</v>
      </c>
      <c r="M2021">
        <f>_xlfn.XLOOKUP(A2021,'DGS2'!A:A,'DGS2'!B:B,"",-1)</f>
        <v>4.93</v>
      </c>
      <c r="N2021">
        <f t="shared" si="251"/>
        <v>-4.0000000000000036E-2</v>
      </c>
      <c r="O2021">
        <f t="shared" si="252"/>
        <v>-1.4550707243232486E-2</v>
      </c>
      <c r="P2021">
        <f t="shared" si="253"/>
        <v>0</v>
      </c>
      <c r="Q2021">
        <f t="shared" si="254"/>
        <v>-1</v>
      </c>
    </row>
    <row r="2022" spans="1:17">
      <c r="A2022" s="1">
        <v>45394</v>
      </c>
      <c r="B2022">
        <v>5123.41</v>
      </c>
      <c r="C2022">
        <f t="shared" si="248"/>
        <v>-1.4550707243232486E-2</v>
      </c>
      <c r="D2022">
        <f t="shared" si="255"/>
        <v>-1.6602973947726585E-2</v>
      </c>
      <c r="E2022">
        <f>_xlfn.XLOOKUP(A2022,VIX!A:A,VIX!B:B,"",-1)</f>
        <v>17.309999999999999</v>
      </c>
      <c r="F2022">
        <f t="shared" si="249"/>
        <v>2.3999999999999986</v>
      </c>
      <c r="G2022">
        <f>_xlfn.XLOOKUP(A2022,'DGS10'!A:A,'DGS10'!B:B,"",-1)</f>
        <v>4.5</v>
      </c>
      <c r="H2022">
        <f t="shared" si="250"/>
        <v>-5.9999999999999609E-2</v>
      </c>
      <c r="I2022" s="2">
        <f>_xlfn.XLOOKUP(A2022,T10Y3M!A:A,T10Y3M!B:B,"",-1)</f>
        <v>-0.95</v>
      </c>
      <c r="J2022" s="2">
        <f>_xlfn.XLOOKUP(A2022,BAMLC0A4CBBB!A:A,BAMLC0A4CBBB!B:B,"",-1)</f>
        <v>1.1299999999999999</v>
      </c>
      <c r="K2022" s="2">
        <f>_xlfn.XLOOKUP(A2022,CPIAUCSL!A:A,CPIAUCSL!B:B,"",-1)</f>
        <v>313.02300000000002</v>
      </c>
      <c r="L2022">
        <f>_xlfn.XLOOKUP(A2022,DFF!A:A,DFF!B:B,"",-1)</f>
        <v>5.33</v>
      </c>
      <c r="M2022">
        <f>_xlfn.XLOOKUP(A2022,'DGS2'!A:A,'DGS2'!B:B,"",-1)</f>
        <v>4.88</v>
      </c>
      <c r="N2022">
        <f t="shared" si="251"/>
        <v>-4.9999999999999822E-2</v>
      </c>
      <c r="O2022">
        <f t="shared" si="252"/>
        <v>-1.2021290507689297E-2</v>
      </c>
      <c r="P2022">
        <f t="shared" si="253"/>
        <v>0</v>
      </c>
      <c r="Q2022">
        <f t="shared" si="254"/>
        <v>-1</v>
      </c>
    </row>
    <row r="2023" spans="1:17">
      <c r="A2023" s="1">
        <v>45397</v>
      </c>
      <c r="B2023">
        <v>5061.82</v>
      </c>
      <c r="C2023">
        <f t="shared" si="248"/>
        <v>-1.2021290507689297E-2</v>
      </c>
      <c r="D2023">
        <f t="shared" si="255"/>
        <v>-1.9148787747256257E-2</v>
      </c>
      <c r="E2023">
        <f>_xlfn.XLOOKUP(A2023,VIX!A:A,VIX!B:B,"",-1)</f>
        <v>19.23</v>
      </c>
      <c r="F2023">
        <f t="shared" si="249"/>
        <v>1.9200000000000017</v>
      </c>
      <c r="G2023">
        <f>_xlfn.XLOOKUP(A2023,'DGS10'!A:A,'DGS10'!B:B,"",-1)</f>
        <v>4.63</v>
      </c>
      <c r="H2023">
        <f t="shared" si="250"/>
        <v>0.12999999999999989</v>
      </c>
      <c r="I2023" s="2">
        <f>_xlfn.XLOOKUP(A2023,T10Y3M!A:A,T10Y3M!B:B,"",-1)</f>
        <v>-0.82</v>
      </c>
      <c r="J2023" s="2">
        <f>_xlfn.XLOOKUP(A2023,BAMLC0A4CBBB!A:A,BAMLC0A4CBBB!B:B,"",-1)</f>
        <v>1.1499999999999999</v>
      </c>
      <c r="K2023" s="2">
        <f>_xlfn.XLOOKUP(A2023,CPIAUCSL!A:A,CPIAUCSL!B:B,"",-1)</f>
        <v>313.02300000000002</v>
      </c>
      <c r="L2023">
        <f>_xlfn.XLOOKUP(A2023,DFF!A:A,DFF!B:B,"",-1)</f>
        <v>5.33</v>
      </c>
      <c r="M2023">
        <f>_xlfn.XLOOKUP(A2023,'DGS2'!A:A,'DGS2'!B:B,"",-1)</f>
        <v>4.93</v>
      </c>
      <c r="N2023">
        <f t="shared" si="251"/>
        <v>4.9999999999999822E-2</v>
      </c>
      <c r="O2023">
        <f t="shared" si="252"/>
        <v>-2.056572537150636E-3</v>
      </c>
      <c r="P2023">
        <f t="shared" si="253"/>
        <v>0</v>
      </c>
      <c r="Q2023">
        <f t="shared" si="254"/>
        <v>0</v>
      </c>
    </row>
    <row r="2024" spans="1:17">
      <c r="A2024" s="1">
        <v>45398</v>
      </c>
      <c r="B2024">
        <v>5051.41</v>
      </c>
      <c r="C2024">
        <f t="shared" si="248"/>
        <v>-2.056572537150636E-3</v>
      </c>
      <c r="D2024">
        <f t="shared" si="255"/>
        <v>-2.8399364500505953E-2</v>
      </c>
      <c r="E2024">
        <f>_xlfn.XLOOKUP(A2024,VIX!A:A,VIX!B:B,"",-1)</f>
        <v>18.399999999999999</v>
      </c>
      <c r="F2024">
        <f t="shared" si="249"/>
        <v>-0.83000000000000185</v>
      </c>
      <c r="G2024">
        <f>_xlfn.XLOOKUP(A2024,'DGS10'!A:A,'DGS10'!B:B,"",-1)</f>
        <v>4.67</v>
      </c>
      <c r="H2024">
        <f t="shared" si="250"/>
        <v>4.0000000000000036E-2</v>
      </c>
      <c r="I2024" s="2">
        <f>_xlfn.XLOOKUP(A2024,T10Y3M!A:A,T10Y3M!B:B,"",-1)</f>
        <v>-0.78</v>
      </c>
      <c r="J2024" s="2">
        <f>_xlfn.XLOOKUP(A2024,BAMLC0A4CBBB!A:A,BAMLC0A4CBBB!B:B,"",-1)</f>
        <v>1.17</v>
      </c>
      <c r="K2024" s="2">
        <f>_xlfn.XLOOKUP(A2024,CPIAUCSL!A:A,CPIAUCSL!B:B,"",-1)</f>
        <v>313.02300000000002</v>
      </c>
      <c r="L2024">
        <f>_xlfn.XLOOKUP(A2024,DFF!A:A,DFF!B:B,"",-1)</f>
        <v>5.33</v>
      </c>
      <c r="M2024">
        <f>_xlfn.XLOOKUP(A2024,'DGS2'!A:A,'DGS2'!B:B,"",-1)</f>
        <v>4.97</v>
      </c>
      <c r="N2024">
        <f t="shared" si="251"/>
        <v>4.0000000000000036E-2</v>
      </c>
      <c r="O2024">
        <f t="shared" si="252"/>
        <v>-5.780564238499708E-3</v>
      </c>
      <c r="P2024">
        <f t="shared" si="253"/>
        <v>0</v>
      </c>
      <c r="Q2024">
        <f t="shared" si="254"/>
        <v>-1</v>
      </c>
    </row>
    <row r="2025" spans="1:17">
      <c r="A2025" s="1">
        <v>45399</v>
      </c>
      <c r="B2025">
        <v>5022.21</v>
      </c>
      <c r="C2025">
        <f t="shared" si="248"/>
        <v>-5.780564238499708E-3</v>
      </c>
      <c r="D2025">
        <f t="shared" si="255"/>
        <v>-1.9752469546649554E-2</v>
      </c>
      <c r="E2025">
        <f>_xlfn.XLOOKUP(A2025,VIX!A:A,VIX!B:B,"",-1)</f>
        <v>18.21</v>
      </c>
      <c r="F2025">
        <f t="shared" si="249"/>
        <v>-0.18999999999999773</v>
      </c>
      <c r="G2025">
        <f>_xlfn.XLOOKUP(A2025,'DGS10'!A:A,'DGS10'!B:B,"",-1)</f>
        <v>4.59</v>
      </c>
      <c r="H2025">
        <f t="shared" si="250"/>
        <v>-8.0000000000000071E-2</v>
      </c>
      <c r="I2025" s="2">
        <f>_xlfn.XLOOKUP(A2025,T10Y3M!A:A,T10Y3M!B:B,"",-1)</f>
        <v>-0.86</v>
      </c>
      <c r="J2025" s="2">
        <f>_xlfn.XLOOKUP(A2025,BAMLC0A4CBBB!A:A,BAMLC0A4CBBB!B:B,"",-1)</f>
        <v>1.17</v>
      </c>
      <c r="K2025" s="2">
        <f>_xlfn.XLOOKUP(A2025,CPIAUCSL!A:A,CPIAUCSL!B:B,"",-1)</f>
        <v>313.02300000000002</v>
      </c>
      <c r="L2025">
        <f>_xlfn.XLOOKUP(A2025,DFF!A:A,DFF!B:B,"",-1)</f>
        <v>5.33</v>
      </c>
      <c r="M2025">
        <f>_xlfn.XLOOKUP(A2025,'DGS2'!A:A,'DGS2'!B:B,"",-1)</f>
        <v>4.93</v>
      </c>
      <c r="N2025">
        <f t="shared" si="251"/>
        <v>-4.0000000000000036E-2</v>
      </c>
      <c r="O2025">
        <f t="shared" si="252"/>
        <v>-2.2081912146246774E-3</v>
      </c>
      <c r="P2025">
        <f t="shared" si="253"/>
        <v>0</v>
      </c>
      <c r="Q2025">
        <f t="shared" si="254"/>
        <v>0</v>
      </c>
    </row>
    <row r="2026" spans="1:17">
      <c r="A2026" s="1">
        <v>45400</v>
      </c>
      <c r="B2026">
        <v>5011.12</v>
      </c>
      <c r="C2026">
        <f t="shared" si="248"/>
        <v>-2.2081912146246774E-3</v>
      </c>
      <c r="D2026">
        <f t="shared" si="255"/>
        <v>-1.0016160195344681E-2</v>
      </c>
      <c r="E2026">
        <f>_xlfn.XLOOKUP(A2026,VIX!A:A,VIX!B:B,"",-1)</f>
        <v>18</v>
      </c>
      <c r="F2026">
        <f t="shared" si="249"/>
        <v>-0.21000000000000085</v>
      </c>
      <c r="G2026">
        <f>_xlfn.XLOOKUP(A2026,'DGS10'!A:A,'DGS10'!B:B,"",-1)</f>
        <v>4.6399999999999997</v>
      </c>
      <c r="H2026">
        <f t="shared" si="250"/>
        <v>4.9999999999999822E-2</v>
      </c>
      <c r="I2026" s="2">
        <f>_xlfn.XLOOKUP(A2026,T10Y3M!A:A,T10Y3M!B:B,"",-1)</f>
        <v>-0.82</v>
      </c>
      <c r="J2026" s="2">
        <f>_xlfn.XLOOKUP(A2026,BAMLC0A4CBBB!A:A,BAMLC0A4CBBB!B:B,"",-1)</f>
        <v>1.17</v>
      </c>
      <c r="K2026" s="2">
        <f>_xlfn.XLOOKUP(A2026,CPIAUCSL!A:A,CPIAUCSL!B:B,"",-1)</f>
        <v>313.02300000000002</v>
      </c>
      <c r="L2026">
        <f>_xlfn.XLOOKUP(A2026,DFF!A:A,DFF!B:B,"",-1)</f>
        <v>5.33</v>
      </c>
      <c r="M2026">
        <f>_xlfn.XLOOKUP(A2026,'DGS2'!A:A,'DGS2'!B:B,"",-1)</f>
        <v>4.9800000000000004</v>
      </c>
      <c r="N2026">
        <f t="shared" si="251"/>
        <v>5.0000000000000711E-2</v>
      </c>
      <c r="O2026">
        <f t="shared" si="252"/>
        <v>-8.7585210491867294E-3</v>
      </c>
      <c r="P2026">
        <f t="shared" si="253"/>
        <v>0</v>
      </c>
      <c r="Q2026">
        <f t="shared" si="254"/>
        <v>-1</v>
      </c>
    </row>
    <row r="2027" spans="1:17">
      <c r="A2027" s="1">
        <v>45401</v>
      </c>
      <c r="B2027">
        <v>4967.2299999999996</v>
      </c>
      <c r="C2027">
        <f t="shared" si="248"/>
        <v>-8.7585210491867294E-3</v>
      </c>
      <c r="D2027">
        <f t="shared" si="255"/>
        <v>-1.6664654027291448E-2</v>
      </c>
      <c r="E2027">
        <f>_xlfn.XLOOKUP(A2027,VIX!A:A,VIX!B:B,"",-1)</f>
        <v>18.71</v>
      </c>
      <c r="F2027">
        <f t="shared" si="249"/>
        <v>0.71000000000000085</v>
      </c>
      <c r="G2027">
        <f>_xlfn.XLOOKUP(A2027,'DGS10'!A:A,'DGS10'!B:B,"",-1)</f>
        <v>4.62</v>
      </c>
      <c r="H2027">
        <f t="shared" si="250"/>
        <v>-1.9999999999999574E-2</v>
      </c>
      <c r="I2027" s="2">
        <f>_xlfn.XLOOKUP(A2027,T10Y3M!A:A,T10Y3M!B:B,"",-1)</f>
        <v>-0.83</v>
      </c>
      <c r="J2027" s="2">
        <f>_xlfn.XLOOKUP(A2027,BAMLC0A4CBBB!A:A,BAMLC0A4CBBB!B:B,"",-1)</f>
        <v>1.17</v>
      </c>
      <c r="K2027" s="2">
        <f>_xlfn.XLOOKUP(A2027,CPIAUCSL!A:A,CPIAUCSL!B:B,"",-1)</f>
        <v>313.02300000000002</v>
      </c>
      <c r="L2027">
        <f>_xlfn.XLOOKUP(A2027,DFF!A:A,DFF!B:B,"",-1)</f>
        <v>5.33</v>
      </c>
      <c r="M2027">
        <f>_xlfn.XLOOKUP(A2027,'DGS2'!A:A,'DGS2'!B:B,"",-1)</f>
        <v>4.97</v>
      </c>
      <c r="N2027">
        <f t="shared" si="251"/>
        <v>-1.0000000000000675E-2</v>
      </c>
      <c r="O2027">
        <f t="shared" si="252"/>
        <v>8.7312244450128418E-3</v>
      </c>
      <c r="P2027">
        <f t="shared" si="253"/>
        <v>1</v>
      </c>
      <c r="Q2027">
        <f t="shared" si="254"/>
        <v>1</v>
      </c>
    </row>
    <row r="2028" spans="1:17">
      <c r="A2028" s="1">
        <v>45404</v>
      </c>
      <c r="B2028">
        <v>5010.6000000000004</v>
      </c>
      <c r="C2028">
        <f t="shared" si="248"/>
        <v>8.7312244450128418E-3</v>
      </c>
      <c r="D2028">
        <f t="shared" si="255"/>
        <v>-2.311731289611485E-3</v>
      </c>
      <c r="E2028">
        <f>_xlfn.XLOOKUP(A2028,VIX!A:A,VIX!B:B,"",-1)</f>
        <v>16.940000000000001</v>
      </c>
      <c r="F2028">
        <f t="shared" si="249"/>
        <v>-1.7699999999999996</v>
      </c>
      <c r="G2028">
        <f>_xlfn.XLOOKUP(A2028,'DGS10'!A:A,'DGS10'!B:B,"",-1)</f>
        <v>4.62</v>
      </c>
      <c r="H2028">
        <f t="shared" si="250"/>
        <v>0</v>
      </c>
      <c r="I2028" s="2">
        <f>_xlfn.XLOOKUP(A2028,T10Y3M!A:A,T10Y3M!B:B,"",-1)</f>
        <v>-0.8</v>
      </c>
      <c r="J2028" s="2">
        <f>_xlfn.XLOOKUP(A2028,BAMLC0A4CBBB!A:A,BAMLC0A4CBBB!B:B,"",-1)</f>
        <v>1.1599999999999999</v>
      </c>
      <c r="K2028" s="2">
        <f>_xlfn.XLOOKUP(A2028,CPIAUCSL!A:A,CPIAUCSL!B:B,"",-1)</f>
        <v>313.02300000000002</v>
      </c>
      <c r="L2028">
        <f>_xlfn.XLOOKUP(A2028,DFF!A:A,DFF!B:B,"",-1)</f>
        <v>5.33</v>
      </c>
      <c r="M2028">
        <f>_xlfn.XLOOKUP(A2028,'DGS2'!A:A,'DGS2'!B:B,"",-1)</f>
        <v>4.97</v>
      </c>
      <c r="N2028">
        <f t="shared" si="251"/>
        <v>0</v>
      </c>
      <c r="O2028">
        <f t="shared" si="252"/>
        <v>1.1964634973855359E-2</v>
      </c>
      <c r="P2028">
        <f t="shared" si="253"/>
        <v>1</v>
      </c>
      <c r="Q2028">
        <f t="shared" si="254"/>
        <v>1</v>
      </c>
    </row>
    <row r="2029" spans="1:17">
      <c r="A2029" s="1">
        <v>45405</v>
      </c>
      <c r="B2029">
        <v>5070.55</v>
      </c>
      <c r="C2029">
        <f t="shared" si="248"/>
        <v>1.1964634973855359E-2</v>
      </c>
      <c r="D2029">
        <f t="shared" si="255"/>
        <v>1.1859624195788676E-2</v>
      </c>
      <c r="E2029">
        <f>_xlfn.XLOOKUP(A2029,VIX!A:A,VIX!B:B,"",-1)</f>
        <v>15.69</v>
      </c>
      <c r="F2029">
        <f t="shared" si="249"/>
        <v>-1.2500000000000018</v>
      </c>
      <c r="G2029">
        <f>_xlfn.XLOOKUP(A2029,'DGS10'!A:A,'DGS10'!B:B,"",-1)</f>
        <v>4.6100000000000003</v>
      </c>
      <c r="H2029">
        <f t="shared" si="250"/>
        <v>-9.9999999999997868E-3</v>
      </c>
      <c r="I2029" s="2">
        <f>_xlfn.XLOOKUP(A2029,T10Y3M!A:A,T10Y3M!B:B,"",-1)</f>
        <v>-0.84</v>
      </c>
      <c r="J2029" s="2">
        <f>_xlfn.XLOOKUP(A2029,BAMLC0A4CBBB!A:A,BAMLC0A4CBBB!B:B,"",-1)</f>
        <v>1.1399999999999999</v>
      </c>
      <c r="K2029" s="2">
        <f>_xlfn.XLOOKUP(A2029,CPIAUCSL!A:A,CPIAUCSL!B:B,"",-1)</f>
        <v>313.02300000000002</v>
      </c>
      <c r="L2029">
        <f>_xlfn.XLOOKUP(A2029,DFF!A:A,DFF!B:B,"",-1)</f>
        <v>5.33</v>
      </c>
      <c r="M2029">
        <f>_xlfn.XLOOKUP(A2029,'DGS2'!A:A,'DGS2'!B:B,"",-1)</f>
        <v>4.8600000000000003</v>
      </c>
      <c r="N2029">
        <f t="shared" si="251"/>
        <v>-0.10999999999999943</v>
      </c>
      <c r="O2029">
        <f t="shared" si="252"/>
        <v>2.129946455513565E-4</v>
      </c>
      <c r="P2029">
        <f t="shared" si="253"/>
        <v>1</v>
      </c>
      <c r="Q2029">
        <f t="shared" si="254"/>
        <v>0</v>
      </c>
    </row>
    <row r="2030" spans="1:17">
      <c r="A2030" s="1">
        <v>45406</v>
      </c>
      <c r="B2030">
        <v>5071.63</v>
      </c>
      <c r="C2030">
        <f t="shared" si="248"/>
        <v>2.129946455513565E-4</v>
      </c>
      <c r="D2030">
        <f t="shared" si="255"/>
        <v>2.1017750335700303E-2</v>
      </c>
      <c r="E2030">
        <f>_xlfn.XLOOKUP(A2030,VIX!A:A,VIX!B:B,"",-1)</f>
        <v>15.97</v>
      </c>
      <c r="F2030">
        <f t="shared" si="249"/>
        <v>0.28000000000000114</v>
      </c>
      <c r="G2030">
        <f>_xlfn.XLOOKUP(A2030,'DGS10'!A:A,'DGS10'!B:B,"",-1)</f>
        <v>4.6500000000000004</v>
      </c>
      <c r="H2030">
        <f t="shared" si="250"/>
        <v>4.0000000000000036E-2</v>
      </c>
      <c r="I2030" s="2">
        <f>_xlfn.XLOOKUP(A2030,T10Y3M!A:A,T10Y3M!B:B,"",-1)</f>
        <v>-0.81</v>
      </c>
      <c r="J2030" s="2">
        <f>_xlfn.XLOOKUP(A2030,BAMLC0A4CBBB!A:A,BAMLC0A4CBBB!B:B,"",-1)</f>
        <v>1.1399999999999999</v>
      </c>
      <c r="K2030" s="2">
        <f>_xlfn.XLOOKUP(A2030,CPIAUCSL!A:A,CPIAUCSL!B:B,"",-1)</f>
        <v>313.02300000000002</v>
      </c>
      <c r="L2030">
        <f>_xlfn.XLOOKUP(A2030,DFF!A:A,DFF!B:B,"",-1)</f>
        <v>5.33</v>
      </c>
      <c r="M2030">
        <f>_xlfn.XLOOKUP(A2030,'DGS2'!A:A,'DGS2'!B:B,"",-1)</f>
        <v>4.8899999999999997</v>
      </c>
      <c r="N2030">
        <f t="shared" si="251"/>
        <v>2.9999999999999361E-2</v>
      </c>
      <c r="O2030">
        <f t="shared" si="252"/>
        <v>-4.5764379499293462E-3</v>
      </c>
      <c r="P2030">
        <f t="shared" si="253"/>
        <v>0</v>
      </c>
      <c r="Q2030">
        <f t="shared" si="254"/>
        <v>-1</v>
      </c>
    </row>
    <row r="2031" spans="1:17">
      <c r="A2031" s="1">
        <v>45407</v>
      </c>
      <c r="B2031">
        <v>5048.42</v>
      </c>
      <c r="C2031">
        <f t="shared" si="248"/>
        <v>-4.5764379499293462E-3</v>
      </c>
      <c r="D2031">
        <f t="shared" si="255"/>
        <v>7.5479982437232085E-3</v>
      </c>
      <c r="E2031">
        <f>_xlfn.XLOOKUP(A2031,VIX!A:A,VIX!B:B,"",-1)</f>
        <v>15.37</v>
      </c>
      <c r="F2031">
        <f t="shared" si="249"/>
        <v>-0.60000000000000142</v>
      </c>
      <c r="G2031">
        <f>_xlfn.XLOOKUP(A2031,'DGS10'!A:A,'DGS10'!B:B,"",-1)</f>
        <v>4.7</v>
      </c>
      <c r="H2031">
        <f t="shared" si="250"/>
        <v>4.9999999999999822E-2</v>
      </c>
      <c r="I2031" s="2">
        <f>_xlfn.XLOOKUP(A2031,T10Y3M!A:A,T10Y3M!B:B,"",-1)</f>
        <v>-0.77</v>
      </c>
      <c r="J2031" s="2">
        <f>_xlfn.XLOOKUP(A2031,BAMLC0A4CBBB!A:A,BAMLC0A4CBBB!B:B,"",-1)</f>
        <v>1.1399999999999999</v>
      </c>
      <c r="K2031" s="2">
        <f>_xlfn.XLOOKUP(A2031,CPIAUCSL!A:A,CPIAUCSL!B:B,"",-1)</f>
        <v>313.02300000000002</v>
      </c>
      <c r="L2031">
        <f>_xlfn.XLOOKUP(A2031,DFF!A:A,DFF!B:B,"",-1)</f>
        <v>5.33</v>
      </c>
      <c r="M2031">
        <f>_xlfn.XLOOKUP(A2031,'DGS2'!A:A,'DGS2'!B:B,"",-1)</f>
        <v>4.96</v>
      </c>
      <c r="N2031">
        <f t="shared" si="251"/>
        <v>7.0000000000000284E-2</v>
      </c>
      <c r="O2031">
        <f t="shared" si="252"/>
        <v>1.0209134739185721E-2</v>
      </c>
      <c r="P2031">
        <f t="shared" si="253"/>
        <v>1</v>
      </c>
      <c r="Q2031">
        <f t="shared" si="254"/>
        <v>1</v>
      </c>
    </row>
    <row r="2032" spans="1:17">
      <c r="A2032" s="1">
        <v>45408</v>
      </c>
      <c r="B2032">
        <v>5099.96</v>
      </c>
      <c r="C2032">
        <f t="shared" si="248"/>
        <v>1.0209134739185721E-2</v>
      </c>
      <c r="D2032">
        <f t="shared" si="255"/>
        <v>5.8001597459840237E-3</v>
      </c>
      <c r="E2032">
        <f>_xlfn.XLOOKUP(A2032,VIX!A:A,VIX!B:B,"",-1)</f>
        <v>15.03</v>
      </c>
      <c r="F2032">
        <f t="shared" si="249"/>
        <v>-0.33999999999999986</v>
      </c>
      <c r="G2032">
        <f>_xlfn.XLOOKUP(A2032,'DGS10'!A:A,'DGS10'!B:B,"",-1)</f>
        <v>4.67</v>
      </c>
      <c r="H2032">
        <f t="shared" si="250"/>
        <v>-3.0000000000000249E-2</v>
      </c>
      <c r="I2032" s="2">
        <f>_xlfn.XLOOKUP(A2032,T10Y3M!A:A,T10Y3M!B:B,"",-1)</f>
        <v>-0.79</v>
      </c>
      <c r="J2032" s="2">
        <f>_xlfn.XLOOKUP(A2032,BAMLC0A4CBBB!A:A,BAMLC0A4CBBB!B:B,"",-1)</f>
        <v>1.1299999999999999</v>
      </c>
      <c r="K2032" s="2">
        <f>_xlfn.XLOOKUP(A2032,CPIAUCSL!A:A,CPIAUCSL!B:B,"",-1)</f>
        <v>313.02300000000002</v>
      </c>
      <c r="L2032">
        <f>_xlfn.XLOOKUP(A2032,DFF!A:A,DFF!B:B,"",-1)</f>
        <v>5.33</v>
      </c>
      <c r="M2032">
        <f>_xlfn.XLOOKUP(A2032,'DGS2'!A:A,'DGS2'!B:B,"",-1)</f>
        <v>4.96</v>
      </c>
      <c r="N2032">
        <f t="shared" si="251"/>
        <v>0</v>
      </c>
      <c r="O2032">
        <f t="shared" si="252"/>
        <v>3.178456301617949E-3</v>
      </c>
      <c r="P2032">
        <f t="shared" si="253"/>
        <v>1</v>
      </c>
      <c r="Q2032">
        <f t="shared" si="254"/>
        <v>1</v>
      </c>
    </row>
    <row r="2033" spans="1:17">
      <c r="A2033" s="1">
        <v>45411</v>
      </c>
      <c r="B2033">
        <v>5116.17</v>
      </c>
      <c r="C2033">
        <f t="shared" si="248"/>
        <v>3.178456301617949E-3</v>
      </c>
      <c r="D2033">
        <f t="shared" si="255"/>
        <v>8.7821863976669245E-3</v>
      </c>
      <c r="E2033">
        <f>_xlfn.XLOOKUP(A2033,VIX!A:A,VIX!B:B,"",-1)</f>
        <v>14.67</v>
      </c>
      <c r="F2033">
        <f t="shared" si="249"/>
        <v>-0.35999999999999943</v>
      </c>
      <c r="G2033">
        <f>_xlfn.XLOOKUP(A2033,'DGS10'!A:A,'DGS10'!B:B,"",-1)</f>
        <v>4.63</v>
      </c>
      <c r="H2033">
        <f t="shared" si="250"/>
        <v>-4.0000000000000036E-2</v>
      </c>
      <c r="I2033" s="2">
        <f>_xlfn.XLOOKUP(A2033,T10Y3M!A:A,T10Y3M!B:B,"",-1)</f>
        <v>-0.82</v>
      </c>
      <c r="J2033" s="2">
        <f>_xlfn.XLOOKUP(A2033,BAMLC0A4CBBB!A:A,BAMLC0A4CBBB!B:B,"",-1)</f>
        <v>1.1200000000000001</v>
      </c>
      <c r="K2033" s="2">
        <f>_xlfn.XLOOKUP(A2033,CPIAUCSL!A:A,CPIAUCSL!B:B,"",-1)</f>
        <v>313.02300000000002</v>
      </c>
      <c r="L2033">
        <f>_xlfn.XLOOKUP(A2033,DFF!A:A,DFF!B:B,"",-1)</f>
        <v>5.33</v>
      </c>
      <c r="M2033">
        <f>_xlfn.XLOOKUP(A2033,'DGS2'!A:A,'DGS2'!B:B,"",-1)</f>
        <v>4.97</v>
      </c>
      <c r="N2033">
        <f t="shared" si="251"/>
        <v>9.9999999999997868E-3</v>
      </c>
      <c r="O2033">
        <f t="shared" si="252"/>
        <v>-1.5730517164206925E-2</v>
      </c>
      <c r="P2033">
        <f t="shared" si="253"/>
        <v>0</v>
      </c>
      <c r="Q2033">
        <f t="shared" si="254"/>
        <v>-1</v>
      </c>
    </row>
    <row r="2034" spans="1:17">
      <c r="A2034" s="1">
        <v>45412</v>
      </c>
      <c r="B2034">
        <v>5035.6899999999996</v>
      </c>
      <c r="C2034">
        <f t="shared" si="248"/>
        <v>-1.5730517164206925E-2</v>
      </c>
      <c r="D2034">
        <f t="shared" si="255"/>
        <v>-2.5215810095040592E-3</v>
      </c>
      <c r="E2034">
        <f>_xlfn.XLOOKUP(A2034,VIX!A:A,VIX!B:B,"",-1)</f>
        <v>15.65</v>
      </c>
      <c r="F2034">
        <f t="shared" si="249"/>
        <v>0.98000000000000043</v>
      </c>
      <c r="G2034">
        <f>_xlfn.XLOOKUP(A2034,'DGS10'!A:A,'DGS10'!B:B,"",-1)</f>
        <v>4.6900000000000004</v>
      </c>
      <c r="H2034">
        <f t="shared" si="250"/>
        <v>6.0000000000000497E-2</v>
      </c>
      <c r="I2034" s="2">
        <f>_xlfn.XLOOKUP(A2034,T10Y3M!A:A,T10Y3M!B:B,"",-1)</f>
        <v>-0.77</v>
      </c>
      <c r="J2034" s="2">
        <f>_xlfn.XLOOKUP(A2034,BAMLC0A4CBBB!A:A,BAMLC0A4CBBB!B:B,"",-1)</f>
        <v>1.1399999999999999</v>
      </c>
      <c r="K2034" s="2">
        <f>_xlfn.XLOOKUP(A2034,CPIAUCSL!A:A,CPIAUCSL!B:B,"",-1)</f>
        <v>313.02300000000002</v>
      </c>
      <c r="L2034">
        <f>_xlfn.XLOOKUP(A2034,DFF!A:A,DFF!B:B,"",-1)</f>
        <v>5.33</v>
      </c>
      <c r="M2034">
        <f>_xlfn.XLOOKUP(A2034,'DGS2'!A:A,'DGS2'!B:B,"",-1)</f>
        <v>5.04</v>
      </c>
      <c r="N2034">
        <f t="shared" si="251"/>
        <v>7.0000000000000284E-2</v>
      </c>
      <c r="O2034">
        <f t="shared" si="252"/>
        <v>-3.4354775611682431E-3</v>
      </c>
      <c r="P2034">
        <f t="shared" si="253"/>
        <v>0</v>
      </c>
      <c r="Q2034">
        <f t="shared" si="254"/>
        <v>-1</v>
      </c>
    </row>
    <row r="2035" spans="1:17">
      <c r="A2035" s="1">
        <v>45413</v>
      </c>
      <c r="B2035">
        <v>5018.3900000000003</v>
      </c>
      <c r="C2035">
        <f t="shared" si="248"/>
        <v>-3.4354775611682431E-3</v>
      </c>
      <c r="D2035">
        <f t="shared" si="255"/>
        <v>-1.5994243092102622E-2</v>
      </c>
      <c r="E2035">
        <f>_xlfn.XLOOKUP(A2035,VIX!A:A,VIX!B:B,"",-1)</f>
        <v>15.39</v>
      </c>
      <c r="F2035">
        <f t="shared" si="249"/>
        <v>-0.25999999999999979</v>
      </c>
      <c r="G2035">
        <f>_xlfn.XLOOKUP(A2035,'DGS10'!A:A,'DGS10'!B:B,"",-1)</f>
        <v>4.63</v>
      </c>
      <c r="H2035">
        <f t="shared" si="250"/>
        <v>-6.0000000000000497E-2</v>
      </c>
      <c r="I2035" s="2">
        <f>_xlfn.XLOOKUP(A2035,T10Y3M!A:A,T10Y3M!B:B,"",-1)</f>
        <v>-0.83</v>
      </c>
      <c r="J2035" s="2">
        <f>_xlfn.XLOOKUP(A2035,BAMLC0A4CBBB!A:A,BAMLC0A4CBBB!B:B,"",-1)</f>
        <v>1.1399999999999999</v>
      </c>
      <c r="K2035" s="2">
        <f>_xlfn.XLOOKUP(A2035,CPIAUCSL!A:A,CPIAUCSL!B:B,"",-1)</f>
        <v>313.17500000000001</v>
      </c>
      <c r="L2035">
        <f>_xlfn.XLOOKUP(A2035,DFF!A:A,DFF!B:B,"",-1)</f>
        <v>5.33</v>
      </c>
      <c r="M2035">
        <f>_xlfn.XLOOKUP(A2035,'DGS2'!A:A,'DGS2'!B:B,"",-1)</f>
        <v>4.96</v>
      </c>
      <c r="N2035">
        <f t="shared" si="251"/>
        <v>-8.0000000000000071E-2</v>
      </c>
      <c r="O2035">
        <f t="shared" si="252"/>
        <v>9.1284256504575723E-3</v>
      </c>
      <c r="P2035">
        <f t="shared" si="253"/>
        <v>1</v>
      </c>
      <c r="Q2035">
        <f t="shared" si="254"/>
        <v>1</v>
      </c>
    </row>
    <row r="2036" spans="1:17">
      <c r="A2036" s="1">
        <v>45414</v>
      </c>
      <c r="B2036">
        <v>5064.2</v>
      </c>
      <c r="C2036">
        <f t="shared" si="248"/>
        <v>9.1284256504575723E-3</v>
      </c>
      <c r="D2036">
        <f t="shared" si="255"/>
        <v>-1.0157989277135071E-2</v>
      </c>
      <c r="E2036">
        <f>_xlfn.XLOOKUP(A2036,VIX!A:A,VIX!B:B,"",-1)</f>
        <v>14.68</v>
      </c>
      <c r="F2036">
        <f t="shared" si="249"/>
        <v>-0.71000000000000085</v>
      </c>
      <c r="G2036">
        <f>_xlfn.XLOOKUP(A2036,'DGS10'!A:A,'DGS10'!B:B,"",-1)</f>
        <v>4.58</v>
      </c>
      <c r="H2036">
        <f t="shared" si="250"/>
        <v>-4.9999999999999822E-2</v>
      </c>
      <c r="I2036" s="2">
        <f>_xlfn.XLOOKUP(A2036,T10Y3M!A:A,T10Y3M!B:B,"",-1)</f>
        <v>-0.88</v>
      </c>
      <c r="J2036" s="2">
        <f>_xlfn.XLOOKUP(A2036,BAMLC0A4CBBB!A:A,BAMLC0A4CBBB!B:B,"",-1)</f>
        <v>1.1299999999999999</v>
      </c>
      <c r="K2036" s="2">
        <f>_xlfn.XLOOKUP(A2036,CPIAUCSL!A:A,CPIAUCSL!B:B,"",-1)</f>
        <v>313.17500000000001</v>
      </c>
      <c r="L2036">
        <f>_xlfn.XLOOKUP(A2036,DFF!A:A,DFF!B:B,"",-1)</f>
        <v>5.33</v>
      </c>
      <c r="M2036">
        <f>_xlfn.XLOOKUP(A2036,'DGS2'!A:A,'DGS2'!B:B,"",-1)</f>
        <v>4.87</v>
      </c>
      <c r="N2036">
        <f t="shared" si="251"/>
        <v>-8.9999999999999858E-2</v>
      </c>
      <c r="O2036">
        <f t="shared" si="252"/>
        <v>1.2556771059594851E-2</v>
      </c>
      <c r="P2036">
        <f t="shared" si="253"/>
        <v>1</v>
      </c>
      <c r="Q2036">
        <f t="shared" si="254"/>
        <v>1</v>
      </c>
    </row>
    <row r="2037" spans="1:17">
      <c r="A2037" s="1">
        <v>45415</v>
      </c>
      <c r="B2037">
        <v>5127.79</v>
      </c>
      <c r="C2037">
        <f t="shared" si="248"/>
        <v>1.2556771059594851E-2</v>
      </c>
      <c r="D2037">
        <f t="shared" si="255"/>
        <v>1.828944990656689E-2</v>
      </c>
      <c r="E2037">
        <f>_xlfn.XLOOKUP(A2037,VIX!A:A,VIX!B:B,"",-1)</f>
        <v>13.49</v>
      </c>
      <c r="F2037">
        <f t="shared" si="249"/>
        <v>-1.1899999999999995</v>
      </c>
      <c r="G2037">
        <f>_xlfn.XLOOKUP(A2037,'DGS10'!A:A,'DGS10'!B:B,"",-1)</f>
        <v>4.5</v>
      </c>
      <c r="H2037">
        <f t="shared" si="250"/>
        <v>-8.0000000000000071E-2</v>
      </c>
      <c r="I2037" s="2">
        <f>_xlfn.XLOOKUP(A2037,T10Y3M!A:A,T10Y3M!B:B,"",-1)</f>
        <v>-0.95</v>
      </c>
      <c r="J2037" s="2">
        <f>_xlfn.XLOOKUP(A2037,BAMLC0A4CBBB!A:A,BAMLC0A4CBBB!B:B,"",-1)</f>
        <v>1.1100000000000001</v>
      </c>
      <c r="K2037" s="2">
        <f>_xlfn.XLOOKUP(A2037,CPIAUCSL!A:A,CPIAUCSL!B:B,"",-1)</f>
        <v>313.17500000000001</v>
      </c>
      <c r="L2037">
        <f>_xlfn.XLOOKUP(A2037,DFF!A:A,DFF!B:B,"",-1)</f>
        <v>5.33</v>
      </c>
      <c r="M2037">
        <f>_xlfn.XLOOKUP(A2037,'DGS2'!A:A,'DGS2'!B:B,"",-1)</f>
        <v>4.8099999999999996</v>
      </c>
      <c r="N2037">
        <f t="shared" si="251"/>
        <v>-6.0000000000000497E-2</v>
      </c>
      <c r="O2037">
        <f t="shared" si="252"/>
        <v>1.0326085896653403E-2</v>
      </c>
      <c r="P2037">
        <f t="shared" si="253"/>
        <v>1</v>
      </c>
      <c r="Q2037">
        <f t="shared" si="254"/>
        <v>1</v>
      </c>
    </row>
    <row r="2038" spans="1:17">
      <c r="A2038" s="1">
        <v>45418</v>
      </c>
      <c r="B2038">
        <v>5180.74</v>
      </c>
      <c r="C2038">
        <f t="shared" si="248"/>
        <v>1.0326085896653403E-2</v>
      </c>
      <c r="D2038">
        <f t="shared" si="255"/>
        <v>3.2351012974280557E-2</v>
      </c>
      <c r="E2038">
        <f>_xlfn.XLOOKUP(A2038,VIX!A:A,VIX!B:B,"",-1)</f>
        <v>13.49</v>
      </c>
      <c r="F2038">
        <f t="shared" si="249"/>
        <v>0</v>
      </c>
      <c r="G2038">
        <f>_xlfn.XLOOKUP(A2038,'DGS10'!A:A,'DGS10'!B:B,"",-1)</f>
        <v>4.49</v>
      </c>
      <c r="H2038">
        <f t="shared" si="250"/>
        <v>-9.9999999999997868E-3</v>
      </c>
      <c r="I2038" s="2">
        <f>_xlfn.XLOOKUP(A2038,T10Y3M!A:A,T10Y3M!B:B,"",-1)</f>
        <v>-0.96</v>
      </c>
      <c r="J2038" s="2">
        <f>_xlfn.XLOOKUP(A2038,BAMLC0A4CBBB!A:A,BAMLC0A4CBBB!B:B,"",-1)</f>
        <v>1.1000000000000001</v>
      </c>
      <c r="K2038" s="2">
        <f>_xlfn.XLOOKUP(A2038,CPIAUCSL!A:A,CPIAUCSL!B:B,"",-1)</f>
        <v>313.17500000000001</v>
      </c>
      <c r="L2038">
        <f>_xlfn.XLOOKUP(A2038,DFF!A:A,DFF!B:B,"",-1)</f>
        <v>5.33</v>
      </c>
      <c r="M2038">
        <f>_xlfn.XLOOKUP(A2038,'DGS2'!A:A,'DGS2'!B:B,"",-1)</f>
        <v>4.82</v>
      </c>
      <c r="N2038">
        <f t="shared" si="251"/>
        <v>1.0000000000000675E-2</v>
      </c>
      <c r="O2038">
        <f t="shared" si="252"/>
        <v>1.3434374239973401E-3</v>
      </c>
      <c r="P2038">
        <f t="shared" si="253"/>
        <v>1</v>
      </c>
      <c r="Q2038">
        <f t="shared" si="254"/>
        <v>0</v>
      </c>
    </row>
    <row r="2039" spans="1:17">
      <c r="A2039" s="1">
        <v>45419</v>
      </c>
      <c r="B2039">
        <v>5187.7</v>
      </c>
      <c r="C2039">
        <f t="shared" si="248"/>
        <v>1.3434374239973401E-3</v>
      </c>
      <c r="D2039">
        <f t="shared" si="255"/>
        <v>2.438687255637606E-2</v>
      </c>
      <c r="E2039">
        <f>_xlfn.XLOOKUP(A2039,VIX!A:A,VIX!B:B,"",-1)</f>
        <v>13.23</v>
      </c>
      <c r="F2039">
        <f t="shared" si="249"/>
        <v>-0.25999999999999979</v>
      </c>
      <c r="G2039">
        <f>_xlfn.XLOOKUP(A2039,'DGS10'!A:A,'DGS10'!B:B,"",-1)</f>
        <v>4.47</v>
      </c>
      <c r="H2039">
        <f t="shared" si="250"/>
        <v>-2.0000000000000462E-2</v>
      </c>
      <c r="I2039" s="2">
        <f>_xlfn.XLOOKUP(A2039,T10Y3M!A:A,T10Y3M!B:B,"",-1)</f>
        <v>-0.98</v>
      </c>
      <c r="J2039" s="2">
        <f>_xlfn.XLOOKUP(A2039,BAMLC0A4CBBB!A:A,BAMLC0A4CBBB!B:B,"",-1)</f>
        <v>1.1000000000000001</v>
      </c>
      <c r="K2039" s="2">
        <f>_xlfn.XLOOKUP(A2039,CPIAUCSL!A:A,CPIAUCSL!B:B,"",-1)</f>
        <v>313.17500000000001</v>
      </c>
      <c r="L2039">
        <f>_xlfn.XLOOKUP(A2039,DFF!A:A,DFF!B:B,"",-1)</f>
        <v>5.33</v>
      </c>
      <c r="M2039">
        <f>_xlfn.XLOOKUP(A2039,'DGS2'!A:A,'DGS2'!B:B,"",-1)</f>
        <v>4.82</v>
      </c>
      <c r="N2039">
        <f t="shared" si="251"/>
        <v>0</v>
      </c>
      <c r="O2039">
        <f t="shared" si="252"/>
        <v>-5.7829095745365322E-6</v>
      </c>
      <c r="P2039">
        <f t="shared" si="253"/>
        <v>0</v>
      </c>
      <c r="Q2039">
        <f t="shared" si="254"/>
        <v>0</v>
      </c>
    </row>
    <row r="2040" spans="1:17">
      <c r="A2040" s="1">
        <v>45420</v>
      </c>
      <c r="B2040">
        <v>5187.67</v>
      </c>
      <c r="C2040">
        <f t="shared" si="248"/>
        <v>-5.7829095745365322E-6</v>
      </c>
      <c r="D2040">
        <f t="shared" si="255"/>
        <v>1.1677545297291925E-2</v>
      </c>
      <c r="E2040">
        <f>_xlfn.XLOOKUP(A2040,VIX!A:A,VIX!B:B,"",-1)</f>
        <v>13</v>
      </c>
      <c r="F2040">
        <f t="shared" si="249"/>
        <v>-0.23000000000000043</v>
      </c>
      <c r="G2040">
        <f>_xlfn.XLOOKUP(A2040,'DGS10'!A:A,'DGS10'!B:B,"",-1)</f>
        <v>4.4800000000000004</v>
      </c>
      <c r="H2040">
        <f t="shared" si="250"/>
        <v>1.0000000000000675E-2</v>
      </c>
      <c r="I2040" s="2">
        <f>_xlfn.XLOOKUP(A2040,T10Y3M!A:A,T10Y3M!B:B,"",-1)</f>
        <v>-0.97</v>
      </c>
      <c r="J2040" s="2">
        <f>_xlfn.XLOOKUP(A2040,BAMLC0A4CBBB!A:A,BAMLC0A4CBBB!B:B,"",-1)</f>
        <v>1.1100000000000001</v>
      </c>
      <c r="K2040" s="2">
        <f>_xlfn.XLOOKUP(A2040,CPIAUCSL!A:A,CPIAUCSL!B:B,"",-1)</f>
        <v>313.17500000000001</v>
      </c>
      <c r="L2040">
        <f>_xlfn.XLOOKUP(A2040,DFF!A:A,DFF!B:B,"",-1)</f>
        <v>5.33</v>
      </c>
      <c r="M2040">
        <f>_xlfn.XLOOKUP(A2040,'DGS2'!A:A,'DGS2'!B:B,"",-1)</f>
        <v>4.84</v>
      </c>
      <c r="N2040">
        <f t="shared" si="251"/>
        <v>1.9999999999999574E-2</v>
      </c>
      <c r="O2040">
        <f t="shared" si="252"/>
        <v>5.0909175024624886E-3</v>
      </c>
      <c r="P2040">
        <f t="shared" si="253"/>
        <v>1</v>
      </c>
      <c r="Q2040">
        <f t="shared" si="254"/>
        <v>1</v>
      </c>
    </row>
    <row r="2041" spans="1:17">
      <c r="A2041" s="1">
        <v>45421</v>
      </c>
      <c r="B2041">
        <v>5214.08</v>
      </c>
      <c r="C2041">
        <f t="shared" si="248"/>
        <v>5.0909175024624886E-3</v>
      </c>
      <c r="D2041">
        <f t="shared" si="255"/>
        <v>6.4353740971367923E-3</v>
      </c>
      <c r="E2041">
        <f>_xlfn.XLOOKUP(A2041,VIX!A:A,VIX!B:B,"",-1)</f>
        <v>12.69</v>
      </c>
      <c r="F2041">
        <f t="shared" si="249"/>
        <v>-0.3100000000000005</v>
      </c>
      <c r="G2041">
        <f>_xlfn.XLOOKUP(A2041,'DGS10'!A:A,'DGS10'!B:B,"",-1)</f>
        <v>4.45</v>
      </c>
      <c r="H2041">
        <f t="shared" si="250"/>
        <v>-3.0000000000000249E-2</v>
      </c>
      <c r="I2041" s="2">
        <f>_xlfn.XLOOKUP(A2041,T10Y3M!A:A,T10Y3M!B:B,"",-1)</f>
        <v>-1.01</v>
      </c>
      <c r="J2041" s="2">
        <f>_xlfn.XLOOKUP(A2041,BAMLC0A4CBBB!A:A,BAMLC0A4CBBB!B:B,"",-1)</f>
        <v>1.1100000000000001</v>
      </c>
      <c r="K2041" s="2">
        <f>_xlfn.XLOOKUP(A2041,CPIAUCSL!A:A,CPIAUCSL!B:B,"",-1)</f>
        <v>313.17500000000001</v>
      </c>
      <c r="L2041">
        <f>_xlfn.XLOOKUP(A2041,DFF!A:A,DFF!B:B,"",-1)</f>
        <v>5.33</v>
      </c>
      <c r="M2041">
        <f>_xlfn.XLOOKUP(A2041,'DGS2'!A:A,'DGS2'!B:B,"",-1)</f>
        <v>4.8</v>
      </c>
      <c r="N2041">
        <f t="shared" si="251"/>
        <v>-4.0000000000000036E-2</v>
      </c>
      <c r="O2041">
        <f t="shared" si="252"/>
        <v>1.6493801399288799E-3</v>
      </c>
      <c r="P2041">
        <f t="shared" si="253"/>
        <v>1</v>
      </c>
      <c r="Q2041">
        <f t="shared" si="254"/>
        <v>0</v>
      </c>
    </row>
    <row r="2042" spans="1:17">
      <c r="A2042" s="1">
        <v>45422</v>
      </c>
      <c r="B2042">
        <v>5222.68</v>
      </c>
      <c r="C2042">
        <f t="shared" si="248"/>
        <v>1.6493801399288799E-3</v>
      </c>
      <c r="D2042">
        <f t="shared" si="255"/>
        <v>6.7428725639493425E-3</v>
      </c>
      <c r="E2042">
        <f>_xlfn.XLOOKUP(A2042,VIX!A:A,VIX!B:B,"",-1)</f>
        <v>12.55</v>
      </c>
      <c r="F2042">
        <f t="shared" si="249"/>
        <v>-0.13999999999999879</v>
      </c>
      <c r="G2042">
        <f>_xlfn.XLOOKUP(A2042,'DGS10'!A:A,'DGS10'!B:B,"",-1)</f>
        <v>4.5</v>
      </c>
      <c r="H2042">
        <f t="shared" si="250"/>
        <v>4.9999999999999822E-2</v>
      </c>
      <c r="I2042" s="2">
        <f>_xlfn.XLOOKUP(A2042,T10Y3M!A:A,T10Y3M!B:B,"",-1)</f>
        <v>-0.97</v>
      </c>
      <c r="J2042" s="2">
        <f>_xlfn.XLOOKUP(A2042,BAMLC0A4CBBB!A:A,BAMLC0A4CBBB!B:B,"",-1)</f>
        <v>1.1200000000000001</v>
      </c>
      <c r="K2042" s="2">
        <f>_xlfn.XLOOKUP(A2042,CPIAUCSL!A:A,CPIAUCSL!B:B,"",-1)</f>
        <v>313.17500000000001</v>
      </c>
      <c r="L2042">
        <f>_xlfn.XLOOKUP(A2042,DFF!A:A,DFF!B:B,"",-1)</f>
        <v>5.33</v>
      </c>
      <c r="M2042">
        <f>_xlfn.XLOOKUP(A2042,'DGS2'!A:A,'DGS2'!B:B,"",-1)</f>
        <v>4.87</v>
      </c>
      <c r="N2042">
        <f t="shared" si="251"/>
        <v>7.0000000000000284E-2</v>
      </c>
      <c r="O2042">
        <f t="shared" si="252"/>
        <v>-2.4125544739483917E-4</v>
      </c>
      <c r="P2042">
        <f t="shared" si="253"/>
        <v>0</v>
      </c>
      <c r="Q2042">
        <f t="shared" si="254"/>
        <v>0</v>
      </c>
    </row>
    <row r="2043" spans="1:17">
      <c r="A2043" s="1">
        <v>45425</v>
      </c>
      <c r="B2043">
        <v>5221.42</v>
      </c>
      <c r="C2043">
        <f t="shared" si="248"/>
        <v>-2.4125544739483917E-4</v>
      </c>
      <c r="D2043">
        <f t="shared" si="255"/>
        <v>6.5058108939080039E-3</v>
      </c>
      <c r="E2043">
        <f>_xlfn.XLOOKUP(A2043,VIX!A:A,VIX!B:B,"",-1)</f>
        <v>13.6</v>
      </c>
      <c r="F2043">
        <f t="shared" si="249"/>
        <v>1.0499999999999989</v>
      </c>
      <c r="G2043">
        <f>_xlfn.XLOOKUP(A2043,'DGS10'!A:A,'DGS10'!B:B,"",-1)</f>
        <v>4.4800000000000004</v>
      </c>
      <c r="H2043">
        <f t="shared" si="250"/>
        <v>-1.9999999999999574E-2</v>
      </c>
      <c r="I2043" s="2">
        <f>_xlfn.XLOOKUP(A2043,T10Y3M!A:A,T10Y3M!B:B,"",-1)</f>
        <v>-0.97</v>
      </c>
      <c r="J2043" s="2">
        <f>_xlfn.XLOOKUP(A2043,BAMLC0A4CBBB!A:A,BAMLC0A4CBBB!B:B,"",-1)</f>
        <v>1.1200000000000001</v>
      </c>
      <c r="K2043" s="2">
        <f>_xlfn.XLOOKUP(A2043,CPIAUCSL!A:A,CPIAUCSL!B:B,"",-1)</f>
        <v>313.17500000000001</v>
      </c>
      <c r="L2043">
        <f>_xlfn.XLOOKUP(A2043,DFF!A:A,DFF!B:B,"",-1)</f>
        <v>5.33</v>
      </c>
      <c r="M2043">
        <f>_xlfn.XLOOKUP(A2043,'DGS2'!A:A,'DGS2'!B:B,"",-1)</f>
        <v>4.8499999999999996</v>
      </c>
      <c r="N2043">
        <f t="shared" si="251"/>
        <v>-2.0000000000000462E-2</v>
      </c>
      <c r="O2043">
        <f t="shared" si="252"/>
        <v>4.8377644395585229E-3</v>
      </c>
      <c r="P2043">
        <f t="shared" si="253"/>
        <v>1</v>
      </c>
      <c r="Q2043">
        <f t="shared" si="254"/>
        <v>1</v>
      </c>
    </row>
    <row r="2044" spans="1:17">
      <c r="A2044" s="1">
        <v>45426</v>
      </c>
      <c r="B2044">
        <v>5246.68</v>
      </c>
      <c r="C2044">
        <f t="shared" si="248"/>
        <v>4.8377644395585229E-3</v>
      </c>
      <c r="D2044">
        <f t="shared" si="255"/>
        <v>6.2523014606603589E-3</v>
      </c>
      <c r="E2044">
        <f>_xlfn.XLOOKUP(A2044,VIX!A:A,VIX!B:B,"",-1)</f>
        <v>13.42</v>
      </c>
      <c r="F2044">
        <f t="shared" si="249"/>
        <v>-0.17999999999999972</v>
      </c>
      <c r="G2044">
        <f>_xlfn.XLOOKUP(A2044,'DGS10'!A:A,'DGS10'!B:B,"",-1)</f>
        <v>4.45</v>
      </c>
      <c r="H2044">
        <f t="shared" si="250"/>
        <v>-3.0000000000000249E-2</v>
      </c>
      <c r="I2044" s="2">
        <f>_xlfn.XLOOKUP(A2044,T10Y3M!A:A,T10Y3M!B:B,"",-1)</f>
        <v>-0.99</v>
      </c>
      <c r="J2044" s="2">
        <f>_xlfn.XLOOKUP(A2044,BAMLC0A4CBBB!A:A,BAMLC0A4CBBB!B:B,"",-1)</f>
        <v>1.1200000000000001</v>
      </c>
      <c r="K2044" s="2">
        <f>_xlfn.XLOOKUP(A2044,CPIAUCSL!A:A,CPIAUCSL!B:B,"",-1)</f>
        <v>313.17500000000001</v>
      </c>
      <c r="L2044">
        <f>_xlfn.XLOOKUP(A2044,DFF!A:A,DFF!B:B,"",-1)</f>
        <v>5.33</v>
      </c>
      <c r="M2044">
        <f>_xlfn.XLOOKUP(A2044,'DGS2'!A:A,'DGS2'!B:B,"",-1)</f>
        <v>4.8099999999999996</v>
      </c>
      <c r="N2044">
        <f t="shared" si="251"/>
        <v>-4.0000000000000036E-2</v>
      </c>
      <c r="O2044">
        <f t="shared" si="252"/>
        <v>1.1715980391409309E-2</v>
      </c>
      <c r="P2044">
        <f t="shared" si="253"/>
        <v>1</v>
      </c>
      <c r="Q2044">
        <f t="shared" si="254"/>
        <v>1</v>
      </c>
    </row>
    <row r="2045" spans="1:17">
      <c r="A2045" s="1">
        <v>45427</v>
      </c>
      <c r="B2045">
        <v>5308.15</v>
      </c>
      <c r="C2045">
        <f t="shared" si="248"/>
        <v>1.1715980391409309E-2</v>
      </c>
      <c r="D2045">
        <f t="shared" si="255"/>
        <v>1.6365161181615351E-2</v>
      </c>
      <c r="E2045">
        <f>_xlfn.XLOOKUP(A2045,VIX!A:A,VIX!B:B,"",-1)</f>
        <v>12.45</v>
      </c>
      <c r="F2045">
        <f t="shared" si="249"/>
        <v>-0.97000000000000064</v>
      </c>
      <c r="G2045">
        <f>_xlfn.XLOOKUP(A2045,'DGS10'!A:A,'DGS10'!B:B,"",-1)</f>
        <v>4.3600000000000003</v>
      </c>
      <c r="H2045">
        <f t="shared" si="250"/>
        <v>-8.9999999999999858E-2</v>
      </c>
      <c r="I2045" s="2">
        <f>_xlfn.XLOOKUP(A2045,T10Y3M!A:A,T10Y3M!B:B,"",-1)</f>
        <v>-1.0900000000000001</v>
      </c>
      <c r="J2045" s="2">
        <f>_xlfn.XLOOKUP(A2045,BAMLC0A4CBBB!A:A,BAMLC0A4CBBB!B:B,"",-1)</f>
        <v>1.1200000000000001</v>
      </c>
      <c r="K2045" s="2">
        <f>_xlfn.XLOOKUP(A2045,CPIAUCSL!A:A,CPIAUCSL!B:B,"",-1)</f>
        <v>313.17500000000001</v>
      </c>
      <c r="L2045">
        <f>_xlfn.XLOOKUP(A2045,DFF!A:A,DFF!B:B,"",-1)</f>
        <v>5.33</v>
      </c>
      <c r="M2045">
        <f>_xlfn.XLOOKUP(A2045,'DGS2'!A:A,'DGS2'!B:B,"",-1)</f>
        <v>4.7300000000000004</v>
      </c>
      <c r="N2045">
        <f t="shared" si="251"/>
        <v>-7.9999999999999183E-2</v>
      </c>
      <c r="O2045">
        <f t="shared" si="252"/>
        <v>-2.0817045486656305E-3</v>
      </c>
      <c r="P2045">
        <f t="shared" si="253"/>
        <v>0</v>
      </c>
      <c r="Q2045">
        <f t="shared" si="254"/>
        <v>0</v>
      </c>
    </row>
    <row r="2046" spans="1:17">
      <c r="A2046" s="1">
        <v>45428</v>
      </c>
      <c r="B2046">
        <v>5297.1</v>
      </c>
      <c r="C2046">
        <f t="shared" si="248"/>
        <v>-2.0817045486656305E-3</v>
      </c>
      <c r="D2046">
        <f t="shared" si="255"/>
        <v>1.4494141440451136E-2</v>
      </c>
      <c r="E2046">
        <f>_xlfn.XLOOKUP(A2046,VIX!A:A,VIX!B:B,"",-1)</f>
        <v>12.42</v>
      </c>
      <c r="F2046">
        <f t="shared" si="249"/>
        <v>-2.9999999999999361E-2</v>
      </c>
      <c r="G2046">
        <f>_xlfn.XLOOKUP(A2046,'DGS10'!A:A,'DGS10'!B:B,"",-1)</f>
        <v>4.38</v>
      </c>
      <c r="H2046">
        <f t="shared" si="250"/>
        <v>1.9999999999999574E-2</v>
      </c>
      <c r="I2046" s="2">
        <f>_xlfn.XLOOKUP(A2046,T10Y3M!A:A,T10Y3M!B:B,"",-1)</f>
        <v>-1.07</v>
      </c>
      <c r="J2046" s="2">
        <f>_xlfn.XLOOKUP(A2046,BAMLC0A4CBBB!A:A,BAMLC0A4CBBB!B:B,"",-1)</f>
        <v>1.1100000000000001</v>
      </c>
      <c r="K2046" s="2">
        <f>_xlfn.XLOOKUP(A2046,CPIAUCSL!A:A,CPIAUCSL!B:B,"",-1)</f>
        <v>313.17500000000001</v>
      </c>
      <c r="L2046">
        <f>_xlfn.XLOOKUP(A2046,DFF!A:A,DFF!B:B,"",-1)</f>
        <v>5.33</v>
      </c>
      <c r="M2046">
        <f>_xlfn.XLOOKUP(A2046,'DGS2'!A:A,'DGS2'!B:B,"",-1)</f>
        <v>4.78</v>
      </c>
      <c r="N2046">
        <f t="shared" si="251"/>
        <v>4.9999999999999822E-2</v>
      </c>
      <c r="O2046">
        <f t="shared" si="252"/>
        <v>1.1647882803798026E-3</v>
      </c>
      <c r="P2046">
        <f t="shared" si="253"/>
        <v>1</v>
      </c>
      <c r="Q2046">
        <f t="shared" si="254"/>
        <v>0</v>
      </c>
    </row>
    <row r="2047" spans="1:17">
      <c r="A2047" s="1">
        <v>45429</v>
      </c>
      <c r="B2047">
        <v>5303.27</v>
      </c>
      <c r="C2047">
        <f t="shared" si="248"/>
        <v>1.1647882803798026E-3</v>
      </c>
      <c r="D2047">
        <f t="shared" si="255"/>
        <v>1.0785868396776754E-2</v>
      </c>
      <c r="E2047">
        <f>_xlfn.XLOOKUP(A2047,VIX!A:A,VIX!B:B,"",-1)</f>
        <v>11.99</v>
      </c>
      <c r="F2047">
        <f t="shared" si="249"/>
        <v>-0.42999999999999972</v>
      </c>
      <c r="G2047">
        <f>_xlfn.XLOOKUP(A2047,'DGS10'!A:A,'DGS10'!B:B,"",-1)</f>
        <v>4.42</v>
      </c>
      <c r="H2047">
        <f t="shared" si="250"/>
        <v>4.0000000000000036E-2</v>
      </c>
      <c r="I2047" s="2">
        <f>_xlfn.XLOOKUP(A2047,T10Y3M!A:A,T10Y3M!B:B,"",-1)</f>
        <v>-1.04</v>
      </c>
      <c r="J2047" s="2">
        <f>_xlfn.XLOOKUP(A2047,BAMLC0A4CBBB!A:A,BAMLC0A4CBBB!B:B,"",-1)</f>
        <v>1.1100000000000001</v>
      </c>
      <c r="K2047" s="2">
        <f>_xlfn.XLOOKUP(A2047,CPIAUCSL!A:A,CPIAUCSL!B:B,"",-1)</f>
        <v>313.17500000000001</v>
      </c>
      <c r="L2047">
        <f>_xlfn.XLOOKUP(A2047,DFF!A:A,DFF!B:B,"",-1)</f>
        <v>5.33</v>
      </c>
      <c r="M2047">
        <f>_xlfn.XLOOKUP(A2047,'DGS2'!A:A,'DGS2'!B:B,"",-1)</f>
        <v>4.83</v>
      </c>
      <c r="N2047">
        <f t="shared" si="251"/>
        <v>4.9999999999999822E-2</v>
      </c>
      <c r="O2047">
        <f t="shared" si="252"/>
        <v>9.1641572086653689E-4</v>
      </c>
      <c r="P2047">
        <f t="shared" si="253"/>
        <v>1</v>
      </c>
      <c r="Q2047">
        <f t="shared" si="254"/>
        <v>0</v>
      </c>
    </row>
    <row r="2048" spans="1:17">
      <c r="A2048" s="1">
        <v>45432</v>
      </c>
      <c r="B2048">
        <v>5308.13</v>
      </c>
      <c r="C2048">
        <f t="shared" si="248"/>
        <v>9.1641572086653689E-4</v>
      </c>
      <c r="D2048">
        <f t="shared" si="255"/>
        <v>-3.7677910381672675E-6</v>
      </c>
      <c r="E2048">
        <f>_xlfn.XLOOKUP(A2048,VIX!A:A,VIX!B:B,"",-1)</f>
        <v>12.15</v>
      </c>
      <c r="F2048">
        <f t="shared" si="249"/>
        <v>0.16000000000000014</v>
      </c>
      <c r="G2048">
        <f>_xlfn.XLOOKUP(A2048,'DGS10'!A:A,'DGS10'!B:B,"",-1)</f>
        <v>4.4400000000000004</v>
      </c>
      <c r="H2048">
        <f t="shared" si="250"/>
        <v>2.0000000000000462E-2</v>
      </c>
      <c r="I2048" s="2">
        <f>_xlfn.XLOOKUP(A2048,T10Y3M!A:A,T10Y3M!B:B,"",-1)</f>
        <v>-1.01</v>
      </c>
      <c r="J2048" s="2">
        <f>_xlfn.XLOOKUP(A2048,BAMLC0A4CBBB!A:A,BAMLC0A4CBBB!B:B,"",-1)</f>
        <v>1.1000000000000001</v>
      </c>
      <c r="K2048" s="2">
        <f>_xlfn.XLOOKUP(A2048,CPIAUCSL!A:A,CPIAUCSL!B:B,"",-1)</f>
        <v>313.17500000000001</v>
      </c>
      <c r="L2048">
        <f>_xlfn.XLOOKUP(A2048,DFF!A:A,DFF!B:B,"",-1)</f>
        <v>5.33</v>
      </c>
      <c r="M2048">
        <f>_xlfn.XLOOKUP(A2048,'DGS2'!A:A,'DGS2'!B:B,"",-1)</f>
        <v>4.82</v>
      </c>
      <c r="N2048">
        <f t="shared" si="251"/>
        <v>-9.9999999999997868E-3</v>
      </c>
      <c r="O2048">
        <f t="shared" si="252"/>
        <v>2.5018226757822504E-3</v>
      </c>
      <c r="P2048">
        <f t="shared" si="253"/>
        <v>1</v>
      </c>
      <c r="Q2048">
        <f t="shared" si="254"/>
        <v>0</v>
      </c>
    </row>
    <row r="2049" spans="1:17">
      <c r="A2049" s="1">
        <v>45433</v>
      </c>
      <c r="B2049">
        <v>5321.41</v>
      </c>
      <c r="C2049">
        <f t="shared" si="248"/>
        <v>2.5018226757822504E-3</v>
      </c>
      <c r="D2049">
        <f t="shared" si="255"/>
        <v>4.5893035812047955E-3</v>
      </c>
      <c r="E2049">
        <f>_xlfn.XLOOKUP(A2049,VIX!A:A,VIX!B:B,"",-1)</f>
        <v>11.86</v>
      </c>
      <c r="F2049">
        <f t="shared" si="249"/>
        <v>-0.29000000000000092</v>
      </c>
      <c r="G2049">
        <f>_xlfn.XLOOKUP(A2049,'DGS10'!A:A,'DGS10'!B:B,"",-1)</f>
        <v>4.41</v>
      </c>
      <c r="H2049">
        <f t="shared" si="250"/>
        <v>-3.0000000000000249E-2</v>
      </c>
      <c r="I2049" s="2">
        <f>_xlfn.XLOOKUP(A2049,T10Y3M!A:A,T10Y3M!B:B,"",-1)</f>
        <v>-1.04</v>
      </c>
      <c r="J2049" s="2">
        <f>_xlfn.XLOOKUP(A2049,BAMLC0A4CBBB!A:A,BAMLC0A4CBBB!B:B,"",-1)</f>
        <v>1.1000000000000001</v>
      </c>
      <c r="K2049" s="2">
        <f>_xlfn.XLOOKUP(A2049,CPIAUCSL!A:A,CPIAUCSL!B:B,"",-1)</f>
        <v>313.17500000000001</v>
      </c>
      <c r="L2049">
        <f>_xlfn.XLOOKUP(A2049,DFF!A:A,DFF!B:B,"",-1)</f>
        <v>5.33</v>
      </c>
      <c r="M2049">
        <f>_xlfn.XLOOKUP(A2049,'DGS2'!A:A,'DGS2'!B:B,"",-1)</f>
        <v>4.82</v>
      </c>
      <c r="N2049">
        <f t="shared" si="251"/>
        <v>0</v>
      </c>
      <c r="O2049">
        <f t="shared" si="252"/>
        <v>-2.7060497123881921E-3</v>
      </c>
      <c r="P2049">
        <f t="shared" si="253"/>
        <v>0</v>
      </c>
      <c r="Q2049">
        <f t="shared" si="254"/>
        <v>0</v>
      </c>
    </row>
    <row r="2050" spans="1:17">
      <c r="A2050" s="1">
        <v>45434</v>
      </c>
      <c r="B2050">
        <v>5307.01</v>
      </c>
      <c r="C2050">
        <f t="shared" si="248"/>
        <v>-2.7060497123881921E-3</v>
      </c>
      <c r="D2050">
        <f t="shared" si="255"/>
        <v>7.0522526667504692E-4</v>
      </c>
      <c r="E2050">
        <f>_xlfn.XLOOKUP(A2050,VIX!A:A,VIX!B:B,"",-1)</f>
        <v>12.29</v>
      </c>
      <c r="F2050">
        <f t="shared" si="249"/>
        <v>0.42999999999999972</v>
      </c>
      <c r="G2050">
        <f>_xlfn.XLOOKUP(A2050,'DGS10'!A:A,'DGS10'!B:B,"",-1)</f>
        <v>4.43</v>
      </c>
      <c r="H2050">
        <f t="shared" si="250"/>
        <v>1.9999999999999574E-2</v>
      </c>
      <c r="I2050" s="2">
        <f>_xlfn.XLOOKUP(A2050,T10Y3M!A:A,T10Y3M!B:B,"",-1)</f>
        <v>-1.02</v>
      </c>
      <c r="J2050" s="2">
        <f>_xlfn.XLOOKUP(A2050,BAMLC0A4CBBB!A:A,BAMLC0A4CBBB!B:B,"",-1)</f>
        <v>1.1100000000000001</v>
      </c>
      <c r="K2050" s="2">
        <f>_xlfn.XLOOKUP(A2050,CPIAUCSL!A:A,CPIAUCSL!B:B,"",-1)</f>
        <v>313.17500000000001</v>
      </c>
      <c r="L2050">
        <f>_xlfn.XLOOKUP(A2050,DFF!A:A,DFF!B:B,"",-1)</f>
        <v>5.33</v>
      </c>
      <c r="M2050">
        <f>_xlfn.XLOOKUP(A2050,'DGS2'!A:A,'DGS2'!B:B,"",-1)</f>
        <v>4.8600000000000003</v>
      </c>
      <c r="N2050">
        <f t="shared" si="251"/>
        <v>4.0000000000000036E-2</v>
      </c>
      <c r="O2050">
        <f t="shared" si="252"/>
        <v>-7.3808038801509435E-3</v>
      </c>
      <c r="P2050">
        <f t="shared" si="253"/>
        <v>0</v>
      </c>
      <c r="Q2050">
        <f t="shared" si="254"/>
        <v>-1</v>
      </c>
    </row>
    <row r="2051" spans="1:17">
      <c r="A2051" s="1">
        <v>45435</v>
      </c>
      <c r="B2051">
        <v>5267.84</v>
      </c>
      <c r="C2051">
        <f t="shared" si="248"/>
        <v>-7.3808038801509435E-3</v>
      </c>
      <c r="D2051">
        <f t="shared" si="255"/>
        <v>-7.5902436451255051E-3</v>
      </c>
      <c r="E2051">
        <f>_xlfn.XLOOKUP(A2051,VIX!A:A,VIX!B:B,"",-1)</f>
        <v>12.77</v>
      </c>
      <c r="F2051">
        <f t="shared" si="249"/>
        <v>0.48000000000000043</v>
      </c>
      <c r="G2051">
        <f>_xlfn.XLOOKUP(A2051,'DGS10'!A:A,'DGS10'!B:B,"",-1)</f>
        <v>4.47</v>
      </c>
      <c r="H2051">
        <f t="shared" si="250"/>
        <v>4.0000000000000036E-2</v>
      </c>
      <c r="I2051" s="2">
        <f>_xlfn.XLOOKUP(A2051,T10Y3M!A:A,T10Y3M!B:B,"",-1)</f>
        <v>-0.99</v>
      </c>
      <c r="J2051" s="2">
        <f>_xlfn.XLOOKUP(A2051,BAMLC0A4CBBB!A:A,BAMLC0A4CBBB!B:B,"",-1)</f>
        <v>1.1000000000000001</v>
      </c>
      <c r="K2051" s="2">
        <f>_xlfn.XLOOKUP(A2051,CPIAUCSL!A:A,CPIAUCSL!B:B,"",-1)</f>
        <v>313.17500000000001</v>
      </c>
      <c r="L2051">
        <f>_xlfn.XLOOKUP(A2051,DFF!A:A,DFF!B:B,"",-1)</f>
        <v>5.33</v>
      </c>
      <c r="M2051">
        <f>_xlfn.XLOOKUP(A2051,'DGS2'!A:A,'DGS2'!B:B,"",-1)</f>
        <v>4.91</v>
      </c>
      <c r="N2051">
        <f t="shared" si="251"/>
        <v>4.9999999999999822E-2</v>
      </c>
      <c r="O2051">
        <f t="shared" si="252"/>
        <v>7.0009719353663069E-3</v>
      </c>
      <c r="P2051">
        <f t="shared" si="253"/>
        <v>1</v>
      </c>
      <c r="Q2051">
        <f t="shared" si="254"/>
        <v>1</v>
      </c>
    </row>
    <row r="2052" spans="1:17">
      <c r="A2052" s="1">
        <v>45436</v>
      </c>
      <c r="B2052">
        <v>5304.72</v>
      </c>
      <c r="C2052">
        <f t="shared" ref="C2052:C2115" si="256">IF(OR(B2052="",B2051=""),"",(B2052/B2051)-1)</f>
        <v>7.0009719353663069E-3</v>
      </c>
      <c r="D2052">
        <f t="shared" si="255"/>
        <v>-3.1363867847055138E-3</v>
      </c>
      <c r="E2052">
        <f>_xlfn.XLOOKUP(A2052,VIX!A:A,VIX!B:B,"",-1)</f>
        <v>11.93</v>
      </c>
      <c r="F2052">
        <f t="shared" ref="F2052:F2115" si="257">IF(OR(E2052="",E2051=""),"",E2052-E2051)</f>
        <v>-0.83999999999999986</v>
      </c>
      <c r="G2052">
        <f>_xlfn.XLOOKUP(A2052,'DGS10'!A:A,'DGS10'!B:B,"",-1)</f>
        <v>4.46</v>
      </c>
      <c r="H2052">
        <f t="shared" ref="H2052:H2115" si="258">IF(OR(G2052="",G2051=""),"",G2052-G2051)</f>
        <v>-9.9999999999997868E-3</v>
      </c>
      <c r="I2052" s="2">
        <f>_xlfn.XLOOKUP(A2052,T10Y3M!A:A,T10Y3M!B:B,"",-1)</f>
        <v>-1</v>
      </c>
      <c r="J2052" s="2">
        <f>_xlfn.XLOOKUP(A2052,BAMLC0A4CBBB!A:A,BAMLC0A4CBBB!B:B,"",-1)</f>
        <v>1.1000000000000001</v>
      </c>
      <c r="K2052" s="2">
        <f>_xlfn.XLOOKUP(A2052,CPIAUCSL!A:A,CPIAUCSL!B:B,"",-1)</f>
        <v>313.17500000000001</v>
      </c>
      <c r="L2052">
        <f>_xlfn.XLOOKUP(A2052,DFF!A:A,DFF!B:B,"",-1)</f>
        <v>5.33</v>
      </c>
      <c r="M2052">
        <f>_xlfn.XLOOKUP(A2052,'DGS2'!A:A,'DGS2'!B:B,"",-1)</f>
        <v>4.93</v>
      </c>
      <c r="N2052">
        <f t="shared" ref="N2052:N2115" si="259">IF(OR(M2052="",M2051=""),"",M2052-M2051)</f>
        <v>1.9999999999999574E-2</v>
      </c>
      <c r="O2052">
        <f t="shared" ref="O2052:O2115" si="260">IF(OR(B2053="",B2052=""),"",(B2053/B2052)-1)</f>
        <v>2.4883499977379486E-4</v>
      </c>
      <c r="P2052">
        <f t="shared" ref="P2052:P2115" si="261">IF(O2052="","",IF(O2052&gt;0,1,0))</f>
        <v>1</v>
      </c>
      <c r="Q2052">
        <f t="shared" ref="Q2052:Q2115" si="262">IF(O2052="","",IF(O2052&gt;0.003,1,IF(O2052&lt;-0.003,-1,0)))</f>
        <v>0</v>
      </c>
    </row>
    <row r="2053" spans="1:17">
      <c r="A2053" s="1">
        <v>45440</v>
      </c>
      <c r="B2053">
        <v>5306.04</v>
      </c>
      <c r="C2053">
        <f t="shared" si="256"/>
        <v>2.4883499977379486E-4</v>
      </c>
      <c r="D2053">
        <f t="shared" si="255"/>
        <v>-1.8277711931957707E-4</v>
      </c>
      <c r="E2053">
        <f>_xlfn.XLOOKUP(A2053,VIX!A:A,VIX!B:B,"",-1)</f>
        <v>12.92</v>
      </c>
      <c r="F2053">
        <f t="shared" si="257"/>
        <v>0.99000000000000021</v>
      </c>
      <c r="G2053">
        <f>_xlfn.XLOOKUP(A2053,'DGS10'!A:A,'DGS10'!B:B,"",-1)</f>
        <v>4.54</v>
      </c>
      <c r="H2053">
        <f t="shared" si="258"/>
        <v>8.0000000000000071E-2</v>
      </c>
      <c r="I2053" s="2">
        <f>_xlfn.XLOOKUP(A2053,T10Y3M!A:A,T10Y3M!B:B,"",-1)</f>
        <v>-0.92</v>
      </c>
      <c r="J2053" s="2">
        <f>_xlfn.XLOOKUP(A2053,BAMLC0A4CBBB!A:A,BAMLC0A4CBBB!B:B,"",-1)</f>
        <v>1.0900000000000001</v>
      </c>
      <c r="K2053" s="2">
        <f>_xlfn.XLOOKUP(A2053,CPIAUCSL!A:A,CPIAUCSL!B:B,"",-1)</f>
        <v>313.17500000000001</v>
      </c>
      <c r="L2053">
        <f>_xlfn.XLOOKUP(A2053,DFF!A:A,DFF!B:B,"",-1)</f>
        <v>5.33</v>
      </c>
      <c r="M2053">
        <f>_xlfn.XLOOKUP(A2053,'DGS2'!A:A,'DGS2'!B:B,"",-1)</f>
        <v>4.9400000000000004</v>
      </c>
      <c r="N2053">
        <f t="shared" si="259"/>
        <v>1.0000000000000675E-2</v>
      </c>
      <c r="O2053">
        <f t="shared" si="260"/>
        <v>-7.3670760114887823E-3</v>
      </c>
      <c r="P2053">
        <f t="shared" si="261"/>
        <v>0</v>
      </c>
      <c r="Q2053">
        <f t="shared" si="262"/>
        <v>-1</v>
      </c>
    </row>
    <row r="2054" spans="1:17">
      <c r="A2054" s="1">
        <v>45441</v>
      </c>
      <c r="B2054">
        <v>5266.95</v>
      </c>
      <c r="C2054">
        <f t="shared" si="256"/>
        <v>-7.3670760114887823E-3</v>
      </c>
      <c r="D2054">
        <f t="shared" ref="D2054:D2117" si="263">IF(OR(B2054="",B2051=""),"",(B2054/B2051)-1)</f>
        <v>-1.6894970234482276E-4</v>
      </c>
      <c r="E2054">
        <f>_xlfn.XLOOKUP(A2054,VIX!A:A,VIX!B:B,"",-1)</f>
        <v>14.28</v>
      </c>
      <c r="F2054">
        <f t="shared" si="257"/>
        <v>1.3599999999999994</v>
      </c>
      <c r="G2054">
        <f>_xlfn.XLOOKUP(A2054,'DGS10'!A:A,'DGS10'!B:B,"",-1)</f>
        <v>4.6100000000000003</v>
      </c>
      <c r="H2054">
        <f t="shared" si="258"/>
        <v>7.0000000000000284E-2</v>
      </c>
      <c r="I2054" s="2">
        <f>_xlfn.XLOOKUP(A2054,T10Y3M!A:A,T10Y3M!B:B,"",-1)</f>
        <v>-0.85</v>
      </c>
      <c r="J2054" s="2">
        <f>_xlfn.XLOOKUP(A2054,BAMLC0A4CBBB!A:A,BAMLC0A4CBBB!B:B,"",-1)</f>
        <v>1.0900000000000001</v>
      </c>
      <c r="K2054" s="2">
        <f>_xlfn.XLOOKUP(A2054,CPIAUCSL!A:A,CPIAUCSL!B:B,"",-1)</f>
        <v>313.17500000000001</v>
      </c>
      <c r="L2054">
        <f>_xlfn.XLOOKUP(A2054,DFF!A:A,DFF!B:B,"",-1)</f>
        <v>5.33</v>
      </c>
      <c r="M2054">
        <f>_xlfn.XLOOKUP(A2054,'DGS2'!A:A,'DGS2'!B:B,"",-1)</f>
        <v>4.96</v>
      </c>
      <c r="N2054">
        <f t="shared" si="259"/>
        <v>1.9999999999999574E-2</v>
      </c>
      <c r="O2054">
        <f t="shared" si="260"/>
        <v>-5.9749950160910004E-3</v>
      </c>
      <c r="P2054">
        <f t="shared" si="261"/>
        <v>0</v>
      </c>
      <c r="Q2054">
        <f t="shared" si="262"/>
        <v>-1</v>
      </c>
    </row>
    <row r="2055" spans="1:17">
      <c r="A2055" s="1">
        <v>45442</v>
      </c>
      <c r="B2055">
        <v>5235.4799999999996</v>
      </c>
      <c r="C2055">
        <f t="shared" si="256"/>
        <v>-5.9749950160910004E-3</v>
      </c>
      <c r="D2055">
        <f t="shared" si="263"/>
        <v>-1.3052526806315967E-2</v>
      </c>
      <c r="E2055">
        <f>_xlfn.XLOOKUP(A2055,VIX!A:A,VIX!B:B,"",-1)</f>
        <v>14.47</v>
      </c>
      <c r="F2055">
        <f t="shared" si="257"/>
        <v>0.19000000000000128</v>
      </c>
      <c r="G2055">
        <f>_xlfn.XLOOKUP(A2055,'DGS10'!A:A,'DGS10'!B:B,"",-1)</f>
        <v>4.55</v>
      </c>
      <c r="H2055">
        <f t="shared" si="258"/>
        <v>-6.0000000000000497E-2</v>
      </c>
      <c r="I2055" s="2">
        <f>_xlfn.XLOOKUP(A2055,T10Y3M!A:A,T10Y3M!B:B,"",-1)</f>
        <v>-0.91</v>
      </c>
      <c r="J2055" s="2">
        <f>_xlfn.XLOOKUP(A2055,BAMLC0A4CBBB!A:A,BAMLC0A4CBBB!B:B,"",-1)</f>
        <v>1.0900000000000001</v>
      </c>
      <c r="K2055" s="2">
        <f>_xlfn.XLOOKUP(A2055,CPIAUCSL!A:A,CPIAUCSL!B:B,"",-1)</f>
        <v>313.17500000000001</v>
      </c>
      <c r="L2055">
        <f>_xlfn.XLOOKUP(A2055,DFF!A:A,DFF!B:B,"",-1)</f>
        <v>5.33</v>
      </c>
      <c r="M2055">
        <f>_xlfn.XLOOKUP(A2055,'DGS2'!A:A,'DGS2'!B:B,"",-1)</f>
        <v>4.92</v>
      </c>
      <c r="N2055">
        <f t="shared" si="259"/>
        <v>-4.0000000000000036E-2</v>
      </c>
      <c r="O2055">
        <f t="shared" si="260"/>
        <v>8.0279172110295782E-3</v>
      </c>
      <c r="P2055">
        <f t="shared" si="261"/>
        <v>1</v>
      </c>
      <c r="Q2055">
        <f t="shared" si="262"/>
        <v>1</v>
      </c>
    </row>
    <row r="2056" spans="1:17">
      <c r="A2056" s="1">
        <v>45443</v>
      </c>
      <c r="B2056">
        <v>5277.51</v>
      </c>
      <c r="C2056">
        <f t="shared" si="256"/>
        <v>8.0279172110295782E-3</v>
      </c>
      <c r="D2056">
        <f t="shared" si="263"/>
        <v>-5.376891240925441E-3</v>
      </c>
      <c r="E2056">
        <f>_xlfn.XLOOKUP(A2056,VIX!A:A,VIX!B:B,"",-1)</f>
        <v>12.92</v>
      </c>
      <c r="F2056">
        <f t="shared" si="257"/>
        <v>-1.5500000000000007</v>
      </c>
      <c r="G2056">
        <f>_xlfn.XLOOKUP(A2056,'DGS10'!A:A,'DGS10'!B:B,"",-1)</f>
        <v>4.51</v>
      </c>
      <c r="H2056">
        <f t="shared" si="258"/>
        <v>-4.0000000000000036E-2</v>
      </c>
      <c r="I2056" s="2">
        <f>_xlfn.XLOOKUP(A2056,T10Y3M!A:A,T10Y3M!B:B,"",-1)</f>
        <v>-0.95</v>
      </c>
      <c r="J2056" s="2">
        <f>_xlfn.XLOOKUP(A2056,BAMLC0A4CBBB!A:A,BAMLC0A4CBBB!B:B,"",-1)</f>
        <v>1.1000000000000001</v>
      </c>
      <c r="K2056" s="2">
        <f>_xlfn.XLOOKUP(A2056,CPIAUCSL!A:A,CPIAUCSL!B:B,"",-1)</f>
        <v>313.17500000000001</v>
      </c>
      <c r="L2056">
        <f>_xlfn.XLOOKUP(A2056,DFF!A:A,DFF!B:B,"",-1)</f>
        <v>5.33</v>
      </c>
      <c r="M2056">
        <f>_xlfn.XLOOKUP(A2056,'DGS2'!A:A,'DGS2'!B:B,"",-1)</f>
        <v>4.8899999999999997</v>
      </c>
      <c r="N2056">
        <f t="shared" si="259"/>
        <v>-3.0000000000000249E-2</v>
      </c>
      <c r="O2056">
        <f t="shared" si="260"/>
        <v>1.116056625188655E-3</v>
      </c>
      <c r="P2056">
        <f t="shared" si="261"/>
        <v>1</v>
      </c>
      <c r="Q2056">
        <f t="shared" si="262"/>
        <v>0</v>
      </c>
    </row>
    <row r="2057" spans="1:17">
      <c r="A2057" s="1">
        <v>45446</v>
      </c>
      <c r="B2057">
        <v>5283.4</v>
      </c>
      <c r="C2057">
        <f t="shared" si="256"/>
        <v>1.116056625188655E-3</v>
      </c>
      <c r="D2057">
        <f t="shared" si="263"/>
        <v>3.1232496985922342E-3</v>
      </c>
      <c r="E2057">
        <f>_xlfn.XLOOKUP(A2057,VIX!A:A,VIX!B:B,"",-1)</f>
        <v>13.11</v>
      </c>
      <c r="F2057">
        <f t="shared" si="257"/>
        <v>0.1899999999999995</v>
      </c>
      <c r="G2057">
        <f>_xlfn.XLOOKUP(A2057,'DGS10'!A:A,'DGS10'!B:B,"",-1)</f>
        <v>4.41</v>
      </c>
      <c r="H2057">
        <f t="shared" si="258"/>
        <v>-9.9999999999999645E-2</v>
      </c>
      <c r="I2057" s="2">
        <f>_xlfn.XLOOKUP(A2057,T10Y3M!A:A,T10Y3M!B:B,"",-1)</f>
        <v>-1.1100000000000001</v>
      </c>
      <c r="J2057" s="2">
        <f>_xlfn.XLOOKUP(A2057,BAMLC0A4CBBB!A:A,BAMLC0A4CBBB!B:B,"",-1)</f>
        <v>1.1000000000000001</v>
      </c>
      <c r="K2057" s="2">
        <f>_xlfn.XLOOKUP(A2057,CPIAUCSL!A:A,CPIAUCSL!B:B,"",-1)</f>
        <v>313.04399999999998</v>
      </c>
      <c r="L2057">
        <f>_xlfn.XLOOKUP(A2057,DFF!A:A,DFF!B:B,"",-1)</f>
        <v>5.33</v>
      </c>
      <c r="M2057">
        <f>_xlfn.XLOOKUP(A2057,'DGS2'!A:A,'DGS2'!B:B,"",-1)</f>
        <v>4.82</v>
      </c>
      <c r="N2057">
        <f t="shared" si="259"/>
        <v>-6.9999999999999396E-2</v>
      </c>
      <c r="O2057">
        <f t="shared" si="260"/>
        <v>1.5028201536890773E-3</v>
      </c>
      <c r="P2057">
        <f t="shared" si="261"/>
        <v>1</v>
      </c>
      <c r="Q2057">
        <f t="shared" si="262"/>
        <v>0</v>
      </c>
    </row>
    <row r="2058" spans="1:17">
      <c r="A2058" s="1">
        <v>45447</v>
      </c>
      <c r="B2058">
        <v>5291.34</v>
      </c>
      <c r="C2058">
        <f t="shared" si="256"/>
        <v>1.5028201536890773E-3</v>
      </c>
      <c r="D2058">
        <f t="shared" si="263"/>
        <v>1.0669508812945594E-2</v>
      </c>
      <c r="E2058">
        <f>_xlfn.XLOOKUP(A2058,VIX!A:A,VIX!B:B,"",-1)</f>
        <v>13.16</v>
      </c>
      <c r="F2058">
        <f t="shared" si="257"/>
        <v>5.0000000000000711E-2</v>
      </c>
      <c r="G2058">
        <f>_xlfn.XLOOKUP(A2058,'DGS10'!A:A,'DGS10'!B:B,"",-1)</f>
        <v>4.33</v>
      </c>
      <c r="H2058">
        <f t="shared" si="258"/>
        <v>-8.0000000000000071E-2</v>
      </c>
      <c r="I2058" s="2">
        <f>_xlfn.XLOOKUP(A2058,T10Y3M!A:A,T10Y3M!B:B,"",-1)</f>
        <v>-1.19</v>
      </c>
      <c r="J2058" s="2">
        <f>_xlfn.XLOOKUP(A2058,BAMLC0A4CBBB!A:A,BAMLC0A4CBBB!B:B,"",-1)</f>
        <v>1.1100000000000001</v>
      </c>
      <c r="K2058" s="2">
        <f>_xlfn.XLOOKUP(A2058,CPIAUCSL!A:A,CPIAUCSL!B:B,"",-1)</f>
        <v>313.04399999999998</v>
      </c>
      <c r="L2058">
        <f>_xlfn.XLOOKUP(A2058,DFF!A:A,DFF!B:B,"",-1)</f>
        <v>5.33</v>
      </c>
      <c r="M2058">
        <f>_xlfn.XLOOKUP(A2058,'DGS2'!A:A,'DGS2'!B:B,"",-1)</f>
        <v>4.7699999999999996</v>
      </c>
      <c r="N2058">
        <f t="shared" si="259"/>
        <v>-5.0000000000000711E-2</v>
      </c>
      <c r="O2058">
        <f t="shared" si="260"/>
        <v>1.1847660516995706E-2</v>
      </c>
      <c r="P2058">
        <f t="shared" si="261"/>
        <v>1</v>
      </c>
      <c r="Q2058">
        <f t="shared" si="262"/>
        <v>1</v>
      </c>
    </row>
    <row r="2059" spans="1:17">
      <c r="A2059" s="1">
        <v>45448</v>
      </c>
      <c r="B2059">
        <v>5354.03</v>
      </c>
      <c r="C2059">
        <f t="shared" si="256"/>
        <v>1.1847660516995706E-2</v>
      </c>
      <c r="D2059">
        <f t="shared" si="263"/>
        <v>1.4499261962554133E-2</v>
      </c>
      <c r="E2059">
        <f>_xlfn.XLOOKUP(A2059,VIX!A:A,VIX!B:B,"",-1)</f>
        <v>12.63</v>
      </c>
      <c r="F2059">
        <f t="shared" si="257"/>
        <v>-0.52999999999999936</v>
      </c>
      <c r="G2059">
        <f>_xlfn.XLOOKUP(A2059,'DGS10'!A:A,'DGS10'!B:B,"",-1)</f>
        <v>4.29</v>
      </c>
      <c r="H2059">
        <f t="shared" si="258"/>
        <v>-4.0000000000000036E-2</v>
      </c>
      <c r="I2059" s="2">
        <f>_xlfn.XLOOKUP(A2059,T10Y3M!A:A,T10Y3M!B:B,"",-1)</f>
        <v>-1.22</v>
      </c>
      <c r="J2059" s="2">
        <f>_xlfn.XLOOKUP(A2059,BAMLC0A4CBBB!A:A,BAMLC0A4CBBB!B:B,"",-1)</f>
        <v>1.1299999999999999</v>
      </c>
      <c r="K2059" s="2">
        <f>_xlfn.XLOOKUP(A2059,CPIAUCSL!A:A,CPIAUCSL!B:B,"",-1)</f>
        <v>313.04399999999998</v>
      </c>
      <c r="L2059">
        <f>_xlfn.XLOOKUP(A2059,DFF!A:A,DFF!B:B,"",-1)</f>
        <v>5.33</v>
      </c>
      <c r="M2059">
        <f>_xlfn.XLOOKUP(A2059,'DGS2'!A:A,'DGS2'!B:B,"",-1)</f>
        <v>4.72</v>
      </c>
      <c r="N2059">
        <f t="shared" si="259"/>
        <v>-4.9999999999999822E-2</v>
      </c>
      <c r="O2059">
        <f t="shared" si="260"/>
        <v>-1.9984945919238051E-4</v>
      </c>
      <c r="P2059">
        <f t="shared" si="261"/>
        <v>0</v>
      </c>
      <c r="Q2059">
        <f t="shared" si="262"/>
        <v>0</v>
      </c>
    </row>
    <row r="2060" spans="1:17">
      <c r="A2060" s="1">
        <v>45449</v>
      </c>
      <c r="B2060">
        <v>5352.96</v>
      </c>
      <c r="C2060">
        <f t="shared" si="256"/>
        <v>-1.9984945919238051E-4</v>
      </c>
      <c r="D2060">
        <f t="shared" si="263"/>
        <v>1.3165764469849073E-2</v>
      </c>
      <c r="E2060">
        <f>_xlfn.XLOOKUP(A2060,VIX!A:A,VIX!B:B,"",-1)</f>
        <v>12.58</v>
      </c>
      <c r="F2060">
        <f t="shared" si="257"/>
        <v>-5.0000000000000711E-2</v>
      </c>
      <c r="G2060">
        <f>_xlfn.XLOOKUP(A2060,'DGS10'!A:A,'DGS10'!B:B,"",-1)</f>
        <v>4.28</v>
      </c>
      <c r="H2060">
        <f t="shared" si="258"/>
        <v>-9.9999999999997868E-3</v>
      </c>
      <c r="I2060" s="2">
        <f>_xlfn.XLOOKUP(A2060,T10Y3M!A:A,T10Y3M!B:B,"",-1)</f>
        <v>-1.23</v>
      </c>
      <c r="J2060" s="2">
        <f>_xlfn.XLOOKUP(A2060,BAMLC0A4CBBB!A:A,BAMLC0A4CBBB!B:B,"",-1)</f>
        <v>1.1299999999999999</v>
      </c>
      <c r="K2060" s="2">
        <f>_xlfn.XLOOKUP(A2060,CPIAUCSL!A:A,CPIAUCSL!B:B,"",-1)</f>
        <v>313.04399999999998</v>
      </c>
      <c r="L2060">
        <f>_xlfn.XLOOKUP(A2060,DFF!A:A,DFF!B:B,"",-1)</f>
        <v>5.33</v>
      </c>
      <c r="M2060">
        <f>_xlfn.XLOOKUP(A2060,'DGS2'!A:A,'DGS2'!B:B,"",-1)</f>
        <v>4.72</v>
      </c>
      <c r="N2060">
        <f t="shared" si="259"/>
        <v>0</v>
      </c>
      <c r="O2060">
        <f t="shared" si="260"/>
        <v>-1.1152708034434244E-3</v>
      </c>
      <c r="P2060">
        <f t="shared" si="261"/>
        <v>0</v>
      </c>
      <c r="Q2060">
        <f t="shared" si="262"/>
        <v>0</v>
      </c>
    </row>
    <row r="2061" spans="1:17">
      <c r="A2061" s="1">
        <v>45450</v>
      </c>
      <c r="B2061">
        <v>5346.99</v>
      </c>
      <c r="C2061">
        <f t="shared" si="256"/>
        <v>-1.1152708034434244E-3</v>
      </c>
      <c r="D2061">
        <f t="shared" si="263"/>
        <v>1.0517184682896863E-2</v>
      </c>
      <c r="E2061">
        <f>_xlfn.XLOOKUP(A2061,VIX!A:A,VIX!B:B,"",-1)</f>
        <v>12.22</v>
      </c>
      <c r="F2061">
        <f t="shared" si="257"/>
        <v>-0.35999999999999943</v>
      </c>
      <c r="G2061">
        <f>_xlfn.XLOOKUP(A2061,'DGS10'!A:A,'DGS10'!B:B,"",-1)</f>
        <v>4.43</v>
      </c>
      <c r="H2061">
        <f t="shared" si="258"/>
        <v>0.14999999999999947</v>
      </c>
      <c r="I2061" s="2">
        <f>_xlfn.XLOOKUP(A2061,T10Y3M!A:A,T10Y3M!B:B,"",-1)</f>
        <v>-1.0900000000000001</v>
      </c>
      <c r="J2061" s="2">
        <f>_xlfn.XLOOKUP(A2061,BAMLC0A4CBBB!A:A,BAMLC0A4CBBB!B:B,"",-1)</f>
        <v>1.1200000000000001</v>
      </c>
      <c r="K2061" s="2">
        <f>_xlfn.XLOOKUP(A2061,CPIAUCSL!A:A,CPIAUCSL!B:B,"",-1)</f>
        <v>313.04399999999998</v>
      </c>
      <c r="L2061">
        <f>_xlfn.XLOOKUP(A2061,DFF!A:A,DFF!B:B,"",-1)</f>
        <v>5.33</v>
      </c>
      <c r="M2061">
        <f>_xlfn.XLOOKUP(A2061,'DGS2'!A:A,'DGS2'!B:B,"",-1)</f>
        <v>4.87</v>
      </c>
      <c r="N2061">
        <f t="shared" si="259"/>
        <v>0.15000000000000036</v>
      </c>
      <c r="O2061">
        <f t="shared" si="260"/>
        <v>2.5808913052016713E-3</v>
      </c>
      <c r="P2061">
        <f t="shared" si="261"/>
        <v>1</v>
      </c>
      <c r="Q2061">
        <f t="shared" si="262"/>
        <v>0</v>
      </c>
    </row>
    <row r="2062" spans="1:17">
      <c r="A2062" s="1">
        <v>45453</v>
      </c>
      <c r="B2062">
        <v>5360.79</v>
      </c>
      <c r="C2062">
        <f t="shared" si="256"/>
        <v>2.5808913052016713E-3</v>
      </c>
      <c r="D2062">
        <f t="shared" si="263"/>
        <v>1.2626003216269499E-3</v>
      </c>
      <c r="E2062">
        <f>_xlfn.XLOOKUP(A2062,VIX!A:A,VIX!B:B,"",-1)</f>
        <v>12.74</v>
      </c>
      <c r="F2062">
        <f t="shared" si="257"/>
        <v>0.51999999999999957</v>
      </c>
      <c r="G2062">
        <f>_xlfn.XLOOKUP(A2062,'DGS10'!A:A,'DGS10'!B:B,"",-1)</f>
        <v>4.47</v>
      </c>
      <c r="H2062">
        <f t="shared" si="258"/>
        <v>4.0000000000000036E-2</v>
      </c>
      <c r="I2062" s="2">
        <f>_xlfn.XLOOKUP(A2062,T10Y3M!A:A,T10Y3M!B:B,"",-1)</f>
        <v>-1.05</v>
      </c>
      <c r="J2062" s="2">
        <f>_xlfn.XLOOKUP(A2062,BAMLC0A4CBBB!A:A,BAMLC0A4CBBB!B:B,"",-1)</f>
        <v>1.1200000000000001</v>
      </c>
      <c r="K2062" s="2">
        <f>_xlfn.XLOOKUP(A2062,CPIAUCSL!A:A,CPIAUCSL!B:B,"",-1)</f>
        <v>313.04399999999998</v>
      </c>
      <c r="L2062">
        <f>_xlfn.XLOOKUP(A2062,DFF!A:A,DFF!B:B,"",-1)</f>
        <v>5.33</v>
      </c>
      <c r="M2062">
        <f>_xlfn.XLOOKUP(A2062,'DGS2'!A:A,'DGS2'!B:B,"",-1)</f>
        <v>4.87</v>
      </c>
      <c r="N2062">
        <f t="shared" si="259"/>
        <v>0</v>
      </c>
      <c r="O2062">
        <f t="shared" si="260"/>
        <v>2.7104214117694703E-3</v>
      </c>
      <c r="P2062">
        <f t="shared" si="261"/>
        <v>1</v>
      </c>
      <c r="Q2062">
        <f t="shared" si="262"/>
        <v>0</v>
      </c>
    </row>
    <row r="2063" spans="1:17">
      <c r="A2063" s="1">
        <v>45454</v>
      </c>
      <c r="B2063">
        <v>5375.32</v>
      </c>
      <c r="C2063">
        <f t="shared" si="256"/>
        <v>2.7104214117694703E-3</v>
      </c>
      <c r="D2063">
        <f t="shared" si="263"/>
        <v>4.1771281683404826E-3</v>
      </c>
      <c r="E2063">
        <f>_xlfn.XLOOKUP(A2063,VIX!A:A,VIX!B:B,"",-1)</f>
        <v>12.85</v>
      </c>
      <c r="F2063">
        <f t="shared" si="257"/>
        <v>0.10999999999999943</v>
      </c>
      <c r="G2063">
        <f>_xlfn.XLOOKUP(A2063,'DGS10'!A:A,'DGS10'!B:B,"",-1)</f>
        <v>4.3899999999999997</v>
      </c>
      <c r="H2063">
        <f t="shared" si="258"/>
        <v>-8.0000000000000071E-2</v>
      </c>
      <c r="I2063" s="2">
        <f>_xlfn.XLOOKUP(A2063,T10Y3M!A:A,T10Y3M!B:B,"",-1)</f>
        <v>-1.1299999999999999</v>
      </c>
      <c r="J2063" s="2">
        <f>_xlfn.XLOOKUP(A2063,BAMLC0A4CBBB!A:A,BAMLC0A4CBBB!B:B,"",-1)</f>
        <v>1.1200000000000001</v>
      </c>
      <c r="K2063" s="2">
        <f>_xlfn.XLOOKUP(A2063,CPIAUCSL!A:A,CPIAUCSL!B:B,"",-1)</f>
        <v>313.04399999999998</v>
      </c>
      <c r="L2063">
        <f>_xlfn.XLOOKUP(A2063,DFF!A:A,DFF!B:B,"",-1)</f>
        <v>5.33</v>
      </c>
      <c r="M2063">
        <f>_xlfn.XLOOKUP(A2063,'DGS2'!A:A,'DGS2'!B:B,"",-1)</f>
        <v>4.8099999999999996</v>
      </c>
      <c r="N2063">
        <f t="shared" si="259"/>
        <v>-6.0000000000000497E-2</v>
      </c>
      <c r="O2063">
        <f t="shared" si="260"/>
        <v>8.503679780924589E-3</v>
      </c>
      <c r="P2063">
        <f t="shared" si="261"/>
        <v>1</v>
      </c>
      <c r="Q2063">
        <f t="shared" si="262"/>
        <v>1</v>
      </c>
    </row>
    <row r="2064" spans="1:17">
      <c r="A2064" s="1">
        <v>45455</v>
      </c>
      <c r="B2064">
        <v>5421.03</v>
      </c>
      <c r="C2064">
        <f t="shared" si="256"/>
        <v>8.503679780924589E-3</v>
      </c>
      <c r="D2064">
        <f t="shared" si="263"/>
        <v>1.3847042915733798E-2</v>
      </c>
      <c r="E2064">
        <f>_xlfn.XLOOKUP(A2064,VIX!A:A,VIX!B:B,"",-1)</f>
        <v>12.04</v>
      </c>
      <c r="F2064">
        <f t="shared" si="257"/>
        <v>-0.8100000000000005</v>
      </c>
      <c r="G2064">
        <f>_xlfn.XLOOKUP(A2064,'DGS10'!A:A,'DGS10'!B:B,"",-1)</f>
        <v>4.3099999999999996</v>
      </c>
      <c r="H2064">
        <f t="shared" si="258"/>
        <v>-8.0000000000000071E-2</v>
      </c>
      <c r="I2064" s="2">
        <f>_xlfn.XLOOKUP(A2064,T10Y3M!A:A,T10Y3M!B:B,"",-1)</f>
        <v>-1.2</v>
      </c>
      <c r="J2064" s="2">
        <f>_xlfn.XLOOKUP(A2064,BAMLC0A4CBBB!A:A,BAMLC0A4CBBB!B:B,"",-1)</f>
        <v>1.1200000000000001</v>
      </c>
      <c r="K2064" s="2">
        <f>_xlfn.XLOOKUP(A2064,CPIAUCSL!A:A,CPIAUCSL!B:B,"",-1)</f>
        <v>313.04399999999998</v>
      </c>
      <c r="L2064">
        <f>_xlfn.XLOOKUP(A2064,DFF!A:A,DFF!B:B,"",-1)</f>
        <v>5.33</v>
      </c>
      <c r="M2064">
        <f>_xlfn.XLOOKUP(A2064,'DGS2'!A:A,'DGS2'!B:B,"",-1)</f>
        <v>4.75</v>
      </c>
      <c r="N2064">
        <f t="shared" si="259"/>
        <v>-5.9999999999999609E-2</v>
      </c>
      <c r="O2064">
        <f t="shared" si="260"/>
        <v>2.3445728948188194E-3</v>
      </c>
      <c r="P2064">
        <f t="shared" si="261"/>
        <v>1</v>
      </c>
      <c r="Q2064">
        <f t="shared" si="262"/>
        <v>0</v>
      </c>
    </row>
    <row r="2065" spans="1:17">
      <c r="A2065" s="1">
        <v>45456</v>
      </c>
      <c r="B2065">
        <v>5433.74</v>
      </c>
      <c r="C2065">
        <f t="shared" si="256"/>
        <v>2.3445728948188194E-3</v>
      </c>
      <c r="D2065">
        <f t="shared" si="263"/>
        <v>1.3608068959985342E-2</v>
      </c>
      <c r="E2065">
        <f>_xlfn.XLOOKUP(A2065,VIX!A:A,VIX!B:B,"",-1)</f>
        <v>11.94</v>
      </c>
      <c r="F2065">
        <f t="shared" si="257"/>
        <v>-9.9999999999999645E-2</v>
      </c>
      <c r="G2065">
        <f>_xlfn.XLOOKUP(A2065,'DGS10'!A:A,'DGS10'!B:B,"",-1)</f>
        <v>4.24</v>
      </c>
      <c r="H2065">
        <f t="shared" si="258"/>
        <v>-6.9999999999999396E-2</v>
      </c>
      <c r="I2065" s="2">
        <f>_xlfn.XLOOKUP(A2065,T10Y3M!A:A,T10Y3M!B:B,"",-1)</f>
        <v>-1.27</v>
      </c>
      <c r="J2065" s="2">
        <f>_xlfn.XLOOKUP(A2065,BAMLC0A4CBBB!A:A,BAMLC0A4CBBB!B:B,"",-1)</f>
        <v>1.1399999999999999</v>
      </c>
      <c r="K2065" s="2">
        <f>_xlfn.XLOOKUP(A2065,CPIAUCSL!A:A,CPIAUCSL!B:B,"",-1)</f>
        <v>313.04399999999998</v>
      </c>
      <c r="L2065">
        <f>_xlfn.XLOOKUP(A2065,DFF!A:A,DFF!B:B,"",-1)</f>
        <v>5.33</v>
      </c>
      <c r="M2065">
        <f>_xlfn.XLOOKUP(A2065,'DGS2'!A:A,'DGS2'!B:B,"",-1)</f>
        <v>4.68</v>
      </c>
      <c r="N2065">
        <f t="shared" si="259"/>
        <v>-7.0000000000000284E-2</v>
      </c>
      <c r="O2065">
        <f t="shared" si="260"/>
        <v>-3.9383555341243603E-4</v>
      </c>
      <c r="P2065">
        <f t="shared" si="261"/>
        <v>0</v>
      </c>
      <c r="Q2065">
        <f t="shared" si="262"/>
        <v>0</v>
      </c>
    </row>
    <row r="2066" spans="1:17">
      <c r="A2066" s="1">
        <v>45457</v>
      </c>
      <c r="B2066">
        <v>5431.6</v>
      </c>
      <c r="C2066">
        <f t="shared" si="256"/>
        <v>-3.9383555341243603E-4</v>
      </c>
      <c r="D2066">
        <f t="shared" si="263"/>
        <v>1.0470074339760327E-2</v>
      </c>
      <c r="E2066">
        <f>_xlfn.XLOOKUP(A2066,VIX!A:A,VIX!B:B,"",-1)</f>
        <v>12.66</v>
      </c>
      <c r="F2066">
        <f t="shared" si="257"/>
        <v>0.72000000000000064</v>
      </c>
      <c r="G2066">
        <f>_xlfn.XLOOKUP(A2066,'DGS10'!A:A,'DGS10'!B:B,"",-1)</f>
        <v>4.2</v>
      </c>
      <c r="H2066">
        <f t="shared" si="258"/>
        <v>-4.0000000000000036E-2</v>
      </c>
      <c r="I2066" s="2">
        <f>_xlfn.XLOOKUP(A2066,T10Y3M!A:A,T10Y3M!B:B,"",-1)</f>
        <v>-1.31</v>
      </c>
      <c r="J2066" s="2">
        <f>_xlfn.XLOOKUP(A2066,BAMLC0A4CBBB!A:A,BAMLC0A4CBBB!B:B,"",-1)</f>
        <v>1.17</v>
      </c>
      <c r="K2066" s="2">
        <f>_xlfn.XLOOKUP(A2066,CPIAUCSL!A:A,CPIAUCSL!B:B,"",-1)</f>
        <v>313.04399999999998</v>
      </c>
      <c r="L2066">
        <f>_xlfn.XLOOKUP(A2066,DFF!A:A,DFF!B:B,"",-1)</f>
        <v>5.33</v>
      </c>
      <c r="M2066">
        <f>_xlfn.XLOOKUP(A2066,'DGS2'!A:A,'DGS2'!B:B,"",-1)</f>
        <v>4.67</v>
      </c>
      <c r="N2066">
        <f t="shared" si="259"/>
        <v>-9.9999999999997868E-3</v>
      </c>
      <c r="O2066">
        <f t="shared" si="260"/>
        <v>7.6644082774870448E-3</v>
      </c>
      <c r="P2066">
        <f t="shared" si="261"/>
        <v>1</v>
      </c>
      <c r="Q2066">
        <f t="shared" si="262"/>
        <v>1</v>
      </c>
    </row>
    <row r="2067" spans="1:17">
      <c r="A2067" s="1">
        <v>45460</v>
      </c>
      <c r="B2067">
        <v>5473.23</v>
      </c>
      <c r="C2067">
        <f t="shared" si="256"/>
        <v>7.6644082774870448E-3</v>
      </c>
      <c r="D2067">
        <f t="shared" si="263"/>
        <v>9.6291664130248034E-3</v>
      </c>
      <c r="E2067">
        <f>_xlfn.XLOOKUP(A2067,VIX!A:A,VIX!B:B,"",-1)</f>
        <v>12.75</v>
      </c>
      <c r="F2067">
        <f t="shared" si="257"/>
        <v>8.9999999999999858E-2</v>
      </c>
      <c r="G2067">
        <f>_xlfn.XLOOKUP(A2067,'DGS10'!A:A,'DGS10'!B:B,"",-1)</f>
        <v>4.28</v>
      </c>
      <c r="H2067">
        <f t="shared" si="258"/>
        <v>8.0000000000000071E-2</v>
      </c>
      <c r="I2067" s="2">
        <f>_xlfn.XLOOKUP(A2067,T10Y3M!A:A,T10Y3M!B:B,"",-1)</f>
        <v>-1.24</v>
      </c>
      <c r="J2067" s="2">
        <f>_xlfn.XLOOKUP(A2067,BAMLC0A4CBBB!A:A,BAMLC0A4CBBB!B:B,"",-1)</f>
        <v>1.17</v>
      </c>
      <c r="K2067" s="2">
        <f>_xlfn.XLOOKUP(A2067,CPIAUCSL!A:A,CPIAUCSL!B:B,"",-1)</f>
        <v>313.04399999999998</v>
      </c>
      <c r="L2067">
        <f>_xlfn.XLOOKUP(A2067,DFF!A:A,DFF!B:B,"",-1)</f>
        <v>5.33</v>
      </c>
      <c r="M2067">
        <f>_xlfn.XLOOKUP(A2067,'DGS2'!A:A,'DGS2'!B:B,"",-1)</f>
        <v>4.75</v>
      </c>
      <c r="N2067">
        <f t="shared" si="259"/>
        <v>8.0000000000000071E-2</v>
      </c>
      <c r="O2067">
        <f t="shared" si="260"/>
        <v>2.5213630708009749E-3</v>
      </c>
      <c r="P2067">
        <f t="shared" si="261"/>
        <v>1</v>
      </c>
      <c r="Q2067">
        <f t="shared" si="262"/>
        <v>0</v>
      </c>
    </row>
    <row r="2068" spans="1:17">
      <c r="A2068" s="1">
        <v>45461</v>
      </c>
      <c r="B2068">
        <v>5487.03</v>
      </c>
      <c r="C2068">
        <f t="shared" si="256"/>
        <v>2.5213630708009749E-3</v>
      </c>
      <c r="D2068">
        <f t="shared" si="263"/>
        <v>9.8072414211942682E-3</v>
      </c>
      <c r="E2068">
        <f>_xlfn.XLOOKUP(A2068,VIX!A:A,VIX!B:B,"",-1)</f>
        <v>12.3</v>
      </c>
      <c r="F2068">
        <f t="shared" si="257"/>
        <v>-0.44999999999999929</v>
      </c>
      <c r="G2068">
        <f>_xlfn.XLOOKUP(A2068,'DGS10'!A:A,'DGS10'!B:B,"",-1)</f>
        <v>4.22</v>
      </c>
      <c r="H2068">
        <f t="shared" si="258"/>
        <v>-6.0000000000000497E-2</v>
      </c>
      <c r="I2068" s="2">
        <f>_xlfn.XLOOKUP(A2068,T10Y3M!A:A,T10Y3M!B:B,"",-1)</f>
        <v>-1.28</v>
      </c>
      <c r="J2068" s="2">
        <f>_xlfn.XLOOKUP(A2068,BAMLC0A4CBBB!A:A,BAMLC0A4CBBB!B:B,"",-1)</f>
        <v>1.17</v>
      </c>
      <c r="K2068" s="2">
        <f>_xlfn.XLOOKUP(A2068,CPIAUCSL!A:A,CPIAUCSL!B:B,"",-1)</f>
        <v>313.04399999999998</v>
      </c>
      <c r="L2068">
        <f>_xlfn.XLOOKUP(A2068,DFF!A:A,DFF!B:B,"",-1)</f>
        <v>5.33</v>
      </c>
      <c r="M2068">
        <f>_xlfn.XLOOKUP(A2068,'DGS2'!A:A,'DGS2'!B:B,"",-1)</f>
        <v>4.6900000000000004</v>
      </c>
      <c r="N2068">
        <f t="shared" si="259"/>
        <v>-5.9999999999999609E-2</v>
      </c>
      <c r="O2068">
        <f t="shared" si="260"/>
        <v>-2.5259566650810417E-3</v>
      </c>
      <c r="P2068">
        <f t="shared" si="261"/>
        <v>0</v>
      </c>
      <c r="Q2068">
        <f t="shared" si="262"/>
        <v>0</v>
      </c>
    </row>
    <row r="2069" spans="1:17">
      <c r="A2069" s="1">
        <v>45463</v>
      </c>
      <c r="B2069">
        <v>5473.17</v>
      </c>
      <c r="C2069">
        <f t="shared" si="256"/>
        <v>-2.5259566650810417E-3</v>
      </c>
      <c r="D2069">
        <f t="shared" si="263"/>
        <v>7.653361808675152E-3</v>
      </c>
      <c r="E2069">
        <f>_xlfn.XLOOKUP(A2069,VIX!A:A,VIX!B:B,"",-1)</f>
        <v>13.28</v>
      </c>
      <c r="F2069">
        <f t="shared" si="257"/>
        <v>0.97999999999999865</v>
      </c>
      <c r="G2069">
        <f>_xlfn.XLOOKUP(A2069,'DGS10'!A:A,'DGS10'!B:B,"",-1)</f>
        <v>4.25</v>
      </c>
      <c r="H2069">
        <f t="shared" si="258"/>
        <v>3.0000000000000249E-2</v>
      </c>
      <c r="I2069" s="2">
        <f>_xlfn.XLOOKUP(A2069,T10Y3M!A:A,T10Y3M!B:B,"",-1)</f>
        <v>-1.25</v>
      </c>
      <c r="J2069" s="2">
        <f>_xlfn.XLOOKUP(A2069,BAMLC0A4CBBB!A:A,BAMLC0A4CBBB!B:B,"",-1)</f>
        <v>1.18</v>
      </c>
      <c r="K2069" s="2">
        <f>_xlfn.XLOOKUP(A2069,CPIAUCSL!A:A,CPIAUCSL!B:B,"",-1)</f>
        <v>313.04399999999998</v>
      </c>
      <c r="L2069">
        <f>_xlfn.XLOOKUP(A2069,DFF!A:A,DFF!B:B,"",-1)</f>
        <v>5.33</v>
      </c>
      <c r="M2069">
        <f>_xlfn.XLOOKUP(A2069,'DGS2'!A:A,'DGS2'!B:B,"",-1)</f>
        <v>4.7</v>
      </c>
      <c r="N2069">
        <f t="shared" si="259"/>
        <v>9.9999999999997868E-3</v>
      </c>
      <c r="O2069">
        <f t="shared" si="260"/>
        <v>-1.5621659842468549E-3</v>
      </c>
      <c r="P2069">
        <f t="shared" si="261"/>
        <v>0</v>
      </c>
      <c r="Q2069">
        <f t="shared" si="262"/>
        <v>0</v>
      </c>
    </row>
    <row r="2070" spans="1:17">
      <c r="A2070" s="1">
        <v>45464</v>
      </c>
      <c r="B2070">
        <v>5464.62</v>
      </c>
      <c r="C2070">
        <f t="shared" si="256"/>
        <v>-1.5621659842468549E-3</v>
      </c>
      <c r="D2070">
        <f t="shared" si="263"/>
        <v>-1.5731113072170455E-3</v>
      </c>
      <c r="E2070">
        <f>_xlfn.XLOOKUP(A2070,VIX!A:A,VIX!B:B,"",-1)</f>
        <v>13.2</v>
      </c>
      <c r="F2070">
        <f t="shared" si="257"/>
        <v>-8.0000000000000071E-2</v>
      </c>
      <c r="G2070">
        <f>_xlfn.XLOOKUP(A2070,'DGS10'!A:A,'DGS10'!B:B,"",-1)</f>
        <v>4.25</v>
      </c>
      <c r="H2070">
        <f t="shared" si="258"/>
        <v>0</v>
      </c>
      <c r="I2070" s="2">
        <f>_xlfn.XLOOKUP(A2070,T10Y3M!A:A,T10Y3M!B:B,"",-1)</f>
        <v>-1.24</v>
      </c>
      <c r="J2070" s="2">
        <f>_xlfn.XLOOKUP(A2070,BAMLC0A4CBBB!A:A,BAMLC0A4CBBB!B:B,"",-1)</f>
        <v>1.18</v>
      </c>
      <c r="K2070" s="2">
        <f>_xlfn.XLOOKUP(A2070,CPIAUCSL!A:A,CPIAUCSL!B:B,"",-1)</f>
        <v>313.04399999999998</v>
      </c>
      <c r="L2070">
        <f>_xlfn.XLOOKUP(A2070,DFF!A:A,DFF!B:B,"",-1)</f>
        <v>5.33</v>
      </c>
      <c r="M2070">
        <f>_xlfn.XLOOKUP(A2070,'DGS2'!A:A,'DGS2'!B:B,"",-1)</f>
        <v>4.7</v>
      </c>
      <c r="N2070">
        <f t="shared" si="259"/>
        <v>0</v>
      </c>
      <c r="O2070">
        <f t="shared" si="260"/>
        <v>-3.0651719607218686E-3</v>
      </c>
      <c r="P2070">
        <f t="shared" si="261"/>
        <v>0</v>
      </c>
      <c r="Q2070">
        <f t="shared" si="262"/>
        <v>-1</v>
      </c>
    </row>
    <row r="2071" spans="1:17">
      <c r="A2071" s="1">
        <v>45467</v>
      </c>
      <c r="B2071">
        <v>5447.87</v>
      </c>
      <c r="C2071">
        <f t="shared" si="256"/>
        <v>-3.0651719607218686E-3</v>
      </c>
      <c r="D2071">
        <f t="shared" si="263"/>
        <v>-7.1368299426101123E-3</v>
      </c>
      <c r="E2071">
        <f>_xlfn.XLOOKUP(A2071,VIX!A:A,VIX!B:B,"",-1)</f>
        <v>13.33</v>
      </c>
      <c r="F2071">
        <f t="shared" si="257"/>
        <v>0.13000000000000078</v>
      </c>
      <c r="G2071">
        <f>_xlfn.XLOOKUP(A2071,'DGS10'!A:A,'DGS10'!B:B,"",-1)</f>
        <v>4.25</v>
      </c>
      <c r="H2071">
        <f t="shared" si="258"/>
        <v>0</v>
      </c>
      <c r="I2071" s="2">
        <f>_xlfn.XLOOKUP(A2071,T10Y3M!A:A,T10Y3M!B:B,"",-1)</f>
        <v>-1.25</v>
      </c>
      <c r="J2071" s="2">
        <f>_xlfn.XLOOKUP(A2071,BAMLC0A4CBBB!A:A,BAMLC0A4CBBB!B:B,"",-1)</f>
        <v>1.18</v>
      </c>
      <c r="K2071" s="2">
        <f>_xlfn.XLOOKUP(A2071,CPIAUCSL!A:A,CPIAUCSL!B:B,"",-1)</f>
        <v>313.04399999999998</v>
      </c>
      <c r="L2071">
        <f>_xlfn.XLOOKUP(A2071,DFF!A:A,DFF!B:B,"",-1)</f>
        <v>5.33</v>
      </c>
      <c r="M2071">
        <f>_xlfn.XLOOKUP(A2071,'DGS2'!A:A,'DGS2'!B:B,"",-1)</f>
        <v>4.71</v>
      </c>
      <c r="N2071">
        <f t="shared" si="259"/>
        <v>9.9999999999997868E-3</v>
      </c>
      <c r="O2071">
        <f t="shared" si="260"/>
        <v>3.9336474622191364E-3</v>
      </c>
      <c r="P2071">
        <f t="shared" si="261"/>
        <v>1</v>
      </c>
      <c r="Q2071">
        <f t="shared" si="262"/>
        <v>1</v>
      </c>
    </row>
    <row r="2072" spans="1:17">
      <c r="A2072" s="1">
        <v>45468</v>
      </c>
      <c r="B2072">
        <v>5469.3</v>
      </c>
      <c r="C2072">
        <f t="shared" si="256"/>
        <v>3.9336474622191364E-3</v>
      </c>
      <c r="D2072">
        <f t="shared" si="263"/>
        <v>-7.0708565602750628E-4</v>
      </c>
      <c r="E2072">
        <f>_xlfn.XLOOKUP(A2072,VIX!A:A,VIX!B:B,"",-1)</f>
        <v>12.84</v>
      </c>
      <c r="F2072">
        <f t="shared" si="257"/>
        <v>-0.49000000000000021</v>
      </c>
      <c r="G2072">
        <f>_xlfn.XLOOKUP(A2072,'DGS10'!A:A,'DGS10'!B:B,"",-1)</f>
        <v>4.2300000000000004</v>
      </c>
      <c r="H2072">
        <f t="shared" si="258"/>
        <v>-1.9999999999999574E-2</v>
      </c>
      <c r="I2072" s="2">
        <f>_xlfn.XLOOKUP(A2072,T10Y3M!A:A,T10Y3M!B:B,"",-1)</f>
        <v>-1.26</v>
      </c>
      <c r="J2072" s="2">
        <f>_xlfn.XLOOKUP(A2072,BAMLC0A4CBBB!A:A,BAMLC0A4CBBB!B:B,"",-1)</f>
        <v>1.18</v>
      </c>
      <c r="K2072" s="2">
        <f>_xlfn.XLOOKUP(A2072,CPIAUCSL!A:A,CPIAUCSL!B:B,"",-1)</f>
        <v>313.04399999999998</v>
      </c>
      <c r="L2072">
        <f>_xlfn.XLOOKUP(A2072,DFF!A:A,DFF!B:B,"",-1)</f>
        <v>5.33</v>
      </c>
      <c r="M2072">
        <f>_xlfn.XLOOKUP(A2072,'DGS2'!A:A,'DGS2'!B:B,"",-1)</f>
        <v>4.6500000000000004</v>
      </c>
      <c r="N2072">
        <f t="shared" si="259"/>
        <v>-5.9999999999999609E-2</v>
      </c>
      <c r="O2072">
        <f t="shared" si="260"/>
        <v>1.5724132887204867E-3</v>
      </c>
      <c r="P2072">
        <f t="shared" si="261"/>
        <v>1</v>
      </c>
      <c r="Q2072">
        <f t="shared" si="262"/>
        <v>0</v>
      </c>
    </row>
    <row r="2073" spans="1:17">
      <c r="A2073" s="1">
        <v>45469</v>
      </c>
      <c r="B2073">
        <v>5477.9</v>
      </c>
      <c r="C2073">
        <f t="shared" si="256"/>
        <v>1.5724132887204867E-3</v>
      </c>
      <c r="D2073">
        <f t="shared" si="263"/>
        <v>2.4301781276647727E-3</v>
      </c>
      <c r="E2073">
        <f>_xlfn.XLOOKUP(A2073,VIX!A:A,VIX!B:B,"",-1)</f>
        <v>12.55</v>
      </c>
      <c r="F2073">
        <f t="shared" si="257"/>
        <v>-0.28999999999999915</v>
      </c>
      <c r="G2073">
        <f>_xlfn.XLOOKUP(A2073,'DGS10'!A:A,'DGS10'!B:B,"",-1)</f>
        <v>4.32</v>
      </c>
      <c r="H2073">
        <f t="shared" si="258"/>
        <v>8.9999999999999858E-2</v>
      </c>
      <c r="I2073" s="2">
        <f>_xlfn.XLOOKUP(A2073,T10Y3M!A:A,T10Y3M!B:B,"",-1)</f>
        <v>-1.18</v>
      </c>
      <c r="J2073" s="2">
        <f>_xlfn.XLOOKUP(A2073,BAMLC0A4CBBB!A:A,BAMLC0A4CBBB!B:B,"",-1)</f>
        <v>1.18</v>
      </c>
      <c r="K2073" s="2">
        <f>_xlfn.XLOOKUP(A2073,CPIAUCSL!A:A,CPIAUCSL!B:B,"",-1)</f>
        <v>313.04399999999998</v>
      </c>
      <c r="L2073">
        <f>_xlfn.XLOOKUP(A2073,DFF!A:A,DFF!B:B,"",-1)</f>
        <v>5.33</v>
      </c>
      <c r="M2073">
        <f>_xlfn.XLOOKUP(A2073,'DGS2'!A:A,'DGS2'!B:B,"",-1)</f>
        <v>4.71</v>
      </c>
      <c r="N2073">
        <f t="shared" si="259"/>
        <v>5.9999999999999609E-2</v>
      </c>
      <c r="O2073">
        <f t="shared" si="260"/>
        <v>9.0728198762302092E-4</v>
      </c>
      <c r="P2073">
        <f t="shared" si="261"/>
        <v>1</v>
      </c>
      <c r="Q2073">
        <f t="shared" si="262"/>
        <v>0</v>
      </c>
    </row>
    <row r="2074" spans="1:17">
      <c r="A2074" s="1">
        <v>45470</v>
      </c>
      <c r="B2074">
        <v>5482.87</v>
      </c>
      <c r="C2074">
        <f t="shared" si="256"/>
        <v>9.0728198762302092E-4</v>
      </c>
      <c r="D2074">
        <f t="shared" si="263"/>
        <v>6.4245292196767334E-3</v>
      </c>
      <c r="E2074">
        <f>_xlfn.XLOOKUP(A2074,VIX!A:A,VIX!B:B,"",-1)</f>
        <v>12.24</v>
      </c>
      <c r="F2074">
        <f t="shared" si="257"/>
        <v>-0.3100000000000005</v>
      </c>
      <c r="G2074">
        <f>_xlfn.XLOOKUP(A2074,'DGS10'!A:A,'DGS10'!B:B,"",-1)</f>
        <v>4.29</v>
      </c>
      <c r="H2074">
        <f t="shared" si="258"/>
        <v>-3.0000000000000249E-2</v>
      </c>
      <c r="I2074" s="2">
        <f>_xlfn.XLOOKUP(A2074,T10Y3M!A:A,T10Y3M!B:B,"",-1)</f>
        <v>-1.2</v>
      </c>
      <c r="J2074" s="2">
        <f>_xlfn.XLOOKUP(A2074,BAMLC0A4CBBB!A:A,BAMLC0A4CBBB!B:B,"",-1)</f>
        <v>1.18</v>
      </c>
      <c r="K2074" s="2">
        <f>_xlfn.XLOOKUP(A2074,CPIAUCSL!A:A,CPIAUCSL!B:B,"",-1)</f>
        <v>313.04399999999998</v>
      </c>
      <c r="L2074">
        <f>_xlfn.XLOOKUP(A2074,DFF!A:A,DFF!B:B,"",-1)</f>
        <v>5.33</v>
      </c>
      <c r="M2074">
        <f>_xlfn.XLOOKUP(A2074,'DGS2'!A:A,'DGS2'!B:B,"",-1)</f>
        <v>4.7</v>
      </c>
      <c r="N2074">
        <f t="shared" si="259"/>
        <v>-9.9999999999997868E-3</v>
      </c>
      <c r="O2074">
        <f t="shared" si="260"/>
        <v>-4.0836277351096184E-3</v>
      </c>
      <c r="P2074">
        <f t="shared" si="261"/>
        <v>0</v>
      </c>
      <c r="Q2074">
        <f t="shared" si="262"/>
        <v>-1</v>
      </c>
    </row>
    <row r="2075" spans="1:17">
      <c r="A2075" s="1">
        <v>45471</v>
      </c>
      <c r="B2075">
        <v>5460.48</v>
      </c>
      <c r="C2075">
        <f t="shared" si="256"/>
        <v>-4.0836277351096184E-3</v>
      </c>
      <c r="D2075">
        <f t="shared" si="263"/>
        <v>-1.6126378147113263E-3</v>
      </c>
      <c r="E2075">
        <f>_xlfn.XLOOKUP(A2075,VIX!A:A,VIX!B:B,"",-1)</f>
        <v>12.44</v>
      </c>
      <c r="F2075">
        <f t="shared" si="257"/>
        <v>0.19999999999999929</v>
      </c>
      <c r="G2075">
        <f>_xlfn.XLOOKUP(A2075,'DGS10'!A:A,'DGS10'!B:B,"",-1)</f>
        <v>4.3600000000000003</v>
      </c>
      <c r="H2075">
        <f t="shared" si="258"/>
        <v>7.0000000000000284E-2</v>
      </c>
      <c r="I2075" s="2">
        <f>_xlfn.XLOOKUP(A2075,T10Y3M!A:A,T10Y3M!B:B,"",-1)</f>
        <v>-1.1200000000000001</v>
      </c>
      <c r="J2075" s="2">
        <f>_xlfn.XLOOKUP(A2075,BAMLC0A4CBBB!A:A,BAMLC0A4CBBB!B:B,"",-1)</f>
        <v>1.17</v>
      </c>
      <c r="K2075" s="2">
        <f>_xlfn.XLOOKUP(A2075,CPIAUCSL!A:A,CPIAUCSL!B:B,"",-1)</f>
        <v>313.04399999999998</v>
      </c>
      <c r="L2075">
        <f>_xlfn.XLOOKUP(A2075,DFF!A:A,DFF!B:B,"",-1)</f>
        <v>5.33</v>
      </c>
      <c r="M2075">
        <f>_xlfn.XLOOKUP(A2075,'DGS2'!A:A,'DGS2'!B:B,"",-1)</f>
        <v>4.71</v>
      </c>
      <c r="N2075">
        <f t="shared" si="259"/>
        <v>9.9999999999997868E-3</v>
      </c>
      <c r="O2075">
        <f t="shared" si="260"/>
        <v>2.6755889592124937E-3</v>
      </c>
      <c r="P2075">
        <f t="shared" si="261"/>
        <v>1</v>
      </c>
      <c r="Q2075">
        <f t="shared" si="262"/>
        <v>0</v>
      </c>
    </row>
    <row r="2076" spans="1:17">
      <c r="A2076" s="1">
        <v>45474</v>
      </c>
      <c r="B2076">
        <v>5475.09</v>
      </c>
      <c r="C2076">
        <f t="shared" si="256"/>
        <v>2.6755889592124937E-3</v>
      </c>
      <c r="D2076">
        <f t="shared" si="263"/>
        <v>-5.1297029883701217E-4</v>
      </c>
      <c r="E2076">
        <f>_xlfn.XLOOKUP(A2076,VIX!A:A,VIX!B:B,"",-1)</f>
        <v>12.22</v>
      </c>
      <c r="F2076">
        <f t="shared" si="257"/>
        <v>-0.21999999999999886</v>
      </c>
      <c r="G2076">
        <f>_xlfn.XLOOKUP(A2076,'DGS10'!A:A,'DGS10'!B:B,"",-1)</f>
        <v>4.4800000000000004</v>
      </c>
      <c r="H2076">
        <f t="shared" si="258"/>
        <v>0.12000000000000011</v>
      </c>
      <c r="I2076" s="2">
        <f>_xlfn.XLOOKUP(A2076,T10Y3M!A:A,T10Y3M!B:B,"",-1)</f>
        <v>-0.99</v>
      </c>
      <c r="J2076" s="2">
        <f>_xlfn.XLOOKUP(A2076,BAMLC0A4CBBB!A:A,BAMLC0A4CBBB!B:B,"",-1)</f>
        <v>1.1599999999999999</v>
      </c>
      <c r="K2076" s="2">
        <f>_xlfn.XLOOKUP(A2076,CPIAUCSL!A:A,CPIAUCSL!B:B,"",-1)</f>
        <v>313.56900000000002</v>
      </c>
      <c r="L2076">
        <f>_xlfn.XLOOKUP(A2076,DFF!A:A,DFF!B:B,"",-1)</f>
        <v>5.33</v>
      </c>
      <c r="M2076">
        <f>_xlfn.XLOOKUP(A2076,'DGS2'!A:A,'DGS2'!B:B,"",-1)</f>
        <v>4.7699999999999996</v>
      </c>
      <c r="N2076">
        <f t="shared" si="259"/>
        <v>5.9999999999999609E-2</v>
      </c>
      <c r="O2076">
        <f t="shared" si="260"/>
        <v>6.195331948881222E-3</v>
      </c>
      <c r="P2076">
        <f t="shared" si="261"/>
        <v>1</v>
      </c>
      <c r="Q2076">
        <f t="shared" si="262"/>
        <v>1</v>
      </c>
    </row>
    <row r="2077" spans="1:17">
      <c r="A2077" s="1">
        <v>45475</v>
      </c>
      <c r="B2077">
        <v>5509.01</v>
      </c>
      <c r="C2077">
        <f t="shared" si="256"/>
        <v>6.195331948881222E-3</v>
      </c>
      <c r="D2077">
        <f t="shared" si="263"/>
        <v>4.7675761052150545E-3</v>
      </c>
      <c r="E2077">
        <f>_xlfn.XLOOKUP(A2077,VIX!A:A,VIX!B:B,"",-1)</f>
        <v>12.03</v>
      </c>
      <c r="F2077">
        <f t="shared" si="257"/>
        <v>-0.19000000000000128</v>
      </c>
      <c r="G2077">
        <f>_xlfn.XLOOKUP(A2077,'DGS10'!A:A,'DGS10'!B:B,"",-1)</f>
        <v>4.43</v>
      </c>
      <c r="H2077">
        <f t="shared" si="258"/>
        <v>-5.0000000000000711E-2</v>
      </c>
      <c r="I2077" s="2">
        <f>_xlfn.XLOOKUP(A2077,T10Y3M!A:A,T10Y3M!B:B,"",-1)</f>
        <v>-1.04</v>
      </c>
      <c r="J2077" s="2">
        <f>_xlfn.XLOOKUP(A2077,BAMLC0A4CBBB!A:A,BAMLC0A4CBBB!B:B,"",-1)</f>
        <v>1.1499999999999999</v>
      </c>
      <c r="K2077" s="2">
        <f>_xlfn.XLOOKUP(A2077,CPIAUCSL!A:A,CPIAUCSL!B:B,"",-1)</f>
        <v>313.56900000000002</v>
      </c>
      <c r="L2077">
        <f>_xlfn.XLOOKUP(A2077,DFF!A:A,DFF!B:B,"",-1)</f>
        <v>5.33</v>
      </c>
      <c r="M2077">
        <f>_xlfn.XLOOKUP(A2077,'DGS2'!A:A,'DGS2'!B:B,"",-1)</f>
        <v>4.74</v>
      </c>
      <c r="N2077">
        <f t="shared" si="259"/>
        <v>-2.9999999999999361E-2</v>
      </c>
      <c r="O2077">
        <f t="shared" si="260"/>
        <v>5.0843981041965858E-3</v>
      </c>
      <c r="P2077">
        <f t="shared" si="261"/>
        <v>1</v>
      </c>
      <c r="Q2077">
        <f t="shared" si="262"/>
        <v>1</v>
      </c>
    </row>
    <row r="2078" spans="1:17">
      <c r="A2078" s="1">
        <v>45476</v>
      </c>
      <c r="B2078">
        <v>5537.02</v>
      </c>
      <c r="C2078">
        <f t="shared" si="256"/>
        <v>5.0843981041965858E-3</v>
      </c>
      <c r="D2078">
        <f t="shared" si="263"/>
        <v>1.401708274730451E-2</v>
      </c>
      <c r="E2078">
        <f>_xlfn.XLOOKUP(A2078,VIX!A:A,VIX!B:B,"",-1)</f>
        <v>12.09</v>
      </c>
      <c r="F2078">
        <f t="shared" si="257"/>
        <v>6.0000000000000497E-2</v>
      </c>
      <c r="G2078">
        <f>_xlfn.XLOOKUP(A2078,'DGS10'!A:A,'DGS10'!B:B,"",-1)</f>
        <v>4.3600000000000003</v>
      </c>
      <c r="H2078">
        <f t="shared" si="258"/>
        <v>-6.9999999999999396E-2</v>
      </c>
      <c r="I2078" s="2">
        <f>_xlfn.XLOOKUP(A2078,T10Y3M!A:A,T10Y3M!B:B,"",-1)</f>
        <v>-1.1100000000000001</v>
      </c>
      <c r="J2078" s="2">
        <f>_xlfn.XLOOKUP(A2078,BAMLC0A4CBBB!A:A,BAMLC0A4CBBB!B:B,"",-1)</f>
        <v>1.1499999999999999</v>
      </c>
      <c r="K2078" s="2">
        <f>_xlfn.XLOOKUP(A2078,CPIAUCSL!A:A,CPIAUCSL!B:B,"",-1)</f>
        <v>313.56900000000002</v>
      </c>
      <c r="L2078">
        <f>_xlfn.XLOOKUP(A2078,DFF!A:A,DFF!B:B,"",-1)</f>
        <v>5.33</v>
      </c>
      <c r="M2078">
        <f>_xlfn.XLOOKUP(A2078,'DGS2'!A:A,'DGS2'!B:B,"",-1)</f>
        <v>4.71</v>
      </c>
      <c r="N2078">
        <f t="shared" si="259"/>
        <v>-3.0000000000000249E-2</v>
      </c>
      <c r="O2078">
        <f t="shared" si="260"/>
        <v>5.4487793072806046E-3</v>
      </c>
      <c r="P2078">
        <f t="shared" si="261"/>
        <v>1</v>
      </c>
      <c r="Q2078">
        <f t="shared" si="262"/>
        <v>1</v>
      </c>
    </row>
    <row r="2079" spans="1:17">
      <c r="A2079" s="1">
        <v>45478</v>
      </c>
      <c r="B2079">
        <v>5567.19</v>
      </c>
      <c r="C2079">
        <f t="shared" si="256"/>
        <v>5.4487793072806046E-3</v>
      </c>
      <c r="D2079">
        <f t="shared" si="263"/>
        <v>1.6821641288088385E-2</v>
      </c>
      <c r="E2079">
        <f>_xlfn.XLOOKUP(A2079,VIX!A:A,VIX!B:B,"",-1)</f>
        <v>12.48</v>
      </c>
      <c r="F2079">
        <f t="shared" si="257"/>
        <v>0.39000000000000057</v>
      </c>
      <c r="G2079">
        <f>_xlfn.XLOOKUP(A2079,'DGS10'!A:A,'DGS10'!B:B,"",-1)</f>
        <v>4.28</v>
      </c>
      <c r="H2079">
        <f t="shared" si="258"/>
        <v>-8.0000000000000071E-2</v>
      </c>
      <c r="I2079" s="2">
        <f>_xlfn.XLOOKUP(A2079,T10Y3M!A:A,T10Y3M!B:B,"",-1)</f>
        <v>-1.18</v>
      </c>
      <c r="J2079" s="2">
        <f>_xlfn.XLOOKUP(A2079,BAMLC0A4CBBB!A:A,BAMLC0A4CBBB!B:B,"",-1)</f>
        <v>1.1499999999999999</v>
      </c>
      <c r="K2079" s="2">
        <f>_xlfn.XLOOKUP(A2079,CPIAUCSL!A:A,CPIAUCSL!B:B,"",-1)</f>
        <v>313.56900000000002</v>
      </c>
      <c r="L2079">
        <f>_xlfn.XLOOKUP(A2079,DFF!A:A,DFF!B:B,"",-1)</f>
        <v>5.33</v>
      </c>
      <c r="M2079">
        <f>_xlfn.XLOOKUP(A2079,'DGS2'!A:A,'DGS2'!B:B,"",-1)</f>
        <v>4.5999999999999996</v>
      </c>
      <c r="N2079">
        <f t="shared" si="259"/>
        <v>-0.11000000000000032</v>
      </c>
      <c r="O2079">
        <f t="shared" si="260"/>
        <v>1.0166708878267539E-3</v>
      </c>
      <c r="P2079">
        <f t="shared" si="261"/>
        <v>1</v>
      </c>
      <c r="Q2079">
        <f t="shared" si="262"/>
        <v>0</v>
      </c>
    </row>
    <row r="2080" spans="1:17">
      <c r="A2080" s="1">
        <v>45481</v>
      </c>
      <c r="B2080">
        <v>5572.85</v>
      </c>
      <c r="C2080">
        <f t="shared" si="256"/>
        <v>1.0166708878267539E-3</v>
      </c>
      <c r="D2080">
        <f t="shared" si="263"/>
        <v>1.1588289002924412E-2</v>
      </c>
      <c r="E2080">
        <f>_xlfn.XLOOKUP(A2080,VIX!A:A,VIX!B:B,"",-1)</f>
        <v>12.37</v>
      </c>
      <c r="F2080">
        <f t="shared" si="257"/>
        <v>-0.11000000000000121</v>
      </c>
      <c r="G2080">
        <f>_xlfn.XLOOKUP(A2080,'DGS10'!A:A,'DGS10'!B:B,"",-1)</f>
        <v>4.28</v>
      </c>
      <c r="H2080">
        <f t="shared" si="258"/>
        <v>0</v>
      </c>
      <c r="I2080" s="2">
        <f>_xlfn.XLOOKUP(A2080,T10Y3M!A:A,T10Y3M!B:B,"",-1)</f>
        <v>-1.18</v>
      </c>
      <c r="J2080" s="2">
        <f>_xlfn.XLOOKUP(A2080,BAMLC0A4CBBB!A:A,BAMLC0A4CBBB!B:B,"",-1)</f>
        <v>1.1399999999999999</v>
      </c>
      <c r="K2080" s="2">
        <f>_xlfn.XLOOKUP(A2080,CPIAUCSL!A:A,CPIAUCSL!B:B,"",-1)</f>
        <v>313.56900000000002</v>
      </c>
      <c r="L2080">
        <f>_xlfn.XLOOKUP(A2080,DFF!A:A,DFF!B:B,"",-1)</f>
        <v>5.33</v>
      </c>
      <c r="M2080">
        <f>_xlfn.XLOOKUP(A2080,'DGS2'!A:A,'DGS2'!B:B,"",-1)</f>
        <v>4.62</v>
      </c>
      <c r="N2080">
        <f t="shared" si="259"/>
        <v>2.0000000000000462E-2</v>
      </c>
      <c r="O2080">
        <f t="shared" si="260"/>
        <v>7.410929775606423E-4</v>
      </c>
      <c r="P2080">
        <f t="shared" si="261"/>
        <v>1</v>
      </c>
      <c r="Q2080">
        <f t="shared" si="262"/>
        <v>0</v>
      </c>
    </row>
    <row r="2081" spans="1:17">
      <c r="A2081" s="1">
        <v>45482</v>
      </c>
      <c r="B2081">
        <v>5576.98</v>
      </c>
      <c r="C2081">
        <f t="shared" si="256"/>
        <v>7.410929775606423E-4</v>
      </c>
      <c r="D2081">
        <f t="shared" si="263"/>
        <v>7.2168783930703917E-3</v>
      </c>
      <c r="E2081">
        <f>_xlfn.XLOOKUP(A2081,VIX!A:A,VIX!B:B,"",-1)</f>
        <v>12.51</v>
      </c>
      <c r="F2081">
        <f t="shared" si="257"/>
        <v>0.14000000000000057</v>
      </c>
      <c r="G2081">
        <f>_xlfn.XLOOKUP(A2081,'DGS10'!A:A,'DGS10'!B:B,"",-1)</f>
        <v>4.3</v>
      </c>
      <c r="H2081">
        <f t="shared" si="258"/>
        <v>1.9999999999999574E-2</v>
      </c>
      <c r="I2081" s="2">
        <f>_xlfn.XLOOKUP(A2081,T10Y3M!A:A,T10Y3M!B:B,"",-1)</f>
        <v>-1.1599999999999999</v>
      </c>
      <c r="J2081" s="2">
        <f>_xlfn.XLOOKUP(A2081,BAMLC0A4CBBB!A:A,BAMLC0A4CBBB!B:B,"",-1)</f>
        <v>1.1399999999999999</v>
      </c>
      <c r="K2081" s="2">
        <f>_xlfn.XLOOKUP(A2081,CPIAUCSL!A:A,CPIAUCSL!B:B,"",-1)</f>
        <v>313.56900000000002</v>
      </c>
      <c r="L2081">
        <f>_xlfn.XLOOKUP(A2081,DFF!A:A,DFF!B:B,"",-1)</f>
        <v>5.33</v>
      </c>
      <c r="M2081">
        <f>_xlfn.XLOOKUP(A2081,'DGS2'!A:A,'DGS2'!B:B,"",-1)</f>
        <v>4.62</v>
      </c>
      <c r="N2081">
        <f t="shared" si="259"/>
        <v>0</v>
      </c>
      <c r="O2081">
        <f t="shared" si="260"/>
        <v>1.0208033738690059E-2</v>
      </c>
      <c r="P2081">
        <f t="shared" si="261"/>
        <v>1</v>
      </c>
      <c r="Q2081">
        <f t="shared" si="262"/>
        <v>1</v>
      </c>
    </row>
    <row r="2082" spans="1:17">
      <c r="A2082" s="1">
        <v>45483</v>
      </c>
      <c r="B2082">
        <v>5633.91</v>
      </c>
      <c r="C2082">
        <f t="shared" si="256"/>
        <v>1.0208033738690059E-2</v>
      </c>
      <c r="D2082">
        <f t="shared" si="263"/>
        <v>1.198450205579471E-2</v>
      </c>
      <c r="E2082">
        <f>_xlfn.XLOOKUP(A2082,VIX!A:A,VIX!B:B,"",-1)</f>
        <v>12.85</v>
      </c>
      <c r="F2082">
        <f t="shared" si="257"/>
        <v>0.33999999999999986</v>
      </c>
      <c r="G2082">
        <f>_xlfn.XLOOKUP(A2082,'DGS10'!A:A,'DGS10'!B:B,"",-1)</f>
        <v>4.28</v>
      </c>
      <c r="H2082">
        <f t="shared" si="258"/>
        <v>-1.9999999999999574E-2</v>
      </c>
      <c r="I2082" s="2">
        <f>_xlfn.XLOOKUP(A2082,T10Y3M!A:A,T10Y3M!B:B,"",-1)</f>
        <v>-1.18</v>
      </c>
      <c r="J2082" s="2">
        <f>_xlfn.XLOOKUP(A2082,BAMLC0A4CBBB!A:A,BAMLC0A4CBBB!B:B,"",-1)</f>
        <v>1.1399999999999999</v>
      </c>
      <c r="K2082" s="2">
        <f>_xlfn.XLOOKUP(A2082,CPIAUCSL!A:A,CPIAUCSL!B:B,"",-1)</f>
        <v>313.56900000000002</v>
      </c>
      <c r="L2082">
        <f>_xlfn.XLOOKUP(A2082,DFF!A:A,DFF!B:B,"",-1)</f>
        <v>5.33</v>
      </c>
      <c r="M2082">
        <f>_xlfn.XLOOKUP(A2082,'DGS2'!A:A,'DGS2'!B:B,"",-1)</f>
        <v>4.62</v>
      </c>
      <c r="N2082">
        <f t="shared" si="259"/>
        <v>0</v>
      </c>
      <c r="O2082">
        <f t="shared" si="260"/>
        <v>-8.763008283767415E-3</v>
      </c>
      <c r="P2082">
        <f t="shared" si="261"/>
        <v>0</v>
      </c>
      <c r="Q2082">
        <f t="shared" si="262"/>
        <v>-1</v>
      </c>
    </row>
    <row r="2083" spans="1:17">
      <c r="A2083" s="1">
        <v>45484</v>
      </c>
      <c r="B2083">
        <v>5584.54</v>
      </c>
      <c r="C2083">
        <f t="shared" si="256"/>
        <v>-8.763008283767415E-3</v>
      </c>
      <c r="D2083">
        <f t="shared" si="263"/>
        <v>2.0976699534349663E-3</v>
      </c>
      <c r="E2083">
        <f>_xlfn.XLOOKUP(A2083,VIX!A:A,VIX!B:B,"",-1)</f>
        <v>12.92</v>
      </c>
      <c r="F2083">
        <f t="shared" si="257"/>
        <v>7.0000000000000284E-2</v>
      </c>
      <c r="G2083">
        <f>_xlfn.XLOOKUP(A2083,'DGS10'!A:A,'DGS10'!B:B,"",-1)</f>
        <v>4.2</v>
      </c>
      <c r="H2083">
        <f t="shared" si="258"/>
        <v>-8.0000000000000071E-2</v>
      </c>
      <c r="I2083" s="2">
        <f>_xlfn.XLOOKUP(A2083,T10Y3M!A:A,T10Y3M!B:B,"",-1)</f>
        <v>-1.24</v>
      </c>
      <c r="J2083" s="2">
        <f>_xlfn.XLOOKUP(A2083,BAMLC0A4CBBB!A:A,BAMLC0A4CBBB!B:B,"",-1)</f>
        <v>1.1499999999999999</v>
      </c>
      <c r="K2083" s="2">
        <f>_xlfn.XLOOKUP(A2083,CPIAUCSL!A:A,CPIAUCSL!B:B,"",-1)</f>
        <v>313.56900000000002</v>
      </c>
      <c r="L2083">
        <f>_xlfn.XLOOKUP(A2083,DFF!A:A,DFF!B:B,"",-1)</f>
        <v>5.33</v>
      </c>
      <c r="M2083">
        <f>_xlfn.XLOOKUP(A2083,'DGS2'!A:A,'DGS2'!B:B,"",-1)</f>
        <v>4.5</v>
      </c>
      <c r="N2083">
        <f t="shared" si="259"/>
        <v>-0.12000000000000011</v>
      </c>
      <c r="O2083">
        <f t="shared" si="260"/>
        <v>5.5170166208855509E-3</v>
      </c>
      <c r="P2083">
        <f t="shared" si="261"/>
        <v>1</v>
      </c>
      <c r="Q2083">
        <f t="shared" si="262"/>
        <v>1</v>
      </c>
    </row>
    <row r="2084" spans="1:17">
      <c r="A2084" s="1">
        <v>45485</v>
      </c>
      <c r="B2084">
        <v>5615.35</v>
      </c>
      <c r="C2084">
        <f t="shared" si="256"/>
        <v>5.5170166208855509E-3</v>
      </c>
      <c r="D2084">
        <f t="shared" si="263"/>
        <v>6.8800677068951988E-3</v>
      </c>
      <c r="E2084">
        <f>_xlfn.XLOOKUP(A2084,VIX!A:A,VIX!B:B,"",-1)</f>
        <v>12.46</v>
      </c>
      <c r="F2084">
        <f t="shared" si="257"/>
        <v>-0.45999999999999908</v>
      </c>
      <c r="G2084">
        <f>_xlfn.XLOOKUP(A2084,'DGS10'!A:A,'DGS10'!B:B,"",-1)</f>
        <v>4.18</v>
      </c>
      <c r="H2084">
        <f t="shared" si="258"/>
        <v>-2.0000000000000462E-2</v>
      </c>
      <c r="I2084" s="2">
        <f>_xlfn.XLOOKUP(A2084,T10Y3M!A:A,T10Y3M!B:B,"",-1)</f>
        <v>-1.25</v>
      </c>
      <c r="J2084" s="2">
        <f>_xlfn.XLOOKUP(A2084,BAMLC0A4CBBB!A:A,BAMLC0A4CBBB!B:B,"",-1)</f>
        <v>1.1399999999999999</v>
      </c>
      <c r="K2084" s="2">
        <f>_xlfn.XLOOKUP(A2084,CPIAUCSL!A:A,CPIAUCSL!B:B,"",-1)</f>
        <v>313.56900000000002</v>
      </c>
      <c r="L2084">
        <f>_xlfn.XLOOKUP(A2084,DFF!A:A,DFF!B:B,"",-1)</f>
        <v>5.33</v>
      </c>
      <c r="M2084">
        <f>_xlfn.XLOOKUP(A2084,'DGS2'!A:A,'DGS2'!B:B,"",-1)</f>
        <v>4.45</v>
      </c>
      <c r="N2084">
        <f t="shared" si="259"/>
        <v>-4.9999999999999822E-2</v>
      </c>
      <c r="O2084">
        <f t="shared" si="260"/>
        <v>2.826181805230199E-3</v>
      </c>
      <c r="P2084">
        <f t="shared" si="261"/>
        <v>1</v>
      </c>
      <c r="Q2084">
        <f t="shared" si="262"/>
        <v>0</v>
      </c>
    </row>
    <row r="2085" spans="1:17">
      <c r="A2085" s="1">
        <v>45488</v>
      </c>
      <c r="B2085">
        <v>5631.22</v>
      </c>
      <c r="C2085">
        <f t="shared" si="256"/>
        <v>2.826181805230199E-3</v>
      </c>
      <c r="D2085">
        <f t="shared" si="263"/>
        <v>-4.7746591621089518E-4</v>
      </c>
      <c r="E2085">
        <f>_xlfn.XLOOKUP(A2085,VIX!A:A,VIX!B:B,"",-1)</f>
        <v>13.12</v>
      </c>
      <c r="F2085">
        <f t="shared" si="257"/>
        <v>0.65999999999999837</v>
      </c>
      <c r="G2085">
        <f>_xlfn.XLOOKUP(A2085,'DGS10'!A:A,'DGS10'!B:B,"",-1)</f>
        <v>4.2300000000000004</v>
      </c>
      <c r="H2085">
        <f t="shared" si="258"/>
        <v>5.0000000000000711E-2</v>
      </c>
      <c r="I2085" s="2">
        <f>_xlfn.XLOOKUP(A2085,T10Y3M!A:A,T10Y3M!B:B,"",-1)</f>
        <v>-1.2</v>
      </c>
      <c r="J2085" s="2">
        <f>_xlfn.XLOOKUP(A2085,BAMLC0A4CBBB!A:A,BAMLC0A4CBBB!B:B,"",-1)</f>
        <v>1.1399999999999999</v>
      </c>
      <c r="K2085" s="2">
        <f>_xlfn.XLOOKUP(A2085,CPIAUCSL!A:A,CPIAUCSL!B:B,"",-1)</f>
        <v>313.56900000000002</v>
      </c>
      <c r="L2085">
        <f>_xlfn.XLOOKUP(A2085,DFF!A:A,DFF!B:B,"",-1)</f>
        <v>5.33</v>
      </c>
      <c r="M2085">
        <f>_xlfn.XLOOKUP(A2085,'DGS2'!A:A,'DGS2'!B:B,"",-1)</f>
        <v>4.4400000000000004</v>
      </c>
      <c r="N2085">
        <f t="shared" si="259"/>
        <v>-9.9999999999997868E-3</v>
      </c>
      <c r="O2085">
        <f t="shared" si="260"/>
        <v>6.3893792108991043E-3</v>
      </c>
      <c r="P2085">
        <f t="shared" si="261"/>
        <v>1</v>
      </c>
      <c r="Q2085">
        <f t="shared" si="262"/>
        <v>1</v>
      </c>
    </row>
    <row r="2086" spans="1:17">
      <c r="A2086" s="1">
        <v>45489</v>
      </c>
      <c r="B2086">
        <v>5667.2</v>
      </c>
      <c r="C2086">
        <f t="shared" si="256"/>
        <v>6.3893792108991043E-3</v>
      </c>
      <c r="D2086">
        <f t="shared" si="263"/>
        <v>1.4801577211372763E-2</v>
      </c>
      <c r="E2086">
        <f>_xlfn.XLOOKUP(A2086,VIX!A:A,VIX!B:B,"",-1)</f>
        <v>13.19</v>
      </c>
      <c r="F2086">
        <f t="shared" si="257"/>
        <v>7.0000000000000284E-2</v>
      </c>
      <c r="G2086">
        <f>_xlfn.XLOOKUP(A2086,'DGS10'!A:A,'DGS10'!B:B,"",-1)</f>
        <v>4.17</v>
      </c>
      <c r="H2086">
        <f t="shared" si="258"/>
        <v>-6.0000000000000497E-2</v>
      </c>
      <c r="I2086" s="2">
        <f>_xlfn.XLOOKUP(A2086,T10Y3M!A:A,T10Y3M!B:B,"",-1)</f>
        <v>-1.26</v>
      </c>
      <c r="J2086" s="2">
        <f>_xlfn.XLOOKUP(A2086,BAMLC0A4CBBB!A:A,BAMLC0A4CBBB!B:B,"",-1)</f>
        <v>1.1399999999999999</v>
      </c>
      <c r="K2086" s="2">
        <f>_xlfn.XLOOKUP(A2086,CPIAUCSL!A:A,CPIAUCSL!B:B,"",-1)</f>
        <v>313.56900000000002</v>
      </c>
      <c r="L2086">
        <f>_xlfn.XLOOKUP(A2086,DFF!A:A,DFF!B:B,"",-1)</f>
        <v>5.33</v>
      </c>
      <c r="M2086">
        <f>_xlfn.XLOOKUP(A2086,'DGS2'!A:A,'DGS2'!B:B,"",-1)</f>
        <v>4.43</v>
      </c>
      <c r="N2086">
        <f t="shared" si="259"/>
        <v>-1.0000000000000675E-2</v>
      </c>
      <c r="O2086">
        <f t="shared" si="260"/>
        <v>-1.3927512704686507E-2</v>
      </c>
      <c r="P2086">
        <f t="shared" si="261"/>
        <v>0</v>
      </c>
      <c r="Q2086">
        <f t="shared" si="262"/>
        <v>-1</v>
      </c>
    </row>
    <row r="2087" spans="1:17">
      <c r="A2087" s="1">
        <v>45490</v>
      </c>
      <c r="B2087">
        <v>5588.27</v>
      </c>
      <c r="C2087">
        <f t="shared" si="256"/>
        <v>-1.3927512704686507E-2</v>
      </c>
      <c r="D2087">
        <f t="shared" si="263"/>
        <v>-4.8224954811365572E-3</v>
      </c>
      <c r="E2087">
        <f>_xlfn.XLOOKUP(A2087,VIX!A:A,VIX!B:B,"",-1)</f>
        <v>14.48</v>
      </c>
      <c r="F2087">
        <f t="shared" si="257"/>
        <v>1.2900000000000009</v>
      </c>
      <c r="G2087">
        <f>_xlfn.XLOOKUP(A2087,'DGS10'!A:A,'DGS10'!B:B,"",-1)</f>
        <v>4.16</v>
      </c>
      <c r="H2087">
        <f t="shared" si="258"/>
        <v>-9.9999999999997868E-3</v>
      </c>
      <c r="I2087" s="2">
        <f>_xlfn.XLOOKUP(A2087,T10Y3M!A:A,T10Y3M!B:B,"",-1)</f>
        <v>-1.27</v>
      </c>
      <c r="J2087" s="2">
        <f>_xlfn.XLOOKUP(A2087,BAMLC0A4CBBB!A:A,BAMLC0A4CBBB!B:B,"",-1)</f>
        <v>1.1499999999999999</v>
      </c>
      <c r="K2087" s="2">
        <f>_xlfn.XLOOKUP(A2087,CPIAUCSL!A:A,CPIAUCSL!B:B,"",-1)</f>
        <v>313.56900000000002</v>
      </c>
      <c r="L2087">
        <f>_xlfn.XLOOKUP(A2087,DFF!A:A,DFF!B:B,"",-1)</f>
        <v>5.33</v>
      </c>
      <c r="M2087">
        <f>_xlfn.XLOOKUP(A2087,'DGS2'!A:A,'DGS2'!B:B,"",-1)</f>
        <v>4.42</v>
      </c>
      <c r="N2087">
        <f t="shared" si="259"/>
        <v>-9.9999999999997868E-3</v>
      </c>
      <c r="O2087">
        <f t="shared" si="260"/>
        <v>-7.8163725088444824E-3</v>
      </c>
      <c r="P2087">
        <f t="shared" si="261"/>
        <v>0</v>
      </c>
      <c r="Q2087">
        <f t="shared" si="262"/>
        <v>-1</v>
      </c>
    </row>
    <row r="2088" spans="1:17">
      <c r="A2088" s="1">
        <v>45491</v>
      </c>
      <c r="B2088">
        <v>5544.59</v>
      </c>
      <c r="C2088">
        <f t="shared" si="256"/>
        <v>-7.8163725088444824E-3</v>
      </c>
      <c r="D2088">
        <f t="shared" si="263"/>
        <v>-1.5383877738749385E-2</v>
      </c>
      <c r="E2088">
        <f>_xlfn.XLOOKUP(A2088,VIX!A:A,VIX!B:B,"",-1)</f>
        <v>15.93</v>
      </c>
      <c r="F2088">
        <f t="shared" si="257"/>
        <v>1.4499999999999993</v>
      </c>
      <c r="G2088">
        <f>_xlfn.XLOOKUP(A2088,'DGS10'!A:A,'DGS10'!B:B,"",-1)</f>
        <v>4.2</v>
      </c>
      <c r="H2088">
        <f t="shared" si="258"/>
        <v>4.0000000000000036E-2</v>
      </c>
      <c r="I2088" s="2">
        <f>_xlfn.XLOOKUP(A2088,T10Y3M!A:A,T10Y3M!B:B,"",-1)</f>
        <v>-1.23</v>
      </c>
      <c r="J2088" s="2">
        <f>_xlfn.XLOOKUP(A2088,BAMLC0A4CBBB!A:A,BAMLC0A4CBBB!B:B,"",-1)</f>
        <v>1.1499999999999999</v>
      </c>
      <c r="K2088" s="2">
        <f>_xlfn.XLOOKUP(A2088,CPIAUCSL!A:A,CPIAUCSL!B:B,"",-1)</f>
        <v>313.56900000000002</v>
      </c>
      <c r="L2088">
        <f>_xlfn.XLOOKUP(A2088,DFF!A:A,DFF!B:B,"",-1)</f>
        <v>5.33</v>
      </c>
      <c r="M2088">
        <f>_xlfn.XLOOKUP(A2088,'DGS2'!A:A,'DGS2'!B:B,"",-1)</f>
        <v>4.46</v>
      </c>
      <c r="N2088">
        <f t="shared" si="259"/>
        <v>4.0000000000000036E-2</v>
      </c>
      <c r="O2088">
        <f t="shared" si="260"/>
        <v>-7.1402935113327182E-3</v>
      </c>
      <c r="P2088">
        <f t="shared" si="261"/>
        <v>0</v>
      </c>
      <c r="Q2088">
        <f t="shared" si="262"/>
        <v>-1</v>
      </c>
    </row>
    <row r="2089" spans="1:17">
      <c r="A2089" s="1">
        <v>45492</v>
      </c>
      <c r="B2089">
        <v>5505</v>
      </c>
      <c r="C2089">
        <f t="shared" si="256"/>
        <v>-7.1402935113327182E-3</v>
      </c>
      <c r="D2089">
        <f t="shared" si="263"/>
        <v>-2.8620835686053003E-2</v>
      </c>
      <c r="E2089">
        <f>_xlfn.XLOOKUP(A2089,VIX!A:A,VIX!B:B,"",-1)</f>
        <v>16.52</v>
      </c>
      <c r="F2089">
        <f t="shared" si="257"/>
        <v>0.58999999999999986</v>
      </c>
      <c r="G2089">
        <f>_xlfn.XLOOKUP(A2089,'DGS10'!A:A,'DGS10'!B:B,"",-1)</f>
        <v>4.25</v>
      </c>
      <c r="H2089">
        <f t="shared" si="258"/>
        <v>4.9999999999999822E-2</v>
      </c>
      <c r="I2089" s="2">
        <f>_xlfn.XLOOKUP(A2089,T10Y3M!A:A,T10Y3M!B:B,"",-1)</f>
        <v>-1.18</v>
      </c>
      <c r="J2089" s="2">
        <f>_xlfn.XLOOKUP(A2089,BAMLC0A4CBBB!A:A,BAMLC0A4CBBB!B:B,"",-1)</f>
        <v>1.1499999999999999</v>
      </c>
      <c r="K2089" s="2">
        <f>_xlfn.XLOOKUP(A2089,CPIAUCSL!A:A,CPIAUCSL!B:B,"",-1)</f>
        <v>313.56900000000002</v>
      </c>
      <c r="L2089">
        <f>_xlfn.XLOOKUP(A2089,DFF!A:A,DFF!B:B,"",-1)</f>
        <v>5.33</v>
      </c>
      <c r="M2089">
        <f>_xlfn.XLOOKUP(A2089,'DGS2'!A:A,'DGS2'!B:B,"",-1)</f>
        <v>4.49</v>
      </c>
      <c r="N2089">
        <f t="shared" si="259"/>
        <v>3.0000000000000249E-2</v>
      </c>
      <c r="O2089">
        <f t="shared" si="260"/>
        <v>1.0792007266121617E-2</v>
      </c>
      <c r="P2089">
        <f t="shared" si="261"/>
        <v>1</v>
      </c>
      <c r="Q2089">
        <f t="shared" si="262"/>
        <v>1</v>
      </c>
    </row>
    <row r="2090" spans="1:17">
      <c r="A2090" s="1">
        <v>45495</v>
      </c>
      <c r="B2090">
        <v>5564.41</v>
      </c>
      <c r="C2090">
        <f t="shared" si="256"/>
        <v>1.0792007266121617E-2</v>
      </c>
      <c r="D2090">
        <f t="shared" si="263"/>
        <v>-4.2696576937049091E-3</v>
      </c>
      <c r="E2090">
        <f>_xlfn.XLOOKUP(A2090,VIX!A:A,VIX!B:B,"",-1)</f>
        <v>14.91</v>
      </c>
      <c r="F2090">
        <f t="shared" si="257"/>
        <v>-1.6099999999999994</v>
      </c>
      <c r="G2090">
        <f>_xlfn.XLOOKUP(A2090,'DGS10'!A:A,'DGS10'!B:B,"",-1)</f>
        <v>4.26</v>
      </c>
      <c r="H2090">
        <f t="shared" si="258"/>
        <v>9.9999999999997868E-3</v>
      </c>
      <c r="I2090" s="2">
        <f>_xlfn.XLOOKUP(A2090,T10Y3M!A:A,T10Y3M!B:B,"",-1)</f>
        <v>-1.17</v>
      </c>
      <c r="J2090" s="2">
        <f>_xlfn.XLOOKUP(A2090,BAMLC0A4CBBB!A:A,BAMLC0A4CBBB!B:B,"",-1)</f>
        <v>1.1499999999999999</v>
      </c>
      <c r="K2090" s="2">
        <f>_xlfn.XLOOKUP(A2090,CPIAUCSL!A:A,CPIAUCSL!B:B,"",-1)</f>
        <v>313.56900000000002</v>
      </c>
      <c r="L2090">
        <f>_xlfn.XLOOKUP(A2090,DFF!A:A,DFF!B:B,"",-1)</f>
        <v>5.33</v>
      </c>
      <c r="M2090">
        <f>_xlfn.XLOOKUP(A2090,'DGS2'!A:A,'DGS2'!B:B,"",-1)</f>
        <v>4.5</v>
      </c>
      <c r="N2090">
        <f t="shared" si="259"/>
        <v>9.9999999999997868E-3</v>
      </c>
      <c r="O2090">
        <f t="shared" si="260"/>
        <v>-1.558116673645582E-3</v>
      </c>
      <c r="P2090">
        <f t="shared" si="261"/>
        <v>0</v>
      </c>
      <c r="Q2090">
        <f t="shared" si="262"/>
        <v>0</v>
      </c>
    </row>
    <row r="2091" spans="1:17">
      <c r="A2091" s="1">
        <v>45496</v>
      </c>
      <c r="B2091">
        <v>5555.74</v>
      </c>
      <c r="C2091">
        <f t="shared" si="256"/>
        <v>-1.558116673645582E-3</v>
      </c>
      <c r="D2091">
        <f t="shared" si="263"/>
        <v>2.0109692511076638E-3</v>
      </c>
      <c r="E2091">
        <f>_xlfn.XLOOKUP(A2091,VIX!A:A,VIX!B:B,"",-1)</f>
        <v>14.72</v>
      </c>
      <c r="F2091">
        <f t="shared" si="257"/>
        <v>-0.1899999999999995</v>
      </c>
      <c r="G2091">
        <f>_xlfn.XLOOKUP(A2091,'DGS10'!A:A,'DGS10'!B:B,"",-1)</f>
        <v>4.25</v>
      </c>
      <c r="H2091">
        <f t="shared" si="258"/>
        <v>-9.9999999999997868E-3</v>
      </c>
      <c r="I2091" s="2">
        <f>_xlfn.XLOOKUP(A2091,T10Y3M!A:A,T10Y3M!B:B,"",-1)</f>
        <v>-1.1599999999999999</v>
      </c>
      <c r="J2091" s="2">
        <f>_xlfn.XLOOKUP(A2091,BAMLC0A4CBBB!A:A,BAMLC0A4CBBB!B:B,"",-1)</f>
        <v>1.1499999999999999</v>
      </c>
      <c r="K2091" s="2">
        <f>_xlfn.XLOOKUP(A2091,CPIAUCSL!A:A,CPIAUCSL!B:B,"",-1)</f>
        <v>313.56900000000002</v>
      </c>
      <c r="L2091">
        <f>_xlfn.XLOOKUP(A2091,DFF!A:A,DFF!B:B,"",-1)</f>
        <v>5.33</v>
      </c>
      <c r="M2091">
        <f>_xlfn.XLOOKUP(A2091,'DGS2'!A:A,'DGS2'!B:B,"",-1)</f>
        <v>4.4000000000000004</v>
      </c>
      <c r="N2091">
        <f t="shared" si="259"/>
        <v>-9.9999999999999645E-2</v>
      </c>
      <c r="O2091">
        <f t="shared" si="260"/>
        <v>-2.3149031452155744E-2</v>
      </c>
      <c r="P2091">
        <f t="shared" si="261"/>
        <v>0</v>
      </c>
      <c r="Q2091">
        <f t="shared" si="262"/>
        <v>-1</v>
      </c>
    </row>
    <row r="2092" spans="1:17">
      <c r="A2092" s="1">
        <v>45497</v>
      </c>
      <c r="B2092">
        <v>5427.13</v>
      </c>
      <c r="C2092">
        <f t="shared" si="256"/>
        <v>-2.3149031452155744E-2</v>
      </c>
      <c r="D2092">
        <f t="shared" si="263"/>
        <v>-1.4145322434150787E-2</v>
      </c>
      <c r="E2092">
        <f>_xlfn.XLOOKUP(A2092,VIX!A:A,VIX!B:B,"",-1)</f>
        <v>18.04</v>
      </c>
      <c r="F2092">
        <f t="shared" si="257"/>
        <v>3.3199999999999985</v>
      </c>
      <c r="G2092">
        <f>_xlfn.XLOOKUP(A2092,'DGS10'!A:A,'DGS10'!B:B,"",-1)</f>
        <v>4.28</v>
      </c>
      <c r="H2092">
        <f t="shared" si="258"/>
        <v>3.0000000000000249E-2</v>
      </c>
      <c r="I2092" s="2">
        <f>_xlfn.XLOOKUP(A2092,T10Y3M!A:A,T10Y3M!B:B,"",-1)</f>
        <v>-1.1200000000000001</v>
      </c>
      <c r="J2092" s="2">
        <f>_xlfn.XLOOKUP(A2092,BAMLC0A4CBBB!A:A,BAMLC0A4CBBB!B:B,"",-1)</f>
        <v>1.18</v>
      </c>
      <c r="K2092" s="2">
        <f>_xlfn.XLOOKUP(A2092,CPIAUCSL!A:A,CPIAUCSL!B:B,"",-1)</f>
        <v>313.56900000000002</v>
      </c>
      <c r="L2092">
        <f>_xlfn.XLOOKUP(A2092,DFF!A:A,DFF!B:B,"",-1)</f>
        <v>5.33</v>
      </c>
      <c r="M2092">
        <f>_xlfn.XLOOKUP(A2092,'DGS2'!A:A,'DGS2'!B:B,"",-1)</f>
        <v>4.37</v>
      </c>
      <c r="N2092">
        <f t="shared" si="259"/>
        <v>-3.0000000000000249E-2</v>
      </c>
      <c r="O2092">
        <f t="shared" si="260"/>
        <v>-5.1426813066942634E-3</v>
      </c>
      <c r="P2092">
        <f t="shared" si="261"/>
        <v>0</v>
      </c>
      <c r="Q2092">
        <f t="shared" si="262"/>
        <v>-1</v>
      </c>
    </row>
    <row r="2093" spans="1:17">
      <c r="A2093" s="1">
        <v>45498</v>
      </c>
      <c r="B2093">
        <v>5399.22</v>
      </c>
      <c r="C2093">
        <f t="shared" si="256"/>
        <v>-5.1426813066942634E-3</v>
      </c>
      <c r="D2093">
        <f t="shared" si="263"/>
        <v>-2.968688504261896E-2</v>
      </c>
      <c r="E2093">
        <f>_xlfn.XLOOKUP(A2093,VIX!A:A,VIX!B:B,"",-1)</f>
        <v>18.46</v>
      </c>
      <c r="F2093">
        <f t="shared" si="257"/>
        <v>0.42000000000000171</v>
      </c>
      <c r="G2093">
        <f>_xlfn.XLOOKUP(A2093,'DGS10'!A:A,'DGS10'!B:B,"",-1)</f>
        <v>4.2699999999999996</v>
      </c>
      <c r="H2093">
        <f t="shared" si="258"/>
        <v>-1.0000000000000675E-2</v>
      </c>
      <c r="I2093" s="2">
        <f>_xlfn.XLOOKUP(A2093,T10Y3M!A:A,T10Y3M!B:B,"",-1)</f>
        <v>-1.1200000000000001</v>
      </c>
      <c r="J2093" s="2">
        <f>_xlfn.XLOOKUP(A2093,BAMLC0A4CBBB!A:A,BAMLC0A4CBBB!B:B,"",-1)</f>
        <v>1.17</v>
      </c>
      <c r="K2093" s="2">
        <f>_xlfn.XLOOKUP(A2093,CPIAUCSL!A:A,CPIAUCSL!B:B,"",-1)</f>
        <v>313.56900000000002</v>
      </c>
      <c r="L2093">
        <f>_xlfn.XLOOKUP(A2093,DFF!A:A,DFF!B:B,"",-1)</f>
        <v>5.33</v>
      </c>
      <c r="M2093">
        <f>_xlfn.XLOOKUP(A2093,'DGS2'!A:A,'DGS2'!B:B,"",-1)</f>
        <v>4.41</v>
      </c>
      <c r="N2093">
        <f t="shared" si="259"/>
        <v>4.0000000000000036E-2</v>
      </c>
      <c r="O2093">
        <f t="shared" si="260"/>
        <v>1.1090490848678192E-2</v>
      </c>
      <c r="P2093">
        <f t="shared" si="261"/>
        <v>1</v>
      </c>
      <c r="Q2093">
        <f t="shared" si="262"/>
        <v>1</v>
      </c>
    </row>
    <row r="2094" spans="1:17">
      <c r="A2094" s="1">
        <v>45499</v>
      </c>
      <c r="B2094">
        <v>5459.1</v>
      </c>
      <c r="C2094">
        <f t="shared" si="256"/>
        <v>1.1090490848678192E-2</v>
      </c>
      <c r="D2094">
        <f t="shared" si="263"/>
        <v>-1.7394622498532963E-2</v>
      </c>
      <c r="E2094">
        <f>_xlfn.XLOOKUP(A2094,VIX!A:A,VIX!B:B,"",-1)</f>
        <v>16.39</v>
      </c>
      <c r="F2094">
        <f t="shared" si="257"/>
        <v>-2.0700000000000003</v>
      </c>
      <c r="G2094">
        <f>_xlfn.XLOOKUP(A2094,'DGS10'!A:A,'DGS10'!B:B,"",-1)</f>
        <v>4.2</v>
      </c>
      <c r="H2094">
        <f t="shared" si="258"/>
        <v>-6.9999999999999396E-2</v>
      </c>
      <c r="I2094" s="2">
        <f>_xlfn.XLOOKUP(A2094,T10Y3M!A:A,T10Y3M!B:B,"",-1)</f>
        <v>-1.18</v>
      </c>
      <c r="J2094" s="2">
        <f>_xlfn.XLOOKUP(A2094,BAMLC0A4CBBB!A:A,BAMLC0A4CBBB!B:B,"",-1)</f>
        <v>1.17</v>
      </c>
      <c r="K2094" s="2">
        <f>_xlfn.XLOOKUP(A2094,CPIAUCSL!A:A,CPIAUCSL!B:B,"",-1)</f>
        <v>313.56900000000002</v>
      </c>
      <c r="L2094">
        <f>_xlfn.XLOOKUP(A2094,DFF!A:A,DFF!B:B,"",-1)</f>
        <v>5.33</v>
      </c>
      <c r="M2094">
        <f>_xlfn.XLOOKUP(A2094,'DGS2'!A:A,'DGS2'!B:B,"",-1)</f>
        <v>4.3600000000000003</v>
      </c>
      <c r="N2094">
        <f t="shared" si="259"/>
        <v>-4.9999999999999822E-2</v>
      </c>
      <c r="O2094">
        <f t="shared" si="260"/>
        <v>8.1332087706753597E-4</v>
      </c>
      <c r="P2094">
        <f t="shared" si="261"/>
        <v>1</v>
      </c>
      <c r="Q2094">
        <f t="shared" si="262"/>
        <v>0</v>
      </c>
    </row>
    <row r="2095" spans="1:17">
      <c r="A2095" s="1">
        <v>45502</v>
      </c>
      <c r="B2095">
        <v>5463.54</v>
      </c>
      <c r="C2095">
        <f t="shared" si="256"/>
        <v>8.1332087706753597E-4</v>
      </c>
      <c r="D2095">
        <f t="shared" si="263"/>
        <v>6.7088866491129551E-3</v>
      </c>
      <c r="E2095">
        <f>_xlfn.XLOOKUP(A2095,VIX!A:A,VIX!B:B,"",-1)</f>
        <v>16.600000000000001</v>
      </c>
      <c r="F2095">
        <f t="shared" si="257"/>
        <v>0.21000000000000085</v>
      </c>
      <c r="G2095">
        <f>_xlfn.XLOOKUP(A2095,'DGS10'!A:A,'DGS10'!B:B,"",-1)</f>
        <v>4.17</v>
      </c>
      <c r="H2095">
        <f t="shared" si="258"/>
        <v>-3.0000000000000249E-2</v>
      </c>
      <c r="I2095" s="2">
        <f>_xlfn.XLOOKUP(A2095,T10Y3M!A:A,T10Y3M!B:B,"",-1)</f>
        <v>-1.24</v>
      </c>
      <c r="J2095" s="2">
        <f>_xlfn.XLOOKUP(A2095,BAMLC0A4CBBB!A:A,BAMLC0A4CBBB!B:B,"",-1)</f>
        <v>1.17</v>
      </c>
      <c r="K2095" s="2">
        <f>_xlfn.XLOOKUP(A2095,CPIAUCSL!A:A,CPIAUCSL!B:B,"",-1)</f>
        <v>313.56900000000002</v>
      </c>
      <c r="L2095">
        <f>_xlfn.XLOOKUP(A2095,DFF!A:A,DFF!B:B,"",-1)</f>
        <v>5.33</v>
      </c>
      <c r="M2095">
        <f>_xlfn.XLOOKUP(A2095,'DGS2'!A:A,'DGS2'!B:B,"",-1)</f>
        <v>4.3600000000000003</v>
      </c>
      <c r="N2095">
        <f t="shared" si="259"/>
        <v>0</v>
      </c>
      <c r="O2095">
        <f t="shared" si="260"/>
        <v>-4.9601540393225951E-3</v>
      </c>
      <c r="P2095">
        <f t="shared" si="261"/>
        <v>0</v>
      </c>
      <c r="Q2095">
        <f t="shared" si="262"/>
        <v>-1</v>
      </c>
    </row>
    <row r="2096" spans="1:17">
      <c r="A2096" s="1">
        <v>45503</v>
      </c>
      <c r="B2096">
        <v>5436.44</v>
      </c>
      <c r="C2096">
        <f t="shared" si="256"/>
        <v>-4.9601540393225951E-3</v>
      </c>
      <c r="D2096">
        <f t="shared" si="263"/>
        <v>6.8935883331295855E-3</v>
      </c>
      <c r="E2096">
        <f>_xlfn.XLOOKUP(A2096,VIX!A:A,VIX!B:B,"",-1)</f>
        <v>17.690000000000001</v>
      </c>
      <c r="F2096">
        <f t="shared" si="257"/>
        <v>1.0899999999999999</v>
      </c>
      <c r="G2096">
        <f>_xlfn.XLOOKUP(A2096,'DGS10'!A:A,'DGS10'!B:B,"",-1)</f>
        <v>4.1500000000000004</v>
      </c>
      <c r="H2096">
        <f t="shared" si="258"/>
        <v>-1.9999999999999574E-2</v>
      </c>
      <c r="I2096" s="2">
        <f>_xlfn.XLOOKUP(A2096,T10Y3M!A:A,T10Y3M!B:B,"",-1)</f>
        <v>-1.25</v>
      </c>
      <c r="J2096" s="2">
        <f>_xlfn.XLOOKUP(A2096,BAMLC0A4CBBB!A:A,BAMLC0A4CBBB!B:B,"",-1)</f>
        <v>1.18</v>
      </c>
      <c r="K2096" s="2">
        <f>_xlfn.XLOOKUP(A2096,CPIAUCSL!A:A,CPIAUCSL!B:B,"",-1)</f>
        <v>313.56900000000002</v>
      </c>
      <c r="L2096">
        <f>_xlfn.XLOOKUP(A2096,DFF!A:A,DFF!B:B,"",-1)</f>
        <v>5.33</v>
      </c>
      <c r="M2096">
        <f>_xlfn.XLOOKUP(A2096,'DGS2'!A:A,'DGS2'!B:B,"",-1)</f>
        <v>4.3499999999999996</v>
      </c>
      <c r="N2096">
        <f t="shared" si="259"/>
        <v>-1.0000000000000675E-2</v>
      </c>
      <c r="O2096">
        <f t="shared" si="260"/>
        <v>1.579342363752767E-2</v>
      </c>
      <c r="P2096">
        <f t="shared" si="261"/>
        <v>1</v>
      </c>
      <c r="Q2096">
        <f t="shared" si="262"/>
        <v>1</v>
      </c>
    </row>
    <row r="2097" spans="1:17">
      <c r="A2097" s="1">
        <v>45504</v>
      </c>
      <c r="B2097">
        <v>5522.3</v>
      </c>
      <c r="C2097">
        <f t="shared" si="256"/>
        <v>1.579342363752767E-2</v>
      </c>
      <c r="D2097">
        <f t="shared" si="263"/>
        <v>1.157699987177363E-2</v>
      </c>
      <c r="E2097">
        <f>_xlfn.XLOOKUP(A2097,VIX!A:A,VIX!B:B,"",-1)</f>
        <v>16.36</v>
      </c>
      <c r="F2097">
        <f t="shared" si="257"/>
        <v>-1.3300000000000018</v>
      </c>
      <c r="G2097">
        <f>_xlfn.XLOOKUP(A2097,'DGS10'!A:A,'DGS10'!B:B,"",-1)</f>
        <v>4.09</v>
      </c>
      <c r="H2097">
        <f t="shared" si="258"/>
        <v>-6.0000000000000497E-2</v>
      </c>
      <c r="I2097" s="2">
        <f>_xlfn.XLOOKUP(A2097,T10Y3M!A:A,T10Y3M!B:B,"",-1)</f>
        <v>-1.32</v>
      </c>
      <c r="J2097" s="2">
        <f>_xlfn.XLOOKUP(A2097,BAMLC0A4CBBB!A:A,BAMLC0A4CBBB!B:B,"",-1)</f>
        <v>1.2</v>
      </c>
      <c r="K2097" s="2">
        <f>_xlfn.XLOOKUP(A2097,CPIAUCSL!A:A,CPIAUCSL!B:B,"",-1)</f>
        <v>313.56900000000002</v>
      </c>
      <c r="L2097">
        <f>_xlfn.XLOOKUP(A2097,DFF!A:A,DFF!B:B,"",-1)</f>
        <v>5.33</v>
      </c>
      <c r="M2097">
        <f>_xlfn.XLOOKUP(A2097,'DGS2'!A:A,'DGS2'!B:B,"",-1)</f>
        <v>4.29</v>
      </c>
      <c r="N2097">
        <f t="shared" si="259"/>
        <v>-5.9999999999999609E-2</v>
      </c>
      <c r="O2097">
        <f t="shared" si="260"/>
        <v>-1.3693569708273734E-2</v>
      </c>
      <c r="P2097">
        <f t="shared" si="261"/>
        <v>0</v>
      </c>
      <c r="Q2097">
        <f t="shared" si="262"/>
        <v>-1</v>
      </c>
    </row>
    <row r="2098" spans="1:17">
      <c r="A2098" s="1">
        <v>45505</v>
      </c>
      <c r="B2098">
        <v>5446.68</v>
      </c>
      <c r="C2098">
        <f t="shared" si="256"/>
        <v>-1.3693569708273734E-2</v>
      </c>
      <c r="D2098">
        <f t="shared" si="263"/>
        <v>-3.0859113322131426E-3</v>
      </c>
      <c r="E2098">
        <f>_xlfn.XLOOKUP(A2098,VIX!A:A,VIX!B:B,"",-1)</f>
        <v>18.59</v>
      </c>
      <c r="F2098">
        <f t="shared" si="257"/>
        <v>2.2300000000000004</v>
      </c>
      <c r="G2098">
        <f>_xlfn.XLOOKUP(A2098,'DGS10'!A:A,'DGS10'!B:B,"",-1)</f>
        <v>3.99</v>
      </c>
      <c r="H2098">
        <f t="shared" si="258"/>
        <v>-9.9999999999999645E-2</v>
      </c>
      <c r="I2098" s="2">
        <f>_xlfn.XLOOKUP(A2098,T10Y3M!A:A,T10Y3M!B:B,"",-1)</f>
        <v>-1.38</v>
      </c>
      <c r="J2098" s="2">
        <f>_xlfn.XLOOKUP(A2098,BAMLC0A4CBBB!A:A,BAMLC0A4CBBB!B:B,"",-1)</f>
        <v>1.23</v>
      </c>
      <c r="K2098" s="2">
        <f>_xlfn.XLOOKUP(A2098,CPIAUCSL!A:A,CPIAUCSL!B:B,"",-1)</f>
        <v>314.06200000000001</v>
      </c>
      <c r="L2098">
        <f>_xlfn.XLOOKUP(A2098,DFF!A:A,DFF!B:B,"",-1)</f>
        <v>5.33</v>
      </c>
      <c r="M2098">
        <f>_xlfn.XLOOKUP(A2098,'DGS2'!A:A,'DGS2'!B:B,"",-1)</f>
        <v>4.16</v>
      </c>
      <c r="N2098">
        <f t="shared" si="259"/>
        <v>-0.12999999999999989</v>
      </c>
      <c r="O2098">
        <f t="shared" si="260"/>
        <v>-1.8381839946536194E-2</v>
      </c>
      <c r="P2098">
        <f t="shared" si="261"/>
        <v>0</v>
      </c>
      <c r="Q2098">
        <f t="shared" si="262"/>
        <v>-1</v>
      </c>
    </row>
    <row r="2099" spans="1:17">
      <c r="A2099" s="1">
        <v>45506</v>
      </c>
      <c r="B2099">
        <v>5346.56</v>
      </c>
      <c r="C2099">
        <f t="shared" si="256"/>
        <v>-1.8381839946536194E-2</v>
      </c>
      <c r="D2099">
        <f t="shared" si="263"/>
        <v>-1.6532878133484252E-2</v>
      </c>
      <c r="E2099">
        <f>_xlfn.XLOOKUP(A2099,VIX!A:A,VIX!B:B,"",-1)</f>
        <v>23.39</v>
      </c>
      <c r="F2099">
        <f t="shared" si="257"/>
        <v>4.8000000000000007</v>
      </c>
      <c r="G2099">
        <f>_xlfn.XLOOKUP(A2099,'DGS10'!A:A,'DGS10'!B:B,"",-1)</f>
        <v>3.8</v>
      </c>
      <c r="H2099">
        <f t="shared" si="258"/>
        <v>-0.19000000000000039</v>
      </c>
      <c r="I2099" s="2">
        <f>_xlfn.XLOOKUP(A2099,T10Y3M!A:A,T10Y3M!B:B,"",-1)</f>
        <v>-1.49</v>
      </c>
      <c r="J2099" s="2">
        <f>_xlfn.XLOOKUP(A2099,BAMLC0A4CBBB!A:A,BAMLC0A4CBBB!B:B,"",-1)</f>
        <v>1.3</v>
      </c>
      <c r="K2099" s="2">
        <f>_xlfn.XLOOKUP(A2099,CPIAUCSL!A:A,CPIAUCSL!B:B,"",-1)</f>
        <v>314.06200000000001</v>
      </c>
      <c r="L2099">
        <f>_xlfn.XLOOKUP(A2099,DFF!A:A,DFF!B:B,"",-1)</f>
        <v>5.33</v>
      </c>
      <c r="M2099">
        <f>_xlfn.XLOOKUP(A2099,'DGS2'!A:A,'DGS2'!B:B,"",-1)</f>
        <v>3.88</v>
      </c>
      <c r="N2099">
        <f t="shared" si="259"/>
        <v>-0.28000000000000025</v>
      </c>
      <c r="O2099">
        <f t="shared" si="260"/>
        <v>-2.9968802370122227E-2</v>
      </c>
      <c r="P2099">
        <f t="shared" si="261"/>
        <v>0</v>
      </c>
      <c r="Q2099">
        <f t="shared" si="262"/>
        <v>-1</v>
      </c>
    </row>
    <row r="2100" spans="1:17">
      <c r="A2100" s="1">
        <v>45509</v>
      </c>
      <c r="B2100">
        <v>5186.33</v>
      </c>
      <c r="C2100">
        <f t="shared" si="256"/>
        <v>-2.9968802370122227E-2</v>
      </c>
      <c r="D2100">
        <f t="shared" si="263"/>
        <v>-6.0838780942723214E-2</v>
      </c>
      <c r="E2100">
        <f>_xlfn.XLOOKUP(A2100,VIX!A:A,VIX!B:B,"",-1)</f>
        <v>38.57</v>
      </c>
      <c r="F2100">
        <f t="shared" si="257"/>
        <v>15.18</v>
      </c>
      <c r="G2100">
        <f>_xlfn.XLOOKUP(A2100,'DGS10'!A:A,'DGS10'!B:B,"",-1)</f>
        <v>3.78</v>
      </c>
      <c r="H2100">
        <f t="shared" si="258"/>
        <v>-2.0000000000000018E-2</v>
      </c>
      <c r="I2100" s="2">
        <f>_xlfn.XLOOKUP(A2100,T10Y3M!A:A,T10Y3M!B:B,"",-1)</f>
        <v>-1.57</v>
      </c>
      <c r="J2100" s="2">
        <f>_xlfn.XLOOKUP(A2100,BAMLC0A4CBBB!A:A,BAMLC0A4CBBB!B:B,"",-1)</f>
        <v>1.37</v>
      </c>
      <c r="K2100" s="2">
        <f>_xlfn.XLOOKUP(A2100,CPIAUCSL!A:A,CPIAUCSL!B:B,"",-1)</f>
        <v>314.06200000000001</v>
      </c>
      <c r="L2100">
        <f>_xlfn.XLOOKUP(A2100,DFF!A:A,DFF!B:B,"",-1)</f>
        <v>5.33</v>
      </c>
      <c r="M2100">
        <f>_xlfn.XLOOKUP(A2100,'DGS2'!A:A,'DGS2'!B:B,"",-1)</f>
        <v>3.89</v>
      </c>
      <c r="N2100">
        <f t="shared" si="259"/>
        <v>1.0000000000000231E-2</v>
      </c>
      <c r="O2100">
        <f t="shared" si="260"/>
        <v>1.0354142524675369E-2</v>
      </c>
      <c r="P2100">
        <f t="shared" si="261"/>
        <v>1</v>
      </c>
      <c r="Q2100">
        <f t="shared" si="262"/>
        <v>1</v>
      </c>
    </row>
    <row r="2101" spans="1:17">
      <c r="A2101" s="1">
        <v>45510</v>
      </c>
      <c r="B2101">
        <v>5240.03</v>
      </c>
      <c r="C2101">
        <f t="shared" si="256"/>
        <v>1.0354142524675369E-2</v>
      </c>
      <c r="D2101">
        <f t="shared" si="263"/>
        <v>-3.794054359720056E-2</v>
      </c>
      <c r="E2101">
        <f>_xlfn.XLOOKUP(A2101,VIX!A:A,VIX!B:B,"",-1)</f>
        <v>27.71</v>
      </c>
      <c r="F2101">
        <f t="shared" si="257"/>
        <v>-10.86</v>
      </c>
      <c r="G2101">
        <f>_xlfn.XLOOKUP(A2101,'DGS10'!A:A,'DGS10'!B:B,"",-1)</f>
        <v>3.9</v>
      </c>
      <c r="H2101">
        <f t="shared" si="258"/>
        <v>0.12000000000000011</v>
      </c>
      <c r="I2101" s="2">
        <f>_xlfn.XLOOKUP(A2101,T10Y3M!A:A,T10Y3M!B:B,"",-1)</f>
        <v>-1.44</v>
      </c>
      <c r="J2101" s="2">
        <f>_xlfn.XLOOKUP(A2101,BAMLC0A4CBBB!A:A,BAMLC0A4CBBB!B:B,"",-1)</f>
        <v>1.32</v>
      </c>
      <c r="K2101" s="2">
        <f>_xlfn.XLOOKUP(A2101,CPIAUCSL!A:A,CPIAUCSL!B:B,"",-1)</f>
        <v>314.06200000000001</v>
      </c>
      <c r="L2101">
        <f>_xlfn.XLOOKUP(A2101,DFF!A:A,DFF!B:B,"",-1)</f>
        <v>5.33</v>
      </c>
      <c r="M2101">
        <f>_xlfn.XLOOKUP(A2101,'DGS2'!A:A,'DGS2'!B:B,"",-1)</f>
        <v>3.99</v>
      </c>
      <c r="N2101">
        <f t="shared" si="259"/>
        <v>0.10000000000000009</v>
      </c>
      <c r="O2101">
        <f t="shared" si="260"/>
        <v>-7.7346885418594358E-3</v>
      </c>
      <c r="P2101">
        <f t="shared" si="261"/>
        <v>0</v>
      </c>
      <c r="Q2101">
        <f t="shared" si="262"/>
        <v>-1</v>
      </c>
    </row>
    <row r="2102" spans="1:17">
      <c r="A2102" s="1">
        <v>45511</v>
      </c>
      <c r="B2102">
        <v>5199.5</v>
      </c>
      <c r="C2102">
        <f t="shared" si="256"/>
        <v>-7.7346885418594358E-3</v>
      </c>
      <c r="D2102">
        <f t="shared" si="263"/>
        <v>-2.7505536270050368E-2</v>
      </c>
      <c r="E2102">
        <f>_xlfn.XLOOKUP(A2102,VIX!A:A,VIX!B:B,"",-1)</f>
        <v>27.85</v>
      </c>
      <c r="F2102">
        <f t="shared" si="257"/>
        <v>0.14000000000000057</v>
      </c>
      <c r="G2102">
        <f>_xlfn.XLOOKUP(A2102,'DGS10'!A:A,'DGS10'!B:B,"",-1)</f>
        <v>3.96</v>
      </c>
      <c r="H2102">
        <f t="shared" si="258"/>
        <v>6.0000000000000053E-2</v>
      </c>
      <c r="I2102" s="2">
        <f>_xlfn.XLOOKUP(A2102,T10Y3M!A:A,T10Y3M!B:B,"",-1)</f>
        <v>-1.38</v>
      </c>
      <c r="J2102" s="2">
        <f>_xlfn.XLOOKUP(A2102,BAMLC0A4CBBB!A:A,BAMLC0A4CBBB!B:B,"",-1)</f>
        <v>1.31</v>
      </c>
      <c r="K2102" s="2">
        <f>_xlfn.XLOOKUP(A2102,CPIAUCSL!A:A,CPIAUCSL!B:B,"",-1)</f>
        <v>314.06200000000001</v>
      </c>
      <c r="L2102">
        <f>_xlfn.XLOOKUP(A2102,DFF!A:A,DFF!B:B,"",-1)</f>
        <v>5.33</v>
      </c>
      <c r="M2102">
        <f>_xlfn.XLOOKUP(A2102,'DGS2'!A:A,'DGS2'!B:B,"",-1)</f>
        <v>4</v>
      </c>
      <c r="N2102">
        <f t="shared" si="259"/>
        <v>9.9999999999997868E-3</v>
      </c>
      <c r="O2102">
        <f t="shared" si="260"/>
        <v>2.3042600250024137E-2</v>
      </c>
      <c r="P2102">
        <f t="shared" si="261"/>
        <v>1</v>
      </c>
      <c r="Q2102">
        <f t="shared" si="262"/>
        <v>1</v>
      </c>
    </row>
    <row r="2103" spans="1:17">
      <c r="A2103" s="1">
        <v>45512</v>
      </c>
      <c r="B2103">
        <v>5319.31</v>
      </c>
      <c r="C2103">
        <f t="shared" si="256"/>
        <v>2.3042600250024137E-2</v>
      </c>
      <c r="D2103">
        <f t="shared" si="263"/>
        <v>2.5640481805053073E-2</v>
      </c>
      <c r="E2103">
        <f>_xlfn.XLOOKUP(A2103,VIX!A:A,VIX!B:B,"",-1)</f>
        <v>23.79</v>
      </c>
      <c r="F2103">
        <f t="shared" si="257"/>
        <v>-4.0600000000000023</v>
      </c>
      <c r="G2103">
        <f>_xlfn.XLOOKUP(A2103,'DGS10'!A:A,'DGS10'!B:B,"",-1)</f>
        <v>3.99</v>
      </c>
      <c r="H2103">
        <f t="shared" si="258"/>
        <v>3.0000000000000249E-2</v>
      </c>
      <c r="I2103" s="2">
        <f>_xlfn.XLOOKUP(A2103,T10Y3M!A:A,T10Y3M!B:B,"",-1)</f>
        <v>-1.35</v>
      </c>
      <c r="J2103" s="2">
        <f>_xlfn.XLOOKUP(A2103,BAMLC0A4CBBB!A:A,BAMLC0A4CBBB!B:B,"",-1)</f>
        <v>1.29</v>
      </c>
      <c r="K2103" s="2">
        <f>_xlfn.XLOOKUP(A2103,CPIAUCSL!A:A,CPIAUCSL!B:B,"",-1)</f>
        <v>314.06200000000001</v>
      </c>
      <c r="L2103">
        <f>_xlfn.XLOOKUP(A2103,DFF!A:A,DFF!B:B,"",-1)</f>
        <v>5.33</v>
      </c>
      <c r="M2103">
        <f>_xlfn.XLOOKUP(A2103,'DGS2'!A:A,'DGS2'!B:B,"",-1)</f>
        <v>4.04</v>
      </c>
      <c r="N2103">
        <f t="shared" si="259"/>
        <v>4.0000000000000036E-2</v>
      </c>
      <c r="O2103">
        <f t="shared" si="260"/>
        <v>4.6716585421793244E-3</v>
      </c>
      <c r="P2103">
        <f t="shared" si="261"/>
        <v>1</v>
      </c>
      <c r="Q2103">
        <f t="shared" si="262"/>
        <v>1</v>
      </c>
    </row>
    <row r="2104" spans="1:17">
      <c r="A2104" s="1">
        <v>45513</v>
      </c>
      <c r="B2104">
        <v>5344.16</v>
      </c>
      <c r="C2104">
        <f t="shared" si="256"/>
        <v>4.6716585421793244E-3</v>
      </c>
      <c r="D2104">
        <f t="shared" si="263"/>
        <v>1.9872023633452418E-2</v>
      </c>
      <c r="E2104">
        <f>_xlfn.XLOOKUP(A2104,VIX!A:A,VIX!B:B,"",-1)</f>
        <v>20.37</v>
      </c>
      <c r="F2104">
        <f t="shared" si="257"/>
        <v>-3.4199999999999982</v>
      </c>
      <c r="G2104">
        <f>_xlfn.XLOOKUP(A2104,'DGS10'!A:A,'DGS10'!B:B,"",-1)</f>
        <v>3.94</v>
      </c>
      <c r="H2104">
        <f t="shared" si="258"/>
        <v>-5.0000000000000266E-2</v>
      </c>
      <c r="I2104" s="2">
        <f>_xlfn.XLOOKUP(A2104,T10Y3M!A:A,T10Y3M!B:B,"",-1)</f>
        <v>-1.39</v>
      </c>
      <c r="J2104" s="2">
        <f>_xlfn.XLOOKUP(A2104,BAMLC0A4CBBB!A:A,BAMLC0A4CBBB!B:B,"",-1)</f>
        <v>1.28</v>
      </c>
      <c r="K2104" s="2">
        <f>_xlfn.XLOOKUP(A2104,CPIAUCSL!A:A,CPIAUCSL!B:B,"",-1)</f>
        <v>314.06200000000001</v>
      </c>
      <c r="L2104">
        <f>_xlfn.XLOOKUP(A2104,DFF!A:A,DFF!B:B,"",-1)</f>
        <v>5.33</v>
      </c>
      <c r="M2104">
        <f>_xlfn.XLOOKUP(A2104,'DGS2'!A:A,'DGS2'!B:B,"",-1)</f>
        <v>4.05</v>
      </c>
      <c r="N2104">
        <f t="shared" si="259"/>
        <v>9.9999999999997868E-3</v>
      </c>
      <c r="O2104">
        <f t="shared" si="260"/>
        <v>4.3037633603804082E-5</v>
      </c>
      <c r="P2104">
        <f t="shared" si="261"/>
        <v>1</v>
      </c>
      <c r="Q2104">
        <f t="shared" si="262"/>
        <v>0</v>
      </c>
    </row>
    <row r="2105" spans="1:17">
      <c r="A2105" s="1">
        <v>45516</v>
      </c>
      <c r="B2105">
        <v>5344.39</v>
      </c>
      <c r="C2105">
        <f t="shared" si="256"/>
        <v>4.3037633603804082E-5</v>
      </c>
      <c r="D2105">
        <f t="shared" si="263"/>
        <v>2.7866140975093767E-2</v>
      </c>
      <c r="E2105">
        <f>_xlfn.XLOOKUP(A2105,VIX!A:A,VIX!B:B,"",-1)</f>
        <v>20.71</v>
      </c>
      <c r="F2105">
        <f t="shared" si="257"/>
        <v>0.33999999999999986</v>
      </c>
      <c r="G2105">
        <f>_xlfn.XLOOKUP(A2105,'DGS10'!A:A,'DGS10'!B:B,"",-1)</f>
        <v>3.9</v>
      </c>
      <c r="H2105">
        <f t="shared" si="258"/>
        <v>-4.0000000000000036E-2</v>
      </c>
      <c r="I2105" s="2">
        <f>_xlfn.XLOOKUP(A2105,T10Y3M!A:A,T10Y3M!B:B,"",-1)</f>
        <v>-1.43</v>
      </c>
      <c r="J2105" s="2">
        <f>_xlfn.XLOOKUP(A2105,BAMLC0A4CBBB!A:A,BAMLC0A4CBBB!B:B,"",-1)</f>
        <v>1.29</v>
      </c>
      <c r="K2105" s="2">
        <f>_xlfn.XLOOKUP(A2105,CPIAUCSL!A:A,CPIAUCSL!B:B,"",-1)</f>
        <v>314.06200000000001</v>
      </c>
      <c r="L2105">
        <f>_xlfn.XLOOKUP(A2105,DFF!A:A,DFF!B:B,"",-1)</f>
        <v>5.33</v>
      </c>
      <c r="M2105">
        <f>_xlfn.XLOOKUP(A2105,'DGS2'!A:A,'DGS2'!B:B,"",-1)</f>
        <v>4.01</v>
      </c>
      <c r="N2105">
        <f t="shared" si="259"/>
        <v>-4.0000000000000036E-2</v>
      </c>
      <c r="O2105">
        <f t="shared" si="260"/>
        <v>1.6847572875482442E-2</v>
      </c>
      <c r="P2105">
        <f t="shared" si="261"/>
        <v>1</v>
      </c>
      <c r="Q2105">
        <f t="shared" si="262"/>
        <v>1</v>
      </c>
    </row>
    <row r="2106" spans="1:17">
      <c r="A2106" s="1">
        <v>45517</v>
      </c>
      <c r="B2106">
        <v>5434.43</v>
      </c>
      <c r="C2106">
        <f t="shared" si="256"/>
        <v>1.6847572875482442E-2</v>
      </c>
      <c r="D2106">
        <f t="shared" si="263"/>
        <v>2.1641904683126212E-2</v>
      </c>
      <c r="E2106">
        <f>_xlfn.XLOOKUP(A2106,VIX!A:A,VIX!B:B,"",-1)</f>
        <v>18.12</v>
      </c>
      <c r="F2106">
        <f t="shared" si="257"/>
        <v>-2.59</v>
      </c>
      <c r="G2106">
        <f>_xlfn.XLOOKUP(A2106,'DGS10'!A:A,'DGS10'!B:B,"",-1)</f>
        <v>3.85</v>
      </c>
      <c r="H2106">
        <f t="shared" si="258"/>
        <v>-4.9999999999999822E-2</v>
      </c>
      <c r="I2106" s="2">
        <f>_xlfn.XLOOKUP(A2106,T10Y3M!A:A,T10Y3M!B:B,"",-1)</f>
        <v>-1.47</v>
      </c>
      <c r="J2106" s="2">
        <f>_xlfn.XLOOKUP(A2106,BAMLC0A4CBBB!A:A,BAMLC0A4CBBB!B:B,"",-1)</f>
        <v>1.28</v>
      </c>
      <c r="K2106" s="2">
        <f>_xlfn.XLOOKUP(A2106,CPIAUCSL!A:A,CPIAUCSL!B:B,"",-1)</f>
        <v>314.06200000000001</v>
      </c>
      <c r="L2106">
        <f>_xlfn.XLOOKUP(A2106,DFF!A:A,DFF!B:B,"",-1)</f>
        <v>5.33</v>
      </c>
      <c r="M2106">
        <f>_xlfn.XLOOKUP(A2106,'DGS2'!A:A,'DGS2'!B:B,"",-1)</f>
        <v>3.93</v>
      </c>
      <c r="N2106">
        <f t="shared" si="259"/>
        <v>-7.9999999999999627E-2</v>
      </c>
      <c r="O2106">
        <f t="shared" si="260"/>
        <v>3.8237680860733203E-3</v>
      </c>
      <c r="P2106">
        <f t="shared" si="261"/>
        <v>1</v>
      </c>
      <c r="Q2106">
        <f t="shared" si="262"/>
        <v>1</v>
      </c>
    </row>
    <row r="2107" spans="1:17">
      <c r="A2107" s="1">
        <v>45518</v>
      </c>
      <c r="B2107">
        <v>5455.21</v>
      </c>
      <c r="C2107">
        <f t="shared" si="256"/>
        <v>3.8237680860733203E-3</v>
      </c>
      <c r="D2107">
        <f t="shared" si="263"/>
        <v>2.0779692224783819E-2</v>
      </c>
      <c r="E2107">
        <f>_xlfn.XLOOKUP(A2107,VIX!A:A,VIX!B:B,"",-1)</f>
        <v>16.190000000000001</v>
      </c>
      <c r="F2107">
        <f t="shared" si="257"/>
        <v>-1.9299999999999997</v>
      </c>
      <c r="G2107">
        <f>_xlfn.XLOOKUP(A2107,'DGS10'!A:A,'DGS10'!B:B,"",-1)</f>
        <v>3.83</v>
      </c>
      <c r="H2107">
        <f t="shared" si="258"/>
        <v>-2.0000000000000018E-2</v>
      </c>
      <c r="I2107" s="2">
        <f>_xlfn.XLOOKUP(A2107,T10Y3M!A:A,T10Y3M!B:B,"",-1)</f>
        <v>-1.49</v>
      </c>
      <c r="J2107" s="2">
        <f>_xlfn.XLOOKUP(A2107,BAMLC0A4CBBB!A:A,BAMLC0A4CBBB!B:B,"",-1)</f>
        <v>1.26</v>
      </c>
      <c r="K2107" s="2">
        <f>_xlfn.XLOOKUP(A2107,CPIAUCSL!A:A,CPIAUCSL!B:B,"",-1)</f>
        <v>314.06200000000001</v>
      </c>
      <c r="L2107">
        <f>_xlfn.XLOOKUP(A2107,DFF!A:A,DFF!B:B,"",-1)</f>
        <v>5.33</v>
      </c>
      <c r="M2107">
        <f>_xlfn.XLOOKUP(A2107,'DGS2'!A:A,'DGS2'!B:B,"",-1)</f>
        <v>3.94</v>
      </c>
      <c r="N2107">
        <f t="shared" si="259"/>
        <v>9.9999999999997868E-3</v>
      </c>
      <c r="O2107">
        <f t="shared" si="260"/>
        <v>1.6133201104998829E-2</v>
      </c>
      <c r="P2107">
        <f t="shared" si="261"/>
        <v>1</v>
      </c>
      <c r="Q2107">
        <f t="shared" si="262"/>
        <v>1</v>
      </c>
    </row>
    <row r="2108" spans="1:17">
      <c r="A2108" s="1">
        <v>45519</v>
      </c>
      <c r="B2108">
        <v>5543.22</v>
      </c>
      <c r="C2108">
        <f t="shared" si="256"/>
        <v>1.6133201104998829E-2</v>
      </c>
      <c r="D2108">
        <f t="shared" si="263"/>
        <v>3.7203497499246785E-2</v>
      </c>
      <c r="E2108">
        <f>_xlfn.XLOOKUP(A2108,VIX!A:A,VIX!B:B,"",-1)</f>
        <v>15.23</v>
      </c>
      <c r="F2108">
        <f t="shared" si="257"/>
        <v>-0.96000000000000085</v>
      </c>
      <c r="G2108">
        <f>_xlfn.XLOOKUP(A2108,'DGS10'!A:A,'DGS10'!B:B,"",-1)</f>
        <v>3.92</v>
      </c>
      <c r="H2108">
        <f t="shared" si="258"/>
        <v>8.9999999999999858E-2</v>
      </c>
      <c r="I2108" s="2">
        <f>_xlfn.XLOOKUP(A2108,T10Y3M!A:A,T10Y3M!B:B,"",-1)</f>
        <v>-1.42</v>
      </c>
      <c r="J2108" s="2">
        <f>_xlfn.XLOOKUP(A2108,BAMLC0A4CBBB!A:A,BAMLC0A4CBBB!B:B,"",-1)</f>
        <v>1.22</v>
      </c>
      <c r="K2108" s="2">
        <f>_xlfn.XLOOKUP(A2108,CPIAUCSL!A:A,CPIAUCSL!B:B,"",-1)</f>
        <v>314.06200000000001</v>
      </c>
      <c r="L2108">
        <f>_xlfn.XLOOKUP(A2108,DFF!A:A,DFF!B:B,"",-1)</f>
        <v>5.33</v>
      </c>
      <c r="M2108">
        <f>_xlfn.XLOOKUP(A2108,'DGS2'!A:A,'DGS2'!B:B,"",-1)</f>
        <v>4.08</v>
      </c>
      <c r="N2108">
        <f t="shared" si="259"/>
        <v>0.14000000000000012</v>
      </c>
      <c r="O2108">
        <f t="shared" si="260"/>
        <v>1.9898181923141411E-3</v>
      </c>
      <c r="P2108">
        <f t="shared" si="261"/>
        <v>1</v>
      </c>
      <c r="Q2108">
        <f t="shared" si="262"/>
        <v>0</v>
      </c>
    </row>
    <row r="2109" spans="1:17">
      <c r="A2109" s="1">
        <v>45520</v>
      </c>
      <c r="B2109">
        <v>5554.25</v>
      </c>
      <c r="C2109">
        <f t="shared" si="256"/>
        <v>1.9898181923141411E-3</v>
      </c>
      <c r="D2109">
        <f t="shared" si="263"/>
        <v>2.2048310494384715E-2</v>
      </c>
      <c r="E2109">
        <f>_xlfn.XLOOKUP(A2109,VIX!A:A,VIX!B:B,"",-1)</f>
        <v>14.8</v>
      </c>
      <c r="F2109">
        <f t="shared" si="257"/>
        <v>-0.42999999999999972</v>
      </c>
      <c r="G2109">
        <f>_xlfn.XLOOKUP(A2109,'DGS10'!A:A,'DGS10'!B:B,"",-1)</f>
        <v>3.89</v>
      </c>
      <c r="H2109">
        <f t="shared" si="258"/>
        <v>-2.9999999999999805E-2</v>
      </c>
      <c r="I2109" s="2">
        <f>_xlfn.XLOOKUP(A2109,T10Y3M!A:A,T10Y3M!B:B,"",-1)</f>
        <v>-1.44</v>
      </c>
      <c r="J2109" s="2">
        <f>_xlfn.XLOOKUP(A2109,BAMLC0A4CBBB!A:A,BAMLC0A4CBBB!B:B,"",-1)</f>
        <v>1.21</v>
      </c>
      <c r="K2109" s="2">
        <f>_xlfn.XLOOKUP(A2109,CPIAUCSL!A:A,CPIAUCSL!B:B,"",-1)</f>
        <v>314.06200000000001</v>
      </c>
      <c r="L2109">
        <f>_xlfn.XLOOKUP(A2109,DFF!A:A,DFF!B:B,"",-1)</f>
        <v>5.33</v>
      </c>
      <c r="M2109">
        <f>_xlfn.XLOOKUP(A2109,'DGS2'!A:A,'DGS2'!B:B,"",-1)</f>
        <v>4.0599999999999996</v>
      </c>
      <c r="N2109">
        <f t="shared" si="259"/>
        <v>-2.0000000000000462E-2</v>
      </c>
      <c r="O2109">
        <f t="shared" si="260"/>
        <v>9.7222847369131671E-3</v>
      </c>
      <c r="P2109">
        <f t="shared" si="261"/>
        <v>1</v>
      </c>
      <c r="Q2109">
        <f t="shared" si="262"/>
        <v>1</v>
      </c>
    </row>
    <row r="2110" spans="1:17">
      <c r="A2110" s="1">
        <v>45523</v>
      </c>
      <c r="B2110">
        <v>5608.25</v>
      </c>
      <c r="C2110">
        <f t="shared" si="256"/>
        <v>9.7222847369131671E-3</v>
      </c>
      <c r="D2110">
        <f t="shared" si="263"/>
        <v>2.8053915431303311E-2</v>
      </c>
      <c r="E2110">
        <f>_xlfn.XLOOKUP(A2110,VIX!A:A,VIX!B:B,"",-1)</f>
        <v>14.65</v>
      </c>
      <c r="F2110">
        <f t="shared" si="257"/>
        <v>-0.15000000000000036</v>
      </c>
      <c r="G2110">
        <f>_xlfn.XLOOKUP(A2110,'DGS10'!A:A,'DGS10'!B:B,"",-1)</f>
        <v>3.86</v>
      </c>
      <c r="H2110">
        <f t="shared" si="258"/>
        <v>-3.0000000000000249E-2</v>
      </c>
      <c r="I2110" s="2">
        <f>_xlfn.XLOOKUP(A2110,T10Y3M!A:A,T10Y3M!B:B,"",-1)</f>
        <v>-1.45</v>
      </c>
      <c r="J2110" s="2">
        <f>_xlfn.XLOOKUP(A2110,BAMLC0A4CBBB!A:A,BAMLC0A4CBBB!B:B,"",-1)</f>
        <v>1.21</v>
      </c>
      <c r="K2110" s="2">
        <f>_xlfn.XLOOKUP(A2110,CPIAUCSL!A:A,CPIAUCSL!B:B,"",-1)</f>
        <v>314.06200000000001</v>
      </c>
      <c r="L2110">
        <f>_xlfn.XLOOKUP(A2110,DFF!A:A,DFF!B:B,"",-1)</f>
        <v>5.33</v>
      </c>
      <c r="M2110">
        <f>_xlfn.XLOOKUP(A2110,'DGS2'!A:A,'DGS2'!B:B,"",-1)</f>
        <v>4.0599999999999996</v>
      </c>
      <c r="N2110">
        <f t="shared" si="259"/>
        <v>0</v>
      </c>
      <c r="O2110">
        <f t="shared" si="260"/>
        <v>-1.9845762938528466E-3</v>
      </c>
      <c r="P2110">
        <f t="shared" si="261"/>
        <v>0</v>
      </c>
      <c r="Q2110">
        <f t="shared" si="262"/>
        <v>0</v>
      </c>
    </row>
    <row r="2111" spans="1:17">
      <c r="A2111" s="1">
        <v>45524</v>
      </c>
      <c r="B2111">
        <v>5597.12</v>
      </c>
      <c r="C2111">
        <f t="shared" si="256"/>
        <v>-1.9845762938528466E-3</v>
      </c>
      <c r="D2111">
        <f t="shared" si="263"/>
        <v>9.7235902598127311E-3</v>
      </c>
      <c r="E2111">
        <f>_xlfn.XLOOKUP(A2111,VIX!A:A,VIX!B:B,"",-1)</f>
        <v>15.88</v>
      </c>
      <c r="F2111">
        <f t="shared" si="257"/>
        <v>1.2300000000000004</v>
      </c>
      <c r="G2111">
        <f>_xlfn.XLOOKUP(A2111,'DGS10'!A:A,'DGS10'!B:B,"",-1)</f>
        <v>3.82</v>
      </c>
      <c r="H2111">
        <f t="shared" si="258"/>
        <v>-4.0000000000000036E-2</v>
      </c>
      <c r="I2111" s="2">
        <f>_xlfn.XLOOKUP(A2111,T10Y3M!A:A,T10Y3M!B:B,"",-1)</f>
        <v>-1.47</v>
      </c>
      <c r="J2111" s="2">
        <f>_xlfn.XLOOKUP(A2111,BAMLC0A4CBBB!A:A,BAMLC0A4CBBB!B:B,"",-1)</f>
        <v>1.22</v>
      </c>
      <c r="K2111" s="2">
        <f>_xlfn.XLOOKUP(A2111,CPIAUCSL!A:A,CPIAUCSL!B:B,"",-1)</f>
        <v>314.06200000000001</v>
      </c>
      <c r="L2111">
        <f>_xlfn.XLOOKUP(A2111,DFF!A:A,DFF!B:B,"",-1)</f>
        <v>5.33</v>
      </c>
      <c r="M2111">
        <f>_xlfn.XLOOKUP(A2111,'DGS2'!A:A,'DGS2'!B:B,"",-1)</f>
        <v>3.99</v>
      </c>
      <c r="N2111">
        <f t="shared" si="259"/>
        <v>-6.9999999999999396E-2</v>
      </c>
      <c r="O2111">
        <f t="shared" si="260"/>
        <v>4.2396804070665706E-3</v>
      </c>
      <c r="P2111">
        <f t="shared" si="261"/>
        <v>1</v>
      </c>
      <c r="Q2111">
        <f t="shared" si="262"/>
        <v>1</v>
      </c>
    </row>
    <row r="2112" spans="1:17">
      <c r="A2112" s="1">
        <v>45525</v>
      </c>
      <c r="B2112">
        <v>5620.85</v>
      </c>
      <c r="C2112">
        <f t="shared" si="256"/>
        <v>4.2396804070665706E-3</v>
      </c>
      <c r="D2112">
        <f t="shared" si="263"/>
        <v>1.1990817842193024E-2</v>
      </c>
      <c r="E2112">
        <f>_xlfn.XLOOKUP(A2112,VIX!A:A,VIX!B:B,"",-1)</f>
        <v>16.27</v>
      </c>
      <c r="F2112">
        <f t="shared" si="257"/>
        <v>0.38999999999999879</v>
      </c>
      <c r="G2112">
        <f>_xlfn.XLOOKUP(A2112,'DGS10'!A:A,'DGS10'!B:B,"",-1)</f>
        <v>3.79</v>
      </c>
      <c r="H2112">
        <f t="shared" si="258"/>
        <v>-2.9999999999999805E-2</v>
      </c>
      <c r="I2112" s="2">
        <f>_xlfn.XLOOKUP(A2112,T10Y3M!A:A,T10Y3M!B:B,"",-1)</f>
        <v>-1.47</v>
      </c>
      <c r="J2112" s="2">
        <f>_xlfn.XLOOKUP(A2112,BAMLC0A4CBBB!A:A,BAMLC0A4CBBB!B:B,"",-1)</f>
        <v>1.22</v>
      </c>
      <c r="K2112" s="2">
        <f>_xlfn.XLOOKUP(A2112,CPIAUCSL!A:A,CPIAUCSL!B:B,"",-1)</f>
        <v>314.06200000000001</v>
      </c>
      <c r="L2112">
        <f>_xlfn.XLOOKUP(A2112,DFF!A:A,DFF!B:B,"",-1)</f>
        <v>5.33</v>
      </c>
      <c r="M2112">
        <f>_xlfn.XLOOKUP(A2112,'DGS2'!A:A,'DGS2'!B:B,"",-1)</f>
        <v>3.92</v>
      </c>
      <c r="N2112">
        <f t="shared" si="259"/>
        <v>-7.0000000000000284E-2</v>
      </c>
      <c r="O2112">
        <f t="shared" si="260"/>
        <v>-8.9328126528905871E-3</v>
      </c>
      <c r="P2112">
        <f t="shared" si="261"/>
        <v>0</v>
      </c>
      <c r="Q2112">
        <f t="shared" si="262"/>
        <v>-1</v>
      </c>
    </row>
    <row r="2113" spans="1:17">
      <c r="A2113" s="1">
        <v>45526</v>
      </c>
      <c r="B2113">
        <v>5570.64</v>
      </c>
      <c r="C2113">
        <f t="shared" si="256"/>
        <v>-8.9328126528905871E-3</v>
      </c>
      <c r="D2113">
        <f t="shared" si="263"/>
        <v>-6.7061917710514729E-3</v>
      </c>
      <c r="E2113">
        <f>_xlfn.XLOOKUP(A2113,VIX!A:A,VIX!B:B,"",-1)</f>
        <v>17.55</v>
      </c>
      <c r="F2113">
        <f t="shared" si="257"/>
        <v>1.2800000000000011</v>
      </c>
      <c r="G2113">
        <f>_xlfn.XLOOKUP(A2113,'DGS10'!A:A,'DGS10'!B:B,"",-1)</f>
        <v>3.86</v>
      </c>
      <c r="H2113">
        <f t="shared" si="258"/>
        <v>6.999999999999984E-2</v>
      </c>
      <c r="I2113" s="2">
        <f>_xlfn.XLOOKUP(A2113,T10Y3M!A:A,T10Y3M!B:B,"",-1)</f>
        <v>-1.42</v>
      </c>
      <c r="J2113" s="2">
        <f>_xlfn.XLOOKUP(A2113,BAMLC0A4CBBB!A:A,BAMLC0A4CBBB!B:B,"",-1)</f>
        <v>1.21</v>
      </c>
      <c r="K2113" s="2">
        <f>_xlfn.XLOOKUP(A2113,CPIAUCSL!A:A,CPIAUCSL!B:B,"",-1)</f>
        <v>314.06200000000001</v>
      </c>
      <c r="L2113">
        <f>_xlfn.XLOOKUP(A2113,DFF!A:A,DFF!B:B,"",-1)</f>
        <v>5.33</v>
      </c>
      <c r="M2113">
        <f>_xlfn.XLOOKUP(A2113,'DGS2'!A:A,'DGS2'!B:B,"",-1)</f>
        <v>3.99</v>
      </c>
      <c r="N2113">
        <f t="shared" si="259"/>
        <v>7.0000000000000284E-2</v>
      </c>
      <c r="O2113">
        <f t="shared" si="260"/>
        <v>1.1483420217425433E-2</v>
      </c>
      <c r="P2113">
        <f t="shared" si="261"/>
        <v>1</v>
      </c>
      <c r="Q2113">
        <f t="shared" si="262"/>
        <v>1</v>
      </c>
    </row>
    <row r="2114" spans="1:17">
      <c r="A2114" s="1">
        <v>45527</v>
      </c>
      <c r="B2114">
        <v>5634.61</v>
      </c>
      <c r="C2114">
        <f t="shared" si="256"/>
        <v>1.1483420217425433E-2</v>
      </c>
      <c r="D2114">
        <f t="shared" si="263"/>
        <v>6.6980875879023571E-3</v>
      </c>
      <c r="E2114">
        <f>_xlfn.XLOOKUP(A2114,VIX!A:A,VIX!B:B,"",-1)</f>
        <v>15.86</v>
      </c>
      <c r="F2114">
        <f t="shared" si="257"/>
        <v>-1.6900000000000013</v>
      </c>
      <c r="G2114">
        <f>_xlfn.XLOOKUP(A2114,'DGS10'!A:A,'DGS10'!B:B,"",-1)</f>
        <v>3.81</v>
      </c>
      <c r="H2114">
        <f t="shared" si="258"/>
        <v>-4.9999999999999822E-2</v>
      </c>
      <c r="I2114" s="2">
        <f>_xlfn.XLOOKUP(A2114,T10Y3M!A:A,T10Y3M!B:B,"",-1)</f>
        <v>-1.44</v>
      </c>
      <c r="J2114" s="2">
        <f>_xlfn.XLOOKUP(A2114,BAMLC0A4CBBB!A:A,BAMLC0A4CBBB!B:B,"",-1)</f>
        <v>1.2</v>
      </c>
      <c r="K2114" s="2">
        <f>_xlfn.XLOOKUP(A2114,CPIAUCSL!A:A,CPIAUCSL!B:B,"",-1)</f>
        <v>314.06200000000001</v>
      </c>
      <c r="L2114">
        <f>_xlfn.XLOOKUP(A2114,DFF!A:A,DFF!B:B,"",-1)</f>
        <v>5.33</v>
      </c>
      <c r="M2114">
        <f>_xlfn.XLOOKUP(A2114,'DGS2'!A:A,'DGS2'!B:B,"",-1)</f>
        <v>3.9</v>
      </c>
      <c r="N2114">
        <f t="shared" si="259"/>
        <v>-9.0000000000000302E-2</v>
      </c>
      <c r="O2114">
        <f t="shared" si="260"/>
        <v>-3.1537231503155905E-3</v>
      </c>
      <c r="P2114">
        <f t="shared" si="261"/>
        <v>0</v>
      </c>
      <c r="Q2114">
        <f t="shared" si="262"/>
        <v>-1</v>
      </c>
    </row>
    <row r="2115" spans="1:17">
      <c r="A2115" s="1">
        <v>45530</v>
      </c>
      <c r="B2115">
        <v>5616.84</v>
      </c>
      <c r="C2115">
        <f t="shared" si="256"/>
        <v>-3.1537231503155905E-3</v>
      </c>
      <c r="D2115">
        <f t="shared" si="263"/>
        <v>-7.1341523079249125E-4</v>
      </c>
      <c r="E2115">
        <f>_xlfn.XLOOKUP(A2115,VIX!A:A,VIX!B:B,"",-1)</f>
        <v>16.149999999999999</v>
      </c>
      <c r="F2115">
        <f t="shared" si="257"/>
        <v>0.28999999999999915</v>
      </c>
      <c r="G2115">
        <f>_xlfn.XLOOKUP(A2115,'DGS10'!A:A,'DGS10'!B:B,"",-1)</f>
        <v>3.82</v>
      </c>
      <c r="H2115">
        <f t="shared" si="258"/>
        <v>9.9999999999997868E-3</v>
      </c>
      <c r="I2115" s="2">
        <f>_xlfn.XLOOKUP(A2115,T10Y3M!A:A,T10Y3M!B:B,"",-1)</f>
        <v>-1.42</v>
      </c>
      <c r="J2115" s="2">
        <f>_xlfn.XLOOKUP(A2115,BAMLC0A4CBBB!A:A,BAMLC0A4CBBB!B:B,"",-1)</f>
        <v>1.19</v>
      </c>
      <c r="K2115" s="2">
        <f>_xlfn.XLOOKUP(A2115,CPIAUCSL!A:A,CPIAUCSL!B:B,"",-1)</f>
        <v>314.06200000000001</v>
      </c>
      <c r="L2115">
        <f>_xlfn.XLOOKUP(A2115,DFF!A:A,DFF!B:B,"",-1)</f>
        <v>5.33</v>
      </c>
      <c r="M2115">
        <f>_xlfn.XLOOKUP(A2115,'DGS2'!A:A,'DGS2'!B:B,"",-1)</f>
        <v>3.91</v>
      </c>
      <c r="N2115">
        <f t="shared" si="259"/>
        <v>1.0000000000000231E-2</v>
      </c>
      <c r="O2115">
        <f t="shared" si="260"/>
        <v>1.5952029967027936E-3</v>
      </c>
      <c r="P2115">
        <f t="shared" si="261"/>
        <v>1</v>
      </c>
      <c r="Q2115">
        <f t="shared" si="262"/>
        <v>0</v>
      </c>
    </row>
    <row r="2116" spans="1:17">
      <c r="A2116" s="1">
        <v>45531</v>
      </c>
      <c r="B2116">
        <v>5625.8</v>
      </c>
      <c r="C2116">
        <f t="shared" ref="C2116:C2179" si="264">IF(OR(B2116="",B2115=""),"",(B2116/B2115)-1)</f>
        <v>1.5952029967027936E-3</v>
      </c>
      <c r="D2116">
        <f t="shared" si="263"/>
        <v>9.9019143222323081E-3</v>
      </c>
      <c r="E2116">
        <f>_xlfn.XLOOKUP(A2116,VIX!A:A,VIX!B:B,"",-1)</f>
        <v>15.43</v>
      </c>
      <c r="F2116">
        <f t="shared" ref="F2116:F2179" si="265">IF(OR(E2116="",E2115=""),"",E2116-E2115)</f>
        <v>-0.71999999999999886</v>
      </c>
      <c r="G2116">
        <f>_xlfn.XLOOKUP(A2116,'DGS10'!A:A,'DGS10'!B:B,"",-1)</f>
        <v>3.83</v>
      </c>
      <c r="H2116">
        <f t="shared" ref="H2116:H2179" si="266">IF(OR(G2116="",G2115=""),"",G2116-G2115)</f>
        <v>1.0000000000000231E-2</v>
      </c>
      <c r="I2116" s="2">
        <f>_xlfn.XLOOKUP(A2116,T10Y3M!A:A,T10Y3M!B:B,"",-1)</f>
        <v>-1.4</v>
      </c>
      <c r="J2116" s="2">
        <f>_xlfn.XLOOKUP(A2116,BAMLC0A4CBBB!A:A,BAMLC0A4CBBB!B:B,"",-1)</f>
        <v>1.19</v>
      </c>
      <c r="K2116" s="2">
        <f>_xlfn.XLOOKUP(A2116,CPIAUCSL!A:A,CPIAUCSL!B:B,"",-1)</f>
        <v>314.06200000000001</v>
      </c>
      <c r="L2116">
        <f>_xlfn.XLOOKUP(A2116,DFF!A:A,DFF!B:B,"",-1)</f>
        <v>5.33</v>
      </c>
      <c r="M2116">
        <f>_xlfn.XLOOKUP(A2116,'DGS2'!A:A,'DGS2'!B:B,"",-1)</f>
        <v>3.83</v>
      </c>
      <c r="N2116">
        <f t="shared" ref="N2116:N2179" si="267">IF(OR(M2116="",M2115=""),"",M2116-M2115)</f>
        <v>-8.0000000000000071E-2</v>
      </c>
      <c r="O2116">
        <f t="shared" ref="O2116:O2179" si="268">IF(OR(B2117="",B2116=""),"",(B2117/B2116)-1)</f>
        <v>-5.9760389633474187E-3</v>
      </c>
      <c r="P2116">
        <f t="shared" ref="P2116:P2179" si="269">IF(O2116="","",IF(O2116&gt;0,1,0))</f>
        <v>0</v>
      </c>
      <c r="Q2116">
        <f t="shared" ref="Q2116:Q2179" si="270">IF(O2116="","",IF(O2116&gt;0.003,1,IF(O2116&lt;-0.003,-1,0)))</f>
        <v>-1</v>
      </c>
    </row>
    <row r="2117" spans="1:17">
      <c r="A2117" s="1">
        <v>45532</v>
      </c>
      <c r="B2117">
        <v>5592.18</v>
      </c>
      <c r="C2117">
        <f t="shared" si="264"/>
        <v>-5.9760389633474187E-3</v>
      </c>
      <c r="D2117">
        <f t="shared" si="263"/>
        <v>-7.5302461039893354E-3</v>
      </c>
      <c r="E2117">
        <f>_xlfn.XLOOKUP(A2117,VIX!A:A,VIX!B:B,"",-1)</f>
        <v>17.11</v>
      </c>
      <c r="F2117">
        <f t="shared" si="265"/>
        <v>1.6799999999999997</v>
      </c>
      <c r="G2117">
        <f>_xlfn.XLOOKUP(A2117,'DGS10'!A:A,'DGS10'!B:B,"",-1)</f>
        <v>3.84</v>
      </c>
      <c r="H2117">
        <f t="shared" si="266"/>
        <v>9.9999999999997868E-3</v>
      </c>
      <c r="I2117" s="2">
        <f>_xlfn.XLOOKUP(A2117,T10Y3M!A:A,T10Y3M!B:B,"",-1)</f>
        <v>-1.37</v>
      </c>
      <c r="J2117" s="2">
        <f>_xlfn.XLOOKUP(A2117,BAMLC0A4CBBB!A:A,BAMLC0A4CBBB!B:B,"",-1)</f>
        <v>1.19</v>
      </c>
      <c r="K2117" s="2">
        <f>_xlfn.XLOOKUP(A2117,CPIAUCSL!A:A,CPIAUCSL!B:B,"",-1)</f>
        <v>314.06200000000001</v>
      </c>
      <c r="L2117">
        <f>_xlfn.XLOOKUP(A2117,DFF!A:A,DFF!B:B,"",-1)</f>
        <v>5.33</v>
      </c>
      <c r="M2117">
        <f>_xlfn.XLOOKUP(A2117,'DGS2'!A:A,'DGS2'!B:B,"",-1)</f>
        <v>3.83</v>
      </c>
      <c r="N2117">
        <f t="shared" si="267"/>
        <v>0</v>
      </c>
      <c r="O2117">
        <f t="shared" si="268"/>
        <v>-3.9340650694441592E-5</v>
      </c>
      <c r="P2117">
        <f t="shared" si="269"/>
        <v>0</v>
      </c>
      <c r="Q2117">
        <f t="shared" si="270"/>
        <v>0</v>
      </c>
    </row>
    <row r="2118" spans="1:17">
      <c r="A2118" s="1">
        <v>45533</v>
      </c>
      <c r="B2118">
        <v>5591.96</v>
      </c>
      <c r="C2118">
        <f t="shared" si="264"/>
        <v>-3.9340650694441592E-5</v>
      </c>
      <c r="D2118">
        <f t="shared" ref="D2118:D2181" si="271">IF(OR(B2118="",B2115=""),"",(B2118/B2115)-1)</f>
        <v>-4.4295368926300371E-3</v>
      </c>
      <c r="E2118">
        <f>_xlfn.XLOOKUP(A2118,VIX!A:A,VIX!B:B,"",-1)</f>
        <v>15.65</v>
      </c>
      <c r="F2118">
        <f t="shared" si="265"/>
        <v>-1.4599999999999991</v>
      </c>
      <c r="G2118">
        <f>_xlfn.XLOOKUP(A2118,'DGS10'!A:A,'DGS10'!B:B,"",-1)</f>
        <v>3.87</v>
      </c>
      <c r="H2118">
        <f t="shared" si="266"/>
        <v>3.0000000000000249E-2</v>
      </c>
      <c r="I2118" s="2">
        <f>_xlfn.XLOOKUP(A2118,T10Y3M!A:A,T10Y3M!B:B,"",-1)</f>
        <v>-1.35</v>
      </c>
      <c r="J2118" s="2">
        <f>_xlfn.XLOOKUP(A2118,BAMLC0A4CBBB!A:A,BAMLC0A4CBBB!B:B,"",-1)</f>
        <v>1.19</v>
      </c>
      <c r="K2118" s="2">
        <f>_xlfn.XLOOKUP(A2118,CPIAUCSL!A:A,CPIAUCSL!B:B,"",-1)</f>
        <v>314.06200000000001</v>
      </c>
      <c r="L2118">
        <f>_xlfn.XLOOKUP(A2118,DFF!A:A,DFF!B:B,"",-1)</f>
        <v>5.33</v>
      </c>
      <c r="M2118">
        <f>_xlfn.XLOOKUP(A2118,'DGS2'!A:A,'DGS2'!B:B,"",-1)</f>
        <v>3.87</v>
      </c>
      <c r="N2118">
        <f t="shared" si="267"/>
        <v>4.0000000000000036E-2</v>
      </c>
      <c r="O2118">
        <f t="shared" si="268"/>
        <v>1.0093062182132906E-2</v>
      </c>
      <c r="P2118">
        <f t="shared" si="269"/>
        <v>1</v>
      </c>
      <c r="Q2118">
        <f t="shared" si="270"/>
        <v>1</v>
      </c>
    </row>
    <row r="2119" spans="1:17">
      <c r="A2119" s="1">
        <v>45534</v>
      </c>
      <c r="B2119">
        <v>5648.4</v>
      </c>
      <c r="C2119">
        <f t="shared" si="264"/>
        <v>1.0093062182132906E-2</v>
      </c>
      <c r="D2119">
        <f t="shared" si="271"/>
        <v>4.0172064417505204E-3</v>
      </c>
      <c r="E2119">
        <f>_xlfn.XLOOKUP(A2119,VIX!A:A,VIX!B:B,"",-1)</f>
        <v>15</v>
      </c>
      <c r="F2119">
        <f t="shared" si="265"/>
        <v>-0.65000000000000036</v>
      </c>
      <c r="G2119">
        <f>_xlfn.XLOOKUP(A2119,'DGS10'!A:A,'DGS10'!B:B,"",-1)</f>
        <v>3.91</v>
      </c>
      <c r="H2119">
        <f t="shared" si="266"/>
        <v>4.0000000000000036E-2</v>
      </c>
      <c r="I2119" s="2">
        <f>_xlfn.XLOOKUP(A2119,T10Y3M!A:A,T10Y3M!B:B,"",-1)</f>
        <v>-1.3</v>
      </c>
      <c r="J2119" s="2">
        <f>_xlfn.XLOOKUP(A2119,BAMLC0A4CBBB!A:A,BAMLC0A4CBBB!B:B,"",-1)</f>
        <v>1.18</v>
      </c>
      <c r="K2119" s="2">
        <f>_xlfn.XLOOKUP(A2119,CPIAUCSL!A:A,CPIAUCSL!B:B,"",-1)</f>
        <v>314.06200000000001</v>
      </c>
      <c r="L2119">
        <f>_xlfn.XLOOKUP(A2119,DFF!A:A,DFF!B:B,"",-1)</f>
        <v>5.33</v>
      </c>
      <c r="M2119">
        <f>_xlfn.XLOOKUP(A2119,'DGS2'!A:A,'DGS2'!B:B,"",-1)</f>
        <v>3.91</v>
      </c>
      <c r="N2119">
        <f t="shared" si="267"/>
        <v>4.0000000000000036E-2</v>
      </c>
      <c r="O2119">
        <f t="shared" si="268"/>
        <v>-2.1151122441753323E-2</v>
      </c>
      <c r="P2119">
        <f t="shared" si="269"/>
        <v>0</v>
      </c>
      <c r="Q2119">
        <f t="shared" si="270"/>
        <v>-1</v>
      </c>
    </row>
    <row r="2120" spans="1:17">
      <c r="A2120" s="1">
        <v>45538</v>
      </c>
      <c r="B2120">
        <v>5528.93</v>
      </c>
      <c r="C2120">
        <f t="shared" si="264"/>
        <v>-2.1151122441753323E-2</v>
      </c>
      <c r="D2120">
        <f t="shared" si="271"/>
        <v>-1.1310437074629198E-2</v>
      </c>
      <c r="E2120">
        <f>_xlfn.XLOOKUP(A2120,VIX!A:A,VIX!B:B,"",-1)</f>
        <v>20.72</v>
      </c>
      <c r="F2120">
        <f t="shared" si="265"/>
        <v>5.7199999999999989</v>
      </c>
      <c r="G2120">
        <f>_xlfn.XLOOKUP(A2120,'DGS10'!A:A,'DGS10'!B:B,"",-1)</f>
        <v>3.84</v>
      </c>
      <c r="H2120">
        <f t="shared" si="266"/>
        <v>-7.0000000000000284E-2</v>
      </c>
      <c r="I2120" s="2">
        <f>_xlfn.XLOOKUP(A2120,T10Y3M!A:A,T10Y3M!B:B,"",-1)</f>
        <v>-1.35</v>
      </c>
      <c r="J2120" s="2">
        <f>_xlfn.XLOOKUP(A2120,BAMLC0A4CBBB!A:A,BAMLC0A4CBBB!B:B,"",-1)</f>
        <v>1.22</v>
      </c>
      <c r="K2120" s="2">
        <f>_xlfn.XLOOKUP(A2120,CPIAUCSL!A:A,CPIAUCSL!B:B,"",-1)</f>
        <v>314.73200000000003</v>
      </c>
      <c r="L2120">
        <f>_xlfn.XLOOKUP(A2120,DFF!A:A,DFF!B:B,"",-1)</f>
        <v>5.33</v>
      </c>
      <c r="M2120">
        <f>_xlfn.XLOOKUP(A2120,'DGS2'!A:A,'DGS2'!B:B,"",-1)</f>
        <v>3.88</v>
      </c>
      <c r="N2120">
        <f t="shared" si="267"/>
        <v>-3.0000000000000249E-2</v>
      </c>
      <c r="O2120">
        <f t="shared" si="268"/>
        <v>-1.6024800458679378E-3</v>
      </c>
      <c r="P2120">
        <f t="shared" si="269"/>
        <v>0</v>
      </c>
      <c r="Q2120">
        <f t="shared" si="270"/>
        <v>0</v>
      </c>
    </row>
    <row r="2121" spans="1:17">
      <c r="A2121" s="1">
        <v>45539</v>
      </c>
      <c r="B2121">
        <v>5520.07</v>
      </c>
      <c r="C2121">
        <f t="shared" si="264"/>
        <v>-1.6024800458679378E-3</v>
      </c>
      <c r="D2121">
        <f t="shared" si="271"/>
        <v>-1.2855957481813229E-2</v>
      </c>
      <c r="E2121">
        <f>_xlfn.XLOOKUP(A2121,VIX!A:A,VIX!B:B,"",-1)</f>
        <v>21.32</v>
      </c>
      <c r="F2121">
        <f t="shared" si="265"/>
        <v>0.60000000000000142</v>
      </c>
      <c r="G2121">
        <f>_xlfn.XLOOKUP(A2121,'DGS10'!A:A,'DGS10'!B:B,"",-1)</f>
        <v>3.77</v>
      </c>
      <c r="H2121">
        <f t="shared" si="266"/>
        <v>-6.999999999999984E-2</v>
      </c>
      <c r="I2121" s="2">
        <f>_xlfn.XLOOKUP(A2121,T10Y3M!A:A,T10Y3M!B:B,"",-1)</f>
        <v>-1.41</v>
      </c>
      <c r="J2121" s="2">
        <f>_xlfn.XLOOKUP(A2121,BAMLC0A4CBBB!A:A,BAMLC0A4CBBB!B:B,"",-1)</f>
        <v>1.23</v>
      </c>
      <c r="K2121" s="2">
        <f>_xlfn.XLOOKUP(A2121,CPIAUCSL!A:A,CPIAUCSL!B:B,"",-1)</f>
        <v>314.73200000000003</v>
      </c>
      <c r="L2121">
        <f>_xlfn.XLOOKUP(A2121,DFF!A:A,DFF!B:B,"",-1)</f>
        <v>5.33</v>
      </c>
      <c r="M2121">
        <f>_xlfn.XLOOKUP(A2121,'DGS2'!A:A,'DGS2'!B:B,"",-1)</f>
        <v>3.76</v>
      </c>
      <c r="N2121">
        <f t="shared" si="267"/>
        <v>-0.12000000000000011</v>
      </c>
      <c r="O2121">
        <f t="shared" si="268"/>
        <v>-3.0180776693048417E-3</v>
      </c>
      <c r="P2121">
        <f t="shared" si="269"/>
        <v>0</v>
      </c>
      <c r="Q2121">
        <f t="shared" si="270"/>
        <v>-1</v>
      </c>
    </row>
    <row r="2122" spans="1:17">
      <c r="A2122" s="1">
        <v>45540</v>
      </c>
      <c r="B2122">
        <v>5503.41</v>
      </c>
      <c r="C2122">
        <f t="shared" si="264"/>
        <v>-3.0180776693048417E-3</v>
      </c>
      <c r="D2122">
        <f t="shared" si="271"/>
        <v>-2.566921606118544E-2</v>
      </c>
      <c r="E2122">
        <f>_xlfn.XLOOKUP(A2122,VIX!A:A,VIX!B:B,"",-1)</f>
        <v>19.899999999999999</v>
      </c>
      <c r="F2122">
        <f t="shared" si="265"/>
        <v>-1.4200000000000017</v>
      </c>
      <c r="G2122">
        <f>_xlfn.XLOOKUP(A2122,'DGS10'!A:A,'DGS10'!B:B,"",-1)</f>
        <v>3.73</v>
      </c>
      <c r="H2122">
        <f t="shared" si="266"/>
        <v>-4.0000000000000036E-2</v>
      </c>
      <c r="I2122" s="2">
        <f>_xlfn.XLOOKUP(A2122,T10Y3M!A:A,T10Y3M!B:B,"",-1)</f>
        <v>-1.42</v>
      </c>
      <c r="J2122" s="2">
        <f>_xlfn.XLOOKUP(A2122,BAMLC0A4CBBB!A:A,BAMLC0A4CBBB!B:B,"",-1)</f>
        <v>1.23</v>
      </c>
      <c r="K2122" s="2">
        <f>_xlfn.XLOOKUP(A2122,CPIAUCSL!A:A,CPIAUCSL!B:B,"",-1)</f>
        <v>314.73200000000003</v>
      </c>
      <c r="L2122">
        <f>_xlfn.XLOOKUP(A2122,DFF!A:A,DFF!B:B,"",-1)</f>
        <v>5.33</v>
      </c>
      <c r="M2122">
        <f>_xlfn.XLOOKUP(A2122,'DGS2'!A:A,'DGS2'!B:B,"",-1)</f>
        <v>3.75</v>
      </c>
      <c r="N2122">
        <f t="shared" si="267"/>
        <v>-9.9999999999997868E-3</v>
      </c>
      <c r="O2122">
        <f t="shared" si="268"/>
        <v>-1.726020776209658E-2</v>
      </c>
      <c r="P2122">
        <f t="shared" si="269"/>
        <v>0</v>
      </c>
      <c r="Q2122">
        <f t="shared" si="270"/>
        <v>-1</v>
      </c>
    </row>
    <row r="2123" spans="1:17">
      <c r="A2123" s="1">
        <v>45541</v>
      </c>
      <c r="B2123">
        <v>5408.42</v>
      </c>
      <c r="C2123">
        <f t="shared" si="264"/>
        <v>-1.726020776209658E-2</v>
      </c>
      <c r="D2123">
        <f t="shared" si="271"/>
        <v>-2.1796260759315178E-2</v>
      </c>
      <c r="E2123">
        <f>_xlfn.XLOOKUP(A2123,VIX!A:A,VIX!B:B,"",-1)</f>
        <v>22.38</v>
      </c>
      <c r="F2123">
        <f t="shared" si="265"/>
        <v>2.4800000000000004</v>
      </c>
      <c r="G2123">
        <f>_xlfn.XLOOKUP(A2123,'DGS10'!A:A,'DGS10'!B:B,"",-1)</f>
        <v>3.72</v>
      </c>
      <c r="H2123">
        <f t="shared" si="266"/>
        <v>-9.9999999999997868E-3</v>
      </c>
      <c r="I2123" s="2">
        <f>_xlfn.XLOOKUP(A2123,T10Y3M!A:A,T10Y3M!B:B,"",-1)</f>
        <v>-1.41</v>
      </c>
      <c r="J2123" s="2">
        <f>_xlfn.XLOOKUP(A2123,BAMLC0A4CBBB!A:A,BAMLC0A4CBBB!B:B,"",-1)</f>
        <v>1.24</v>
      </c>
      <c r="K2123" s="2">
        <f>_xlfn.XLOOKUP(A2123,CPIAUCSL!A:A,CPIAUCSL!B:B,"",-1)</f>
        <v>314.73200000000003</v>
      </c>
      <c r="L2123">
        <f>_xlfn.XLOOKUP(A2123,DFF!A:A,DFF!B:B,"",-1)</f>
        <v>5.33</v>
      </c>
      <c r="M2123">
        <f>_xlfn.XLOOKUP(A2123,'DGS2'!A:A,'DGS2'!B:B,"",-1)</f>
        <v>3.66</v>
      </c>
      <c r="N2123">
        <f t="shared" si="267"/>
        <v>-8.9999999999999858E-2</v>
      </c>
      <c r="O2123">
        <f t="shared" si="268"/>
        <v>1.1580091782812829E-2</v>
      </c>
      <c r="P2123">
        <f t="shared" si="269"/>
        <v>1</v>
      </c>
      <c r="Q2123">
        <f t="shared" si="270"/>
        <v>1</v>
      </c>
    </row>
    <row r="2124" spans="1:17">
      <c r="A2124" s="1">
        <v>45544</v>
      </c>
      <c r="B2124">
        <v>5471.05</v>
      </c>
      <c r="C2124">
        <f t="shared" si="264"/>
        <v>1.1580091782812829E-2</v>
      </c>
      <c r="D2124">
        <f t="shared" si="271"/>
        <v>-8.8803221698274815E-3</v>
      </c>
      <c r="E2124">
        <f>_xlfn.XLOOKUP(A2124,VIX!A:A,VIX!B:B,"",-1)</f>
        <v>19.45</v>
      </c>
      <c r="F2124">
        <f t="shared" si="265"/>
        <v>-2.9299999999999997</v>
      </c>
      <c r="G2124">
        <f>_xlfn.XLOOKUP(A2124,'DGS10'!A:A,'DGS10'!B:B,"",-1)</f>
        <v>3.7</v>
      </c>
      <c r="H2124">
        <f t="shared" si="266"/>
        <v>-2.0000000000000018E-2</v>
      </c>
      <c r="I2124" s="2">
        <f>_xlfn.XLOOKUP(A2124,T10Y3M!A:A,T10Y3M!B:B,"",-1)</f>
        <v>-1.41</v>
      </c>
      <c r="J2124" s="2">
        <f>_xlfn.XLOOKUP(A2124,BAMLC0A4CBBB!A:A,BAMLC0A4CBBB!B:B,"",-1)</f>
        <v>1.23</v>
      </c>
      <c r="K2124" s="2">
        <f>_xlfn.XLOOKUP(A2124,CPIAUCSL!A:A,CPIAUCSL!B:B,"",-1)</f>
        <v>314.73200000000003</v>
      </c>
      <c r="L2124">
        <f>_xlfn.XLOOKUP(A2124,DFF!A:A,DFF!B:B,"",-1)</f>
        <v>5.33</v>
      </c>
      <c r="M2124">
        <f>_xlfn.XLOOKUP(A2124,'DGS2'!A:A,'DGS2'!B:B,"",-1)</f>
        <v>3.68</v>
      </c>
      <c r="N2124">
        <f t="shared" si="267"/>
        <v>2.0000000000000018E-2</v>
      </c>
      <c r="O2124">
        <f t="shared" si="268"/>
        <v>4.4726332239699573E-3</v>
      </c>
      <c r="P2124">
        <f t="shared" si="269"/>
        <v>1</v>
      </c>
      <c r="Q2124">
        <f t="shared" si="270"/>
        <v>1</v>
      </c>
    </row>
    <row r="2125" spans="1:17">
      <c r="A2125" s="1">
        <v>45545</v>
      </c>
      <c r="B2125">
        <v>5495.52</v>
      </c>
      <c r="C2125">
        <f t="shared" si="264"/>
        <v>4.4726332239699573E-3</v>
      </c>
      <c r="D2125">
        <f t="shared" si="271"/>
        <v>-1.4336565874610852E-3</v>
      </c>
      <c r="E2125">
        <f>_xlfn.XLOOKUP(A2125,VIX!A:A,VIX!B:B,"",-1)</f>
        <v>19.079999999999998</v>
      </c>
      <c r="F2125">
        <f t="shared" si="265"/>
        <v>-0.37000000000000099</v>
      </c>
      <c r="G2125">
        <f>_xlfn.XLOOKUP(A2125,'DGS10'!A:A,'DGS10'!B:B,"",-1)</f>
        <v>3.65</v>
      </c>
      <c r="H2125">
        <f t="shared" si="266"/>
        <v>-5.0000000000000266E-2</v>
      </c>
      <c r="I2125" s="2">
        <f>_xlfn.XLOOKUP(A2125,T10Y3M!A:A,T10Y3M!B:B,"",-1)</f>
        <v>-1.41</v>
      </c>
      <c r="J2125" s="2">
        <f>_xlfn.XLOOKUP(A2125,BAMLC0A4CBBB!A:A,BAMLC0A4CBBB!B:B,"",-1)</f>
        <v>1.25</v>
      </c>
      <c r="K2125" s="2">
        <f>_xlfn.XLOOKUP(A2125,CPIAUCSL!A:A,CPIAUCSL!B:B,"",-1)</f>
        <v>314.73200000000003</v>
      </c>
      <c r="L2125">
        <f>_xlfn.XLOOKUP(A2125,DFF!A:A,DFF!B:B,"",-1)</f>
        <v>5.33</v>
      </c>
      <c r="M2125">
        <f>_xlfn.XLOOKUP(A2125,'DGS2'!A:A,'DGS2'!B:B,"",-1)</f>
        <v>3.59</v>
      </c>
      <c r="N2125">
        <f t="shared" si="267"/>
        <v>-9.0000000000000302E-2</v>
      </c>
      <c r="O2125">
        <f t="shared" si="268"/>
        <v>1.0665050805019227E-2</v>
      </c>
      <c r="P2125">
        <f t="shared" si="269"/>
        <v>1</v>
      </c>
      <c r="Q2125">
        <f t="shared" si="270"/>
        <v>1</v>
      </c>
    </row>
    <row r="2126" spans="1:17">
      <c r="A2126" s="1">
        <v>45546</v>
      </c>
      <c r="B2126">
        <v>5554.13</v>
      </c>
      <c r="C2126">
        <f t="shared" si="264"/>
        <v>1.0665050805019227E-2</v>
      </c>
      <c r="D2126">
        <f t="shared" si="271"/>
        <v>2.694132482314604E-2</v>
      </c>
      <c r="E2126">
        <f>_xlfn.XLOOKUP(A2126,VIX!A:A,VIX!B:B,"",-1)</f>
        <v>17.690000000000001</v>
      </c>
      <c r="F2126">
        <f t="shared" si="265"/>
        <v>-1.389999999999997</v>
      </c>
      <c r="G2126">
        <f>_xlfn.XLOOKUP(A2126,'DGS10'!A:A,'DGS10'!B:B,"",-1)</f>
        <v>3.65</v>
      </c>
      <c r="H2126">
        <f t="shared" si="266"/>
        <v>0</v>
      </c>
      <c r="I2126" s="2">
        <f>_xlfn.XLOOKUP(A2126,T10Y3M!A:A,T10Y3M!B:B,"",-1)</f>
        <v>-1.45</v>
      </c>
      <c r="J2126" s="2">
        <f>_xlfn.XLOOKUP(A2126,BAMLC0A4CBBB!A:A,BAMLC0A4CBBB!B:B,"",-1)</f>
        <v>1.25</v>
      </c>
      <c r="K2126" s="2">
        <f>_xlfn.XLOOKUP(A2126,CPIAUCSL!A:A,CPIAUCSL!B:B,"",-1)</f>
        <v>314.73200000000003</v>
      </c>
      <c r="L2126">
        <f>_xlfn.XLOOKUP(A2126,DFF!A:A,DFF!B:B,"",-1)</f>
        <v>5.33</v>
      </c>
      <c r="M2126">
        <f>_xlfn.XLOOKUP(A2126,'DGS2'!A:A,'DGS2'!B:B,"",-1)</f>
        <v>3.62</v>
      </c>
      <c r="N2126">
        <f t="shared" si="267"/>
        <v>3.0000000000000249E-2</v>
      </c>
      <c r="O2126">
        <f t="shared" si="268"/>
        <v>7.4953232999588337E-3</v>
      </c>
      <c r="P2126">
        <f t="shared" si="269"/>
        <v>1</v>
      </c>
      <c r="Q2126">
        <f t="shared" si="270"/>
        <v>1</v>
      </c>
    </row>
    <row r="2127" spans="1:17">
      <c r="A2127" s="1">
        <v>45547</v>
      </c>
      <c r="B2127">
        <v>5595.76</v>
      </c>
      <c r="C2127">
        <f t="shared" si="264"/>
        <v>7.4953232999588337E-3</v>
      </c>
      <c r="D2127">
        <f t="shared" si="271"/>
        <v>2.2794527558695377E-2</v>
      </c>
      <c r="E2127">
        <f>_xlfn.XLOOKUP(A2127,VIX!A:A,VIX!B:B,"",-1)</f>
        <v>17.07</v>
      </c>
      <c r="F2127">
        <f t="shared" si="265"/>
        <v>-0.62000000000000099</v>
      </c>
      <c r="G2127">
        <f>_xlfn.XLOOKUP(A2127,'DGS10'!A:A,'DGS10'!B:B,"",-1)</f>
        <v>3.68</v>
      </c>
      <c r="H2127">
        <f t="shared" si="266"/>
        <v>3.0000000000000249E-2</v>
      </c>
      <c r="I2127" s="2">
        <f>_xlfn.XLOOKUP(A2127,T10Y3M!A:A,T10Y3M!B:B,"",-1)</f>
        <v>-1.38</v>
      </c>
      <c r="J2127" s="2">
        <f>_xlfn.XLOOKUP(A2127,BAMLC0A4CBBB!A:A,BAMLC0A4CBBB!B:B,"",-1)</f>
        <v>1.24</v>
      </c>
      <c r="K2127" s="2">
        <f>_xlfn.XLOOKUP(A2127,CPIAUCSL!A:A,CPIAUCSL!B:B,"",-1)</f>
        <v>314.73200000000003</v>
      </c>
      <c r="L2127">
        <f>_xlfn.XLOOKUP(A2127,DFF!A:A,DFF!B:B,"",-1)</f>
        <v>5.33</v>
      </c>
      <c r="M2127">
        <f>_xlfn.XLOOKUP(A2127,'DGS2'!A:A,'DGS2'!B:B,"",-1)</f>
        <v>3.64</v>
      </c>
      <c r="N2127">
        <f t="shared" si="267"/>
        <v>2.0000000000000018E-2</v>
      </c>
      <c r="O2127">
        <f t="shared" si="268"/>
        <v>5.4076658041088965E-3</v>
      </c>
      <c r="P2127">
        <f t="shared" si="269"/>
        <v>1</v>
      </c>
      <c r="Q2127">
        <f t="shared" si="270"/>
        <v>1</v>
      </c>
    </row>
    <row r="2128" spans="1:17">
      <c r="A2128" s="1">
        <v>45548</v>
      </c>
      <c r="B2128">
        <v>5626.02</v>
      </c>
      <c r="C2128">
        <f t="shared" si="264"/>
        <v>5.4076658041088965E-3</v>
      </c>
      <c r="D2128">
        <f t="shared" si="271"/>
        <v>2.3746615424927953E-2</v>
      </c>
      <c r="E2128">
        <f>_xlfn.XLOOKUP(A2128,VIX!A:A,VIX!B:B,"",-1)</f>
        <v>16.559999999999999</v>
      </c>
      <c r="F2128">
        <f t="shared" si="265"/>
        <v>-0.51000000000000156</v>
      </c>
      <c r="G2128">
        <f>_xlfn.XLOOKUP(A2128,'DGS10'!A:A,'DGS10'!B:B,"",-1)</f>
        <v>3.66</v>
      </c>
      <c r="H2128">
        <f t="shared" si="266"/>
        <v>-2.0000000000000018E-2</v>
      </c>
      <c r="I2128" s="2">
        <f>_xlfn.XLOOKUP(A2128,T10Y3M!A:A,T10Y3M!B:B,"",-1)</f>
        <v>-1.31</v>
      </c>
      <c r="J2128" s="2">
        <f>_xlfn.XLOOKUP(A2128,BAMLC0A4CBBB!A:A,BAMLC0A4CBBB!B:B,"",-1)</f>
        <v>1.23</v>
      </c>
      <c r="K2128" s="2">
        <f>_xlfn.XLOOKUP(A2128,CPIAUCSL!A:A,CPIAUCSL!B:B,"",-1)</f>
        <v>314.73200000000003</v>
      </c>
      <c r="L2128">
        <f>_xlfn.XLOOKUP(A2128,DFF!A:A,DFF!B:B,"",-1)</f>
        <v>5.33</v>
      </c>
      <c r="M2128">
        <f>_xlfn.XLOOKUP(A2128,'DGS2'!A:A,'DGS2'!B:B,"",-1)</f>
        <v>3.57</v>
      </c>
      <c r="N2128">
        <f t="shared" si="267"/>
        <v>-7.0000000000000284E-2</v>
      </c>
      <c r="O2128">
        <f t="shared" si="268"/>
        <v>1.2566610143582846E-3</v>
      </c>
      <c r="P2128">
        <f t="shared" si="269"/>
        <v>1</v>
      </c>
      <c r="Q2128">
        <f t="shared" si="270"/>
        <v>0</v>
      </c>
    </row>
    <row r="2129" spans="1:17">
      <c r="A2129" s="1">
        <v>45551</v>
      </c>
      <c r="B2129">
        <v>5633.09</v>
      </c>
      <c r="C2129">
        <f t="shared" si="264"/>
        <v>1.2566610143582846E-3</v>
      </c>
      <c r="D2129">
        <f t="shared" si="271"/>
        <v>1.4216447940541554E-2</v>
      </c>
      <c r="E2129">
        <f>_xlfn.XLOOKUP(A2129,VIX!A:A,VIX!B:B,"",-1)</f>
        <v>17.14</v>
      </c>
      <c r="F2129">
        <f t="shared" si="265"/>
        <v>0.58000000000000185</v>
      </c>
      <c r="G2129">
        <f>_xlfn.XLOOKUP(A2129,'DGS10'!A:A,'DGS10'!B:B,"",-1)</f>
        <v>3.63</v>
      </c>
      <c r="H2129">
        <f t="shared" si="266"/>
        <v>-3.0000000000000249E-2</v>
      </c>
      <c r="I2129" s="2">
        <f>_xlfn.XLOOKUP(A2129,T10Y3M!A:A,T10Y3M!B:B,"",-1)</f>
        <v>-1.33</v>
      </c>
      <c r="J2129" s="2">
        <f>_xlfn.XLOOKUP(A2129,BAMLC0A4CBBB!A:A,BAMLC0A4CBBB!B:B,"",-1)</f>
        <v>1.22</v>
      </c>
      <c r="K2129" s="2">
        <f>_xlfn.XLOOKUP(A2129,CPIAUCSL!A:A,CPIAUCSL!B:B,"",-1)</f>
        <v>314.73200000000003</v>
      </c>
      <c r="L2129">
        <f>_xlfn.XLOOKUP(A2129,DFF!A:A,DFF!B:B,"",-1)</f>
        <v>5.33</v>
      </c>
      <c r="M2129">
        <f>_xlfn.XLOOKUP(A2129,'DGS2'!A:A,'DGS2'!B:B,"",-1)</f>
        <v>3.56</v>
      </c>
      <c r="N2129">
        <f t="shared" si="267"/>
        <v>-9.9999999999997868E-3</v>
      </c>
      <c r="O2129">
        <f t="shared" si="268"/>
        <v>2.6450846693371055E-4</v>
      </c>
      <c r="P2129">
        <f t="shared" si="269"/>
        <v>1</v>
      </c>
      <c r="Q2129">
        <f t="shared" si="270"/>
        <v>0</v>
      </c>
    </row>
    <row r="2130" spans="1:17">
      <c r="A2130" s="1">
        <v>45552</v>
      </c>
      <c r="B2130">
        <v>5634.58</v>
      </c>
      <c r="C2130">
        <f t="shared" si="264"/>
        <v>2.6450846693371055E-4</v>
      </c>
      <c r="D2130">
        <f t="shared" si="271"/>
        <v>6.9373954565599139E-3</v>
      </c>
      <c r="E2130">
        <f>_xlfn.XLOOKUP(A2130,VIX!A:A,VIX!B:B,"",-1)</f>
        <v>17.61</v>
      </c>
      <c r="F2130">
        <f t="shared" si="265"/>
        <v>0.46999999999999886</v>
      </c>
      <c r="G2130">
        <f>_xlfn.XLOOKUP(A2130,'DGS10'!A:A,'DGS10'!B:B,"",-1)</f>
        <v>3.65</v>
      </c>
      <c r="H2130">
        <f t="shared" si="266"/>
        <v>2.0000000000000018E-2</v>
      </c>
      <c r="I2130" s="2">
        <f>_xlfn.XLOOKUP(A2130,T10Y3M!A:A,T10Y3M!B:B,"",-1)</f>
        <v>-1.3</v>
      </c>
      <c r="J2130" s="2">
        <f>_xlfn.XLOOKUP(A2130,BAMLC0A4CBBB!A:A,BAMLC0A4CBBB!B:B,"",-1)</f>
        <v>1.2</v>
      </c>
      <c r="K2130" s="2">
        <f>_xlfn.XLOOKUP(A2130,CPIAUCSL!A:A,CPIAUCSL!B:B,"",-1)</f>
        <v>314.73200000000003</v>
      </c>
      <c r="L2130">
        <f>_xlfn.XLOOKUP(A2130,DFF!A:A,DFF!B:B,"",-1)</f>
        <v>5.33</v>
      </c>
      <c r="M2130">
        <f>_xlfn.XLOOKUP(A2130,'DGS2'!A:A,'DGS2'!B:B,"",-1)</f>
        <v>3.59</v>
      </c>
      <c r="N2130">
        <f t="shared" si="267"/>
        <v>2.9999999999999805E-2</v>
      </c>
      <c r="O2130">
        <f t="shared" si="268"/>
        <v>-2.8964004415590328E-3</v>
      </c>
      <c r="P2130">
        <f t="shared" si="269"/>
        <v>0</v>
      </c>
      <c r="Q2130">
        <f t="shared" si="270"/>
        <v>0</v>
      </c>
    </row>
    <row r="2131" spans="1:17">
      <c r="A2131" s="1">
        <v>45553</v>
      </c>
      <c r="B2131">
        <v>5618.26</v>
      </c>
      <c r="C2131">
        <f t="shared" si="264"/>
        <v>-2.8964004415590328E-3</v>
      </c>
      <c r="D2131">
        <f t="shared" si="271"/>
        <v>-1.379305441502221E-3</v>
      </c>
      <c r="E2131">
        <f>_xlfn.XLOOKUP(A2131,VIX!A:A,VIX!B:B,"",-1)</f>
        <v>18.23</v>
      </c>
      <c r="F2131">
        <f t="shared" si="265"/>
        <v>0.62000000000000099</v>
      </c>
      <c r="G2131">
        <f>_xlfn.XLOOKUP(A2131,'DGS10'!A:A,'DGS10'!B:B,"",-1)</f>
        <v>3.7</v>
      </c>
      <c r="H2131">
        <f t="shared" si="266"/>
        <v>5.0000000000000266E-2</v>
      </c>
      <c r="I2131" s="2">
        <f>_xlfn.XLOOKUP(A2131,T10Y3M!A:A,T10Y3M!B:B,"",-1)</f>
        <v>-1.1399999999999999</v>
      </c>
      <c r="J2131" s="2">
        <f>_xlfn.XLOOKUP(A2131,BAMLC0A4CBBB!A:A,BAMLC0A4CBBB!B:B,"",-1)</f>
        <v>1.19</v>
      </c>
      <c r="K2131" s="2">
        <f>_xlfn.XLOOKUP(A2131,CPIAUCSL!A:A,CPIAUCSL!B:B,"",-1)</f>
        <v>314.73200000000003</v>
      </c>
      <c r="L2131">
        <f>_xlfn.XLOOKUP(A2131,DFF!A:A,DFF!B:B,"",-1)</f>
        <v>5.33</v>
      </c>
      <c r="M2131">
        <f>_xlfn.XLOOKUP(A2131,'DGS2'!A:A,'DGS2'!B:B,"",-1)</f>
        <v>3.61</v>
      </c>
      <c r="N2131">
        <f t="shared" si="267"/>
        <v>2.0000000000000018E-2</v>
      </c>
      <c r="O2131">
        <f t="shared" si="268"/>
        <v>1.6976786407179478E-2</v>
      </c>
      <c r="P2131">
        <f t="shared" si="269"/>
        <v>1</v>
      </c>
      <c r="Q2131">
        <f t="shared" si="270"/>
        <v>1</v>
      </c>
    </row>
    <row r="2132" spans="1:17">
      <c r="A2132" s="1">
        <v>45554</v>
      </c>
      <c r="B2132">
        <v>5713.64</v>
      </c>
      <c r="C2132">
        <f t="shared" si="264"/>
        <v>1.6976786407179478E-2</v>
      </c>
      <c r="D2132">
        <f t="shared" si="271"/>
        <v>1.4299434235916841E-2</v>
      </c>
      <c r="E2132">
        <f>_xlfn.XLOOKUP(A2132,VIX!A:A,VIX!B:B,"",-1)</f>
        <v>16.329999999999998</v>
      </c>
      <c r="F2132">
        <f t="shared" si="265"/>
        <v>-1.9000000000000021</v>
      </c>
      <c r="G2132">
        <f>_xlfn.XLOOKUP(A2132,'DGS10'!A:A,'DGS10'!B:B,"",-1)</f>
        <v>3.73</v>
      </c>
      <c r="H2132">
        <f t="shared" si="266"/>
        <v>2.9999999999999805E-2</v>
      </c>
      <c r="I2132" s="2">
        <f>_xlfn.XLOOKUP(A2132,T10Y3M!A:A,T10Y3M!B:B,"",-1)</f>
        <v>-1.07</v>
      </c>
      <c r="J2132" s="2">
        <f>_xlfn.XLOOKUP(A2132,BAMLC0A4CBBB!A:A,BAMLC0A4CBBB!B:B,"",-1)</f>
        <v>1.1599999999999999</v>
      </c>
      <c r="K2132" s="2">
        <f>_xlfn.XLOOKUP(A2132,CPIAUCSL!A:A,CPIAUCSL!B:B,"",-1)</f>
        <v>314.73200000000003</v>
      </c>
      <c r="L2132">
        <f>_xlfn.XLOOKUP(A2132,DFF!A:A,DFF!B:B,"",-1)</f>
        <v>4.83</v>
      </c>
      <c r="M2132">
        <f>_xlfn.XLOOKUP(A2132,'DGS2'!A:A,'DGS2'!B:B,"",-1)</f>
        <v>3.59</v>
      </c>
      <c r="N2132">
        <f t="shared" si="267"/>
        <v>-2.0000000000000018E-2</v>
      </c>
      <c r="O2132">
        <f t="shared" si="268"/>
        <v>-1.9409693295342478E-3</v>
      </c>
      <c r="P2132">
        <f t="shared" si="269"/>
        <v>0</v>
      </c>
      <c r="Q2132">
        <f t="shared" si="270"/>
        <v>0</v>
      </c>
    </row>
    <row r="2133" spans="1:17">
      <c r="A2133" s="1">
        <v>45555</v>
      </c>
      <c r="B2133">
        <v>5702.55</v>
      </c>
      <c r="C2133">
        <f t="shared" si="264"/>
        <v>-1.9409693295342478E-3</v>
      </c>
      <c r="D2133">
        <f t="shared" si="271"/>
        <v>1.2063010907645388E-2</v>
      </c>
      <c r="E2133">
        <f>_xlfn.XLOOKUP(A2133,VIX!A:A,VIX!B:B,"",-1)</f>
        <v>16.149999999999999</v>
      </c>
      <c r="F2133">
        <f t="shared" si="265"/>
        <v>-0.17999999999999972</v>
      </c>
      <c r="G2133">
        <f>_xlfn.XLOOKUP(A2133,'DGS10'!A:A,'DGS10'!B:B,"",-1)</f>
        <v>3.73</v>
      </c>
      <c r="H2133">
        <f t="shared" si="266"/>
        <v>0</v>
      </c>
      <c r="I2133" s="2">
        <f>_xlfn.XLOOKUP(A2133,T10Y3M!A:A,T10Y3M!B:B,"",-1)</f>
        <v>-1.02</v>
      </c>
      <c r="J2133" s="2">
        <f>_xlfn.XLOOKUP(A2133,BAMLC0A4CBBB!A:A,BAMLC0A4CBBB!B:B,"",-1)</f>
        <v>1.17</v>
      </c>
      <c r="K2133" s="2">
        <f>_xlfn.XLOOKUP(A2133,CPIAUCSL!A:A,CPIAUCSL!B:B,"",-1)</f>
        <v>314.73200000000003</v>
      </c>
      <c r="L2133">
        <f>_xlfn.XLOOKUP(A2133,DFF!A:A,DFF!B:B,"",-1)</f>
        <v>4.83</v>
      </c>
      <c r="M2133">
        <f>_xlfn.XLOOKUP(A2133,'DGS2'!A:A,'DGS2'!B:B,"",-1)</f>
        <v>3.55</v>
      </c>
      <c r="N2133">
        <f t="shared" si="267"/>
        <v>-4.0000000000000036E-2</v>
      </c>
      <c r="O2133">
        <f t="shared" si="268"/>
        <v>2.8092695373120868E-3</v>
      </c>
      <c r="P2133">
        <f t="shared" si="269"/>
        <v>1</v>
      </c>
      <c r="Q2133">
        <f t="shared" si="270"/>
        <v>0</v>
      </c>
    </row>
    <row r="2134" spans="1:17">
      <c r="A2134" s="1">
        <v>45558</v>
      </c>
      <c r="B2134">
        <v>5718.57</v>
      </c>
      <c r="C2134">
        <f t="shared" si="264"/>
        <v>2.8092695373120868E-3</v>
      </c>
      <c r="D2134">
        <f t="shared" si="271"/>
        <v>1.7854282286686507E-2</v>
      </c>
      <c r="E2134">
        <f>_xlfn.XLOOKUP(A2134,VIX!A:A,VIX!B:B,"",-1)</f>
        <v>15.89</v>
      </c>
      <c r="F2134">
        <f t="shared" si="265"/>
        <v>-0.25999999999999801</v>
      </c>
      <c r="G2134">
        <f>_xlfn.XLOOKUP(A2134,'DGS10'!A:A,'DGS10'!B:B,"",-1)</f>
        <v>3.75</v>
      </c>
      <c r="H2134">
        <f t="shared" si="266"/>
        <v>2.0000000000000018E-2</v>
      </c>
      <c r="I2134" s="2">
        <f>_xlfn.XLOOKUP(A2134,T10Y3M!A:A,T10Y3M!B:B,"",-1)</f>
        <v>-0.97</v>
      </c>
      <c r="J2134" s="2">
        <f>_xlfn.XLOOKUP(A2134,BAMLC0A4CBBB!A:A,BAMLC0A4CBBB!B:B,"",-1)</f>
        <v>1.1599999999999999</v>
      </c>
      <c r="K2134" s="2">
        <f>_xlfn.XLOOKUP(A2134,CPIAUCSL!A:A,CPIAUCSL!B:B,"",-1)</f>
        <v>314.73200000000003</v>
      </c>
      <c r="L2134">
        <f>_xlfn.XLOOKUP(A2134,DFF!A:A,DFF!B:B,"",-1)</f>
        <v>4.83</v>
      </c>
      <c r="M2134">
        <f>_xlfn.XLOOKUP(A2134,'DGS2'!A:A,'DGS2'!B:B,"",-1)</f>
        <v>3.57</v>
      </c>
      <c r="N2134">
        <f t="shared" si="267"/>
        <v>2.0000000000000018E-2</v>
      </c>
      <c r="O2134">
        <f t="shared" si="268"/>
        <v>2.5111172898120149E-3</v>
      </c>
      <c r="P2134">
        <f t="shared" si="269"/>
        <v>1</v>
      </c>
      <c r="Q2134">
        <f t="shared" si="270"/>
        <v>0</v>
      </c>
    </row>
    <row r="2135" spans="1:17">
      <c r="A2135" s="1">
        <v>45559</v>
      </c>
      <c r="B2135">
        <v>5732.93</v>
      </c>
      <c r="C2135">
        <f t="shared" si="264"/>
        <v>2.5111172898120149E-3</v>
      </c>
      <c r="D2135">
        <f t="shared" si="271"/>
        <v>3.3761315028597583E-3</v>
      </c>
      <c r="E2135">
        <f>_xlfn.XLOOKUP(A2135,VIX!A:A,VIX!B:B,"",-1)</f>
        <v>15.39</v>
      </c>
      <c r="F2135">
        <f t="shared" si="265"/>
        <v>-0.5</v>
      </c>
      <c r="G2135">
        <f>_xlfn.XLOOKUP(A2135,'DGS10'!A:A,'DGS10'!B:B,"",-1)</f>
        <v>3.74</v>
      </c>
      <c r="H2135">
        <f t="shared" si="266"/>
        <v>-9.9999999999997868E-3</v>
      </c>
      <c r="I2135" s="2">
        <f>_xlfn.XLOOKUP(A2135,T10Y3M!A:A,T10Y3M!B:B,"",-1)</f>
        <v>-0.95</v>
      </c>
      <c r="J2135" s="2">
        <f>_xlfn.XLOOKUP(A2135,BAMLC0A4CBBB!A:A,BAMLC0A4CBBB!B:B,"",-1)</f>
        <v>1.1499999999999999</v>
      </c>
      <c r="K2135" s="2">
        <f>_xlfn.XLOOKUP(A2135,CPIAUCSL!A:A,CPIAUCSL!B:B,"",-1)</f>
        <v>314.73200000000003</v>
      </c>
      <c r="L2135">
        <f>_xlfn.XLOOKUP(A2135,DFF!A:A,DFF!B:B,"",-1)</f>
        <v>4.83</v>
      </c>
      <c r="M2135">
        <f>_xlfn.XLOOKUP(A2135,'DGS2'!A:A,'DGS2'!B:B,"",-1)</f>
        <v>3.49</v>
      </c>
      <c r="N2135">
        <f t="shared" si="267"/>
        <v>-7.9999999999999627E-2</v>
      </c>
      <c r="O2135">
        <f t="shared" si="268"/>
        <v>-1.8611774432969463E-3</v>
      </c>
      <c r="P2135">
        <f t="shared" si="269"/>
        <v>0</v>
      </c>
      <c r="Q2135">
        <f t="shared" si="270"/>
        <v>0</v>
      </c>
    </row>
    <row r="2136" spans="1:17">
      <c r="A2136" s="1">
        <v>45560</v>
      </c>
      <c r="B2136">
        <v>5722.26</v>
      </c>
      <c r="C2136">
        <f t="shared" si="264"/>
        <v>-1.8611774432969463E-3</v>
      </c>
      <c r="D2136">
        <f t="shared" si="271"/>
        <v>3.4563484756819918E-3</v>
      </c>
      <c r="E2136">
        <f>_xlfn.XLOOKUP(A2136,VIX!A:A,VIX!B:B,"",-1)</f>
        <v>15.41</v>
      </c>
      <c r="F2136">
        <f t="shared" si="265"/>
        <v>1.9999999999999574E-2</v>
      </c>
      <c r="G2136">
        <f>_xlfn.XLOOKUP(A2136,'DGS10'!A:A,'DGS10'!B:B,"",-1)</f>
        <v>3.79</v>
      </c>
      <c r="H2136">
        <f t="shared" si="266"/>
        <v>4.9999999999999822E-2</v>
      </c>
      <c r="I2136" s="2">
        <f>_xlfn.XLOOKUP(A2136,T10Y3M!A:A,T10Y3M!B:B,"",-1)</f>
        <v>-0.9</v>
      </c>
      <c r="J2136" s="2">
        <f>_xlfn.XLOOKUP(A2136,BAMLC0A4CBBB!A:A,BAMLC0A4CBBB!B:B,"",-1)</f>
        <v>1.1499999999999999</v>
      </c>
      <c r="K2136" s="2">
        <f>_xlfn.XLOOKUP(A2136,CPIAUCSL!A:A,CPIAUCSL!B:B,"",-1)</f>
        <v>314.73200000000003</v>
      </c>
      <c r="L2136">
        <f>_xlfn.XLOOKUP(A2136,DFF!A:A,DFF!B:B,"",-1)</f>
        <v>4.83</v>
      </c>
      <c r="M2136">
        <f>_xlfn.XLOOKUP(A2136,'DGS2'!A:A,'DGS2'!B:B,"",-1)</f>
        <v>3.53</v>
      </c>
      <c r="N2136">
        <f t="shared" si="267"/>
        <v>3.9999999999999591E-2</v>
      </c>
      <c r="O2136">
        <f t="shared" si="268"/>
        <v>4.0386141140038578E-3</v>
      </c>
      <c r="P2136">
        <f t="shared" si="269"/>
        <v>1</v>
      </c>
      <c r="Q2136">
        <f t="shared" si="270"/>
        <v>1</v>
      </c>
    </row>
    <row r="2137" spans="1:17">
      <c r="A2137" s="1">
        <v>45561</v>
      </c>
      <c r="B2137">
        <v>5745.37</v>
      </c>
      <c r="C2137">
        <f t="shared" si="264"/>
        <v>4.0386141140038578E-3</v>
      </c>
      <c r="D2137">
        <f t="shared" si="271"/>
        <v>4.6864863068913909E-3</v>
      </c>
      <c r="E2137">
        <f>_xlfn.XLOOKUP(A2137,VIX!A:A,VIX!B:B,"",-1)</f>
        <v>15.37</v>
      </c>
      <c r="F2137">
        <f t="shared" si="265"/>
        <v>-4.0000000000000924E-2</v>
      </c>
      <c r="G2137">
        <f>_xlfn.XLOOKUP(A2137,'DGS10'!A:A,'DGS10'!B:B,"",-1)</f>
        <v>3.79</v>
      </c>
      <c r="H2137">
        <f t="shared" si="266"/>
        <v>0</v>
      </c>
      <c r="I2137" s="2">
        <f>_xlfn.XLOOKUP(A2137,T10Y3M!A:A,T10Y3M!B:B,"",-1)</f>
        <v>-0.89</v>
      </c>
      <c r="J2137" s="2">
        <f>_xlfn.XLOOKUP(A2137,BAMLC0A4CBBB!A:A,BAMLC0A4CBBB!B:B,"",-1)</f>
        <v>1.1499999999999999</v>
      </c>
      <c r="K2137" s="2">
        <f>_xlfn.XLOOKUP(A2137,CPIAUCSL!A:A,CPIAUCSL!B:B,"",-1)</f>
        <v>314.73200000000003</v>
      </c>
      <c r="L2137">
        <f>_xlfn.XLOOKUP(A2137,DFF!A:A,DFF!B:B,"",-1)</f>
        <v>4.83</v>
      </c>
      <c r="M2137">
        <f>_xlfn.XLOOKUP(A2137,'DGS2'!A:A,'DGS2'!B:B,"",-1)</f>
        <v>3.6</v>
      </c>
      <c r="N2137">
        <f t="shared" si="267"/>
        <v>7.0000000000000284E-2</v>
      </c>
      <c r="O2137">
        <f t="shared" si="268"/>
        <v>-1.2531829977877607E-3</v>
      </c>
      <c r="P2137">
        <f t="shared" si="269"/>
        <v>0</v>
      </c>
      <c r="Q2137">
        <f t="shared" si="270"/>
        <v>0</v>
      </c>
    </row>
    <row r="2138" spans="1:17">
      <c r="A2138" s="1">
        <v>45562</v>
      </c>
      <c r="B2138">
        <v>5738.17</v>
      </c>
      <c r="C2138">
        <f t="shared" si="264"/>
        <v>-1.2531829977877607E-3</v>
      </c>
      <c r="D2138">
        <f t="shared" si="271"/>
        <v>9.1401778846056381E-4</v>
      </c>
      <c r="E2138">
        <f>_xlfn.XLOOKUP(A2138,VIX!A:A,VIX!B:B,"",-1)</f>
        <v>16.96</v>
      </c>
      <c r="F2138">
        <f t="shared" si="265"/>
        <v>1.5900000000000016</v>
      </c>
      <c r="G2138">
        <f>_xlfn.XLOOKUP(A2138,'DGS10'!A:A,'DGS10'!B:B,"",-1)</f>
        <v>3.75</v>
      </c>
      <c r="H2138">
        <f t="shared" si="266"/>
        <v>-4.0000000000000036E-2</v>
      </c>
      <c r="I2138" s="2">
        <f>_xlfn.XLOOKUP(A2138,T10Y3M!A:A,T10Y3M!B:B,"",-1)</f>
        <v>-0.93</v>
      </c>
      <c r="J2138" s="2">
        <f>_xlfn.XLOOKUP(A2138,BAMLC0A4CBBB!A:A,BAMLC0A4CBBB!B:B,"",-1)</f>
        <v>1.1499999999999999</v>
      </c>
      <c r="K2138" s="2">
        <f>_xlfn.XLOOKUP(A2138,CPIAUCSL!A:A,CPIAUCSL!B:B,"",-1)</f>
        <v>314.73200000000003</v>
      </c>
      <c r="L2138">
        <f>_xlfn.XLOOKUP(A2138,DFF!A:A,DFF!B:B,"",-1)</f>
        <v>4.83</v>
      </c>
      <c r="M2138">
        <f>_xlfn.XLOOKUP(A2138,'DGS2'!A:A,'DGS2'!B:B,"",-1)</f>
        <v>3.55</v>
      </c>
      <c r="N2138">
        <f t="shared" si="267"/>
        <v>-5.0000000000000266E-2</v>
      </c>
      <c r="O2138">
        <f t="shared" si="268"/>
        <v>4.2365423122701085E-3</v>
      </c>
      <c r="P2138">
        <f t="shared" si="269"/>
        <v>1</v>
      </c>
      <c r="Q2138">
        <f t="shared" si="270"/>
        <v>1</v>
      </c>
    </row>
    <row r="2139" spans="1:17">
      <c r="A2139" s="1">
        <v>45565</v>
      </c>
      <c r="B2139">
        <v>5762.48</v>
      </c>
      <c r="C2139">
        <f t="shared" si="264"/>
        <v>4.2365423122701085E-3</v>
      </c>
      <c r="D2139">
        <f t="shared" si="271"/>
        <v>7.0286914610659945E-3</v>
      </c>
      <c r="E2139">
        <f>_xlfn.XLOOKUP(A2139,VIX!A:A,VIX!B:B,"",-1)</f>
        <v>16.73</v>
      </c>
      <c r="F2139">
        <f t="shared" si="265"/>
        <v>-0.23000000000000043</v>
      </c>
      <c r="G2139">
        <f>_xlfn.XLOOKUP(A2139,'DGS10'!A:A,'DGS10'!B:B,"",-1)</f>
        <v>3.81</v>
      </c>
      <c r="H2139">
        <f t="shared" si="266"/>
        <v>6.0000000000000053E-2</v>
      </c>
      <c r="I2139" s="2">
        <f>_xlfn.XLOOKUP(A2139,T10Y3M!A:A,T10Y3M!B:B,"",-1)</f>
        <v>-0.92</v>
      </c>
      <c r="J2139" s="2">
        <f>_xlfn.XLOOKUP(A2139,BAMLC0A4CBBB!A:A,BAMLC0A4CBBB!B:B,"",-1)</f>
        <v>1.1599999999999999</v>
      </c>
      <c r="K2139" s="2">
        <f>_xlfn.XLOOKUP(A2139,CPIAUCSL!A:A,CPIAUCSL!B:B,"",-1)</f>
        <v>314.73200000000003</v>
      </c>
      <c r="L2139">
        <f>_xlfn.XLOOKUP(A2139,DFF!A:A,DFF!B:B,"",-1)</f>
        <v>4.83</v>
      </c>
      <c r="M2139">
        <f>_xlfn.XLOOKUP(A2139,'DGS2'!A:A,'DGS2'!B:B,"",-1)</f>
        <v>3.66</v>
      </c>
      <c r="N2139">
        <f t="shared" si="267"/>
        <v>0.11000000000000032</v>
      </c>
      <c r="O2139">
        <f t="shared" si="268"/>
        <v>-9.3241104524439677E-3</v>
      </c>
      <c r="P2139">
        <f t="shared" si="269"/>
        <v>0</v>
      </c>
      <c r="Q2139">
        <f t="shared" si="270"/>
        <v>-1</v>
      </c>
    </row>
    <row r="2140" spans="1:17">
      <c r="A2140" s="1">
        <v>45566</v>
      </c>
      <c r="B2140">
        <v>5708.75</v>
      </c>
      <c r="C2140">
        <f t="shared" si="264"/>
        <v>-9.3241104524439677E-3</v>
      </c>
      <c r="D2140">
        <f t="shared" si="271"/>
        <v>-6.373827969303969E-3</v>
      </c>
      <c r="E2140">
        <f>_xlfn.XLOOKUP(A2140,VIX!A:A,VIX!B:B,"",-1)</f>
        <v>19.260000000000002</v>
      </c>
      <c r="F2140">
        <f t="shared" si="265"/>
        <v>2.5300000000000011</v>
      </c>
      <c r="G2140">
        <f>_xlfn.XLOOKUP(A2140,'DGS10'!A:A,'DGS10'!B:B,"",-1)</f>
        <v>3.74</v>
      </c>
      <c r="H2140">
        <f t="shared" si="266"/>
        <v>-6.999999999999984E-2</v>
      </c>
      <c r="I2140" s="2">
        <f>_xlfn.XLOOKUP(A2140,T10Y3M!A:A,T10Y3M!B:B,"",-1)</f>
        <v>-0.97</v>
      </c>
      <c r="J2140" s="2">
        <f>_xlfn.XLOOKUP(A2140,BAMLC0A4CBBB!A:A,BAMLC0A4CBBB!B:B,"",-1)</f>
        <v>1.1599999999999999</v>
      </c>
      <c r="K2140" s="2">
        <f>_xlfn.XLOOKUP(A2140,CPIAUCSL!A:A,CPIAUCSL!B:B,"",-1)</f>
        <v>315.63099999999997</v>
      </c>
      <c r="L2140">
        <f>_xlfn.XLOOKUP(A2140,DFF!A:A,DFF!B:B,"",-1)</f>
        <v>4.83</v>
      </c>
      <c r="M2140">
        <f>_xlfn.XLOOKUP(A2140,'DGS2'!A:A,'DGS2'!B:B,"",-1)</f>
        <v>3.61</v>
      </c>
      <c r="N2140">
        <f t="shared" si="267"/>
        <v>-5.0000000000000266E-2</v>
      </c>
      <c r="O2140">
        <f t="shared" si="268"/>
        <v>1.3838405955768351E-4</v>
      </c>
      <c r="P2140">
        <f t="shared" si="269"/>
        <v>1</v>
      </c>
      <c r="Q2140">
        <f t="shared" si="270"/>
        <v>0</v>
      </c>
    </row>
    <row r="2141" spans="1:17">
      <c r="A2141" s="1">
        <v>45567</v>
      </c>
      <c r="B2141">
        <v>5709.54</v>
      </c>
      <c r="C2141">
        <f t="shared" si="264"/>
        <v>1.3838405955768351E-4</v>
      </c>
      <c r="D2141">
        <f t="shared" si="271"/>
        <v>-4.9893955738502527E-3</v>
      </c>
      <c r="E2141">
        <f>_xlfn.XLOOKUP(A2141,VIX!A:A,VIX!B:B,"",-1)</f>
        <v>18.899999999999999</v>
      </c>
      <c r="F2141">
        <f t="shared" si="265"/>
        <v>-0.36000000000000298</v>
      </c>
      <c r="G2141">
        <f>_xlfn.XLOOKUP(A2141,'DGS10'!A:A,'DGS10'!B:B,"",-1)</f>
        <v>3.79</v>
      </c>
      <c r="H2141">
        <f t="shared" si="266"/>
        <v>4.9999999999999822E-2</v>
      </c>
      <c r="I2141" s="2">
        <f>_xlfn.XLOOKUP(A2141,T10Y3M!A:A,T10Y3M!B:B,"",-1)</f>
        <v>-0.9</v>
      </c>
      <c r="J2141" s="2">
        <f>_xlfn.XLOOKUP(A2141,BAMLC0A4CBBB!A:A,BAMLC0A4CBBB!B:B,"",-1)</f>
        <v>1.1499999999999999</v>
      </c>
      <c r="K2141" s="2">
        <f>_xlfn.XLOOKUP(A2141,CPIAUCSL!A:A,CPIAUCSL!B:B,"",-1)</f>
        <v>315.63099999999997</v>
      </c>
      <c r="L2141">
        <f>_xlfn.XLOOKUP(A2141,DFF!A:A,DFF!B:B,"",-1)</f>
        <v>4.83</v>
      </c>
      <c r="M2141">
        <f>_xlfn.XLOOKUP(A2141,'DGS2'!A:A,'DGS2'!B:B,"",-1)</f>
        <v>3.63</v>
      </c>
      <c r="N2141">
        <f t="shared" si="267"/>
        <v>2.0000000000000018E-2</v>
      </c>
      <c r="O2141">
        <f t="shared" si="268"/>
        <v>-1.681396399709989E-3</v>
      </c>
      <c r="P2141">
        <f t="shared" si="269"/>
        <v>0</v>
      </c>
      <c r="Q2141">
        <f t="shared" si="270"/>
        <v>0</v>
      </c>
    </row>
    <row r="2142" spans="1:17">
      <c r="A2142" s="1">
        <v>45568</v>
      </c>
      <c r="B2142">
        <v>5699.94</v>
      </c>
      <c r="C2142">
        <f t="shared" si="264"/>
        <v>-1.681396399709989E-3</v>
      </c>
      <c r="D2142">
        <f t="shared" si="271"/>
        <v>-1.0852966084047178E-2</v>
      </c>
      <c r="E2142">
        <f>_xlfn.XLOOKUP(A2142,VIX!A:A,VIX!B:B,"",-1)</f>
        <v>20.49</v>
      </c>
      <c r="F2142">
        <f t="shared" si="265"/>
        <v>1.5899999999999999</v>
      </c>
      <c r="G2142">
        <f>_xlfn.XLOOKUP(A2142,'DGS10'!A:A,'DGS10'!B:B,"",-1)</f>
        <v>3.85</v>
      </c>
      <c r="H2142">
        <f t="shared" si="266"/>
        <v>6.0000000000000053E-2</v>
      </c>
      <c r="I2142" s="2">
        <f>_xlfn.XLOOKUP(A2142,T10Y3M!A:A,T10Y3M!B:B,"",-1)</f>
        <v>-0.83</v>
      </c>
      <c r="J2142" s="2">
        <f>_xlfn.XLOOKUP(A2142,BAMLC0A4CBBB!A:A,BAMLC0A4CBBB!B:B,"",-1)</f>
        <v>1.1299999999999999</v>
      </c>
      <c r="K2142" s="2">
        <f>_xlfn.XLOOKUP(A2142,CPIAUCSL!A:A,CPIAUCSL!B:B,"",-1)</f>
        <v>315.63099999999997</v>
      </c>
      <c r="L2142">
        <f>_xlfn.XLOOKUP(A2142,DFF!A:A,DFF!B:B,"",-1)</f>
        <v>4.83</v>
      </c>
      <c r="M2142">
        <f>_xlfn.XLOOKUP(A2142,'DGS2'!A:A,'DGS2'!B:B,"",-1)</f>
        <v>3.7</v>
      </c>
      <c r="N2142">
        <f t="shared" si="267"/>
        <v>7.0000000000000284E-2</v>
      </c>
      <c r="O2142">
        <f t="shared" si="268"/>
        <v>8.9702698624898325E-3</v>
      </c>
      <c r="P2142">
        <f t="shared" si="269"/>
        <v>1</v>
      </c>
      <c r="Q2142">
        <f t="shared" si="270"/>
        <v>1</v>
      </c>
    </row>
    <row r="2143" spans="1:17">
      <c r="A2143" s="1">
        <v>45569</v>
      </c>
      <c r="B2143">
        <v>5751.07</v>
      </c>
      <c r="C2143">
        <f t="shared" si="264"/>
        <v>8.9702698624898325E-3</v>
      </c>
      <c r="D2143">
        <f t="shared" si="271"/>
        <v>7.413181519597023E-3</v>
      </c>
      <c r="E2143">
        <f>_xlfn.XLOOKUP(A2143,VIX!A:A,VIX!B:B,"",-1)</f>
        <v>19.21</v>
      </c>
      <c r="F2143">
        <f t="shared" si="265"/>
        <v>-1.2799999999999976</v>
      </c>
      <c r="G2143">
        <f>_xlfn.XLOOKUP(A2143,'DGS10'!A:A,'DGS10'!B:B,"",-1)</f>
        <v>3.98</v>
      </c>
      <c r="H2143">
        <f t="shared" si="266"/>
        <v>0.12999999999999989</v>
      </c>
      <c r="I2143" s="2">
        <f>_xlfn.XLOOKUP(A2143,T10Y3M!A:A,T10Y3M!B:B,"",-1)</f>
        <v>-0.75</v>
      </c>
      <c r="J2143" s="2">
        <f>_xlfn.XLOOKUP(A2143,BAMLC0A4CBBB!A:A,BAMLC0A4CBBB!B:B,"",-1)</f>
        <v>1.1000000000000001</v>
      </c>
      <c r="K2143" s="2">
        <f>_xlfn.XLOOKUP(A2143,CPIAUCSL!A:A,CPIAUCSL!B:B,"",-1)</f>
        <v>315.63099999999997</v>
      </c>
      <c r="L2143">
        <f>_xlfn.XLOOKUP(A2143,DFF!A:A,DFF!B:B,"",-1)</f>
        <v>4.83</v>
      </c>
      <c r="M2143">
        <f>_xlfn.XLOOKUP(A2143,'DGS2'!A:A,'DGS2'!B:B,"",-1)</f>
        <v>3.93</v>
      </c>
      <c r="N2143">
        <f t="shared" si="267"/>
        <v>0.22999999999999998</v>
      </c>
      <c r="O2143">
        <f t="shared" si="268"/>
        <v>-9.5860422495291919E-3</v>
      </c>
      <c r="P2143">
        <f t="shared" si="269"/>
        <v>0</v>
      </c>
      <c r="Q2143">
        <f t="shared" si="270"/>
        <v>-1</v>
      </c>
    </row>
    <row r="2144" spans="1:17">
      <c r="A2144" s="1">
        <v>45572</v>
      </c>
      <c r="B2144">
        <v>5695.94</v>
      </c>
      <c r="C2144">
        <f t="shared" si="264"/>
        <v>-9.5860422495291919E-3</v>
      </c>
      <c r="D2144">
        <f t="shared" si="271"/>
        <v>-2.3819782329225214E-3</v>
      </c>
      <c r="E2144">
        <f>_xlfn.XLOOKUP(A2144,VIX!A:A,VIX!B:B,"",-1)</f>
        <v>22.64</v>
      </c>
      <c r="F2144">
        <f t="shared" si="265"/>
        <v>3.4299999999999997</v>
      </c>
      <c r="G2144">
        <f>_xlfn.XLOOKUP(A2144,'DGS10'!A:A,'DGS10'!B:B,"",-1)</f>
        <v>4.03</v>
      </c>
      <c r="H2144">
        <f t="shared" si="266"/>
        <v>5.0000000000000266E-2</v>
      </c>
      <c r="I2144" s="2">
        <f>_xlfn.XLOOKUP(A2144,T10Y3M!A:A,T10Y3M!B:B,"",-1)</f>
        <v>-0.74</v>
      </c>
      <c r="J2144" s="2">
        <f>_xlfn.XLOOKUP(A2144,BAMLC0A4CBBB!A:A,BAMLC0A4CBBB!B:B,"",-1)</f>
        <v>1.0900000000000001</v>
      </c>
      <c r="K2144" s="2">
        <f>_xlfn.XLOOKUP(A2144,CPIAUCSL!A:A,CPIAUCSL!B:B,"",-1)</f>
        <v>315.63099999999997</v>
      </c>
      <c r="L2144">
        <f>_xlfn.XLOOKUP(A2144,DFF!A:A,DFF!B:B,"",-1)</f>
        <v>4.83</v>
      </c>
      <c r="M2144">
        <f>_xlfn.XLOOKUP(A2144,'DGS2'!A:A,'DGS2'!B:B,"",-1)</f>
        <v>3.99</v>
      </c>
      <c r="N2144">
        <f t="shared" si="267"/>
        <v>6.0000000000000053E-2</v>
      </c>
      <c r="O2144">
        <f t="shared" si="268"/>
        <v>9.68935768284096E-3</v>
      </c>
      <c r="P2144">
        <f t="shared" si="269"/>
        <v>1</v>
      </c>
      <c r="Q2144">
        <f t="shared" si="270"/>
        <v>1</v>
      </c>
    </row>
    <row r="2145" spans="1:17">
      <c r="A2145" s="1">
        <v>45573</v>
      </c>
      <c r="B2145">
        <v>5751.13</v>
      </c>
      <c r="C2145">
        <f t="shared" si="264"/>
        <v>9.68935768284096E-3</v>
      </c>
      <c r="D2145">
        <f t="shared" si="271"/>
        <v>8.98079628908377E-3</v>
      </c>
      <c r="E2145">
        <f>_xlfn.XLOOKUP(A2145,VIX!A:A,VIX!B:B,"",-1)</f>
        <v>21.42</v>
      </c>
      <c r="F2145">
        <f t="shared" si="265"/>
        <v>-1.2199999999999989</v>
      </c>
      <c r="G2145">
        <f>_xlfn.XLOOKUP(A2145,'DGS10'!A:A,'DGS10'!B:B,"",-1)</f>
        <v>4.04</v>
      </c>
      <c r="H2145">
        <f t="shared" si="266"/>
        <v>9.9999999999997868E-3</v>
      </c>
      <c r="I2145" s="2">
        <f>_xlfn.XLOOKUP(A2145,T10Y3M!A:A,T10Y3M!B:B,"",-1)</f>
        <v>-0.71</v>
      </c>
      <c r="J2145" s="2">
        <f>_xlfn.XLOOKUP(A2145,BAMLC0A4CBBB!A:A,BAMLC0A4CBBB!B:B,"",-1)</f>
        <v>1.0900000000000001</v>
      </c>
      <c r="K2145" s="2">
        <f>_xlfn.XLOOKUP(A2145,CPIAUCSL!A:A,CPIAUCSL!B:B,"",-1)</f>
        <v>315.63099999999997</v>
      </c>
      <c r="L2145">
        <f>_xlfn.XLOOKUP(A2145,DFF!A:A,DFF!B:B,"",-1)</f>
        <v>4.83</v>
      </c>
      <c r="M2145">
        <f>_xlfn.XLOOKUP(A2145,'DGS2'!A:A,'DGS2'!B:B,"",-1)</f>
        <v>3.98</v>
      </c>
      <c r="N2145">
        <f t="shared" si="267"/>
        <v>-1.0000000000000231E-2</v>
      </c>
      <c r="O2145">
        <f t="shared" si="268"/>
        <v>7.1133846739683815E-3</v>
      </c>
      <c r="P2145">
        <f t="shared" si="269"/>
        <v>1</v>
      </c>
      <c r="Q2145">
        <f t="shared" si="270"/>
        <v>1</v>
      </c>
    </row>
    <row r="2146" spans="1:17">
      <c r="A2146" s="1">
        <v>45574</v>
      </c>
      <c r="B2146">
        <v>5792.04</v>
      </c>
      <c r="C2146">
        <f t="shared" si="264"/>
        <v>7.1133846739683815E-3</v>
      </c>
      <c r="D2146">
        <f t="shared" si="271"/>
        <v>7.1238917279741187E-3</v>
      </c>
      <c r="E2146">
        <f>_xlfn.XLOOKUP(A2146,VIX!A:A,VIX!B:B,"",-1)</f>
        <v>20.86</v>
      </c>
      <c r="F2146">
        <f t="shared" si="265"/>
        <v>-0.56000000000000227</v>
      </c>
      <c r="G2146">
        <f>_xlfn.XLOOKUP(A2146,'DGS10'!A:A,'DGS10'!B:B,"",-1)</f>
        <v>4.0599999999999996</v>
      </c>
      <c r="H2146">
        <f t="shared" si="266"/>
        <v>1.9999999999999574E-2</v>
      </c>
      <c r="I2146" s="2">
        <f>_xlfn.XLOOKUP(A2146,T10Y3M!A:A,T10Y3M!B:B,"",-1)</f>
        <v>-0.69</v>
      </c>
      <c r="J2146" s="2">
        <f>_xlfn.XLOOKUP(A2146,BAMLC0A4CBBB!A:A,BAMLC0A4CBBB!B:B,"",-1)</f>
        <v>1.08</v>
      </c>
      <c r="K2146" s="2">
        <f>_xlfn.XLOOKUP(A2146,CPIAUCSL!A:A,CPIAUCSL!B:B,"",-1)</f>
        <v>315.63099999999997</v>
      </c>
      <c r="L2146">
        <f>_xlfn.XLOOKUP(A2146,DFF!A:A,DFF!B:B,"",-1)</f>
        <v>4.83</v>
      </c>
      <c r="M2146">
        <f>_xlfn.XLOOKUP(A2146,'DGS2'!A:A,'DGS2'!B:B,"",-1)</f>
        <v>3.99</v>
      </c>
      <c r="N2146">
        <f t="shared" si="267"/>
        <v>1.0000000000000231E-2</v>
      </c>
      <c r="O2146">
        <f t="shared" si="268"/>
        <v>-2.0700823889336917E-3</v>
      </c>
      <c r="P2146">
        <f t="shared" si="269"/>
        <v>0</v>
      </c>
      <c r="Q2146">
        <f t="shared" si="270"/>
        <v>0</v>
      </c>
    </row>
    <row r="2147" spans="1:17">
      <c r="A2147" s="1">
        <v>45575</v>
      </c>
      <c r="B2147">
        <v>5780.05</v>
      </c>
      <c r="C2147">
        <f t="shared" si="264"/>
        <v>-2.0700823889336917E-3</v>
      </c>
      <c r="D2147">
        <f t="shared" si="271"/>
        <v>1.4766658356654139E-2</v>
      </c>
      <c r="E2147">
        <f>_xlfn.XLOOKUP(A2147,VIX!A:A,VIX!B:B,"",-1)</f>
        <v>20.93</v>
      </c>
      <c r="F2147">
        <f t="shared" si="265"/>
        <v>7.0000000000000284E-2</v>
      </c>
      <c r="G2147">
        <f>_xlfn.XLOOKUP(A2147,'DGS10'!A:A,'DGS10'!B:B,"",-1)</f>
        <v>4.09</v>
      </c>
      <c r="H2147">
        <f t="shared" si="266"/>
        <v>3.0000000000000249E-2</v>
      </c>
      <c r="I2147" s="2">
        <f>_xlfn.XLOOKUP(A2147,T10Y3M!A:A,T10Y3M!B:B,"",-1)</f>
        <v>-0.66</v>
      </c>
      <c r="J2147" s="2">
        <f>_xlfn.XLOOKUP(A2147,BAMLC0A4CBBB!A:A,BAMLC0A4CBBB!B:B,"",-1)</f>
        <v>1.07</v>
      </c>
      <c r="K2147" s="2">
        <f>_xlfn.XLOOKUP(A2147,CPIAUCSL!A:A,CPIAUCSL!B:B,"",-1)</f>
        <v>315.63099999999997</v>
      </c>
      <c r="L2147">
        <f>_xlfn.XLOOKUP(A2147,DFF!A:A,DFF!B:B,"",-1)</f>
        <v>4.83</v>
      </c>
      <c r="M2147">
        <f>_xlfn.XLOOKUP(A2147,'DGS2'!A:A,'DGS2'!B:B,"",-1)</f>
        <v>3.98</v>
      </c>
      <c r="N2147">
        <f t="shared" si="267"/>
        <v>-1.0000000000000231E-2</v>
      </c>
      <c r="O2147">
        <f t="shared" si="268"/>
        <v>6.0518507625366702E-3</v>
      </c>
      <c r="P2147">
        <f t="shared" si="269"/>
        <v>1</v>
      </c>
      <c r="Q2147">
        <f t="shared" si="270"/>
        <v>1</v>
      </c>
    </row>
    <row r="2148" spans="1:17">
      <c r="A2148" s="1">
        <v>45576</v>
      </c>
      <c r="B2148">
        <v>5815.03</v>
      </c>
      <c r="C2148">
        <f t="shared" si="264"/>
        <v>6.0518507625366702E-3</v>
      </c>
      <c r="D2148">
        <f t="shared" si="271"/>
        <v>1.1110859952739638E-2</v>
      </c>
      <c r="E2148">
        <f>_xlfn.XLOOKUP(A2148,VIX!A:A,VIX!B:B,"",-1)</f>
        <v>20.46</v>
      </c>
      <c r="F2148">
        <f t="shared" si="265"/>
        <v>-0.46999999999999886</v>
      </c>
      <c r="G2148">
        <f>_xlfn.XLOOKUP(A2148,'DGS10'!A:A,'DGS10'!B:B,"",-1)</f>
        <v>4.08</v>
      </c>
      <c r="H2148">
        <f t="shared" si="266"/>
        <v>-9.9999999999997868E-3</v>
      </c>
      <c r="I2148" s="2">
        <f>_xlfn.XLOOKUP(A2148,T10Y3M!A:A,T10Y3M!B:B,"",-1)</f>
        <v>-0.65</v>
      </c>
      <c r="J2148" s="2">
        <f>_xlfn.XLOOKUP(A2148,BAMLC0A4CBBB!A:A,BAMLC0A4CBBB!B:B,"",-1)</f>
        <v>1.06</v>
      </c>
      <c r="K2148" s="2">
        <f>_xlfn.XLOOKUP(A2148,CPIAUCSL!A:A,CPIAUCSL!B:B,"",-1)</f>
        <v>315.63099999999997</v>
      </c>
      <c r="L2148">
        <f>_xlfn.XLOOKUP(A2148,DFF!A:A,DFF!B:B,"",-1)</f>
        <v>4.83</v>
      </c>
      <c r="M2148">
        <f>_xlfn.XLOOKUP(A2148,'DGS2'!A:A,'DGS2'!B:B,"",-1)</f>
        <v>3.95</v>
      </c>
      <c r="N2148">
        <f t="shared" si="267"/>
        <v>-2.9999999999999805E-2</v>
      </c>
      <c r="O2148">
        <f t="shared" si="268"/>
        <v>7.7076128584032677E-3</v>
      </c>
      <c r="P2148">
        <f t="shared" si="269"/>
        <v>1</v>
      </c>
      <c r="Q2148">
        <f t="shared" si="270"/>
        <v>1</v>
      </c>
    </row>
    <row r="2149" spans="1:17">
      <c r="A2149" s="1">
        <v>45579</v>
      </c>
      <c r="B2149">
        <v>5859.85</v>
      </c>
      <c r="C2149">
        <f t="shared" si="264"/>
        <v>7.7076128584032677E-3</v>
      </c>
      <c r="D2149">
        <f t="shared" si="271"/>
        <v>1.1707446771776597E-2</v>
      </c>
      <c r="E2149">
        <f>_xlfn.XLOOKUP(A2149,VIX!A:A,VIX!B:B,"",-1)</f>
        <v>19.7</v>
      </c>
      <c r="F2149">
        <f t="shared" si="265"/>
        <v>-0.76000000000000156</v>
      </c>
      <c r="G2149">
        <f>_xlfn.XLOOKUP(A2149,'DGS10'!A:A,'DGS10'!B:B,"",-1)</f>
        <v>0</v>
      </c>
      <c r="H2149">
        <f t="shared" si="266"/>
        <v>-4.08</v>
      </c>
      <c r="I2149" s="2">
        <f>_xlfn.XLOOKUP(A2149,T10Y3M!A:A,T10Y3M!B:B,"",-1)</f>
        <v>0</v>
      </c>
      <c r="J2149" s="2">
        <f>_xlfn.XLOOKUP(A2149,BAMLC0A4CBBB!A:A,BAMLC0A4CBBB!B:B,"",-1)</f>
        <v>1.06</v>
      </c>
      <c r="K2149" s="2">
        <f>_xlfn.XLOOKUP(A2149,CPIAUCSL!A:A,CPIAUCSL!B:B,"",-1)</f>
        <v>315.63099999999997</v>
      </c>
      <c r="L2149">
        <f>_xlfn.XLOOKUP(A2149,DFF!A:A,DFF!B:B,"",-1)</f>
        <v>4.83</v>
      </c>
      <c r="M2149">
        <f>_xlfn.XLOOKUP(A2149,'DGS2'!A:A,'DGS2'!B:B,"",-1)</f>
        <v>0</v>
      </c>
      <c r="N2149">
        <f t="shared" si="267"/>
        <v>-3.95</v>
      </c>
      <c r="O2149">
        <f t="shared" si="268"/>
        <v>-7.6094097971791674E-3</v>
      </c>
      <c r="P2149">
        <f t="shared" si="269"/>
        <v>0</v>
      </c>
      <c r="Q2149">
        <f t="shared" si="270"/>
        <v>-1</v>
      </c>
    </row>
    <row r="2150" spans="1:17">
      <c r="A2150" s="1">
        <v>45580</v>
      </c>
      <c r="B2150">
        <v>5815.26</v>
      </c>
      <c r="C2150">
        <f t="shared" si="264"/>
        <v>-7.6094097971791674E-3</v>
      </c>
      <c r="D2150">
        <f t="shared" si="271"/>
        <v>6.0916428058581662E-3</v>
      </c>
      <c r="E2150">
        <f>_xlfn.XLOOKUP(A2150,VIX!A:A,VIX!B:B,"",-1)</f>
        <v>20.64</v>
      </c>
      <c r="F2150">
        <f t="shared" si="265"/>
        <v>0.94000000000000128</v>
      </c>
      <c r="G2150">
        <f>_xlfn.XLOOKUP(A2150,'DGS10'!A:A,'DGS10'!B:B,"",-1)</f>
        <v>4.03</v>
      </c>
      <c r="H2150">
        <f t="shared" si="266"/>
        <v>4.03</v>
      </c>
      <c r="I2150" s="2">
        <f>_xlfn.XLOOKUP(A2150,T10Y3M!A:A,T10Y3M!B:B,"",-1)</f>
        <v>-0.7</v>
      </c>
      <c r="J2150" s="2">
        <f>_xlfn.XLOOKUP(A2150,BAMLC0A4CBBB!A:A,BAMLC0A4CBBB!B:B,"",-1)</f>
        <v>1.05</v>
      </c>
      <c r="K2150" s="2">
        <f>_xlfn.XLOOKUP(A2150,CPIAUCSL!A:A,CPIAUCSL!B:B,"",-1)</f>
        <v>315.63099999999997</v>
      </c>
      <c r="L2150">
        <f>_xlfn.XLOOKUP(A2150,DFF!A:A,DFF!B:B,"",-1)</f>
        <v>4.83</v>
      </c>
      <c r="M2150">
        <f>_xlfn.XLOOKUP(A2150,'DGS2'!A:A,'DGS2'!B:B,"",-1)</f>
        <v>3.95</v>
      </c>
      <c r="N2150">
        <f t="shared" si="267"/>
        <v>3.95</v>
      </c>
      <c r="O2150">
        <f t="shared" si="268"/>
        <v>4.6790685197222182E-3</v>
      </c>
      <c r="P2150">
        <f t="shared" si="269"/>
        <v>1</v>
      </c>
      <c r="Q2150">
        <f t="shared" si="270"/>
        <v>1</v>
      </c>
    </row>
    <row r="2151" spans="1:17">
      <c r="A2151" s="1">
        <v>45581</v>
      </c>
      <c r="B2151">
        <v>5842.47</v>
      </c>
      <c r="C2151">
        <f t="shared" si="264"/>
        <v>4.6790685197222182E-3</v>
      </c>
      <c r="D2151">
        <f t="shared" si="271"/>
        <v>4.7188062658318763E-3</v>
      </c>
      <c r="E2151">
        <f>_xlfn.XLOOKUP(A2151,VIX!A:A,VIX!B:B,"",-1)</f>
        <v>19.579999999999998</v>
      </c>
      <c r="F2151">
        <f t="shared" si="265"/>
        <v>-1.0600000000000023</v>
      </c>
      <c r="G2151">
        <f>_xlfn.XLOOKUP(A2151,'DGS10'!A:A,'DGS10'!B:B,"",-1)</f>
        <v>4.0199999999999996</v>
      </c>
      <c r="H2151">
        <f t="shared" si="266"/>
        <v>-1.0000000000000675E-2</v>
      </c>
      <c r="I2151" s="2">
        <f>_xlfn.XLOOKUP(A2151,T10Y3M!A:A,T10Y3M!B:B,"",-1)</f>
        <v>-0.7</v>
      </c>
      <c r="J2151" s="2">
        <f>_xlfn.XLOOKUP(A2151,BAMLC0A4CBBB!A:A,BAMLC0A4CBBB!B:B,"",-1)</f>
        <v>1.05</v>
      </c>
      <c r="K2151" s="2">
        <f>_xlfn.XLOOKUP(A2151,CPIAUCSL!A:A,CPIAUCSL!B:B,"",-1)</f>
        <v>315.63099999999997</v>
      </c>
      <c r="L2151">
        <f>_xlfn.XLOOKUP(A2151,DFF!A:A,DFF!B:B,"",-1)</f>
        <v>4.83</v>
      </c>
      <c r="M2151">
        <f>_xlfn.XLOOKUP(A2151,'DGS2'!A:A,'DGS2'!B:B,"",-1)</f>
        <v>3.93</v>
      </c>
      <c r="N2151">
        <f t="shared" si="267"/>
        <v>-2.0000000000000018E-2</v>
      </c>
      <c r="O2151">
        <f t="shared" si="268"/>
        <v>-1.7116048520571248E-4</v>
      </c>
      <c r="P2151">
        <f t="shared" si="269"/>
        <v>0</v>
      </c>
      <c r="Q2151">
        <f t="shared" si="270"/>
        <v>0</v>
      </c>
    </row>
    <row r="2152" spans="1:17">
      <c r="A2152" s="1">
        <v>45582</v>
      </c>
      <c r="B2152">
        <v>5841.47</v>
      </c>
      <c r="C2152">
        <f t="shared" si="264"/>
        <v>-1.7116048520571248E-4</v>
      </c>
      <c r="D2152">
        <f t="shared" si="271"/>
        <v>-3.1365990597028715E-3</v>
      </c>
      <c r="E2152">
        <f>_xlfn.XLOOKUP(A2152,VIX!A:A,VIX!B:B,"",-1)</f>
        <v>19.11</v>
      </c>
      <c r="F2152">
        <f t="shared" si="265"/>
        <v>-0.46999999999999886</v>
      </c>
      <c r="G2152">
        <f>_xlfn.XLOOKUP(A2152,'DGS10'!A:A,'DGS10'!B:B,"",-1)</f>
        <v>4.09</v>
      </c>
      <c r="H2152">
        <f t="shared" si="266"/>
        <v>7.0000000000000284E-2</v>
      </c>
      <c r="I2152" s="2">
        <f>_xlfn.XLOOKUP(A2152,T10Y3M!A:A,T10Y3M!B:B,"",-1)</f>
        <v>-0.65</v>
      </c>
      <c r="J2152" s="2">
        <f>_xlfn.XLOOKUP(A2152,BAMLC0A4CBBB!A:A,BAMLC0A4CBBB!B:B,"",-1)</f>
        <v>1.04</v>
      </c>
      <c r="K2152" s="2">
        <f>_xlfn.XLOOKUP(A2152,CPIAUCSL!A:A,CPIAUCSL!B:B,"",-1)</f>
        <v>315.63099999999997</v>
      </c>
      <c r="L2152">
        <f>_xlfn.XLOOKUP(A2152,DFF!A:A,DFF!B:B,"",-1)</f>
        <v>4.83</v>
      </c>
      <c r="M2152">
        <f>_xlfn.XLOOKUP(A2152,'DGS2'!A:A,'DGS2'!B:B,"",-1)</f>
        <v>3.96</v>
      </c>
      <c r="N2152">
        <f t="shared" si="267"/>
        <v>2.9999999999999805E-2</v>
      </c>
      <c r="O2152">
        <f t="shared" si="268"/>
        <v>3.9716030382763723E-3</v>
      </c>
      <c r="P2152">
        <f t="shared" si="269"/>
        <v>1</v>
      </c>
      <c r="Q2152">
        <f t="shared" si="270"/>
        <v>1</v>
      </c>
    </row>
    <row r="2153" spans="1:17">
      <c r="A2153" s="1">
        <v>45583</v>
      </c>
      <c r="B2153">
        <v>5864.67</v>
      </c>
      <c r="C2153">
        <f t="shared" si="264"/>
        <v>3.9716030382763723E-3</v>
      </c>
      <c r="D2153">
        <f t="shared" si="271"/>
        <v>8.4966106416566323E-3</v>
      </c>
      <c r="E2153">
        <f>_xlfn.XLOOKUP(A2153,VIX!A:A,VIX!B:B,"",-1)</f>
        <v>18.03</v>
      </c>
      <c r="F2153">
        <f t="shared" si="265"/>
        <v>-1.0799999999999983</v>
      </c>
      <c r="G2153">
        <f>_xlfn.XLOOKUP(A2153,'DGS10'!A:A,'DGS10'!B:B,"",-1)</f>
        <v>4.08</v>
      </c>
      <c r="H2153">
        <f t="shared" si="266"/>
        <v>-9.9999999999997868E-3</v>
      </c>
      <c r="I2153" s="2">
        <f>_xlfn.XLOOKUP(A2153,T10Y3M!A:A,T10Y3M!B:B,"",-1)</f>
        <v>-0.65</v>
      </c>
      <c r="J2153" s="2">
        <f>_xlfn.XLOOKUP(A2153,BAMLC0A4CBBB!A:A,BAMLC0A4CBBB!B:B,"",-1)</f>
        <v>1.05</v>
      </c>
      <c r="K2153" s="2">
        <f>_xlfn.XLOOKUP(A2153,CPIAUCSL!A:A,CPIAUCSL!B:B,"",-1)</f>
        <v>315.63099999999997</v>
      </c>
      <c r="L2153">
        <f>_xlfn.XLOOKUP(A2153,DFF!A:A,DFF!B:B,"",-1)</f>
        <v>4.83</v>
      </c>
      <c r="M2153">
        <f>_xlfn.XLOOKUP(A2153,'DGS2'!A:A,'DGS2'!B:B,"",-1)</f>
        <v>3.95</v>
      </c>
      <c r="N2153">
        <f t="shared" si="267"/>
        <v>-9.9999999999997868E-3</v>
      </c>
      <c r="O2153">
        <f t="shared" si="268"/>
        <v>-1.8227794573267841E-3</v>
      </c>
      <c r="P2153">
        <f t="shared" si="269"/>
        <v>0</v>
      </c>
      <c r="Q2153">
        <f t="shared" si="270"/>
        <v>0</v>
      </c>
    </row>
    <row r="2154" spans="1:17">
      <c r="A2154" s="1">
        <v>45586</v>
      </c>
      <c r="B2154">
        <v>5853.98</v>
      </c>
      <c r="C2154">
        <f t="shared" si="264"/>
        <v>-1.8227794573267841E-3</v>
      </c>
      <c r="D2154">
        <f t="shared" si="271"/>
        <v>1.9700571847180992E-3</v>
      </c>
      <c r="E2154">
        <f>_xlfn.XLOOKUP(A2154,VIX!A:A,VIX!B:B,"",-1)</f>
        <v>18.37</v>
      </c>
      <c r="F2154">
        <f t="shared" si="265"/>
        <v>0.33999999999999986</v>
      </c>
      <c r="G2154">
        <f>_xlfn.XLOOKUP(A2154,'DGS10'!A:A,'DGS10'!B:B,"",-1)</f>
        <v>4.1900000000000004</v>
      </c>
      <c r="H2154">
        <f t="shared" si="266"/>
        <v>0.11000000000000032</v>
      </c>
      <c r="I2154" s="2">
        <f>_xlfn.XLOOKUP(A2154,T10Y3M!A:A,T10Y3M!B:B,"",-1)</f>
        <v>-0.54</v>
      </c>
      <c r="J2154" s="2">
        <f>_xlfn.XLOOKUP(A2154,BAMLC0A4CBBB!A:A,BAMLC0A4CBBB!B:B,"",-1)</f>
        <v>1.07</v>
      </c>
      <c r="K2154" s="2">
        <f>_xlfn.XLOOKUP(A2154,CPIAUCSL!A:A,CPIAUCSL!B:B,"",-1)</f>
        <v>315.63099999999997</v>
      </c>
      <c r="L2154">
        <f>_xlfn.XLOOKUP(A2154,DFF!A:A,DFF!B:B,"",-1)</f>
        <v>4.83</v>
      </c>
      <c r="M2154">
        <f>_xlfn.XLOOKUP(A2154,'DGS2'!A:A,'DGS2'!B:B,"",-1)</f>
        <v>4.0199999999999996</v>
      </c>
      <c r="N2154">
        <f t="shared" si="267"/>
        <v>6.9999999999999396E-2</v>
      </c>
      <c r="O2154">
        <f t="shared" si="268"/>
        <v>-4.7489058725858069E-4</v>
      </c>
      <c r="P2154">
        <f t="shared" si="269"/>
        <v>0</v>
      </c>
      <c r="Q2154">
        <f t="shared" si="270"/>
        <v>0</v>
      </c>
    </row>
    <row r="2155" spans="1:17">
      <c r="A2155" s="1">
        <v>45587</v>
      </c>
      <c r="B2155">
        <v>5851.2</v>
      </c>
      <c r="C2155">
        <f t="shared" si="264"/>
        <v>-4.7489058725858069E-4</v>
      </c>
      <c r="D2155">
        <f t="shared" si="271"/>
        <v>1.6656766190701333E-3</v>
      </c>
      <c r="E2155">
        <f>_xlfn.XLOOKUP(A2155,VIX!A:A,VIX!B:B,"",-1)</f>
        <v>18.2</v>
      </c>
      <c r="F2155">
        <f t="shared" si="265"/>
        <v>-0.17000000000000171</v>
      </c>
      <c r="G2155">
        <f>_xlfn.XLOOKUP(A2155,'DGS10'!A:A,'DGS10'!B:B,"",-1)</f>
        <v>4.2</v>
      </c>
      <c r="H2155">
        <f t="shared" si="266"/>
        <v>9.9999999999997868E-3</v>
      </c>
      <c r="I2155" s="2">
        <f>_xlfn.XLOOKUP(A2155,T10Y3M!A:A,T10Y3M!B:B,"",-1)</f>
        <v>-0.52</v>
      </c>
      <c r="J2155" s="2">
        <f>_xlfn.XLOOKUP(A2155,BAMLC0A4CBBB!A:A,BAMLC0A4CBBB!B:B,"",-1)</f>
        <v>1.07</v>
      </c>
      <c r="K2155" s="2">
        <f>_xlfn.XLOOKUP(A2155,CPIAUCSL!A:A,CPIAUCSL!B:B,"",-1)</f>
        <v>315.63099999999997</v>
      </c>
      <c r="L2155">
        <f>_xlfn.XLOOKUP(A2155,DFF!A:A,DFF!B:B,"",-1)</f>
        <v>4.83</v>
      </c>
      <c r="M2155">
        <f>_xlfn.XLOOKUP(A2155,'DGS2'!A:A,'DGS2'!B:B,"",-1)</f>
        <v>4.03</v>
      </c>
      <c r="N2155">
        <f t="shared" si="267"/>
        <v>1.0000000000000675E-2</v>
      </c>
      <c r="O2155">
        <f t="shared" si="268"/>
        <v>-9.1912770030079249E-3</v>
      </c>
      <c r="P2155">
        <f t="shared" si="269"/>
        <v>0</v>
      </c>
      <c r="Q2155">
        <f t="shared" si="270"/>
        <v>-1</v>
      </c>
    </row>
    <row r="2156" spans="1:17">
      <c r="A2156" s="1">
        <v>45588</v>
      </c>
      <c r="B2156">
        <v>5797.42</v>
      </c>
      <c r="C2156">
        <f t="shared" si="264"/>
        <v>-9.1912770030079249E-3</v>
      </c>
      <c r="D2156">
        <f t="shared" si="271"/>
        <v>-1.1466970861105596E-2</v>
      </c>
      <c r="E2156">
        <f>_xlfn.XLOOKUP(A2156,VIX!A:A,VIX!B:B,"",-1)</f>
        <v>19.239999999999998</v>
      </c>
      <c r="F2156">
        <f t="shared" si="265"/>
        <v>1.0399999999999991</v>
      </c>
      <c r="G2156">
        <f>_xlfn.XLOOKUP(A2156,'DGS10'!A:A,'DGS10'!B:B,"",-1)</f>
        <v>4.24</v>
      </c>
      <c r="H2156">
        <f t="shared" si="266"/>
        <v>4.0000000000000036E-2</v>
      </c>
      <c r="I2156" s="2">
        <f>_xlfn.XLOOKUP(A2156,T10Y3M!A:A,T10Y3M!B:B,"",-1)</f>
        <v>-0.49</v>
      </c>
      <c r="J2156" s="2">
        <f>_xlfn.XLOOKUP(A2156,BAMLC0A4CBBB!A:A,BAMLC0A4CBBB!B:B,"",-1)</f>
        <v>1.08</v>
      </c>
      <c r="K2156" s="2">
        <f>_xlfn.XLOOKUP(A2156,CPIAUCSL!A:A,CPIAUCSL!B:B,"",-1)</f>
        <v>315.63099999999997</v>
      </c>
      <c r="L2156">
        <f>_xlfn.XLOOKUP(A2156,DFF!A:A,DFF!B:B,"",-1)</f>
        <v>4.83</v>
      </c>
      <c r="M2156">
        <f>_xlfn.XLOOKUP(A2156,'DGS2'!A:A,'DGS2'!B:B,"",-1)</f>
        <v>4.07</v>
      </c>
      <c r="N2156">
        <f t="shared" si="267"/>
        <v>4.0000000000000036E-2</v>
      </c>
      <c r="O2156">
        <f t="shared" si="268"/>
        <v>2.1457820892740731E-3</v>
      </c>
      <c r="P2156">
        <f t="shared" si="269"/>
        <v>1</v>
      </c>
      <c r="Q2156">
        <f t="shared" si="270"/>
        <v>0</v>
      </c>
    </row>
    <row r="2157" spans="1:17">
      <c r="A2157" s="1">
        <v>45589</v>
      </c>
      <c r="B2157">
        <v>5809.86</v>
      </c>
      <c r="C2157">
        <f t="shared" si="264"/>
        <v>2.1457820892740731E-3</v>
      </c>
      <c r="D2157">
        <f t="shared" si="271"/>
        <v>-7.5367527733268824E-3</v>
      </c>
      <c r="E2157">
        <f>_xlfn.XLOOKUP(A2157,VIX!A:A,VIX!B:B,"",-1)</f>
        <v>19.079999999999998</v>
      </c>
      <c r="F2157">
        <f t="shared" si="265"/>
        <v>-0.16000000000000014</v>
      </c>
      <c r="G2157">
        <f>_xlfn.XLOOKUP(A2157,'DGS10'!A:A,'DGS10'!B:B,"",-1)</f>
        <v>4.21</v>
      </c>
      <c r="H2157">
        <f t="shared" si="266"/>
        <v>-3.0000000000000249E-2</v>
      </c>
      <c r="I2157" s="2">
        <f>_xlfn.XLOOKUP(A2157,T10Y3M!A:A,T10Y3M!B:B,"",-1)</f>
        <v>-0.49</v>
      </c>
      <c r="J2157" s="2">
        <f>_xlfn.XLOOKUP(A2157,BAMLC0A4CBBB!A:A,BAMLC0A4CBBB!B:B,"",-1)</f>
        <v>1.08</v>
      </c>
      <c r="K2157" s="2">
        <f>_xlfn.XLOOKUP(A2157,CPIAUCSL!A:A,CPIAUCSL!B:B,"",-1)</f>
        <v>315.63099999999997</v>
      </c>
      <c r="L2157">
        <f>_xlfn.XLOOKUP(A2157,DFF!A:A,DFF!B:B,"",-1)</f>
        <v>4.83</v>
      </c>
      <c r="M2157">
        <f>_xlfn.XLOOKUP(A2157,'DGS2'!A:A,'DGS2'!B:B,"",-1)</f>
        <v>4.07</v>
      </c>
      <c r="N2157">
        <f t="shared" si="267"/>
        <v>0</v>
      </c>
      <c r="O2157">
        <f t="shared" si="268"/>
        <v>-2.994908655286066E-4</v>
      </c>
      <c r="P2157">
        <f t="shared" si="269"/>
        <v>0</v>
      </c>
      <c r="Q2157">
        <f t="shared" si="270"/>
        <v>0</v>
      </c>
    </row>
    <row r="2158" spans="1:17">
      <c r="A2158" s="1">
        <v>45590</v>
      </c>
      <c r="B2158">
        <v>5808.12</v>
      </c>
      <c r="C2158">
        <f t="shared" si="264"/>
        <v>-2.994908655286066E-4</v>
      </c>
      <c r="D2158">
        <f t="shared" si="271"/>
        <v>-7.3625922887612383E-3</v>
      </c>
      <c r="E2158">
        <f>_xlfn.XLOOKUP(A2158,VIX!A:A,VIX!B:B,"",-1)</f>
        <v>20.329999999999998</v>
      </c>
      <c r="F2158">
        <f t="shared" si="265"/>
        <v>1.25</v>
      </c>
      <c r="G2158">
        <f>_xlfn.XLOOKUP(A2158,'DGS10'!A:A,'DGS10'!B:B,"",-1)</f>
        <v>4.25</v>
      </c>
      <c r="H2158">
        <f t="shared" si="266"/>
        <v>4.0000000000000036E-2</v>
      </c>
      <c r="I2158" s="2">
        <f>_xlfn.XLOOKUP(A2158,T10Y3M!A:A,T10Y3M!B:B,"",-1)</f>
        <v>-0.48</v>
      </c>
      <c r="J2158" s="2">
        <f>_xlfn.XLOOKUP(A2158,BAMLC0A4CBBB!A:A,BAMLC0A4CBBB!B:B,"",-1)</f>
        <v>1.07</v>
      </c>
      <c r="K2158" s="2">
        <f>_xlfn.XLOOKUP(A2158,CPIAUCSL!A:A,CPIAUCSL!B:B,"",-1)</f>
        <v>315.63099999999997</v>
      </c>
      <c r="L2158">
        <f>_xlfn.XLOOKUP(A2158,DFF!A:A,DFF!B:B,"",-1)</f>
        <v>4.83</v>
      </c>
      <c r="M2158">
        <f>_xlfn.XLOOKUP(A2158,'DGS2'!A:A,'DGS2'!B:B,"",-1)</f>
        <v>4.1100000000000003</v>
      </c>
      <c r="N2158">
        <f t="shared" si="267"/>
        <v>4.0000000000000036E-2</v>
      </c>
      <c r="O2158">
        <f t="shared" si="268"/>
        <v>2.6514603692762151E-3</v>
      </c>
      <c r="P2158">
        <f t="shared" si="269"/>
        <v>1</v>
      </c>
      <c r="Q2158">
        <f t="shared" si="270"/>
        <v>0</v>
      </c>
    </row>
    <row r="2159" spans="1:17">
      <c r="A2159" s="1">
        <v>45593</v>
      </c>
      <c r="B2159">
        <v>5823.52</v>
      </c>
      <c r="C2159">
        <f t="shared" si="264"/>
        <v>2.6514603692762151E-3</v>
      </c>
      <c r="D2159">
        <f t="shared" si="271"/>
        <v>4.5020026149564796E-3</v>
      </c>
      <c r="E2159">
        <f>_xlfn.XLOOKUP(A2159,VIX!A:A,VIX!B:B,"",-1)</f>
        <v>19.8</v>
      </c>
      <c r="F2159">
        <f t="shared" si="265"/>
        <v>-0.52999999999999758</v>
      </c>
      <c r="G2159">
        <f>_xlfn.XLOOKUP(A2159,'DGS10'!A:A,'DGS10'!B:B,"",-1)</f>
        <v>4.28</v>
      </c>
      <c r="H2159">
        <f t="shared" si="266"/>
        <v>3.0000000000000249E-2</v>
      </c>
      <c r="I2159" s="2">
        <f>_xlfn.XLOOKUP(A2159,T10Y3M!A:A,T10Y3M!B:B,"",-1)</f>
        <v>-0.42</v>
      </c>
      <c r="J2159" s="2">
        <f>_xlfn.XLOOKUP(A2159,BAMLC0A4CBBB!A:A,BAMLC0A4CBBB!B:B,"",-1)</f>
        <v>1.06</v>
      </c>
      <c r="K2159" s="2">
        <f>_xlfn.XLOOKUP(A2159,CPIAUCSL!A:A,CPIAUCSL!B:B,"",-1)</f>
        <v>315.63099999999997</v>
      </c>
      <c r="L2159">
        <f>_xlfn.XLOOKUP(A2159,DFF!A:A,DFF!B:B,"",-1)</f>
        <v>4.83</v>
      </c>
      <c r="M2159">
        <f>_xlfn.XLOOKUP(A2159,'DGS2'!A:A,'DGS2'!B:B,"",-1)</f>
        <v>4.12</v>
      </c>
      <c r="N2159">
        <f t="shared" si="267"/>
        <v>9.9999999999997868E-3</v>
      </c>
      <c r="O2159">
        <f t="shared" si="268"/>
        <v>1.6141440228589765E-3</v>
      </c>
      <c r="P2159">
        <f t="shared" si="269"/>
        <v>1</v>
      </c>
      <c r="Q2159">
        <f t="shared" si="270"/>
        <v>0</v>
      </c>
    </row>
    <row r="2160" spans="1:17">
      <c r="A2160" s="1">
        <v>45594</v>
      </c>
      <c r="B2160">
        <v>5832.92</v>
      </c>
      <c r="C2160">
        <f t="shared" si="264"/>
        <v>1.6141440228589765E-3</v>
      </c>
      <c r="D2160">
        <f t="shared" si="271"/>
        <v>3.9691145741893585E-3</v>
      </c>
      <c r="E2160">
        <f>_xlfn.XLOOKUP(A2160,VIX!A:A,VIX!B:B,"",-1)</f>
        <v>19.34</v>
      </c>
      <c r="F2160">
        <f t="shared" si="265"/>
        <v>-0.46000000000000085</v>
      </c>
      <c r="G2160">
        <f>_xlfn.XLOOKUP(A2160,'DGS10'!A:A,'DGS10'!B:B,"",-1)</f>
        <v>4.28</v>
      </c>
      <c r="H2160">
        <f t="shared" si="266"/>
        <v>0</v>
      </c>
      <c r="I2160" s="2">
        <f>_xlfn.XLOOKUP(A2160,T10Y3M!A:A,T10Y3M!B:B,"",-1)</f>
        <v>-0.42</v>
      </c>
      <c r="J2160" s="2">
        <f>_xlfn.XLOOKUP(A2160,BAMLC0A4CBBB!A:A,BAMLC0A4CBBB!B:B,"",-1)</f>
        <v>1.06</v>
      </c>
      <c r="K2160" s="2">
        <f>_xlfn.XLOOKUP(A2160,CPIAUCSL!A:A,CPIAUCSL!B:B,"",-1)</f>
        <v>315.63099999999997</v>
      </c>
      <c r="L2160">
        <f>_xlfn.XLOOKUP(A2160,DFF!A:A,DFF!B:B,"",-1)</f>
        <v>4.83</v>
      </c>
      <c r="M2160">
        <f>_xlfn.XLOOKUP(A2160,'DGS2'!A:A,'DGS2'!B:B,"",-1)</f>
        <v>4.1100000000000003</v>
      </c>
      <c r="N2160">
        <f t="shared" si="267"/>
        <v>-9.9999999999997868E-3</v>
      </c>
      <c r="O2160">
        <f t="shared" si="268"/>
        <v>-3.3002338451409985E-3</v>
      </c>
      <c r="P2160">
        <f t="shared" si="269"/>
        <v>0</v>
      </c>
      <c r="Q2160">
        <f t="shared" si="270"/>
        <v>-1</v>
      </c>
    </row>
    <row r="2161" spans="1:17">
      <c r="A2161" s="1">
        <v>45595</v>
      </c>
      <c r="B2161">
        <v>5813.67</v>
      </c>
      <c r="C2161">
        <f t="shared" si="264"/>
        <v>-3.3002338451409985E-3</v>
      </c>
      <c r="D2161">
        <f t="shared" si="271"/>
        <v>9.555587694469736E-4</v>
      </c>
      <c r="E2161">
        <f>_xlfn.XLOOKUP(A2161,VIX!A:A,VIX!B:B,"",-1)</f>
        <v>20.350000000000001</v>
      </c>
      <c r="F2161">
        <f t="shared" si="265"/>
        <v>1.0100000000000016</v>
      </c>
      <c r="G2161">
        <f>_xlfn.XLOOKUP(A2161,'DGS10'!A:A,'DGS10'!B:B,"",-1)</f>
        <v>4.29</v>
      </c>
      <c r="H2161">
        <f t="shared" si="266"/>
        <v>9.9999999999997868E-3</v>
      </c>
      <c r="I2161" s="2">
        <f>_xlfn.XLOOKUP(A2161,T10Y3M!A:A,T10Y3M!B:B,"",-1)</f>
        <v>-0.38</v>
      </c>
      <c r="J2161" s="2">
        <f>_xlfn.XLOOKUP(A2161,BAMLC0A4CBBB!A:A,BAMLC0A4CBBB!B:B,"",-1)</f>
        <v>1.06</v>
      </c>
      <c r="K2161" s="2">
        <f>_xlfn.XLOOKUP(A2161,CPIAUCSL!A:A,CPIAUCSL!B:B,"",-1)</f>
        <v>315.63099999999997</v>
      </c>
      <c r="L2161">
        <f>_xlfn.XLOOKUP(A2161,DFF!A:A,DFF!B:B,"",-1)</f>
        <v>4.83</v>
      </c>
      <c r="M2161">
        <f>_xlfn.XLOOKUP(A2161,'DGS2'!A:A,'DGS2'!B:B,"",-1)</f>
        <v>4.1500000000000004</v>
      </c>
      <c r="N2161">
        <f t="shared" si="267"/>
        <v>4.0000000000000036E-2</v>
      </c>
      <c r="O2161">
        <f t="shared" si="268"/>
        <v>-1.8614747655095742E-2</v>
      </c>
      <c r="P2161">
        <f t="shared" si="269"/>
        <v>0</v>
      </c>
      <c r="Q2161">
        <f t="shared" si="270"/>
        <v>-1</v>
      </c>
    </row>
    <row r="2162" spans="1:17">
      <c r="A2162" s="1">
        <v>45596</v>
      </c>
      <c r="B2162">
        <v>5705.45</v>
      </c>
      <c r="C2162">
        <f t="shared" si="264"/>
        <v>-1.8614747655095742E-2</v>
      </c>
      <c r="D2162">
        <f t="shared" si="271"/>
        <v>-2.0274679231804926E-2</v>
      </c>
      <c r="E2162">
        <f>_xlfn.XLOOKUP(A2162,VIX!A:A,VIX!B:B,"",-1)</f>
        <v>23.16</v>
      </c>
      <c r="F2162">
        <f t="shared" si="265"/>
        <v>2.8099999999999987</v>
      </c>
      <c r="G2162">
        <f>_xlfn.XLOOKUP(A2162,'DGS10'!A:A,'DGS10'!B:B,"",-1)</f>
        <v>4.28</v>
      </c>
      <c r="H2162">
        <f t="shared" si="266"/>
        <v>-9.9999999999997868E-3</v>
      </c>
      <c r="I2162" s="2">
        <f>_xlfn.XLOOKUP(A2162,T10Y3M!A:A,T10Y3M!B:B,"",-1)</f>
        <v>-0.36</v>
      </c>
      <c r="J2162" s="2">
        <f>_xlfn.XLOOKUP(A2162,BAMLC0A4CBBB!A:A,BAMLC0A4CBBB!B:B,"",-1)</f>
        <v>1.08</v>
      </c>
      <c r="K2162" s="2">
        <f>_xlfn.XLOOKUP(A2162,CPIAUCSL!A:A,CPIAUCSL!B:B,"",-1)</f>
        <v>315.63099999999997</v>
      </c>
      <c r="L2162">
        <f>_xlfn.XLOOKUP(A2162,DFF!A:A,DFF!B:B,"",-1)</f>
        <v>4.83</v>
      </c>
      <c r="M2162">
        <f>_xlfn.XLOOKUP(A2162,'DGS2'!A:A,'DGS2'!B:B,"",-1)</f>
        <v>4.16</v>
      </c>
      <c r="N2162">
        <f t="shared" si="267"/>
        <v>9.9999999999997868E-3</v>
      </c>
      <c r="O2162">
        <f t="shared" si="268"/>
        <v>4.0925781489629109E-3</v>
      </c>
      <c r="P2162">
        <f t="shared" si="269"/>
        <v>1</v>
      </c>
      <c r="Q2162">
        <f t="shared" si="270"/>
        <v>1</v>
      </c>
    </row>
    <row r="2163" spans="1:17">
      <c r="A2163" s="1">
        <v>45597</v>
      </c>
      <c r="B2163">
        <v>5728.8</v>
      </c>
      <c r="C2163">
        <f t="shared" si="264"/>
        <v>4.0925781489629109E-3</v>
      </c>
      <c r="D2163">
        <f t="shared" si="271"/>
        <v>-1.7850407686030301E-2</v>
      </c>
      <c r="E2163">
        <f>_xlfn.XLOOKUP(A2163,VIX!A:A,VIX!B:B,"",-1)</f>
        <v>21.88</v>
      </c>
      <c r="F2163">
        <f t="shared" si="265"/>
        <v>-1.2800000000000011</v>
      </c>
      <c r="G2163">
        <f>_xlfn.XLOOKUP(A2163,'DGS10'!A:A,'DGS10'!B:B,"",-1)</f>
        <v>4.37</v>
      </c>
      <c r="H2163">
        <f t="shared" si="266"/>
        <v>8.9999999999999858E-2</v>
      </c>
      <c r="I2163" s="2">
        <f>_xlfn.XLOOKUP(A2163,T10Y3M!A:A,T10Y3M!B:B,"",-1)</f>
        <v>-0.24</v>
      </c>
      <c r="J2163" s="2">
        <f>_xlfn.XLOOKUP(A2163,BAMLC0A4CBBB!A:A,BAMLC0A4CBBB!B:B,"",-1)</f>
        <v>1.07</v>
      </c>
      <c r="K2163" s="2">
        <f>_xlfn.XLOOKUP(A2163,CPIAUCSL!A:A,CPIAUCSL!B:B,"",-1)</f>
        <v>316.52800000000002</v>
      </c>
      <c r="L2163">
        <f>_xlfn.XLOOKUP(A2163,DFF!A:A,DFF!B:B,"",-1)</f>
        <v>4.83</v>
      </c>
      <c r="M2163">
        <f>_xlfn.XLOOKUP(A2163,'DGS2'!A:A,'DGS2'!B:B,"",-1)</f>
        <v>4.21</v>
      </c>
      <c r="N2163">
        <f t="shared" si="267"/>
        <v>4.9999999999999822E-2</v>
      </c>
      <c r="O2163">
        <f t="shared" si="268"/>
        <v>-2.8121072475911779E-3</v>
      </c>
      <c r="P2163">
        <f t="shared" si="269"/>
        <v>0</v>
      </c>
      <c r="Q2163">
        <f t="shared" si="270"/>
        <v>0</v>
      </c>
    </row>
    <row r="2164" spans="1:17">
      <c r="A2164" s="1">
        <v>45600</v>
      </c>
      <c r="B2164">
        <v>5712.69</v>
      </c>
      <c r="C2164">
        <f t="shared" si="264"/>
        <v>-2.8121072475911779E-3</v>
      </c>
      <c r="D2164">
        <f t="shared" si="271"/>
        <v>-1.7369406932282061E-2</v>
      </c>
      <c r="E2164">
        <f>_xlfn.XLOOKUP(A2164,VIX!A:A,VIX!B:B,"",-1)</f>
        <v>21.98</v>
      </c>
      <c r="F2164">
        <f t="shared" si="265"/>
        <v>0.10000000000000142</v>
      </c>
      <c r="G2164">
        <f>_xlfn.XLOOKUP(A2164,'DGS10'!A:A,'DGS10'!B:B,"",-1)</f>
        <v>4.3099999999999996</v>
      </c>
      <c r="H2164">
        <f t="shared" si="266"/>
        <v>-6.0000000000000497E-2</v>
      </c>
      <c r="I2164" s="2">
        <f>_xlfn.XLOOKUP(A2164,T10Y3M!A:A,T10Y3M!B:B,"",-1)</f>
        <v>-0.34</v>
      </c>
      <c r="J2164" s="2">
        <f>_xlfn.XLOOKUP(A2164,BAMLC0A4CBBB!A:A,BAMLC0A4CBBB!B:B,"",-1)</f>
        <v>1.07</v>
      </c>
      <c r="K2164" s="2">
        <f>_xlfn.XLOOKUP(A2164,CPIAUCSL!A:A,CPIAUCSL!B:B,"",-1)</f>
        <v>316.52800000000002</v>
      </c>
      <c r="L2164">
        <f>_xlfn.XLOOKUP(A2164,DFF!A:A,DFF!B:B,"",-1)</f>
        <v>4.83</v>
      </c>
      <c r="M2164">
        <f>_xlfn.XLOOKUP(A2164,'DGS2'!A:A,'DGS2'!B:B,"",-1)</f>
        <v>4.17</v>
      </c>
      <c r="N2164">
        <f t="shared" si="267"/>
        <v>-4.0000000000000036E-2</v>
      </c>
      <c r="O2164">
        <f t="shared" si="268"/>
        <v>1.2265675189796932E-2</v>
      </c>
      <c r="P2164">
        <f t="shared" si="269"/>
        <v>1</v>
      </c>
      <c r="Q2164">
        <f t="shared" si="270"/>
        <v>1</v>
      </c>
    </row>
    <row r="2165" spans="1:17">
      <c r="A2165" s="1">
        <v>45601</v>
      </c>
      <c r="B2165">
        <v>5782.76</v>
      </c>
      <c r="C2165">
        <f t="shared" si="264"/>
        <v>1.2265675189796932E-2</v>
      </c>
      <c r="D2165">
        <f t="shared" si="271"/>
        <v>1.355020199984236E-2</v>
      </c>
      <c r="E2165">
        <f>_xlfn.XLOOKUP(A2165,VIX!A:A,VIX!B:B,"",-1)</f>
        <v>20.49</v>
      </c>
      <c r="F2165">
        <f t="shared" si="265"/>
        <v>-1.490000000000002</v>
      </c>
      <c r="G2165">
        <f>_xlfn.XLOOKUP(A2165,'DGS10'!A:A,'DGS10'!B:B,"",-1)</f>
        <v>4.26</v>
      </c>
      <c r="H2165">
        <f t="shared" si="266"/>
        <v>-4.9999999999999822E-2</v>
      </c>
      <c r="I2165" s="2">
        <f>_xlfn.XLOOKUP(A2165,T10Y3M!A:A,T10Y3M!B:B,"",-1)</f>
        <v>-0.38</v>
      </c>
      <c r="J2165" s="2">
        <f>_xlfn.XLOOKUP(A2165,BAMLC0A4CBBB!A:A,BAMLC0A4CBBB!B:B,"",-1)</f>
        <v>1.06</v>
      </c>
      <c r="K2165" s="2">
        <f>_xlfn.XLOOKUP(A2165,CPIAUCSL!A:A,CPIAUCSL!B:B,"",-1)</f>
        <v>316.52800000000002</v>
      </c>
      <c r="L2165">
        <f>_xlfn.XLOOKUP(A2165,DFF!A:A,DFF!B:B,"",-1)</f>
        <v>4.83</v>
      </c>
      <c r="M2165">
        <f>_xlfn.XLOOKUP(A2165,'DGS2'!A:A,'DGS2'!B:B,"",-1)</f>
        <v>4.1900000000000004</v>
      </c>
      <c r="N2165">
        <f t="shared" si="267"/>
        <v>2.0000000000000462E-2</v>
      </c>
      <c r="O2165">
        <f t="shared" si="268"/>
        <v>2.5295879476236127E-2</v>
      </c>
      <c r="P2165">
        <f t="shared" si="269"/>
        <v>1</v>
      </c>
      <c r="Q2165">
        <f t="shared" si="270"/>
        <v>1</v>
      </c>
    </row>
    <row r="2166" spans="1:17">
      <c r="A2166" s="1">
        <v>45602</v>
      </c>
      <c r="B2166">
        <v>5929.04</v>
      </c>
      <c r="C2166">
        <f t="shared" si="264"/>
        <v>2.5295879476236127E-2</v>
      </c>
      <c r="D2166">
        <f t="shared" si="271"/>
        <v>3.495321882418656E-2</v>
      </c>
      <c r="E2166">
        <f>_xlfn.XLOOKUP(A2166,VIX!A:A,VIX!B:B,"",-1)</f>
        <v>16.27</v>
      </c>
      <c r="F2166">
        <f t="shared" si="265"/>
        <v>-4.2199999999999989</v>
      </c>
      <c r="G2166">
        <f>_xlfn.XLOOKUP(A2166,'DGS10'!A:A,'DGS10'!B:B,"",-1)</f>
        <v>4.42</v>
      </c>
      <c r="H2166">
        <f t="shared" si="266"/>
        <v>0.16000000000000014</v>
      </c>
      <c r="I2166" s="2">
        <f>_xlfn.XLOOKUP(A2166,T10Y3M!A:A,T10Y3M!B:B,"",-1)</f>
        <v>-0.22</v>
      </c>
      <c r="J2166" s="2">
        <f>_xlfn.XLOOKUP(A2166,BAMLC0A4CBBB!A:A,BAMLC0A4CBBB!B:B,"",-1)</f>
        <v>1.01</v>
      </c>
      <c r="K2166" s="2">
        <f>_xlfn.XLOOKUP(A2166,CPIAUCSL!A:A,CPIAUCSL!B:B,"",-1)</f>
        <v>316.52800000000002</v>
      </c>
      <c r="L2166">
        <f>_xlfn.XLOOKUP(A2166,DFF!A:A,DFF!B:B,"",-1)</f>
        <v>4.83</v>
      </c>
      <c r="M2166">
        <f>_xlfn.XLOOKUP(A2166,'DGS2'!A:A,'DGS2'!B:B,"",-1)</f>
        <v>4.2699999999999996</v>
      </c>
      <c r="N2166">
        <f t="shared" si="267"/>
        <v>7.9999999999999183E-2</v>
      </c>
      <c r="O2166">
        <f t="shared" si="268"/>
        <v>7.4312198939459062E-3</v>
      </c>
      <c r="P2166">
        <f t="shared" si="269"/>
        <v>1</v>
      </c>
      <c r="Q2166">
        <f t="shared" si="270"/>
        <v>1</v>
      </c>
    </row>
    <row r="2167" spans="1:17">
      <c r="A2167" s="1">
        <v>45603</v>
      </c>
      <c r="B2167">
        <v>5973.1</v>
      </c>
      <c r="C2167">
        <f t="shared" si="264"/>
        <v>7.4312198939459062E-3</v>
      </c>
      <c r="D2167">
        <f t="shared" si="271"/>
        <v>4.5584479465891059E-2</v>
      </c>
      <c r="E2167">
        <f>_xlfn.XLOOKUP(A2167,VIX!A:A,VIX!B:B,"",-1)</f>
        <v>15.2</v>
      </c>
      <c r="F2167">
        <f t="shared" si="265"/>
        <v>-1.0700000000000003</v>
      </c>
      <c r="G2167">
        <f>_xlfn.XLOOKUP(A2167,'DGS10'!A:A,'DGS10'!B:B,"",-1)</f>
        <v>4.3099999999999996</v>
      </c>
      <c r="H2167">
        <f t="shared" si="266"/>
        <v>-0.11000000000000032</v>
      </c>
      <c r="I2167" s="2">
        <f>_xlfn.XLOOKUP(A2167,T10Y3M!A:A,T10Y3M!B:B,"",-1)</f>
        <v>-0.32</v>
      </c>
      <c r="J2167" s="2">
        <f>_xlfn.XLOOKUP(A2167,BAMLC0A4CBBB!A:A,BAMLC0A4CBBB!B:B,"",-1)</f>
        <v>0.99</v>
      </c>
      <c r="K2167" s="2">
        <f>_xlfn.XLOOKUP(A2167,CPIAUCSL!A:A,CPIAUCSL!B:B,"",-1)</f>
        <v>316.52800000000002</v>
      </c>
      <c r="L2167">
        <f>_xlfn.XLOOKUP(A2167,DFF!A:A,DFF!B:B,"",-1)</f>
        <v>4.83</v>
      </c>
      <c r="M2167">
        <f>_xlfn.XLOOKUP(A2167,'DGS2'!A:A,'DGS2'!B:B,"",-1)</f>
        <v>4.21</v>
      </c>
      <c r="N2167">
        <f t="shared" si="267"/>
        <v>-5.9999999999999609E-2</v>
      </c>
      <c r="O2167">
        <f t="shared" si="268"/>
        <v>3.7568431802581514E-3</v>
      </c>
      <c r="P2167">
        <f t="shared" si="269"/>
        <v>1</v>
      </c>
      <c r="Q2167">
        <f t="shared" si="270"/>
        <v>1</v>
      </c>
    </row>
    <row r="2168" spans="1:17">
      <c r="A2168" s="1">
        <v>45604</v>
      </c>
      <c r="B2168">
        <v>5995.54</v>
      </c>
      <c r="C2168">
        <f t="shared" si="264"/>
        <v>3.7568431802581514E-3</v>
      </c>
      <c r="D2168">
        <f t="shared" si="271"/>
        <v>3.6795578581853672E-2</v>
      </c>
      <c r="E2168">
        <f>_xlfn.XLOOKUP(A2168,VIX!A:A,VIX!B:B,"",-1)</f>
        <v>14.94</v>
      </c>
      <c r="F2168">
        <f t="shared" si="265"/>
        <v>-0.25999999999999979</v>
      </c>
      <c r="G2168">
        <f>_xlfn.XLOOKUP(A2168,'DGS10'!A:A,'DGS10'!B:B,"",-1)</f>
        <v>4.3</v>
      </c>
      <c r="H2168">
        <f t="shared" si="266"/>
        <v>-9.9999999999997868E-3</v>
      </c>
      <c r="I2168" s="2">
        <f>_xlfn.XLOOKUP(A2168,T10Y3M!A:A,T10Y3M!B:B,"",-1)</f>
        <v>-0.33</v>
      </c>
      <c r="J2168" s="2">
        <f>_xlfn.XLOOKUP(A2168,BAMLC0A4CBBB!A:A,BAMLC0A4CBBB!B:B,"",-1)</f>
        <v>0.98</v>
      </c>
      <c r="K2168" s="2">
        <f>_xlfn.XLOOKUP(A2168,CPIAUCSL!A:A,CPIAUCSL!B:B,"",-1)</f>
        <v>316.52800000000002</v>
      </c>
      <c r="L2168">
        <f>_xlfn.XLOOKUP(A2168,DFF!A:A,DFF!B:B,"",-1)</f>
        <v>4.58</v>
      </c>
      <c r="M2168">
        <f>_xlfn.XLOOKUP(A2168,'DGS2'!A:A,'DGS2'!B:B,"",-1)</f>
        <v>4.26</v>
      </c>
      <c r="N2168">
        <f t="shared" si="267"/>
        <v>4.9999999999999822E-2</v>
      </c>
      <c r="O2168">
        <f t="shared" si="268"/>
        <v>9.6905366322297404E-4</v>
      </c>
      <c r="P2168">
        <f t="shared" si="269"/>
        <v>1</v>
      </c>
      <c r="Q2168">
        <f t="shared" si="270"/>
        <v>0</v>
      </c>
    </row>
    <row r="2169" spans="1:17">
      <c r="A2169" s="1">
        <v>45607</v>
      </c>
      <c r="B2169">
        <v>6001.35</v>
      </c>
      <c r="C2169">
        <f t="shared" si="264"/>
        <v>9.6905366322297404E-4</v>
      </c>
      <c r="D2169">
        <f t="shared" si="271"/>
        <v>1.2195903552683074E-2</v>
      </c>
      <c r="E2169">
        <f>_xlfn.XLOOKUP(A2169,VIX!A:A,VIX!B:B,"",-1)</f>
        <v>14.97</v>
      </c>
      <c r="F2169">
        <f t="shared" si="265"/>
        <v>3.0000000000001137E-2</v>
      </c>
      <c r="G2169">
        <f>_xlfn.XLOOKUP(A2169,'DGS10'!A:A,'DGS10'!B:B,"",-1)</f>
        <v>0</v>
      </c>
      <c r="H2169">
        <f t="shared" si="266"/>
        <v>-4.3</v>
      </c>
      <c r="I2169" s="2">
        <f>_xlfn.XLOOKUP(A2169,T10Y3M!A:A,T10Y3M!B:B,"",-1)</f>
        <v>0</v>
      </c>
      <c r="J2169" s="2">
        <f>_xlfn.XLOOKUP(A2169,BAMLC0A4CBBB!A:A,BAMLC0A4CBBB!B:B,"",-1)</f>
        <v>0.98</v>
      </c>
      <c r="K2169" s="2">
        <f>_xlfn.XLOOKUP(A2169,CPIAUCSL!A:A,CPIAUCSL!B:B,"",-1)</f>
        <v>316.52800000000002</v>
      </c>
      <c r="L2169">
        <f>_xlfn.XLOOKUP(A2169,DFF!A:A,DFF!B:B,"",-1)</f>
        <v>4.58</v>
      </c>
      <c r="M2169">
        <f>_xlfn.XLOOKUP(A2169,'DGS2'!A:A,'DGS2'!B:B,"",-1)</f>
        <v>0</v>
      </c>
      <c r="N2169">
        <f t="shared" si="267"/>
        <v>-4.26</v>
      </c>
      <c r="O2169">
        <f t="shared" si="268"/>
        <v>-2.8926824797754769E-3</v>
      </c>
      <c r="P2169">
        <f t="shared" si="269"/>
        <v>0</v>
      </c>
      <c r="Q2169">
        <f t="shared" si="270"/>
        <v>0</v>
      </c>
    </row>
    <row r="2170" spans="1:17">
      <c r="A2170" s="1">
        <v>45608</v>
      </c>
      <c r="B2170">
        <v>5983.99</v>
      </c>
      <c r="C2170">
        <f t="shared" si="264"/>
        <v>-2.8926824797754769E-3</v>
      </c>
      <c r="D2170">
        <f t="shared" si="271"/>
        <v>1.8231738963017108E-3</v>
      </c>
      <c r="E2170">
        <f>_xlfn.XLOOKUP(A2170,VIX!A:A,VIX!B:B,"",-1)</f>
        <v>14.71</v>
      </c>
      <c r="F2170">
        <f t="shared" si="265"/>
        <v>-0.25999999999999979</v>
      </c>
      <c r="G2170">
        <f>_xlfn.XLOOKUP(A2170,'DGS10'!A:A,'DGS10'!B:B,"",-1)</f>
        <v>4.43</v>
      </c>
      <c r="H2170">
        <f t="shared" si="266"/>
        <v>4.43</v>
      </c>
      <c r="I2170" s="2">
        <f>_xlfn.XLOOKUP(A2170,T10Y3M!A:A,T10Y3M!B:B,"",-1)</f>
        <v>-0.2</v>
      </c>
      <c r="J2170" s="2">
        <f>_xlfn.XLOOKUP(A2170,BAMLC0A4CBBB!A:A,BAMLC0A4CBBB!B:B,"",-1)</f>
        <v>0.97</v>
      </c>
      <c r="K2170" s="2">
        <f>_xlfn.XLOOKUP(A2170,CPIAUCSL!A:A,CPIAUCSL!B:B,"",-1)</f>
        <v>316.52800000000002</v>
      </c>
      <c r="L2170">
        <f>_xlfn.XLOOKUP(A2170,DFF!A:A,DFF!B:B,"",-1)</f>
        <v>4.58</v>
      </c>
      <c r="M2170">
        <f>_xlfn.XLOOKUP(A2170,'DGS2'!A:A,'DGS2'!B:B,"",-1)</f>
        <v>4.34</v>
      </c>
      <c r="N2170">
        <f t="shared" si="267"/>
        <v>4.34</v>
      </c>
      <c r="O2170">
        <f t="shared" si="268"/>
        <v>2.3228648443596178E-4</v>
      </c>
      <c r="P2170">
        <f t="shared" si="269"/>
        <v>1</v>
      </c>
      <c r="Q2170">
        <f t="shared" si="270"/>
        <v>0</v>
      </c>
    </row>
    <row r="2171" spans="1:17">
      <c r="A2171" s="1">
        <v>45609</v>
      </c>
      <c r="B2171">
        <v>5985.38</v>
      </c>
      <c r="C2171">
        <f t="shared" si="264"/>
        <v>2.3228648443596178E-4</v>
      </c>
      <c r="D2171">
        <f t="shared" si="271"/>
        <v>-1.694592980782339E-3</v>
      </c>
      <c r="E2171">
        <f>_xlfn.XLOOKUP(A2171,VIX!A:A,VIX!B:B,"",-1)</f>
        <v>14.02</v>
      </c>
      <c r="F2171">
        <f t="shared" si="265"/>
        <v>-0.69000000000000128</v>
      </c>
      <c r="G2171">
        <f>_xlfn.XLOOKUP(A2171,'DGS10'!A:A,'DGS10'!B:B,"",-1)</f>
        <v>4.4400000000000004</v>
      </c>
      <c r="H2171">
        <f t="shared" si="266"/>
        <v>1.0000000000000675E-2</v>
      </c>
      <c r="I2171" s="2">
        <f>_xlfn.XLOOKUP(A2171,T10Y3M!A:A,T10Y3M!B:B,"",-1)</f>
        <v>-0.16</v>
      </c>
      <c r="J2171" s="2">
        <f>_xlfn.XLOOKUP(A2171,BAMLC0A4CBBB!A:A,BAMLC0A4CBBB!B:B,"",-1)</f>
        <v>0.99</v>
      </c>
      <c r="K2171" s="2">
        <f>_xlfn.XLOOKUP(A2171,CPIAUCSL!A:A,CPIAUCSL!B:B,"",-1)</f>
        <v>316.52800000000002</v>
      </c>
      <c r="L2171">
        <f>_xlfn.XLOOKUP(A2171,DFF!A:A,DFF!B:B,"",-1)</f>
        <v>4.58</v>
      </c>
      <c r="M2171">
        <f>_xlfn.XLOOKUP(A2171,'DGS2'!A:A,'DGS2'!B:B,"",-1)</f>
        <v>4.2699999999999996</v>
      </c>
      <c r="N2171">
        <f t="shared" si="267"/>
        <v>-7.0000000000000284E-2</v>
      </c>
      <c r="O2171">
        <f t="shared" si="268"/>
        <v>-6.0497412027306074E-3</v>
      </c>
      <c r="P2171">
        <f t="shared" si="269"/>
        <v>0</v>
      </c>
      <c r="Q2171">
        <f t="shared" si="270"/>
        <v>-1</v>
      </c>
    </row>
    <row r="2172" spans="1:17">
      <c r="A2172" s="1">
        <v>45610</v>
      </c>
      <c r="B2172">
        <v>5949.17</v>
      </c>
      <c r="C2172">
        <f t="shared" si="264"/>
        <v>-6.0497412027306074E-3</v>
      </c>
      <c r="D2172">
        <f t="shared" si="271"/>
        <v>-8.6947103568364437E-3</v>
      </c>
      <c r="E2172">
        <f>_xlfn.XLOOKUP(A2172,VIX!A:A,VIX!B:B,"",-1)</f>
        <v>14.31</v>
      </c>
      <c r="F2172">
        <f t="shared" si="265"/>
        <v>0.29000000000000092</v>
      </c>
      <c r="G2172">
        <f>_xlfn.XLOOKUP(A2172,'DGS10'!A:A,'DGS10'!B:B,"",-1)</f>
        <v>4.43</v>
      </c>
      <c r="H2172">
        <f t="shared" si="266"/>
        <v>-1.0000000000000675E-2</v>
      </c>
      <c r="I2172" s="2">
        <f>_xlfn.XLOOKUP(A2172,T10Y3M!A:A,T10Y3M!B:B,"",-1)</f>
        <v>-0.18</v>
      </c>
      <c r="J2172" s="2">
        <f>_xlfn.XLOOKUP(A2172,BAMLC0A4CBBB!A:A,BAMLC0A4CBBB!B:B,"",-1)</f>
        <v>1</v>
      </c>
      <c r="K2172" s="2">
        <f>_xlfn.XLOOKUP(A2172,CPIAUCSL!A:A,CPIAUCSL!B:B,"",-1)</f>
        <v>316.52800000000002</v>
      </c>
      <c r="L2172">
        <f>_xlfn.XLOOKUP(A2172,DFF!A:A,DFF!B:B,"",-1)</f>
        <v>4.58</v>
      </c>
      <c r="M2172">
        <f>_xlfn.XLOOKUP(A2172,'DGS2'!A:A,'DGS2'!B:B,"",-1)</f>
        <v>4.34</v>
      </c>
      <c r="N2172">
        <f t="shared" si="267"/>
        <v>7.0000000000000284E-2</v>
      </c>
      <c r="O2172">
        <f t="shared" si="268"/>
        <v>-1.3203522508181798E-2</v>
      </c>
      <c r="P2172">
        <f t="shared" si="269"/>
        <v>0</v>
      </c>
      <c r="Q2172">
        <f t="shared" si="270"/>
        <v>-1</v>
      </c>
    </row>
    <row r="2173" spans="1:17">
      <c r="A2173" s="1">
        <v>45611</v>
      </c>
      <c r="B2173">
        <v>5870.62</v>
      </c>
      <c r="C2173">
        <f t="shared" si="264"/>
        <v>-1.3203522508181798E-2</v>
      </c>
      <c r="D2173">
        <f t="shared" si="271"/>
        <v>-1.8945553050723651E-2</v>
      </c>
      <c r="E2173">
        <f>_xlfn.XLOOKUP(A2173,VIX!A:A,VIX!B:B,"",-1)</f>
        <v>16.14</v>
      </c>
      <c r="F2173">
        <f t="shared" si="265"/>
        <v>1.83</v>
      </c>
      <c r="G2173">
        <f>_xlfn.XLOOKUP(A2173,'DGS10'!A:A,'DGS10'!B:B,"",-1)</f>
        <v>4.43</v>
      </c>
      <c r="H2173">
        <f t="shared" si="266"/>
        <v>0</v>
      </c>
      <c r="I2173" s="2">
        <f>_xlfn.XLOOKUP(A2173,T10Y3M!A:A,T10Y3M!B:B,"",-1)</f>
        <v>-0.17</v>
      </c>
      <c r="J2173" s="2">
        <f>_xlfn.XLOOKUP(A2173,BAMLC0A4CBBB!A:A,BAMLC0A4CBBB!B:B,"",-1)</f>
        <v>1.01</v>
      </c>
      <c r="K2173" s="2">
        <f>_xlfn.XLOOKUP(A2173,CPIAUCSL!A:A,CPIAUCSL!B:B,"",-1)</f>
        <v>316.52800000000002</v>
      </c>
      <c r="L2173">
        <f>_xlfn.XLOOKUP(A2173,DFF!A:A,DFF!B:B,"",-1)</f>
        <v>4.58</v>
      </c>
      <c r="M2173">
        <f>_xlfn.XLOOKUP(A2173,'DGS2'!A:A,'DGS2'!B:B,"",-1)</f>
        <v>4.3099999999999996</v>
      </c>
      <c r="N2173">
        <f t="shared" si="267"/>
        <v>-3.0000000000000249E-2</v>
      </c>
      <c r="O2173">
        <f t="shared" si="268"/>
        <v>3.9178144727474162E-3</v>
      </c>
      <c r="P2173">
        <f t="shared" si="269"/>
        <v>1</v>
      </c>
      <c r="Q2173">
        <f t="shared" si="270"/>
        <v>1</v>
      </c>
    </row>
    <row r="2174" spans="1:17">
      <c r="A2174" s="1">
        <v>45614</v>
      </c>
      <c r="B2174">
        <v>5893.62</v>
      </c>
      <c r="C2174">
        <f t="shared" si="264"/>
        <v>3.9178144727474162E-3</v>
      </c>
      <c r="D2174">
        <f t="shared" si="271"/>
        <v>-1.5330689112470708E-2</v>
      </c>
      <c r="E2174">
        <f>_xlfn.XLOOKUP(A2174,VIX!A:A,VIX!B:B,"",-1)</f>
        <v>15.58</v>
      </c>
      <c r="F2174">
        <f t="shared" si="265"/>
        <v>-0.5600000000000005</v>
      </c>
      <c r="G2174">
        <f>_xlfn.XLOOKUP(A2174,'DGS10'!A:A,'DGS10'!B:B,"",-1)</f>
        <v>4.42</v>
      </c>
      <c r="H2174">
        <f t="shared" si="266"/>
        <v>-9.9999999999997868E-3</v>
      </c>
      <c r="I2174" s="2">
        <f>_xlfn.XLOOKUP(A2174,T10Y3M!A:A,T10Y3M!B:B,"",-1)</f>
        <v>-0.21</v>
      </c>
      <c r="J2174" s="2">
        <f>_xlfn.XLOOKUP(A2174,BAMLC0A4CBBB!A:A,BAMLC0A4CBBB!B:B,"",-1)</f>
        <v>1</v>
      </c>
      <c r="K2174" s="2">
        <f>_xlfn.XLOOKUP(A2174,CPIAUCSL!A:A,CPIAUCSL!B:B,"",-1)</f>
        <v>316.52800000000002</v>
      </c>
      <c r="L2174">
        <f>_xlfn.XLOOKUP(A2174,DFF!A:A,DFF!B:B,"",-1)</f>
        <v>4.58</v>
      </c>
      <c r="M2174">
        <f>_xlfn.XLOOKUP(A2174,'DGS2'!A:A,'DGS2'!B:B,"",-1)</f>
        <v>4.29</v>
      </c>
      <c r="N2174">
        <f t="shared" si="267"/>
        <v>-1.9999999999999574E-2</v>
      </c>
      <c r="O2174">
        <f t="shared" si="268"/>
        <v>3.9636081050355987E-3</v>
      </c>
      <c r="P2174">
        <f t="shared" si="269"/>
        <v>1</v>
      </c>
      <c r="Q2174">
        <f t="shared" si="270"/>
        <v>1</v>
      </c>
    </row>
    <row r="2175" spans="1:17">
      <c r="A2175" s="1">
        <v>45615</v>
      </c>
      <c r="B2175">
        <v>5916.98</v>
      </c>
      <c r="C2175">
        <f t="shared" si="264"/>
        <v>3.9636081050355987E-3</v>
      </c>
      <c r="D2175">
        <f t="shared" si="271"/>
        <v>-5.4108388228947257E-3</v>
      </c>
      <c r="E2175">
        <f>_xlfn.XLOOKUP(A2175,VIX!A:A,VIX!B:B,"",-1)</f>
        <v>16.350000000000001</v>
      </c>
      <c r="F2175">
        <f t="shared" si="265"/>
        <v>0.77000000000000135</v>
      </c>
      <c r="G2175">
        <f>_xlfn.XLOOKUP(A2175,'DGS10'!A:A,'DGS10'!B:B,"",-1)</f>
        <v>4.3899999999999997</v>
      </c>
      <c r="H2175">
        <f t="shared" si="266"/>
        <v>-3.0000000000000249E-2</v>
      </c>
      <c r="I2175" s="2">
        <f>_xlfn.XLOOKUP(A2175,T10Y3M!A:A,T10Y3M!B:B,"",-1)</f>
        <v>-0.23</v>
      </c>
      <c r="J2175" s="2">
        <f>_xlfn.XLOOKUP(A2175,BAMLC0A4CBBB!A:A,BAMLC0A4CBBB!B:B,"",-1)</f>
        <v>1</v>
      </c>
      <c r="K2175" s="2">
        <f>_xlfn.XLOOKUP(A2175,CPIAUCSL!A:A,CPIAUCSL!B:B,"",-1)</f>
        <v>316.52800000000002</v>
      </c>
      <c r="L2175">
        <f>_xlfn.XLOOKUP(A2175,DFF!A:A,DFF!B:B,"",-1)</f>
        <v>4.58</v>
      </c>
      <c r="M2175">
        <f>_xlfn.XLOOKUP(A2175,'DGS2'!A:A,'DGS2'!B:B,"",-1)</f>
        <v>4.2699999999999996</v>
      </c>
      <c r="N2175">
        <f t="shared" si="267"/>
        <v>-2.0000000000000462E-2</v>
      </c>
      <c r="O2175">
        <f t="shared" si="268"/>
        <v>2.1970667468895755E-5</v>
      </c>
      <c r="P2175">
        <f t="shared" si="269"/>
        <v>1</v>
      </c>
      <c r="Q2175">
        <f t="shared" si="270"/>
        <v>0</v>
      </c>
    </row>
    <row r="2176" spans="1:17">
      <c r="A2176" s="1">
        <v>45616</v>
      </c>
      <c r="B2176">
        <v>5917.11</v>
      </c>
      <c r="C2176">
        <f t="shared" si="264"/>
        <v>2.1970667468895755E-5</v>
      </c>
      <c r="D2176">
        <f t="shared" si="271"/>
        <v>7.9190954277401637E-3</v>
      </c>
      <c r="E2176">
        <f>_xlfn.XLOOKUP(A2176,VIX!A:A,VIX!B:B,"",-1)</f>
        <v>17.16</v>
      </c>
      <c r="F2176">
        <f t="shared" si="265"/>
        <v>0.80999999999999872</v>
      </c>
      <c r="G2176">
        <f>_xlfn.XLOOKUP(A2176,'DGS10'!A:A,'DGS10'!B:B,"",-1)</f>
        <v>4.41</v>
      </c>
      <c r="H2176">
        <f t="shared" si="266"/>
        <v>2.0000000000000462E-2</v>
      </c>
      <c r="I2176" s="2">
        <f>_xlfn.XLOOKUP(A2176,T10Y3M!A:A,T10Y3M!B:B,"",-1)</f>
        <v>-0.21</v>
      </c>
      <c r="J2176" s="2">
        <f>_xlfn.XLOOKUP(A2176,BAMLC0A4CBBB!A:A,BAMLC0A4CBBB!B:B,"",-1)</f>
        <v>1.01</v>
      </c>
      <c r="K2176" s="2">
        <f>_xlfn.XLOOKUP(A2176,CPIAUCSL!A:A,CPIAUCSL!B:B,"",-1)</f>
        <v>316.52800000000002</v>
      </c>
      <c r="L2176">
        <f>_xlfn.XLOOKUP(A2176,DFF!A:A,DFF!B:B,"",-1)</f>
        <v>4.58</v>
      </c>
      <c r="M2176">
        <f>_xlfn.XLOOKUP(A2176,'DGS2'!A:A,'DGS2'!B:B,"",-1)</f>
        <v>4.3099999999999996</v>
      </c>
      <c r="N2176">
        <f t="shared" si="267"/>
        <v>4.0000000000000036E-2</v>
      </c>
      <c r="O2176">
        <f t="shared" si="268"/>
        <v>5.3404449131417842E-3</v>
      </c>
      <c r="P2176">
        <f t="shared" si="269"/>
        <v>1</v>
      </c>
      <c r="Q2176">
        <f t="shared" si="270"/>
        <v>1</v>
      </c>
    </row>
    <row r="2177" spans="1:17">
      <c r="A2177" s="1">
        <v>45617</v>
      </c>
      <c r="B2177">
        <v>5948.71</v>
      </c>
      <c r="C2177">
        <f t="shared" si="264"/>
        <v>5.3404449131417842E-3</v>
      </c>
      <c r="D2177">
        <f t="shared" si="271"/>
        <v>9.347395997705954E-3</v>
      </c>
      <c r="E2177">
        <f>_xlfn.XLOOKUP(A2177,VIX!A:A,VIX!B:B,"",-1)</f>
        <v>16.87</v>
      </c>
      <c r="F2177">
        <f t="shared" si="265"/>
        <v>-0.28999999999999915</v>
      </c>
      <c r="G2177">
        <f>_xlfn.XLOOKUP(A2177,'DGS10'!A:A,'DGS10'!B:B,"",-1)</f>
        <v>4.43</v>
      </c>
      <c r="H2177">
        <f t="shared" si="266"/>
        <v>1.9999999999999574E-2</v>
      </c>
      <c r="I2177" s="2">
        <f>_xlfn.XLOOKUP(A2177,T10Y3M!A:A,T10Y3M!B:B,"",-1)</f>
        <v>-0.2</v>
      </c>
      <c r="J2177" s="2">
        <f>_xlfn.XLOOKUP(A2177,BAMLC0A4CBBB!A:A,BAMLC0A4CBBB!B:B,"",-1)</f>
        <v>1.01</v>
      </c>
      <c r="K2177" s="2">
        <f>_xlfn.XLOOKUP(A2177,CPIAUCSL!A:A,CPIAUCSL!B:B,"",-1)</f>
        <v>316.52800000000002</v>
      </c>
      <c r="L2177">
        <f>_xlfn.XLOOKUP(A2177,DFF!A:A,DFF!B:B,"",-1)</f>
        <v>4.58</v>
      </c>
      <c r="M2177">
        <f>_xlfn.XLOOKUP(A2177,'DGS2'!A:A,'DGS2'!B:B,"",-1)</f>
        <v>4.34</v>
      </c>
      <c r="N2177">
        <f t="shared" si="267"/>
        <v>3.0000000000000249E-2</v>
      </c>
      <c r="O2177">
        <f t="shared" si="268"/>
        <v>3.4679787718681077E-3</v>
      </c>
      <c r="P2177">
        <f t="shared" si="269"/>
        <v>1</v>
      </c>
      <c r="Q2177">
        <f t="shared" si="270"/>
        <v>1</v>
      </c>
    </row>
    <row r="2178" spans="1:17">
      <c r="A2178" s="1">
        <v>45618</v>
      </c>
      <c r="B2178">
        <v>5969.34</v>
      </c>
      <c r="C2178">
        <f t="shared" si="264"/>
        <v>3.4679787718681077E-3</v>
      </c>
      <c r="D2178">
        <f t="shared" si="271"/>
        <v>8.8491088359266001E-3</v>
      </c>
      <c r="E2178">
        <f>_xlfn.XLOOKUP(A2178,VIX!A:A,VIX!B:B,"",-1)</f>
        <v>15.24</v>
      </c>
      <c r="F2178">
        <f t="shared" si="265"/>
        <v>-1.6300000000000008</v>
      </c>
      <c r="G2178">
        <f>_xlfn.XLOOKUP(A2178,'DGS10'!A:A,'DGS10'!B:B,"",-1)</f>
        <v>4.41</v>
      </c>
      <c r="H2178">
        <f t="shared" si="266"/>
        <v>-1.9999999999999574E-2</v>
      </c>
      <c r="I2178" s="2">
        <f>_xlfn.XLOOKUP(A2178,T10Y3M!A:A,T10Y3M!B:B,"",-1)</f>
        <v>-0.22</v>
      </c>
      <c r="J2178" s="2">
        <f>_xlfn.XLOOKUP(A2178,BAMLC0A4CBBB!A:A,BAMLC0A4CBBB!B:B,"",-1)</f>
        <v>1</v>
      </c>
      <c r="K2178" s="2">
        <f>_xlfn.XLOOKUP(A2178,CPIAUCSL!A:A,CPIAUCSL!B:B,"",-1)</f>
        <v>316.52800000000002</v>
      </c>
      <c r="L2178">
        <f>_xlfn.XLOOKUP(A2178,DFF!A:A,DFF!B:B,"",-1)</f>
        <v>4.58</v>
      </c>
      <c r="M2178">
        <f>_xlfn.XLOOKUP(A2178,'DGS2'!A:A,'DGS2'!B:B,"",-1)</f>
        <v>4.37</v>
      </c>
      <c r="N2178">
        <f t="shared" si="267"/>
        <v>3.0000000000000249E-2</v>
      </c>
      <c r="O2178">
        <f t="shared" si="268"/>
        <v>3.0204344198856425E-3</v>
      </c>
      <c r="P2178">
        <f t="shared" si="269"/>
        <v>1</v>
      </c>
      <c r="Q2178">
        <f t="shared" si="270"/>
        <v>1</v>
      </c>
    </row>
    <row r="2179" spans="1:17">
      <c r="A2179" s="1">
        <v>45621</v>
      </c>
      <c r="B2179">
        <v>5987.37</v>
      </c>
      <c r="C2179">
        <f t="shared" si="264"/>
        <v>3.0204344198856425E-3</v>
      </c>
      <c r="D2179">
        <f t="shared" si="271"/>
        <v>1.1874039860675367E-2</v>
      </c>
      <c r="E2179">
        <f>_xlfn.XLOOKUP(A2179,VIX!A:A,VIX!B:B,"",-1)</f>
        <v>14.6</v>
      </c>
      <c r="F2179">
        <f t="shared" si="265"/>
        <v>-0.64000000000000057</v>
      </c>
      <c r="G2179">
        <f>_xlfn.XLOOKUP(A2179,'DGS10'!A:A,'DGS10'!B:B,"",-1)</f>
        <v>4.2699999999999996</v>
      </c>
      <c r="H2179">
        <f t="shared" si="266"/>
        <v>-0.14000000000000057</v>
      </c>
      <c r="I2179" s="2">
        <f>_xlfn.XLOOKUP(A2179,T10Y3M!A:A,T10Y3M!B:B,"",-1)</f>
        <v>-0.35</v>
      </c>
      <c r="J2179" s="2">
        <f>_xlfn.XLOOKUP(A2179,BAMLC0A4CBBB!A:A,BAMLC0A4CBBB!B:B,"",-1)</f>
        <v>1</v>
      </c>
      <c r="K2179" s="2">
        <f>_xlfn.XLOOKUP(A2179,CPIAUCSL!A:A,CPIAUCSL!B:B,"",-1)</f>
        <v>316.52800000000002</v>
      </c>
      <c r="L2179">
        <f>_xlfn.XLOOKUP(A2179,DFF!A:A,DFF!B:B,"",-1)</f>
        <v>4.58</v>
      </c>
      <c r="M2179">
        <f>_xlfn.XLOOKUP(A2179,'DGS2'!A:A,'DGS2'!B:B,"",-1)</f>
        <v>4.21</v>
      </c>
      <c r="N2179">
        <f t="shared" si="267"/>
        <v>-0.16000000000000014</v>
      </c>
      <c r="O2179">
        <f t="shared" si="268"/>
        <v>5.722044904524104E-3</v>
      </c>
      <c r="P2179">
        <f t="shared" si="269"/>
        <v>1</v>
      </c>
      <c r="Q2179">
        <f t="shared" si="270"/>
        <v>1</v>
      </c>
    </row>
    <row r="2180" spans="1:17">
      <c r="A2180" s="1">
        <v>45622</v>
      </c>
      <c r="B2180">
        <v>6021.63</v>
      </c>
      <c r="C2180">
        <f t="shared" ref="C2180:C2243" si="272">IF(OR(B2180="",B2179=""),"",(B2180/B2179)-1)</f>
        <v>5.722044904524104E-3</v>
      </c>
      <c r="D2180">
        <f t="shared" si="271"/>
        <v>1.2258119827660119E-2</v>
      </c>
      <c r="E2180">
        <f>_xlfn.XLOOKUP(A2180,VIX!A:A,VIX!B:B,"",-1)</f>
        <v>14.1</v>
      </c>
      <c r="F2180">
        <f t="shared" ref="F2180:F2243" si="273">IF(OR(E2180="",E2179=""),"",E2180-E2179)</f>
        <v>-0.5</v>
      </c>
      <c r="G2180">
        <f>_xlfn.XLOOKUP(A2180,'DGS10'!A:A,'DGS10'!B:B,"",-1)</f>
        <v>4.3</v>
      </c>
      <c r="H2180">
        <f t="shared" ref="H2180:H2243" si="274">IF(OR(G2180="",G2179=""),"",G2180-G2179)</f>
        <v>3.0000000000000249E-2</v>
      </c>
      <c r="I2180" s="2">
        <f>_xlfn.XLOOKUP(A2180,T10Y3M!A:A,T10Y3M!B:B,"",-1)</f>
        <v>-0.31</v>
      </c>
      <c r="J2180" s="2">
        <f>_xlfn.XLOOKUP(A2180,BAMLC0A4CBBB!A:A,BAMLC0A4CBBB!B:B,"",-1)</f>
        <v>1.01</v>
      </c>
      <c r="K2180" s="2">
        <f>_xlfn.XLOOKUP(A2180,CPIAUCSL!A:A,CPIAUCSL!B:B,"",-1)</f>
        <v>316.52800000000002</v>
      </c>
      <c r="L2180">
        <f>_xlfn.XLOOKUP(A2180,DFF!A:A,DFF!B:B,"",-1)</f>
        <v>4.58</v>
      </c>
      <c r="M2180">
        <f>_xlfn.XLOOKUP(A2180,'DGS2'!A:A,'DGS2'!B:B,"",-1)</f>
        <v>4.21</v>
      </c>
      <c r="N2180">
        <f t="shared" ref="N2180:N2243" si="275">IF(OR(M2180="",M2179=""),"",M2180-M2179)</f>
        <v>0</v>
      </c>
      <c r="O2180">
        <f t="shared" ref="O2180:O2243" si="276">IF(OR(B2181="",B2180=""),"",(B2181/B2180)-1)</f>
        <v>-3.8012963267421984E-3</v>
      </c>
      <c r="P2180">
        <f t="shared" ref="P2180:P2243" si="277">IF(O2180="","",IF(O2180&gt;0,1,0))</f>
        <v>0</v>
      </c>
      <c r="Q2180">
        <f t="shared" ref="Q2180:Q2243" si="278">IF(O2180="","",IF(O2180&gt;0.003,1,IF(O2180&lt;-0.003,-1,0)))</f>
        <v>-1</v>
      </c>
    </row>
    <row r="2181" spans="1:17">
      <c r="A2181" s="1">
        <v>45623</v>
      </c>
      <c r="B2181">
        <v>5998.74</v>
      </c>
      <c r="C2181">
        <f t="shared" si="272"/>
        <v>-3.8012963267421984E-3</v>
      </c>
      <c r="D2181">
        <f t="shared" si="271"/>
        <v>4.9251676064689942E-3</v>
      </c>
      <c r="E2181">
        <f>_xlfn.XLOOKUP(A2181,VIX!A:A,VIX!B:B,"",-1)</f>
        <v>14.1</v>
      </c>
      <c r="F2181">
        <f t="shared" si="273"/>
        <v>0</v>
      </c>
      <c r="G2181">
        <f>_xlfn.XLOOKUP(A2181,'DGS10'!A:A,'DGS10'!B:B,"",-1)</f>
        <v>4.25</v>
      </c>
      <c r="H2181">
        <f t="shared" si="274"/>
        <v>-4.9999999999999822E-2</v>
      </c>
      <c r="I2181" s="2">
        <f>_xlfn.XLOOKUP(A2181,T10Y3M!A:A,T10Y3M!B:B,"",-1)</f>
        <v>-0.35</v>
      </c>
      <c r="J2181" s="2">
        <f>_xlfn.XLOOKUP(A2181,BAMLC0A4CBBB!A:A,BAMLC0A4CBBB!B:B,"",-1)</f>
        <v>1.02</v>
      </c>
      <c r="K2181" s="2">
        <f>_xlfn.XLOOKUP(A2181,CPIAUCSL!A:A,CPIAUCSL!B:B,"",-1)</f>
        <v>316.52800000000002</v>
      </c>
      <c r="L2181">
        <f>_xlfn.XLOOKUP(A2181,DFF!A:A,DFF!B:B,"",-1)</f>
        <v>4.58</v>
      </c>
      <c r="M2181">
        <f>_xlfn.XLOOKUP(A2181,'DGS2'!A:A,'DGS2'!B:B,"",-1)</f>
        <v>4.1900000000000004</v>
      </c>
      <c r="N2181">
        <f t="shared" si="275"/>
        <v>-1.9999999999999574E-2</v>
      </c>
      <c r="O2181">
        <f t="shared" si="276"/>
        <v>5.6078443139726541E-3</v>
      </c>
      <c r="P2181">
        <f t="shared" si="277"/>
        <v>1</v>
      </c>
      <c r="Q2181">
        <f t="shared" si="278"/>
        <v>1</v>
      </c>
    </row>
    <row r="2182" spans="1:17">
      <c r="A2182" s="1">
        <v>45625</v>
      </c>
      <c r="B2182">
        <v>6032.38</v>
      </c>
      <c r="C2182">
        <f t="shared" si="272"/>
        <v>5.6078443139726541E-3</v>
      </c>
      <c r="D2182">
        <f t="shared" ref="D2182:D2245" si="279">IF(OR(B2182="",B2179=""),"",(B2182/B2179)-1)</f>
        <v>7.5174909851905003E-3</v>
      </c>
      <c r="E2182">
        <f>_xlfn.XLOOKUP(A2182,VIX!A:A,VIX!B:B,"",-1)</f>
        <v>13.51</v>
      </c>
      <c r="F2182">
        <f t="shared" si="273"/>
        <v>-0.58999999999999986</v>
      </c>
      <c r="G2182">
        <f>_xlfn.XLOOKUP(A2182,'DGS10'!A:A,'DGS10'!B:B,"",-1)</f>
        <v>4.18</v>
      </c>
      <c r="H2182">
        <f t="shared" si="274"/>
        <v>-7.0000000000000284E-2</v>
      </c>
      <c r="I2182" s="2">
        <f>_xlfn.XLOOKUP(A2182,T10Y3M!A:A,T10Y3M!B:B,"",-1)</f>
        <v>-0.4</v>
      </c>
      <c r="J2182" s="2">
        <f>_xlfn.XLOOKUP(A2182,BAMLC0A4CBBB!A:A,BAMLC0A4CBBB!B:B,"",-1)</f>
        <v>1.02</v>
      </c>
      <c r="K2182" s="2">
        <f>_xlfn.XLOOKUP(A2182,CPIAUCSL!A:A,CPIAUCSL!B:B,"",-1)</f>
        <v>316.52800000000002</v>
      </c>
      <c r="L2182">
        <f>_xlfn.XLOOKUP(A2182,DFF!A:A,DFF!B:B,"",-1)</f>
        <v>4.58</v>
      </c>
      <c r="M2182">
        <f>_xlfn.XLOOKUP(A2182,'DGS2'!A:A,'DGS2'!B:B,"",-1)</f>
        <v>4.13</v>
      </c>
      <c r="N2182">
        <f t="shared" si="275"/>
        <v>-6.0000000000000497E-2</v>
      </c>
      <c r="O2182">
        <f t="shared" si="276"/>
        <v>2.4484531809998433E-3</v>
      </c>
      <c r="P2182">
        <f t="shared" si="277"/>
        <v>1</v>
      </c>
      <c r="Q2182">
        <f t="shared" si="278"/>
        <v>0</v>
      </c>
    </row>
    <row r="2183" spans="1:17">
      <c r="A2183" s="1">
        <v>45628</v>
      </c>
      <c r="B2183">
        <v>6047.15</v>
      </c>
      <c r="C2183">
        <f t="shared" si="272"/>
        <v>2.4484531809998433E-3</v>
      </c>
      <c r="D2183">
        <f t="shared" si="279"/>
        <v>4.2380551445371228E-3</v>
      </c>
      <c r="E2183">
        <f>_xlfn.XLOOKUP(A2183,VIX!A:A,VIX!B:B,"",-1)</f>
        <v>13.34</v>
      </c>
      <c r="F2183">
        <f t="shared" si="273"/>
        <v>-0.16999999999999993</v>
      </c>
      <c r="G2183">
        <f>_xlfn.XLOOKUP(A2183,'DGS10'!A:A,'DGS10'!B:B,"",-1)</f>
        <v>4.1900000000000004</v>
      </c>
      <c r="H2183">
        <f t="shared" si="274"/>
        <v>1.0000000000000675E-2</v>
      </c>
      <c r="I2183" s="2">
        <f>_xlfn.XLOOKUP(A2183,T10Y3M!A:A,T10Y3M!B:B,"",-1)</f>
        <v>-0.32</v>
      </c>
      <c r="J2183" s="2">
        <f>_xlfn.XLOOKUP(A2183,BAMLC0A4CBBB!A:A,BAMLC0A4CBBB!B:B,"",-1)</f>
        <v>1.01</v>
      </c>
      <c r="K2183" s="2">
        <f>_xlfn.XLOOKUP(A2183,CPIAUCSL!A:A,CPIAUCSL!B:B,"",-1)</f>
        <v>317.60399999999998</v>
      </c>
      <c r="L2183">
        <f>_xlfn.XLOOKUP(A2183,DFF!A:A,DFF!B:B,"",-1)</f>
        <v>4.58</v>
      </c>
      <c r="M2183">
        <f>_xlfn.XLOOKUP(A2183,'DGS2'!A:A,'DGS2'!B:B,"",-1)</f>
        <v>4.17</v>
      </c>
      <c r="N2183">
        <f t="shared" si="275"/>
        <v>4.0000000000000036E-2</v>
      </c>
      <c r="O2183">
        <f t="shared" si="276"/>
        <v>4.5145233705135013E-4</v>
      </c>
      <c r="P2183">
        <f t="shared" si="277"/>
        <v>1</v>
      </c>
      <c r="Q2183">
        <f t="shared" si="278"/>
        <v>0</v>
      </c>
    </row>
    <row r="2184" spans="1:17">
      <c r="A2184" s="1">
        <v>45629</v>
      </c>
      <c r="B2184">
        <v>6049.88</v>
      </c>
      <c r="C2184">
        <f t="shared" si="272"/>
        <v>4.5145233705135013E-4</v>
      </c>
      <c r="D2184">
        <f t="shared" si="279"/>
        <v>8.5251236092913629E-3</v>
      </c>
      <c r="E2184">
        <f>_xlfn.XLOOKUP(A2184,VIX!A:A,VIX!B:B,"",-1)</f>
        <v>13.3</v>
      </c>
      <c r="F2184">
        <f t="shared" si="273"/>
        <v>-3.9999999999999147E-2</v>
      </c>
      <c r="G2184">
        <f>_xlfn.XLOOKUP(A2184,'DGS10'!A:A,'DGS10'!B:B,"",-1)</f>
        <v>4.2300000000000004</v>
      </c>
      <c r="H2184">
        <f t="shared" si="274"/>
        <v>4.0000000000000036E-2</v>
      </c>
      <c r="I2184" s="2">
        <f>_xlfn.XLOOKUP(A2184,T10Y3M!A:A,T10Y3M!B:B,"",-1)</f>
        <v>-0.26</v>
      </c>
      <c r="J2184" s="2">
        <f>_xlfn.XLOOKUP(A2184,BAMLC0A4CBBB!A:A,BAMLC0A4CBBB!B:B,"",-1)</f>
        <v>1</v>
      </c>
      <c r="K2184" s="2">
        <f>_xlfn.XLOOKUP(A2184,CPIAUCSL!A:A,CPIAUCSL!B:B,"",-1)</f>
        <v>317.60399999999998</v>
      </c>
      <c r="L2184">
        <f>_xlfn.XLOOKUP(A2184,DFF!A:A,DFF!B:B,"",-1)</f>
        <v>4.58</v>
      </c>
      <c r="M2184">
        <f>_xlfn.XLOOKUP(A2184,'DGS2'!A:A,'DGS2'!B:B,"",-1)</f>
        <v>4.17</v>
      </c>
      <c r="N2184">
        <f t="shared" si="275"/>
        <v>0</v>
      </c>
      <c r="O2184">
        <f t="shared" si="276"/>
        <v>6.0513596963907013E-3</v>
      </c>
      <c r="P2184">
        <f t="shared" si="277"/>
        <v>1</v>
      </c>
      <c r="Q2184">
        <f t="shared" si="278"/>
        <v>1</v>
      </c>
    </row>
    <row r="2185" spans="1:17">
      <c r="A2185" s="1">
        <v>45630</v>
      </c>
      <c r="B2185">
        <v>6086.49</v>
      </c>
      <c r="C2185">
        <f t="shared" si="272"/>
        <v>6.0513596963907013E-3</v>
      </c>
      <c r="D2185">
        <f t="shared" si="279"/>
        <v>8.9699256346582601E-3</v>
      </c>
      <c r="E2185">
        <f>_xlfn.XLOOKUP(A2185,VIX!A:A,VIX!B:B,"",-1)</f>
        <v>13.45</v>
      </c>
      <c r="F2185">
        <f t="shared" si="273"/>
        <v>0.14999999999999858</v>
      </c>
      <c r="G2185">
        <f>_xlfn.XLOOKUP(A2185,'DGS10'!A:A,'DGS10'!B:B,"",-1)</f>
        <v>4.1900000000000004</v>
      </c>
      <c r="H2185">
        <f t="shared" si="274"/>
        <v>-4.0000000000000036E-2</v>
      </c>
      <c r="I2185" s="2">
        <f>_xlfn.XLOOKUP(A2185,T10Y3M!A:A,T10Y3M!B:B,"",-1)</f>
        <v>-0.28000000000000003</v>
      </c>
      <c r="J2185" s="2">
        <f>_xlfn.XLOOKUP(A2185,BAMLC0A4CBBB!A:A,BAMLC0A4CBBB!B:B,"",-1)</f>
        <v>1.01</v>
      </c>
      <c r="K2185" s="2">
        <f>_xlfn.XLOOKUP(A2185,CPIAUCSL!A:A,CPIAUCSL!B:B,"",-1)</f>
        <v>317.60399999999998</v>
      </c>
      <c r="L2185">
        <f>_xlfn.XLOOKUP(A2185,DFF!A:A,DFF!B:B,"",-1)</f>
        <v>4.58</v>
      </c>
      <c r="M2185">
        <f>_xlfn.XLOOKUP(A2185,'DGS2'!A:A,'DGS2'!B:B,"",-1)</f>
        <v>4.13</v>
      </c>
      <c r="N2185">
        <f t="shared" si="275"/>
        <v>-4.0000000000000036E-2</v>
      </c>
      <c r="O2185">
        <f t="shared" si="276"/>
        <v>-1.8697147288503357E-3</v>
      </c>
      <c r="P2185">
        <f t="shared" si="277"/>
        <v>0</v>
      </c>
      <c r="Q2185">
        <f t="shared" si="278"/>
        <v>0</v>
      </c>
    </row>
    <row r="2186" spans="1:17">
      <c r="A2186" s="1">
        <v>45631</v>
      </c>
      <c r="B2186">
        <v>6075.11</v>
      </c>
      <c r="C2186">
        <f t="shared" si="272"/>
        <v>-1.8697147288503357E-3</v>
      </c>
      <c r="D2186">
        <f t="shared" si="279"/>
        <v>4.6236656937566067E-3</v>
      </c>
      <c r="E2186">
        <f>_xlfn.XLOOKUP(A2186,VIX!A:A,VIX!B:B,"",-1)</f>
        <v>13.54</v>
      </c>
      <c r="F2186">
        <f t="shared" si="273"/>
        <v>8.9999999999999858E-2</v>
      </c>
      <c r="G2186">
        <f>_xlfn.XLOOKUP(A2186,'DGS10'!A:A,'DGS10'!B:B,"",-1)</f>
        <v>4.17</v>
      </c>
      <c r="H2186">
        <f t="shared" si="274"/>
        <v>-2.0000000000000462E-2</v>
      </c>
      <c r="I2186" s="2">
        <f>_xlfn.XLOOKUP(A2186,T10Y3M!A:A,T10Y3M!B:B,"",-1)</f>
        <v>-0.28999999999999998</v>
      </c>
      <c r="J2186" s="2">
        <f>_xlfn.XLOOKUP(A2186,BAMLC0A4CBBB!A:A,BAMLC0A4CBBB!B:B,"",-1)</f>
        <v>1.01</v>
      </c>
      <c r="K2186" s="2">
        <f>_xlfn.XLOOKUP(A2186,CPIAUCSL!A:A,CPIAUCSL!B:B,"",-1)</f>
        <v>317.60399999999998</v>
      </c>
      <c r="L2186">
        <f>_xlfn.XLOOKUP(A2186,DFF!A:A,DFF!B:B,"",-1)</f>
        <v>4.58</v>
      </c>
      <c r="M2186">
        <f>_xlfn.XLOOKUP(A2186,'DGS2'!A:A,'DGS2'!B:B,"",-1)</f>
        <v>4.1500000000000004</v>
      </c>
      <c r="N2186">
        <f t="shared" si="275"/>
        <v>2.0000000000000462E-2</v>
      </c>
      <c r="O2186">
        <f t="shared" si="276"/>
        <v>2.4954280663231909E-3</v>
      </c>
      <c r="P2186">
        <f t="shared" si="277"/>
        <v>1</v>
      </c>
      <c r="Q2186">
        <f t="shared" si="278"/>
        <v>0</v>
      </c>
    </row>
    <row r="2187" spans="1:17">
      <c r="A2187" s="1">
        <v>45632</v>
      </c>
      <c r="B2187">
        <v>6090.27</v>
      </c>
      <c r="C2187">
        <f t="shared" si="272"/>
        <v>2.4954280663231909E-3</v>
      </c>
      <c r="D2187">
        <f t="shared" si="279"/>
        <v>6.6761654776623658E-3</v>
      </c>
      <c r="E2187">
        <f>_xlfn.XLOOKUP(A2187,VIX!A:A,VIX!B:B,"",-1)</f>
        <v>12.77</v>
      </c>
      <c r="F2187">
        <f t="shared" si="273"/>
        <v>-0.76999999999999957</v>
      </c>
      <c r="G2187">
        <f>_xlfn.XLOOKUP(A2187,'DGS10'!A:A,'DGS10'!B:B,"",-1)</f>
        <v>4.1500000000000004</v>
      </c>
      <c r="H2187">
        <f t="shared" si="274"/>
        <v>-1.9999999999999574E-2</v>
      </c>
      <c r="I2187" s="2">
        <f>_xlfn.XLOOKUP(A2187,T10Y3M!A:A,T10Y3M!B:B,"",-1)</f>
        <v>-0.27</v>
      </c>
      <c r="J2187" s="2">
        <f>_xlfn.XLOOKUP(A2187,BAMLC0A4CBBB!A:A,BAMLC0A4CBBB!B:B,"",-1)</f>
        <v>1.02</v>
      </c>
      <c r="K2187" s="2">
        <f>_xlfn.XLOOKUP(A2187,CPIAUCSL!A:A,CPIAUCSL!B:B,"",-1)</f>
        <v>317.60399999999998</v>
      </c>
      <c r="L2187">
        <f>_xlfn.XLOOKUP(A2187,DFF!A:A,DFF!B:B,"",-1)</f>
        <v>4.58</v>
      </c>
      <c r="M2187">
        <f>_xlfn.XLOOKUP(A2187,'DGS2'!A:A,'DGS2'!B:B,"",-1)</f>
        <v>4.0999999999999996</v>
      </c>
      <c r="N2187">
        <f t="shared" si="275"/>
        <v>-5.0000000000000711E-2</v>
      </c>
      <c r="O2187">
        <f t="shared" si="276"/>
        <v>-6.1442267748391677E-3</v>
      </c>
      <c r="P2187">
        <f t="shared" si="277"/>
        <v>0</v>
      </c>
      <c r="Q2187">
        <f t="shared" si="278"/>
        <v>-1</v>
      </c>
    </row>
    <row r="2188" spans="1:17">
      <c r="A2188" s="1">
        <v>45635</v>
      </c>
      <c r="B2188">
        <v>6052.85</v>
      </c>
      <c r="C2188">
        <f t="shared" si="272"/>
        <v>-6.1442267748391677E-3</v>
      </c>
      <c r="D2188">
        <f t="shared" si="279"/>
        <v>-5.5269950332621498E-3</v>
      </c>
      <c r="E2188">
        <f>_xlfn.XLOOKUP(A2188,VIX!A:A,VIX!B:B,"",-1)</f>
        <v>14.19</v>
      </c>
      <c r="F2188">
        <f t="shared" si="273"/>
        <v>1.42</v>
      </c>
      <c r="G2188">
        <f>_xlfn.XLOOKUP(A2188,'DGS10'!A:A,'DGS10'!B:B,"",-1)</f>
        <v>4.2</v>
      </c>
      <c r="H2188">
        <f t="shared" si="274"/>
        <v>4.9999999999999822E-2</v>
      </c>
      <c r="I2188" s="2">
        <f>_xlfn.XLOOKUP(A2188,T10Y3M!A:A,T10Y3M!B:B,"",-1)</f>
        <v>-0.22</v>
      </c>
      <c r="J2188" s="2">
        <f>_xlfn.XLOOKUP(A2188,BAMLC0A4CBBB!A:A,BAMLC0A4CBBB!B:B,"",-1)</f>
        <v>1.01</v>
      </c>
      <c r="K2188" s="2">
        <f>_xlfn.XLOOKUP(A2188,CPIAUCSL!A:A,CPIAUCSL!B:B,"",-1)</f>
        <v>317.60399999999998</v>
      </c>
      <c r="L2188">
        <f>_xlfn.XLOOKUP(A2188,DFF!A:A,DFF!B:B,"",-1)</f>
        <v>4.58</v>
      </c>
      <c r="M2188">
        <f>_xlfn.XLOOKUP(A2188,'DGS2'!A:A,'DGS2'!B:B,"",-1)</f>
        <v>4.13</v>
      </c>
      <c r="N2188">
        <f t="shared" si="275"/>
        <v>3.0000000000000249E-2</v>
      </c>
      <c r="O2188">
        <f t="shared" si="276"/>
        <v>-2.9638930421207466E-3</v>
      </c>
      <c r="P2188">
        <f t="shared" si="277"/>
        <v>0</v>
      </c>
      <c r="Q2188">
        <f t="shared" si="278"/>
        <v>0</v>
      </c>
    </row>
    <row r="2189" spans="1:17">
      <c r="A2189" s="1">
        <v>45636</v>
      </c>
      <c r="B2189">
        <v>6034.91</v>
      </c>
      <c r="C2189">
        <f t="shared" si="272"/>
        <v>-2.9638930421207466E-3</v>
      </c>
      <c r="D2189">
        <f t="shared" si="279"/>
        <v>-6.6171641336535414E-3</v>
      </c>
      <c r="E2189">
        <f>_xlfn.XLOOKUP(A2189,VIX!A:A,VIX!B:B,"",-1)</f>
        <v>14.18</v>
      </c>
      <c r="F2189">
        <f t="shared" si="273"/>
        <v>-9.9999999999997868E-3</v>
      </c>
      <c r="G2189">
        <f>_xlfn.XLOOKUP(A2189,'DGS10'!A:A,'DGS10'!B:B,"",-1)</f>
        <v>4.22</v>
      </c>
      <c r="H2189">
        <f t="shared" si="274"/>
        <v>1.9999999999999574E-2</v>
      </c>
      <c r="I2189" s="2">
        <f>_xlfn.XLOOKUP(A2189,T10Y3M!A:A,T10Y3M!B:B,"",-1)</f>
        <v>-0.19</v>
      </c>
      <c r="J2189" s="2">
        <f>_xlfn.XLOOKUP(A2189,BAMLC0A4CBBB!A:A,BAMLC0A4CBBB!B:B,"",-1)</f>
        <v>1</v>
      </c>
      <c r="K2189" s="2">
        <f>_xlfn.XLOOKUP(A2189,CPIAUCSL!A:A,CPIAUCSL!B:B,"",-1)</f>
        <v>317.60399999999998</v>
      </c>
      <c r="L2189">
        <f>_xlfn.XLOOKUP(A2189,DFF!A:A,DFF!B:B,"",-1)</f>
        <v>4.58</v>
      </c>
      <c r="M2189">
        <f>_xlfn.XLOOKUP(A2189,'DGS2'!A:A,'DGS2'!B:B,"",-1)</f>
        <v>4.1500000000000004</v>
      </c>
      <c r="N2189">
        <f t="shared" si="275"/>
        <v>2.0000000000000462E-2</v>
      </c>
      <c r="O2189">
        <f t="shared" si="276"/>
        <v>8.1658218598121834E-3</v>
      </c>
      <c r="P2189">
        <f t="shared" si="277"/>
        <v>1</v>
      </c>
      <c r="Q2189">
        <f t="shared" si="278"/>
        <v>1</v>
      </c>
    </row>
    <row r="2190" spans="1:17">
      <c r="A2190" s="1">
        <v>45637</v>
      </c>
      <c r="B2190">
        <v>6084.19</v>
      </c>
      <c r="C2190">
        <f t="shared" si="272"/>
        <v>8.1658218598121834E-3</v>
      </c>
      <c r="D2190">
        <f t="shared" si="279"/>
        <v>-9.9831370366187944E-4</v>
      </c>
      <c r="E2190">
        <f>_xlfn.XLOOKUP(A2190,VIX!A:A,VIX!B:B,"",-1)</f>
        <v>13.58</v>
      </c>
      <c r="F2190">
        <f t="shared" si="273"/>
        <v>-0.59999999999999964</v>
      </c>
      <c r="G2190">
        <f>_xlfn.XLOOKUP(A2190,'DGS10'!A:A,'DGS10'!B:B,"",-1)</f>
        <v>4.26</v>
      </c>
      <c r="H2190">
        <f t="shared" si="274"/>
        <v>4.0000000000000036E-2</v>
      </c>
      <c r="I2190" s="2">
        <f>_xlfn.XLOOKUP(A2190,T10Y3M!A:A,T10Y3M!B:B,"",-1)</f>
        <v>-0.12</v>
      </c>
      <c r="J2190" s="2">
        <f>_xlfn.XLOOKUP(A2190,BAMLC0A4CBBB!A:A,BAMLC0A4CBBB!B:B,"",-1)</f>
        <v>0.98</v>
      </c>
      <c r="K2190" s="2">
        <f>_xlfn.XLOOKUP(A2190,CPIAUCSL!A:A,CPIAUCSL!B:B,"",-1)</f>
        <v>317.60399999999998</v>
      </c>
      <c r="L2190">
        <f>_xlfn.XLOOKUP(A2190,DFF!A:A,DFF!B:B,"",-1)</f>
        <v>4.58</v>
      </c>
      <c r="M2190">
        <f>_xlfn.XLOOKUP(A2190,'DGS2'!A:A,'DGS2'!B:B,"",-1)</f>
        <v>4.1500000000000004</v>
      </c>
      <c r="N2190">
        <f t="shared" si="275"/>
        <v>0</v>
      </c>
      <c r="O2190">
        <f t="shared" si="276"/>
        <v>-5.4140321061636465E-3</v>
      </c>
      <c r="P2190">
        <f t="shared" si="277"/>
        <v>0</v>
      </c>
      <c r="Q2190">
        <f t="shared" si="278"/>
        <v>-1</v>
      </c>
    </row>
    <row r="2191" spans="1:17">
      <c r="A2191" s="1">
        <v>45638</v>
      </c>
      <c r="B2191">
        <v>6051.25</v>
      </c>
      <c r="C2191">
        <f t="shared" si="272"/>
        <v>-5.4140321061636465E-3</v>
      </c>
      <c r="D2191">
        <f t="shared" si="279"/>
        <v>-2.6433828692273842E-4</v>
      </c>
      <c r="E2191">
        <f>_xlfn.XLOOKUP(A2191,VIX!A:A,VIX!B:B,"",-1)</f>
        <v>13.92</v>
      </c>
      <c r="F2191">
        <f t="shared" si="273"/>
        <v>0.33999999999999986</v>
      </c>
      <c r="G2191">
        <f>_xlfn.XLOOKUP(A2191,'DGS10'!A:A,'DGS10'!B:B,"",-1)</f>
        <v>4.32</v>
      </c>
      <c r="H2191">
        <f t="shared" si="274"/>
        <v>6.0000000000000497E-2</v>
      </c>
      <c r="I2191" s="2">
        <f>_xlfn.XLOOKUP(A2191,T10Y3M!A:A,T10Y3M!B:B,"",-1)</f>
        <v>-0.03</v>
      </c>
      <c r="J2191" s="2">
        <f>_xlfn.XLOOKUP(A2191,BAMLC0A4CBBB!A:A,BAMLC0A4CBBB!B:B,"",-1)</f>
        <v>0.99</v>
      </c>
      <c r="K2191" s="2">
        <f>_xlfn.XLOOKUP(A2191,CPIAUCSL!A:A,CPIAUCSL!B:B,"",-1)</f>
        <v>317.60399999999998</v>
      </c>
      <c r="L2191">
        <f>_xlfn.XLOOKUP(A2191,DFF!A:A,DFF!B:B,"",-1)</f>
        <v>4.58</v>
      </c>
      <c r="M2191">
        <f>_xlfn.XLOOKUP(A2191,'DGS2'!A:A,'DGS2'!B:B,"",-1)</f>
        <v>4.18</v>
      </c>
      <c r="N2191">
        <f t="shared" si="275"/>
        <v>2.9999999999999361E-2</v>
      </c>
      <c r="O2191">
        <f t="shared" si="276"/>
        <v>-2.6440818012729572E-5</v>
      </c>
      <c r="P2191">
        <f t="shared" si="277"/>
        <v>0</v>
      </c>
      <c r="Q2191">
        <f t="shared" si="278"/>
        <v>0</v>
      </c>
    </row>
    <row r="2192" spans="1:17">
      <c r="A2192" s="1">
        <v>45639</v>
      </c>
      <c r="B2192">
        <v>6051.09</v>
      </c>
      <c r="C2192">
        <f t="shared" si="272"/>
        <v>-2.6440818012729572E-5</v>
      </c>
      <c r="D2192">
        <f t="shared" si="279"/>
        <v>2.6810673232906534E-3</v>
      </c>
      <c r="E2192">
        <f>_xlfn.XLOOKUP(A2192,VIX!A:A,VIX!B:B,"",-1)</f>
        <v>13.81</v>
      </c>
      <c r="F2192">
        <f t="shared" si="273"/>
        <v>-0.10999999999999943</v>
      </c>
      <c r="G2192">
        <f>_xlfn.XLOOKUP(A2192,'DGS10'!A:A,'DGS10'!B:B,"",-1)</f>
        <v>4.4000000000000004</v>
      </c>
      <c r="H2192">
        <f t="shared" si="274"/>
        <v>8.0000000000000071E-2</v>
      </c>
      <c r="I2192" s="2">
        <f>_xlfn.XLOOKUP(A2192,T10Y3M!A:A,T10Y3M!B:B,"",-1)</f>
        <v>0.06</v>
      </c>
      <c r="J2192" s="2">
        <f>_xlfn.XLOOKUP(A2192,BAMLC0A4CBBB!A:A,BAMLC0A4CBBB!B:B,"",-1)</f>
        <v>0.98</v>
      </c>
      <c r="K2192" s="2">
        <f>_xlfn.XLOOKUP(A2192,CPIAUCSL!A:A,CPIAUCSL!B:B,"",-1)</f>
        <v>317.60399999999998</v>
      </c>
      <c r="L2192">
        <f>_xlfn.XLOOKUP(A2192,DFF!A:A,DFF!B:B,"",-1)</f>
        <v>4.58</v>
      </c>
      <c r="M2192">
        <f>_xlfn.XLOOKUP(A2192,'DGS2'!A:A,'DGS2'!B:B,"",-1)</f>
        <v>4.25</v>
      </c>
      <c r="N2192">
        <f t="shared" si="275"/>
        <v>7.0000000000000284E-2</v>
      </c>
      <c r="O2192">
        <f t="shared" si="276"/>
        <v>3.7993154952247199E-3</v>
      </c>
      <c r="P2192">
        <f t="shared" si="277"/>
        <v>1</v>
      </c>
      <c r="Q2192">
        <f t="shared" si="278"/>
        <v>1</v>
      </c>
    </row>
    <row r="2193" spans="1:17">
      <c r="A2193" s="1">
        <v>45642</v>
      </c>
      <c r="B2193">
        <v>6074.08</v>
      </c>
      <c r="C2193">
        <f t="shared" si="272"/>
        <v>3.7993154952247199E-3</v>
      </c>
      <c r="D2193">
        <f t="shared" si="279"/>
        <v>-1.6616838067187167E-3</v>
      </c>
      <c r="E2193">
        <f>_xlfn.XLOOKUP(A2193,VIX!A:A,VIX!B:B,"",-1)</f>
        <v>14.69</v>
      </c>
      <c r="F2193">
        <f t="shared" si="273"/>
        <v>0.87999999999999901</v>
      </c>
      <c r="G2193">
        <f>_xlfn.XLOOKUP(A2193,'DGS10'!A:A,'DGS10'!B:B,"",-1)</f>
        <v>4.3899999999999997</v>
      </c>
      <c r="H2193">
        <f t="shared" si="274"/>
        <v>-1.0000000000000675E-2</v>
      </c>
      <c r="I2193" s="2">
        <f>_xlfn.XLOOKUP(A2193,T10Y3M!A:A,T10Y3M!B:B,"",-1)</f>
        <v>0.02</v>
      </c>
      <c r="J2193" s="2">
        <f>_xlfn.XLOOKUP(A2193,BAMLC0A4CBBB!A:A,BAMLC0A4CBBB!B:B,"",-1)</f>
        <v>0.98</v>
      </c>
      <c r="K2193" s="2">
        <f>_xlfn.XLOOKUP(A2193,CPIAUCSL!A:A,CPIAUCSL!B:B,"",-1)</f>
        <v>317.60399999999998</v>
      </c>
      <c r="L2193">
        <f>_xlfn.XLOOKUP(A2193,DFF!A:A,DFF!B:B,"",-1)</f>
        <v>4.58</v>
      </c>
      <c r="M2193">
        <f>_xlfn.XLOOKUP(A2193,'DGS2'!A:A,'DGS2'!B:B,"",-1)</f>
        <v>4.25</v>
      </c>
      <c r="N2193">
        <f t="shared" si="275"/>
        <v>0</v>
      </c>
      <c r="O2193">
        <f t="shared" si="276"/>
        <v>-3.8639596449174807E-3</v>
      </c>
      <c r="P2193">
        <f t="shared" si="277"/>
        <v>0</v>
      </c>
      <c r="Q2193">
        <f t="shared" si="278"/>
        <v>-1</v>
      </c>
    </row>
    <row r="2194" spans="1:17">
      <c r="A2194" s="1">
        <v>45643</v>
      </c>
      <c r="B2194">
        <v>6050.61</v>
      </c>
      <c r="C2194">
        <f t="shared" si="272"/>
        <v>-3.8639596449174807E-3</v>
      </c>
      <c r="D2194">
        <f t="shared" si="279"/>
        <v>-1.0576327205125136E-4</v>
      </c>
      <c r="E2194">
        <f>_xlfn.XLOOKUP(A2194,VIX!A:A,VIX!B:B,"",-1)</f>
        <v>15.87</v>
      </c>
      <c r="F2194">
        <f t="shared" si="273"/>
        <v>1.1799999999999997</v>
      </c>
      <c r="G2194">
        <f>_xlfn.XLOOKUP(A2194,'DGS10'!A:A,'DGS10'!B:B,"",-1)</f>
        <v>4.4000000000000004</v>
      </c>
      <c r="H2194">
        <f t="shared" si="274"/>
        <v>1.0000000000000675E-2</v>
      </c>
      <c r="I2194" s="2">
        <f>_xlfn.XLOOKUP(A2194,T10Y3M!A:A,T10Y3M!B:B,"",-1)</f>
        <v>0.02</v>
      </c>
      <c r="J2194" s="2">
        <f>_xlfn.XLOOKUP(A2194,BAMLC0A4CBBB!A:A,BAMLC0A4CBBB!B:B,"",-1)</f>
        <v>0.99</v>
      </c>
      <c r="K2194" s="2">
        <f>_xlfn.XLOOKUP(A2194,CPIAUCSL!A:A,CPIAUCSL!B:B,"",-1)</f>
        <v>317.60399999999998</v>
      </c>
      <c r="L2194">
        <f>_xlfn.XLOOKUP(A2194,DFF!A:A,DFF!B:B,"",-1)</f>
        <v>4.58</v>
      </c>
      <c r="M2194">
        <f>_xlfn.XLOOKUP(A2194,'DGS2'!A:A,'DGS2'!B:B,"",-1)</f>
        <v>4.25</v>
      </c>
      <c r="N2194">
        <f t="shared" si="275"/>
        <v>0</v>
      </c>
      <c r="O2194">
        <f t="shared" si="276"/>
        <v>-2.9492894104891865E-2</v>
      </c>
      <c r="P2194">
        <f t="shared" si="277"/>
        <v>0</v>
      </c>
      <c r="Q2194">
        <f t="shared" si="278"/>
        <v>-1</v>
      </c>
    </row>
    <row r="2195" spans="1:17">
      <c r="A2195" s="1">
        <v>45644</v>
      </c>
      <c r="B2195">
        <v>5872.16</v>
      </c>
      <c r="C2195">
        <f t="shared" si="272"/>
        <v>-2.9492894104891865E-2</v>
      </c>
      <c r="D2195">
        <f t="shared" si="279"/>
        <v>-2.9569879145740718E-2</v>
      </c>
      <c r="E2195">
        <f>_xlfn.XLOOKUP(A2195,VIX!A:A,VIX!B:B,"",-1)</f>
        <v>27.62</v>
      </c>
      <c r="F2195">
        <f t="shared" si="273"/>
        <v>11.750000000000002</v>
      </c>
      <c r="G2195">
        <f>_xlfn.XLOOKUP(A2195,'DGS10'!A:A,'DGS10'!B:B,"",-1)</f>
        <v>4.5</v>
      </c>
      <c r="H2195">
        <f t="shared" si="274"/>
        <v>9.9999999999999645E-2</v>
      </c>
      <c r="I2195" s="2">
        <f>_xlfn.XLOOKUP(A2195,T10Y3M!A:A,T10Y3M!B:B,"",-1)</f>
        <v>0.14000000000000001</v>
      </c>
      <c r="J2195" s="2">
        <f>_xlfn.XLOOKUP(A2195,BAMLC0A4CBBB!A:A,BAMLC0A4CBBB!B:B,"",-1)</f>
        <v>0.98</v>
      </c>
      <c r="K2195" s="2">
        <f>_xlfn.XLOOKUP(A2195,CPIAUCSL!A:A,CPIAUCSL!B:B,"",-1)</f>
        <v>317.60399999999998</v>
      </c>
      <c r="L2195">
        <f>_xlfn.XLOOKUP(A2195,DFF!A:A,DFF!B:B,"",-1)</f>
        <v>4.58</v>
      </c>
      <c r="M2195">
        <f>_xlfn.XLOOKUP(A2195,'DGS2'!A:A,'DGS2'!B:B,"",-1)</f>
        <v>4.3499999999999996</v>
      </c>
      <c r="N2195">
        <f t="shared" si="275"/>
        <v>9.9999999999999645E-2</v>
      </c>
      <c r="O2195">
        <f t="shared" si="276"/>
        <v>-8.6509904362275236E-4</v>
      </c>
      <c r="P2195">
        <f t="shared" si="277"/>
        <v>0</v>
      </c>
      <c r="Q2195">
        <f t="shared" si="278"/>
        <v>0</v>
      </c>
    </row>
    <row r="2196" spans="1:17">
      <c r="A2196" s="1">
        <v>45645</v>
      </c>
      <c r="B2196">
        <v>5867.08</v>
      </c>
      <c r="C2196">
        <f t="shared" si="272"/>
        <v>-8.6509904362275236E-4</v>
      </c>
      <c r="D2196">
        <f t="shared" si="279"/>
        <v>-3.4079235044648715E-2</v>
      </c>
      <c r="E2196">
        <f>_xlfn.XLOOKUP(A2196,VIX!A:A,VIX!B:B,"",-1)</f>
        <v>24.09</v>
      </c>
      <c r="F2196">
        <f t="shared" si="273"/>
        <v>-3.5300000000000011</v>
      </c>
      <c r="G2196">
        <f>_xlfn.XLOOKUP(A2196,'DGS10'!A:A,'DGS10'!B:B,"",-1)</f>
        <v>4.57</v>
      </c>
      <c r="H2196">
        <f t="shared" si="274"/>
        <v>7.0000000000000284E-2</v>
      </c>
      <c r="I2196" s="2">
        <f>_xlfn.XLOOKUP(A2196,T10Y3M!A:A,T10Y3M!B:B,"",-1)</f>
        <v>0.22</v>
      </c>
      <c r="J2196" s="2">
        <f>_xlfn.XLOOKUP(A2196,BAMLC0A4CBBB!A:A,BAMLC0A4CBBB!B:B,"",-1)</f>
        <v>1.02</v>
      </c>
      <c r="K2196" s="2">
        <f>_xlfn.XLOOKUP(A2196,CPIAUCSL!A:A,CPIAUCSL!B:B,"",-1)</f>
        <v>317.60399999999998</v>
      </c>
      <c r="L2196">
        <f>_xlfn.XLOOKUP(A2196,DFF!A:A,DFF!B:B,"",-1)</f>
        <v>4.33</v>
      </c>
      <c r="M2196">
        <f>_xlfn.XLOOKUP(A2196,'DGS2'!A:A,'DGS2'!B:B,"",-1)</f>
        <v>4.32</v>
      </c>
      <c r="N2196">
        <f t="shared" si="275"/>
        <v>-2.9999999999999361E-2</v>
      </c>
      <c r="O2196">
        <f t="shared" si="276"/>
        <v>1.0869120584686254E-2</v>
      </c>
      <c r="P2196">
        <f t="shared" si="277"/>
        <v>1</v>
      </c>
      <c r="Q2196">
        <f t="shared" si="278"/>
        <v>1</v>
      </c>
    </row>
    <row r="2197" spans="1:17">
      <c r="A2197" s="1">
        <v>45646</v>
      </c>
      <c r="B2197">
        <v>5930.85</v>
      </c>
      <c r="C2197">
        <f t="shared" si="272"/>
        <v>1.0869120584686254E-2</v>
      </c>
      <c r="D2197">
        <f t="shared" si="279"/>
        <v>-1.9793045659858954E-2</v>
      </c>
      <c r="E2197">
        <f>_xlfn.XLOOKUP(A2197,VIX!A:A,VIX!B:B,"",-1)</f>
        <v>18.36</v>
      </c>
      <c r="F2197">
        <f t="shared" si="273"/>
        <v>-5.73</v>
      </c>
      <c r="G2197">
        <f>_xlfn.XLOOKUP(A2197,'DGS10'!A:A,'DGS10'!B:B,"",-1)</f>
        <v>4.5199999999999996</v>
      </c>
      <c r="H2197">
        <f t="shared" si="274"/>
        <v>-5.0000000000000711E-2</v>
      </c>
      <c r="I2197" s="2">
        <f>_xlfn.XLOOKUP(A2197,T10Y3M!A:A,T10Y3M!B:B,"",-1)</f>
        <v>0.18</v>
      </c>
      <c r="J2197" s="2">
        <f>_xlfn.XLOOKUP(A2197,BAMLC0A4CBBB!A:A,BAMLC0A4CBBB!B:B,"",-1)</f>
        <v>1.02</v>
      </c>
      <c r="K2197" s="2">
        <f>_xlfn.XLOOKUP(A2197,CPIAUCSL!A:A,CPIAUCSL!B:B,"",-1)</f>
        <v>317.60399999999998</v>
      </c>
      <c r="L2197">
        <f>_xlfn.XLOOKUP(A2197,DFF!A:A,DFF!B:B,"",-1)</f>
        <v>4.33</v>
      </c>
      <c r="M2197">
        <f>_xlfn.XLOOKUP(A2197,'DGS2'!A:A,'DGS2'!B:B,"",-1)</f>
        <v>4.3</v>
      </c>
      <c r="N2197">
        <f t="shared" si="275"/>
        <v>-2.0000000000000462E-2</v>
      </c>
      <c r="O2197">
        <f t="shared" si="276"/>
        <v>7.2873196927927264E-3</v>
      </c>
      <c r="P2197">
        <f t="shared" si="277"/>
        <v>1</v>
      </c>
      <c r="Q2197">
        <f t="shared" si="278"/>
        <v>1</v>
      </c>
    </row>
    <row r="2198" spans="1:17">
      <c r="A2198" s="1">
        <v>45649</v>
      </c>
      <c r="B2198">
        <v>5974.07</v>
      </c>
      <c r="C2198">
        <f t="shared" si="272"/>
        <v>7.2873196927927264E-3</v>
      </c>
      <c r="D2198">
        <f t="shared" si="279"/>
        <v>1.7354772349527314E-2</v>
      </c>
      <c r="E2198">
        <f>_xlfn.XLOOKUP(A2198,VIX!A:A,VIX!B:B,"",-1)</f>
        <v>16.78</v>
      </c>
      <c r="F2198">
        <f t="shared" si="273"/>
        <v>-1.5799999999999983</v>
      </c>
      <c r="G2198">
        <f>_xlfn.XLOOKUP(A2198,'DGS10'!A:A,'DGS10'!B:B,"",-1)</f>
        <v>4.59</v>
      </c>
      <c r="H2198">
        <f t="shared" si="274"/>
        <v>7.0000000000000284E-2</v>
      </c>
      <c r="I2198" s="2">
        <f>_xlfn.XLOOKUP(A2198,T10Y3M!A:A,T10Y3M!B:B,"",-1)</f>
        <v>0.23</v>
      </c>
      <c r="J2198" s="2">
        <f>_xlfn.XLOOKUP(A2198,BAMLC0A4CBBB!A:A,BAMLC0A4CBBB!B:B,"",-1)</f>
        <v>1.02</v>
      </c>
      <c r="K2198" s="2">
        <f>_xlfn.XLOOKUP(A2198,CPIAUCSL!A:A,CPIAUCSL!B:B,"",-1)</f>
        <v>317.60399999999998</v>
      </c>
      <c r="L2198">
        <f>_xlfn.XLOOKUP(A2198,DFF!A:A,DFF!B:B,"",-1)</f>
        <v>4.33</v>
      </c>
      <c r="M2198">
        <f>_xlfn.XLOOKUP(A2198,'DGS2'!A:A,'DGS2'!B:B,"",-1)</f>
        <v>4.3</v>
      </c>
      <c r="N2198">
        <f t="shared" si="275"/>
        <v>0</v>
      </c>
      <c r="O2198">
        <f t="shared" si="276"/>
        <v>1.1042722967758989E-2</v>
      </c>
      <c r="P2198">
        <f t="shared" si="277"/>
        <v>1</v>
      </c>
      <c r="Q2198">
        <f t="shared" si="278"/>
        <v>1</v>
      </c>
    </row>
    <row r="2199" spans="1:17">
      <c r="A2199" s="1">
        <v>45650</v>
      </c>
      <c r="B2199">
        <v>6040.04</v>
      </c>
      <c r="C2199">
        <f t="shared" si="272"/>
        <v>1.1042722967758989E-2</v>
      </c>
      <c r="D2199">
        <f t="shared" si="279"/>
        <v>2.9479741200051812E-2</v>
      </c>
      <c r="E2199">
        <f>_xlfn.XLOOKUP(A2199,VIX!A:A,VIX!B:B,"",-1)</f>
        <v>14.27</v>
      </c>
      <c r="F2199">
        <f t="shared" si="273"/>
        <v>-2.5100000000000016</v>
      </c>
      <c r="G2199">
        <f>_xlfn.XLOOKUP(A2199,'DGS10'!A:A,'DGS10'!B:B,"",-1)</f>
        <v>4.59</v>
      </c>
      <c r="H2199">
        <f t="shared" si="274"/>
        <v>0</v>
      </c>
      <c r="I2199" s="2">
        <f>_xlfn.XLOOKUP(A2199,T10Y3M!A:A,T10Y3M!B:B,"",-1)</f>
        <v>0.19</v>
      </c>
      <c r="J2199" s="2">
        <f>_xlfn.XLOOKUP(A2199,BAMLC0A4CBBB!A:A,BAMLC0A4CBBB!B:B,"",-1)</f>
        <v>1.01</v>
      </c>
      <c r="K2199" s="2">
        <f>_xlfn.XLOOKUP(A2199,CPIAUCSL!A:A,CPIAUCSL!B:B,"",-1)</f>
        <v>317.60399999999998</v>
      </c>
      <c r="L2199">
        <f>_xlfn.XLOOKUP(A2199,DFF!A:A,DFF!B:B,"",-1)</f>
        <v>4.33</v>
      </c>
      <c r="M2199">
        <f>_xlfn.XLOOKUP(A2199,'DGS2'!A:A,'DGS2'!B:B,"",-1)</f>
        <v>4.29</v>
      </c>
      <c r="N2199">
        <f t="shared" si="275"/>
        <v>-9.9999999999997868E-3</v>
      </c>
      <c r="O2199">
        <f t="shared" si="276"/>
        <v>-4.0562645280495246E-4</v>
      </c>
      <c r="P2199">
        <f t="shared" si="277"/>
        <v>0</v>
      </c>
      <c r="Q2199">
        <f t="shared" si="278"/>
        <v>0</v>
      </c>
    </row>
    <row r="2200" spans="1:17">
      <c r="A2200" s="1">
        <v>45652</v>
      </c>
      <c r="B2200">
        <v>6037.59</v>
      </c>
      <c r="C2200">
        <f t="shared" si="272"/>
        <v>-4.0562645280495246E-4</v>
      </c>
      <c r="D2200">
        <f t="shared" si="279"/>
        <v>1.7997420268595521E-2</v>
      </c>
      <c r="E2200">
        <f>_xlfn.XLOOKUP(A2200,VIX!A:A,VIX!B:B,"",-1)</f>
        <v>14.73</v>
      </c>
      <c r="F2200">
        <f t="shared" si="273"/>
        <v>0.46000000000000085</v>
      </c>
      <c r="G2200">
        <f>_xlfn.XLOOKUP(A2200,'DGS10'!A:A,'DGS10'!B:B,"",-1)</f>
        <v>4.58</v>
      </c>
      <c r="H2200">
        <f t="shared" si="274"/>
        <v>-9.9999999999997868E-3</v>
      </c>
      <c r="I2200" s="2">
        <f>_xlfn.XLOOKUP(A2200,T10Y3M!A:A,T10Y3M!B:B,"",-1)</f>
        <v>0.23</v>
      </c>
      <c r="J2200" s="2">
        <f>_xlfn.XLOOKUP(A2200,BAMLC0A4CBBB!A:A,BAMLC0A4CBBB!B:B,"",-1)</f>
        <v>1</v>
      </c>
      <c r="K2200" s="2">
        <f>_xlfn.XLOOKUP(A2200,CPIAUCSL!A:A,CPIAUCSL!B:B,"",-1)</f>
        <v>317.60399999999998</v>
      </c>
      <c r="L2200">
        <f>_xlfn.XLOOKUP(A2200,DFF!A:A,DFF!B:B,"",-1)</f>
        <v>4.33</v>
      </c>
      <c r="M2200">
        <f>_xlfn.XLOOKUP(A2200,'DGS2'!A:A,'DGS2'!B:B,"",-1)</f>
        <v>4.3</v>
      </c>
      <c r="N2200">
        <f t="shared" si="275"/>
        <v>9.9999999999997868E-3</v>
      </c>
      <c r="O2200">
        <f t="shared" si="276"/>
        <v>-1.1055735815118317E-2</v>
      </c>
      <c r="P2200">
        <f t="shared" si="277"/>
        <v>0</v>
      </c>
      <c r="Q2200">
        <f t="shared" si="278"/>
        <v>-1</v>
      </c>
    </row>
    <row r="2201" spans="1:17">
      <c r="A2201" s="1">
        <v>45653</v>
      </c>
      <c r="B2201">
        <v>5970.84</v>
      </c>
      <c r="C2201">
        <f t="shared" si="272"/>
        <v>-1.1055735815118317E-2</v>
      </c>
      <c r="D2201">
        <f t="shared" si="279"/>
        <v>-5.4066992854107099E-4</v>
      </c>
      <c r="E2201">
        <f>_xlfn.XLOOKUP(A2201,VIX!A:A,VIX!B:B,"",-1)</f>
        <v>15.95</v>
      </c>
      <c r="F2201">
        <f t="shared" si="273"/>
        <v>1.2199999999999989</v>
      </c>
      <c r="G2201">
        <f>_xlfn.XLOOKUP(A2201,'DGS10'!A:A,'DGS10'!B:B,"",-1)</f>
        <v>4.62</v>
      </c>
      <c r="H2201">
        <f t="shared" si="274"/>
        <v>4.0000000000000036E-2</v>
      </c>
      <c r="I2201" s="2">
        <f>_xlfn.XLOOKUP(A2201,T10Y3M!A:A,T10Y3M!B:B,"",-1)</f>
        <v>0.31</v>
      </c>
      <c r="J2201" s="2">
        <f>_xlfn.XLOOKUP(A2201,BAMLC0A4CBBB!A:A,BAMLC0A4CBBB!B:B,"",-1)</f>
        <v>1</v>
      </c>
      <c r="K2201" s="2">
        <f>_xlfn.XLOOKUP(A2201,CPIAUCSL!A:A,CPIAUCSL!B:B,"",-1)</f>
        <v>317.60399999999998</v>
      </c>
      <c r="L2201">
        <f>_xlfn.XLOOKUP(A2201,DFF!A:A,DFF!B:B,"",-1)</f>
        <v>4.33</v>
      </c>
      <c r="M2201">
        <f>_xlfn.XLOOKUP(A2201,'DGS2'!A:A,'DGS2'!B:B,"",-1)</f>
        <v>4.3099999999999996</v>
      </c>
      <c r="N2201">
        <f t="shared" si="275"/>
        <v>9.9999999999997868E-3</v>
      </c>
      <c r="O2201">
        <f t="shared" si="276"/>
        <v>-1.0702011777237508E-2</v>
      </c>
      <c r="P2201">
        <f t="shared" si="277"/>
        <v>0</v>
      </c>
      <c r="Q2201">
        <f t="shared" si="278"/>
        <v>-1</v>
      </c>
    </row>
    <row r="2202" spans="1:17">
      <c r="A2202" s="1">
        <v>45656</v>
      </c>
      <c r="B2202">
        <v>5906.94</v>
      </c>
      <c r="C2202">
        <f t="shared" si="272"/>
        <v>-1.0702011777237508E-2</v>
      </c>
      <c r="D2202">
        <f t="shared" si="279"/>
        <v>-2.2036277905444379E-2</v>
      </c>
      <c r="E2202">
        <f>_xlfn.XLOOKUP(A2202,VIX!A:A,VIX!B:B,"",-1)</f>
        <v>17.399999999999999</v>
      </c>
      <c r="F2202">
        <f t="shared" si="273"/>
        <v>1.4499999999999993</v>
      </c>
      <c r="G2202">
        <f>_xlfn.XLOOKUP(A2202,'DGS10'!A:A,'DGS10'!B:B,"",-1)</f>
        <v>4.55</v>
      </c>
      <c r="H2202">
        <f t="shared" si="274"/>
        <v>-7.0000000000000284E-2</v>
      </c>
      <c r="I2202" s="2">
        <f>_xlfn.XLOOKUP(A2202,T10Y3M!A:A,T10Y3M!B:B,"",-1)</f>
        <v>0.18</v>
      </c>
      <c r="J2202" s="2">
        <f>_xlfn.XLOOKUP(A2202,BAMLC0A4CBBB!A:A,BAMLC0A4CBBB!B:B,"",-1)</f>
        <v>1.01</v>
      </c>
      <c r="K2202" s="2">
        <f>_xlfn.XLOOKUP(A2202,CPIAUCSL!A:A,CPIAUCSL!B:B,"",-1)</f>
        <v>317.60399999999998</v>
      </c>
      <c r="L2202">
        <f>_xlfn.XLOOKUP(A2202,DFF!A:A,DFF!B:B,"",-1)</f>
        <v>4.33</v>
      </c>
      <c r="M2202">
        <f>_xlfn.XLOOKUP(A2202,'DGS2'!A:A,'DGS2'!B:B,"",-1)</f>
        <v>4.24</v>
      </c>
      <c r="N2202">
        <f t="shared" si="275"/>
        <v>-6.9999999999999396E-2</v>
      </c>
      <c r="O2202">
        <f t="shared" si="276"/>
        <v>-4.2847904329482711E-3</v>
      </c>
      <c r="P2202">
        <f t="shared" si="277"/>
        <v>0</v>
      </c>
      <c r="Q2202">
        <f t="shared" si="278"/>
        <v>-1</v>
      </c>
    </row>
    <row r="2203" spans="1:17">
      <c r="A2203" s="1">
        <v>45657</v>
      </c>
      <c r="B2203">
        <v>5881.63</v>
      </c>
      <c r="C2203">
        <f t="shared" si="272"/>
        <v>-4.2847904329482711E-3</v>
      </c>
      <c r="D2203">
        <f t="shared" si="279"/>
        <v>-2.5831498992147539E-2</v>
      </c>
      <c r="E2203">
        <f>_xlfn.XLOOKUP(A2203,VIX!A:A,VIX!B:B,"",-1)</f>
        <v>17.350000000000001</v>
      </c>
      <c r="F2203">
        <f t="shared" si="273"/>
        <v>-4.9999999999997158E-2</v>
      </c>
      <c r="G2203">
        <f>_xlfn.XLOOKUP(A2203,'DGS10'!A:A,'DGS10'!B:B,"",-1)</f>
        <v>4.58</v>
      </c>
      <c r="H2203">
        <f t="shared" si="274"/>
        <v>3.0000000000000249E-2</v>
      </c>
      <c r="I2203" s="2">
        <f>_xlfn.XLOOKUP(A2203,T10Y3M!A:A,T10Y3M!B:B,"",-1)</f>
        <v>0.21</v>
      </c>
      <c r="J2203" s="2">
        <f>_xlfn.XLOOKUP(A2203,BAMLC0A4CBBB!A:A,BAMLC0A4CBBB!B:B,"",-1)</f>
        <v>1.02</v>
      </c>
      <c r="K2203" s="2">
        <f>_xlfn.XLOOKUP(A2203,CPIAUCSL!A:A,CPIAUCSL!B:B,"",-1)</f>
        <v>317.60399999999998</v>
      </c>
      <c r="L2203">
        <f>_xlfn.XLOOKUP(A2203,DFF!A:A,DFF!B:B,"",-1)</f>
        <v>4.33</v>
      </c>
      <c r="M2203">
        <f>_xlfn.XLOOKUP(A2203,'DGS2'!A:A,'DGS2'!B:B,"",-1)</f>
        <v>4.25</v>
      </c>
      <c r="N2203">
        <f t="shared" si="275"/>
        <v>9.9999999999997868E-3</v>
      </c>
      <c r="O2203">
        <f t="shared" si="276"/>
        <v>-2.2238733140302891E-3</v>
      </c>
      <c r="P2203">
        <f t="shared" si="277"/>
        <v>0</v>
      </c>
      <c r="Q2203">
        <f t="shared" si="278"/>
        <v>0</v>
      </c>
    </row>
    <row r="2204" spans="1:17">
      <c r="A2204" s="1">
        <v>45659</v>
      </c>
      <c r="B2204">
        <v>5868.55</v>
      </c>
      <c r="C2204">
        <f t="shared" si="272"/>
        <v>-2.2238733140302891E-3</v>
      </c>
      <c r="D2204">
        <f t="shared" si="279"/>
        <v>-1.7131592874704338E-2</v>
      </c>
      <c r="E2204">
        <f>_xlfn.XLOOKUP(A2204,VIX!A:A,VIX!B:B,"",-1)</f>
        <v>17.93</v>
      </c>
      <c r="F2204">
        <f t="shared" si="273"/>
        <v>0.57999999999999829</v>
      </c>
      <c r="G2204">
        <f>_xlfn.XLOOKUP(A2204,'DGS10'!A:A,'DGS10'!B:B,"",-1)</f>
        <v>4.57</v>
      </c>
      <c r="H2204">
        <f t="shared" si="274"/>
        <v>-9.9999999999997868E-3</v>
      </c>
      <c r="I2204" s="2">
        <f>_xlfn.XLOOKUP(A2204,T10Y3M!A:A,T10Y3M!B:B,"",-1)</f>
        <v>0.21</v>
      </c>
      <c r="J2204" s="2">
        <f>_xlfn.XLOOKUP(A2204,BAMLC0A4CBBB!A:A,BAMLC0A4CBBB!B:B,"",-1)</f>
        <v>1.02</v>
      </c>
      <c r="K2204" s="2">
        <f>_xlfn.XLOOKUP(A2204,CPIAUCSL!A:A,CPIAUCSL!B:B,"",-1)</f>
        <v>318.96100000000001</v>
      </c>
      <c r="L2204">
        <f>_xlfn.XLOOKUP(A2204,DFF!A:A,DFF!B:B,"",-1)</f>
        <v>4.33</v>
      </c>
      <c r="M2204">
        <f>_xlfn.XLOOKUP(A2204,'DGS2'!A:A,'DGS2'!B:B,"",-1)</f>
        <v>4.25</v>
      </c>
      <c r="N2204">
        <f t="shared" si="275"/>
        <v>0</v>
      </c>
      <c r="O2204">
        <f t="shared" si="276"/>
        <v>1.2595956411720177E-2</v>
      </c>
      <c r="P2204">
        <f t="shared" si="277"/>
        <v>1</v>
      </c>
      <c r="Q2204">
        <f t="shared" si="278"/>
        <v>1</v>
      </c>
    </row>
    <row r="2205" spans="1:17">
      <c r="A2205" s="1">
        <v>45660</v>
      </c>
      <c r="B2205">
        <v>5942.47</v>
      </c>
      <c r="C2205">
        <f t="shared" si="272"/>
        <v>1.2595956411720177E-2</v>
      </c>
      <c r="D2205">
        <f t="shared" si="279"/>
        <v>6.0149586757272111E-3</v>
      </c>
      <c r="E2205">
        <f>_xlfn.XLOOKUP(A2205,VIX!A:A,VIX!B:B,"",-1)</f>
        <v>16.13</v>
      </c>
      <c r="F2205">
        <f t="shared" si="273"/>
        <v>-1.8000000000000007</v>
      </c>
      <c r="G2205">
        <f>_xlfn.XLOOKUP(A2205,'DGS10'!A:A,'DGS10'!B:B,"",-1)</f>
        <v>4.5999999999999996</v>
      </c>
      <c r="H2205">
        <f t="shared" si="274"/>
        <v>2.9999999999999361E-2</v>
      </c>
      <c r="I2205" s="2">
        <f>_xlfn.XLOOKUP(A2205,T10Y3M!A:A,T10Y3M!B:B,"",-1)</f>
        <v>0.26</v>
      </c>
      <c r="J2205" s="2">
        <f>_xlfn.XLOOKUP(A2205,BAMLC0A4CBBB!A:A,BAMLC0A4CBBB!B:B,"",-1)</f>
        <v>1.02</v>
      </c>
      <c r="K2205" s="2">
        <f>_xlfn.XLOOKUP(A2205,CPIAUCSL!A:A,CPIAUCSL!B:B,"",-1)</f>
        <v>318.96100000000001</v>
      </c>
      <c r="L2205">
        <f>_xlfn.XLOOKUP(A2205,DFF!A:A,DFF!B:B,"",-1)</f>
        <v>4.33</v>
      </c>
      <c r="M2205">
        <f>_xlfn.XLOOKUP(A2205,'DGS2'!A:A,'DGS2'!B:B,"",-1)</f>
        <v>4.28</v>
      </c>
      <c r="N2205">
        <f t="shared" si="275"/>
        <v>3.0000000000000249E-2</v>
      </c>
      <c r="O2205">
        <f t="shared" si="276"/>
        <v>5.5381011599553442E-3</v>
      </c>
      <c r="P2205">
        <f t="shared" si="277"/>
        <v>1</v>
      </c>
      <c r="Q2205">
        <f t="shared" si="278"/>
        <v>1</v>
      </c>
    </row>
    <row r="2206" spans="1:17">
      <c r="A2206" s="1">
        <v>45663</v>
      </c>
      <c r="B2206">
        <v>5975.38</v>
      </c>
      <c r="C2206">
        <f t="shared" si="272"/>
        <v>5.5381011599553442E-3</v>
      </c>
      <c r="D2206">
        <f t="shared" si="279"/>
        <v>1.5939458959506103E-2</v>
      </c>
      <c r="E2206">
        <f>_xlfn.XLOOKUP(A2206,VIX!A:A,VIX!B:B,"",-1)</f>
        <v>16.04</v>
      </c>
      <c r="F2206">
        <f t="shared" si="273"/>
        <v>-8.9999999999999858E-2</v>
      </c>
      <c r="G2206">
        <f>_xlfn.XLOOKUP(A2206,'DGS10'!A:A,'DGS10'!B:B,"",-1)</f>
        <v>4.62</v>
      </c>
      <c r="H2206">
        <f t="shared" si="274"/>
        <v>2.0000000000000462E-2</v>
      </c>
      <c r="I2206" s="2">
        <f>_xlfn.XLOOKUP(A2206,T10Y3M!A:A,T10Y3M!B:B,"",-1)</f>
        <v>0.27</v>
      </c>
      <c r="J2206" s="2">
        <f>_xlfn.XLOOKUP(A2206,BAMLC0A4CBBB!A:A,BAMLC0A4CBBB!B:B,"",-1)</f>
        <v>1.03</v>
      </c>
      <c r="K2206" s="2">
        <f>_xlfn.XLOOKUP(A2206,CPIAUCSL!A:A,CPIAUCSL!B:B,"",-1)</f>
        <v>318.96100000000001</v>
      </c>
      <c r="L2206">
        <f>_xlfn.XLOOKUP(A2206,DFF!A:A,DFF!B:B,"",-1)</f>
        <v>4.33</v>
      </c>
      <c r="M2206">
        <f>_xlfn.XLOOKUP(A2206,'DGS2'!A:A,'DGS2'!B:B,"",-1)</f>
        <v>4.28</v>
      </c>
      <c r="N2206">
        <f t="shared" si="275"/>
        <v>0</v>
      </c>
      <c r="O2206">
        <f t="shared" si="276"/>
        <v>-1.1103896321238205E-2</v>
      </c>
      <c r="P2206">
        <f t="shared" si="277"/>
        <v>0</v>
      </c>
      <c r="Q2206">
        <f t="shared" si="278"/>
        <v>-1</v>
      </c>
    </row>
    <row r="2207" spans="1:17">
      <c r="A2207" s="1">
        <v>45664</v>
      </c>
      <c r="B2207">
        <v>5909.03</v>
      </c>
      <c r="C2207">
        <f t="shared" si="272"/>
        <v>-1.1103896321238205E-2</v>
      </c>
      <c r="D2207">
        <f t="shared" si="279"/>
        <v>6.8977856540370919E-3</v>
      </c>
      <c r="E2207">
        <f>_xlfn.XLOOKUP(A2207,VIX!A:A,VIX!B:B,"",-1)</f>
        <v>17.82</v>
      </c>
      <c r="F2207">
        <f t="shared" si="273"/>
        <v>1.7800000000000011</v>
      </c>
      <c r="G2207">
        <f>_xlfn.XLOOKUP(A2207,'DGS10'!A:A,'DGS10'!B:B,"",-1)</f>
        <v>4.67</v>
      </c>
      <c r="H2207">
        <f t="shared" si="274"/>
        <v>4.9999999999999822E-2</v>
      </c>
      <c r="I2207" s="2">
        <f>_xlfn.XLOOKUP(A2207,T10Y3M!A:A,T10Y3M!B:B,"",-1)</f>
        <v>0.32</v>
      </c>
      <c r="J2207" s="2">
        <f>_xlfn.XLOOKUP(A2207,BAMLC0A4CBBB!A:A,BAMLC0A4CBBB!B:B,"",-1)</f>
        <v>1.04</v>
      </c>
      <c r="K2207" s="2">
        <f>_xlfn.XLOOKUP(A2207,CPIAUCSL!A:A,CPIAUCSL!B:B,"",-1)</f>
        <v>318.96100000000001</v>
      </c>
      <c r="L2207">
        <f>_xlfn.XLOOKUP(A2207,DFF!A:A,DFF!B:B,"",-1)</f>
        <v>4.33</v>
      </c>
      <c r="M2207">
        <f>_xlfn.XLOOKUP(A2207,'DGS2'!A:A,'DGS2'!B:B,"",-1)</f>
        <v>4.3</v>
      </c>
      <c r="N2207">
        <f t="shared" si="275"/>
        <v>1.9999999999999574E-2</v>
      </c>
      <c r="O2207">
        <f t="shared" si="276"/>
        <v>1.5603237756451893E-3</v>
      </c>
      <c r="P2207">
        <f t="shared" si="277"/>
        <v>1</v>
      </c>
      <c r="Q2207">
        <f t="shared" si="278"/>
        <v>0</v>
      </c>
    </row>
    <row r="2208" spans="1:17">
      <c r="A2208" s="1">
        <v>45665</v>
      </c>
      <c r="B2208">
        <v>5918.25</v>
      </c>
      <c r="C2208">
        <f t="shared" si="272"/>
        <v>1.5603237756451893E-3</v>
      </c>
      <c r="D2208">
        <f t="shared" si="279"/>
        <v>-4.0757462805870448E-3</v>
      </c>
      <c r="E2208">
        <f>_xlfn.XLOOKUP(A2208,VIX!A:A,VIX!B:B,"",-1)</f>
        <v>17.7</v>
      </c>
      <c r="F2208">
        <f t="shared" si="273"/>
        <v>-0.12000000000000099</v>
      </c>
      <c r="G2208">
        <f>_xlfn.XLOOKUP(A2208,'DGS10'!A:A,'DGS10'!B:B,"",-1)</f>
        <v>4.67</v>
      </c>
      <c r="H2208">
        <f t="shared" si="274"/>
        <v>0</v>
      </c>
      <c r="I2208" s="2">
        <f>_xlfn.XLOOKUP(A2208,T10Y3M!A:A,T10Y3M!B:B,"",-1)</f>
        <v>0.32</v>
      </c>
      <c r="J2208" s="2">
        <f>_xlfn.XLOOKUP(A2208,BAMLC0A4CBBB!A:A,BAMLC0A4CBBB!B:B,"",-1)</f>
        <v>1.03</v>
      </c>
      <c r="K2208" s="2">
        <f>_xlfn.XLOOKUP(A2208,CPIAUCSL!A:A,CPIAUCSL!B:B,"",-1)</f>
        <v>318.96100000000001</v>
      </c>
      <c r="L2208">
        <f>_xlfn.XLOOKUP(A2208,DFF!A:A,DFF!B:B,"",-1)</f>
        <v>4.33</v>
      </c>
      <c r="M2208">
        <f>_xlfn.XLOOKUP(A2208,'DGS2'!A:A,'DGS2'!B:B,"",-1)</f>
        <v>4.28</v>
      </c>
      <c r="N2208">
        <f t="shared" si="275"/>
        <v>-1.9999999999999574E-2</v>
      </c>
      <c r="O2208">
        <f t="shared" si="276"/>
        <v>-1.5411650403413191E-2</v>
      </c>
      <c r="P2208">
        <f t="shared" si="277"/>
        <v>0</v>
      </c>
      <c r="Q2208">
        <f t="shared" si="278"/>
        <v>-1</v>
      </c>
    </row>
    <row r="2209" spans="1:17">
      <c r="A2209" s="1">
        <v>45667</v>
      </c>
      <c r="B2209">
        <v>5827.04</v>
      </c>
      <c r="C2209">
        <f t="shared" si="272"/>
        <v>-1.5411650403413191E-2</v>
      </c>
      <c r="D2209">
        <f t="shared" si="279"/>
        <v>-2.4825199401544373E-2</v>
      </c>
      <c r="E2209">
        <f>_xlfn.XLOOKUP(A2209,VIX!A:A,VIX!B:B,"",-1)</f>
        <v>19.54</v>
      </c>
      <c r="F2209">
        <f t="shared" si="273"/>
        <v>1.8399999999999999</v>
      </c>
      <c r="G2209">
        <f>_xlfn.XLOOKUP(A2209,'DGS10'!A:A,'DGS10'!B:B,"",-1)</f>
        <v>4.7699999999999996</v>
      </c>
      <c r="H2209">
        <f t="shared" si="274"/>
        <v>9.9999999999999645E-2</v>
      </c>
      <c r="I2209" s="2">
        <f>_xlfn.XLOOKUP(A2209,T10Y3M!A:A,T10Y3M!B:B,"",-1)</f>
        <v>0.41</v>
      </c>
      <c r="J2209" s="2">
        <f>_xlfn.XLOOKUP(A2209,BAMLC0A4CBBB!A:A,BAMLC0A4CBBB!B:B,"",-1)</f>
        <v>1.03</v>
      </c>
      <c r="K2209" s="2">
        <f>_xlfn.XLOOKUP(A2209,CPIAUCSL!A:A,CPIAUCSL!B:B,"",-1)</f>
        <v>318.96100000000001</v>
      </c>
      <c r="L2209">
        <f>_xlfn.XLOOKUP(A2209,DFF!A:A,DFF!B:B,"",-1)</f>
        <v>4.33</v>
      </c>
      <c r="M2209">
        <f>_xlfn.XLOOKUP(A2209,'DGS2'!A:A,'DGS2'!B:B,"",-1)</f>
        <v>4.4000000000000004</v>
      </c>
      <c r="N2209">
        <f t="shared" si="275"/>
        <v>0.12000000000000011</v>
      </c>
      <c r="O2209">
        <f t="shared" si="276"/>
        <v>1.5754139322881056E-3</v>
      </c>
      <c r="P2209">
        <f t="shared" si="277"/>
        <v>1</v>
      </c>
      <c r="Q2209">
        <f t="shared" si="278"/>
        <v>0</v>
      </c>
    </row>
    <row r="2210" spans="1:17">
      <c r="A2210" s="1">
        <v>45670</v>
      </c>
      <c r="B2210">
        <v>5836.22</v>
      </c>
      <c r="C2210">
        <f t="shared" si="272"/>
        <v>1.5754139322881056E-3</v>
      </c>
      <c r="D2210">
        <f t="shared" si="279"/>
        <v>-1.2321819317214433E-2</v>
      </c>
      <c r="E2210">
        <f>_xlfn.XLOOKUP(A2210,VIX!A:A,VIX!B:B,"",-1)</f>
        <v>19.190000000000001</v>
      </c>
      <c r="F2210">
        <f t="shared" si="273"/>
        <v>-0.34999999999999787</v>
      </c>
      <c r="G2210">
        <f>_xlfn.XLOOKUP(A2210,'DGS10'!A:A,'DGS10'!B:B,"",-1)</f>
        <v>4.79</v>
      </c>
      <c r="H2210">
        <f t="shared" si="274"/>
        <v>2.0000000000000462E-2</v>
      </c>
      <c r="I2210" s="2">
        <f>_xlfn.XLOOKUP(A2210,T10Y3M!A:A,T10Y3M!B:B,"",-1)</f>
        <v>0.42</v>
      </c>
      <c r="J2210" s="2">
        <f>_xlfn.XLOOKUP(A2210,BAMLC0A4CBBB!A:A,BAMLC0A4CBBB!B:B,"",-1)</f>
        <v>1.04</v>
      </c>
      <c r="K2210" s="2">
        <f>_xlfn.XLOOKUP(A2210,CPIAUCSL!A:A,CPIAUCSL!B:B,"",-1)</f>
        <v>318.96100000000001</v>
      </c>
      <c r="L2210">
        <f>_xlfn.XLOOKUP(A2210,DFF!A:A,DFF!B:B,"",-1)</f>
        <v>4.33</v>
      </c>
      <c r="M2210">
        <f>_xlfn.XLOOKUP(A2210,'DGS2'!A:A,'DGS2'!B:B,"",-1)</f>
        <v>4.4000000000000004</v>
      </c>
      <c r="N2210">
        <f t="shared" si="275"/>
        <v>0</v>
      </c>
      <c r="O2210">
        <f t="shared" si="276"/>
        <v>1.146289893115604E-3</v>
      </c>
      <c r="P2210">
        <f t="shared" si="277"/>
        <v>1</v>
      </c>
      <c r="Q2210">
        <f t="shared" si="278"/>
        <v>0</v>
      </c>
    </row>
    <row r="2211" spans="1:17">
      <c r="A2211" s="1">
        <v>45671</v>
      </c>
      <c r="B2211">
        <v>5842.91</v>
      </c>
      <c r="C2211">
        <f t="shared" si="272"/>
        <v>1.146289893115604E-3</v>
      </c>
      <c r="D2211">
        <f t="shared" si="279"/>
        <v>-1.2730114476407706E-2</v>
      </c>
      <c r="E2211">
        <f>_xlfn.XLOOKUP(A2211,VIX!A:A,VIX!B:B,"",-1)</f>
        <v>18.71</v>
      </c>
      <c r="F2211">
        <f t="shared" si="273"/>
        <v>-0.48000000000000043</v>
      </c>
      <c r="G2211">
        <f>_xlfn.XLOOKUP(A2211,'DGS10'!A:A,'DGS10'!B:B,"",-1)</f>
        <v>4.78</v>
      </c>
      <c r="H2211">
        <f t="shared" si="274"/>
        <v>-9.9999999999997868E-3</v>
      </c>
      <c r="I2211" s="2">
        <f>_xlfn.XLOOKUP(A2211,T10Y3M!A:A,T10Y3M!B:B,"",-1)</f>
        <v>0.42</v>
      </c>
      <c r="J2211" s="2">
        <f>_xlfn.XLOOKUP(A2211,BAMLC0A4CBBB!A:A,BAMLC0A4CBBB!B:B,"",-1)</f>
        <v>1.04</v>
      </c>
      <c r="K2211" s="2">
        <f>_xlfn.XLOOKUP(A2211,CPIAUCSL!A:A,CPIAUCSL!B:B,"",-1)</f>
        <v>318.96100000000001</v>
      </c>
      <c r="L2211">
        <f>_xlfn.XLOOKUP(A2211,DFF!A:A,DFF!B:B,"",-1)</f>
        <v>4.33</v>
      </c>
      <c r="M2211">
        <f>_xlfn.XLOOKUP(A2211,'DGS2'!A:A,'DGS2'!B:B,"",-1)</f>
        <v>4.37</v>
      </c>
      <c r="N2211">
        <f t="shared" si="275"/>
        <v>-3.0000000000000249E-2</v>
      </c>
      <c r="O2211">
        <f t="shared" si="276"/>
        <v>1.8312792769356268E-2</v>
      </c>
      <c r="P2211">
        <f t="shared" si="277"/>
        <v>1</v>
      </c>
      <c r="Q2211">
        <f t="shared" si="278"/>
        <v>1</v>
      </c>
    </row>
    <row r="2212" spans="1:17">
      <c r="A2212" s="1">
        <v>45672</v>
      </c>
      <c r="B2212">
        <v>5949.91</v>
      </c>
      <c r="C2212">
        <f t="shared" si="272"/>
        <v>1.8312792769356268E-2</v>
      </c>
      <c r="D2212">
        <f t="shared" si="279"/>
        <v>2.1086177544688223E-2</v>
      </c>
      <c r="E2212">
        <f>_xlfn.XLOOKUP(A2212,VIX!A:A,VIX!B:B,"",-1)</f>
        <v>16.12</v>
      </c>
      <c r="F2212">
        <f t="shared" si="273"/>
        <v>-2.59</v>
      </c>
      <c r="G2212">
        <f>_xlfn.XLOOKUP(A2212,'DGS10'!A:A,'DGS10'!B:B,"",-1)</f>
        <v>4.66</v>
      </c>
      <c r="H2212">
        <f t="shared" si="274"/>
        <v>-0.12000000000000011</v>
      </c>
      <c r="I2212" s="2">
        <f>_xlfn.XLOOKUP(A2212,T10Y3M!A:A,T10Y3M!B:B,"",-1)</f>
        <v>0.31</v>
      </c>
      <c r="J2212" s="2">
        <f>_xlfn.XLOOKUP(A2212,BAMLC0A4CBBB!A:A,BAMLC0A4CBBB!B:B,"",-1)</f>
        <v>1.03</v>
      </c>
      <c r="K2212" s="2">
        <f>_xlfn.XLOOKUP(A2212,CPIAUCSL!A:A,CPIAUCSL!B:B,"",-1)</f>
        <v>318.96100000000001</v>
      </c>
      <c r="L2212">
        <f>_xlfn.XLOOKUP(A2212,DFF!A:A,DFF!B:B,"",-1)</f>
        <v>4.33</v>
      </c>
      <c r="M2212">
        <f>_xlfn.XLOOKUP(A2212,'DGS2'!A:A,'DGS2'!B:B,"",-1)</f>
        <v>4.2699999999999996</v>
      </c>
      <c r="N2212">
        <f t="shared" si="275"/>
        <v>-0.10000000000000053</v>
      </c>
      <c r="O2212">
        <f t="shared" si="276"/>
        <v>-2.112636997870454E-3</v>
      </c>
      <c r="P2212">
        <f t="shared" si="277"/>
        <v>0</v>
      </c>
      <c r="Q2212">
        <f t="shared" si="278"/>
        <v>0</v>
      </c>
    </row>
    <row r="2213" spans="1:17">
      <c r="A2213" s="1">
        <v>45673</v>
      </c>
      <c r="B2213">
        <v>5937.34</v>
      </c>
      <c r="C2213">
        <f t="shared" si="272"/>
        <v>-2.112636997870454E-3</v>
      </c>
      <c r="D2213">
        <f t="shared" si="279"/>
        <v>1.7326283107901963E-2</v>
      </c>
      <c r="E2213">
        <f>_xlfn.XLOOKUP(A2213,VIX!A:A,VIX!B:B,"",-1)</f>
        <v>16.600000000000001</v>
      </c>
      <c r="F2213">
        <f t="shared" si="273"/>
        <v>0.48000000000000043</v>
      </c>
      <c r="G2213">
        <f>_xlfn.XLOOKUP(A2213,'DGS10'!A:A,'DGS10'!B:B,"",-1)</f>
        <v>4.6100000000000003</v>
      </c>
      <c r="H2213">
        <f t="shared" si="274"/>
        <v>-4.9999999999999822E-2</v>
      </c>
      <c r="I2213" s="2">
        <f>_xlfn.XLOOKUP(A2213,T10Y3M!A:A,T10Y3M!B:B,"",-1)</f>
        <v>0.27</v>
      </c>
      <c r="J2213" s="2">
        <f>_xlfn.XLOOKUP(A2213,BAMLC0A4CBBB!A:A,BAMLC0A4CBBB!B:B,"",-1)</f>
        <v>1.03</v>
      </c>
      <c r="K2213" s="2">
        <f>_xlfn.XLOOKUP(A2213,CPIAUCSL!A:A,CPIAUCSL!B:B,"",-1)</f>
        <v>318.96100000000001</v>
      </c>
      <c r="L2213">
        <f>_xlfn.XLOOKUP(A2213,DFF!A:A,DFF!B:B,"",-1)</f>
        <v>4.33</v>
      </c>
      <c r="M2213">
        <f>_xlfn.XLOOKUP(A2213,'DGS2'!A:A,'DGS2'!B:B,"",-1)</f>
        <v>4.2300000000000004</v>
      </c>
      <c r="N2213">
        <f t="shared" si="275"/>
        <v>-3.9999999999999147E-2</v>
      </c>
      <c r="O2213">
        <f t="shared" si="276"/>
        <v>9.9910060734267336E-3</v>
      </c>
      <c r="P2213">
        <f t="shared" si="277"/>
        <v>1</v>
      </c>
      <c r="Q2213">
        <f t="shared" si="278"/>
        <v>1</v>
      </c>
    </row>
    <row r="2214" spans="1:17">
      <c r="A2214" s="1">
        <v>45674</v>
      </c>
      <c r="B2214">
        <v>5996.66</v>
      </c>
      <c r="C2214">
        <f t="shared" si="272"/>
        <v>9.9910060734267336E-3</v>
      </c>
      <c r="D2214">
        <f t="shared" si="279"/>
        <v>2.6313942881201369E-2</v>
      </c>
      <c r="E2214">
        <f>_xlfn.XLOOKUP(A2214,VIX!A:A,VIX!B:B,"",-1)</f>
        <v>15.97</v>
      </c>
      <c r="F2214">
        <f t="shared" si="273"/>
        <v>-0.63000000000000078</v>
      </c>
      <c r="G2214">
        <f>_xlfn.XLOOKUP(A2214,'DGS10'!A:A,'DGS10'!B:B,"",-1)</f>
        <v>4.6100000000000003</v>
      </c>
      <c r="H2214">
        <f t="shared" si="274"/>
        <v>0</v>
      </c>
      <c r="I2214" s="2">
        <f>_xlfn.XLOOKUP(A2214,T10Y3M!A:A,T10Y3M!B:B,"",-1)</f>
        <v>0.27</v>
      </c>
      <c r="J2214" s="2">
        <f>_xlfn.XLOOKUP(A2214,BAMLC0A4CBBB!A:A,BAMLC0A4CBBB!B:B,"",-1)</f>
        <v>1.02</v>
      </c>
      <c r="K2214" s="2">
        <f>_xlfn.XLOOKUP(A2214,CPIAUCSL!A:A,CPIAUCSL!B:B,"",-1)</f>
        <v>318.96100000000001</v>
      </c>
      <c r="L2214">
        <f>_xlfn.XLOOKUP(A2214,DFF!A:A,DFF!B:B,"",-1)</f>
        <v>4.33</v>
      </c>
      <c r="M2214">
        <f>_xlfn.XLOOKUP(A2214,'DGS2'!A:A,'DGS2'!B:B,"",-1)</f>
        <v>4.2699999999999996</v>
      </c>
      <c r="N2214">
        <f t="shared" si="275"/>
        <v>3.9999999999999147E-2</v>
      </c>
      <c r="O2214">
        <f t="shared" si="276"/>
        <v>8.7682143059637507E-3</v>
      </c>
      <c r="P2214">
        <f t="shared" si="277"/>
        <v>1</v>
      </c>
      <c r="Q2214">
        <f t="shared" si="278"/>
        <v>1</v>
      </c>
    </row>
    <row r="2215" spans="1:17">
      <c r="A2215" s="1">
        <v>45678</v>
      </c>
      <c r="B2215">
        <v>6049.24</v>
      </c>
      <c r="C2215">
        <f t="shared" si="272"/>
        <v>8.7682143059637507E-3</v>
      </c>
      <c r="D2215">
        <f t="shared" si="279"/>
        <v>1.6694370166943751E-2</v>
      </c>
      <c r="E2215">
        <f>_xlfn.XLOOKUP(A2215,VIX!A:A,VIX!B:B,"",-1)</f>
        <v>15.06</v>
      </c>
      <c r="F2215">
        <f t="shared" si="273"/>
        <v>-0.91000000000000014</v>
      </c>
      <c r="G2215">
        <f>_xlfn.XLOOKUP(A2215,'DGS10'!A:A,'DGS10'!B:B,"",-1)</f>
        <v>4.57</v>
      </c>
      <c r="H2215">
        <f t="shared" si="274"/>
        <v>-4.0000000000000036E-2</v>
      </c>
      <c r="I2215" s="2">
        <f>_xlfn.XLOOKUP(A2215,T10Y3M!A:A,T10Y3M!B:B,"",-1)</f>
        <v>0.21</v>
      </c>
      <c r="J2215" s="2">
        <f>_xlfn.XLOOKUP(A2215,BAMLC0A4CBBB!A:A,BAMLC0A4CBBB!B:B,"",-1)</f>
        <v>1.02</v>
      </c>
      <c r="K2215" s="2">
        <f>_xlfn.XLOOKUP(A2215,CPIAUCSL!A:A,CPIAUCSL!B:B,"",-1)</f>
        <v>318.96100000000001</v>
      </c>
      <c r="L2215">
        <f>_xlfn.XLOOKUP(A2215,DFF!A:A,DFF!B:B,"",-1)</f>
        <v>4.33</v>
      </c>
      <c r="M2215">
        <f>_xlfn.XLOOKUP(A2215,'DGS2'!A:A,'DGS2'!B:B,"",-1)</f>
        <v>4.29</v>
      </c>
      <c r="N2215">
        <f t="shared" si="275"/>
        <v>2.0000000000000462E-2</v>
      </c>
      <c r="O2215">
        <f t="shared" si="276"/>
        <v>6.1379611323075789E-3</v>
      </c>
      <c r="P2215">
        <f t="shared" si="277"/>
        <v>1</v>
      </c>
      <c r="Q2215">
        <f t="shared" si="278"/>
        <v>1</v>
      </c>
    </row>
    <row r="2216" spans="1:17">
      <c r="A2216" s="1">
        <v>45679</v>
      </c>
      <c r="B2216">
        <v>6086.37</v>
      </c>
      <c r="C2216">
        <f t="shared" si="272"/>
        <v>6.1379611323075789E-3</v>
      </c>
      <c r="D2216">
        <f t="shared" si="279"/>
        <v>2.510046586518544E-2</v>
      </c>
      <c r="E2216">
        <f>_xlfn.XLOOKUP(A2216,VIX!A:A,VIX!B:B,"",-1)</f>
        <v>15.1</v>
      </c>
      <c r="F2216">
        <f t="shared" si="273"/>
        <v>3.9999999999999147E-2</v>
      </c>
      <c r="G2216">
        <f>_xlfn.XLOOKUP(A2216,'DGS10'!A:A,'DGS10'!B:B,"",-1)</f>
        <v>4.5999999999999996</v>
      </c>
      <c r="H2216">
        <f t="shared" si="274"/>
        <v>2.9999999999999361E-2</v>
      </c>
      <c r="I2216" s="2">
        <f>_xlfn.XLOOKUP(A2216,T10Y3M!A:A,T10Y3M!B:B,"",-1)</f>
        <v>0.24</v>
      </c>
      <c r="J2216" s="2">
        <f>_xlfn.XLOOKUP(A2216,BAMLC0A4CBBB!A:A,BAMLC0A4CBBB!B:B,"",-1)</f>
        <v>1.01</v>
      </c>
      <c r="K2216" s="2">
        <f>_xlfn.XLOOKUP(A2216,CPIAUCSL!A:A,CPIAUCSL!B:B,"",-1)</f>
        <v>318.96100000000001</v>
      </c>
      <c r="L2216">
        <f>_xlfn.XLOOKUP(A2216,DFF!A:A,DFF!B:B,"",-1)</f>
        <v>4.33</v>
      </c>
      <c r="M2216">
        <f>_xlfn.XLOOKUP(A2216,'DGS2'!A:A,'DGS2'!B:B,"",-1)</f>
        <v>4.29</v>
      </c>
      <c r="N2216">
        <f t="shared" si="275"/>
        <v>0</v>
      </c>
      <c r="O2216">
        <f t="shared" si="276"/>
        <v>5.31351199483443E-3</v>
      </c>
      <c r="P2216">
        <f t="shared" si="277"/>
        <v>1</v>
      </c>
      <c r="Q2216">
        <f t="shared" si="278"/>
        <v>1</v>
      </c>
    </row>
    <row r="2217" spans="1:17">
      <c r="A2217" s="1">
        <v>45680</v>
      </c>
      <c r="B2217">
        <v>6118.71</v>
      </c>
      <c r="C2217">
        <f t="shared" si="272"/>
        <v>5.31351199483443E-3</v>
      </c>
      <c r="D2217">
        <f t="shared" si="279"/>
        <v>2.0352996501385778E-2</v>
      </c>
      <c r="E2217">
        <f>_xlfn.XLOOKUP(A2217,VIX!A:A,VIX!B:B,"",-1)</f>
        <v>15.02</v>
      </c>
      <c r="F2217">
        <f t="shared" si="273"/>
        <v>-8.0000000000000071E-2</v>
      </c>
      <c r="G2217">
        <f>_xlfn.XLOOKUP(A2217,'DGS10'!A:A,'DGS10'!B:B,"",-1)</f>
        <v>4.6500000000000004</v>
      </c>
      <c r="H2217">
        <f t="shared" si="274"/>
        <v>5.0000000000000711E-2</v>
      </c>
      <c r="I2217" s="2">
        <f>_xlfn.XLOOKUP(A2217,T10Y3M!A:A,T10Y3M!B:B,"",-1)</f>
        <v>0.28999999999999998</v>
      </c>
      <c r="J2217" s="2">
        <f>_xlfn.XLOOKUP(A2217,BAMLC0A4CBBB!A:A,BAMLC0A4CBBB!B:B,"",-1)</f>
        <v>1</v>
      </c>
      <c r="K2217" s="2">
        <f>_xlfn.XLOOKUP(A2217,CPIAUCSL!A:A,CPIAUCSL!B:B,"",-1)</f>
        <v>318.96100000000001</v>
      </c>
      <c r="L2217">
        <f>_xlfn.XLOOKUP(A2217,DFF!A:A,DFF!B:B,"",-1)</f>
        <v>4.33</v>
      </c>
      <c r="M2217">
        <f>_xlfn.XLOOKUP(A2217,'DGS2'!A:A,'DGS2'!B:B,"",-1)</f>
        <v>4.29</v>
      </c>
      <c r="N2217">
        <f t="shared" si="275"/>
        <v>0</v>
      </c>
      <c r="O2217">
        <f t="shared" si="276"/>
        <v>-2.8551769899211044E-3</v>
      </c>
      <c r="P2217">
        <f t="shared" si="277"/>
        <v>0</v>
      </c>
      <c r="Q2217">
        <f t="shared" si="278"/>
        <v>0</v>
      </c>
    </row>
    <row r="2218" spans="1:17">
      <c r="A2218" s="1">
        <v>45681</v>
      </c>
      <c r="B2218">
        <v>6101.24</v>
      </c>
      <c r="C2218">
        <f t="shared" si="272"/>
        <v>-2.8551769899211044E-3</v>
      </c>
      <c r="D2218">
        <f t="shared" si="279"/>
        <v>8.5961211656340186E-3</v>
      </c>
      <c r="E2218">
        <f>_xlfn.XLOOKUP(A2218,VIX!A:A,VIX!B:B,"",-1)</f>
        <v>14.85</v>
      </c>
      <c r="F2218">
        <f t="shared" si="273"/>
        <v>-0.16999999999999993</v>
      </c>
      <c r="G2218">
        <f>_xlfn.XLOOKUP(A2218,'DGS10'!A:A,'DGS10'!B:B,"",-1)</f>
        <v>4.63</v>
      </c>
      <c r="H2218">
        <f t="shared" si="274"/>
        <v>-2.0000000000000462E-2</v>
      </c>
      <c r="I2218" s="2">
        <f>_xlfn.XLOOKUP(A2218,T10Y3M!A:A,T10Y3M!B:B,"",-1)</f>
        <v>0.28000000000000003</v>
      </c>
      <c r="J2218" s="2">
        <f>_xlfn.XLOOKUP(A2218,BAMLC0A4CBBB!A:A,BAMLC0A4CBBB!B:B,"",-1)</f>
        <v>1</v>
      </c>
      <c r="K2218" s="2">
        <f>_xlfn.XLOOKUP(A2218,CPIAUCSL!A:A,CPIAUCSL!B:B,"",-1)</f>
        <v>318.96100000000001</v>
      </c>
      <c r="L2218">
        <f>_xlfn.XLOOKUP(A2218,DFF!A:A,DFF!B:B,"",-1)</f>
        <v>4.33</v>
      </c>
      <c r="M2218">
        <f>_xlfn.XLOOKUP(A2218,'DGS2'!A:A,'DGS2'!B:B,"",-1)</f>
        <v>4.2699999999999996</v>
      </c>
      <c r="N2218">
        <f t="shared" si="275"/>
        <v>-2.0000000000000462E-2</v>
      </c>
      <c r="O2218">
        <f t="shared" si="276"/>
        <v>-1.45806426234667E-2</v>
      </c>
      <c r="P2218">
        <f t="shared" si="277"/>
        <v>0</v>
      </c>
      <c r="Q2218">
        <f t="shared" si="278"/>
        <v>-1</v>
      </c>
    </row>
    <row r="2219" spans="1:17">
      <c r="A2219" s="1">
        <v>45684</v>
      </c>
      <c r="B2219">
        <v>6012.28</v>
      </c>
      <c r="C2219">
        <f t="shared" si="272"/>
        <v>-1.45806426234667E-2</v>
      </c>
      <c r="D2219">
        <f t="shared" si="279"/>
        <v>-1.2173101536712361E-2</v>
      </c>
      <c r="E2219">
        <f>_xlfn.XLOOKUP(A2219,VIX!A:A,VIX!B:B,"",-1)</f>
        <v>17.899999999999999</v>
      </c>
      <c r="F2219">
        <f t="shared" si="273"/>
        <v>3.0499999999999989</v>
      </c>
      <c r="G2219">
        <f>_xlfn.XLOOKUP(A2219,'DGS10'!A:A,'DGS10'!B:B,"",-1)</f>
        <v>4.53</v>
      </c>
      <c r="H2219">
        <f t="shared" si="274"/>
        <v>-9.9999999999999645E-2</v>
      </c>
      <c r="I2219" s="2">
        <f>_xlfn.XLOOKUP(A2219,T10Y3M!A:A,T10Y3M!B:B,"",-1)</f>
        <v>0.21</v>
      </c>
      <c r="J2219" s="2">
        <f>_xlfn.XLOOKUP(A2219,BAMLC0A4CBBB!A:A,BAMLC0A4CBBB!B:B,"",-1)</f>
        <v>1.01</v>
      </c>
      <c r="K2219" s="2">
        <f>_xlfn.XLOOKUP(A2219,CPIAUCSL!A:A,CPIAUCSL!B:B,"",-1)</f>
        <v>318.96100000000001</v>
      </c>
      <c r="L2219">
        <f>_xlfn.XLOOKUP(A2219,DFF!A:A,DFF!B:B,"",-1)</f>
        <v>4.33</v>
      </c>
      <c r="M2219">
        <f>_xlfn.XLOOKUP(A2219,'DGS2'!A:A,'DGS2'!B:B,"",-1)</f>
        <v>4.17</v>
      </c>
      <c r="N2219">
        <f t="shared" si="275"/>
        <v>-9.9999999999999645E-2</v>
      </c>
      <c r="O2219">
        <f t="shared" si="276"/>
        <v>9.2178009008230255E-3</v>
      </c>
      <c r="P2219">
        <f t="shared" si="277"/>
        <v>1</v>
      </c>
      <c r="Q2219">
        <f t="shared" si="278"/>
        <v>1</v>
      </c>
    </row>
    <row r="2220" spans="1:17">
      <c r="A2220" s="1">
        <v>45685</v>
      </c>
      <c r="B2220">
        <v>6067.7</v>
      </c>
      <c r="C2220">
        <f t="shared" si="272"/>
        <v>9.2178009008230255E-3</v>
      </c>
      <c r="D2220">
        <f t="shared" si="279"/>
        <v>-8.3367245710288529E-3</v>
      </c>
      <c r="E2220">
        <f>_xlfn.XLOOKUP(A2220,VIX!A:A,VIX!B:B,"",-1)</f>
        <v>16.41</v>
      </c>
      <c r="F2220">
        <f t="shared" si="273"/>
        <v>-1.4899999999999984</v>
      </c>
      <c r="G2220">
        <f>_xlfn.XLOOKUP(A2220,'DGS10'!A:A,'DGS10'!B:B,"",-1)</f>
        <v>4.55</v>
      </c>
      <c r="H2220">
        <f t="shared" si="274"/>
        <v>1.9999999999999574E-2</v>
      </c>
      <c r="I2220" s="2">
        <f>_xlfn.XLOOKUP(A2220,T10Y3M!A:A,T10Y3M!B:B,"",-1)</f>
        <v>0.24</v>
      </c>
      <c r="J2220" s="2">
        <f>_xlfn.XLOOKUP(A2220,BAMLC0A4CBBB!A:A,BAMLC0A4CBBB!B:B,"",-1)</f>
        <v>1</v>
      </c>
      <c r="K2220" s="2">
        <f>_xlfn.XLOOKUP(A2220,CPIAUCSL!A:A,CPIAUCSL!B:B,"",-1)</f>
        <v>318.96100000000001</v>
      </c>
      <c r="L2220">
        <f>_xlfn.XLOOKUP(A2220,DFF!A:A,DFF!B:B,"",-1)</f>
        <v>4.33</v>
      </c>
      <c r="M2220">
        <f>_xlfn.XLOOKUP(A2220,'DGS2'!A:A,'DGS2'!B:B,"",-1)</f>
        <v>4.1900000000000004</v>
      </c>
      <c r="N2220">
        <f t="shared" si="275"/>
        <v>2.0000000000000462E-2</v>
      </c>
      <c r="O2220">
        <f t="shared" si="276"/>
        <v>-4.6788733787100911E-3</v>
      </c>
      <c r="P2220">
        <f t="shared" si="277"/>
        <v>0</v>
      </c>
      <c r="Q2220">
        <f t="shared" si="278"/>
        <v>-1</v>
      </c>
    </row>
    <row r="2221" spans="1:17">
      <c r="A2221" s="1">
        <v>45686</v>
      </c>
      <c r="B2221">
        <v>6039.31</v>
      </c>
      <c r="C2221">
        <f t="shared" si="272"/>
        <v>-4.6788733787100911E-3</v>
      </c>
      <c r="D2221">
        <f t="shared" si="279"/>
        <v>-1.0150395657276157E-2</v>
      </c>
      <c r="E2221">
        <f>_xlfn.XLOOKUP(A2221,VIX!A:A,VIX!B:B,"",-1)</f>
        <v>16.559999999999999</v>
      </c>
      <c r="F2221">
        <f t="shared" si="273"/>
        <v>0.14999999999999858</v>
      </c>
      <c r="G2221">
        <f>_xlfn.XLOOKUP(A2221,'DGS10'!A:A,'DGS10'!B:B,"",-1)</f>
        <v>4.55</v>
      </c>
      <c r="H2221">
        <f t="shared" si="274"/>
        <v>0</v>
      </c>
      <c r="I2221" s="2">
        <f>_xlfn.XLOOKUP(A2221,T10Y3M!A:A,T10Y3M!B:B,"",-1)</f>
        <v>0.24</v>
      </c>
      <c r="J2221" s="2">
        <f>_xlfn.XLOOKUP(A2221,BAMLC0A4CBBB!A:A,BAMLC0A4CBBB!B:B,"",-1)</f>
        <v>1.01</v>
      </c>
      <c r="K2221" s="2">
        <f>_xlfn.XLOOKUP(A2221,CPIAUCSL!A:A,CPIAUCSL!B:B,"",-1)</f>
        <v>318.96100000000001</v>
      </c>
      <c r="L2221">
        <f>_xlfn.XLOOKUP(A2221,DFF!A:A,DFF!B:B,"",-1)</f>
        <v>4.33</v>
      </c>
      <c r="M2221">
        <f>_xlfn.XLOOKUP(A2221,'DGS2'!A:A,'DGS2'!B:B,"",-1)</f>
        <v>4.21</v>
      </c>
      <c r="N2221">
        <f t="shared" si="275"/>
        <v>1.9999999999999574E-2</v>
      </c>
      <c r="O2221">
        <f t="shared" si="276"/>
        <v>5.2754370946348494E-3</v>
      </c>
      <c r="P2221">
        <f t="shared" si="277"/>
        <v>1</v>
      </c>
      <c r="Q2221">
        <f t="shared" si="278"/>
        <v>1</v>
      </c>
    </row>
    <row r="2222" spans="1:17">
      <c r="A2222" s="1">
        <v>45687</v>
      </c>
      <c r="B2222">
        <v>6071.17</v>
      </c>
      <c r="C2222">
        <f t="shared" si="272"/>
        <v>5.2754370946348494E-3</v>
      </c>
      <c r="D2222">
        <f t="shared" si="279"/>
        <v>9.794952996201145E-3</v>
      </c>
      <c r="E2222">
        <f>_xlfn.XLOOKUP(A2222,VIX!A:A,VIX!B:B,"",-1)</f>
        <v>15.84</v>
      </c>
      <c r="F2222">
        <f t="shared" si="273"/>
        <v>-0.71999999999999886</v>
      </c>
      <c r="G2222">
        <f>_xlfn.XLOOKUP(A2222,'DGS10'!A:A,'DGS10'!B:B,"",-1)</f>
        <v>4.5199999999999996</v>
      </c>
      <c r="H2222">
        <f t="shared" si="274"/>
        <v>-3.0000000000000249E-2</v>
      </c>
      <c r="I2222" s="2">
        <f>_xlfn.XLOOKUP(A2222,T10Y3M!A:A,T10Y3M!B:B,"",-1)</f>
        <v>0.22</v>
      </c>
      <c r="J2222" s="2">
        <f>_xlfn.XLOOKUP(A2222,BAMLC0A4CBBB!A:A,BAMLC0A4CBBB!B:B,"",-1)</f>
        <v>1.01</v>
      </c>
      <c r="K2222" s="2">
        <f>_xlfn.XLOOKUP(A2222,CPIAUCSL!A:A,CPIAUCSL!B:B,"",-1)</f>
        <v>318.96100000000001</v>
      </c>
      <c r="L2222">
        <f>_xlfn.XLOOKUP(A2222,DFF!A:A,DFF!B:B,"",-1)</f>
        <v>4.33</v>
      </c>
      <c r="M2222">
        <f>_xlfn.XLOOKUP(A2222,'DGS2'!A:A,'DGS2'!B:B,"",-1)</f>
        <v>4.18</v>
      </c>
      <c r="N2222">
        <f t="shared" si="275"/>
        <v>-3.0000000000000249E-2</v>
      </c>
      <c r="O2222">
        <f t="shared" si="276"/>
        <v>-5.0468031697350479E-3</v>
      </c>
      <c r="P2222">
        <f t="shared" si="277"/>
        <v>0</v>
      </c>
      <c r="Q2222">
        <f t="shared" si="278"/>
        <v>-1</v>
      </c>
    </row>
    <row r="2223" spans="1:17">
      <c r="A2223" s="1">
        <v>45688</v>
      </c>
      <c r="B2223">
        <v>6040.53</v>
      </c>
      <c r="C2223">
        <f t="shared" si="272"/>
        <v>-5.0468031697350479E-3</v>
      </c>
      <c r="D2223">
        <f t="shared" si="279"/>
        <v>-4.4778087248875664E-3</v>
      </c>
      <c r="E2223">
        <f>_xlfn.XLOOKUP(A2223,VIX!A:A,VIX!B:B,"",-1)</f>
        <v>16.43</v>
      </c>
      <c r="F2223">
        <f t="shared" si="273"/>
        <v>0.58999999999999986</v>
      </c>
      <c r="G2223">
        <f>_xlfn.XLOOKUP(A2223,'DGS10'!A:A,'DGS10'!B:B,"",-1)</f>
        <v>4.58</v>
      </c>
      <c r="H2223">
        <f t="shared" si="274"/>
        <v>6.0000000000000497E-2</v>
      </c>
      <c r="I2223" s="2">
        <f>_xlfn.XLOOKUP(A2223,T10Y3M!A:A,T10Y3M!B:B,"",-1)</f>
        <v>0.27</v>
      </c>
      <c r="J2223" s="2">
        <f>_xlfn.XLOOKUP(A2223,BAMLC0A4CBBB!A:A,BAMLC0A4CBBB!B:B,"",-1)</f>
        <v>1.02</v>
      </c>
      <c r="K2223" s="2">
        <f>_xlfn.XLOOKUP(A2223,CPIAUCSL!A:A,CPIAUCSL!B:B,"",-1)</f>
        <v>318.96100000000001</v>
      </c>
      <c r="L2223">
        <f>_xlfn.XLOOKUP(A2223,DFF!A:A,DFF!B:B,"",-1)</f>
        <v>4.33</v>
      </c>
      <c r="M2223">
        <f>_xlfn.XLOOKUP(A2223,'DGS2'!A:A,'DGS2'!B:B,"",-1)</f>
        <v>4.22</v>
      </c>
      <c r="N2223">
        <f t="shared" si="275"/>
        <v>4.0000000000000036E-2</v>
      </c>
      <c r="O2223">
        <f t="shared" si="276"/>
        <v>-7.6086038807853251E-3</v>
      </c>
      <c r="P2223">
        <f t="shared" si="277"/>
        <v>0</v>
      </c>
      <c r="Q2223">
        <f t="shared" si="278"/>
        <v>-1</v>
      </c>
    </row>
    <row r="2224" spans="1:17">
      <c r="A2224" s="1">
        <v>45691</v>
      </c>
      <c r="B2224">
        <v>5994.57</v>
      </c>
      <c r="C2224">
        <f t="shared" si="272"/>
        <v>-7.6086038807853251E-3</v>
      </c>
      <c r="D2224">
        <f t="shared" si="279"/>
        <v>-7.4081310613299811E-3</v>
      </c>
      <c r="E2224">
        <f>_xlfn.XLOOKUP(A2224,VIX!A:A,VIX!B:B,"",-1)</f>
        <v>18.62</v>
      </c>
      <c r="F2224">
        <f t="shared" si="273"/>
        <v>2.1900000000000013</v>
      </c>
      <c r="G2224">
        <f>_xlfn.XLOOKUP(A2224,'DGS10'!A:A,'DGS10'!B:B,"",-1)</f>
        <v>4.54</v>
      </c>
      <c r="H2224">
        <f t="shared" si="274"/>
        <v>-4.0000000000000036E-2</v>
      </c>
      <c r="I2224" s="2">
        <f>_xlfn.XLOOKUP(A2224,T10Y3M!A:A,T10Y3M!B:B,"",-1)</f>
        <v>0.2</v>
      </c>
      <c r="J2224" s="2">
        <f>_xlfn.XLOOKUP(A2224,BAMLC0A4CBBB!A:A,BAMLC0A4CBBB!B:B,"",-1)</f>
        <v>1.03</v>
      </c>
      <c r="K2224" s="2">
        <f>_xlfn.XLOOKUP(A2224,CPIAUCSL!A:A,CPIAUCSL!B:B,"",-1)</f>
        <v>319.67899999999997</v>
      </c>
      <c r="L2224">
        <f>_xlfn.XLOOKUP(A2224,DFF!A:A,DFF!B:B,"",-1)</f>
        <v>4.33</v>
      </c>
      <c r="M2224">
        <f>_xlfn.XLOOKUP(A2224,'DGS2'!A:A,'DGS2'!B:B,"",-1)</f>
        <v>4.26</v>
      </c>
      <c r="N2224">
        <f t="shared" si="275"/>
        <v>4.0000000000000036E-2</v>
      </c>
      <c r="O2224">
        <f t="shared" si="276"/>
        <v>7.2248718423506553E-3</v>
      </c>
      <c r="P2224">
        <f t="shared" si="277"/>
        <v>1</v>
      </c>
      <c r="Q2224">
        <f t="shared" si="278"/>
        <v>1</v>
      </c>
    </row>
    <row r="2225" spans="1:17">
      <c r="A2225" s="1">
        <v>45692</v>
      </c>
      <c r="B2225">
        <v>6037.88</v>
      </c>
      <c r="C2225">
        <f t="shared" si="272"/>
        <v>7.2248718423506553E-3</v>
      </c>
      <c r="D2225">
        <f t="shared" si="279"/>
        <v>-5.4832923472740713E-3</v>
      </c>
      <c r="E2225">
        <f>_xlfn.XLOOKUP(A2225,VIX!A:A,VIX!B:B,"",-1)</f>
        <v>17.21</v>
      </c>
      <c r="F2225">
        <f t="shared" si="273"/>
        <v>-1.4100000000000001</v>
      </c>
      <c r="G2225">
        <f>_xlfn.XLOOKUP(A2225,'DGS10'!A:A,'DGS10'!B:B,"",-1)</f>
        <v>4.5199999999999996</v>
      </c>
      <c r="H2225">
        <f t="shared" si="274"/>
        <v>-2.0000000000000462E-2</v>
      </c>
      <c r="I2225" s="2">
        <f>_xlfn.XLOOKUP(A2225,T10Y3M!A:A,T10Y3M!B:B,"",-1)</f>
        <v>0.19</v>
      </c>
      <c r="J2225" s="2">
        <f>_xlfn.XLOOKUP(A2225,BAMLC0A4CBBB!A:A,BAMLC0A4CBBB!B:B,"",-1)</f>
        <v>1.03</v>
      </c>
      <c r="K2225" s="2">
        <f>_xlfn.XLOOKUP(A2225,CPIAUCSL!A:A,CPIAUCSL!B:B,"",-1)</f>
        <v>319.67899999999997</v>
      </c>
      <c r="L2225">
        <f>_xlfn.XLOOKUP(A2225,DFF!A:A,DFF!B:B,"",-1)</f>
        <v>4.33</v>
      </c>
      <c r="M2225">
        <f>_xlfn.XLOOKUP(A2225,'DGS2'!A:A,'DGS2'!B:B,"",-1)</f>
        <v>4.21</v>
      </c>
      <c r="N2225">
        <f t="shared" si="275"/>
        <v>-4.9999999999999822E-2</v>
      </c>
      <c r="O2225">
        <f t="shared" si="276"/>
        <v>3.9086566808217427E-3</v>
      </c>
      <c r="P2225">
        <f t="shared" si="277"/>
        <v>1</v>
      </c>
      <c r="Q2225">
        <f t="shared" si="278"/>
        <v>1</v>
      </c>
    </row>
    <row r="2226" spans="1:17">
      <c r="A2226" s="1">
        <v>45693</v>
      </c>
      <c r="B2226">
        <v>6061.48</v>
      </c>
      <c r="C2226">
        <f t="shared" si="272"/>
        <v>3.9086566808217427E-3</v>
      </c>
      <c r="D2226">
        <f t="shared" si="279"/>
        <v>3.4682387141524718E-3</v>
      </c>
      <c r="E2226">
        <f>_xlfn.XLOOKUP(A2226,VIX!A:A,VIX!B:B,"",-1)</f>
        <v>15.77</v>
      </c>
      <c r="F2226">
        <f t="shared" si="273"/>
        <v>-1.4400000000000013</v>
      </c>
      <c r="G2226">
        <f>_xlfn.XLOOKUP(A2226,'DGS10'!A:A,'DGS10'!B:B,"",-1)</f>
        <v>4.43</v>
      </c>
      <c r="H2226">
        <f t="shared" si="274"/>
        <v>-8.9999999999999858E-2</v>
      </c>
      <c r="I2226" s="2">
        <f>_xlfn.XLOOKUP(A2226,T10Y3M!A:A,T10Y3M!B:B,"",-1)</f>
        <v>0.1</v>
      </c>
      <c r="J2226" s="2">
        <f>_xlfn.XLOOKUP(A2226,BAMLC0A4CBBB!A:A,BAMLC0A4CBBB!B:B,"",-1)</f>
        <v>1.03</v>
      </c>
      <c r="K2226" s="2">
        <f>_xlfn.XLOOKUP(A2226,CPIAUCSL!A:A,CPIAUCSL!B:B,"",-1)</f>
        <v>319.67899999999997</v>
      </c>
      <c r="L2226">
        <f>_xlfn.XLOOKUP(A2226,DFF!A:A,DFF!B:B,"",-1)</f>
        <v>4.33</v>
      </c>
      <c r="M2226">
        <f>_xlfn.XLOOKUP(A2226,'DGS2'!A:A,'DGS2'!B:B,"",-1)</f>
        <v>4.17</v>
      </c>
      <c r="N2226">
        <f t="shared" si="275"/>
        <v>-4.0000000000000036E-2</v>
      </c>
      <c r="O2226">
        <f t="shared" si="276"/>
        <v>3.64432448840879E-3</v>
      </c>
      <c r="P2226">
        <f t="shared" si="277"/>
        <v>1</v>
      </c>
      <c r="Q2226">
        <f t="shared" si="278"/>
        <v>1</v>
      </c>
    </row>
    <row r="2227" spans="1:17">
      <c r="A2227" s="1">
        <v>45694</v>
      </c>
      <c r="B2227">
        <v>6083.57</v>
      </c>
      <c r="C2227">
        <f t="shared" si="272"/>
        <v>3.64432448840879E-3</v>
      </c>
      <c r="D2227">
        <f t="shared" si="279"/>
        <v>1.4846769659875525E-2</v>
      </c>
      <c r="E2227">
        <f>_xlfn.XLOOKUP(A2227,VIX!A:A,VIX!B:B,"",-1)</f>
        <v>15.5</v>
      </c>
      <c r="F2227">
        <f t="shared" si="273"/>
        <v>-0.26999999999999957</v>
      </c>
      <c r="G2227">
        <f>_xlfn.XLOOKUP(A2227,'DGS10'!A:A,'DGS10'!B:B,"",-1)</f>
        <v>4.45</v>
      </c>
      <c r="H2227">
        <f t="shared" si="274"/>
        <v>2.0000000000000462E-2</v>
      </c>
      <c r="I2227" s="2">
        <f>_xlfn.XLOOKUP(A2227,T10Y3M!A:A,T10Y3M!B:B,"",-1)</f>
        <v>0.11</v>
      </c>
      <c r="J2227" s="2">
        <f>_xlfn.XLOOKUP(A2227,BAMLC0A4CBBB!A:A,BAMLC0A4CBBB!B:B,"",-1)</f>
        <v>1.04</v>
      </c>
      <c r="K2227" s="2">
        <f>_xlfn.XLOOKUP(A2227,CPIAUCSL!A:A,CPIAUCSL!B:B,"",-1)</f>
        <v>319.67899999999997</v>
      </c>
      <c r="L2227">
        <f>_xlfn.XLOOKUP(A2227,DFF!A:A,DFF!B:B,"",-1)</f>
        <v>4.33</v>
      </c>
      <c r="M2227">
        <f>_xlfn.XLOOKUP(A2227,'DGS2'!A:A,'DGS2'!B:B,"",-1)</f>
        <v>4.21</v>
      </c>
      <c r="N2227">
        <f t="shared" si="275"/>
        <v>4.0000000000000036E-2</v>
      </c>
      <c r="O2227">
        <f t="shared" si="276"/>
        <v>-9.464837258386094E-3</v>
      </c>
      <c r="P2227">
        <f t="shared" si="277"/>
        <v>0</v>
      </c>
      <c r="Q2227">
        <f t="shared" si="278"/>
        <v>-1</v>
      </c>
    </row>
    <row r="2228" spans="1:17">
      <c r="A2228" s="1">
        <v>45695</v>
      </c>
      <c r="B2228">
        <v>6025.99</v>
      </c>
      <c r="C2228">
        <f t="shared" si="272"/>
        <v>-9.464837258386094E-3</v>
      </c>
      <c r="D2228">
        <f t="shared" si="279"/>
        <v>-1.9692342345326574E-3</v>
      </c>
      <c r="E2228">
        <f>_xlfn.XLOOKUP(A2228,VIX!A:A,VIX!B:B,"",-1)</f>
        <v>16.54</v>
      </c>
      <c r="F2228">
        <f t="shared" si="273"/>
        <v>1.0399999999999991</v>
      </c>
      <c r="G2228">
        <f>_xlfn.XLOOKUP(A2228,'DGS10'!A:A,'DGS10'!B:B,"",-1)</f>
        <v>4.49</v>
      </c>
      <c r="H2228">
        <f t="shared" si="274"/>
        <v>4.0000000000000036E-2</v>
      </c>
      <c r="I2228" s="2">
        <f>_xlfn.XLOOKUP(A2228,T10Y3M!A:A,T10Y3M!B:B,"",-1)</f>
        <v>0.14000000000000001</v>
      </c>
      <c r="J2228" s="2">
        <f>_xlfn.XLOOKUP(A2228,BAMLC0A4CBBB!A:A,BAMLC0A4CBBB!B:B,"",-1)</f>
        <v>1.04</v>
      </c>
      <c r="K2228" s="2">
        <f>_xlfn.XLOOKUP(A2228,CPIAUCSL!A:A,CPIAUCSL!B:B,"",-1)</f>
        <v>319.67899999999997</v>
      </c>
      <c r="L2228">
        <f>_xlfn.XLOOKUP(A2228,DFF!A:A,DFF!B:B,"",-1)</f>
        <v>4.33</v>
      </c>
      <c r="M2228">
        <f>_xlfn.XLOOKUP(A2228,'DGS2'!A:A,'DGS2'!B:B,"",-1)</f>
        <v>4.29</v>
      </c>
      <c r="N2228">
        <f t="shared" si="275"/>
        <v>8.0000000000000071E-2</v>
      </c>
      <c r="O2228">
        <f t="shared" si="276"/>
        <v>6.712589964470439E-3</v>
      </c>
      <c r="P2228">
        <f t="shared" si="277"/>
        <v>1</v>
      </c>
      <c r="Q2228">
        <f t="shared" si="278"/>
        <v>1</v>
      </c>
    </row>
    <row r="2229" spans="1:17">
      <c r="A2229" s="1">
        <v>45698</v>
      </c>
      <c r="B2229">
        <v>6066.44</v>
      </c>
      <c r="C2229">
        <f t="shared" si="272"/>
        <v>6.712589964470439E-3</v>
      </c>
      <c r="D2229">
        <f t="shared" si="279"/>
        <v>8.1828200373501581E-4</v>
      </c>
      <c r="E2229">
        <f>_xlfn.XLOOKUP(A2229,VIX!A:A,VIX!B:B,"",-1)</f>
        <v>15.81</v>
      </c>
      <c r="F2229">
        <f t="shared" si="273"/>
        <v>-0.72999999999999865</v>
      </c>
      <c r="G2229">
        <f>_xlfn.XLOOKUP(A2229,'DGS10'!A:A,'DGS10'!B:B,"",-1)</f>
        <v>4.51</v>
      </c>
      <c r="H2229">
        <f t="shared" si="274"/>
        <v>1.9999999999999574E-2</v>
      </c>
      <c r="I2229" s="2">
        <f>_xlfn.XLOOKUP(A2229,T10Y3M!A:A,T10Y3M!B:B,"",-1)</f>
        <v>0.16</v>
      </c>
      <c r="J2229" s="2">
        <f>_xlfn.XLOOKUP(A2229,BAMLC0A4CBBB!A:A,BAMLC0A4CBBB!B:B,"",-1)</f>
        <v>1.04</v>
      </c>
      <c r="K2229" s="2">
        <f>_xlfn.XLOOKUP(A2229,CPIAUCSL!A:A,CPIAUCSL!B:B,"",-1)</f>
        <v>319.67899999999997</v>
      </c>
      <c r="L2229">
        <f>_xlfn.XLOOKUP(A2229,DFF!A:A,DFF!B:B,"",-1)</f>
        <v>4.33</v>
      </c>
      <c r="M2229">
        <f>_xlfn.XLOOKUP(A2229,'DGS2'!A:A,'DGS2'!B:B,"",-1)</f>
        <v>4.28</v>
      </c>
      <c r="N2229">
        <f t="shared" si="275"/>
        <v>-9.9999999999997868E-3</v>
      </c>
      <c r="O2229">
        <f t="shared" si="276"/>
        <v>3.3957312690802155E-4</v>
      </c>
      <c r="P2229">
        <f t="shared" si="277"/>
        <v>1</v>
      </c>
      <c r="Q2229">
        <f t="shared" si="278"/>
        <v>0</v>
      </c>
    </row>
    <row r="2230" spans="1:17">
      <c r="A2230" s="1">
        <v>45699</v>
      </c>
      <c r="B2230">
        <v>6068.5</v>
      </c>
      <c r="C2230">
        <f t="shared" si="272"/>
        <v>3.3957312690802155E-4</v>
      </c>
      <c r="D2230">
        <f t="shared" si="279"/>
        <v>-2.4771639021166081E-3</v>
      </c>
      <c r="E2230">
        <f>_xlfn.XLOOKUP(A2230,VIX!A:A,VIX!B:B,"",-1)</f>
        <v>16.02</v>
      </c>
      <c r="F2230">
        <f t="shared" si="273"/>
        <v>0.20999999999999908</v>
      </c>
      <c r="G2230">
        <f>_xlfn.XLOOKUP(A2230,'DGS10'!A:A,'DGS10'!B:B,"",-1)</f>
        <v>4.54</v>
      </c>
      <c r="H2230">
        <f t="shared" si="274"/>
        <v>3.0000000000000249E-2</v>
      </c>
      <c r="I2230" s="2">
        <f>_xlfn.XLOOKUP(A2230,T10Y3M!A:A,T10Y3M!B:B,"",-1)</f>
        <v>0.19</v>
      </c>
      <c r="J2230" s="2">
        <f>_xlfn.XLOOKUP(A2230,BAMLC0A4CBBB!A:A,BAMLC0A4CBBB!B:B,"",-1)</f>
        <v>1.03</v>
      </c>
      <c r="K2230" s="2">
        <f>_xlfn.XLOOKUP(A2230,CPIAUCSL!A:A,CPIAUCSL!B:B,"",-1)</f>
        <v>319.67899999999997</v>
      </c>
      <c r="L2230">
        <f>_xlfn.XLOOKUP(A2230,DFF!A:A,DFF!B:B,"",-1)</f>
        <v>4.33</v>
      </c>
      <c r="M2230">
        <f>_xlfn.XLOOKUP(A2230,'DGS2'!A:A,'DGS2'!B:B,"",-1)</f>
        <v>4.29</v>
      </c>
      <c r="N2230">
        <f t="shared" si="275"/>
        <v>9.9999999999997868E-3</v>
      </c>
      <c r="O2230">
        <f t="shared" si="276"/>
        <v>-2.7239021174919609E-3</v>
      </c>
      <c r="P2230">
        <f t="shared" si="277"/>
        <v>0</v>
      </c>
      <c r="Q2230">
        <f t="shared" si="278"/>
        <v>0</v>
      </c>
    </row>
    <row r="2231" spans="1:17">
      <c r="A2231" s="1">
        <v>45700</v>
      </c>
      <c r="B2231">
        <v>6051.97</v>
      </c>
      <c r="C2231">
        <f t="shared" si="272"/>
        <v>-2.7239021174919609E-3</v>
      </c>
      <c r="D2231">
        <f t="shared" si="279"/>
        <v>4.311324778169201E-3</v>
      </c>
      <c r="E2231">
        <f>_xlfn.XLOOKUP(A2231,VIX!A:A,VIX!B:B,"",-1)</f>
        <v>15.89</v>
      </c>
      <c r="F2231">
        <f t="shared" si="273"/>
        <v>-0.12999999999999901</v>
      </c>
      <c r="G2231">
        <f>_xlfn.XLOOKUP(A2231,'DGS10'!A:A,'DGS10'!B:B,"",-1)</f>
        <v>4.62</v>
      </c>
      <c r="H2231">
        <f t="shared" si="274"/>
        <v>8.0000000000000071E-2</v>
      </c>
      <c r="I2231" s="2">
        <f>_xlfn.XLOOKUP(A2231,T10Y3M!A:A,T10Y3M!B:B,"",-1)</f>
        <v>0.27</v>
      </c>
      <c r="J2231" s="2">
        <f>_xlfn.XLOOKUP(A2231,BAMLC0A4CBBB!A:A,BAMLC0A4CBBB!B:B,"",-1)</f>
        <v>1.01</v>
      </c>
      <c r="K2231" s="2">
        <f>_xlfn.XLOOKUP(A2231,CPIAUCSL!A:A,CPIAUCSL!B:B,"",-1)</f>
        <v>319.67899999999997</v>
      </c>
      <c r="L2231">
        <f>_xlfn.XLOOKUP(A2231,DFF!A:A,DFF!B:B,"",-1)</f>
        <v>4.33</v>
      </c>
      <c r="M2231">
        <f>_xlfn.XLOOKUP(A2231,'DGS2'!A:A,'DGS2'!B:B,"",-1)</f>
        <v>4.3600000000000003</v>
      </c>
      <c r="N2231">
        <f t="shared" si="275"/>
        <v>7.0000000000000284E-2</v>
      </c>
      <c r="O2231">
        <f t="shared" si="276"/>
        <v>1.0426357037460532E-2</v>
      </c>
      <c r="P2231">
        <f t="shared" si="277"/>
        <v>1</v>
      </c>
      <c r="Q2231">
        <f t="shared" si="278"/>
        <v>1</v>
      </c>
    </row>
    <row r="2232" spans="1:17">
      <c r="A2232" s="1">
        <v>45701</v>
      </c>
      <c r="B2232">
        <v>6115.07</v>
      </c>
      <c r="C2232">
        <f t="shared" si="272"/>
        <v>1.0426357037460532E-2</v>
      </c>
      <c r="D2232">
        <f t="shared" si="279"/>
        <v>8.0162335735620704E-3</v>
      </c>
      <c r="E2232">
        <f>_xlfn.XLOOKUP(A2232,VIX!A:A,VIX!B:B,"",-1)</f>
        <v>15.1</v>
      </c>
      <c r="F2232">
        <f t="shared" si="273"/>
        <v>-0.79000000000000092</v>
      </c>
      <c r="G2232">
        <f>_xlfn.XLOOKUP(A2232,'DGS10'!A:A,'DGS10'!B:B,"",-1)</f>
        <v>4.5199999999999996</v>
      </c>
      <c r="H2232">
        <f t="shared" si="274"/>
        <v>-0.10000000000000053</v>
      </c>
      <c r="I2232" s="2">
        <f>_xlfn.XLOOKUP(A2232,T10Y3M!A:A,T10Y3M!B:B,"",-1)</f>
        <v>0.18</v>
      </c>
      <c r="J2232" s="2">
        <f>_xlfn.XLOOKUP(A2232,BAMLC0A4CBBB!A:A,BAMLC0A4CBBB!B:B,"",-1)</f>
        <v>1</v>
      </c>
      <c r="K2232" s="2">
        <f>_xlfn.XLOOKUP(A2232,CPIAUCSL!A:A,CPIAUCSL!B:B,"",-1)</f>
        <v>319.67899999999997</v>
      </c>
      <c r="L2232">
        <f>_xlfn.XLOOKUP(A2232,DFF!A:A,DFF!B:B,"",-1)</f>
        <v>4.33</v>
      </c>
      <c r="M2232">
        <f>_xlfn.XLOOKUP(A2232,'DGS2'!A:A,'DGS2'!B:B,"",-1)</f>
        <v>4.3099999999999996</v>
      </c>
      <c r="N2232">
        <f t="shared" si="275"/>
        <v>-5.0000000000000711E-2</v>
      </c>
      <c r="O2232">
        <f t="shared" si="276"/>
        <v>-7.195338728738232E-5</v>
      </c>
      <c r="P2232">
        <f t="shared" si="277"/>
        <v>0</v>
      </c>
      <c r="Q2232">
        <f t="shared" si="278"/>
        <v>0</v>
      </c>
    </row>
    <row r="2233" spans="1:17">
      <c r="A2233" s="1">
        <v>45702</v>
      </c>
      <c r="B2233">
        <v>6114.63</v>
      </c>
      <c r="C2233">
        <f t="shared" si="272"/>
        <v>-7.195338728738232E-5</v>
      </c>
      <c r="D2233">
        <f t="shared" si="279"/>
        <v>7.6015489824503568E-3</v>
      </c>
      <c r="E2233">
        <f>_xlfn.XLOOKUP(A2233,VIX!A:A,VIX!B:B,"",-1)</f>
        <v>14.77</v>
      </c>
      <c r="F2233">
        <f t="shared" si="273"/>
        <v>-0.33000000000000007</v>
      </c>
      <c r="G2233">
        <f>_xlfn.XLOOKUP(A2233,'DGS10'!A:A,'DGS10'!B:B,"",-1)</f>
        <v>4.47</v>
      </c>
      <c r="H2233">
        <f t="shared" si="274"/>
        <v>-4.9999999999999822E-2</v>
      </c>
      <c r="I2233" s="2">
        <f>_xlfn.XLOOKUP(A2233,T10Y3M!A:A,T10Y3M!B:B,"",-1)</f>
        <v>0.13</v>
      </c>
      <c r="J2233" s="2">
        <f>_xlfn.XLOOKUP(A2233,BAMLC0A4CBBB!A:A,BAMLC0A4CBBB!B:B,"",-1)</f>
        <v>1</v>
      </c>
      <c r="K2233" s="2">
        <f>_xlfn.XLOOKUP(A2233,CPIAUCSL!A:A,CPIAUCSL!B:B,"",-1)</f>
        <v>319.67899999999997</v>
      </c>
      <c r="L2233">
        <f>_xlfn.XLOOKUP(A2233,DFF!A:A,DFF!B:B,"",-1)</f>
        <v>4.33</v>
      </c>
      <c r="M2233">
        <f>_xlfn.XLOOKUP(A2233,'DGS2'!A:A,'DGS2'!B:B,"",-1)</f>
        <v>4.26</v>
      </c>
      <c r="N2233">
        <f t="shared" si="275"/>
        <v>-4.9999999999999822E-2</v>
      </c>
      <c r="O2233">
        <f t="shared" si="276"/>
        <v>2.4449557863681637E-3</v>
      </c>
      <c r="P2233">
        <f t="shared" si="277"/>
        <v>1</v>
      </c>
      <c r="Q2233">
        <f t="shared" si="278"/>
        <v>0</v>
      </c>
    </row>
    <row r="2234" spans="1:17">
      <c r="A2234" s="1">
        <v>45706</v>
      </c>
      <c r="B2234">
        <v>6129.58</v>
      </c>
      <c r="C2234">
        <f t="shared" si="272"/>
        <v>2.4449557863681637E-3</v>
      </c>
      <c r="D2234">
        <f t="shared" si="279"/>
        <v>1.282392344971961E-2</v>
      </c>
      <c r="E2234">
        <f>_xlfn.XLOOKUP(A2234,VIX!A:A,VIX!B:B,"",-1)</f>
        <v>15.35</v>
      </c>
      <c r="F2234">
        <f t="shared" si="273"/>
        <v>0.58000000000000007</v>
      </c>
      <c r="G2234">
        <f>_xlfn.XLOOKUP(A2234,'DGS10'!A:A,'DGS10'!B:B,"",-1)</f>
        <v>4.55</v>
      </c>
      <c r="H2234">
        <f t="shared" si="274"/>
        <v>8.0000000000000071E-2</v>
      </c>
      <c r="I2234" s="2">
        <f>_xlfn.XLOOKUP(A2234,T10Y3M!A:A,T10Y3M!B:B,"",-1)</f>
        <v>0.21</v>
      </c>
      <c r="J2234" s="2">
        <f>_xlfn.XLOOKUP(A2234,BAMLC0A4CBBB!A:A,BAMLC0A4CBBB!B:B,"",-1)</f>
        <v>0.98</v>
      </c>
      <c r="K2234" s="2">
        <f>_xlfn.XLOOKUP(A2234,CPIAUCSL!A:A,CPIAUCSL!B:B,"",-1)</f>
        <v>319.67899999999997</v>
      </c>
      <c r="L2234">
        <f>_xlfn.XLOOKUP(A2234,DFF!A:A,DFF!B:B,"",-1)</f>
        <v>4.33</v>
      </c>
      <c r="M2234">
        <f>_xlfn.XLOOKUP(A2234,'DGS2'!A:A,'DGS2'!B:B,"",-1)</f>
        <v>4.29</v>
      </c>
      <c r="N2234">
        <f t="shared" si="275"/>
        <v>3.0000000000000249E-2</v>
      </c>
      <c r="O2234">
        <f t="shared" si="276"/>
        <v>2.3769980977488281E-3</v>
      </c>
      <c r="P2234">
        <f t="shared" si="277"/>
        <v>1</v>
      </c>
      <c r="Q2234">
        <f t="shared" si="278"/>
        <v>0</v>
      </c>
    </row>
    <row r="2235" spans="1:17">
      <c r="A2235" s="1">
        <v>45707</v>
      </c>
      <c r="B2235">
        <v>6144.15</v>
      </c>
      <c r="C2235">
        <f t="shared" si="272"/>
        <v>2.3769980977488281E-3</v>
      </c>
      <c r="D2235">
        <f t="shared" si="279"/>
        <v>4.7554647779992631E-3</v>
      </c>
      <c r="E2235">
        <f>_xlfn.XLOOKUP(A2235,VIX!A:A,VIX!B:B,"",-1)</f>
        <v>15.27</v>
      </c>
      <c r="F2235">
        <f t="shared" si="273"/>
        <v>-8.0000000000000071E-2</v>
      </c>
      <c r="G2235">
        <f>_xlfn.XLOOKUP(A2235,'DGS10'!A:A,'DGS10'!B:B,"",-1)</f>
        <v>4.53</v>
      </c>
      <c r="H2235">
        <f t="shared" si="274"/>
        <v>-1.9999999999999574E-2</v>
      </c>
      <c r="I2235" s="2">
        <f>_xlfn.XLOOKUP(A2235,T10Y3M!A:A,T10Y3M!B:B,"",-1)</f>
        <v>0.19</v>
      </c>
      <c r="J2235" s="2">
        <f>_xlfn.XLOOKUP(A2235,BAMLC0A4CBBB!A:A,BAMLC0A4CBBB!B:B,"",-1)</f>
        <v>0.99</v>
      </c>
      <c r="K2235" s="2">
        <f>_xlfn.XLOOKUP(A2235,CPIAUCSL!A:A,CPIAUCSL!B:B,"",-1)</f>
        <v>319.67899999999997</v>
      </c>
      <c r="L2235">
        <f>_xlfn.XLOOKUP(A2235,DFF!A:A,DFF!B:B,"",-1)</f>
        <v>4.33</v>
      </c>
      <c r="M2235">
        <f>_xlfn.XLOOKUP(A2235,'DGS2'!A:A,'DGS2'!B:B,"",-1)</f>
        <v>4.28</v>
      </c>
      <c r="N2235">
        <f t="shared" si="275"/>
        <v>-9.9999999999997868E-3</v>
      </c>
      <c r="O2235">
        <f t="shared" si="276"/>
        <v>-4.3342040803039383E-3</v>
      </c>
      <c r="P2235">
        <f t="shared" si="277"/>
        <v>0</v>
      </c>
      <c r="Q2235">
        <f t="shared" si="278"/>
        <v>-1</v>
      </c>
    </row>
    <row r="2236" spans="1:17">
      <c r="A2236" s="1">
        <v>45708</v>
      </c>
      <c r="B2236">
        <v>6117.52</v>
      </c>
      <c r="C2236">
        <f t="shared" si="272"/>
        <v>-4.3342040803039383E-3</v>
      </c>
      <c r="D2236">
        <f t="shared" si="279"/>
        <v>4.7263693796684159E-4</v>
      </c>
      <c r="E2236">
        <f>_xlfn.XLOOKUP(A2236,VIX!A:A,VIX!B:B,"",-1)</f>
        <v>15.66</v>
      </c>
      <c r="F2236">
        <f t="shared" si="273"/>
        <v>0.39000000000000057</v>
      </c>
      <c r="G2236">
        <f>_xlfn.XLOOKUP(A2236,'DGS10'!A:A,'DGS10'!B:B,"",-1)</f>
        <v>4.5</v>
      </c>
      <c r="H2236">
        <f t="shared" si="274"/>
        <v>-3.0000000000000249E-2</v>
      </c>
      <c r="I2236" s="2">
        <f>_xlfn.XLOOKUP(A2236,T10Y3M!A:A,T10Y3M!B:B,"",-1)</f>
        <v>0.17</v>
      </c>
      <c r="J2236" s="2">
        <f>_xlfn.XLOOKUP(A2236,BAMLC0A4CBBB!A:A,BAMLC0A4CBBB!B:B,"",-1)</f>
        <v>0.99</v>
      </c>
      <c r="K2236" s="2">
        <f>_xlfn.XLOOKUP(A2236,CPIAUCSL!A:A,CPIAUCSL!B:B,"",-1)</f>
        <v>319.67899999999997</v>
      </c>
      <c r="L2236">
        <f>_xlfn.XLOOKUP(A2236,DFF!A:A,DFF!B:B,"",-1)</f>
        <v>4.33</v>
      </c>
      <c r="M2236">
        <f>_xlfn.XLOOKUP(A2236,'DGS2'!A:A,'DGS2'!B:B,"",-1)</f>
        <v>4.28</v>
      </c>
      <c r="N2236">
        <f t="shared" si="275"/>
        <v>0</v>
      </c>
      <c r="O2236">
        <f t="shared" si="276"/>
        <v>-1.70641044083224E-2</v>
      </c>
      <c r="P2236">
        <f t="shared" si="277"/>
        <v>0</v>
      </c>
      <c r="Q2236">
        <f t="shared" si="278"/>
        <v>-1</v>
      </c>
    </row>
    <row r="2237" spans="1:17">
      <c r="A2237" s="1">
        <v>45709</v>
      </c>
      <c r="B2237">
        <v>6013.13</v>
      </c>
      <c r="C2237">
        <f t="shared" si="272"/>
        <v>-1.70641044083224E-2</v>
      </c>
      <c r="D2237">
        <f t="shared" si="279"/>
        <v>-1.8998039017355195E-2</v>
      </c>
      <c r="E2237">
        <f>_xlfn.XLOOKUP(A2237,VIX!A:A,VIX!B:B,"",-1)</f>
        <v>18.21</v>
      </c>
      <c r="F2237">
        <f t="shared" si="273"/>
        <v>2.5500000000000007</v>
      </c>
      <c r="G2237">
        <f>_xlfn.XLOOKUP(A2237,'DGS10'!A:A,'DGS10'!B:B,"",-1)</f>
        <v>4.42</v>
      </c>
      <c r="H2237">
        <f t="shared" si="274"/>
        <v>-8.0000000000000071E-2</v>
      </c>
      <c r="I2237" s="2">
        <f>_xlfn.XLOOKUP(A2237,T10Y3M!A:A,T10Y3M!B:B,"",-1)</f>
        <v>0.1</v>
      </c>
      <c r="J2237" s="2">
        <f>_xlfn.XLOOKUP(A2237,BAMLC0A4CBBB!A:A,BAMLC0A4CBBB!B:B,"",-1)</f>
        <v>1.01</v>
      </c>
      <c r="K2237" s="2">
        <f>_xlfn.XLOOKUP(A2237,CPIAUCSL!A:A,CPIAUCSL!B:B,"",-1)</f>
        <v>319.67899999999997</v>
      </c>
      <c r="L2237">
        <f>_xlfn.XLOOKUP(A2237,DFF!A:A,DFF!B:B,"",-1)</f>
        <v>4.33</v>
      </c>
      <c r="M2237">
        <f>_xlfn.XLOOKUP(A2237,'DGS2'!A:A,'DGS2'!B:B,"",-1)</f>
        <v>4.1900000000000004</v>
      </c>
      <c r="N2237">
        <f t="shared" si="275"/>
        <v>-8.9999999999999858E-2</v>
      </c>
      <c r="O2237">
        <f t="shared" si="276"/>
        <v>-4.9691258961639395E-3</v>
      </c>
      <c r="P2237">
        <f t="shared" si="277"/>
        <v>0</v>
      </c>
      <c r="Q2237">
        <f t="shared" si="278"/>
        <v>-1</v>
      </c>
    </row>
    <row r="2238" spans="1:17">
      <c r="A2238" s="1">
        <v>45712</v>
      </c>
      <c r="B2238">
        <v>5983.25</v>
      </c>
      <c r="C2238">
        <f t="shared" si="272"/>
        <v>-4.9691258961639395E-3</v>
      </c>
      <c r="D2238">
        <f t="shared" si="279"/>
        <v>-2.6187511698119281E-2</v>
      </c>
      <c r="E2238">
        <f>_xlfn.XLOOKUP(A2238,VIX!A:A,VIX!B:B,"",-1)</f>
        <v>18.98</v>
      </c>
      <c r="F2238">
        <f t="shared" si="273"/>
        <v>0.76999999999999957</v>
      </c>
      <c r="G2238">
        <f>_xlfn.XLOOKUP(A2238,'DGS10'!A:A,'DGS10'!B:B,"",-1)</f>
        <v>4.4000000000000004</v>
      </c>
      <c r="H2238">
        <f t="shared" si="274"/>
        <v>-1.9999999999999574E-2</v>
      </c>
      <c r="I2238" s="2">
        <f>_xlfn.XLOOKUP(A2238,T10Y3M!A:A,T10Y3M!B:B,"",-1)</f>
        <v>0.09</v>
      </c>
      <c r="J2238" s="2">
        <f>_xlfn.XLOOKUP(A2238,BAMLC0A4CBBB!A:A,BAMLC0A4CBBB!B:B,"",-1)</f>
        <v>1.01</v>
      </c>
      <c r="K2238" s="2">
        <f>_xlfn.XLOOKUP(A2238,CPIAUCSL!A:A,CPIAUCSL!B:B,"",-1)</f>
        <v>319.67899999999997</v>
      </c>
      <c r="L2238">
        <f>_xlfn.XLOOKUP(A2238,DFF!A:A,DFF!B:B,"",-1)</f>
        <v>4.33</v>
      </c>
      <c r="M2238">
        <f>_xlfn.XLOOKUP(A2238,'DGS2'!A:A,'DGS2'!B:B,"",-1)</f>
        <v>4.13</v>
      </c>
      <c r="N2238">
        <f t="shared" si="275"/>
        <v>-6.0000000000000497E-2</v>
      </c>
      <c r="O2238">
        <f t="shared" si="276"/>
        <v>-4.6797309154723576E-3</v>
      </c>
      <c r="P2238">
        <f t="shared" si="277"/>
        <v>0</v>
      </c>
      <c r="Q2238">
        <f t="shared" si="278"/>
        <v>-1</v>
      </c>
    </row>
    <row r="2239" spans="1:17">
      <c r="A2239" s="1">
        <v>45713</v>
      </c>
      <c r="B2239">
        <v>5955.25</v>
      </c>
      <c r="C2239">
        <f t="shared" si="272"/>
        <v>-4.6797309154723576E-3</v>
      </c>
      <c r="D2239">
        <f t="shared" si="279"/>
        <v>-2.6525454759445122E-2</v>
      </c>
      <c r="E2239">
        <f>_xlfn.XLOOKUP(A2239,VIX!A:A,VIX!B:B,"",-1)</f>
        <v>19.43</v>
      </c>
      <c r="F2239">
        <f t="shared" si="273"/>
        <v>0.44999999999999929</v>
      </c>
      <c r="G2239">
        <f>_xlfn.XLOOKUP(A2239,'DGS10'!A:A,'DGS10'!B:B,"",-1)</f>
        <v>4.3</v>
      </c>
      <c r="H2239">
        <f t="shared" si="274"/>
        <v>-0.10000000000000053</v>
      </c>
      <c r="I2239" s="2">
        <f>_xlfn.XLOOKUP(A2239,T10Y3M!A:A,T10Y3M!B:B,"",-1)</f>
        <v>0</v>
      </c>
      <c r="J2239" s="2">
        <f>_xlfn.XLOOKUP(A2239,BAMLC0A4CBBB!A:A,BAMLC0A4CBBB!B:B,"",-1)</f>
        <v>1.03</v>
      </c>
      <c r="K2239" s="2">
        <f>_xlfn.XLOOKUP(A2239,CPIAUCSL!A:A,CPIAUCSL!B:B,"",-1)</f>
        <v>319.67899999999997</v>
      </c>
      <c r="L2239">
        <f>_xlfn.XLOOKUP(A2239,DFF!A:A,DFF!B:B,"",-1)</f>
        <v>4.33</v>
      </c>
      <c r="M2239">
        <f>_xlfn.XLOOKUP(A2239,'DGS2'!A:A,'DGS2'!B:B,"",-1)</f>
        <v>4.07</v>
      </c>
      <c r="N2239">
        <f t="shared" si="275"/>
        <v>-5.9999999999999609E-2</v>
      </c>
      <c r="O2239">
        <f t="shared" si="276"/>
        <v>1.3601444103938931E-4</v>
      </c>
      <c r="P2239">
        <f t="shared" si="277"/>
        <v>1</v>
      </c>
      <c r="Q2239">
        <f t="shared" si="278"/>
        <v>0</v>
      </c>
    </row>
    <row r="2240" spans="1:17">
      <c r="A2240" s="1">
        <v>45714</v>
      </c>
      <c r="B2240">
        <v>5956.06</v>
      </c>
      <c r="C2240">
        <f t="shared" si="272"/>
        <v>1.3601444103938931E-4</v>
      </c>
      <c r="D2240">
        <f t="shared" si="279"/>
        <v>-9.490897419480282E-3</v>
      </c>
      <c r="E2240">
        <f>_xlfn.XLOOKUP(A2240,VIX!A:A,VIX!B:B,"",-1)</f>
        <v>19.100000000000001</v>
      </c>
      <c r="F2240">
        <f t="shared" si="273"/>
        <v>-0.32999999999999829</v>
      </c>
      <c r="G2240">
        <f>_xlfn.XLOOKUP(A2240,'DGS10'!A:A,'DGS10'!B:B,"",-1)</f>
        <v>4.25</v>
      </c>
      <c r="H2240">
        <f t="shared" si="274"/>
        <v>-4.9999999999999822E-2</v>
      </c>
      <c r="I2240" s="2">
        <f>_xlfn.XLOOKUP(A2240,T10Y3M!A:A,T10Y3M!B:B,"",-1)</f>
        <v>-0.06</v>
      </c>
      <c r="J2240" s="2">
        <f>_xlfn.XLOOKUP(A2240,BAMLC0A4CBBB!A:A,BAMLC0A4CBBB!B:B,"",-1)</f>
        <v>1.04</v>
      </c>
      <c r="K2240" s="2">
        <f>_xlfn.XLOOKUP(A2240,CPIAUCSL!A:A,CPIAUCSL!B:B,"",-1)</f>
        <v>319.67899999999997</v>
      </c>
      <c r="L2240">
        <f>_xlfn.XLOOKUP(A2240,DFF!A:A,DFF!B:B,"",-1)</f>
        <v>4.33</v>
      </c>
      <c r="M2240">
        <f>_xlfn.XLOOKUP(A2240,'DGS2'!A:A,'DGS2'!B:B,"",-1)</f>
        <v>4.05</v>
      </c>
      <c r="N2240">
        <f t="shared" si="275"/>
        <v>-2.0000000000000462E-2</v>
      </c>
      <c r="O2240">
        <f t="shared" si="276"/>
        <v>-1.586451446090209E-2</v>
      </c>
      <c r="P2240">
        <f t="shared" si="277"/>
        <v>0</v>
      </c>
      <c r="Q2240">
        <f t="shared" si="278"/>
        <v>-1</v>
      </c>
    </row>
    <row r="2241" spans="1:17">
      <c r="A2241" s="1">
        <v>45715</v>
      </c>
      <c r="B2241">
        <v>5861.57</v>
      </c>
      <c r="C2241">
        <f t="shared" si="272"/>
        <v>-1.586451446090209E-2</v>
      </c>
      <c r="D2241">
        <f t="shared" si="279"/>
        <v>-2.0336773492667048E-2</v>
      </c>
      <c r="E2241">
        <f>_xlfn.XLOOKUP(A2241,VIX!A:A,VIX!B:B,"",-1)</f>
        <v>21.13</v>
      </c>
      <c r="F2241">
        <f t="shared" si="273"/>
        <v>2.0299999999999976</v>
      </c>
      <c r="G2241">
        <f>_xlfn.XLOOKUP(A2241,'DGS10'!A:A,'DGS10'!B:B,"",-1)</f>
        <v>4.29</v>
      </c>
      <c r="H2241">
        <f t="shared" si="274"/>
        <v>4.0000000000000036E-2</v>
      </c>
      <c r="I2241" s="2">
        <f>_xlfn.XLOOKUP(A2241,T10Y3M!A:A,T10Y3M!B:B,"",-1)</f>
        <v>-0.03</v>
      </c>
      <c r="J2241" s="2">
        <f>_xlfn.XLOOKUP(A2241,BAMLC0A4CBBB!A:A,BAMLC0A4CBBB!B:B,"",-1)</f>
        <v>1.05</v>
      </c>
      <c r="K2241" s="2">
        <f>_xlfn.XLOOKUP(A2241,CPIAUCSL!A:A,CPIAUCSL!B:B,"",-1)</f>
        <v>319.67899999999997</v>
      </c>
      <c r="L2241">
        <f>_xlfn.XLOOKUP(A2241,DFF!A:A,DFF!B:B,"",-1)</f>
        <v>4.33</v>
      </c>
      <c r="M2241">
        <f>_xlfn.XLOOKUP(A2241,'DGS2'!A:A,'DGS2'!B:B,"",-1)</f>
        <v>4.07</v>
      </c>
      <c r="N2241">
        <f t="shared" si="275"/>
        <v>2.0000000000000462E-2</v>
      </c>
      <c r="O2241">
        <f t="shared" si="276"/>
        <v>1.5854114170776867E-2</v>
      </c>
      <c r="P2241">
        <f t="shared" si="277"/>
        <v>1</v>
      </c>
      <c r="Q2241">
        <f t="shared" si="278"/>
        <v>1</v>
      </c>
    </row>
    <row r="2242" spans="1:17">
      <c r="A2242" s="1">
        <v>45716</v>
      </c>
      <c r="B2242">
        <v>5954.5</v>
      </c>
      <c r="C2242">
        <f t="shared" si="272"/>
        <v>1.5854114170776867E-2</v>
      </c>
      <c r="D2242">
        <f t="shared" si="279"/>
        <v>-1.2593929725868147E-4</v>
      </c>
      <c r="E2242">
        <f>_xlfn.XLOOKUP(A2242,VIX!A:A,VIX!B:B,"",-1)</f>
        <v>19.63</v>
      </c>
      <c r="F2242">
        <f t="shared" si="273"/>
        <v>-1.5</v>
      </c>
      <c r="G2242">
        <f>_xlfn.XLOOKUP(A2242,'DGS10'!A:A,'DGS10'!B:B,"",-1)</f>
        <v>4.24</v>
      </c>
      <c r="H2242">
        <f t="shared" si="274"/>
        <v>-4.9999999999999822E-2</v>
      </c>
      <c r="I2242" s="2">
        <f>_xlfn.XLOOKUP(A2242,T10Y3M!A:A,T10Y3M!B:B,"",-1)</f>
        <v>-0.08</v>
      </c>
      <c r="J2242" s="2">
        <f>_xlfn.XLOOKUP(A2242,BAMLC0A4CBBB!A:A,BAMLC0A4CBBB!B:B,"",-1)</f>
        <v>1.0900000000000001</v>
      </c>
      <c r="K2242" s="2">
        <f>_xlfn.XLOOKUP(A2242,CPIAUCSL!A:A,CPIAUCSL!B:B,"",-1)</f>
        <v>319.67899999999997</v>
      </c>
      <c r="L2242">
        <f>_xlfn.XLOOKUP(A2242,DFF!A:A,DFF!B:B,"",-1)</f>
        <v>4.33</v>
      </c>
      <c r="M2242">
        <f>_xlfn.XLOOKUP(A2242,'DGS2'!A:A,'DGS2'!B:B,"",-1)</f>
        <v>3.99</v>
      </c>
      <c r="N2242">
        <f t="shared" si="275"/>
        <v>-8.0000000000000071E-2</v>
      </c>
      <c r="O2242">
        <f t="shared" si="276"/>
        <v>-1.7596775547904953E-2</v>
      </c>
      <c r="P2242">
        <f t="shared" si="277"/>
        <v>0</v>
      </c>
      <c r="Q2242">
        <f t="shared" si="278"/>
        <v>-1</v>
      </c>
    </row>
    <row r="2243" spans="1:17">
      <c r="A2243" s="1">
        <v>45719</v>
      </c>
      <c r="B2243">
        <v>5849.72</v>
      </c>
      <c r="C2243">
        <f t="shared" si="272"/>
        <v>-1.7596775547904953E-2</v>
      </c>
      <c r="D2243">
        <f t="shared" si="279"/>
        <v>-1.7854084747299437E-2</v>
      </c>
      <c r="E2243">
        <f>_xlfn.XLOOKUP(A2243,VIX!A:A,VIX!B:B,"",-1)</f>
        <v>22.78</v>
      </c>
      <c r="F2243">
        <f t="shared" si="273"/>
        <v>3.1500000000000021</v>
      </c>
      <c r="G2243">
        <f>_xlfn.XLOOKUP(A2243,'DGS10'!A:A,'DGS10'!B:B,"",-1)</f>
        <v>4.16</v>
      </c>
      <c r="H2243">
        <f t="shared" si="274"/>
        <v>-8.0000000000000071E-2</v>
      </c>
      <c r="I2243" s="2">
        <f>_xlfn.XLOOKUP(A2243,T10Y3M!A:A,T10Y3M!B:B,"",-1)</f>
        <v>-0.19</v>
      </c>
      <c r="J2243" s="2">
        <f>_xlfn.XLOOKUP(A2243,BAMLC0A4CBBB!A:A,BAMLC0A4CBBB!B:B,"",-1)</f>
        <v>1.1000000000000001</v>
      </c>
      <c r="K2243" s="2">
        <f>_xlfn.XLOOKUP(A2243,CPIAUCSL!A:A,CPIAUCSL!B:B,"",-1)</f>
        <v>319.78500000000003</v>
      </c>
      <c r="L2243">
        <f>_xlfn.XLOOKUP(A2243,DFF!A:A,DFF!B:B,"",-1)</f>
        <v>4.33</v>
      </c>
      <c r="M2243">
        <f>_xlfn.XLOOKUP(A2243,'DGS2'!A:A,'DGS2'!B:B,"",-1)</f>
        <v>3.96</v>
      </c>
      <c r="N2243">
        <f t="shared" si="275"/>
        <v>-3.0000000000000249E-2</v>
      </c>
      <c r="O2243">
        <f t="shared" si="276"/>
        <v>-1.2234773630190987E-2</v>
      </c>
      <c r="P2243">
        <f t="shared" si="277"/>
        <v>0</v>
      </c>
      <c r="Q2243">
        <f t="shared" si="278"/>
        <v>-1</v>
      </c>
    </row>
    <row r="2244" spans="1:17">
      <c r="A2244" s="1">
        <v>45720</v>
      </c>
      <c r="B2244">
        <v>5778.15</v>
      </c>
      <c r="C2244">
        <f t="shared" ref="C2244:C2307" si="280">IF(OR(B2244="",B2243=""),"",(B2244/B2243)-1)</f>
        <v>-1.2234773630190987E-2</v>
      </c>
      <c r="D2244">
        <f t="shared" si="279"/>
        <v>-1.423168195551705E-2</v>
      </c>
      <c r="E2244">
        <f>_xlfn.XLOOKUP(A2244,VIX!A:A,VIX!B:B,"",-1)</f>
        <v>23.51</v>
      </c>
      <c r="F2244">
        <f t="shared" ref="F2244:F2307" si="281">IF(OR(E2244="",E2243=""),"",E2244-E2243)</f>
        <v>0.73000000000000043</v>
      </c>
      <c r="G2244">
        <f>_xlfn.XLOOKUP(A2244,'DGS10'!A:A,'DGS10'!B:B,"",-1)</f>
        <v>4.22</v>
      </c>
      <c r="H2244">
        <f t="shared" ref="H2244:H2307" si="282">IF(OR(G2244="",G2243=""),"",G2244-G2243)</f>
        <v>5.9999999999999609E-2</v>
      </c>
      <c r="I2244" s="2">
        <f>_xlfn.XLOOKUP(A2244,T10Y3M!A:A,T10Y3M!B:B,"",-1)</f>
        <v>-0.12</v>
      </c>
      <c r="J2244" s="2">
        <f>_xlfn.XLOOKUP(A2244,BAMLC0A4CBBB!A:A,BAMLC0A4CBBB!B:B,"",-1)</f>
        <v>1.1100000000000001</v>
      </c>
      <c r="K2244" s="2">
        <f>_xlfn.XLOOKUP(A2244,CPIAUCSL!A:A,CPIAUCSL!B:B,"",-1)</f>
        <v>319.78500000000003</v>
      </c>
      <c r="L2244">
        <f>_xlfn.XLOOKUP(A2244,DFF!A:A,DFF!B:B,"",-1)</f>
        <v>4.33</v>
      </c>
      <c r="M2244">
        <f>_xlfn.XLOOKUP(A2244,'DGS2'!A:A,'DGS2'!B:B,"",-1)</f>
        <v>3.96</v>
      </c>
      <c r="N2244">
        <f t="shared" ref="N2244:N2307" si="283">IF(OR(M2244="",M2243=""),"",M2244-M2243)</f>
        <v>0</v>
      </c>
      <c r="O2244">
        <f t="shared" ref="O2244:O2307" si="284">IF(OR(B2245="",B2244=""),"",(B2245/B2244)-1)</f>
        <v>1.1159281084776262E-2</v>
      </c>
      <c r="P2244">
        <f t="shared" ref="P2244:P2307" si="285">IF(O2244="","",IF(O2244&gt;0,1,0))</f>
        <v>1</v>
      </c>
      <c r="Q2244">
        <f t="shared" ref="Q2244:Q2307" si="286">IF(O2244="","",IF(O2244&gt;0.003,1,IF(O2244&lt;-0.003,-1,0)))</f>
        <v>1</v>
      </c>
    </row>
    <row r="2245" spans="1:17">
      <c r="A2245" s="1">
        <v>45721</v>
      </c>
      <c r="B2245">
        <v>5842.63</v>
      </c>
      <c r="C2245">
        <f t="shared" si="280"/>
        <v>1.1159281084776262E-2</v>
      </c>
      <c r="D2245">
        <f t="shared" si="279"/>
        <v>-1.8787471660088984E-2</v>
      </c>
      <c r="E2245">
        <f>_xlfn.XLOOKUP(A2245,VIX!A:A,VIX!B:B,"",-1)</f>
        <v>21.93</v>
      </c>
      <c r="F2245">
        <f t="shared" si="281"/>
        <v>-1.5800000000000018</v>
      </c>
      <c r="G2245">
        <f>_xlfn.XLOOKUP(A2245,'DGS10'!A:A,'DGS10'!B:B,"",-1)</f>
        <v>4.28</v>
      </c>
      <c r="H2245">
        <f t="shared" si="282"/>
        <v>6.0000000000000497E-2</v>
      </c>
      <c r="I2245" s="2">
        <f>_xlfn.XLOOKUP(A2245,T10Y3M!A:A,T10Y3M!B:B,"",-1)</f>
        <v>-7.0000000000000007E-2</v>
      </c>
      <c r="J2245" s="2">
        <f>_xlfn.XLOOKUP(A2245,BAMLC0A4CBBB!A:A,BAMLC0A4CBBB!B:B,"",-1)</f>
        <v>1.08</v>
      </c>
      <c r="K2245" s="2">
        <f>_xlfn.XLOOKUP(A2245,CPIAUCSL!A:A,CPIAUCSL!B:B,"",-1)</f>
        <v>319.78500000000003</v>
      </c>
      <c r="L2245">
        <f>_xlfn.XLOOKUP(A2245,DFF!A:A,DFF!B:B,"",-1)</f>
        <v>4.33</v>
      </c>
      <c r="M2245">
        <f>_xlfn.XLOOKUP(A2245,'DGS2'!A:A,'DGS2'!B:B,"",-1)</f>
        <v>3.99</v>
      </c>
      <c r="N2245">
        <f t="shared" si="283"/>
        <v>3.0000000000000249E-2</v>
      </c>
      <c r="O2245">
        <f t="shared" si="284"/>
        <v>-1.7819030128555013E-2</v>
      </c>
      <c r="P2245">
        <f t="shared" si="285"/>
        <v>0</v>
      </c>
      <c r="Q2245">
        <f t="shared" si="286"/>
        <v>-1</v>
      </c>
    </row>
    <row r="2246" spans="1:17">
      <c r="A2246" s="1">
        <v>45722</v>
      </c>
      <c r="B2246">
        <v>5738.52</v>
      </c>
      <c r="C2246">
        <f t="shared" si="280"/>
        <v>-1.7819030128555013E-2</v>
      </c>
      <c r="D2246">
        <f t="shared" ref="D2246:D2309" si="287">IF(OR(B2246="",B2243=""),"",(B2246/B2243)-1)</f>
        <v>-1.9009456862892571E-2</v>
      </c>
      <c r="E2246">
        <f>_xlfn.XLOOKUP(A2246,VIX!A:A,VIX!B:B,"",-1)</f>
        <v>24.87</v>
      </c>
      <c r="F2246">
        <f t="shared" si="281"/>
        <v>2.9400000000000013</v>
      </c>
      <c r="G2246">
        <f>_xlfn.XLOOKUP(A2246,'DGS10'!A:A,'DGS10'!B:B,"",-1)</f>
        <v>4.29</v>
      </c>
      <c r="H2246">
        <f t="shared" si="282"/>
        <v>9.9999999999997868E-3</v>
      </c>
      <c r="I2246" s="2">
        <f>_xlfn.XLOOKUP(A2246,T10Y3M!A:A,T10Y3M!B:B,"",-1)</f>
        <v>-0.05</v>
      </c>
      <c r="J2246" s="2">
        <f>_xlfn.XLOOKUP(A2246,BAMLC0A4CBBB!A:A,BAMLC0A4CBBB!B:B,"",-1)</f>
        <v>1.0900000000000001</v>
      </c>
      <c r="K2246" s="2">
        <f>_xlfn.XLOOKUP(A2246,CPIAUCSL!A:A,CPIAUCSL!B:B,"",-1)</f>
        <v>319.78500000000003</v>
      </c>
      <c r="L2246">
        <f>_xlfn.XLOOKUP(A2246,DFF!A:A,DFF!B:B,"",-1)</f>
        <v>4.33</v>
      </c>
      <c r="M2246">
        <f>_xlfn.XLOOKUP(A2246,'DGS2'!A:A,'DGS2'!B:B,"",-1)</f>
        <v>3.96</v>
      </c>
      <c r="N2246">
        <f t="shared" si="283"/>
        <v>-3.0000000000000249E-2</v>
      </c>
      <c r="O2246">
        <f t="shared" si="284"/>
        <v>5.5205871897281433E-3</v>
      </c>
      <c r="P2246">
        <f t="shared" si="285"/>
        <v>1</v>
      </c>
      <c r="Q2246">
        <f t="shared" si="286"/>
        <v>1</v>
      </c>
    </row>
    <row r="2247" spans="1:17">
      <c r="A2247" s="1">
        <v>45723</v>
      </c>
      <c r="B2247">
        <v>5770.2</v>
      </c>
      <c r="C2247">
        <f t="shared" si="280"/>
        <v>5.5205871897281433E-3</v>
      </c>
      <c r="D2247">
        <f t="shared" si="287"/>
        <v>-1.3758729004957893E-3</v>
      </c>
      <c r="E2247">
        <f>_xlfn.XLOOKUP(A2247,VIX!A:A,VIX!B:B,"",-1)</f>
        <v>23.37</v>
      </c>
      <c r="F2247">
        <f t="shared" si="281"/>
        <v>-1.5</v>
      </c>
      <c r="G2247">
        <f>_xlfn.XLOOKUP(A2247,'DGS10'!A:A,'DGS10'!B:B,"",-1)</f>
        <v>4.32</v>
      </c>
      <c r="H2247">
        <f t="shared" si="282"/>
        <v>3.0000000000000249E-2</v>
      </c>
      <c r="I2247" s="2">
        <f>_xlfn.XLOOKUP(A2247,T10Y3M!A:A,T10Y3M!B:B,"",-1)</f>
        <v>-0.02</v>
      </c>
      <c r="J2247" s="2">
        <f>_xlfn.XLOOKUP(A2247,BAMLC0A4CBBB!A:A,BAMLC0A4CBBB!B:B,"",-1)</f>
        <v>1.1000000000000001</v>
      </c>
      <c r="K2247" s="2">
        <f>_xlfn.XLOOKUP(A2247,CPIAUCSL!A:A,CPIAUCSL!B:B,"",-1)</f>
        <v>319.78500000000003</v>
      </c>
      <c r="L2247">
        <f>_xlfn.XLOOKUP(A2247,DFF!A:A,DFF!B:B,"",-1)</f>
        <v>4.33</v>
      </c>
      <c r="M2247">
        <f>_xlfn.XLOOKUP(A2247,'DGS2'!A:A,'DGS2'!B:B,"",-1)</f>
        <v>3.99</v>
      </c>
      <c r="N2247">
        <f t="shared" si="283"/>
        <v>3.0000000000000249E-2</v>
      </c>
      <c r="O2247">
        <f t="shared" si="284"/>
        <v>-2.6973068524487775E-2</v>
      </c>
      <c r="P2247">
        <f t="shared" si="285"/>
        <v>0</v>
      </c>
      <c r="Q2247">
        <f t="shared" si="286"/>
        <v>-1</v>
      </c>
    </row>
    <row r="2248" spans="1:17">
      <c r="A2248" s="1">
        <v>45726</v>
      </c>
      <c r="B2248">
        <v>5614.56</v>
      </c>
      <c r="C2248">
        <f t="shared" si="280"/>
        <v>-2.6973068524487775E-2</v>
      </c>
      <c r="D2248">
        <f t="shared" si="287"/>
        <v>-3.9035502847176606E-2</v>
      </c>
      <c r="E2248">
        <f>_xlfn.XLOOKUP(A2248,VIX!A:A,VIX!B:B,"",-1)</f>
        <v>27.86</v>
      </c>
      <c r="F2248">
        <f t="shared" si="281"/>
        <v>4.4899999999999984</v>
      </c>
      <c r="G2248">
        <f>_xlfn.XLOOKUP(A2248,'DGS10'!A:A,'DGS10'!B:B,"",-1)</f>
        <v>4.22</v>
      </c>
      <c r="H2248">
        <f t="shared" si="282"/>
        <v>-0.10000000000000053</v>
      </c>
      <c r="I2248" s="2">
        <f>_xlfn.XLOOKUP(A2248,T10Y3M!A:A,T10Y3M!B:B,"",-1)</f>
        <v>-0.11</v>
      </c>
      <c r="J2248" s="2">
        <f>_xlfn.XLOOKUP(A2248,BAMLC0A4CBBB!A:A,BAMLC0A4CBBB!B:B,"",-1)</f>
        <v>1.1299999999999999</v>
      </c>
      <c r="K2248" s="2">
        <f>_xlfn.XLOOKUP(A2248,CPIAUCSL!A:A,CPIAUCSL!B:B,"",-1)</f>
        <v>319.78500000000003</v>
      </c>
      <c r="L2248">
        <f>_xlfn.XLOOKUP(A2248,DFF!A:A,DFF!B:B,"",-1)</f>
        <v>4.33</v>
      </c>
      <c r="M2248">
        <f>_xlfn.XLOOKUP(A2248,'DGS2'!A:A,'DGS2'!B:B,"",-1)</f>
        <v>3.89</v>
      </c>
      <c r="N2248">
        <f t="shared" si="283"/>
        <v>-0.10000000000000009</v>
      </c>
      <c r="O2248">
        <f t="shared" si="284"/>
        <v>-7.5678236584880709E-3</v>
      </c>
      <c r="P2248">
        <f t="shared" si="285"/>
        <v>0</v>
      </c>
      <c r="Q2248">
        <f t="shared" si="286"/>
        <v>-1</v>
      </c>
    </row>
    <row r="2249" spans="1:17">
      <c r="A2249" s="1">
        <v>45727</v>
      </c>
      <c r="B2249">
        <v>5572.07</v>
      </c>
      <c r="C2249">
        <f t="shared" si="280"/>
        <v>-7.5678236584880709E-3</v>
      </c>
      <c r="D2249">
        <f t="shared" si="287"/>
        <v>-2.9005736670779325E-2</v>
      </c>
      <c r="E2249">
        <f>_xlfn.XLOOKUP(A2249,VIX!A:A,VIX!B:B,"",-1)</f>
        <v>26.92</v>
      </c>
      <c r="F2249">
        <f t="shared" si="281"/>
        <v>-0.93999999999999773</v>
      </c>
      <c r="G2249">
        <f>_xlfn.XLOOKUP(A2249,'DGS10'!A:A,'DGS10'!B:B,"",-1)</f>
        <v>4.28</v>
      </c>
      <c r="H2249">
        <f t="shared" si="282"/>
        <v>6.0000000000000497E-2</v>
      </c>
      <c r="I2249" s="2">
        <f>_xlfn.XLOOKUP(A2249,T10Y3M!A:A,T10Y3M!B:B,"",-1)</f>
        <v>-0.06</v>
      </c>
      <c r="J2249" s="2">
        <f>_xlfn.XLOOKUP(A2249,BAMLC0A4CBBB!A:A,BAMLC0A4CBBB!B:B,"",-1)</f>
        <v>1.1599999999999999</v>
      </c>
      <c r="K2249" s="2">
        <f>_xlfn.XLOOKUP(A2249,CPIAUCSL!A:A,CPIAUCSL!B:B,"",-1)</f>
        <v>319.78500000000003</v>
      </c>
      <c r="L2249">
        <f>_xlfn.XLOOKUP(A2249,DFF!A:A,DFF!B:B,"",-1)</f>
        <v>4.33</v>
      </c>
      <c r="M2249">
        <f>_xlfn.XLOOKUP(A2249,'DGS2'!A:A,'DGS2'!B:B,"",-1)</f>
        <v>3.94</v>
      </c>
      <c r="N2249">
        <f t="shared" si="283"/>
        <v>4.9999999999999822E-2</v>
      </c>
      <c r="O2249">
        <f t="shared" si="284"/>
        <v>4.8868732804865367E-3</v>
      </c>
      <c r="P2249">
        <f t="shared" si="285"/>
        <v>1</v>
      </c>
      <c r="Q2249">
        <f t="shared" si="286"/>
        <v>1</v>
      </c>
    </row>
    <row r="2250" spans="1:17">
      <c r="A2250" s="1">
        <v>45728</v>
      </c>
      <c r="B2250">
        <v>5599.3</v>
      </c>
      <c r="C2250">
        <f t="shared" si="280"/>
        <v>4.8868732804865367E-3</v>
      </c>
      <c r="D2250">
        <f t="shared" si="287"/>
        <v>-2.9617690894596316E-2</v>
      </c>
      <c r="E2250">
        <f>_xlfn.XLOOKUP(A2250,VIX!A:A,VIX!B:B,"",-1)</f>
        <v>24.23</v>
      </c>
      <c r="F2250">
        <f t="shared" si="281"/>
        <v>-2.6900000000000013</v>
      </c>
      <c r="G2250">
        <f>_xlfn.XLOOKUP(A2250,'DGS10'!A:A,'DGS10'!B:B,"",-1)</f>
        <v>4.32</v>
      </c>
      <c r="H2250">
        <f t="shared" si="282"/>
        <v>4.0000000000000036E-2</v>
      </c>
      <c r="I2250" s="2">
        <f>_xlfn.XLOOKUP(A2250,T10Y3M!A:A,T10Y3M!B:B,"",-1)</f>
        <v>-0.03</v>
      </c>
      <c r="J2250" s="2">
        <f>_xlfn.XLOOKUP(A2250,BAMLC0A4CBBB!A:A,BAMLC0A4CBBB!B:B,"",-1)</f>
        <v>1.17</v>
      </c>
      <c r="K2250" s="2">
        <f>_xlfn.XLOOKUP(A2250,CPIAUCSL!A:A,CPIAUCSL!B:B,"",-1)</f>
        <v>319.78500000000003</v>
      </c>
      <c r="L2250">
        <f>_xlfn.XLOOKUP(A2250,DFF!A:A,DFF!B:B,"",-1)</f>
        <v>4.33</v>
      </c>
      <c r="M2250">
        <f>_xlfn.XLOOKUP(A2250,'DGS2'!A:A,'DGS2'!B:B,"",-1)</f>
        <v>4.01</v>
      </c>
      <c r="N2250">
        <f t="shared" si="283"/>
        <v>6.999999999999984E-2</v>
      </c>
      <c r="O2250">
        <f t="shared" si="284"/>
        <v>-1.3891022092047178E-2</v>
      </c>
      <c r="P2250">
        <f t="shared" si="285"/>
        <v>0</v>
      </c>
      <c r="Q2250">
        <f t="shared" si="286"/>
        <v>-1</v>
      </c>
    </row>
    <row r="2251" spans="1:17">
      <c r="A2251" s="1">
        <v>45729</v>
      </c>
      <c r="B2251">
        <v>5521.52</v>
      </c>
      <c r="C2251">
        <f t="shared" si="280"/>
        <v>-1.3891022092047178E-2</v>
      </c>
      <c r="D2251">
        <f t="shared" si="287"/>
        <v>-1.6571200592744528E-2</v>
      </c>
      <c r="E2251">
        <f>_xlfn.XLOOKUP(A2251,VIX!A:A,VIX!B:B,"",-1)</f>
        <v>24.66</v>
      </c>
      <c r="F2251">
        <f t="shared" si="281"/>
        <v>0.42999999999999972</v>
      </c>
      <c r="G2251">
        <f>_xlfn.XLOOKUP(A2251,'DGS10'!A:A,'DGS10'!B:B,"",-1)</f>
        <v>4.2699999999999996</v>
      </c>
      <c r="H2251">
        <f t="shared" si="282"/>
        <v>-5.0000000000000711E-2</v>
      </c>
      <c r="I2251" s="2">
        <f>_xlfn.XLOOKUP(A2251,T10Y3M!A:A,T10Y3M!B:B,"",-1)</f>
        <v>-7.0000000000000007E-2</v>
      </c>
      <c r="J2251" s="2">
        <f>_xlfn.XLOOKUP(A2251,BAMLC0A4CBBB!A:A,BAMLC0A4CBBB!B:B,"",-1)</f>
        <v>1.2</v>
      </c>
      <c r="K2251" s="2">
        <f>_xlfn.XLOOKUP(A2251,CPIAUCSL!A:A,CPIAUCSL!B:B,"",-1)</f>
        <v>319.78500000000003</v>
      </c>
      <c r="L2251">
        <f>_xlfn.XLOOKUP(A2251,DFF!A:A,DFF!B:B,"",-1)</f>
        <v>4.33</v>
      </c>
      <c r="M2251">
        <f>_xlfn.XLOOKUP(A2251,'DGS2'!A:A,'DGS2'!B:B,"",-1)</f>
        <v>3.94</v>
      </c>
      <c r="N2251">
        <f t="shared" si="283"/>
        <v>-6.999999999999984E-2</v>
      </c>
      <c r="O2251">
        <f t="shared" si="284"/>
        <v>2.1265883307494793E-2</v>
      </c>
      <c r="P2251">
        <f t="shared" si="285"/>
        <v>1</v>
      </c>
      <c r="Q2251">
        <f t="shared" si="286"/>
        <v>1</v>
      </c>
    </row>
    <row r="2252" spans="1:17">
      <c r="A2252" s="1">
        <v>45730</v>
      </c>
      <c r="B2252">
        <v>5638.94</v>
      </c>
      <c r="C2252">
        <f t="shared" si="280"/>
        <v>2.1265883307494793E-2</v>
      </c>
      <c r="D2252">
        <f t="shared" si="287"/>
        <v>1.2000926047232019E-2</v>
      </c>
      <c r="E2252">
        <f>_xlfn.XLOOKUP(A2252,VIX!A:A,VIX!B:B,"",-1)</f>
        <v>21.77</v>
      </c>
      <c r="F2252">
        <f t="shared" si="281"/>
        <v>-2.8900000000000006</v>
      </c>
      <c r="G2252">
        <f>_xlfn.XLOOKUP(A2252,'DGS10'!A:A,'DGS10'!B:B,"",-1)</f>
        <v>4.3099999999999996</v>
      </c>
      <c r="H2252">
        <f t="shared" si="282"/>
        <v>4.0000000000000036E-2</v>
      </c>
      <c r="I2252" s="2">
        <f>_xlfn.XLOOKUP(A2252,T10Y3M!A:A,T10Y3M!B:B,"",-1)</f>
        <v>-0.02</v>
      </c>
      <c r="J2252" s="2">
        <f>_xlfn.XLOOKUP(A2252,BAMLC0A4CBBB!A:A,BAMLC0A4CBBB!B:B,"",-1)</f>
        <v>1.1599999999999999</v>
      </c>
      <c r="K2252" s="2">
        <f>_xlfn.XLOOKUP(A2252,CPIAUCSL!A:A,CPIAUCSL!B:B,"",-1)</f>
        <v>319.78500000000003</v>
      </c>
      <c r="L2252">
        <f>_xlfn.XLOOKUP(A2252,DFF!A:A,DFF!B:B,"",-1)</f>
        <v>4.33</v>
      </c>
      <c r="M2252">
        <f>_xlfn.XLOOKUP(A2252,'DGS2'!A:A,'DGS2'!B:B,"",-1)</f>
        <v>4.0199999999999996</v>
      </c>
      <c r="N2252">
        <f t="shared" si="283"/>
        <v>7.9999999999999627E-2</v>
      </c>
      <c r="O2252">
        <f t="shared" si="284"/>
        <v>6.4160994796895743E-3</v>
      </c>
      <c r="P2252">
        <f t="shared" si="285"/>
        <v>1</v>
      </c>
      <c r="Q2252">
        <f t="shared" si="286"/>
        <v>1</v>
      </c>
    </row>
    <row r="2253" spans="1:17">
      <c r="A2253" s="1">
        <v>45733</v>
      </c>
      <c r="B2253">
        <v>5675.12</v>
      </c>
      <c r="C2253">
        <f t="shared" si="280"/>
        <v>6.4160994796895743E-3</v>
      </c>
      <c r="D2253">
        <f t="shared" si="287"/>
        <v>1.3540978336577636E-2</v>
      </c>
      <c r="E2253">
        <f>_xlfn.XLOOKUP(A2253,VIX!A:A,VIX!B:B,"",-1)</f>
        <v>20.51</v>
      </c>
      <c r="F2253">
        <f t="shared" si="281"/>
        <v>-1.259999999999998</v>
      </c>
      <c r="G2253">
        <f>_xlfn.XLOOKUP(A2253,'DGS10'!A:A,'DGS10'!B:B,"",-1)</f>
        <v>4.3099999999999996</v>
      </c>
      <c r="H2253">
        <f t="shared" si="282"/>
        <v>0</v>
      </c>
      <c r="I2253" s="2">
        <f>_xlfn.XLOOKUP(A2253,T10Y3M!A:A,T10Y3M!B:B,"",-1)</f>
        <v>-0.03</v>
      </c>
      <c r="J2253" s="2">
        <f>_xlfn.XLOOKUP(A2253,BAMLC0A4CBBB!A:A,BAMLC0A4CBBB!B:B,"",-1)</f>
        <v>1.1499999999999999</v>
      </c>
      <c r="K2253" s="2">
        <f>_xlfn.XLOOKUP(A2253,CPIAUCSL!A:A,CPIAUCSL!B:B,"",-1)</f>
        <v>319.78500000000003</v>
      </c>
      <c r="L2253">
        <f>_xlfn.XLOOKUP(A2253,DFF!A:A,DFF!B:B,"",-1)</f>
        <v>4.33</v>
      </c>
      <c r="M2253">
        <f>_xlfn.XLOOKUP(A2253,'DGS2'!A:A,'DGS2'!B:B,"",-1)</f>
        <v>4.0599999999999996</v>
      </c>
      <c r="N2253">
        <f t="shared" si="283"/>
        <v>4.0000000000000036E-2</v>
      </c>
      <c r="O2253">
        <f t="shared" si="284"/>
        <v>-1.0653519220738983E-2</v>
      </c>
      <c r="P2253">
        <f t="shared" si="285"/>
        <v>0</v>
      </c>
      <c r="Q2253">
        <f t="shared" si="286"/>
        <v>-1</v>
      </c>
    </row>
    <row r="2254" spans="1:17">
      <c r="A2254" s="1">
        <v>45734</v>
      </c>
      <c r="B2254">
        <v>5614.66</v>
      </c>
      <c r="C2254">
        <f t="shared" si="280"/>
        <v>-1.0653519220738983E-2</v>
      </c>
      <c r="D2254">
        <f t="shared" si="287"/>
        <v>1.686854344455857E-2</v>
      </c>
      <c r="E2254">
        <f>_xlfn.XLOOKUP(A2254,VIX!A:A,VIX!B:B,"",-1)</f>
        <v>21.7</v>
      </c>
      <c r="F2254">
        <f t="shared" si="281"/>
        <v>1.1899999999999977</v>
      </c>
      <c r="G2254">
        <f>_xlfn.XLOOKUP(A2254,'DGS10'!A:A,'DGS10'!B:B,"",-1)</f>
        <v>4.29</v>
      </c>
      <c r="H2254">
        <f t="shared" si="282"/>
        <v>-1.9999999999999574E-2</v>
      </c>
      <c r="I2254" s="2">
        <f>_xlfn.XLOOKUP(A2254,T10Y3M!A:A,T10Y3M!B:B,"",-1)</f>
        <v>-0.05</v>
      </c>
      <c r="J2254" s="2">
        <f>_xlfn.XLOOKUP(A2254,BAMLC0A4CBBB!A:A,BAMLC0A4CBBB!B:B,"",-1)</f>
        <v>1.1499999999999999</v>
      </c>
      <c r="K2254" s="2">
        <f>_xlfn.XLOOKUP(A2254,CPIAUCSL!A:A,CPIAUCSL!B:B,"",-1)</f>
        <v>319.78500000000003</v>
      </c>
      <c r="L2254">
        <f>_xlfn.XLOOKUP(A2254,DFF!A:A,DFF!B:B,"",-1)</f>
        <v>4.33</v>
      </c>
      <c r="M2254">
        <f>_xlfn.XLOOKUP(A2254,'DGS2'!A:A,'DGS2'!B:B,"",-1)</f>
        <v>4.04</v>
      </c>
      <c r="N2254">
        <f t="shared" si="283"/>
        <v>-1.9999999999999574E-2</v>
      </c>
      <c r="O2254">
        <f t="shared" si="284"/>
        <v>1.0798516740105457E-2</v>
      </c>
      <c r="P2254">
        <f t="shared" si="285"/>
        <v>1</v>
      </c>
      <c r="Q2254">
        <f t="shared" si="286"/>
        <v>1</v>
      </c>
    </row>
    <row r="2255" spans="1:17">
      <c r="A2255" s="1">
        <v>45735</v>
      </c>
      <c r="B2255">
        <v>5675.29</v>
      </c>
      <c r="C2255">
        <f t="shared" si="280"/>
        <v>1.0798516740105457E-2</v>
      </c>
      <c r="D2255">
        <f t="shared" si="287"/>
        <v>6.4462469896824359E-3</v>
      </c>
      <c r="E2255">
        <f>_xlfn.XLOOKUP(A2255,VIX!A:A,VIX!B:B,"",-1)</f>
        <v>19.899999999999999</v>
      </c>
      <c r="F2255">
        <f t="shared" si="281"/>
        <v>-1.8000000000000007</v>
      </c>
      <c r="G2255">
        <f>_xlfn.XLOOKUP(A2255,'DGS10'!A:A,'DGS10'!B:B,"",-1)</f>
        <v>4.25</v>
      </c>
      <c r="H2255">
        <f t="shared" si="282"/>
        <v>-4.0000000000000036E-2</v>
      </c>
      <c r="I2255" s="2">
        <f>_xlfn.XLOOKUP(A2255,T10Y3M!A:A,T10Y3M!B:B,"",-1)</f>
        <v>-0.08</v>
      </c>
      <c r="J2255" s="2">
        <f>_xlfn.XLOOKUP(A2255,BAMLC0A4CBBB!A:A,BAMLC0A4CBBB!B:B,"",-1)</f>
        <v>1.1299999999999999</v>
      </c>
      <c r="K2255" s="2">
        <f>_xlfn.XLOOKUP(A2255,CPIAUCSL!A:A,CPIAUCSL!B:B,"",-1)</f>
        <v>319.78500000000003</v>
      </c>
      <c r="L2255">
        <f>_xlfn.XLOOKUP(A2255,DFF!A:A,DFF!B:B,"",-1)</f>
        <v>4.33</v>
      </c>
      <c r="M2255">
        <f>_xlfn.XLOOKUP(A2255,'DGS2'!A:A,'DGS2'!B:B,"",-1)</f>
        <v>3.99</v>
      </c>
      <c r="N2255">
        <f t="shared" si="283"/>
        <v>-4.9999999999999822E-2</v>
      </c>
      <c r="O2255">
        <f t="shared" si="284"/>
        <v>-2.1849103746239829E-3</v>
      </c>
      <c r="P2255">
        <f t="shared" si="285"/>
        <v>0</v>
      </c>
      <c r="Q2255">
        <f t="shared" si="286"/>
        <v>0</v>
      </c>
    </row>
    <row r="2256" spans="1:17">
      <c r="A2256" s="1">
        <v>45736</v>
      </c>
      <c r="B2256">
        <v>5662.89</v>
      </c>
      <c r="C2256">
        <f t="shared" si="280"/>
        <v>-2.1849103746239829E-3</v>
      </c>
      <c r="D2256">
        <f t="shared" si="287"/>
        <v>-2.1550205105794751E-3</v>
      </c>
      <c r="E2256">
        <f>_xlfn.XLOOKUP(A2256,VIX!A:A,VIX!B:B,"",-1)</f>
        <v>19.8</v>
      </c>
      <c r="F2256">
        <f t="shared" si="281"/>
        <v>-9.9999999999997868E-2</v>
      </c>
      <c r="G2256">
        <f>_xlfn.XLOOKUP(A2256,'DGS10'!A:A,'DGS10'!B:B,"",-1)</f>
        <v>4.24</v>
      </c>
      <c r="H2256">
        <f t="shared" si="282"/>
        <v>-9.9999999999997868E-3</v>
      </c>
      <c r="I2256" s="2">
        <f>_xlfn.XLOOKUP(A2256,T10Y3M!A:A,T10Y3M!B:B,"",-1)</f>
        <v>-0.09</v>
      </c>
      <c r="J2256" s="2">
        <f>_xlfn.XLOOKUP(A2256,BAMLC0A4CBBB!A:A,BAMLC0A4CBBB!B:B,"",-1)</f>
        <v>1.1299999999999999</v>
      </c>
      <c r="K2256" s="2">
        <f>_xlfn.XLOOKUP(A2256,CPIAUCSL!A:A,CPIAUCSL!B:B,"",-1)</f>
        <v>319.78500000000003</v>
      </c>
      <c r="L2256">
        <f>_xlfn.XLOOKUP(A2256,DFF!A:A,DFF!B:B,"",-1)</f>
        <v>4.33</v>
      </c>
      <c r="M2256">
        <f>_xlfn.XLOOKUP(A2256,'DGS2'!A:A,'DGS2'!B:B,"",-1)</f>
        <v>3.95</v>
      </c>
      <c r="N2256">
        <f t="shared" si="283"/>
        <v>-4.0000000000000036E-2</v>
      </c>
      <c r="O2256">
        <f t="shared" si="284"/>
        <v>8.2466726353502828E-4</v>
      </c>
      <c r="P2256">
        <f t="shared" si="285"/>
        <v>1</v>
      </c>
      <c r="Q2256">
        <f t="shared" si="286"/>
        <v>0</v>
      </c>
    </row>
    <row r="2257" spans="1:17">
      <c r="A2257" s="1">
        <v>45737</v>
      </c>
      <c r="B2257">
        <v>5667.56</v>
      </c>
      <c r="C2257">
        <f t="shared" si="280"/>
        <v>8.2466726353502828E-4</v>
      </c>
      <c r="D2257">
        <f t="shared" si="287"/>
        <v>9.4217637399238718E-3</v>
      </c>
      <c r="E2257">
        <f>_xlfn.XLOOKUP(A2257,VIX!A:A,VIX!B:B,"",-1)</f>
        <v>19.28</v>
      </c>
      <c r="F2257">
        <f t="shared" si="281"/>
        <v>-0.51999999999999957</v>
      </c>
      <c r="G2257">
        <f>_xlfn.XLOOKUP(A2257,'DGS10'!A:A,'DGS10'!B:B,"",-1)</f>
        <v>4.25</v>
      </c>
      <c r="H2257">
        <f t="shared" si="282"/>
        <v>9.9999999999997868E-3</v>
      </c>
      <c r="I2257" s="2">
        <f>_xlfn.XLOOKUP(A2257,T10Y3M!A:A,T10Y3M!B:B,"",-1)</f>
        <v>-0.08</v>
      </c>
      <c r="J2257" s="2">
        <f>_xlfn.XLOOKUP(A2257,BAMLC0A4CBBB!A:A,BAMLC0A4CBBB!B:B,"",-1)</f>
        <v>1.1399999999999999</v>
      </c>
      <c r="K2257" s="2">
        <f>_xlfn.XLOOKUP(A2257,CPIAUCSL!A:A,CPIAUCSL!B:B,"",-1)</f>
        <v>319.78500000000003</v>
      </c>
      <c r="L2257">
        <f>_xlfn.XLOOKUP(A2257,DFF!A:A,DFF!B:B,"",-1)</f>
        <v>4.33</v>
      </c>
      <c r="M2257">
        <f>_xlfn.XLOOKUP(A2257,'DGS2'!A:A,'DGS2'!B:B,"",-1)</f>
        <v>3.94</v>
      </c>
      <c r="N2257">
        <f t="shared" si="283"/>
        <v>-1.0000000000000231E-2</v>
      </c>
      <c r="O2257">
        <f t="shared" si="284"/>
        <v>1.7646041682840563E-2</v>
      </c>
      <c r="P2257">
        <f t="shared" si="285"/>
        <v>1</v>
      </c>
      <c r="Q2257">
        <f t="shared" si="286"/>
        <v>1</v>
      </c>
    </row>
    <row r="2258" spans="1:17">
      <c r="A2258" s="1">
        <v>45740</v>
      </c>
      <c r="B2258">
        <v>5767.57</v>
      </c>
      <c r="C2258">
        <f t="shared" si="280"/>
        <v>1.7646041682840563E-2</v>
      </c>
      <c r="D2258">
        <f t="shared" si="287"/>
        <v>1.6259962045992227E-2</v>
      </c>
      <c r="E2258">
        <f>_xlfn.XLOOKUP(A2258,VIX!A:A,VIX!B:B,"",-1)</f>
        <v>17.48</v>
      </c>
      <c r="F2258">
        <f t="shared" si="281"/>
        <v>-1.8000000000000007</v>
      </c>
      <c r="G2258">
        <f>_xlfn.XLOOKUP(A2258,'DGS10'!A:A,'DGS10'!B:B,"",-1)</f>
        <v>4.34</v>
      </c>
      <c r="H2258">
        <f t="shared" si="282"/>
        <v>8.9999999999999858E-2</v>
      </c>
      <c r="I2258" s="2">
        <f>_xlfn.XLOOKUP(A2258,T10Y3M!A:A,T10Y3M!B:B,"",-1)</f>
        <v>0.01</v>
      </c>
      <c r="J2258" s="2">
        <f>_xlfn.XLOOKUP(A2258,BAMLC0A4CBBB!A:A,BAMLC0A4CBBB!B:B,"",-1)</f>
        <v>1.1200000000000001</v>
      </c>
      <c r="K2258" s="2">
        <f>_xlfn.XLOOKUP(A2258,CPIAUCSL!A:A,CPIAUCSL!B:B,"",-1)</f>
        <v>319.78500000000003</v>
      </c>
      <c r="L2258">
        <f>_xlfn.XLOOKUP(A2258,DFF!A:A,DFF!B:B,"",-1)</f>
        <v>4.33</v>
      </c>
      <c r="M2258">
        <f>_xlfn.XLOOKUP(A2258,'DGS2'!A:A,'DGS2'!B:B,"",-1)</f>
        <v>4.04</v>
      </c>
      <c r="N2258">
        <f t="shared" si="283"/>
        <v>0.10000000000000009</v>
      </c>
      <c r="O2258">
        <f t="shared" si="284"/>
        <v>1.5743198608773046E-3</v>
      </c>
      <c r="P2258">
        <f t="shared" si="285"/>
        <v>1</v>
      </c>
      <c r="Q2258">
        <f t="shared" si="286"/>
        <v>0</v>
      </c>
    </row>
    <row r="2259" spans="1:17">
      <c r="A2259" s="1">
        <v>45741</v>
      </c>
      <c r="B2259">
        <v>5776.65</v>
      </c>
      <c r="C2259">
        <f t="shared" si="280"/>
        <v>1.5743198608773046E-3</v>
      </c>
      <c r="D2259">
        <f t="shared" si="287"/>
        <v>2.0088682633778721E-2</v>
      </c>
      <c r="E2259">
        <f>_xlfn.XLOOKUP(A2259,VIX!A:A,VIX!B:B,"",-1)</f>
        <v>17.149999999999999</v>
      </c>
      <c r="F2259">
        <f t="shared" si="281"/>
        <v>-0.33000000000000185</v>
      </c>
      <c r="G2259">
        <f>_xlfn.XLOOKUP(A2259,'DGS10'!A:A,'DGS10'!B:B,"",-1)</f>
        <v>4.3099999999999996</v>
      </c>
      <c r="H2259">
        <f t="shared" si="282"/>
        <v>-3.0000000000000249E-2</v>
      </c>
      <c r="I2259" s="2">
        <f>_xlfn.XLOOKUP(A2259,T10Y3M!A:A,T10Y3M!B:B,"",-1)</f>
        <v>-0.02</v>
      </c>
      <c r="J2259" s="2">
        <f>_xlfn.XLOOKUP(A2259,BAMLC0A4CBBB!A:A,BAMLC0A4CBBB!B:B,"",-1)</f>
        <v>1.1200000000000001</v>
      </c>
      <c r="K2259" s="2">
        <f>_xlfn.XLOOKUP(A2259,CPIAUCSL!A:A,CPIAUCSL!B:B,"",-1)</f>
        <v>319.78500000000003</v>
      </c>
      <c r="L2259">
        <f>_xlfn.XLOOKUP(A2259,DFF!A:A,DFF!B:B,"",-1)</f>
        <v>4.33</v>
      </c>
      <c r="M2259">
        <f>_xlfn.XLOOKUP(A2259,'DGS2'!A:A,'DGS2'!B:B,"",-1)</f>
        <v>3.96</v>
      </c>
      <c r="N2259">
        <f t="shared" si="283"/>
        <v>-8.0000000000000071E-2</v>
      </c>
      <c r="O2259">
        <f t="shared" si="284"/>
        <v>-1.115698545004451E-2</v>
      </c>
      <c r="P2259">
        <f t="shared" si="285"/>
        <v>0</v>
      </c>
      <c r="Q2259">
        <f t="shared" si="286"/>
        <v>-1</v>
      </c>
    </row>
    <row r="2260" spans="1:17">
      <c r="A2260" s="1">
        <v>45742</v>
      </c>
      <c r="B2260">
        <v>5712.2</v>
      </c>
      <c r="C2260">
        <f t="shared" si="280"/>
        <v>-1.115698545004451E-2</v>
      </c>
      <c r="D2260">
        <f t="shared" si="287"/>
        <v>7.8764053666833256E-3</v>
      </c>
      <c r="E2260">
        <f>_xlfn.XLOOKUP(A2260,VIX!A:A,VIX!B:B,"",-1)</f>
        <v>18.329999999999998</v>
      </c>
      <c r="F2260">
        <f t="shared" si="281"/>
        <v>1.1799999999999997</v>
      </c>
      <c r="G2260">
        <f>_xlfn.XLOOKUP(A2260,'DGS10'!A:A,'DGS10'!B:B,"",-1)</f>
        <v>4.3499999999999996</v>
      </c>
      <c r="H2260">
        <f t="shared" si="282"/>
        <v>4.0000000000000036E-2</v>
      </c>
      <c r="I2260" s="2">
        <f>_xlfn.XLOOKUP(A2260,T10Y3M!A:A,T10Y3M!B:B,"",-1)</f>
        <v>0.02</v>
      </c>
      <c r="J2260" s="2">
        <f>_xlfn.XLOOKUP(A2260,BAMLC0A4CBBB!A:A,BAMLC0A4CBBB!B:B,"",-1)</f>
        <v>1.1299999999999999</v>
      </c>
      <c r="K2260" s="2">
        <f>_xlfn.XLOOKUP(A2260,CPIAUCSL!A:A,CPIAUCSL!B:B,"",-1)</f>
        <v>319.78500000000003</v>
      </c>
      <c r="L2260">
        <f>_xlfn.XLOOKUP(A2260,DFF!A:A,DFF!B:B,"",-1)</f>
        <v>4.33</v>
      </c>
      <c r="M2260">
        <f>_xlfn.XLOOKUP(A2260,'DGS2'!A:A,'DGS2'!B:B,"",-1)</f>
        <v>3.98</v>
      </c>
      <c r="N2260">
        <f t="shared" si="283"/>
        <v>2.0000000000000018E-2</v>
      </c>
      <c r="O2260">
        <f t="shared" si="284"/>
        <v>-3.3069570393192693E-3</v>
      </c>
      <c r="P2260">
        <f t="shared" si="285"/>
        <v>0</v>
      </c>
      <c r="Q2260">
        <f t="shared" si="286"/>
        <v>-1</v>
      </c>
    </row>
    <row r="2261" spans="1:17">
      <c r="A2261" s="1">
        <v>45743</v>
      </c>
      <c r="B2261">
        <v>5693.31</v>
      </c>
      <c r="C2261">
        <f t="shared" si="280"/>
        <v>-3.3069570393192693E-3</v>
      </c>
      <c r="D2261">
        <f t="shared" si="287"/>
        <v>-1.2875439743254002E-2</v>
      </c>
      <c r="E2261">
        <f>_xlfn.XLOOKUP(A2261,VIX!A:A,VIX!B:B,"",-1)</f>
        <v>18.690000000000001</v>
      </c>
      <c r="F2261">
        <f t="shared" si="281"/>
        <v>0.36000000000000298</v>
      </c>
      <c r="G2261">
        <f>_xlfn.XLOOKUP(A2261,'DGS10'!A:A,'DGS10'!B:B,"",-1)</f>
        <v>4.38</v>
      </c>
      <c r="H2261">
        <f t="shared" si="282"/>
        <v>3.0000000000000249E-2</v>
      </c>
      <c r="I2261" s="2">
        <f>_xlfn.XLOOKUP(A2261,T10Y3M!A:A,T10Y3M!B:B,"",-1)</f>
        <v>0.05</v>
      </c>
      <c r="J2261" s="2">
        <f>_xlfn.XLOOKUP(A2261,BAMLC0A4CBBB!A:A,BAMLC0A4CBBB!B:B,"",-1)</f>
        <v>1.1399999999999999</v>
      </c>
      <c r="K2261" s="2">
        <f>_xlfn.XLOOKUP(A2261,CPIAUCSL!A:A,CPIAUCSL!B:B,"",-1)</f>
        <v>319.78500000000003</v>
      </c>
      <c r="L2261">
        <f>_xlfn.XLOOKUP(A2261,DFF!A:A,DFF!B:B,"",-1)</f>
        <v>4.33</v>
      </c>
      <c r="M2261">
        <f>_xlfn.XLOOKUP(A2261,'DGS2'!A:A,'DGS2'!B:B,"",-1)</f>
        <v>3.97</v>
      </c>
      <c r="N2261">
        <f t="shared" si="283"/>
        <v>-9.9999999999997868E-3</v>
      </c>
      <c r="O2261">
        <f t="shared" si="284"/>
        <v>-1.9737200328104554E-2</v>
      </c>
      <c r="P2261">
        <f t="shared" si="285"/>
        <v>0</v>
      </c>
      <c r="Q2261">
        <f t="shared" si="286"/>
        <v>-1</v>
      </c>
    </row>
    <row r="2262" spans="1:17">
      <c r="A2262" s="1">
        <v>45744</v>
      </c>
      <c r="B2262">
        <v>5580.94</v>
      </c>
      <c r="C2262">
        <f t="shared" si="280"/>
        <v>-1.9737200328104554E-2</v>
      </c>
      <c r="D2262">
        <f t="shared" si="287"/>
        <v>-3.3879497632711031E-2</v>
      </c>
      <c r="E2262">
        <f>_xlfn.XLOOKUP(A2262,VIX!A:A,VIX!B:B,"",-1)</f>
        <v>21.65</v>
      </c>
      <c r="F2262">
        <f t="shared" si="281"/>
        <v>2.9599999999999973</v>
      </c>
      <c r="G2262">
        <f>_xlfn.XLOOKUP(A2262,'DGS10'!A:A,'DGS10'!B:B,"",-1)</f>
        <v>4.2699999999999996</v>
      </c>
      <c r="H2262">
        <f t="shared" si="282"/>
        <v>-0.11000000000000032</v>
      </c>
      <c r="I2262" s="2">
        <f>_xlfn.XLOOKUP(A2262,T10Y3M!A:A,T10Y3M!B:B,"",-1)</f>
        <v>-0.06</v>
      </c>
      <c r="J2262" s="2">
        <f>_xlfn.XLOOKUP(A2262,BAMLC0A4CBBB!A:A,BAMLC0A4CBBB!B:B,"",-1)</f>
        <v>1.17</v>
      </c>
      <c r="K2262" s="2">
        <f>_xlfn.XLOOKUP(A2262,CPIAUCSL!A:A,CPIAUCSL!B:B,"",-1)</f>
        <v>319.78500000000003</v>
      </c>
      <c r="L2262">
        <f>_xlfn.XLOOKUP(A2262,DFF!A:A,DFF!B:B,"",-1)</f>
        <v>4.33</v>
      </c>
      <c r="M2262">
        <f>_xlfn.XLOOKUP(A2262,'DGS2'!A:A,'DGS2'!B:B,"",-1)</f>
        <v>3.89</v>
      </c>
      <c r="N2262">
        <f t="shared" si="283"/>
        <v>-8.0000000000000071E-2</v>
      </c>
      <c r="O2262">
        <f t="shared" si="284"/>
        <v>5.5384935154294546E-3</v>
      </c>
      <c r="P2262">
        <f t="shared" si="285"/>
        <v>1</v>
      </c>
      <c r="Q2262">
        <f t="shared" si="286"/>
        <v>1</v>
      </c>
    </row>
    <row r="2263" spans="1:17">
      <c r="A2263" s="1">
        <v>45747</v>
      </c>
      <c r="B2263">
        <v>5611.85</v>
      </c>
      <c r="C2263">
        <f t="shared" si="280"/>
        <v>5.5384935154294546E-3</v>
      </c>
      <c r="D2263">
        <f t="shared" si="287"/>
        <v>-1.7567662196701694E-2</v>
      </c>
      <c r="E2263">
        <f>_xlfn.XLOOKUP(A2263,VIX!A:A,VIX!B:B,"",-1)</f>
        <v>22.28</v>
      </c>
      <c r="F2263">
        <f t="shared" si="281"/>
        <v>0.63000000000000256</v>
      </c>
      <c r="G2263">
        <f>_xlfn.XLOOKUP(A2263,'DGS10'!A:A,'DGS10'!B:B,"",-1)</f>
        <v>4.2300000000000004</v>
      </c>
      <c r="H2263">
        <f t="shared" si="282"/>
        <v>-3.9999999999999147E-2</v>
      </c>
      <c r="I2263" s="2">
        <f>_xlfn.XLOOKUP(A2263,T10Y3M!A:A,T10Y3M!B:B,"",-1)</f>
        <v>-0.09</v>
      </c>
      <c r="J2263" s="2">
        <f>_xlfn.XLOOKUP(A2263,BAMLC0A4CBBB!A:A,BAMLC0A4CBBB!B:B,"",-1)</f>
        <v>1.2</v>
      </c>
      <c r="K2263" s="2">
        <f>_xlfn.XLOOKUP(A2263,CPIAUCSL!A:A,CPIAUCSL!B:B,"",-1)</f>
        <v>319.78500000000003</v>
      </c>
      <c r="L2263">
        <f>_xlfn.XLOOKUP(A2263,DFF!A:A,DFF!B:B,"",-1)</f>
        <v>4.33</v>
      </c>
      <c r="M2263">
        <f>_xlfn.XLOOKUP(A2263,'DGS2'!A:A,'DGS2'!B:B,"",-1)</f>
        <v>3.89</v>
      </c>
      <c r="N2263">
        <f t="shared" si="283"/>
        <v>0</v>
      </c>
      <c r="O2263">
        <f t="shared" si="284"/>
        <v>3.7812842467277452E-3</v>
      </c>
      <c r="P2263">
        <f t="shared" si="285"/>
        <v>1</v>
      </c>
      <c r="Q2263">
        <f t="shared" si="286"/>
        <v>1</v>
      </c>
    </row>
    <row r="2264" spans="1:17">
      <c r="A2264" s="1">
        <v>45748</v>
      </c>
      <c r="B2264">
        <v>5633.07</v>
      </c>
      <c r="C2264">
        <f t="shared" si="280"/>
        <v>3.7812842467277452E-3</v>
      </c>
      <c r="D2264">
        <f t="shared" si="287"/>
        <v>-1.0580839617024274E-2</v>
      </c>
      <c r="E2264">
        <f>_xlfn.XLOOKUP(A2264,VIX!A:A,VIX!B:B,"",-1)</f>
        <v>21.77</v>
      </c>
      <c r="F2264">
        <f t="shared" si="281"/>
        <v>-0.51000000000000156</v>
      </c>
      <c r="G2264">
        <f>_xlfn.XLOOKUP(A2264,'DGS10'!A:A,'DGS10'!B:B,"",-1)</f>
        <v>4.17</v>
      </c>
      <c r="H2264">
        <f t="shared" si="282"/>
        <v>-6.0000000000000497E-2</v>
      </c>
      <c r="I2264" s="2">
        <f>_xlfn.XLOOKUP(A2264,T10Y3M!A:A,T10Y3M!B:B,"",-1)</f>
        <v>-0.15</v>
      </c>
      <c r="J2264" s="2">
        <f>_xlfn.XLOOKUP(A2264,BAMLC0A4CBBB!A:A,BAMLC0A4CBBB!B:B,"",-1)</f>
        <v>1.21</v>
      </c>
      <c r="K2264" s="2">
        <f>_xlfn.XLOOKUP(A2264,CPIAUCSL!A:A,CPIAUCSL!B:B,"",-1)</f>
        <v>320.30200000000002</v>
      </c>
      <c r="L2264">
        <f>_xlfn.XLOOKUP(A2264,DFF!A:A,DFF!B:B,"",-1)</f>
        <v>4.33</v>
      </c>
      <c r="M2264">
        <f>_xlfn.XLOOKUP(A2264,'DGS2'!A:A,'DGS2'!B:B,"",-1)</f>
        <v>3.87</v>
      </c>
      <c r="N2264">
        <f t="shared" si="283"/>
        <v>-2.0000000000000018E-2</v>
      </c>
      <c r="O2264">
        <f t="shared" si="284"/>
        <v>6.7281251608803938E-3</v>
      </c>
      <c r="P2264">
        <f t="shared" si="285"/>
        <v>1</v>
      </c>
      <c r="Q2264">
        <f t="shared" si="286"/>
        <v>1</v>
      </c>
    </row>
    <row r="2265" spans="1:17">
      <c r="A2265" s="1">
        <v>45749</v>
      </c>
      <c r="B2265">
        <v>5670.97</v>
      </c>
      <c r="C2265">
        <f t="shared" si="280"/>
        <v>6.7281251608803938E-3</v>
      </c>
      <c r="D2265">
        <f t="shared" si="287"/>
        <v>1.6131691077130528E-2</v>
      </c>
      <c r="E2265">
        <f>_xlfn.XLOOKUP(A2265,VIX!A:A,VIX!B:B,"",-1)</f>
        <v>21.51</v>
      </c>
      <c r="F2265">
        <f t="shared" si="281"/>
        <v>-0.25999999999999801</v>
      </c>
      <c r="G2265">
        <f>_xlfn.XLOOKUP(A2265,'DGS10'!A:A,'DGS10'!B:B,"",-1)</f>
        <v>4.2</v>
      </c>
      <c r="H2265">
        <f t="shared" si="282"/>
        <v>3.0000000000000249E-2</v>
      </c>
      <c r="I2265" s="2">
        <f>_xlfn.XLOOKUP(A2265,T10Y3M!A:A,T10Y3M!B:B,"",-1)</f>
        <v>-0.12</v>
      </c>
      <c r="J2265" s="2">
        <f>_xlfn.XLOOKUP(A2265,BAMLC0A4CBBB!A:A,BAMLC0A4CBBB!B:B,"",-1)</f>
        <v>1.19</v>
      </c>
      <c r="K2265" s="2">
        <f>_xlfn.XLOOKUP(A2265,CPIAUCSL!A:A,CPIAUCSL!B:B,"",-1)</f>
        <v>320.30200000000002</v>
      </c>
      <c r="L2265">
        <f>_xlfn.XLOOKUP(A2265,DFF!A:A,DFF!B:B,"",-1)</f>
        <v>4.33</v>
      </c>
      <c r="M2265">
        <f>_xlfn.XLOOKUP(A2265,'DGS2'!A:A,'DGS2'!B:B,"",-1)</f>
        <v>3.91</v>
      </c>
      <c r="N2265">
        <f t="shared" si="283"/>
        <v>4.0000000000000036E-2</v>
      </c>
      <c r="O2265">
        <f t="shared" si="284"/>
        <v>-4.839560075260485E-2</v>
      </c>
      <c r="P2265">
        <f t="shared" si="285"/>
        <v>0</v>
      </c>
      <c r="Q2265">
        <f t="shared" si="286"/>
        <v>-1</v>
      </c>
    </row>
    <row r="2266" spans="1:17">
      <c r="A2266" s="1">
        <v>45750</v>
      </c>
      <c r="B2266">
        <v>5396.52</v>
      </c>
      <c r="C2266">
        <f t="shared" si="280"/>
        <v>-4.839560075260485E-2</v>
      </c>
      <c r="D2266">
        <f t="shared" si="287"/>
        <v>-3.8370590803389226E-2</v>
      </c>
      <c r="E2266">
        <f>_xlfn.XLOOKUP(A2266,VIX!A:A,VIX!B:B,"",-1)</f>
        <v>30.02</v>
      </c>
      <c r="F2266">
        <f t="shared" si="281"/>
        <v>8.509999999999998</v>
      </c>
      <c r="G2266">
        <f>_xlfn.XLOOKUP(A2266,'DGS10'!A:A,'DGS10'!B:B,"",-1)</f>
        <v>4.0599999999999996</v>
      </c>
      <c r="H2266">
        <f t="shared" si="282"/>
        <v>-0.14000000000000057</v>
      </c>
      <c r="I2266" s="2">
        <f>_xlfn.XLOOKUP(A2266,T10Y3M!A:A,T10Y3M!B:B,"",-1)</f>
        <v>-0.25</v>
      </c>
      <c r="J2266" s="2">
        <f>_xlfn.XLOOKUP(A2266,BAMLC0A4CBBB!A:A,BAMLC0A4CBBB!B:B,"",-1)</f>
        <v>1.3</v>
      </c>
      <c r="K2266" s="2">
        <f>_xlfn.XLOOKUP(A2266,CPIAUCSL!A:A,CPIAUCSL!B:B,"",-1)</f>
        <v>320.30200000000002</v>
      </c>
      <c r="L2266">
        <f>_xlfn.XLOOKUP(A2266,DFF!A:A,DFF!B:B,"",-1)</f>
        <v>4.33</v>
      </c>
      <c r="M2266">
        <f>_xlfn.XLOOKUP(A2266,'DGS2'!A:A,'DGS2'!B:B,"",-1)</f>
        <v>3.71</v>
      </c>
      <c r="N2266">
        <f t="shared" si="283"/>
        <v>-0.20000000000000018</v>
      </c>
      <c r="O2266">
        <f t="shared" si="284"/>
        <v>-5.9749616419470408E-2</v>
      </c>
      <c r="P2266">
        <f t="shared" si="285"/>
        <v>0</v>
      </c>
      <c r="Q2266">
        <f t="shared" si="286"/>
        <v>-1</v>
      </c>
    </row>
    <row r="2267" spans="1:17">
      <c r="A2267" s="1">
        <v>45751</v>
      </c>
      <c r="B2267">
        <v>5074.08</v>
      </c>
      <c r="C2267">
        <f t="shared" si="280"/>
        <v>-5.9749616419470408E-2</v>
      </c>
      <c r="D2267">
        <f t="shared" si="287"/>
        <v>-9.9233632814788364E-2</v>
      </c>
      <c r="E2267">
        <f>_xlfn.XLOOKUP(A2267,VIX!A:A,VIX!B:B,"",-1)</f>
        <v>45.31</v>
      </c>
      <c r="F2267">
        <f t="shared" si="281"/>
        <v>15.290000000000003</v>
      </c>
      <c r="G2267">
        <f>_xlfn.XLOOKUP(A2267,'DGS10'!A:A,'DGS10'!B:B,"",-1)</f>
        <v>4.01</v>
      </c>
      <c r="H2267">
        <f t="shared" si="282"/>
        <v>-4.9999999999999822E-2</v>
      </c>
      <c r="I2267" s="2">
        <f>_xlfn.XLOOKUP(A2267,T10Y3M!A:A,T10Y3M!B:B,"",-1)</f>
        <v>-0.27</v>
      </c>
      <c r="J2267" s="2">
        <f>_xlfn.XLOOKUP(A2267,BAMLC0A4CBBB!A:A,BAMLC0A4CBBB!B:B,"",-1)</f>
        <v>1.41</v>
      </c>
      <c r="K2267" s="2">
        <f>_xlfn.XLOOKUP(A2267,CPIAUCSL!A:A,CPIAUCSL!B:B,"",-1)</f>
        <v>320.30200000000002</v>
      </c>
      <c r="L2267">
        <f>_xlfn.XLOOKUP(A2267,DFF!A:A,DFF!B:B,"",-1)</f>
        <v>4.33</v>
      </c>
      <c r="M2267">
        <f>_xlfn.XLOOKUP(A2267,'DGS2'!A:A,'DGS2'!B:B,"",-1)</f>
        <v>3.68</v>
      </c>
      <c r="N2267">
        <f t="shared" si="283"/>
        <v>-2.9999999999999805E-2</v>
      </c>
      <c r="O2267">
        <f t="shared" si="284"/>
        <v>-2.3314571311449095E-3</v>
      </c>
      <c r="P2267">
        <f t="shared" si="285"/>
        <v>0</v>
      </c>
      <c r="Q2267">
        <f t="shared" si="286"/>
        <v>0</v>
      </c>
    </row>
    <row r="2268" spans="1:17">
      <c r="A2268" s="1">
        <v>45754</v>
      </c>
      <c r="B2268">
        <v>5062.25</v>
      </c>
      <c r="C2268">
        <f t="shared" si="280"/>
        <v>-2.3314571311449095E-3</v>
      </c>
      <c r="D2268">
        <f t="shared" si="287"/>
        <v>-0.10733966146884932</v>
      </c>
      <c r="E2268">
        <f>_xlfn.XLOOKUP(A2268,VIX!A:A,VIX!B:B,"",-1)</f>
        <v>46.98</v>
      </c>
      <c r="F2268">
        <f t="shared" si="281"/>
        <v>1.6699999999999946</v>
      </c>
      <c r="G2268">
        <f>_xlfn.XLOOKUP(A2268,'DGS10'!A:A,'DGS10'!B:B,"",-1)</f>
        <v>4.1500000000000004</v>
      </c>
      <c r="H2268">
        <f t="shared" si="282"/>
        <v>0.14000000000000057</v>
      </c>
      <c r="I2268" s="2">
        <f>_xlfn.XLOOKUP(A2268,T10Y3M!A:A,T10Y3M!B:B,"",-1)</f>
        <v>-0.14000000000000001</v>
      </c>
      <c r="J2268" s="2">
        <f>_xlfn.XLOOKUP(A2268,BAMLC0A4CBBB!A:A,BAMLC0A4CBBB!B:B,"",-1)</f>
        <v>1.48</v>
      </c>
      <c r="K2268" s="2">
        <f>_xlfn.XLOOKUP(A2268,CPIAUCSL!A:A,CPIAUCSL!B:B,"",-1)</f>
        <v>320.30200000000002</v>
      </c>
      <c r="L2268">
        <f>_xlfn.XLOOKUP(A2268,DFF!A:A,DFF!B:B,"",-1)</f>
        <v>4.33</v>
      </c>
      <c r="M2268">
        <f>_xlfn.XLOOKUP(A2268,'DGS2'!A:A,'DGS2'!B:B,"",-1)</f>
        <v>3.73</v>
      </c>
      <c r="N2268">
        <f t="shared" si="283"/>
        <v>4.9999999999999822E-2</v>
      </c>
      <c r="O2268">
        <f t="shared" si="284"/>
        <v>-1.5700528421156545E-2</v>
      </c>
      <c r="P2268">
        <f t="shared" si="285"/>
        <v>0</v>
      </c>
      <c r="Q2268">
        <f t="shared" si="286"/>
        <v>-1</v>
      </c>
    </row>
    <row r="2269" spans="1:17">
      <c r="A2269" s="1">
        <v>45755</v>
      </c>
      <c r="B2269">
        <v>4982.7700000000004</v>
      </c>
      <c r="C2269">
        <f t="shared" si="280"/>
        <v>-1.5700528421156545E-2</v>
      </c>
      <c r="D2269">
        <f t="shared" si="287"/>
        <v>-7.6669779784008907E-2</v>
      </c>
      <c r="E2269">
        <f>_xlfn.XLOOKUP(A2269,VIX!A:A,VIX!B:B,"",-1)</f>
        <v>52.33</v>
      </c>
      <c r="F2269">
        <f t="shared" si="281"/>
        <v>5.3500000000000014</v>
      </c>
      <c r="G2269">
        <f>_xlfn.XLOOKUP(A2269,'DGS10'!A:A,'DGS10'!B:B,"",-1)</f>
        <v>4.26</v>
      </c>
      <c r="H2269">
        <f t="shared" si="282"/>
        <v>0.10999999999999943</v>
      </c>
      <c r="I2269" s="2">
        <f>_xlfn.XLOOKUP(A2269,T10Y3M!A:A,T10Y3M!B:B,"",-1)</f>
        <v>-0.05</v>
      </c>
      <c r="J2269" s="2">
        <f>_xlfn.XLOOKUP(A2269,BAMLC0A4CBBB!A:A,BAMLC0A4CBBB!B:B,"",-1)</f>
        <v>1.46</v>
      </c>
      <c r="K2269" s="2">
        <f>_xlfn.XLOOKUP(A2269,CPIAUCSL!A:A,CPIAUCSL!B:B,"",-1)</f>
        <v>320.30200000000002</v>
      </c>
      <c r="L2269">
        <f>_xlfn.XLOOKUP(A2269,DFF!A:A,DFF!B:B,"",-1)</f>
        <v>4.33</v>
      </c>
      <c r="M2269">
        <f>_xlfn.XLOOKUP(A2269,'DGS2'!A:A,'DGS2'!B:B,"",-1)</f>
        <v>3.71</v>
      </c>
      <c r="N2269">
        <f t="shared" si="283"/>
        <v>-2.0000000000000018E-2</v>
      </c>
      <c r="O2269">
        <f t="shared" si="284"/>
        <v>9.5153900340573472E-2</v>
      </c>
      <c r="P2269">
        <f t="shared" si="285"/>
        <v>1</v>
      </c>
      <c r="Q2269">
        <f t="shared" si="286"/>
        <v>1</v>
      </c>
    </row>
    <row r="2270" spans="1:17">
      <c r="A2270" s="1">
        <v>45756</v>
      </c>
      <c r="B2270">
        <v>5456.9</v>
      </c>
      <c r="C2270">
        <f t="shared" si="280"/>
        <v>9.5153900340573472E-2</v>
      </c>
      <c r="D2270">
        <f t="shared" si="287"/>
        <v>7.5446189259924967E-2</v>
      </c>
      <c r="E2270">
        <f>_xlfn.XLOOKUP(A2270,VIX!A:A,VIX!B:B,"",-1)</f>
        <v>33.619999999999997</v>
      </c>
      <c r="F2270">
        <f t="shared" si="281"/>
        <v>-18.71</v>
      </c>
      <c r="G2270">
        <f>_xlfn.XLOOKUP(A2270,'DGS10'!A:A,'DGS10'!B:B,"",-1)</f>
        <v>4.34</v>
      </c>
      <c r="H2270">
        <f t="shared" si="282"/>
        <v>8.0000000000000071E-2</v>
      </c>
      <c r="I2270" s="2">
        <f>_xlfn.XLOOKUP(A2270,T10Y3M!A:A,T10Y3M!B:B,"",-1)</f>
        <v>-0.01</v>
      </c>
      <c r="J2270" s="2">
        <f>_xlfn.XLOOKUP(A2270,BAMLC0A4CBBB!A:A,BAMLC0A4CBBB!B:B,"",-1)</f>
        <v>1.49</v>
      </c>
      <c r="K2270" s="2">
        <f>_xlfn.XLOOKUP(A2270,CPIAUCSL!A:A,CPIAUCSL!B:B,"",-1)</f>
        <v>320.30200000000002</v>
      </c>
      <c r="L2270">
        <f>_xlfn.XLOOKUP(A2270,DFF!A:A,DFF!B:B,"",-1)</f>
        <v>4.33</v>
      </c>
      <c r="M2270">
        <f>_xlfn.XLOOKUP(A2270,'DGS2'!A:A,'DGS2'!B:B,"",-1)</f>
        <v>3.91</v>
      </c>
      <c r="N2270">
        <f t="shared" si="283"/>
        <v>0.20000000000000018</v>
      </c>
      <c r="O2270">
        <f t="shared" si="284"/>
        <v>-3.4607561069471604E-2</v>
      </c>
      <c r="P2270">
        <f t="shared" si="285"/>
        <v>0</v>
      </c>
      <c r="Q2270">
        <f t="shared" si="286"/>
        <v>-1</v>
      </c>
    </row>
    <row r="2271" spans="1:17">
      <c r="A2271" s="1">
        <v>45757</v>
      </c>
      <c r="B2271">
        <v>5268.05</v>
      </c>
      <c r="C2271">
        <f t="shared" si="280"/>
        <v>-3.4607561069471604E-2</v>
      </c>
      <c r="D2271">
        <f t="shared" si="287"/>
        <v>4.0653859449849339E-2</v>
      </c>
      <c r="E2271">
        <f>_xlfn.XLOOKUP(A2271,VIX!A:A,VIX!B:B,"",-1)</f>
        <v>40.72</v>
      </c>
      <c r="F2271">
        <f t="shared" si="281"/>
        <v>7.1000000000000014</v>
      </c>
      <c r="G2271">
        <f>_xlfn.XLOOKUP(A2271,'DGS10'!A:A,'DGS10'!B:B,"",-1)</f>
        <v>4.4000000000000004</v>
      </c>
      <c r="H2271">
        <f t="shared" si="282"/>
        <v>6.0000000000000497E-2</v>
      </c>
      <c r="I2271" s="2">
        <f>_xlfn.XLOOKUP(A2271,T10Y3M!A:A,T10Y3M!B:B,"",-1)</f>
        <v>0.06</v>
      </c>
      <c r="J2271" s="2">
        <f>_xlfn.XLOOKUP(A2271,BAMLC0A4CBBB!A:A,BAMLC0A4CBBB!B:B,"",-1)</f>
        <v>1.46</v>
      </c>
      <c r="K2271" s="2">
        <f>_xlfn.XLOOKUP(A2271,CPIAUCSL!A:A,CPIAUCSL!B:B,"",-1)</f>
        <v>320.30200000000002</v>
      </c>
      <c r="L2271">
        <f>_xlfn.XLOOKUP(A2271,DFF!A:A,DFF!B:B,"",-1)</f>
        <v>4.33</v>
      </c>
      <c r="M2271">
        <f>_xlfn.XLOOKUP(A2271,'DGS2'!A:A,'DGS2'!B:B,"",-1)</f>
        <v>3.84</v>
      </c>
      <c r="N2271">
        <f t="shared" si="283"/>
        <v>-7.0000000000000284E-2</v>
      </c>
      <c r="O2271">
        <f t="shared" si="284"/>
        <v>1.8092083408471682E-2</v>
      </c>
      <c r="P2271">
        <f t="shared" si="285"/>
        <v>1</v>
      </c>
      <c r="Q2271">
        <f t="shared" si="286"/>
        <v>1</v>
      </c>
    </row>
    <row r="2272" spans="1:17">
      <c r="A2272" s="1">
        <v>45758</v>
      </c>
      <c r="B2272">
        <v>5363.36</v>
      </c>
      <c r="C2272">
        <f t="shared" si="280"/>
        <v>1.8092083408471682E-2</v>
      </c>
      <c r="D2272">
        <f t="shared" si="287"/>
        <v>7.6381209648448412E-2</v>
      </c>
      <c r="E2272">
        <f>_xlfn.XLOOKUP(A2272,VIX!A:A,VIX!B:B,"",-1)</f>
        <v>37.56</v>
      </c>
      <c r="F2272">
        <f t="shared" si="281"/>
        <v>-3.1599999999999966</v>
      </c>
      <c r="G2272">
        <f>_xlfn.XLOOKUP(A2272,'DGS10'!A:A,'DGS10'!B:B,"",-1)</f>
        <v>4.4800000000000004</v>
      </c>
      <c r="H2272">
        <f t="shared" si="282"/>
        <v>8.0000000000000071E-2</v>
      </c>
      <c r="I2272" s="2">
        <f>_xlfn.XLOOKUP(A2272,T10Y3M!A:A,T10Y3M!B:B,"",-1)</f>
        <v>0.14000000000000001</v>
      </c>
      <c r="J2272" s="2">
        <f>_xlfn.XLOOKUP(A2272,BAMLC0A4CBBB!A:A,BAMLC0A4CBBB!B:B,"",-1)</f>
        <v>1.46</v>
      </c>
      <c r="K2272" s="2">
        <f>_xlfn.XLOOKUP(A2272,CPIAUCSL!A:A,CPIAUCSL!B:B,"",-1)</f>
        <v>320.30200000000002</v>
      </c>
      <c r="L2272">
        <f>_xlfn.XLOOKUP(A2272,DFF!A:A,DFF!B:B,"",-1)</f>
        <v>4.33</v>
      </c>
      <c r="M2272">
        <f>_xlfn.XLOOKUP(A2272,'DGS2'!A:A,'DGS2'!B:B,"",-1)</f>
        <v>3.96</v>
      </c>
      <c r="N2272">
        <f t="shared" si="283"/>
        <v>0.12000000000000011</v>
      </c>
      <c r="O2272">
        <f t="shared" si="284"/>
        <v>7.9446466394201831E-3</v>
      </c>
      <c r="P2272">
        <f t="shared" si="285"/>
        <v>1</v>
      </c>
      <c r="Q2272">
        <f t="shared" si="286"/>
        <v>1</v>
      </c>
    </row>
    <row r="2273" spans="1:17">
      <c r="A2273" s="1">
        <v>45761</v>
      </c>
      <c r="B2273">
        <v>5405.97</v>
      </c>
      <c r="C2273">
        <f t="shared" si="280"/>
        <v>7.9446466394201831E-3</v>
      </c>
      <c r="D2273">
        <f t="shared" si="287"/>
        <v>-9.3331378621560601E-3</v>
      </c>
      <c r="E2273">
        <f>_xlfn.XLOOKUP(A2273,VIX!A:A,VIX!B:B,"",-1)</f>
        <v>30.89</v>
      </c>
      <c r="F2273">
        <f t="shared" si="281"/>
        <v>-6.6700000000000017</v>
      </c>
      <c r="G2273">
        <f>_xlfn.XLOOKUP(A2273,'DGS10'!A:A,'DGS10'!B:B,"",-1)</f>
        <v>4.38</v>
      </c>
      <c r="H2273">
        <f t="shared" si="282"/>
        <v>-0.10000000000000053</v>
      </c>
      <c r="I2273" s="2">
        <f>_xlfn.XLOOKUP(A2273,T10Y3M!A:A,T10Y3M!B:B,"",-1)</f>
        <v>0.05</v>
      </c>
      <c r="J2273" s="2">
        <f>_xlfn.XLOOKUP(A2273,BAMLC0A4CBBB!A:A,BAMLC0A4CBBB!B:B,"",-1)</f>
        <v>1.43</v>
      </c>
      <c r="K2273" s="2">
        <f>_xlfn.XLOOKUP(A2273,CPIAUCSL!A:A,CPIAUCSL!B:B,"",-1)</f>
        <v>320.30200000000002</v>
      </c>
      <c r="L2273">
        <f>_xlfn.XLOOKUP(A2273,DFF!A:A,DFF!B:B,"",-1)</f>
        <v>4.33</v>
      </c>
      <c r="M2273">
        <f>_xlfn.XLOOKUP(A2273,'DGS2'!A:A,'DGS2'!B:B,"",-1)</f>
        <v>3.84</v>
      </c>
      <c r="N2273">
        <f t="shared" si="283"/>
        <v>-0.12000000000000011</v>
      </c>
      <c r="O2273">
        <f t="shared" si="284"/>
        <v>-1.7277195396940837E-3</v>
      </c>
      <c r="P2273">
        <f t="shared" si="285"/>
        <v>0</v>
      </c>
      <c r="Q2273">
        <f t="shared" si="286"/>
        <v>0</v>
      </c>
    </row>
    <row r="2274" spans="1:17">
      <c r="A2274" s="1">
        <v>45762</v>
      </c>
      <c r="B2274">
        <v>5396.63</v>
      </c>
      <c r="C2274">
        <f t="shared" si="280"/>
        <v>-1.7277195396940837E-3</v>
      </c>
      <c r="D2274">
        <f t="shared" si="287"/>
        <v>2.4407513216465171E-2</v>
      </c>
      <c r="E2274">
        <f>_xlfn.XLOOKUP(A2274,VIX!A:A,VIX!B:B,"",-1)</f>
        <v>30.12</v>
      </c>
      <c r="F2274">
        <f t="shared" si="281"/>
        <v>-0.76999999999999957</v>
      </c>
      <c r="G2274">
        <f>_xlfn.XLOOKUP(A2274,'DGS10'!A:A,'DGS10'!B:B,"",-1)</f>
        <v>4.3499999999999996</v>
      </c>
      <c r="H2274">
        <f t="shared" si="282"/>
        <v>-3.0000000000000249E-2</v>
      </c>
      <c r="I2274" s="2">
        <f>_xlfn.XLOOKUP(A2274,T10Y3M!A:A,T10Y3M!B:B,"",-1)</f>
        <v>0.02</v>
      </c>
      <c r="J2274" s="2">
        <f>_xlfn.XLOOKUP(A2274,BAMLC0A4CBBB!A:A,BAMLC0A4CBBB!B:B,"",-1)</f>
        <v>1.42</v>
      </c>
      <c r="K2274" s="2">
        <f>_xlfn.XLOOKUP(A2274,CPIAUCSL!A:A,CPIAUCSL!B:B,"",-1)</f>
        <v>320.30200000000002</v>
      </c>
      <c r="L2274">
        <f>_xlfn.XLOOKUP(A2274,DFF!A:A,DFF!B:B,"",-1)</f>
        <v>4.33</v>
      </c>
      <c r="M2274">
        <f>_xlfn.XLOOKUP(A2274,'DGS2'!A:A,'DGS2'!B:B,"",-1)</f>
        <v>3.84</v>
      </c>
      <c r="N2274">
        <f t="shared" si="283"/>
        <v>0</v>
      </c>
      <c r="O2274">
        <f t="shared" si="284"/>
        <v>-2.2408428964001637E-2</v>
      </c>
      <c r="P2274">
        <f t="shared" si="285"/>
        <v>0</v>
      </c>
      <c r="Q2274">
        <f t="shared" si="286"/>
        <v>-1</v>
      </c>
    </row>
    <row r="2275" spans="1:17">
      <c r="A2275" s="1">
        <v>45763</v>
      </c>
      <c r="B2275">
        <v>5275.7</v>
      </c>
      <c r="C2275">
        <f t="shared" si="280"/>
        <v>-2.2408428964001637E-2</v>
      </c>
      <c r="D2275">
        <f t="shared" si="287"/>
        <v>-1.6344231973986378E-2</v>
      </c>
      <c r="E2275">
        <f>_xlfn.XLOOKUP(A2275,VIX!A:A,VIX!B:B,"",-1)</f>
        <v>32.64</v>
      </c>
      <c r="F2275">
        <f t="shared" si="281"/>
        <v>2.5199999999999996</v>
      </c>
      <c r="G2275">
        <f>_xlfn.XLOOKUP(A2275,'DGS10'!A:A,'DGS10'!B:B,"",-1)</f>
        <v>4.29</v>
      </c>
      <c r="H2275">
        <f t="shared" si="282"/>
        <v>-5.9999999999999609E-2</v>
      </c>
      <c r="I2275" s="2">
        <f>_xlfn.XLOOKUP(A2275,T10Y3M!A:A,T10Y3M!B:B,"",-1)</f>
        <v>-0.04</v>
      </c>
      <c r="J2275" s="2">
        <f>_xlfn.XLOOKUP(A2275,BAMLC0A4CBBB!A:A,BAMLC0A4CBBB!B:B,"",-1)</f>
        <v>1.41</v>
      </c>
      <c r="K2275" s="2">
        <f>_xlfn.XLOOKUP(A2275,CPIAUCSL!A:A,CPIAUCSL!B:B,"",-1)</f>
        <v>320.30200000000002</v>
      </c>
      <c r="L2275">
        <f>_xlfn.XLOOKUP(A2275,DFF!A:A,DFF!B:B,"",-1)</f>
        <v>4.33</v>
      </c>
      <c r="M2275">
        <f>_xlfn.XLOOKUP(A2275,'DGS2'!A:A,'DGS2'!B:B,"",-1)</f>
        <v>3.77</v>
      </c>
      <c r="N2275">
        <f t="shared" si="283"/>
        <v>-6.999999999999984E-2</v>
      </c>
      <c r="O2275">
        <f t="shared" si="284"/>
        <v>1.3268381447011368E-3</v>
      </c>
      <c r="P2275">
        <f t="shared" si="285"/>
        <v>1</v>
      </c>
      <c r="Q2275">
        <f t="shared" si="286"/>
        <v>0</v>
      </c>
    </row>
    <row r="2276" spans="1:17">
      <c r="A2276" s="1">
        <v>45764</v>
      </c>
      <c r="B2276">
        <v>5282.7</v>
      </c>
      <c r="C2276">
        <f t="shared" si="280"/>
        <v>1.3268381447011368E-3</v>
      </c>
      <c r="D2276">
        <f t="shared" si="287"/>
        <v>-2.2802568271744095E-2</v>
      </c>
      <c r="E2276">
        <f>_xlfn.XLOOKUP(A2276,VIX!A:A,VIX!B:B,"",-1)</f>
        <v>29.65</v>
      </c>
      <c r="F2276">
        <f t="shared" si="281"/>
        <v>-2.990000000000002</v>
      </c>
      <c r="G2276">
        <f>_xlfn.XLOOKUP(A2276,'DGS10'!A:A,'DGS10'!B:B,"",-1)</f>
        <v>4.34</v>
      </c>
      <c r="H2276">
        <f t="shared" si="282"/>
        <v>4.9999999999999822E-2</v>
      </c>
      <c r="I2276" s="2">
        <f>_xlfn.XLOOKUP(A2276,T10Y3M!A:A,T10Y3M!B:B,"",-1)</f>
        <v>0</v>
      </c>
      <c r="J2276" s="2">
        <f>_xlfn.XLOOKUP(A2276,BAMLC0A4CBBB!A:A,BAMLC0A4CBBB!B:B,"",-1)</f>
        <v>1.39</v>
      </c>
      <c r="K2276" s="2">
        <f>_xlfn.XLOOKUP(A2276,CPIAUCSL!A:A,CPIAUCSL!B:B,"",-1)</f>
        <v>320.30200000000002</v>
      </c>
      <c r="L2276">
        <f>_xlfn.XLOOKUP(A2276,DFF!A:A,DFF!B:B,"",-1)</f>
        <v>4.33</v>
      </c>
      <c r="M2276">
        <f>_xlfn.XLOOKUP(A2276,'DGS2'!A:A,'DGS2'!B:B,"",-1)</f>
        <v>3.81</v>
      </c>
      <c r="N2276">
        <f t="shared" si="283"/>
        <v>4.0000000000000036E-2</v>
      </c>
      <c r="O2276">
        <f t="shared" si="284"/>
        <v>-2.3567493895167213E-2</v>
      </c>
      <c r="P2276">
        <f t="shared" si="285"/>
        <v>0</v>
      </c>
      <c r="Q2276">
        <f t="shared" si="286"/>
        <v>-1</v>
      </c>
    </row>
    <row r="2277" spans="1:17">
      <c r="A2277" s="1">
        <v>45768</v>
      </c>
      <c r="B2277">
        <v>5158.2</v>
      </c>
      <c r="C2277">
        <f t="shared" si="280"/>
        <v>-2.3567493895167213E-2</v>
      </c>
      <c r="D2277">
        <f t="shared" si="287"/>
        <v>-4.418127609267275E-2</v>
      </c>
      <c r="E2277">
        <f>_xlfn.XLOOKUP(A2277,VIX!A:A,VIX!B:B,"",-1)</f>
        <v>33.82</v>
      </c>
      <c r="F2277">
        <f t="shared" si="281"/>
        <v>4.1700000000000017</v>
      </c>
      <c r="G2277">
        <f>_xlfn.XLOOKUP(A2277,'DGS10'!A:A,'DGS10'!B:B,"",-1)</f>
        <v>4.42</v>
      </c>
      <c r="H2277">
        <f t="shared" si="282"/>
        <v>8.0000000000000071E-2</v>
      </c>
      <c r="I2277" s="2">
        <f>_xlfn.XLOOKUP(A2277,T10Y3M!A:A,T10Y3M!B:B,"",-1)</f>
        <v>0.08</v>
      </c>
      <c r="J2277" s="2">
        <f>_xlfn.XLOOKUP(A2277,BAMLC0A4CBBB!A:A,BAMLC0A4CBBB!B:B,"",-1)</f>
        <v>1.4</v>
      </c>
      <c r="K2277" s="2">
        <f>_xlfn.XLOOKUP(A2277,CPIAUCSL!A:A,CPIAUCSL!B:B,"",-1)</f>
        <v>320.30200000000002</v>
      </c>
      <c r="L2277">
        <f>_xlfn.XLOOKUP(A2277,DFF!A:A,DFF!B:B,"",-1)</f>
        <v>4.33</v>
      </c>
      <c r="M2277">
        <f>_xlfn.XLOOKUP(A2277,'DGS2'!A:A,'DGS2'!B:B,"",-1)</f>
        <v>3.75</v>
      </c>
      <c r="N2277">
        <f t="shared" si="283"/>
        <v>-6.0000000000000053E-2</v>
      </c>
      <c r="O2277">
        <f t="shared" si="284"/>
        <v>2.511728897677501E-2</v>
      </c>
      <c r="P2277">
        <f t="shared" si="285"/>
        <v>1</v>
      </c>
      <c r="Q2277">
        <f t="shared" si="286"/>
        <v>1</v>
      </c>
    </row>
    <row r="2278" spans="1:17">
      <c r="A2278" s="1">
        <v>45769</v>
      </c>
      <c r="B2278">
        <v>5287.76</v>
      </c>
      <c r="C2278">
        <f t="shared" si="280"/>
        <v>2.511728897677501E-2</v>
      </c>
      <c r="D2278">
        <f t="shared" si="287"/>
        <v>2.2859525750138499E-3</v>
      </c>
      <c r="E2278">
        <f>_xlfn.XLOOKUP(A2278,VIX!A:A,VIX!B:B,"",-1)</f>
        <v>30.57</v>
      </c>
      <c r="F2278">
        <f t="shared" si="281"/>
        <v>-3.25</v>
      </c>
      <c r="G2278">
        <f>_xlfn.XLOOKUP(A2278,'DGS10'!A:A,'DGS10'!B:B,"",-1)</f>
        <v>4.41</v>
      </c>
      <c r="H2278">
        <f t="shared" si="282"/>
        <v>-9.9999999999997868E-3</v>
      </c>
      <c r="I2278" s="2">
        <f>_xlfn.XLOOKUP(A2278,T10Y3M!A:A,T10Y3M!B:B,"",-1)</f>
        <v>0.08</v>
      </c>
      <c r="J2278" s="2">
        <f>_xlfn.XLOOKUP(A2278,BAMLC0A4CBBB!A:A,BAMLC0A4CBBB!B:B,"",-1)</f>
        <v>1.39</v>
      </c>
      <c r="K2278" s="2">
        <f>_xlfn.XLOOKUP(A2278,CPIAUCSL!A:A,CPIAUCSL!B:B,"",-1)</f>
        <v>320.30200000000002</v>
      </c>
      <c r="L2278">
        <f>_xlfn.XLOOKUP(A2278,DFF!A:A,DFF!B:B,"",-1)</f>
        <v>4.33</v>
      </c>
      <c r="M2278">
        <f>_xlfn.XLOOKUP(A2278,'DGS2'!A:A,'DGS2'!B:B,"",-1)</f>
        <v>3.76</v>
      </c>
      <c r="N2278">
        <f t="shared" si="283"/>
        <v>9.9999999999997868E-3</v>
      </c>
      <c r="O2278">
        <f t="shared" si="284"/>
        <v>1.6661119264111734E-2</v>
      </c>
      <c r="P2278">
        <f t="shared" si="285"/>
        <v>1</v>
      </c>
      <c r="Q2278">
        <f t="shared" si="286"/>
        <v>1</v>
      </c>
    </row>
    <row r="2279" spans="1:17">
      <c r="A2279" s="1">
        <v>45770</v>
      </c>
      <c r="B2279">
        <v>5375.86</v>
      </c>
      <c r="C2279">
        <f t="shared" si="280"/>
        <v>1.6661119264111734E-2</v>
      </c>
      <c r="D2279">
        <f t="shared" si="287"/>
        <v>1.7634921536335613E-2</v>
      </c>
      <c r="E2279">
        <f>_xlfn.XLOOKUP(A2279,VIX!A:A,VIX!B:B,"",-1)</f>
        <v>28.45</v>
      </c>
      <c r="F2279">
        <f t="shared" si="281"/>
        <v>-2.120000000000001</v>
      </c>
      <c r="G2279">
        <f>_xlfn.XLOOKUP(A2279,'DGS10'!A:A,'DGS10'!B:B,"",-1)</f>
        <v>4.4000000000000004</v>
      </c>
      <c r="H2279">
        <f t="shared" si="282"/>
        <v>-9.9999999999997868E-3</v>
      </c>
      <c r="I2279" s="2">
        <f>_xlfn.XLOOKUP(A2279,T10Y3M!A:A,T10Y3M!B:B,"",-1)</f>
        <v>7.0000000000000007E-2</v>
      </c>
      <c r="J2279" s="2">
        <f>_xlfn.XLOOKUP(A2279,BAMLC0A4CBBB!A:A,BAMLC0A4CBBB!B:B,"",-1)</f>
        <v>1.35</v>
      </c>
      <c r="K2279" s="2">
        <f>_xlfn.XLOOKUP(A2279,CPIAUCSL!A:A,CPIAUCSL!B:B,"",-1)</f>
        <v>320.30200000000002</v>
      </c>
      <c r="L2279">
        <f>_xlfn.XLOOKUP(A2279,DFF!A:A,DFF!B:B,"",-1)</f>
        <v>4.33</v>
      </c>
      <c r="M2279">
        <f>_xlfn.XLOOKUP(A2279,'DGS2'!A:A,'DGS2'!B:B,"",-1)</f>
        <v>3.81</v>
      </c>
      <c r="N2279">
        <f t="shared" si="283"/>
        <v>5.0000000000000266E-2</v>
      </c>
      <c r="O2279">
        <f t="shared" si="284"/>
        <v>2.025908412793509E-2</v>
      </c>
      <c r="P2279">
        <f t="shared" si="285"/>
        <v>1</v>
      </c>
      <c r="Q2279">
        <f t="shared" si="286"/>
        <v>1</v>
      </c>
    </row>
    <row r="2280" spans="1:17">
      <c r="A2280" s="1">
        <v>45771</v>
      </c>
      <c r="B2280">
        <v>5484.77</v>
      </c>
      <c r="C2280">
        <f t="shared" si="280"/>
        <v>2.025908412793509E-2</v>
      </c>
      <c r="D2280">
        <f t="shared" si="287"/>
        <v>6.3310844868365024E-2</v>
      </c>
      <c r="E2280">
        <f>_xlfn.XLOOKUP(A2280,VIX!A:A,VIX!B:B,"",-1)</f>
        <v>26.47</v>
      </c>
      <c r="F2280">
        <f t="shared" si="281"/>
        <v>-1.9800000000000004</v>
      </c>
      <c r="G2280">
        <f>_xlfn.XLOOKUP(A2280,'DGS10'!A:A,'DGS10'!B:B,"",-1)</f>
        <v>4.32</v>
      </c>
      <c r="H2280">
        <f t="shared" si="282"/>
        <v>-8.0000000000000071E-2</v>
      </c>
      <c r="I2280" s="2">
        <f>_xlfn.XLOOKUP(A2280,T10Y3M!A:A,T10Y3M!B:B,"",-1)</f>
        <v>0</v>
      </c>
      <c r="J2280" s="2">
        <f>_xlfn.XLOOKUP(A2280,BAMLC0A4CBBB!A:A,BAMLC0A4CBBB!B:B,"",-1)</f>
        <v>1.33</v>
      </c>
      <c r="K2280" s="2">
        <f>_xlfn.XLOOKUP(A2280,CPIAUCSL!A:A,CPIAUCSL!B:B,"",-1)</f>
        <v>320.30200000000002</v>
      </c>
      <c r="L2280">
        <f>_xlfn.XLOOKUP(A2280,DFF!A:A,DFF!B:B,"",-1)</f>
        <v>4.33</v>
      </c>
      <c r="M2280">
        <f>_xlfn.XLOOKUP(A2280,'DGS2'!A:A,'DGS2'!B:B,"",-1)</f>
        <v>3.77</v>
      </c>
      <c r="N2280">
        <f t="shared" si="283"/>
        <v>-4.0000000000000036E-2</v>
      </c>
      <c r="O2280">
        <f t="shared" si="284"/>
        <v>7.3731441792452834E-3</v>
      </c>
      <c r="P2280">
        <f t="shared" si="285"/>
        <v>1</v>
      </c>
      <c r="Q2280">
        <f t="shared" si="286"/>
        <v>1</v>
      </c>
    </row>
    <row r="2281" spans="1:17">
      <c r="A2281" s="1">
        <v>45772</v>
      </c>
      <c r="B2281">
        <v>5525.21</v>
      </c>
      <c r="C2281">
        <f t="shared" si="280"/>
        <v>7.3731441792452834E-3</v>
      </c>
      <c r="D2281">
        <f t="shared" si="287"/>
        <v>4.4905593294703117E-2</v>
      </c>
      <c r="E2281">
        <f>_xlfn.XLOOKUP(A2281,VIX!A:A,VIX!B:B,"",-1)</f>
        <v>24.84</v>
      </c>
      <c r="F2281">
        <f t="shared" si="281"/>
        <v>-1.629999999999999</v>
      </c>
      <c r="G2281">
        <f>_xlfn.XLOOKUP(A2281,'DGS10'!A:A,'DGS10'!B:B,"",-1)</f>
        <v>4.29</v>
      </c>
      <c r="H2281">
        <f t="shared" si="282"/>
        <v>-3.0000000000000249E-2</v>
      </c>
      <c r="I2281" s="2">
        <f>_xlfn.XLOOKUP(A2281,T10Y3M!A:A,T10Y3M!B:B,"",-1)</f>
        <v>-0.03</v>
      </c>
      <c r="J2281" s="2">
        <f>_xlfn.XLOOKUP(A2281,BAMLC0A4CBBB!A:A,BAMLC0A4CBBB!B:B,"",-1)</f>
        <v>1.31</v>
      </c>
      <c r="K2281" s="2">
        <f>_xlfn.XLOOKUP(A2281,CPIAUCSL!A:A,CPIAUCSL!B:B,"",-1)</f>
        <v>320.30200000000002</v>
      </c>
      <c r="L2281">
        <f>_xlfn.XLOOKUP(A2281,DFF!A:A,DFF!B:B,"",-1)</f>
        <v>4.33</v>
      </c>
      <c r="M2281">
        <f>_xlfn.XLOOKUP(A2281,'DGS2'!A:A,'DGS2'!B:B,"",-1)</f>
        <v>3.74</v>
      </c>
      <c r="N2281">
        <f t="shared" si="283"/>
        <v>-2.9999999999999805E-2</v>
      </c>
      <c r="O2281">
        <f t="shared" si="284"/>
        <v>6.4069962951629478E-4</v>
      </c>
      <c r="P2281">
        <f t="shared" si="285"/>
        <v>1</v>
      </c>
      <c r="Q2281">
        <f t="shared" si="286"/>
        <v>0</v>
      </c>
    </row>
    <row r="2282" spans="1:17">
      <c r="A2282" s="1">
        <v>45775</v>
      </c>
      <c r="B2282">
        <v>5528.75</v>
      </c>
      <c r="C2282">
        <f t="shared" si="280"/>
        <v>6.4069962951629478E-4</v>
      </c>
      <c r="D2282">
        <f t="shared" si="287"/>
        <v>2.8440100746671249E-2</v>
      </c>
      <c r="E2282">
        <f>_xlfn.XLOOKUP(A2282,VIX!A:A,VIX!B:B,"",-1)</f>
        <v>25.15</v>
      </c>
      <c r="F2282">
        <f t="shared" si="281"/>
        <v>0.30999999999999872</v>
      </c>
      <c r="G2282">
        <f>_xlfn.XLOOKUP(A2282,'DGS10'!A:A,'DGS10'!B:B,"",-1)</f>
        <v>4.2300000000000004</v>
      </c>
      <c r="H2282">
        <f t="shared" si="282"/>
        <v>-5.9999999999999609E-2</v>
      </c>
      <c r="I2282" s="2">
        <f>_xlfn.XLOOKUP(A2282,T10Y3M!A:A,T10Y3M!B:B,"",-1)</f>
        <v>-0.09</v>
      </c>
      <c r="J2282" s="2">
        <f>_xlfn.XLOOKUP(A2282,BAMLC0A4CBBB!A:A,BAMLC0A4CBBB!B:B,"",-1)</f>
        <v>1.31</v>
      </c>
      <c r="K2282" s="2">
        <f>_xlfn.XLOOKUP(A2282,CPIAUCSL!A:A,CPIAUCSL!B:B,"",-1)</f>
        <v>320.30200000000002</v>
      </c>
      <c r="L2282">
        <f>_xlfn.XLOOKUP(A2282,DFF!A:A,DFF!B:B,"",-1)</f>
        <v>4.33</v>
      </c>
      <c r="M2282">
        <f>_xlfn.XLOOKUP(A2282,'DGS2'!A:A,'DGS2'!B:B,"",-1)</f>
        <v>3.67</v>
      </c>
      <c r="N2282">
        <f t="shared" si="283"/>
        <v>-7.0000000000000284E-2</v>
      </c>
      <c r="O2282">
        <f t="shared" si="284"/>
        <v>5.8023965634184105E-3</v>
      </c>
      <c r="P2282">
        <f t="shared" si="285"/>
        <v>1</v>
      </c>
      <c r="Q2282">
        <f t="shared" si="286"/>
        <v>1</v>
      </c>
    </row>
    <row r="2283" spans="1:17">
      <c r="A2283" s="1">
        <v>45776</v>
      </c>
      <c r="B2283">
        <v>5560.83</v>
      </c>
      <c r="C2283">
        <f t="shared" si="280"/>
        <v>5.8023965634184105E-3</v>
      </c>
      <c r="D2283">
        <f t="shared" si="287"/>
        <v>1.3867491253051645E-2</v>
      </c>
      <c r="E2283">
        <f>_xlfn.XLOOKUP(A2283,VIX!A:A,VIX!B:B,"",-1)</f>
        <v>24.17</v>
      </c>
      <c r="F2283">
        <f t="shared" si="281"/>
        <v>-0.97999999999999687</v>
      </c>
      <c r="G2283">
        <f>_xlfn.XLOOKUP(A2283,'DGS10'!A:A,'DGS10'!B:B,"",-1)</f>
        <v>4.1900000000000004</v>
      </c>
      <c r="H2283">
        <f t="shared" si="282"/>
        <v>-4.0000000000000036E-2</v>
      </c>
      <c r="I2283" s="2">
        <f>_xlfn.XLOOKUP(A2283,T10Y3M!A:A,T10Y3M!B:B,"",-1)</f>
        <v>-0.12</v>
      </c>
      <c r="J2283" s="2">
        <f>_xlfn.XLOOKUP(A2283,BAMLC0A4CBBB!A:A,BAMLC0A4CBBB!B:B,"",-1)</f>
        <v>1.33</v>
      </c>
      <c r="K2283" s="2">
        <f>_xlfn.XLOOKUP(A2283,CPIAUCSL!A:A,CPIAUCSL!B:B,"",-1)</f>
        <v>320.30200000000002</v>
      </c>
      <c r="L2283">
        <f>_xlfn.XLOOKUP(A2283,DFF!A:A,DFF!B:B,"",-1)</f>
        <v>4.33</v>
      </c>
      <c r="M2283">
        <f>_xlfn.XLOOKUP(A2283,'DGS2'!A:A,'DGS2'!B:B,"",-1)</f>
        <v>3.65</v>
      </c>
      <c r="N2283">
        <f t="shared" si="283"/>
        <v>-2.0000000000000018E-2</v>
      </c>
      <c r="O2283">
        <f t="shared" si="284"/>
        <v>1.4799948928487794E-3</v>
      </c>
      <c r="P2283">
        <f t="shared" si="285"/>
        <v>1</v>
      </c>
      <c r="Q2283">
        <f t="shared" si="286"/>
        <v>0</v>
      </c>
    </row>
    <row r="2284" spans="1:17">
      <c r="A2284" s="1">
        <v>45777</v>
      </c>
      <c r="B2284">
        <v>5569.06</v>
      </c>
      <c r="C2284">
        <f t="shared" si="280"/>
        <v>1.4799948928487794E-3</v>
      </c>
      <c r="D2284">
        <f t="shared" si="287"/>
        <v>7.9363499305908913E-3</v>
      </c>
      <c r="E2284">
        <f>_xlfn.XLOOKUP(A2284,VIX!A:A,VIX!B:B,"",-1)</f>
        <v>24.7</v>
      </c>
      <c r="F2284">
        <f t="shared" si="281"/>
        <v>0.52999999999999758</v>
      </c>
      <c r="G2284">
        <f>_xlfn.XLOOKUP(A2284,'DGS10'!A:A,'DGS10'!B:B,"",-1)</f>
        <v>4.17</v>
      </c>
      <c r="H2284">
        <f t="shared" si="282"/>
        <v>-2.0000000000000462E-2</v>
      </c>
      <c r="I2284" s="2">
        <f>_xlfn.XLOOKUP(A2284,T10Y3M!A:A,T10Y3M!B:B,"",-1)</f>
        <v>-0.14000000000000001</v>
      </c>
      <c r="J2284" s="2">
        <f>_xlfn.XLOOKUP(A2284,BAMLC0A4CBBB!A:A,BAMLC0A4CBBB!B:B,"",-1)</f>
        <v>1.37</v>
      </c>
      <c r="K2284" s="2">
        <f>_xlfn.XLOOKUP(A2284,CPIAUCSL!A:A,CPIAUCSL!B:B,"",-1)</f>
        <v>320.30200000000002</v>
      </c>
      <c r="L2284">
        <f>_xlfn.XLOOKUP(A2284,DFF!A:A,DFF!B:B,"",-1)</f>
        <v>4.33</v>
      </c>
      <c r="M2284">
        <f>_xlfn.XLOOKUP(A2284,'DGS2'!A:A,'DGS2'!B:B,"",-1)</f>
        <v>3.6</v>
      </c>
      <c r="N2284">
        <f t="shared" si="283"/>
        <v>-4.9999999999999822E-2</v>
      </c>
      <c r="O2284">
        <f t="shared" si="284"/>
        <v>6.2990881764606321E-3</v>
      </c>
      <c r="P2284">
        <f t="shared" si="285"/>
        <v>1</v>
      </c>
      <c r="Q2284">
        <f t="shared" si="286"/>
        <v>1</v>
      </c>
    </row>
    <row r="2285" spans="1:17">
      <c r="A2285" s="1">
        <v>45778</v>
      </c>
      <c r="B2285">
        <v>5604.14</v>
      </c>
      <c r="C2285">
        <f t="shared" si="280"/>
        <v>6.2990881764606321E-3</v>
      </c>
      <c r="D2285">
        <f t="shared" si="287"/>
        <v>1.3635993669455226E-2</v>
      </c>
      <c r="E2285">
        <f>_xlfn.XLOOKUP(A2285,VIX!A:A,VIX!B:B,"",-1)</f>
        <v>24.6</v>
      </c>
      <c r="F2285">
        <f t="shared" si="281"/>
        <v>-9.9999999999997868E-2</v>
      </c>
      <c r="G2285">
        <f>_xlfn.XLOOKUP(A2285,'DGS10'!A:A,'DGS10'!B:B,"",-1)</f>
        <v>4.25</v>
      </c>
      <c r="H2285">
        <f t="shared" si="282"/>
        <v>8.0000000000000071E-2</v>
      </c>
      <c r="I2285" s="2">
        <f>_xlfn.XLOOKUP(A2285,T10Y3M!A:A,T10Y3M!B:B,"",-1)</f>
        <v>-0.06</v>
      </c>
      <c r="J2285" s="2">
        <f>_xlfn.XLOOKUP(A2285,BAMLC0A4CBBB!A:A,BAMLC0A4CBBB!B:B,"",-1)</f>
        <v>1.38</v>
      </c>
      <c r="K2285" s="2">
        <f>_xlfn.XLOOKUP(A2285,CPIAUCSL!A:A,CPIAUCSL!B:B,"",-1)</f>
        <v>320.62</v>
      </c>
      <c r="L2285">
        <f>_xlfn.XLOOKUP(A2285,DFF!A:A,DFF!B:B,"",-1)</f>
        <v>4.33</v>
      </c>
      <c r="M2285">
        <f>_xlfn.XLOOKUP(A2285,'DGS2'!A:A,'DGS2'!B:B,"",-1)</f>
        <v>3.7</v>
      </c>
      <c r="N2285">
        <f t="shared" si="283"/>
        <v>0.10000000000000009</v>
      </c>
      <c r="O2285">
        <f t="shared" si="284"/>
        <v>1.4726612825518126E-2</v>
      </c>
      <c r="P2285">
        <f t="shared" si="285"/>
        <v>1</v>
      </c>
      <c r="Q2285">
        <f t="shared" si="286"/>
        <v>1</v>
      </c>
    </row>
    <row r="2286" spans="1:17">
      <c r="A2286" s="1">
        <v>45779</v>
      </c>
      <c r="B2286">
        <v>5686.67</v>
      </c>
      <c r="C2286">
        <f t="shared" si="280"/>
        <v>1.4726612825518126E-2</v>
      </c>
      <c r="D2286">
        <f t="shared" si="287"/>
        <v>2.2629715348248425E-2</v>
      </c>
      <c r="E2286">
        <f>_xlfn.XLOOKUP(A2286,VIX!A:A,VIX!B:B,"",-1)</f>
        <v>22.68</v>
      </c>
      <c r="F2286">
        <f t="shared" si="281"/>
        <v>-1.9200000000000017</v>
      </c>
      <c r="G2286">
        <f>_xlfn.XLOOKUP(A2286,'DGS10'!A:A,'DGS10'!B:B,"",-1)</f>
        <v>4.33</v>
      </c>
      <c r="H2286">
        <f t="shared" si="282"/>
        <v>8.0000000000000071E-2</v>
      </c>
      <c r="I2286" s="2">
        <f>_xlfn.XLOOKUP(A2286,T10Y3M!A:A,T10Y3M!B:B,"",-1)</f>
        <v>0</v>
      </c>
      <c r="J2286" s="2">
        <f>_xlfn.XLOOKUP(A2286,BAMLC0A4CBBB!A:A,BAMLC0A4CBBB!B:B,"",-1)</f>
        <v>1.34</v>
      </c>
      <c r="K2286" s="2">
        <f>_xlfn.XLOOKUP(A2286,CPIAUCSL!A:A,CPIAUCSL!B:B,"",-1)</f>
        <v>320.62</v>
      </c>
      <c r="L2286">
        <f>_xlfn.XLOOKUP(A2286,DFF!A:A,DFF!B:B,"",-1)</f>
        <v>4.33</v>
      </c>
      <c r="M2286">
        <f>_xlfn.XLOOKUP(A2286,'DGS2'!A:A,'DGS2'!B:B,"",-1)</f>
        <v>3.83</v>
      </c>
      <c r="N2286">
        <f t="shared" si="283"/>
        <v>0.12999999999999989</v>
      </c>
      <c r="O2286">
        <f t="shared" si="284"/>
        <v>-6.3815906321273985E-3</v>
      </c>
      <c r="P2286">
        <f t="shared" si="285"/>
        <v>0</v>
      </c>
      <c r="Q2286">
        <f t="shared" si="286"/>
        <v>-1</v>
      </c>
    </row>
    <row r="2287" spans="1:17">
      <c r="A2287" s="1">
        <v>45782</v>
      </c>
      <c r="B2287">
        <v>5650.38</v>
      </c>
      <c r="C2287">
        <f t="shared" si="280"/>
        <v>-6.3815906321273985E-3</v>
      </c>
      <c r="D2287">
        <f t="shared" si="287"/>
        <v>1.4602105202673243E-2</v>
      </c>
      <c r="E2287">
        <f>_xlfn.XLOOKUP(A2287,VIX!A:A,VIX!B:B,"",-1)</f>
        <v>23.64</v>
      </c>
      <c r="F2287">
        <f t="shared" si="281"/>
        <v>0.96000000000000085</v>
      </c>
      <c r="G2287">
        <f>_xlfn.XLOOKUP(A2287,'DGS10'!A:A,'DGS10'!B:B,"",-1)</f>
        <v>4.3600000000000003</v>
      </c>
      <c r="H2287">
        <f t="shared" si="282"/>
        <v>3.0000000000000249E-2</v>
      </c>
      <c r="I2287" s="2">
        <f>_xlfn.XLOOKUP(A2287,T10Y3M!A:A,T10Y3M!B:B,"",-1)</f>
        <v>0.03</v>
      </c>
      <c r="J2287" s="2">
        <f>_xlfn.XLOOKUP(A2287,BAMLC0A4CBBB!A:A,BAMLC0A4CBBB!B:B,"",-1)</f>
        <v>1.33</v>
      </c>
      <c r="K2287" s="2">
        <f>_xlfn.XLOOKUP(A2287,CPIAUCSL!A:A,CPIAUCSL!B:B,"",-1)</f>
        <v>320.62</v>
      </c>
      <c r="L2287">
        <f>_xlfn.XLOOKUP(A2287,DFF!A:A,DFF!B:B,"",-1)</f>
        <v>4.33</v>
      </c>
      <c r="M2287">
        <f>_xlfn.XLOOKUP(A2287,'DGS2'!A:A,'DGS2'!B:B,"",-1)</f>
        <v>3.83</v>
      </c>
      <c r="N2287">
        <f t="shared" si="283"/>
        <v>0</v>
      </c>
      <c r="O2287">
        <f t="shared" si="284"/>
        <v>-7.6932878850626274E-3</v>
      </c>
      <c r="P2287">
        <f t="shared" si="285"/>
        <v>0</v>
      </c>
      <c r="Q2287">
        <f t="shared" si="286"/>
        <v>-1</v>
      </c>
    </row>
    <row r="2288" spans="1:17">
      <c r="A2288" s="1">
        <v>45783</v>
      </c>
      <c r="B2288">
        <v>5606.91</v>
      </c>
      <c r="C2288">
        <f t="shared" si="280"/>
        <v>-7.6932878850626274E-3</v>
      </c>
      <c r="D2288">
        <f t="shared" si="287"/>
        <v>4.942774448888354E-4</v>
      </c>
      <c r="E2288">
        <f>_xlfn.XLOOKUP(A2288,VIX!A:A,VIX!B:B,"",-1)</f>
        <v>24.76</v>
      </c>
      <c r="F2288">
        <f t="shared" si="281"/>
        <v>1.120000000000001</v>
      </c>
      <c r="G2288">
        <f>_xlfn.XLOOKUP(A2288,'DGS10'!A:A,'DGS10'!B:B,"",-1)</f>
        <v>4.3</v>
      </c>
      <c r="H2288">
        <f t="shared" si="282"/>
        <v>-6.0000000000000497E-2</v>
      </c>
      <c r="I2288" s="2">
        <f>_xlfn.XLOOKUP(A2288,T10Y3M!A:A,T10Y3M!B:B,"",-1)</f>
        <v>-0.03</v>
      </c>
      <c r="J2288" s="2">
        <f>_xlfn.XLOOKUP(A2288,BAMLC0A4CBBB!A:A,BAMLC0A4CBBB!B:B,"",-1)</f>
        <v>1.33</v>
      </c>
      <c r="K2288" s="2">
        <f>_xlfn.XLOOKUP(A2288,CPIAUCSL!A:A,CPIAUCSL!B:B,"",-1)</f>
        <v>320.62</v>
      </c>
      <c r="L2288">
        <f>_xlfn.XLOOKUP(A2288,DFF!A:A,DFF!B:B,"",-1)</f>
        <v>4.33</v>
      </c>
      <c r="M2288">
        <f>_xlfn.XLOOKUP(A2288,'DGS2'!A:A,'DGS2'!B:B,"",-1)</f>
        <v>3.78</v>
      </c>
      <c r="N2288">
        <f t="shared" si="283"/>
        <v>-5.0000000000000266E-2</v>
      </c>
      <c r="O2288">
        <f t="shared" si="284"/>
        <v>4.3464225393308187E-3</v>
      </c>
      <c r="P2288">
        <f t="shared" si="285"/>
        <v>1</v>
      </c>
      <c r="Q2288">
        <f t="shared" si="286"/>
        <v>1</v>
      </c>
    </row>
    <row r="2289" spans="1:17">
      <c r="A2289" s="1">
        <v>45784</v>
      </c>
      <c r="B2289">
        <v>5631.28</v>
      </c>
      <c r="C2289">
        <f t="shared" si="280"/>
        <v>4.3464225393308187E-3</v>
      </c>
      <c r="D2289">
        <f t="shared" si="287"/>
        <v>-9.7403225437734386E-3</v>
      </c>
      <c r="E2289">
        <f>_xlfn.XLOOKUP(A2289,VIX!A:A,VIX!B:B,"",-1)</f>
        <v>23.55</v>
      </c>
      <c r="F2289">
        <f t="shared" si="281"/>
        <v>-1.2100000000000009</v>
      </c>
      <c r="G2289">
        <f>_xlfn.XLOOKUP(A2289,'DGS10'!A:A,'DGS10'!B:B,"",-1)</f>
        <v>4.26</v>
      </c>
      <c r="H2289">
        <f t="shared" si="282"/>
        <v>-4.0000000000000036E-2</v>
      </c>
      <c r="I2289" s="2">
        <f>_xlfn.XLOOKUP(A2289,T10Y3M!A:A,T10Y3M!B:B,"",-1)</f>
        <v>-0.08</v>
      </c>
      <c r="J2289" s="2">
        <f>_xlfn.XLOOKUP(A2289,BAMLC0A4CBBB!A:A,BAMLC0A4CBBB!B:B,"",-1)</f>
        <v>1.32</v>
      </c>
      <c r="K2289" s="2">
        <f>_xlfn.XLOOKUP(A2289,CPIAUCSL!A:A,CPIAUCSL!B:B,"",-1)</f>
        <v>320.62</v>
      </c>
      <c r="L2289">
        <f>_xlfn.XLOOKUP(A2289,DFF!A:A,DFF!B:B,"",-1)</f>
        <v>4.33</v>
      </c>
      <c r="M2289">
        <f>_xlfn.XLOOKUP(A2289,'DGS2'!A:A,'DGS2'!B:B,"",-1)</f>
        <v>3.78</v>
      </c>
      <c r="N2289">
        <f t="shared" si="283"/>
        <v>0</v>
      </c>
      <c r="O2289">
        <f t="shared" si="284"/>
        <v>5.7997471267632328E-3</v>
      </c>
      <c r="P2289">
        <f t="shared" si="285"/>
        <v>1</v>
      </c>
      <c r="Q2289">
        <f t="shared" si="286"/>
        <v>1</v>
      </c>
    </row>
    <row r="2290" spans="1:17">
      <c r="A2290" s="1">
        <v>45785</v>
      </c>
      <c r="B2290">
        <v>5663.94</v>
      </c>
      <c r="C2290">
        <f t="shared" si="280"/>
        <v>5.7997471267632328E-3</v>
      </c>
      <c r="D2290">
        <f t="shared" si="287"/>
        <v>2.3998385949262069E-3</v>
      </c>
      <c r="E2290">
        <f>_xlfn.XLOOKUP(A2290,VIX!A:A,VIX!B:B,"",-1)</f>
        <v>22.48</v>
      </c>
      <c r="F2290">
        <f t="shared" si="281"/>
        <v>-1.0700000000000003</v>
      </c>
      <c r="G2290">
        <f>_xlfn.XLOOKUP(A2290,'DGS10'!A:A,'DGS10'!B:B,"",-1)</f>
        <v>4.37</v>
      </c>
      <c r="H2290">
        <f t="shared" si="282"/>
        <v>0.11000000000000032</v>
      </c>
      <c r="I2290" s="2">
        <f>_xlfn.XLOOKUP(A2290,T10Y3M!A:A,T10Y3M!B:B,"",-1)</f>
        <v>0.03</v>
      </c>
      <c r="J2290" s="2">
        <f>_xlfn.XLOOKUP(A2290,BAMLC0A4CBBB!A:A,BAMLC0A4CBBB!B:B,"",-1)</f>
        <v>1.29</v>
      </c>
      <c r="K2290" s="2">
        <f>_xlfn.XLOOKUP(A2290,CPIAUCSL!A:A,CPIAUCSL!B:B,"",-1)</f>
        <v>320.62</v>
      </c>
      <c r="L2290">
        <f>_xlfn.XLOOKUP(A2290,DFF!A:A,DFF!B:B,"",-1)</f>
        <v>4.33</v>
      </c>
      <c r="M2290">
        <f>_xlfn.XLOOKUP(A2290,'DGS2'!A:A,'DGS2'!B:B,"",-1)</f>
        <v>3.9</v>
      </c>
      <c r="N2290">
        <f t="shared" si="283"/>
        <v>0.12000000000000011</v>
      </c>
      <c r="O2290">
        <f t="shared" si="284"/>
        <v>-7.1151883671083382E-4</v>
      </c>
      <c r="P2290">
        <f t="shared" si="285"/>
        <v>0</v>
      </c>
      <c r="Q2290">
        <f t="shared" si="286"/>
        <v>0</v>
      </c>
    </row>
    <row r="2291" spans="1:17">
      <c r="A2291" s="1">
        <v>45786</v>
      </c>
      <c r="B2291">
        <v>5659.91</v>
      </c>
      <c r="C2291">
        <f t="shared" si="280"/>
        <v>-7.1151883671083382E-4</v>
      </c>
      <c r="D2291">
        <f t="shared" si="287"/>
        <v>9.4526218541051144E-3</v>
      </c>
      <c r="E2291">
        <f>_xlfn.XLOOKUP(A2291,VIX!A:A,VIX!B:B,"",-1)</f>
        <v>21.9</v>
      </c>
      <c r="F2291">
        <f t="shared" si="281"/>
        <v>-0.58000000000000185</v>
      </c>
      <c r="G2291">
        <f>_xlfn.XLOOKUP(A2291,'DGS10'!A:A,'DGS10'!B:B,"",-1)</f>
        <v>4.37</v>
      </c>
      <c r="H2291">
        <f t="shared" si="282"/>
        <v>0</v>
      </c>
      <c r="I2291" s="2">
        <f>_xlfn.XLOOKUP(A2291,T10Y3M!A:A,T10Y3M!B:B,"",-1)</f>
        <v>0.03</v>
      </c>
      <c r="J2291" s="2">
        <f>_xlfn.XLOOKUP(A2291,BAMLC0A4CBBB!A:A,BAMLC0A4CBBB!B:B,"",-1)</f>
        <v>1.29</v>
      </c>
      <c r="K2291" s="2">
        <f>_xlfn.XLOOKUP(A2291,CPIAUCSL!A:A,CPIAUCSL!B:B,"",-1)</f>
        <v>320.62</v>
      </c>
      <c r="L2291">
        <f>_xlfn.XLOOKUP(A2291,DFF!A:A,DFF!B:B,"",-1)</f>
        <v>4.33</v>
      </c>
      <c r="M2291">
        <f>_xlfn.XLOOKUP(A2291,'DGS2'!A:A,'DGS2'!B:B,"",-1)</f>
        <v>3.88</v>
      </c>
      <c r="N2291">
        <f t="shared" si="283"/>
        <v>-2.0000000000000018E-2</v>
      </c>
      <c r="O2291">
        <f t="shared" si="284"/>
        <v>3.2558821606703869E-2</v>
      </c>
      <c r="P2291">
        <f t="shared" si="285"/>
        <v>1</v>
      </c>
      <c r="Q2291">
        <f t="shared" si="286"/>
        <v>1</v>
      </c>
    </row>
    <row r="2292" spans="1:17">
      <c r="A2292" s="1">
        <v>45789</v>
      </c>
      <c r="B2292">
        <v>5844.19</v>
      </c>
      <c r="C2292">
        <f t="shared" si="280"/>
        <v>3.2558821606703869E-2</v>
      </c>
      <c r="D2292">
        <f t="shared" si="287"/>
        <v>3.7808455626429538E-2</v>
      </c>
      <c r="E2292">
        <f>_xlfn.XLOOKUP(A2292,VIX!A:A,VIX!B:B,"",-1)</f>
        <v>18.39</v>
      </c>
      <c r="F2292">
        <f t="shared" si="281"/>
        <v>-3.509999999999998</v>
      </c>
      <c r="G2292">
        <f>_xlfn.XLOOKUP(A2292,'DGS10'!A:A,'DGS10'!B:B,"",-1)</f>
        <v>4.45</v>
      </c>
      <c r="H2292">
        <f t="shared" si="282"/>
        <v>8.0000000000000071E-2</v>
      </c>
      <c r="I2292" s="2">
        <f>_xlfn.XLOOKUP(A2292,T10Y3M!A:A,T10Y3M!B:B,"",-1)</f>
        <v>0.03</v>
      </c>
      <c r="J2292" s="2">
        <f>_xlfn.XLOOKUP(A2292,BAMLC0A4CBBB!A:A,BAMLC0A4CBBB!B:B,"",-1)</f>
        <v>1.22</v>
      </c>
      <c r="K2292" s="2">
        <f>_xlfn.XLOOKUP(A2292,CPIAUCSL!A:A,CPIAUCSL!B:B,"",-1)</f>
        <v>320.62</v>
      </c>
      <c r="L2292">
        <f>_xlfn.XLOOKUP(A2292,DFF!A:A,DFF!B:B,"",-1)</f>
        <v>4.33</v>
      </c>
      <c r="M2292">
        <f>_xlfn.XLOOKUP(A2292,'DGS2'!A:A,'DGS2'!B:B,"",-1)</f>
        <v>3.98</v>
      </c>
      <c r="N2292">
        <f t="shared" si="283"/>
        <v>0.10000000000000009</v>
      </c>
      <c r="O2292">
        <f t="shared" si="284"/>
        <v>7.2482243048224149E-3</v>
      </c>
      <c r="P2292">
        <f t="shared" si="285"/>
        <v>1</v>
      </c>
      <c r="Q2292">
        <f t="shared" si="286"/>
        <v>1</v>
      </c>
    </row>
    <row r="2293" spans="1:17">
      <c r="A2293" s="1">
        <v>45790</v>
      </c>
      <c r="B2293">
        <v>5886.55</v>
      </c>
      <c r="C2293">
        <f t="shared" si="280"/>
        <v>7.2482243048224149E-3</v>
      </c>
      <c r="D2293">
        <f t="shared" si="287"/>
        <v>3.9303029340000073E-2</v>
      </c>
      <c r="E2293">
        <f>_xlfn.XLOOKUP(A2293,VIX!A:A,VIX!B:B,"",-1)</f>
        <v>18.22</v>
      </c>
      <c r="F2293">
        <f t="shared" si="281"/>
        <v>-0.17000000000000171</v>
      </c>
      <c r="G2293">
        <f>_xlfn.XLOOKUP(A2293,'DGS10'!A:A,'DGS10'!B:B,"",-1)</f>
        <v>4.49</v>
      </c>
      <c r="H2293">
        <f t="shared" si="282"/>
        <v>4.0000000000000036E-2</v>
      </c>
      <c r="I2293" s="2">
        <f>_xlfn.XLOOKUP(A2293,T10Y3M!A:A,T10Y3M!B:B,"",-1)</f>
        <v>0.08</v>
      </c>
      <c r="J2293" s="2">
        <f>_xlfn.XLOOKUP(A2293,BAMLC0A4CBBB!A:A,BAMLC0A4CBBB!B:B,"",-1)</f>
        <v>1.19</v>
      </c>
      <c r="K2293" s="2">
        <f>_xlfn.XLOOKUP(A2293,CPIAUCSL!A:A,CPIAUCSL!B:B,"",-1)</f>
        <v>320.62</v>
      </c>
      <c r="L2293">
        <f>_xlfn.XLOOKUP(A2293,DFF!A:A,DFF!B:B,"",-1)</f>
        <v>4.33</v>
      </c>
      <c r="M2293">
        <f>_xlfn.XLOOKUP(A2293,'DGS2'!A:A,'DGS2'!B:B,"",-1)</f>
        <v>4.0199999999999996</v>
      </c>
      <c r="N2293">
        <f t="shared" si="283"/>
        <v>3.9999999999999591E-2</v>
      </c>
      <c r="O2293">
        <f t="shared" si="284"/>
        <v>1.024369112638146E-3</v>
      </c>
      <c r="P2293">
        <f t="shared" si="285"/>
        <v>1</v>
      </c>
      <c r="Q2293">
        <f t="shared" si="286"/>
        <v>0</v>
      </c>
    </row>
    <row r="2294" spans="1:17">
      <c r="A2294" s="1">
        <v>45791</v>
      </c>
      <c r="B2294">
        <v>5892.58</v>
      </c>
      <c r="C2294">
        <f t="shared" si="280"/>
        <v>1.024369112638146E-3</v>
      </c>
      <c r="D2294">
        <f t="shared" si="287"/>
        <v>4.1108427519165547E-2</v>
      </c>
      <c r="E2294">
        <f>_xlfn.XLOOKUP(A2294,VIX!A:A,VIX!B:B,"",-1)</f>
        <v>18.62</v>
      </c>
      <c r="F2294">
        <f t="shared" si="281"/>
        <v>0.40000000000000213</v>
      </c>
      <c r="G2294">
        <f>_xlfn.XLOOKUP(A2294,'DGS10'!A:A,'DGS10'!B:B,"",-1)</f>
        <v>4.53</v>
      </c>
      <c r="H2294">
        <f t="shared" si="282"/>
        <v>4.0000000000000036E-2</v>
      </c>
      <c r="I2294" s="2">
        <f>_xlfn.XLOOKUP(A2294,T10Y3M!A:A,T10Y3M!B:B,"",-1)</f>
        <v>0.12</v>
      </c>
      <c r="J2294" s="2">
        <f>_xlfn.XLOOKUP(A2294,BAMLC0A4CBBB!A:A,BAMLC0A4CBBB!B:B,"",-1)</f>
        <v>1.18</v>
      </c>
      <c r="K2294" s="2">
        <f>_xlfn.XLOOKUP(A2294,CPIAUCSL!A:A,CPIAUCSL!B:B,"",-1)</f>
        <v>320.62</v>
      </c>
      <c r="L2294">
        <f>_xlfn.XLOOKUP(A2294,DFF!A:A,DFF!B:B,"",-1)</f>
        <v>4.33</v>
      </c>
      <c r="M2294">
        <f>_xlfn.XLOOKUP(A2294,'DGS2'!A:A,'DGS2'!B:B,"",-1)</f>
        <v>4.05</v>
      </c>
      <c r="N2294">
        <f t="shared" si="283"/>
        <v>3.0000000000000249E-2</v>
      </c>
      <c r="O2294">
        <f t="shared" si="284"/>
        <v>4.1323155561741043E-3</v>
      </c>
      <c r="P2294">
        <f t="shared" si="285"/>
        <v>1</v>
      </c>
      <c r="Q2294">
        <f t="shared" si="286"/>
        <v>1</v>
      </c>
    </row>
    <row r="2295" spans="1:17">
      <c r="A2295" s="1">
        <v>45792</v>
      </c>
      <c r="B2295">
        <v>5916.93</v>
      </c>
      <c r="C2295">
        <f t="shared" si="280"/>
        <v>4.1323155561741043E-3</v>
      </c>
      <c r="D2295">
        <f t="shared" si="287"/>
        <v>1.2446549479055324E-2</v>
      </c>
      <c r="E2295">
        <f>_xlfn.XLOOKUP(A2295,VIX!A:A,VIX!B:B,"",-1)</f>
        <v>17.829999999999998</v>
      </c>
      <c r="F2295">
        <f t="shared" si="281"/>
        <v>-0.7900000000000027</v>
      </c>
      <c r="G2295">
        <f>_xlfn.XLOOKUP(A2295,'DGS10'!A:A,'DGS10'!B:B,"",-1)</f>
        <v>4.45</v>
      </c>
      <c r="H2295">
        <f t="shared" si="282"/>
        <v>-8.0000000000000071E-2</v>
      </c>
      <c r="I2295" s="2">
        <f>_xlfn.XLOOKUP(A2295,T10Y3M!A:A,T10Y3M!B:B,"",-1)</f>
        <v>7.0000000000000007E-2</v>
      </c>
      <c r="J2295" s="2">
        <f>_xlfn.XLOOKUP(A2295,BAMLC0A4CBBB!A:A,BAMLC0A4CBBB!B:B,"",-1)</f>
        <v>1.19</v>
      </c>
      <c r="K2295" s="2">
        <f>_xlfn.XLOOKUP(A2295,CPIAUCSL!A:A,CPIAUCSL!B:B,"",-1)</f>
        <v>320.62</v>
      </c>
      <c r="L2295">
        <f>_xlfn.XLOOKUP(A2295,DFF!A:A,DFF!B:B,"",-1)</f>
        <v>4.33</v>
      </c>
      <c r="M2295">
        <f>_xlfn.XLOOKUP(A2295,'DGS2'!A:A,'DGS2'!B:B,"",-1)</f>
        <v>3.96</v>
      </c>
      <c r="N2295">
        <f t="shared" si="283"/>
        <v>-8.9999999999999858E-2</v>
      </c>
      <c r="O2295">
        <f t="shared" si="284"/>
        <v>7.0053220166539365E-3</v>
      </c>
      <c r="P2295">
        <f t="shared" si="285"/>
        <v>1</v>
      </c>
      <c r="Q2295">
        <f t="shared" si="286"/>
        <v>1</v>
      </c>
    </row>
    <row r="2296" spans="1:17">
      <c r="A2296" s="1">
        <v>45793</v>
      </c>
      <c r="B2296">
        <v>5958.38</v>
      </c>
      <c r="C2296">
        <f t="shared" si="280"/>
        <v>7.0053220166539365E-3</v>
      </c>
      <c r="D2296">
        <f t="shared" si="287"/>
        <v>1.2202393592172012E-2</v>
      </c>
      <c r="E2296">
        <f>_xlfn.XLOOKUP(A2296,VIX!A:A,VIX!B:B,"",-1)</f>
        <v>17.239999999999998</v>
      </c>
      <c r="F2296">
        <f t="shared" si="281"/>
        <v>-0.58999999999999986</v>
      </c>
      <c r="G2296">
        <f>_xlfn.XLOOKUP(A2296,'DGS10'!A:A,'DGS10'!B:B,"",-1)</f>
        <v>4.43</v>
      </c>
      <c r="H2296">
        <f t="shared" si="282"/>
        <v>-2.0000000000000462E-2</v>
      </c>
      <c r="I2296" s="2">
        <f>_xlfn.XLOOKUP(A2296,T10Y3M!A:A,T10Y3M!B:B,"",-1)</f>
        <v>0.06</v>
      </c>
      <c r="J2296" s="2">
        <f>_xlfn.XLOOKUP(A2296,BAMLC0A4CBBB!A:A,BAMLC0A4CBBB!B:B,"",-1)</f>
        <v>1.17</v>
      </c>
      <c r="K2296" s="2">
        <f>_xlfn.XLOOKUP(A2296,CPIAUCSL!A:A,CPIAUCSL!B:B,"",-1)</f>
        <v>320.62</v>
      </c>
      <c r="L2296">
        <f>_xlfn.XLOOKUP(A2296,DFF!A:A,DFF!B:B,"",-1)</f>
        <v>4.33</v>
      </c>
      <c r="M2296">
        <f>_xlfn.XLOOKUP(A2296,'DGS2'!A:A,'DGS2'!B:B,"",-1)</f>
        <v>3.98</v>
      </c>
      <c r="N2296">
        <f t="shared" si="283"/>
        <v>2.0000000000000018E-2</v>
      </c>
      <c r="O2296">
        <f t="shared" si="284"/>
        <v>8.76077054501323E-4</v>
      </c>
      <c r="P2296">
        <f t="shared" si="285"/>
        <v>1</v>
      </c>
      <c r="Q2296">
        <f t="shared" si="286"/>
        <v>0</v>
      </c>
    </row>
    <row r="2297" spans="1:17">
      <c r="A2297" s="1">
        <v>45796</v>
      </c>
      <c r="B2297">
        <v>5963.6</v>
      </c>
      <c r="C2297">
        <f t="shared" si="280"/>
        <v>8.76077054501323E-4</v>
      </c>
      <c r="D2297">
        <f t="shared" si="287"/>
        <v>1.2052445618048635E-2</v>
      </c>
      <c r="E2297">
        <f>_xlfn.XLOOKUP(A2297,VIX!A:A,VIX!B:B,"",-1)</f>
        <v>18.14</v>
      </c>
      <c r="F2297">
        <f t="shared" si="281"/>
        <v>0.90000000000000213</v>
      </c>
      <c r="G2297">
        <f>_xlfn.XLOOKUP(A2297,'DGS10'!A:A,'DGS10'!B:B,"",-1)</f>
        <v>4.46</v>
      </c>
      <c r="H2297">
        <f t="shared" si="282"/>
        <v>3.0000000000000249E-2</v>
      </c>
      <c r="I2297" s="2">
        <f>_xlfn.XLOOKUP(A2297,T10Y3M!A:A,T10Y3M!B:B,"",-1)</f>
        <v>7.0000000000000007E-2</v>
      </c>
      <c r="J2297" s="2">
        <f>_xlfn.XLOOKUP(A2297,BAMLC0A4CBBB!A:A,BAMLC0A4CBBB!B:B,"",-1)</f>
        <v>1.1599999999999999</v>
      </c>
      <c r="K2297" s="2">
        <f>_xlfn.XLOOKUP(A2297,CPIAUCSL!A:A,CPIAUCSL!B:B,"",-1)</f>
        <v>320.62</v>
      </c>
      <c r="L2297">
        <f>_xlfn.XLOOKUP(A2297,DFF!A:A,DFF!B:B,"",-1)</f>
        <v>4.33</v>
      </c>
      <c r="M2297">
        <f>_xlfn.XLOOKUP(A2297,'DGS2'!A:A,'DGS2'!B:B,"",-1)</f>
        <v>3.97</v>
      </c>
      <c r="N2297">
        <f t="shared" si="283"/>
        <v>-9.9999999999997868E-3</v>
      </c>
      <c r="O2297">
        <f t="shared" si="284"/>
        <v>-3.8802065866255786E-3</v>
      </c>
      <c r="P2297">
        <f t="shared" si="285"/>
        <v>0</v>
      </c>
      <c r="Q2297">
        <f t="shared" si="286"/>
        <v>-1</v>
      </c>
    </row>
    <row r="2298" spans="1:17">
      <c r="A2298" s="1">
        <v>45797</v>
      </c>
      <c r="B2298">
        <v>5940.46</v>
      </c>
      <c r="C2298">
        <f t="shared" si="280"/>
        <v>-3.8802065866255786E-3</v>
      </c>
      <c r="D2298">
        <f t="shared" si="287"/>
        <v>3.9767244162089987E-3</v>
      </c>
      <c r="E2298">
        <f>_xlfn.XLOOKUP(A2298,VIX!A:A,VIX!B:B,"",-1)</f>
        <v>18.09</v>
      </c>
      <c r="F2298">
        <f t="shared" si="281"/>
        <v>-5.0000000000000711E-2</v>
      </c>
      <c r="G2298">
        <f>_xlfn.XLOOKUP(A2298,'DGS10'!A:A,'DGS10'!B:B,"",-1)</f>
        <v>4.4800000000000004</v>
      </c>
      <c r="H2298">
        <f t="shared" si="282"/>
        <v>2.0000000000000462E-2</v>
      </c>
      <c r="I2298" s="2">
        <f>_xlfn.XLOOKUP(A2298,T10Y3M!A:A,T10Y3M!B:B,"",-1)</f>
        <v>0.1</v>
      </c>
      <c r="J2298" s="2">
        <f>_xlfn.XLOOKUP(A2298,BAMLC0A4CBBB!A:A,BAMLC0A4CBBB!B:B,"",-1)</f>
        <v>1.1499999999999999</v>
      </c>
      <c r="K2298" s="2">
        <f>_xlfn.XLOOKUP(A2298,CPIAUCSL!A:A,CPIAUCSL!B:B,"",-1)</f>
        <v>320.62</v>
      </c>
      <c r="L2298">
        <f>_xlfn.XLOOKUP(A2298,DFF!A:A,DFF!B:B,"",-1)</f>
        <v>4.33</v>
      </c>
      <c r="M2298">
        <f>_xlfn.XLOOKUP(A2298,'DGS2'!A:A,'DGS2'!B:B,"",-1)</f>
        <v>3.97</v>
      </c>
      <c r="N2298">
        <f t="shared" si="283"/>
        <v>0</v>
      </c>
      <c r="O2298">
        <f t="shared" si="284"/>
        <v>-1.6135114115741978E-2</v>
      </c>
      <c r="P2298">
        <f t="shared" si="285"/>
        <v>0</v>
      </c>
      <c r="Q2298">
        <f t="shared" si="286"/>
        <v>-1</v>
      </c>
    </row>
    <row r="2299" spans="1:17">
      <c r="A2299" s="1">
        <v>45798</v>
      </c>
      <c r="B2299">
        <v>5844.61</v>
      </c>
      <c r="C2299">
        <f t="shared" si="280"/>
        <v>-1.6135114115741978E-2</v>
      </c>
      <c r="D2299">
        <f t="shared" si="287"/>
        <v>-1.9094116185943255E-2</v>
      </c>
      <c r="E2299">
        <f>_xlfn.XLOOKUP(A2299,VIX!A:A,VIX!B:B,"",-1)</f>
        <v>20.87</v>
      </c>
      <c r="F2299">
        <f t="shared" si="281"/>
        <v>2.7800000000000011</v>
      </c>
      <c r="G2299">
        <f>_xlfn.XLOOKUP(A2299,'DGS10'!A:A,'DGS10'!B:B,"",-1)</f>
        <v>4.58</v>
      </c>
      <c r="H2299">
        <f t="shared" si="282"/>
        <v>9.9999999999999645E-2</v>
      </c>
      <c r="I2299" s="2">
        <f>_xlfn.XLOOKUP(A2299,T10Y3M!A:A,T10Y3M!B:B,"",-1)</f>
        <v>0.22</v>
      </c>
      <c r="J2299" s="2">
        <f>_xlfn.XLOOKUP(A2299,BAMLC0A4CBBB!A:A,BAMLC0A4CBBB!B:B,"",-1)</f>
        <v>1.1499999999999999</v>
      </c>
      <c r="K2299" s="2">
        <f>_xlfn.XLOOKUP(A2299,CPIAUCSL!A:A,CPIAUCSL!B:B,"",-1)</f>
        <v>320.62</v>
      </c>
      <c r="L2299">
        <f>_xlfn.XLOOKUP(A2299,DFF!A:A,DFF!B:B,"",-1)</f>
        <v>4.33</v>
      </c>
      <c r="M2299">
        <f>_xlfn.XLOOKUP(A2299,'DGS2'!A:A,'DGS2'!B:B,"",-1)</f>
        <v>4</v>
      </c>
      <c r="N2299">
        <f t="shared" si="283"/>
        <v>2.9999999999999805E-2</v>
      </c>
      <c r="O2299">
        <f t="shared" si="284"/>
        <v>-4.4485431876539749E-4</v>
      </c>
      <c r="P2299">
        <f t="shared" si="285"/>
        <v>0</v>
      </c>
      <c r="Q2299">
        <f t="shared" si="286"/>
        <v>0</v>
      </c>
    </row>
    <row r="2300" spans="1:17">
      <c r="A2300" s="1">
        <v>45799</v>
      </c>
      <c r="B2300">
        <v>5842.01</v>
      </c>
      <c r="C2300">
        <f t="shared" si="280"/>
        <v>-4.4485431876539749E-4</v>
      </c>
      <c r="D2300">
        <f t="shared" si="287"/>
        <v>-2.0388691394459757E-2</v>
      </c>
      <c r="E2300">
        <f>_xlfn.XLOOKUP(A2300,VIX!A:A,VIX!B:B,"",-1)</f>
        <v>20.28</v>
      </c>
      <c r="F2300">
        <f t="shared" si="281"/>
        <v>-0.58999999999999986</v>
      </c>
      <c r="G2300">
        <f>_xlfn.XLOOKUP(A2300,'DGS10'!A:A,'DGS10'!B:B,"",-1)</f>
        <v>4.54</v>
      </c>
      <c r="H2300">
        <f t="shared" si="282"/>
        <v>-4.0000000000000036E-2</v>
      </c>
      <c r="I2300" s="2">
        <f>_xlfn.XLOOKUP(A2300,T10Y3M!A:A,T10Y3M!B:B,"",-1)</f>
        <v>0.17</v>
      </c>
      <c r="J2300" s="2">
        <f>_xlfn.XLOOKUP(A2300,BAMLC0A4CBBB!A:A,BAMLC0A4CBBB!B:B,"",-1)</f>
        <v>1.1599999999999999</v>
      </c>
      <c r="K2300" s="2">
        <f>_xlfn.XLOOKUP(A2300,CPIAUCSL!A:A,CPIAUCSL!B:B,"",-1)</f>
        <v>320.62</v>
      </c>
      <c r="L2300">
        <f>_xlfn.XLOOKUP(A2300,DFF!A:A,DFF!B:B,"",-1)</f>
        <v>4.33</v>
      </c>
      <c r="M2300">
        <f>_xlfn.XLOOKUP(A2300,'DGS2'!A:A,'DGS2'!B:B,"",-1)</f>
        <v>4</v>
      </c>
      <c r="N2300">
        <f t="shared" si="283"/>
        <v>0</v>
      </c>
      <c r="O2300">
        <f t="shared" si="284"/>
        <v>-6.708307585916562E-3</v>
      </c>
      <c r="P2300">
        <f t="shared" si="285"/>
        <v>0</v>
      </c>
      <c r="Q2300">
        <f t="shared" si="286"/>
        <v>-1</v>
      </c>
    </row>
    <row r="2301" spans="1:17">
      <c r="A2301" s="1">
        <v>45800</v>
      </c>
      <c r="B2301">
        <v>5802.82</v>
      </c>
      <c r="C2301">
        <f t="shared" si="280"/>
        <v>-6.708307585916562E-3</v>
      </c>
      <c r="D2301">
        <f t="shared" si="287"/>
        <v>-2.3169922867926074E-2</v>
      </c>
      <c r="E2301">
        <f>_xlfn.XLOOKUP(A2301,VIX!A:A,VIX!B:B,"",-1)</f>
        <v>22.29</v>
      </c>
      <c r="F2301">
        <f t="shared" si="281"/>
        <v>2.009999999999998</v>
      </c>
      <c r="G2301">
        <f>_xlfn.XLOOKUP(A2301,'DGS10'!A:A,'DGS10'!B:B,"",-1)</f>
        <v>4.51</v>
      </c>
      <c r="H2301">
        <f t="shared" si="282"/>
        <v>-3.0000000000000249E-2</v>
      </c>
      <c r="I2301" s="2">
        <f>_xlfn.XLOOKUP(A2301,T10Y3M!A:A,T10Y3M!B:B,"",-1)</f>
        <v>0.15</v>
      </c>
      <c r="J2301" s="2">
        <f>_xlfn.XLOOKUP(A2301,BAMLC0A4CBBB!A:A,BAMLC0A4CBBB!B:B,"",-1)</f>
        <v>1.18</v>
      </c>
      <c r="K2301" s="2">
        <f>_xlfn.XLOOKUP(A2301,CPIAUCSL!A:A,CPIAUCSL!B:B,"",-1)</f>
        <v>320.62</v>
      </c>
      <c r="L2301">
        <f>_xlfn.XLOOKUP(A2301,DFF!A:A,DFF!B:B,"",-1)</f>
        <v>4.33</v>
      </c>
      <c r="M2301">
        <f>_xlfn.XLOOKUP(A2301,'DGS2'!A:A,'DGS2'!B:B,"",-1)</f>
        <v>4</v>
      </c>
      <c r="N2301">
        <f t="shared" si="283"/>
        <v>0</v>
      </c>
      <c r="O2301">
        <f t="shared" si="284"/>
        <v>2.0459018201495205E-2</v>
      </c>
      <c r="P2301">
        <f t="shared" si="285"/>
        <v>1</v>
      </c>
      <c r="Q2301">
        <f t="shared" si="286"/>
        <v>1</v>
      </c>
    </row>
    <row r="2302" spans="1:17">
      <c r="A2302" s="1">
        <v>45804</v>
      </c>
      <c r="B2302">
        <v>5921.54</v>
      </c>
      <c r="C2302">
        <f t="shared" si="280"/>
        <v>2.0459018201495205E-2</v>
      </c>
      <c r="D2302">
        <f t="shared" si="287"/>
        <v>1.3162554901011481E-2</v>
      </c>
      <c r="E2302">
        <f>_xlfn.XLOOKUP(A2302,VIX!A:A,VIX!B:B,"",-1)</f>
        <v>18.96</v>
      </c>
      <c r="F2302">
        <f t="shared" si="281"/>
        <v>-3.3299999999999983</v>
      </c>
      <c r="G2302">
        <f>_xlfn.XLOOKUP(A2302,'DGS10'!A:A,'DGS10'!B:B,"",-1)</f>
        <v>4.43</v>
      </c>
      <c r="H2302">
        <f t="shared" si="282"/>
        <v>-8.0000000000000071E-2</v>
      </c>
      <c r="I2302" s="2">
        <f>_xlfn.XLOOKUP(A2302,T10Y3M!A:A,T10Y3M!B:B,"",-1)</f>
        <v>0.08</v>
      </c>
      <c r="J2302" s="2">
        <f>_xlfn.XLOOKUP(A2302,BAMLC0A4CBBB!A:A,BAMLC0A4CBBB!B:B,"",-1)</f>
        <v>1.1499999999999999</v>
      </c>
      <c r="K2302" s="2">
        <f>_xlfn.XLOOKUP(A2302,CPIAUCSL!A:A,CPIAUCSL!B:B,"",-1)</f>
        <v>320.62</v>
      </c>
      <c r="L2302">
        <f>_xlfn.XLOOKUP(A2302,DFF!A:A,DFF!B:B,"",-1)</f>
        <v>4.33</v>
      </c>
      <c r="M2302">
        <f>_xlfn.XLOOKUP(A2302,'DGS2'!A:A,'DGS2'!B:B,"",-1)</f>
        <v>3.92</v>
      </c>
      <c r="N2302">
        <f t="shared" si="283"/>
        <v>-8.0000000000000071E-2</v>
      </c>
      <c r="O2302">
        <f t="shared" si="284"/>
        <v>-5.571185873944895E-3</v>
      </c>
      <c r="P2302">
        <f t="shared" si="285"/>
        <v>0</v>
      </c>
      <c r="Q2302">
        <f t="shared" si="286"/>
        <v>-1</v>
      </c>
    </row>
    <row r="2303" spans="1:17">
      <c r="A2303" s="1">
        <v>45805</v>
      </c>
      <c r="B2303">
        <v>5888.55</v>
      </c>
      <c r="C2303">
        <f t="shared" si="280"/>
        <v>-5.571185873944895E-3</v>
      </c>
      <c r="D2303">
        <f t="shared" si="287"/>
        <v>7.9664362094553631E-3</v>
      </c>
      <c r="E2303">
        <f>_xlfn.XLOOKUP(A2303,VIX!A:A,VIX!B:B,"",-1)</f>
        <v>19.309999999999999</v>
      </c>
      <c r="F2303">
        <f t="shared" si="281"/>
        <v>0.34999999999999787</v>
      </c>
      <c r="G2303">
        <f>_xlfn.XLOOKUP(A2303,'DGS10'!A:A,'DGS10'!B:B,"",-1)</f>
        <v>4.47</v>
      </c>
      <c r="H2303">
        <f t="shared" si="282"/>
        <v>4.0000000000000036E-2</v>
      </c>
      <c r="I2303" s="2">
        <f>_xlfn.XLOOKUP(A2303,T10Y3M!A:A,T10Y3M!B:B,"",-1)</f>
        <v>0.12</v>
      </c>
      <c r="J2303" s="2">
        <f>_xlfn.XLOOKUP(A2303,BAMLC0A4CBBB!A:A,BAMLC0A4CBBB!B:B,"",-1)</f>
        <v>1.1399999999999999</v>
      </c>
      <c r="K2303" s="2">
        <f>_xlfn.XLOOKUP(A2303,CPIAUCSL!A:A,CPIAUCSL!B:B,"",-1)</f>
        <v>320.62</v>
      </c>
      <c r="L2303">
        <f>_xlfn.XLOOKUP(A2303,DFF!A:A,DFF!B:B,"",-1)</f>
        <v>4.33</v>
      </c>
      <c r="M2303">
        <f>_xlfn.XLOOKUP(A2303,'DGS2'!A:A,'DGS2'!B:B,"",-1)</f>
        <v>3.96</v>
      </c>
      <c r="N2303">
        <f t="shared" si="283"/>
        <v>4.0000000000000036E-2</v>
      </c>
      <c r="O2303">
        <f t="shared" si="284"/>
        <v>4.0111742279509421E-3</v>
      </c>
      <c r="P2303">
        <f t="shared" si="285"/>
        <v>1</v>
      </c>
      <c r="Q2303">
        <f t="shared" si="286"/>
        <v>1</v>
      </c>
    </row>
    <row r="2304" spans="1:17">
      <c r="A2304" s="1">
        <v>45806</v>
      </c>
      <c r="B2304">
        <v>5912.17</v>
      </c>
      <c r="C2304">
        <f t="shared" si="280"/>
        <v>4.0111742279509421E-3</v>
      </c>
      <c r="D2304">
        <f t="shared" si="287"/>
        <v>1.8844286054022108E-2</v>
      </c>
      <c r="E2304">
        <f>_xlfn.XLOOKUP(A2304,VIX!A:A,VIX!B:B,"",-1)</f>
        <v>19.18</v>
      </c>
      <c r="F2304">
        <f t="shared" si="281"/>
        <v>-0.12999999999999901</v>
      </c>
      <c r="G2304">
        <f>_xlfn.XLOOKUP(A2304,'DGS10'!A:A,'DGS10'!B:B,"",-1)</f>
        <v>4.43</v>
      </c>
      <c r="H2304">
        <f t="shared" si="282"/>
        <v>-4.0000000000000036E-2</v>
      </c>
      <c r="I2304" s="2">
        <f>_xlfn.XLOOKUP(A2304,T10Y3M!A:A,T10Y3M!B:B,"",-1)</f>
        <v>7.0000000000000007E-2</v>
      </c>
      <c r="J2304" s="2">
        <f>_xlfn.XLOOKUP(A2304,BAMLC0A4CBBB!A:A,BAMLC0A4CBBB!B:B,"",-1)</f>
        <v>1.1399999999999999</v>
      </c>
      <c r="K2304" s="2">
        <f>_xlfn.XLOOKUP(A2304,CPIAUCSL!A:A,CPIAUCSL!B:B,"",-1)</f>
        <v>320.62</v>
      </c>
      <c r="L2304">
        <f>_xlfn.XLOOKUP(A2304,DFF!A:A,DFF!B:B,"",-1)</f>
        <v>4.33</v>
      </c>
      <c r="M2304">
        <f>_xlfn.XLOOKUP(A2304,'DGS2'!A:A,'DGS2'!B:B,"",-1)</f>
        <v>3.92</v>
      </c>
      <c r="N2304">
        <f t="shared" si="283"/>
        <v>-4.0000000000000036E-2</v>
      </c>
      <c r="O2304">
        <f t="shared" si="284"/>
        <v>-8.118846379590039E-5</v>
      </c>
      <c r="P2304">
        <f t="shared" si="285"/>
        <v>0</v>
      </c>
      <c r="Q2304">
        <f t="shared" si="286"/>
        <v>0</v>
      </c>
    </row>
    <row r="2305" spans="1:17">
      <c r="A2305" s="1">
        <v>45807</v>
      </c>
      <c r="B2305">
        <v>5911.69</v>
      </c>
      <c r="C2305">
        <f t="shared" si="280"/>
        <v>-8.118846379590039E-5</v>
      </c>
      <c r="D2305">
        <f t="shared" si="287"/>
        <v>-1.6634186377193494E-3</v>
      </c>
      <c r="E2305">
        <f>_xlfn.XLOOKUP(A2305,VIX!A:A,VIX!B:B,"",-1)</f>
        <v>18.57</v>
      </c>
      <c r="F2305">
        <f t="shared" si="281"/>
        <v>-0.60999999999999943</v>
      </c>
      <c r="G2305">
        <f>_xlfn.XLOOKUP(A2305,'DGS10'!A:A,'DGS10'!B:B,"",-1)</f>
        <v>4.41</v>
      </c>
      <c r="H2305">
        <f t="shared" si="282"/>
        <v>-1.9999999999999574E-2</v>
      </c>
      <c r="I2305" s="2">
        <f>_xlfn.XLOOKUP(A2305,T10Y3M!A:A,T10Y3M!B:B,"",-1)</f>
        <v>0.05</v>
      </c>
      <c r="J2305" s="2">
        <f>_xlfn.XLOOKUP(A2305,BAMLC0A4CBBB!A:A,BAMLC0A4CBBB!B:B,"",-1)</f>
        <v>1.1499999999999999</v>
      </c>
      <c r="K2305" s="2">
        <f>_xlfn.XLOOKUP(A2305,CPIAUCSL!A:A,CPIAUCSL!B:B,"",-1)</f>
        <v>320.62</v>
      </c>
      <c r="L2305">
        <f>_xlfn.XLOOKUP(A2305,DFF!A:A,DFF!B:B,"",-1)</f>
        <v>4.33</v>
      </c>
      <c r="M2305">
        <f>_xlfn.XLOOKUP(A2305,'DGS2'!A:A,'DGS2'!B:B,"",-1)</f>
        <v>3.89</v>
      </c>
      <c r="N2305">
        <f t="shared" si="283"/>
        <v>-2.9999999999999805E-2</v>
      </c>
      <c r="O2305">
        <f t="shared" si="284"/>
        <v>4.1020418864994301E-3</v>
      </c>
      <c r="P2305">
        <f t="shared" si="285"/>
        <v>1</v>
      </c>
      <c r="Q2305">
        <f t="shared" si="286"/>
        <v>1</v>
      </c>
    </row>
    <row r="2306" spans="1:17">
      <c r="A2306" s="1">
        <v>45810</v>
      </c>
      <c r="B2306">
        <v>5935.94</v>
      </c>
      <c r="C2306">
        <f t="shared" si="280"/>
        <v>4.1020418864994301E-3</v>
      </c>
      <c r="D2306">
        <f t="shared" si="287"/>
        <v>8.0478216199233454E-3</v>
      </c>
      <c r="E2306">
        <f>_xlfn.XLOOKUP(A2306,VIX!A:A,VIX!B:B,"",-1)</f>
        <v>18.36</v>
      </c>
      <c r="F2306">
        <f t="shared" si="281"/>
        <v>-0.21000000000000085</v>
      </c>
      <c r="G2306">
        <f>_xlfn.XLOOKUP(A2306,'DGS10'!A:A,'DGS10'!B:B,"",-1)</f>
        <v>4.46</v>
      </c>
      <c r="H2306">
        <f t="shared" si="282"/>
        <v>4.9999999999999822E-2</v>
      </c>
      <c r="I2306" s="2">
        <f>_xlfn.XLOOKUP(A2306,T10Y3M!A:A,T10Y3M!B:B,"",-1)</f>
        <v>0.02</v>
      </c>
      <c r="J2306" s="2">
        <f>_xlfn.XLOOKUP(A2306,BAMLC0A4CBBB!A:A,BAMLC0A4CBBB!B:B,"",-1)</f>
        <v>1.1499999999999999</v>
      </c>
      <c r="K2306" s="2">
        <f>_xlfn.XLOOKUP(A2306,CPIAUCSL!A:A,CPIAUCSL!B:B,"",-1)</f>
        <v>321.435</v>
      </c>
      <c r="L2306">
        <f>_xlfn.XLOOKUP(A2306,DFF!A:A,DFF!B:B,"",-1)</f>
        <v>4.33</v>
      </c>
      <c r="M2306">
        <f>_xlfn.XLOOKUP(A2306,'DGS2'!A:A,'DGS2'!B:B,"",-1)</f>
        <v>3.94</v>
      </c>
      <c r="N2306">
        <f t="shared" si="283"/>
        <v>4.9999999999999822E-2</v>
      </c>
      <c r="O2306">
        <f t="shared" si="284"/>
        <v>5.8002607843070653E-3</v>
      </c>
      <c r="P2306">
        <f t="shared" si="285"/>
        <v>1</v>
      </c>
      <c r="Q2306">
        <f t="shared" si="286"/>
        <v>1</v>
      </c>
    </row>
    <row r="2307" spans="1:17">
      <c r="A2307" s="1">
        <v>45811</v>
      </c>
      <c r="B2307">
        <v>5970.37</v>
      </c>
      <c r="C2307">
        <f t="shared" si="280"/>
        <v>5.8002607843070653E-3</v>
      </c>
      <c r="D2307">
        <f t="shared" si="287"/>
        <v>9.8441012352485924E-3</v>
      </c>
      <c r="E2307">
        <f>_xlfn.XLOOKUP(A2307,VIX!A:A,VIX!B:B,"",-1)</f>
        <v>17.690000000000001</v>
      </c>
      <c r="F2307">
        <f t="shared" si="281"/>
        <v>-0.66999999999999815</v>
      </c>
      <c r="G2307">
        <f>_xlfn.XLOOKUP(A2307,'DGS10'!A:A,'DGS10'!B:B,"",-1)</f>
        <v>4.46</v>
      </c>
      <c r="H2307">
        <f t="shared" si="282"/>
        <v>0</v>
      </c>
      <c r="I2307" s="2">
        <f>_xlfn.XLOOKUP(A2307,T10Y3M!A:A,T10Y3M!B:B,"",-1)</f>
        <v>0.03</v>
      </c>
      <c r="J2307" s="2">
        <f>_xlfn.XLOOKUP(A2307,BAMLC0A4CBBB!A:A,BAMLC0A4CBBB!B:B,"",-1)</f>
        <v>1.1200000000000001</v>
      </c>
      <c r="K2307" s="2">
        <f>_xlfn.XLOOKUP(A2307,CPIAUCSL!A:A,CPIAUCSL!B:B,"",-1)</f>
        <v>321.435</v>
      </c>
      <c r="L2307">
        <f>_xlfn.XLOOKUP(A2307,DFF!A:A,DFF!B:B,"",-1)</f>
        <v>4.33</v>
      </c>
      <c r="M2307">
        <f>_xlfn.XLOOKUP(A2307,'DGS2'!A:A,'DGS2'!B:B,"",-1)</f>
        <v>3.96</v>
      </c>
      <c r="N2307">
        <f t="shared" si="283"/>
        <v>2.0000000000000018E-2</v>
      </c>
      <c r="O2307">
        <f t="shared" si="284"/>
        <v>7.3697275043249633E-5</v>
      </c>
      <c r="P2307">
        <f t="shared" si="285"/>
        <v>1</v>
      </c>
      <c r="Q2307">
        <f t="shared" si="286"/>
        <v>0</v>
      </c>
    </row>
    <row r="2308" spans="1:17">
      <c r="A2308" s="1">
        <v>45812</v>
      </c>
      <c r="B2308">
        <v>5970.81</v>
      </c>
      <c r="C2308">
        <f t="shared" ref="C2308:C2371" si="288">IF(OR(B2308="",B2307=""),"",(B2308/B2307)-1)</f>
        <v>7.3697275043249633E-5</v>
      </c>
      <c r="D2308">
        <f t="shared" si="287"/>
        <v>1.0000524384736087E-2</v>
      </c>
      <c r="E2308">
        <f>_xlfn.XLOOKUP(A2308,VIX!A:A,VIX!B:B,"",-1)</f>
        <v>17.61</v>
      </c>
      <c r="F2308">
        <f t="shared" ref="F2308:F2371" si="289">IF(OR(E2308="",E2307=""),"",E2308-E2307)</f>
        <v>-8.0000000000001847E-2</v>
      </c>
      <c r="G2308">
        <f>_xlfn.XLOOKUP(A2308,'DGS10'!A:A,'DGS10'!B:B,"",-1)</f>
        <v>4.37</v>
      </c>
      <c r="H2308">
        <f t="shared" ref="H2308:H2371" si="290">IF(OR(G2308="",G2307=""),"",G2308-G2307)</f>
        <v>-8.9999999999999858E-2</v>
      </c>
      <c r="I2308" s="2">
        <f>_xlfn.XLOOKUP(A2308,T10Y3M!A:A,T10Y3M!B:B,"",-1)</f>
        <v>-7.0000000000000007E-2</v>
      </c>
      <c r="J2308" s="2">
        <f>_xlfn.XLOOKUP(A2308,BAMLC0A4CBBB!A:A,BAMLC0A4CBBB!B:B,"",-1)</f>
        <v>1.1200000000000001</v>
      </c>
      <c r="K2308" s="2">
        <f>_xlfn.XLOOKUP(A2308,CPIAUCSL!A:A,CPIAUCSL!B:B,"",-1)</f>
        <v>321.435</v>
      </c>
      <c r="L2308">
        <f>_xlfn.XLOOKUP(A2308,DFF!A:A,DFF!B:B,"",-1)</f>
        <v>4.33</v>
      </c>
      <c r="M2308">
        <f>_xlfn.XLOOKUP(A2308,'DGS2'!A:A,'DGS2'!B:B,"",-1)</f>
        <v>3.87</v>
      </c>
      <c r="N2308">
        <f t="shared" ref="N2308:N2371" si="291">IF(OR(M2308="",M2307=""),"",M2308-M2307)</f>
        <v>-8.9999999999999858E-2</v>
      </c>
      <c r="O2308">
        <f t="shared" ref="O2308:O2371" si="292">IF(OR(B2309="",B2308=""),"",(B2309/B2308)-1)</f>
        <v>-5.2773409302925289E-3</v>
      </c>
      <c r="P2308">
        <f t="shared" ref="P2308:P2371" si="293">IF(O2308="","",IF(O2308&gt;0,1,0))</f>
        <v>0</v>
      </c>
      <c r="Q2308">
        <f t="shared" ref="Q2308:Q2371" si="294">IF(O2308="","",IF(O2308&gt;0.003,1,IF(O2308&lt;-0.003,-1,0)))</f>
        <v>-1</v>
      </c>
    </row>
    <row r="2309" spans="1:17">
      <c r="A2309" s="1">
        <v>45813</v>
      </c>
      <c r="B2309">
        <v>5939.3</v>
      </c>
      <c r="C2309">
        <f t="shared" si="288"/>
        <v>-5.2773409302925289E-3</v>
      </c>
      <c r="D2309">
        <f t="shared" si="287"/>
        <v>5.6604345731270378E-4</v>
      </c>
      <c r="E2309">
        <f>_xlfn.XLOOKUP(A2309,VIX!A:A,VIX!B:B,"",-1)</f>
        <v>18.48</v>
      </c>
      <c r="F2309">
        <f t="shared" si="289"/>
        <v>0.87000000000000099</v>
      </c>
      <c r="G2309">
        <f>_xlfn.XLOOKUP(A2309,'DGS10'!A:A,'DGS10'!B:B,"",-1)</f>
        <v>4.4000000000000004</v>
      </c>
      <c r="H2309">
        <f t="shared" si="290"/>
        <v>3.0000000000000249E-2</v>
      </c>
      <c r="I2309" s="2">
        <f>_xlfn.XLOOKUP(A2309,T10Y3M!A:A,T10Y3M!B:B,"",-1)</f>
        <v>-0.04</v>
      </c>
      <c r="J2309" s="2">
        <f>_xlfn.XLOOKUP(A2309,BAMLC0A4CBBB!A:A,BAMLC0A4CBBB!B:B,"",-1)</f>
        <v>1.1200000000000001</v>
      </c>
      <c r="K2309" s="2">
        <f>_xlfn.XLOOKUP(A2309,CPIAUCSL!A:A,CPIAUCSL!B:B,"",-1)</f>
        <v>321.435</v>
      </c>
      <c r="L2309">
        <f>_xlfn.XLOOKUP(A2309,DFF!A:A,DFF!B:B,"",-1)</f>
        <v>4.33</v>
      </c>
      <c r="M2309">
        <f>_xlfn.XLOOKUP(A2309,'DGS2'!A:A,'DGS2'!B:B,"",-1)</f>
        <v>3.92</v>
      </c>
      <c r="N2309">
        <f t="shared" si="291"/>
        <v>4.9999999999999822E-2</v>
      </c>
      <c r="O2309">
        <f t="shared" si="292"/>
        <v>1.0280672806559643E-2</v>
      </c>
      <c r="P2309">
        <f t="shared" si="293"/>
        <v>1</v>
      </c>
      <c r="Q2309">
        <f t="shared" si="294"/>
        <v>1</v>
      </c>
    </row>
    <row r="2310" spans="1:17">
      <c r="A2310" s="1">
        <v>45814</v>
      </c>
      <c r="B2310">
        <v>6000.36</v>
      </c>
      <c r="C2310">
        <f t="shared" si="288"/>
        <v>1.0280672806559643E-2</v>
      </c>
      <c r="D2310">
        <f t="shared" ref="D2310:D2373" si="295">IF(OR(B2310="",B2307=""),"",(B2310/B2307)-1)</f>
        <v>5.0231392694255472E-3</v>
      </c>
      <c r="E2310">
        <f>_xlfn.XLOOKUP(A2310,VIX!A:A,VIX!B:B,"",-1)</f>
        <v>16.77</v>
      </c>
      <c r="F2310">
        <f t="shared" si="289"/>
        <v>-1.7100000000000009</v>
      </c>
      <c r="G2310">
        <f>_xlfn.XLOOKUP(A2310,'DGS10'!A:A,'DGS10'!B:B,"",-1)</f>
        <v>4.51</v>
      </c>
      <c r="H2310">
        <f t="shared" si="290"/>
        <v>0.10999999999999943</v>
      </c>
      <c r="I2310" s="2">
        <f>_xlfn.XLOOKUP(A2310,T10Y3M!A:A,T10Y3M!B:B,"",-1)</f>
        <v>0.08</v>
      </c>
      <c r="J2310" s="2">
        <f>_xlfn.XLOOKUP(A2310,BAMLC0A4CBBB!A:A,BAMLC0A4CBBB!B:B,"",-1)</f>
        <v>1.1000000000000001</v>
      </c>
      <c r="K2310" s="2">
        <f>_xlfn.XLOOKUP(A2310,CPIAUCSL!A:A,CPIAUCSL!B:B,"",-1)</f>
        <v>321.435</v>
      </c>
      <c r="L2310">
        <f>_xlfn.XLOOKUP(A2310,DFF!A:A,DFF!B:B,"",-1)</f>
        <v>4.33</v>
      </c>
      <c r="M2310">
        <f>_xlfn.XLOOKUP(A2310,'DGS2'!A:A,'DGS2'!B:B,"",-1)</f>
        <v>4.04</v>
      </c>
      <c r="N2310">
        <f t="shared" si="291"/>
        <v>0.12000000000000011</v>
      </c>
      <c r="O2310">
        <f t="shared" si="292"/>
        <v>9.1994480331192285E-4</v>
      </c>
      <c r="P2310">
        <f t="shared" si="293"/>
        <v>1</v>
      </c>
      <c r="Q2310">
        <f t="shared" si="294"/>
        <v>0</v>
      </c>
    </row>
    <row r="2311" spans="1:17">
      <c r="A2311" s="1">
        <v>45817</v>
      </c>
      <c r="B2311">
        <v>6005.88</v>
      </c>
      <c r="C2311">
        <f t="shared" si="288"/>
        <v>9.1994480331192285E-4</v>
      </c>
      <c r="D2311">
        <f t="shared" si="295"/>
        <v>5.8735749420932848E-3</v>
      </c>
      <c r="E2311">
        <f>_xlfn.XLOOKUP(A2311,VIX!A:A,VIX!B:B,"",-1)</f>
        <v>17.16</v>
      </c>
      <c r="F2311">
        <f t="shared" si="289"/>
        <v>0.39000000000000057</v>
      </c>
      <c r="G2311">
        <f>_xlfn.XLOOKUP(A2311,'DGS10'!A:A,'DGS10'!B:B,"",-1)</f>
        <v>4.49</v>
      </c>
      <c r="H2311">
        <f t="shared" si="290"/>
        <v>-1.9999999999999574E-2</v>
      </c>
      <c r="I2311" s="2">
        <f>_xlfn.XLOOKUP(A2311,T10Y3M!A:A,T10Y3M!B:B,"",-1)</f>
        <v>0.05</v>
      </c>
      <c r="J2311" s="2">
        <f>_xlfn.XLOOKUP(A2311,BAMLC0A4CBBB!A:A,BAMLC0A4CBBB!B:B,"",-1)</f>
        <v>1.0900000000000001</v>
      </c>
      <c r="K2311" s="2">
        <f>_xlfn.XLOOKUP(A2311,CPIAUCSL!A:A,CPIAUCSL!B:B,"",-1)</f>
        <v>321.435</v>
      </c>
      <c r="L2311">
        <f>_xlfn.XLOOKUP(A2311,DFF!A:A,DFF!B:B,"",-1)</f>
        <v>4.33</v>
      </c>
      <c r="M2311">
        <f>_xlfn.XLOOKUP(A2311,'DGS2'!A:A,'DGS2'!B:B,"",-1)</f>
        <v>4.01</v>
      </c>
      <c r="N2311">
        <f t="shared" si="291"/>
        <v>-3.0000000000000249E-2</v>
      </c>
      <c r="O2311">
        <f t="shared" si="292"/>
        <v>5.4829600325014827E-3</v>
      </c>
      <c r="P2311">
        <f t="shared" si="293"/>
        <v>1</v>
      </c>
      <c r="Q2311">
        <f t="shared" si="294"/>
        <v>1</v>
      </c>
    </row>
    <row r="2312" spans="1:17">
      <c r="A2312" s="1">
        <v>45818</v>
      </c>
      <c r="B2312">
        <v>6038.81</v>
      </c>
      <c r="C2312">
        <f t="shared" si="288"/>
        <v>5.4829600325014827E-3</v>
      </c>
      <c r="D2312">
        <f t="shared" si="295"/>
        <v>1.6754499688515612E-2</v>
      </c>
      <c r="E2312">
        <f>_xlfn.XLOOKUP(A2312,VIX!A:A,VIX!B:B,"",-1)</f>
        <v>16.95</v>
      </c>
      <c r="F2312">
        <f t="shared" si="289"/>
        <v>-0.21000000000000085</v>
      </c>
      <c r="G2312">
        <f>_xlfn.XLOOKUP(A2312,'DGS10'!A:A,'DGS10'!B:B,"",-1)</f>
        <v>4.47</v>
      </c>
      <c r="H2312">
        <f t="shared" si="290"/>
        <v>-2.0000000000000462E-2</v>
      </c>
      <c r="I2312" s="2">
        <f>_xlfn.XLOOKUP(A2312,T10Y3M!A:A,T10Y3M!B:B,"",-1)</f>
        <v>0.02</v>
      </c>
      <c r="J2312" s="2">
        <f>_xlfn.XLOOKUP(A2312,BAMLC0A4CBBB!A:A,BAMLC0A4CBBB!B:B,"",-1)</f>
        <v>1.0900000000000001</v>
      </c>
      <c r="K2312" s="2">
        <f>_xlfn.XLOOKUP(A2312,CPIAUCSL!A:A,CPIAUCSL!B:B,"",-1)</f>
        <v>321.435</v>
      </c>
      <c r="L2312">
        <f>_xlfn.XLOOKUP(A2312,DFF!A:A,DFF!B:B,"",-1)</f>
        <v>4.33</v>
      </c>
      <c r="M2312">
        <f>_xlfn.XLOOKUP(A2312,'DGS2'!A:A,'DGS2'!B:B,"",-1)</f>
        <v>4.01</v>
      </c>
      <c r="N2312">
        <f t="shared" si="291"/>
        <v>0</v>
      </c>
      <c r="O2312">
        <f t="shared" si="292"/>
        <v>-2.7439180898224391E-3</v>
      </c>
      <c r="P2312">
        <f t="shared" si="293"/>
        <v>0</v>
      </c>
      <c r="Q2312">
        <f t="shared" si="294"/>
        <v>0</v>
      </c>
    </row>
    <row r="2313" spans="1:17">
      <c r="A2313" s="1">
        <v>45819</v>
      </c>
      <c r="B2313">
        <v>6022.24</v>
      </c>
      <c r="C2313">
        <f t="shared" si="288"/>
        <v>-2.7439180898224391E-3</v>
      </c>
      <c r="D2313">
        <f t="shared" si="295"/>
        <v>3.646447879793957E-3</v>
      </c>
      <c r="E2313">
        <f>_xlfn.XLOOKUP(A2313,VIX!A:A,VIX!B:B,"",-1)</f>
        <v>17.260000000000002</v>
      </c>
      <c r="F2313">
        <f t="shared" si="289"/>
        <v>0.31000000000000227</v>
      </c>
      <c r="G2313">
        <f>_xlfn.XLOOKUP(A2313,'DGS10'!A:A,'DGS10'!B:B,"",-1)</f>
        <v>4.41</v>
      </c>
      <c r="H2313">
        <f t="shared" si="290"/>
        <v>-5.9999999999999609E-2</v>
      </c>
      <c r="I2313" s="2">
        <f>_xlfn.XLOOKUP(A2313,T10Y3M!A:A,T10Y3M!B:B,"",-1)</f>
        <v>-0.04</v>
      </c>
      <c r="J2313" s="2">
        <f>_xlfn.XLOOKUP(A2313,BAMLC0A4CBBB!A:A,BAMLC0A4CBBB!B:B,"",-1)</f>
        <v>1.0900000000000001</v>
      </c>
      <c r="K2313" s="2">
        <f>_xlfn.XLOOKUP(A2313,CPIAUCSL!A:A,CPIAUCSL!B:B,"",-1)</f>
        <v>321.435</v>
      </c>
      <c r="L2313">
        <f>_xlfn.XLOOKUP(A2313,DFF!A:A,DFF!B:B,"",-1)</f>
        <v>4.33</v>
      </c>
      <c r="M2313">
        <f>_xlfn.XLOOKUP(A2313,'DGS2'!A:A,'DGS2'!B:B,"",-1)</f>
        <v>3.94</v>
      </c>
      <c r="N2313">
        <f t="shared" si="291"/>
        <v>-6.999999999999984E-2</v>
      </c>
      <c r="O2313">
        <f t="shared" si="292"/>
        <v>3.8224979409655635E-3</v>
      </c>
      <c r="P2313">
        <f t="shared" si="293"/>
        <v>1</v>
      </c>
      <c r="Q2313">
        <f t="shared" si="294"/>
        <v>1</v>
      </c>
    </row>
    <row r="2314" spans="1:17">
      <c r="A2314" s="1">
        <v>45820</v>
      </c>
      <c r="B2314">
        <v>6045.26</v>
      </c>
      <c r="C2314">
        <f t="shared" si="288"/>
        <v>3.8224979409655635E-3</v>
      </c>
      <c r="D2314">
        <f t="shared" si="295"/>
        <v>6.5569075639206886E-3</v>
      </c>
      <c r="E2314">
        <f>_xlfn.XLOOKUP(A2314,VIX!A:A,VIX!B:B,"",-1)</f>
        <v>18.02</v>
      </c>
      <c r="F2314">
        <f t="shared" si="289"/>
        <v>0.75999999999999801</v>
      </c>
      <c r="G2314">
        <f>_xlfn.XLOOKUP(A2314,'DGS10'!A:A,'DGS10'!B:B,"",-1)</f>
        <v>4.3600000000000003</v>
      </c>
      <c r="H2314">
        <f t="shared" si="290"/>
        <v>-4.9999999999999822E-2</v>
      </c>
      <c r="I2314" s="2">
        <f>_xlfn.XLOOKUP(A2314,T10Y3M!A:A,T10Y3M!B:B,"",-1)</f>
        <v>-0.1</v>
      </c>
      <c r="J2314" s="2">
        <f>_xlfn.XLOOKUP(A2314,BAMLC0A4CBBB!A:A,BAMLC0A4CBBB!B:B,"",-1)</f>
        <v>1.1000000000000001</v>
      </c>
      <c r="K2314" s="2">
        <f>_xlfn.XLOOKUP(A2314,CPIAUCSL!A:A,CPIAUCSL!B:B,"",-1)</f>
        <v>321.435</v>
      </c>
      <c r="L2314">
        <f>_xlfn.XLOOKUP(A2314,DFF!A:A,DFF!B:B,"",-1)</f>
        <v>4.33</v>
      </c>
      <c r="M2314">
        <f>_xlfn.XLOOKUP(A2314,'DGS2'!A:A,'DGS2'!B:B,"",-1)</f>
        <v>3.9</v>
      </c>
      <c r="N2314">
        <f t="shared" si="291"/>
        <v>-4.0000000000000036E-2</v>
      </c>
      <c r="O2314">
        <f t="shared" si="292"/>
        <v>-1.1296453750541779E-2</v>
      </c>
      <c r="P2314">
        <f t="shared" si="293"/>
        <v>0</v>
      </c>
      <c r="Q2314">
        <f t="shared" si="294"/>
        <v>-1</v>
      </c>
    </row>
    <row r="2315" spans="1:17">
      <c r="A2315" s="1">
        <v>45821</v>
      </c>
      <c r="B2315">
        <v>5976.97</v>
      </c>
      <c r="C2315">
        <f t="shared" si="288"/>
        <v>-1.1296453750541779E-2</v>
      </c>
      <c r="D2315">
        <f t="shared" si="295"/>
        <v>-1.0240428163826976E-2</v>
      </c>
      <c r="E2315">
        <f>_xlfn.XLOOKUP(A2315,VIX!A:A,VIX!B:B,"",-1)</f>
        <v>20.82</v>
      </c>
      <c r="F2315">
        <f t="shared" si="289"/>
        <v>2.8000000000000007</v>
      </c>
      <c r="G2315">
        <f>_xlfn.XLOOKUP(A2315,'DGS10'!A:A,'DGS10'!B:B,"",-1)</f>
        <v>4.41</v>
      </c>
      <c r="H2315">
        <f t="shared" si="290"/>
        <v>4.9999999999999822E-2</v>
      </c>
      <c r="I2315" s="2">
        <f>_xlfn.XLOOKUP(A2315,T10Y3M!A:A,T10Y3M!B:B,"",-1)</f>
        <v>-0.04</v>
      </c>
      <c r="J2315" s="2">
        <f>_xlfn.XLOOKUP(A2315,BAMLC0A4CBBB!A:A,BAMLC0A4CBBB!B:B,"",-1)</f>
        <v>1.1000000000000001</v>
      </c>
      <c r="K2315" s="2">
        <f>_xlfn.XLOOKUP(A2315,CPIAUCSL!A:A,CPIAUCSL!B:B,"",-1)</f>
        <v>321.435</v>
      </c>
      <c r="L2315">
        <f>_xlfn.XLOOKUP(A2315,DFF!A:A,DFF!B:B,"",-1)</f>
        <v>4.33</v>
      </c>
      <c r="M2315">
        <f>_xlfn.XLOOKUP(A2315,'DGS2'!A:A,'DGS2'!B:B,"",-1)</f>
        <v>3.96</v>
      </c>
      <c r="N2315">
        <f t="shared" si="291"/>
        <v>6.0000000000000053E-2</v>
      </c>
      <c r="O2315">
        <f t="shared" si="292"/>
        <v>9.3927190532994143E-3</v>
      </c>
      <c r="P2315">
        <f t="shared" si="293"/>
        <v>1</v>
      </c>
      <c r="Q2315">
        <f t="shared" si="294"/>
        <v>1</v>
      </c>
    </row>
    <row r="2316" spans="1:17">
      <c r="A2316" s="1">
        <v>45824</v>
      </c>
      <c r="B2316">
        <v>6033.11</v>
      </c>
      <c r="C2316">
        <f t="shared" si="288"/>
        <v>9.3927190532994143E-3</v>
      </c>
      <c r="D2316">
        <f t="shared" si="295"/>
        <v>1.8049762214724652E-3</v>
      </c>
      <c r="E2316">
        <f>_xlfn.XLOOKUP(A2316,VIX!A:A,VIX!B:B,"",-1)</f>
        <v>19.11</v>
      </c>
      <c r="F2316">
        <f t="shared" si="289"/>
        <v>-1.7100000000000009</v>
      </c>
      <c r="G2316">
        <f>_xlfn.XLOOKUP(A2316,'DGS10'!A:A,'DGS10'!B:B,"",-1)</f>
        <v>4.46</v>
      </c>
      <c r="H2316">
        <f t="shared" si="290"/>
        <v>4.9999999999999822E-2</v>
      </c>
      <c r="I2316" s="2">
        <f>_xlfn.XLOOKUP(A2316,T10Y3M!A:A,T10Y3M!B:B,"",-1)</f>
        <v>0.03</v>
      </c>
      <c r="J2316" s="2">
        <f>_xlfn.XLOOKUP(A2316,BAMLC0A4CBBB!A:A,BAMLC0A4CBBB!B:B,"",-1)</f>
        <v>1.08</v>
      </c>
      <c r="K2316" s="2">
        <f>_xlfn.XLOOKUP(A2316,CPIAUCSL!A:A,CPIAUCSL!B:B,"",-1)</f>
        <v>321.435</v>
      </c>
      <c r="L2316">
        <f>_xlfn.XLOOKUP(A2316,DFF!A:A,DFF!B:B,"",-1)</f>
        <v>4.33</v>
      </c>
      <c r="M2316">
        <f>_xlfn.XLOOKUP(A2316,'DGS2'!A:A,'DGS2'!B:B,"",-1)</f>
        <v>3.97</v>
      </c>
      <c r="N2316">
        <f t="shared" si="291"/>
        <v>1.0000000000000231E-2</v>
      </c>
      <c r="O2316">
        <f t="shared" si="292"/>
        <v>-8.3522428730786746E-3</v>
      </c>
      <c r="P2316">
        <f t="shared" si="293"/>
        <v>0</v>
      </c>
      <c r="Q2316">
        <f t="shared" si="294"/>
        <v>-1</v>
      </c>
    </row>
    <row r="2317" spans="1:17">
      <c r="A2317" s="1">
        <v>45825</v>
      </c>
      <c r="B2317">
        <v>5982.72</v>
      </c>
      <c r="C2317">
        <f t="shared" si="288"/>
        <v>-8.3522428730786746E-3</v>
      </c>
      <c r="D2317">
        <f t="shared" si="295"/>
        <v>-1.0345295322285564E-2</v>
      </c>
      <c r="E2317">
        <f>_xlfn.XLOOKUP(A2317,VIX!A:A,VIX!B:B,"",-1)</f>
        <v>21.6</v>
      </c>
      <c r="F2317">
        <f t="shared" si="289"/>
        <v>2.490000000000002</v>
      </c>
      <c r="G2317">
        <f>_xlfn.XLOOKUP(A2317,'DGS10'!A:A,'DGS10'!B:B,"",-1)</f>
        <v>4.3899999999999997</v>
      </c>
      <c r="H2317">
        <f t="shared" si="290"/>
        <v>-7.0000000000000284E-2</v>
      </c>
      <c r="I2317" s="2">
        <f>_xlfn.XLOOKUP(A2317,T10Y3M!A:A,T10Y3M!B:B,"",-1)</f>
        <v>-0.03</v>
      </c>
      <c r="J2317" s="2">
        <f>_xlfn.XLOOKUP(A2317,BAMLC0A4CBBB!A:A,BAMLC0A4CBBB!B:B,"",-1)</f>
        <v>1.1000000000000001</v>
      </c>
      <c r="K2317" s="2">
        <f>_xlfn.XLOOKUP(A2317,CPIAUCSL!A:A,CPIAUCSL!B:B,"",-1)</f>
        <v>321.435</v>
      </c>
      <c r="L2317">
        <f>_xlfn.XLOOKUP(A2317,DFF!A:A,DFF!B:B,"",-1)</f>
        <v>4.33</v>
      </c>
      <c r="M2317">
        <f>_xlfn.XLOOKUP(A2317,'DGS2'!A:A,'DGS2'!B:B,"",-1)</f>
        <v>3.94</v>
      </c>
      <c r="N2317">
        <f t="shared" si="291"/>
        <v>-3.0000000000000249E-2</v>
      </c>
      <c r="O2317">
        <f t="shared" si="292"/>
        <v>-3.0922389816012696E-4</v>
      </c>
      <c r="P2317">
        <f t="shared" si="293"/>
        <v>0</v>
      </c>
      <c r="Q2317">
        <f t="shared" si="294"/>
        <v>0</v>
      </c>
    </row>
    <row r="2318" spans="1:17">
      <c r="A2318" s="1">
        <v>45826</v>
      </c>
      <c r="B2318">
        <v>5980.87</v>
      </c>
      <c r="C2318">
        <f t="shared" si="288"/>
        <v>-3.0922389816012696E-4</v>
      </c>
      <c r="D2318">
        <f t="shared" si="295"/>
        <v>6.5250452988707686E-4</v>
      </c>
      <c r="E2318">
        <f>_xlfn.XLOOKUP(A2318,VIX!A:A,VIX!B:B,"",-1)</f>
        <v>20.14</v>
      </c>
      <c r="F2318">
        <f t="shared" si="289"/>
        <v>-1.4600000000000009</v>
      </c>
      <c r="G2318">
        <f>_xlfn.XLOOKUP(A2318,'DGS10'!A:A,'DGS10'!B:B,"",-1)</f>
        <v>4.38</v>
      </c>
      <c r="H2318">
        <f t="shared" si="290"/>
        <v>-9.9999999999997868E-3</v>
      </c>
      <c r="I2318" s="2">
        <f>_xlfn.XLOOKUP(A2318,T10Y3M!A:A,T10Y3M!B:B,"",-1)</f>
        <v>-0.04</v>
      </c>
      <c r="J2318" s="2">
        <f>_xlfn.XLOOKUP(A2318,BAMLC0A4CBBB!A:A,BAMLC0A4CBBB!B:B,"",-1)</f>
        <v>1.1000000000000001</v>
      </c>
      <c r="K2318" s="2">
        <f>_xlfn.XLOOKUP(A2318,CPIAUCSL!A:A,CPIAUCSL!B:B,"",-1)</f>
        <v>321.435</v>
      </c>
      <c r="L2318">
        <f>_xlfn.XLOOKUP(A2318,DFF!A:A,DFF!B:B,"",-1)</f>
        <v>4.33</v>
      </c>
      <c r="M2318">
        <f>_xlfn.XLOOKUP(A2318,'DGS2'!A:A,'DGS2'!B:B,"",-1)</f>
        <v>3.94</v>
      </c>
      <c r="N2318">
        <f t="shared" si="291"/>
        <v>0</v>
      </c>
      <c r="O2318">
        <f t="shared" si="292"/>
        <v>-2.1786128105107938E-3</v>
      </c>
      <c r="P2318">
        <f t="shared" si="293"/>
        <v>0</v>
      </c>
      <c r="Q2318">
        <f t="shared" si="294"/>
        <v>0</v>
      </c>
    </row>
    <row r="2319" spans="1:17">
      <c r="A2319" s="1">
        <v>45828</v>
      </c>
      <c r="B2319">
        <v>5967.84</v>
      </c>
      <c r="C2319">
        <f t="shared" si="288"/>
        <v>-2.1786128105107938E-3</v>
      </c>
      <c r="D2319">
        <f t="shared" si="295"/>
        <v>-1.0818632512916149E-2</v>
      </c>
      <c r="E2319">
        <f>_xlfn.XLOOKUP(A2319,VIX!A:A,VIX!B:B,"",-1)</f>
        <v>20.62</v>
      </c>
      <c r="F2319">
        <f t="shared" si="289"/>
        <v>0.48000000000000043</v>
      </c>
      <c r="G2319">
        <f>_xlfn.XLOOKUP(A2319,'DGS10'!A:A,'DGS10'!B:B,"",-1)</f>
        <v>4.38</v>
      </c>
      <c r="H2319">
        <f t="shared" si="290"/>
        <v>0</v>
      </c>
      <c r="I2319" s="2">
        <f>_xlfn.XLOOKUP(A2319,T10Y3M!A:A,T10Y3M!B:B,"",-1)</f>
        <v>-0.01</v>
      </c>
      <c r="J2319" s="2">
        <f>_xlfn.XLOOKUP(A2319,BAMLC0A4CBBB!A:A,BAMLC0A4CBBB!B:B,"",-1)</f>
        <v>1.1000000000000001</v>
      </c>
      <c r="K2319" s="2">
        <f>_xlfn.XLOOKUP(A2319,CPIAUCSL!A:A,CPIAUCSL!B:B,"",-1)</f>
        <v>321.435</v>
      </c>
      <c r="L2319">
        <f>_xlfn.XLOOKUP(A2319,DFF!A:A,DFF!B:B,"",-1)</f>
        <v>4.33</v>
      </c>
      <c r="M2319">
        <f>_xlfn.XLOOKUP(A2319,'DGS2'!A:A,'DGS2'!B:B,"",-1)</f>
        <v>3.9</v>
      </c>
      <c r="N2319">
        <f t="shared" si="291"/>
        <v>-4.0000000000000036E-2</v>
      </c>
      <c r="O2319">
        <f t="shared" si="292"/>
        <v>9.6064907906379116E-3</v>
      </c>
      <c r="P2319">
        <f t="shared" si="293"/>
        <v>1</v>
      </c>
      <c r="Q2319">
        <f t="shared" si="294"/>
        <v>1</v>
      </c>
    </row>
    <row r="2320" spans="1:17">
      <c r="A2320" s="1">
        <v>45831</v>
      </c>
      <c r="B2320">
        <v>6025.17</v>
      </c>
      <c r="C2320">
        <f t="shared" si="288"/>
        <v>9.6064907906379116E-3</v>
      </c>
      <c r="D2320">
        <f t="shared" si="295"/>
        <v>7.0954348523748489E-3</v>
      </c>
      <c r="E2320">
        <f>_xlfn.XLOOKUP(A2320,VIX!A:A,VIX!B:B,"",-1)</f>
        <v>19.829999999999998</v>
      </c>
      <c r="F2320">
        <f t="shared" si="289"/>
        <v>-0.7900000000000027</v>
      </c>
      <c r="G2320">
        <f>_xlfn.XLOOKUP(A2320,'DGS10'!A:A,'DGS10'!B:B,"",-1)</f>
        <v>4.34</v>
      </c>
      <c r="H2320">
        <f t="shared" si="290"/>
        <v>-4.0000000000000036E-2</v>
      </c>
      <c r="I2320" s="2">
        <f>_xlfn.XLOOKUP(A2320,T10Y3M!A:A,T10Y3M!B:B,"",-1)</f>
        <v>-0.04</v>
      </c>
      <c r="J2320" s="2">
        <f>_xlfn.XLOOKUP(A2320,BAMLC0A4CBBB!A:A,BAMLC0A4CBBB!B:B,"",-1)</f>
        <v>1.1200000000000001</v>
      </c>
      <c r="K2320" s="2">
        <f>_xlfn.XLOOKUP(A2320,CPIAUCSL!A:A,CPIAUCSL!B:B,"",-1)</f>
        <v>321.435</v>
      </c>
      <c r="L2320">
        <f>_xlfn.XLOOKUP(A2320,DFF!A:A,DFF!B:B,"",-1)</f>
        <v>4.33</v>
      </c>
      <c r="M2320">
        <f>_xlfn.XLOOKUP(A2320,'DGS2'!A:A,'DGS2'!B:B,"",-1)</f>
        <v>3.84</v>
      </c>
      <c r="N2320">
        <f t="shared" si="291"/>
        <v>-6.0000000000000053E-2</v>
      </c>
      <c r="O2320">
        <f t="shared" si="292"/>
        <v>1.1121677894565751E-2</v>
      </c>
      <c r="P2320">
        <f t="shared" si="293"/>
        <v>1</v>
      </c>
      <c r="Q2320">
        <f t="shared" si="294"/>
        <v>1</v>
      </c>
    </row>
    <row r="2321" spans="1:17">
      <c r="A2321" s="1">
        <v>45832</v>
      </c>
      <c r="B2321">
        <v>6092.18</v>
      </c>
      <c r="C2321">
        <f t="shared" si="288"/>
        <v>1.1121677894565751E-2</v>
      </c>
      <c r="D2321">
        <f t="shared" si="295"/>
        <v>1.8611004753489091E-2</v>
      </c>
      <c r="E2321">
        <f>_xlfn.XLOOKUP(A2321,VIX!A:A,VIX!B:B,"",-1)</f>
        <v>17.48</v>
      </c>
      <c r="F2321">
        <f t="shared" si="289"/>
        <v>-2.3499999999999979</v>
      </c>
      <c r="G2321">
        <f>_xlfn.XLOOKUP(A2321,'DGS10'!A:A,'DGS10'!B:B,"",-1)</f>
        <v>4.3</v>
      </c>
      <c r="H2321">
        <f t="shared" si="290"/>
        <v>-4.0000000000000036E-2</v>
      </c>
      <c r="I2321" s="2">
        <f>_xlfn.XLOOKUP(A2321,T10Y3M!A:A,T10Y3M!B:B,"",-1)</f>
        <v>-0.08</v>
      </c>
      <c r="J2321" s="2">
        <f>_xlfn.XLOOKUP(A2321,BAMLC0A4CBBB!A:A,BAMLC0A4CBBB!B:B,"",-1)</f>
        <v>1.1000000000000001</v>
      </c>
      <c r="K2321" s="2">
        <f>_xlfn.XLOOKUP(A2321,CPIAUCSL!A:A,CPIAUCSL!B:B,"",-1)</f>
        <v>321.435</v>
      </c>
      <c r="L2321">
        <f>_xlfn.XLOOKUP(A2321,DFF!A:A,DFF!B:B,"",-1)</f>
        <v>4.33</v>
      </c>
      <c r="M2321">
        <f>_xlfn.XLOOKUP(A2321,'DGS2'!A:A,'DGS2'!B:B,"",-1)</f>
        <v>3.75</v>
      </c>
      <c r="N2321">
        <f t="shared" si="291"/>
        <v>-8.9999999999999858E-2</v>
      </c>
      <c r="O2321">
        <f t="shared" si="292"/>
        <v>-3.282897091061443E-6</v>
      </c>
      <c r="P2321">
        <f t="shared" si="293"/>
        <v>0</v>
      </c>
      <c r="Q2321">
        <f t="shared" si="294"/>
        <v>0</v>
      </c>
    </row>
    <row r="2322" spans="1:17">
      <c r="A2322" s="1">
        <v>45833</v>
      </c>
      <c r="B2322">
        <v>6092.16</v>
      </c>
      <c r="C2322">
        <f t="shared" si="288"/>
        <v>-3.282897091061443E-6</v>
      </c>
      <c r="D2322">
        <f t="shared" si="295"/>
        <v>2.0831657685192573E-2</v>
      </c>
      <c r="E2322">
        <f>_xlfn.XLOOKUP(A2322,VIX!A:A,VIX!B:B,"",-1)</f>
        <v>16.760000000000002</v>
      </c>
      <c r="F2322">
        <f t="shared" si="289"/>
        <v>-0.71999999999999886</v>
      </c>
      <c r="G2322">
        <f>_xlfn.XLOOKUP(A2322,'DGS10'!A:A,'DGS10'!B:B,"",-1)</f>
        <v>4.29</v>
      </c>
      <c r="H2322">
        <f t="shared" si="290"/>
        <v>-9.9999999999997868E-3</v>
      </c>
      <c r="I2322" s="2">
        <f>_xlfn.XLOOKUP(A2322,T10Y3M!A:A,T10Y3M!B:B,"",-1)</f>
        <v>-0.09</v>
      </c>
      <c r="J2322" s="2">
        <f>_xlfn.XLOOKUP(A2322,BAMLC0A4CBBB!A:A,BAMLC0A4CBBB!B:B,"",-1)</f>
        <v>1.1100000000000001</v>
      </c>
      <c r="K2322" s="2">
        <f>_xlfn.XLOOKUP(A2322,CPIAUCSL!A:A,CPIAUCSL!B:B,"",-1)</f>
        <v>321.435</v>
      </c>
      <c r="L2322">
        <f>_xlfn.XLOOKUP(A2322,DFF!A:A,DFF!B:B,"",-1)</f>
        <v>4.33</v>
      </c>
      <c r="M2322">
        <f>_xlfn.XLOOKUP(A2322,'DGS2'!A:A,'DGS2'!B:B,"",-1)</f>
        <v>3.74</v>
      </c>
      <c r="N2322">
        <f t="shared" si="291"/>
        <v>-9.9999999999997868E-3</v>
      </c>
      <c r="O2322">
        <f t="shared" si="292"/>
        <v>8.0201439226810223E-3</v>
      </c>
      <c r="P2322">
        <f t="shared" si="293"/>
        <v>1</v>
      </c>
      <c r="Q2322">
        <f t="shared" si="294"/>
        <v>1</v>
      </c>
    </row>
    <row r="2323" spans="1:17">
      <c r="A2323" s="1">
        <v>45834</v>
      </c>
      <c r="B2323">
        <v>6141.02</v>
      </c>
      <c r="C2323">
        <f t="shared" si="288"/>
        <v>8.0201439226810223E-3</v>
      </c>
      <c r="D2323">
        <f t="shared" si="295"/>
        <v>1.9227673244074595E-2</v>
      </c>
      <c r="E2323">
        <f>_xlfn.XLOOKUP(A2323,VIX!A:A,VIX!B:B,"",-1)</f>
        <v>16.59</v>
      </c>
      <c r="F2323">
        <f t="shared" si="289"/>
        <v>-0.17000000000000171</v>
      </c>
      <c r="G2323">
        <f>_xlfn.XLOOKUP(A2323,'DGS10'!A:A,'DGS10'!B:B,"",-1)</f>
        <v>4.26</v>
      </c>
      <c r="H2323">
        <f t="shared" si="290"/>
        <v>-3.0000000000000249E-2</v>
      </c>
      <c r="I2323" s="2">
        <f>_xlfn.XLOOKUP(A2323,T10Y3M!A:A,T10Y3M!B:B,"",-1)</f>
        <v>-0.13</v>
      </c>
      <c r="J2323" s="2">
        <f>_xlfn.XLOOKUP(A2323,BAMLC0A4CBBB!A:A,BAMLC0A4CBBB!B:B,"",-1)</f>
        <v>1.1100000000000001</v>
      </c>
      <c r="K2323" s="2">
        <f>_xlfn.XLOOKUP(A2323,CPIAUCSL!A:A,CPIAUCSL!B:B,"",-1)</f>
        <v>321.435</v>
      </c>
      <c r="L2323">
        <f>_xlfn.XLOOKUP(A2323,DFF!A:A,DFF!B:B,"",-1)</f>
        <v>4.33</v>
      </c>
      <c r="M2323">
        <f>_xlfn.XLOOKUP(A2323,'DGS2'!A:A,'DGS2'!B:B,"",-1)</f>
        <v>3.7</v>
      </c>
      <c r="N2323">
        <f t="shared" si="291"/>
        <v>-4.0000000000000036E-2</v>
      </c>
      <c r="O2323">
        <f t="shared" si="292"/>
        <v>5.2190027063907518E-3</v>
      </c>
      <c r="P2323">
        <f t="shared" si="293"/>
        <v>1</v>
      </c>
      <c r="Q2323">
        <f t="shared" si="294"/>
        <v>1</v>
      </c>
    </row>
    <row r="2324" spans="1:17">
      <c r="A2324" s="1">
        <v>45835</v>
      </c>
      <c r="B2324">
        <v>6173.07</v>
      </c>
      <c r="C2324">
        <f t="shared" si="288"/>
        <v>5.2190027063907518E-3</v>
      </c>
      <c r="D2324">
        <f t="shared" si="295"/>
        <v>1.3277677284650125E-2</v>
      </c>
      <c r="E2324">
        <f>_xlfn.XLOOKUP(A2324,VIX!A:A,VIX!B:B,"",-1)</f>
        <v>16.32</v>
      </c>
      <c r="F2324">
        <f t="shared" si="289"/>
        <v>-0.26999999999999957</v>
      </c>
      <c r="G2324">
        <f>_xlfn.XLOOKUP(A2324,'DGS10'!A:A,'DGS10'!B:B,"",-1)</f>
        <v>4.29</v>
      </c>
      <c r="H2324">
        <f t="shared" si="290"/>
        <v>3.0000000000000249E-2</v>
      </c>
      <c r="I2324" s="2">
        <f>_xlfn.XLOOKUP(A2324,T10Y3M!A:A,T10Y3M!B:B,"",-1)</f>
        <v>-0.1</v>
      </c>
      <c r="J2324" s="2">
        <f>_xlfn.XLOOKUP(A2324,BAMLC0A4CBBB!A:A,BAMLC0A4CBBB!B:B,"",-1)</f>
        <v>1.1000000000000001</v>
      </c>
      <c r="K2324" s="2">
        <f>_xlfn.XLOOKUP(A2324,CPIAUCSL!A:A,CPIAUCSL!B:B,"",-1)</f>
        <v>321.435</v>
      </c>
      <c r="L2324">
        <f>_xlfn.XLOOKUP(A2324,DFF!A:A,DFF!B:B,"",-1)</f>
        <v>4.33</v>
      </c>
      <c r="M2324">
        <f>_xlfn.XLOOKUP(A2324,'DGS2'!A:A,'DGS2'!B:B,"",-1)</f>
        <v>3.73</v>
      </c>
      <c r="N2324">
        <f t="shared" si="291"/>
        <v>2.9999999999999805E-2</v>
      </c>
      <c r="O2324">
        <f t="shared" si="292"/>
        <v>5.1643671625301035E-3</v>
      </c>
      <c r="P2324">
        <f t="shared" si="293"/>
        <v>1</v>
      </c>
      <c r="Q2324">
        <f t="shared" si="294"/>
        <v>1</v>
      </c>
    </row>
    <row r="2325" spans="1:17">
      <c r="A2325" s="1">
        <v>45838</v>
      </c>
      <c r="B2325">
        <v>6204.95</v>
      </c>
      <c r="C2325">
        <f t="shared" si="288"/>
        <v>5.1643671625301035E-3</v>
      </c>
      <c r="D2325">
        <f t="shared" si="295"/>
        <v>1.8513958924256668E-2</v>
      </c>
      <c r="E2325">
        <f>_xlfn.XLOOKUP(A2325,VIX!A:A,VIX!B:B,"",-1)</f>
        <v>16.73</v>
      </c>
      <c r="F2325">
        <f t="shared" si="289"/>
        <v>0.41000000000000014</v>
      </c>
      <c r="G2325">
        <f>_xlfn.XLOOKUP(A2325,'DGS10'!A:A,'DGS10'!B:B,"",-1)</f>
        <v>4.24</v>
      </c>
      <c r="H2325">
        <f t="shared" si="290"/>
        <v>-4.9999999999999822E-2</v>
      </c>
      <c r="I2325" s="2">
        <f>_xlfn.XLOOKUP(A2325,T10Y3M!A:A,T10Y3M!B:B,"",-1)</f>
        <v>-0.17</v>
      </c>
      <c r="J2325" s="2">
        <f>_xlfn.XLOOKUP(A2325,BAMLC0A4CBBB!A:A,BAMLC0A4CBBB!B:B,"",-1)</f>
        <v>1.08</v>
      </c>
      <c r="K2325" s="2">
        <f>_xlfn.XLOOKUP(A2325,CPIAUCSL!A:A,CPIAUCSL!B:B,"",-1)</f>
        <v>321.435</v>
      </c>
      <c r="L2325">
        <f>_xlfn.XLOOKUP(A2325,DFF!A:A,DFF!B:B,"",-1)</f>
        <v>4.33</v>
      </c>
      <c r="M2325">
        <f>_xlfn.XLOOKUP(A2325,'DGS2'!A:A,'DGS2'!B:B,"",-1)</f>
        <v>3.72</v>
      </c>
      <c r="N2325">
        <f t="shared" si="291"/>
        <v>-9.9999999999997868E-3</v>
      </c>
      <c r="O2325">
        <f t="shared" si="292"/>
        <v>-1.1184618731818752E-3</v>
      </c>
      <c r="P2325">
        <f t="shared" si="293"/>
        <v>0</v>
      </c>
      <c r="Q2325">
        <f t="shared" si="294"/>
        <v>0</v>
      </c>
    </row>
    <row r="2326" spans="1:17">
      <c r="A2326" s="1">
        <v>45839</v>
      </c>
      <c r="B2326">
        <v>6198.01</v>
      </c>
      <c r="C2326">
        <f t="shared" si="288"/>
        <v>-1.1184618731818752E-3</v>
      </c>
      <c r="D2326">
        <f t="shared" si="295"/>
        <v>9.2802172928927451E-3</v>
      </c>
      <c r="E2326">
        <f>_xlfn.XLOOKUP(A2326,VIX!A:A,VIX!B:B,"",-1)</f>
        <v>16.829999999999998</v>
      </c>
      <c r="F2326">
        <f t="shared" si="289"/>
        <v>9.9999999999997868E-2</v>
      </c>
      <c r="G2326">
        <f>_xlfn.XLOOKUP(A2326,'DGS10'!A:A,'DGS10'!B:B,"",-1)</f>
        <v>4.26</v>
      </c>
      <c r="H2326">
        <f t="shared" si="290"/>
        <v>1.9999999999999574E-2</v>
      </c>
      <c r="I2326" s="2">
        <f>_xlfn.XLOOKUP(A2326,T10Y3M!A:A,T10Y3M!B:B,"",-1)</f>
        <v>-0.14000000000000001</v>
      </c>
      <c r="J2326" s="2">
        <f>_xlfn.XLOOKUP(A2326,BAMLC0A4CBBB!A:A,BAMLC0A4CBBB!B:B,"",-1)</f>
        <v>1.06</v>
      </c>
      <c r="K2326" s="2">
        <f>_xlfn.XLOOKUP(A2326,CPIAUCSL!A:A,CPIAUCSL!B:B,"",-1)</f>
        <v>322.16899999999998</v>
      </c>
      <c r="L2326">
        <f>_xlfn.XLOOKUP(A2326,DFF!A:A,DFF!B:B,"",-1)</f>
        <v>4.33</v>
      </c>
      <c r="M2326">
        <f>_xlfn.XLOOKUP(A2326,'DGS2'!A:A,'DGS2'!B:B,"",-1)</f>
        <v>3.78</v>
      </c>
      <c r="N2326">
        <f t="shared" si="291"/>
        <v>5.9999999999999609E-2</v>
      </c>
      <c r="O2326">
        <f t="shared" si="292"/>
        <v>4.7450714019499074E-3</v>
      </c>
      <c r="P2326">
        <f t="shared" si="293"/>
        <v>1</v>
      </c>
      <c r="Q2326">
        <f t="shared" si="294"/>
        <v>1</v>
      </c>
    </row>
    <row r="2327" spans="1:17">
      <c r="A2327" s="1">
        <v>45840</v>
      </c>
      <c r="B2327">
        <v>6227.42</v>
      </c>
      <c r="C2327">
        <f t="shared" si="288"/>
        <v>4.7450714019499074E-3</v>
      </c>
      <c r="D2327">
        <f t="shared" si="295"/>
        <v>8.8043712447778422E-3</v>
      </c>
      <c r="E2327">
        <f>_xlfn.XLOOKUP(A2327,VIX!A:A,VIX!B:B,"",-1)</f>
        <v>16.64</v>
      </c>
      <c r="F2327">
        <f t="shared" si="289"/>
        <v>-0.18999999999999773</v>
      </c>
      <c r="G2327">
        <f>_xlfn.XLOOKUP(A2327,'DGS10'!A:A,'DGS10'!B:B,"",-1)</f>
        <v>4.3</v>
      </c>
      <c r="H2327">
        <f t="shared" si="290"/>
        <v>4.0000000000000036E-2</v>
      </c>
      <c r="I2327" s="2">
        <f>_xlfn.XLOOKUP(A2327,T10Y3M!A:A,T10Y3M!B:B,"",-1)</f>
        <v>-0.11</v>
      </c>
      <c r="J2327" s="2">
        <f>_xlfn.XLOOKUP(A2327,BAMLC0A4CBBB!A:A,BAMLC0A4CBBB!B:B,"",-1)</f>
        <v>1.03</v>
      </c>
      <c r="K2327" s="2">
        <f>_xlfn.XLOOKUP(A2327,CPIAUCSL!A:A,CPIAUCSL!B:B,"",-1)</f>
        <v>322.16899999999998</v>
      </c>
      <c r="L2327">
        <f>_xlfn.XLOOKUP(A2327,DFF!A:A,DFF!B:B,"",-1)</f>
        <v>4.33</v>
      </c>
      <c r="M2327">
        <f>_xlfn.XLOOKUP(A2327,'DGS2'!A:A,'DGS2'!B:B,"",-1)</f>
        <v>3.78</v>
      </c>
      <c r="N2327">
        <f t="shared" si="291"/>
        <v>0</v>
      </c>
      <c r="O2327">
        <f t="shared" si="292"/>
        <v>8.33892687501403E-3</v>
      </c>
      <c r="P2327">
        <f t="shared" si="293"/>
        <v>1</v>
      </c>
      <c r="Q2327">
        <f t="shared" si="294"/>
        <v>1</v>
      </c>
    </row>
    <row r="2328" spans="1:17">
      <c r="A2328" s="1">
        <v>45841</v>
      </c>
      <c r="B2328">
        <v>6279.35</v>
      </c>
      <c r="C2328">
        <f t="shared" si="288"/>
        <v>8.33892687501403E-3</v>
      </c>
      <c r="D2328">
        <f t="shared" si="295"/>
        <v>1.1990426997800174E-2</v>
      </c>
      <c r="E2328">
        <f>_xlfn.XLOOKUP(A2328,VIX!A:A,VIX!B:B,"",-1)</f>
        <v>16.38</v>
      </c>
      <c r="F2328">
        <f t="shared" si="289"/>
        <v>-0.26000000000000156</v>
      </c>
      <c r="G2328">
        <f>_xlfn.XLOOKUP(A2328,'DGS10'!A:A,'DGS10'!B:B,"",-1)</f>
        <v>4.3499999999999996</v>
      </c>
      <c r="H2328">
        <f t="shared" si="290"/>
        <v>4.9999999999999822E-2</v>
      </c>
      <c r="I2328" s="2">
        <f>_xlfn.XLOOKUP(A2328,T10Y3M!A:A,T10Y3M!B:B,"",-1)</f>
        <v>-7.0000000000000007E-2</v>
      </c>
      <c r="J2328" s="2">
        <f>_xlfn.XLOOKUP(A2328,BAMLC0A4CBBB!A:A,BAMLC0A4CBBB!B:B,"",-1)</f>
        <v>1.01</v>
      </c>
      <c r="K2328" s="2">
        <f>_xlfn.XLOOKUP(A2328,CPIAUCSL!A:A,CPIAUCSL!B:B,"",-1)</f>
        <v>322.16899999999998</v>
      </c>
      <c r="L2328">
        <f>_xlfn.XLOOKUP(A2328,DFF!A:A,DFF!B:B,"",-1)</f>
        <v>4.33</v>
      </c>
      <c r="M2328">
        <f>_xlfn.XLOOKUP(A2328,'DGS2'!A:A,'DGS2'!B:B,"",-1)</f>
        <v>3.88</v>
      </c>
      <c r="N2328">
        <f t="shared" si="291"/>
        <v>0.10000000000000009</v>
      </c>
      <c r="O2328">
        <f t="shared" si="292"/>
        <v>-7.8622787390415505E-3</v>
      </c>
      <c r="P2328">
        <f t="shared" si="293"/>
        <v>0</v>
      </c>
      <c r="Q2328">
        <f t="shared" si="294"/>
        <v>-1</v>
      </c>
    </row>
    <row r="2329" spans="1:17">
      <c r="A2329" s="1">
        <v>45845</v>
      </c>
      <c r="B2329">
        <v>6229.98</v>
      </c>
      <c r="C2329">
        <f t="shared" si="288"/>
        <v>-7.8622787390415505E-3</v>
      </c>
      <c r="D2329">
        <f t="shared" si="295"/>
        <v>5.1581071989235117E-3</v>
      </c>
      <c r="E2329">
        <f>_xlfn.XLOOKUP(A2329,VIX!A:A,VIX!B:B,"",-1)</f>
        <v>17.79</v>
      </c>
      <c r="F2329">
        <f t="shared" si="289"/>
        <v>1.4100000000000001</v>
      </c>
      <c r="G2329">
        <f>_xlfn.XLOOKUP(A2329,'DGS10'!A:A,'DGS10'!B:B,"",-1)</f>
        <v>4.4000000000000004</v>
      </c>
      <c r="H2329">
        <f t="shared" si="290"/>
        <v>5.0000000000000711E-2</v>
      </c>
      <c r="I2329" s="2">
        <f>_xlfn.XLOOKUP(A2329,T10Y3M!A:A,T10Y3M!B:B,"",-1)</f>
        <v>-0.02</v>
      </c>
      <c r="J2329" s="2">
        <f>_xlfn.XLOOKUP(A2329,BAMLC0A4CBBB!A:A,BAMLC0A4CBBB!B:B,"",-1)</f>
        <v>1.02</v>
      </c>
      <c r="K2329" s="2">
        <f>_xlfn.XLOOKUP(A2329,CPIAUCSL!A:A,CPIAUCSL!B:B,"",-1)</f>
        <v>322.16899999999998</v>
      </c>
      <c r="L2329">
        <f>_xlfn.XLOOKUP(A2329,DFF!A:A,DFF!B:B,"",-1)</f>
        <v>4.33</v>
      </c>
      <c r="M2329">
        <f>_xlfn.XLOOKUP(A2329,'DGS2'!A:A,'DGS2'!B:B,"",-1)</f>
        <v>3.9</v>
      </c>
      <c r="N2329">
        <f t="shared" si="291"/>
        <v>2.0000000000000018E-2</v>
      </c>
      <c r="O2329">
        <f t="shared" si="292"/>
        <v>-7.1589314893449885E-4</v>
      </c>
      <c r="P2329">
        <f t="shared" si="293"/>
        <v>0</v>
      </c>
      <c r="Q2329">
        <f t="shared" si="294"/>
        <v>0</v>
      </c>
    </row>
    <row r="2330" spans="1:17">
      <c r="A2330" s="1">
        <v>45846</v>
      </c>
      <c r="B2330">
        <v>6225.52</v>
      </c>
      <c r="C2330">
        <f t="shared" si="288"/>
        <v>-7.1589314893449885E-4</v>
      </c>
      <c r="D2330">
        <f t="shared" si="295"/>
        <v>-3.0510227349367369E-4</v>
      </c>
      <c r="E2330">
        <f>_xlfn.XLOOKUP(A2330,VIX!A:A,VIX!B:B,"",-1)</f>
        <v>16.809999999999999</v>
      </c>
      <c r="F2330">
        <f t="shared" si="289"/>
        <v>-0.98000000000000043</v>
      </c>
      <c r="G2330">
        <f>_xlfn.XLOOKUP(A2330,'DGS10'!A:A,'DGS10'!B:B,"",-1)</f>
        <v>4.42</v>
      </c>
      <c r="H2330">
        <f t="shared" si="290"/>
        <v>1.9999999999999574E-2</v>
      </c>
      <c r="I2330" s="2">
        <f>_xlfn.XLOOKUP(A2330,T10Y3M!A:A,T10Y3M!B:B,"",-1)</f>
        <v>0</v>
      </c>
      <c r="J2330" s="2">
        <f>_xlfn.XLOOKUP(A2330,BAMLC0A4CBBB!A:A,BAMLC0A4CBBB!B:B,"",-1)</f>
        <v>1.02</v>
      </c>
      <c r="K2330" s="2">
        <f>_xlfn.XLOOKUP(A2330,CPIAUCSL!A:A,CPIAUCSL!B:B,"",-1)</f>
        <v>322.16899999999998</v>
      </c>
      <c r="L2330">
        <f>_xlfn.XLOOKUP(A2330,DFF!A:A,DFF!B:B,"",-1)</f>
        <v>4.33</v>
      </c>
      <c r="M2330">
        <f>_xlfn.XLOOKUP(A2330,'DGS2'!A:A,'DGS2'!B:B,"",-1)</f>
        <v>3.9</v>
      </c>
      <c r="N2330">
        <f t="shared" si="291"/>
        <v>0</v>
      </c>
      <c r="O2330">
        <f t="shared" si="292"/>
        <v>6.0621442064276998E-3</v>
      </c>
      <c r="P2330">
        <f t="shared" si="293"/>
        <v>1</v>
      </c>
      <c r="Q2330">
        <f t="shared" si="294"/>
        <v>1</v>
      </c>
    </row>
    <row r="2331" spans="1:17">
      <c r="A2331" s="1">
        <v>45847</v>
      </c>
      <c r="B2331">
        <v>6263.26</v>
      </c>
      <c r="C2331">
        <f t="shared" si="288"/>
        <v>6.0621442064276998E-3</v>
      </c>
      <c r="D2331">
        <f t="shared" si="295"/>
        <v>-2.5623671239858314E-3</v>
      </c>
      <c r="E2331">
        <f>_xlfn.XLOOKUP(A2331,VIX!A:A,VIX!B:B,"",-1)</f>
        <v>15.94</v>
      </c>
      <c r="F2331">
        <f t="shared" si="289"/>
        <v>-0.86999999999999922</v>
      </c>
      <c r="G2331">
        <f>_xlfn.XLOOKUP(A2331,'DGS10'!A:A,'DGS10'!B:B,"",-1)</f>
        <v>4.34</v>
      </c>
      <c r="H2331">
        <f t="shared" si="290"/>
        <v>-8.0000000000000071E-2</v>
      </c>
      <c r="I2331" s="2">
        <f>_xlfn.XLOOKUP(A2331,T10Y3M!A:A,T10Y3M!B:B,"",-1)</f>
        <v>-0.08</v>
      </c>
      <c r="J2331" s="2">
        <f>_xlfn.XLOOKUP(A2331,BAMLC0A4CBBB!A:A,BAMLC0A4CBBB!B:B,"",-1)</f>
        <v>1.04</v>
      </c>
      <c r="K2331" s="2">
        <f>_xlfn.XLOOKUP(A2331,CPIAUCSL!A:A,CPIAUCSL!B:B,"",-1)</f>
        <v>322.16899999999998</v>
      </c>
      <c r="L2331">
        <f>_xlfn.XLOOKUP(A2331,DFF!A:A,DFF!B:B,"",-1)</f>
        <v>4.33</v>
      </c>
      <c r="M2331">
        <f>_xlfn.XLOOKUP(A2331,'DGS2'!A:A,'DGS2'!B:B,"",-1)</f>
        <v>3.86</v>
      </c>
      <c r="N2331">
        <f t="shared" si="291"/>
        <v>-4.0000000000000036E-2</v>
      </c>
      <c r="O2331">
        <f t="shared" si="292"/>
        <v>2.7461737178402501E-3</v>
      </c>
      <c r="P2331">
        <f t="shared" si="293"/>
        <v>1</v>
      </c>
      <c r="Q2331">
        <f t="shared" si="294"/>
        <v>0</v>
      </c>
    </row>
    <row r="2332" spans="1:17">
      <c r="A2332" s="1">
        <v>45848</v>
      </c>
      <c r="B2332">
        <v>6280.46</v>
      </c>
      <c r="C2332">
        <f t="shared" si="288"/>
        <v>2.7461737178402501E-3</v>
      </c>
      <c r="D2332">
        <f t="shared" si="295"/>
        <v>8.1027547439960212E-3</v>
      </c>
      <c r="E2332">
        <f>_xlfn.XLOOKUP(A2332,VIX!A:A,VIX!B:B,"",-1)</f>
        <v>15.78</v>
      </c>
      <c r="F2332">
        <f t="shared" si="289"/>
        <v>-0.16000000000000014</v>
      </c>
      <c r="G2332">
        <f>_xlfn.XLOOKUP(A2332,'DGS10'!A:A,'DGS10'!B:B,"",-1)</f>
        <v>4.3499999999999996</v>
      </c>
      <c r="H2332">
        <f t="shared" si="290"/>
        <v>9.9999999999997868E-3</v>
      </c>
      <c r="I2332" s="2">
        <f>_xlfn.XLOOKUP(A2332,T10Y3M!A:A,T10Y3M!B:B,"",-1)</f>
        <v>-7.0000000000000007E-2</v>
      </c>
      <c r="J2332" s="2">
        <f>_xlfn.XLOOKUP(A2332,BAMLC0A4CBBB!A:A,BAMLC0A4CBBB!B:B,"",-1)</f>
        <v>1.03</v>
      </c>
      <c r="K2332" s="2">
        <f>_xlfn.XLOOKUP(A2332,CPIAUCSL!A:A,CPIAUCSL!B:B,"",-1)</f>
        <v>322.16899999999998</v>
      </c>
      <c r="L2332">
        <f>_xlfn.XLOOKUP(A2332,DFF!A:A,DFF!B:B,"",-1)</f>
        <v>4.33</v>
      </c>
      <c r="M2332">
        <f>_xlfn.XLOOKUP(A2332,'DGS2'!A:A,'DGS2'!B:B,"",-1)</f>
        <v>3.86</v>
      </c>
      <c r="N2332">
        <f t="shared" si="291"/>
        <v>0</v>
      </c>
      <c r="O2332">
        <f t="shared" si="292"/>
        <v>-3.2975291618766445E-3</v>
      </c>
      <c r="P2332">
        <f t="shared" si="293"/>
        <v>0</v>
      </c>
      <c r="Q2332">
        <f t="shared" si="294"/>
        <v>-1</v>
      </c>
    </row>
    <row r="2333" spans="1:17">
      <c r="A2333" s="1">
        <v>45849</v>
      </c>
      <c r="B2333">
        <v>6259.75</v>
      </c>
      <c r="C2333">
        <f t="shared" si="288"/>
        <v>-3.2975291618766445E-3</v>
      </c>
      <c r="D2333">
        <f t="shared" si="295"/>
        <v>5.4983358819824524E-3</v>
      </c>
      <c r="E2333">
        <f>_xlfn.XLOOKUP(A2333,VIX!A:A,VIX!B:B,"",-1)</f>
        <v>16.399999999999999</v>
      </c>
      <c r="F2333">
        <f t="shared" si="289"/>
        <v>0.61999999999999922</v>
      </c>
      <c r="G2333">
        <f>_xlfn.XLOOKUP(A2333,'DGS10'!A:A,'DGS10'!B:B,"",-1)</f>
        <v>4.43</v>
      </c>
      <c r="H2333">
        <f t="shared" si="290"/>
        <v>8.0000000000000071E-2</v>
      </c>
      <c r="I2333" s="2">
        <f>_xlfn.XLOOKUP(A2333,T10Y3M!A:A,T10Y3M!B:B,"",-1)</f>
        <v>0.02</v>
      </c>
      <c r="J2333" s="2">
        <f>_xlfn.XLOOKUP(A2333,BAMLC0A4CBBB!A:A,BAMLC0A4CBBB!B:B,"",-1)</f>
        <v>1.03</v>
      </c>
      <c r="K2333" s="2">
        <f>_xlfn.XLOOKUP(A2333,CPIAUCSL!A:A,CPIAUCSL!B:B,"",-1)</f>
        <v>322.16899999999998</v>
      </c>
      <c r="L2333">
        <f>_xlfn.XLOOKUP(A2333,DFF!A:A,DFF!B:B,"",-1)</f>
        <v>4.33</v>
      </c>
      <c r="M2333">
        <f>_xlfn.XLOOKUP(A2333,'DGS2'!A:A,'DGS2'!B:B,"",-1)</f>
        <v>3.9</v>
      </c>
      <c r="N2333">
        <f t="shared" si="291"/>
        <v>4.0000000000000036E-2</v>
      </c>
      <c r="O2333">
        <f t="shared" si="292"/>
        <v>1.4074044490595128E-3</v>
      </c>
      <c r="P2333">
        <f t="shared" si="293"/>
        <v>1</v>
      </c>
      <c r="Q2333">
        <f t="shared" si="294"/>
        <v>0</v>
      </c>
    </row>
    <row r="2334" spans="1:17">
      <c r="A2334" s="1">
        <v>45852</v>
      </c>
      <c r="B2334">
        <v>6268.56</v>
      </c>
      <c r="C2334">
        <f t="shared" si="288"/>
        <v>1.4074044490595128E-3</v>
      </c>
      <c r="D2334">
        <f t="shared" si="295"/>
        <v>8.4620469212515204E-4</v>
      </c>
      <c r="E2334">
        <f>_xlfn.XLOOKUP(A2334,VIX!A:A,VIX!B:B,"",-1)</f>
        <v>17.2</v>
      </c>
      <c r="F2334">
        <f t="shared" si="289"/>
        <v>0.80000000000000071</v>
      </c>
      <c r="G2334">
        <f>_xlfn.XLOOKUP(A2334,'DGS10'!A:A,'DGS10'!B:B,"",-1)</f>
        <v>4.43</v>
      </c>
      <c r="H2334">
        <f t="shared" si="290"/>
        <v>0</v>
      </c>
      <c r="I2334" s="2">
        <f>_xlfn.XLOOKUP(A2334,T10Y3M!A:A,T10Y3M!B:B,"",-1)</f>
        <v>0.01</v>
      </c>
      <c r="J2334" s="2">
        <f>_xlfn.XLOOKUP(A2334,BAMLC0A4CBBB!A:A,BAMLC0A4CBBB!B:B,"",-1)</f>
        <v>1.03</v>
      </c>
      <c r="K2334" s="2">
        <f>_xlfn.XLOOKUP(A2334,CPIAUCSL!A:A,CPIAUCSL!B:B,"",-1)</f>
        <v>322.16899999999998</v>
      </c>
      <c r="L2334">
        <f>_xlfn.XLOOKUP(A2334,DFF!A:A,DFF!B:B,"",-1)</f>
        <v>4.33</v>
      </c>
      <c r="M2334">
        <f>_xlfn.XLOOKUP(A2334,'DGS2'!A:A,'DGS2'!B:B,"",-1)</f>
        <v>3.9</v>
      </c>
      <c r="N2334">
        <f t="shared" si="291"/>
        <v>0</v>
      </c>
      <c r="O2334">
        <f t="shared" si="292"/>
        <v>-3.9562515154996092E-3</v>
      </c>
      <c r="P2334">
        <f t="shared" si="293"/>
        <v>0</v>
      </c>
      <c r="Q2334">
        <f t="shared" si="294"/>
        <v>-1</v>
      </c>
    </row>
    <row r="2335" spans="1:17">
      <c r="A2335" s="1">
        <v>45853</v>
      </c>
      <c r="B2335">
        <v>6243.76</v>
      </c>
      <c r="C2335">
        <f t="shared" si="288"/>
        <v>-3.9562515154996092E-3</v>
      </c>
      <c r="D2335">
        <f t="shared" si="295"/>
        <v>-5.8435210159765161E-3</v>
      </c>
      <c r="E2335">
        <f>_xlfn.XLOOKUP(A2335,VIX!A:A,VIX!B:B,"",-1)</f>
        <v>17.38</v>
      </c>
      <c r="F2335">
        <f t="shared" si="289"/>
        <v>0.17999999999999972</v>
      </c>
      <c r="G2335">
        <f>_xlfn.XLOOKUP(A2335,'DGS10'!A:A,'DGS10'!B:B,"",-1)</f>
        <v>4.5</v>
      </c>
      <c r="H2335">
        <f t="shared" si="290"/>
        <v>7.0000000000000284E-2</v>
      </c>
      <c r="I2335" s="2">
        <f>_xlfn.XLOOKUP(A2335,T10Y3M!A:A,T10Y3M!B:B,"",-1)</f>
        <v>0.08</v>
      </c>
      <c r="J2335" s="2">
        <f>_xlfn.XLOOKUP(A2335,BAMLC0A4CBBB!A:A,BAMLC0A4CBBB!B:B,"",-1)</f>
        <v>1.01</v>
      </c>
      <c r="K2335" s="2">
        <f>_xlfn.XLOOKUP(A2335,CPIAUCSL!A:A,CPIAUCSL!B:B,"",-1)</f>
        <v>322.16899999999998</v>
      </c>
      <c r="L2335">
        <f>_xlfn.XLOOKUP(A2335,DFF!A:A,DFF!B:B,"",-1)</f>
        <v>4.33</v>
      </c>
      <c r="M2335">
        <f>_xlfn.XLOOKUP(A2335,'DGS2'!A:A,'DGS2'!B:B,"",-1)</f>
        <v>3.95</v>
      </c>
      <c r="N2335">
        <f t="shared" si="291"/>
        <v>5.0000000000000266E-2</v>
      </c>
      <c r="O2335">
        <f t="shared" si="292"/>
        <v>3.193588478737075E-3</v>
      </c>
      <c r="P2335">
        <f t="shared" si="293"/>
        <v>1</v>
      </c>
      <c r="Q2335">
        <f t="shared" si="294"/>
        <v>1</v>
      </c>
    </row>
    <row r="2336" spans="1:17">
      <c r="A2336" s="1">
        <v>45854</v>
      </c>
      <c r="B2336">
        <v>6263.7</v>
      </c>
      <c r="C2336">
        <f t="shared" si="288"/>
        <v>3.193588478737075E-3</v>
      </c>
      <c r="D2336">
        <f t="shared" si="295"/>
        <v>6.3101561563949637E-4</v>
      </c>
      <c r="E2336">
        <f>_xlfn.XLOOKUP(A2336,VIX!A:A,VIX!B:B,"",-1)</f>
        <v>17.16</v>
      </c>
      <c r="F2336">
        <f t="shared" si="289"/>
        <v>-0.21999999999999886</v>
      </c>
      <c r="G2336">
        <f>_xlfn.XLOOKUP(A2336,'DGS10'!A:A,'DGS10'!B:B,"",-1)</f>
        <v>4.46</v>
      </c>
      <c r="H2336">
        <f t="shared" si="290"/>
        <v>-4.0000000000000036E-2</v>
      </c>
      <c r="I2336" s="2">
        <f>_xlfn.XLOOKUP(A2336,T10Y3M!A:A,T10Y3M!B:B,"",-1)</f>
        <v>0.05</v>
      </c>
      <c r="J2336" s="2">
        <f>_xlfn.XLOOKUP(A2336,BAMLC0A4CBBB!A:A,BAMLC0A4CBBB!B:B,"",-1)</f>
        <v>1.02</v>
      </c>
      <c r="K2336" s="2">
        <f>_xlfn.XLOOKUP(A2336,CPIAUCSL!A:A,CPIAUCSL!B:B,"",-1)</f>
        <v>322.16899999999998</v>
      </c>
      <c r="L2336">
        <f>_xlfn.XLOOKUP(A2336,DFF!A:A,DFF!B:B,"",-1)</f>
        <v>4.33</v>
      </c>
      <c r="M2336">
        <f>_xlfn.XLOOKUP(A2336,'DGS2'!A:A,'DGS2'!B:B,"",-1)</f>
        <v>3.88</v>
      </c>
      <c r="N2336">
        <f t="shared" si="291"/>
        <v>-7.0000000000000284E-2</v>
      </c>
      <c r="O2336">
        <f t="shared" si="292"/>
        <v>5.3738205852771337E-3</v>
      </c>
      <c r="P2336">
        <f t="shared" si="293"/>
        <v>1</v>
      </c>
      <c r="Q2336">
        <f t="shared" si="294"/>
        <v>1</v>
      </c>
    </row>
    <row r="2337" spans="1:17">
      <c r="A2337" s="1">
        <v>45855</v>
      </c>
      <c r="B2337">
        <v>6297.36</v>
      </c>
      <c r="C2337">
        <f t="shared" si="288"/>
        <v>5.3738205852771337E-3</v>
      </c>
      <c r="D2337">
        <f t="shared" si="295"/>
        <v>4.5943565986446E-3</v>
      </c>
      <c r="E2337">
        <f>_xlfn.XLOOKUP(A2337,VIX!A:A,VIX!B:B,"",-1)</f>
        <v>16.52</v>
      </c>
      <c r="F2337">
        <f t="shared" si="289"/>
        <v>-0.64000000000000057</v>
      </c>
      <c r="G2337">
        <f>_xlfn.XLOOKUP(A2337,'DGS10'!A:A,'DGS10'!B:B,"",-1)</f>
        <v>4.47</v>
      </c>
      <c r="H2337">
        <f t="shared" si="290"/>
        <v>9.9999999999997868E-3</v>
      </c>
      <c r="I2337" s="2">
        <f>_xlfn.XLOOKUP(A2337,T10Y3M!A:A,T10Y3M!B:B,"",-1)</f>
        <v>0.06</v>
      </c>
      <c r="J2337" s="2">
        <f>_xlfn.XLOOKUP(A2337,BAMLC0A4CBBB!A:A,BAMLC0A4CBBB!B:B,"",-1)</f>
        <v>1.01</v>
      </c>
      <c r="K2337" s="2">
        <f>_xlfn.XLOOKUP(A2337,CPIAUCSL!A:A,CPIAUCSL!B:B,"",-1)</f>
        <v>322.16899999999998</v>
      </c>
      <c r="L2337">
        <f>_xlfn.XLOOKUP(A2337,DFF!A:A,DFF!B:B,"",-1)</f>
        <v>4.33</v>
      </c>
      <c r="M2337">
        <f>_xlfn.XLOOKUP(A2337,'DGS2'!A:A,'DGS2'!B:B,"",-1)</f>
        <v>3.91</v>
      </c>
      <c r="N2337">
        <f t="shared" si="291"/>
        <v>3.0000000000000249E-2</v>
      </c>
      <c r="O2337">
        <f t="shared" si="292"/>
        <v>-9.0514120202667137E-5</v>
      </c>
      <c r="P2337">
        <f t="shared" si="293"/>
        <v>0</v>
      </c>
      <c r="Q2337">
        <f t="shared" si="294"/>
        <v>0</v>
      </c>
    </row>
    <row r="2338" spans="1:17">
      <c r="A2338" s="1">
        <v>45856</v>
      </c>
      <c r="B2338">
        <v>6296.79</v>
      </c>
      <c r="C2338">
        <f t="shared" si="288"/>
        <v>-9.0514120202667137E-5</v>
      </c>
      <c r="D2338">
        <f t="shared" si="295"/>
        <v>8.4932796904428898E-3</v>
      </c>
      <c r="E2338">
        <f>_xlfn.XLOOKUP(A2338,VIX!A:A,VIX!B:B,"",-1)</f>
        <v>16.41</v>
      </c>
      <c r="F2338">
        <f t="shared" si="289"/>
        <v>-0.10999999999999943</v>
      </c>
      <c r="G2338">
        <f>_xlfn.XLOOKUP(A2338,'DGS10'!A:A,'DGS10'!B:B,"",-1)</f>
        <v>4.4400000000000004</v>
      </c>
      <c r="H2338">
        <f t="shared" si="290"/>
        <v>-2.9999999999999361E-2</v>
      </c>
      <c r="I2338" s="2">
        <f>_xlfn.XLOOKUP(A2338,T10Y3M!A:A,T10Y3M!B:B,"",-1)</f>
        <v>0.04</v>
      </c>
      <c r="J2338" s="2">
        <f>_xlfn.XLOOKUP(A2338,BAMLC0A4CBBB!A:A,BAMLC0A4CBBB!B:B,"",-1)</f>
        <v>1.01</v>
      </c>
      <c r="K2338" s="2">
        <f>_xlfn.XLOOKUP(A2338,CPIAUCSL!A:A,CPIAUCSL!B:B,"",-1)</f>
        <v>322.16899999999998</v>
      </c>
      <c r="L2338">
        <f>_xlfn.XLOOKUP(A2338,DFF!A:A,DFF!B:B,"",-1)</f>
        <v>4.33</v>
      </c>
      <c r="M2338">
        <f>_xlfn.XLOOKUP(A2338,'DGS2'!A:A,'DGS2'!B:B,"",-1)</f>
        <v>3.88</v>
      </c>
      <c r="N2338">
        <f t="shared" si="291"/>
        <v>-3.0000000000000249E-2</v>
      </c>
      <c r="O2338">
        <f t="shared" si="292"/>
        <v>1.3991255862113583E-3</v>
      </c>
      <c r="P2338">
        <f t="shared" si="293"/>
        <v>1</v>
      </c>
      <c r="Q2338">
        <f t="shared" si="294"/>
        <v>0</v>
      </c>
    </row>
    <row r="2339" spans="1:17">
      <c r="A2339" s="1">
        <v>45859</v>
      </c>
      <c r="B2339">
        <v>6305.6</v>
      </c>
      <c r="C2339">
        <f t="shared" si="288"/>
        <v>1.3991255862113583E-3</v>
      </c>
      <c r="D2339">
        <f t="shared" si="295"/>
        <v>6.6893369733544983E-3</v>
      </c>
      <c r="E2339">
        <f>_xlfn.XLOOKUP(A2339,VIX!A:A,VIX!B:B,"",-1)</f>
        <v>16.649999999999999</v>
      </c>
      <c r="F2339">
        <f t="shared" si="289"/>
        <v>0.23999999999999844</v>
      </c>
      <c r="G2339">
        <f>_xlfn.XLOOKUP(A2339,'DGS10'!A:A,'DGS10'!B:B,"",-1)</f>
        <v>4.38</v>
      </c>
      <c r="H2339">
        <f t="shared" si="290"/>
        <v>-6.0000000000000497E-2</v>
      </c>
      <c r="I2339" s="2">
        <f>_xlfn.XLOOKUP(A2339,T10Y3M!A:A,T10Y3M!B:B,"",-1)</f>
        <v>-0.03</v>
      </c>
      <c r="J2339" s="2">
        <f>_xlfn.XLOOKUP(A2339,BAMLC0A4CBBB!A:A,BAMLC0A4CBBB!B:B,"",-1)</f>
        <v>1.01</v>
      </c>
      <c r="K2339" s="2">
        <f>_xlfn.XLOOKUP(A2339,CPIAUCSL!A:A,CPIAUCSL!B:B,"",-1)</f>
        <v>322.16899999999998</v>
      </c>
      <c r="L2339">
        <f>_xlfn.XLOOKUP(A2339,DFF!A:A,DFF!B:B,"",-1)</f>
        <v>4.33</v>
      </c>
      <c r="M2339">
        <f>_xlfn.XLOOKUP(A2339,'DGS2'!A:A,'DGS2'!B:B,"",-1)</f>
        <v>3.85</v>
      </c>
      <c r="N2339">
        <f t="shared" si="291"/>
        <v>-2.9999999999999805E-2</v>
      </c>
      <c r="O2339">
        <f t="shared" si="292"/>
        <v>6.3752854605425568E-4</v>
      </c>
      <c r="P2339">
        <f t="shared" si="293"/>
        <v>1</v>
      </c>
      <c r="Q2339">
        <f t="shared" si="294"/>
        <v>0</v>
      </c>
    </row>
    <row r="2340" spans="1:17">
      <c r="A2340" s="1">
        <v>45860</v>
      </c>
      <c r="B2340">
        <v>6309.62</v>
      </c>
      <c r="C2340">
        <f t="shared" si="288"/>
        <v>6.3752854605425568E-4</v>
      </c>
      <c r="D2340">
        <f t="shared" si="295"/>
        <v>1.9468475678696695E-3</v>
      </c>
      <c r="E2340">
        <f>_xlfn.XLOOKUP(A2340,VIX!A:A,VIX!B:B,"",-1)</f>
        <v>16.5</v>
      </c>
      <c r="F2340">
        <f t="shared" si="289"/>
        <v>-0.14999999999999858</v>
      </c>
      <c r="G2340">
        <f>_xlfn.XLOOKUP(A2340,'DGS10'!A:A,'DGS10'!B:B,"",-1)</f>
        <v>4.3499999999999996</v>
      </c>
      <c r="H2340">
        <f t="shared" si="290"/>
        <v>-3.0000000000000249E-2</v>
      </c>
      <c r="I2340" s="2">
        <f>_xlfn.XLOOKUP(A2340,T10Y3M!A:A,T10Y3M!B:B,"",-1)</f>
        <v>-0.06</v>
      </c>
      <c r="J2340" s="2">
        <f>_xlfn.XLOOKUP(A2340,BAMLC0A4CBBB!A:A,BAMLC0A4CBBB!B:B,"",-1)</f>
        <v>1.02</v>
      </c>
      <c r="K2340" s="2">
        <f>_xlfn.XLOOKUP(A2340,CPIAUCSL!A:A,CPIAUCSL!B:B,"",-1)</f>
        <v>322.16899999999998</v>
      </c>
      <c r="L2340">
        <f>_xlfn.XLOOKUP(A2340,DFF!A:A,DFF!B:B,"",-1)</f>
        <v>4.33</v>
      </c>
      <c r="M2340">
        <f>_xlfn.XLOOKUP(A2340,'DGS2'!A:A,'DGS2'!B:B,"",-1)</f>
        <v>3.83</v>
      </c>
      <c r="N2340">
        <f t="shared" si="291"/>
        <v>-2.0000000000000018E-2</v>
      </c>
      <c r="O2340">
        <f t="shared" si="292"/>
        <v>7.8118809056646477E-3</v>
      </c>
      <c r="P2340">
        <f t="shared" si="293"/>
        <v>1</v>
      </c>
      <c r="Q2340">
        <f t="shared" si="294"/>
        <v>1</v>
      </c>
    </row>
    <row r="2341" spans="1:17">
      <c r="A2341" s="1">
        <v>45861</v>
      </c>
      <c r="B2341">
        <v>6358.91</v>
      </c>
      <c r="C2341">
        <f t="shared" si="288"/>
        <v>7.8118809056646477E-3</v>
      </c>
      <c r="D2341">
        <f t="shared" si="295"/>
        <v>9.8653440880194232E-3</v>
      </c>
      <c r="E2341">
        <f>_xlfn.XLOOKUP(A2341,VIX!A:A,VIX!B:B,"",-1)</f>
        <v>15.37</v>
      </c>
      <c r="F2341">
        <f t="shared" si="289"/>
        <v>-1.1300000000000008</v>
      </c>
      <c r="G2341">
        <f>_xlfn.XLOOKUP(A2341,'DGS10'!A:A,'DGS10'!B:B,"",-1)</f>
        <v>4.4000000000000004</v>
      </c>
      <c r="H2341">
        <f t="shared" si="290"/>
        <v>5.0000000000000711E-2</v>
      </c>
      <c r="I2341" s="2">
        <f>_xlfn.XLOOKUP(A2341,T10Y3M!A:A,T10Y3M!B:B,"",-1)</f>
        <v>-0.01</v>
      </c>
      <c r="J2341" s="2">
        <f>_xlfn.XLOOKUP(A2341,BAMLC0A4CBBB!A:A,BAMLC0A4CBBB!B:B,"",-1)</f>
        <v>1</v>
      </c>
      <c r="K2341" s="2">
        <f>_xlfn.XLOOKUP(A2341,CPIAUCSL!A:A,CPIAUCSL!B:B,"",-1)</f>
        <v>322.16899999999998</v>
      </c>
      <c r="L2341">
        <f>_xlfn.XLOOKUP(A2341,DFF!A:A,DFF!B:B,"",-1)</f>
        <v>4.33</v>
      </c>
      <c r="M2341">
        <f>_xlfn.XLOOKUP(A2341,'DGS2'!A:A,'DGS2'!B:B,"",-1)</f>
        <v>3.88</v>
      </c>
      <c r="N2341">
        <f t="shared" si="291"/>
        <v>4.9999999999999822E-2</v>
      </c>
      <c r="O2341">
        <f t="shared" si="292"/>
        <v>6.9823287324410899E-4</v>
      </c>
      <c r="P2341">
        <f t="shared" si="293"/>
        <v>1</v>
      </c>
      <c r="Q2341">
        <f t="shared" si="294"/>
        <v>0</v>
      </c>
    </row>
    <row r="2342" spans="1:17">
      <c r="A2342" s="1">
        <v>45862</v>
      </c>
      <c r="B2342">
        <v>6363.35</v>
      </c>
      <c r="C2342">
        <f t="shared" si="288"/>
        <v>6.9823287324410899E-4</v>
      </c>
      <c r="D2342">
        <f t="shared" si="295"/>
        <v>9.1585257548845167E-3</v>
      </c>
      <c r="E2342">
        <f>_xlfn.XLOOKUP(A2342,VIX!A:A,VIX!B:B,"",-1)</f>
        <v>15.39</v>
      </c>
      <c r="F2342">
        <f t="shared" si="289"/>
        <v>2.000000000000135E-2</v>
      </c>
      <c r="G2342">
        <f>_xlfn.XLOOKUP(A2342,'DGS10'!A:A,'DGS10'!B:B,"",-1)</f>
        <v>4.43</v>
      </c>
      <c r="H2342">
        <f t="shared" si="290"/>
        <v>2.9999999999999361E-2</v>
      </c>
      <c r="I2342" s="2">
        <f>_xlfn.XLOOKUP(A2342,T10Y3M!A:A,T10Y3M!B:B,"",-1)</f>
        <v>0.01</v>
      </c>
      <c r="J2342" s="2">
        <f>_xlfn.XLOOKUP(A2342,BAMLC0A4CBBB!A:A,BAMLC0A4CBBB!B:B,"",-1)</f>
        <v>0.99</v>
      </c>
      <c r="K2342" s="2">
        <f>_xlfn.XLOOKUP(A2342,CPIAUCSL!A:A,CPIAUCSL!B:B,"",-1)</f>
        <v>322.16899999999998</v>
      </c>
      <c r="L2342">
        <f>_xlfn.XLOOKUP(A2342,DFF!A:A,DFF!B:B,"",-1)</f>
        <v>4.33</v>
      </c>
      <c r="M2342">
        <f>_xlfn.XLOOKUP(A2342,'DGS2'!A:A,'DGS2'!B:B,"",-1)</f>
        <v>3.91</v>
      </c>
      <c r="N2342">
        <f t="shared" si="291"/>
        <v>3.0000000000000249E-2</v>
      </c>
      <c r="O2342">
        <f t="shared" si="292"/>
        <v>3.9743217016194876E-3</v>
      </c>
      <c r="P2342">
        <f t="shared" si="293"/>
        <v>1</v>
      </c>
      <c r="Q2342">
        <f t="shared" si="294"/>
        <v>1</v>
      </c>
    </row>
    <row r="2343" spans="1:17">
      <c r="A2343" s="1">
        <v>45863</v>
      </c>
      <c r="B2343">
        <v>6388.64</v>
      </c>
      <c r="C2343">
        <f t="shared" si="288"/>
        <v>3.9743217016194876E-3</v>
      </c>
      <c r="D2343">
        <f t="shared" si="295"/>
        <v>1.252373360043868E-2</v>
      </c>
      <c r="E2343">
        <f>_xlfn.XLOOKUP(A2343,VIX!A:A,VIX!B:B,"",-1)</f>
        <v>14.93</v>
      </c>
      <c r="F2343">
        <f t="shared" si="289"/>
        <v>-0.46000000000000085</v>
      </c>
      <c r="G2343">
        <f>_xlfn.XLOOKUP(A2343,'DGS10'!A:A,'DGS10'!B:B,"",-1)</f>
        <v>4.4000000000000004</v>
      </c>
      <c r="H2343">
        <f t="shared" si="290"/>
        <v>-2.9999999999999361E-2</v>
      </c>
      <c r="I2343" s="2">
        <f>_xlfn.XLOOKUP(A2343,T10Y3M!A:A,T10Y3M!B:B,"",-1)</f>
        <v>-0.02</v>
      </c>
      <c r="J2343" s="2">
        <f>_xlfn.XLOOKUP(A2343,BAMLC0A4CBBB!A:A,BAMLC0A4CBBB!B:B,"",-1)</f>
        <v>0.99</v>
      </c>
      <c r="K2343" s="2">
        <f>_xlfn.XLOOKUP(A2343,CPIAUCSL!A:A,CPIAUCSL!B:B,"",-1)</f>
        <v>322.16899999999998</v>
      </c>
      <c r="L2343">
        <f>_xlfn.XLOOKUP(A2343,DFF!A:A,DFF!B:B,"",-1)</f>
        <v>4.33</v>
      </c>
      <c r="M2343">
        <f>_xlfn.XLOOKUP(A2343,'DGS2'!A:A,'DGS2'!B:B,"",-1)</f>
        <v>3.91</v>
      </c>
      <c r="N2343">
        <f t="shared" si="291"/>
        <v>0</v>
      </c>
      <c r="O2343">
        <f t="shared" si="292"/>
        <v>1.7687645570885202E-4</v>
      </c>
      <c r="P2343">
        <f t="shared" si="293"/>
        <v>1</v>
      </c>
      <c r="Q2343">
        <f t="shared" si="294"/>
        <v>0</v>
      </c>
    </row>
    <row r="2344" spans="1:17">
      <c r="A2344" s="1">
        <v>45866</v>
      </c>
      <c r="B2344">
        <v>6389.77</v>
      </c>
      <c r="C2344">
        <f t="shared" si="288"/>
        <v>1.7687645570885202E-4</v>
      </c>
      <c r="D2344">
        <f t="shared" si="295"/>
        <v>4.8530329883582635E-3</v>
      </c>
      <c r="E2344">
        <f>_xlfn.XLOOKUP(A2344,VIX!A:A,VIX!B:B,"",-1)</f>
        <v>15.03</v>
      </c>
      <c r="F2344">
        <f t="shared" si="289"/>
        <v>9.9999999999999645E-2</v>
      </c>
      <c r="G2344">
        <f>_xlfn.XLOOKUP(A2344,'DGS10'!A:A,'DGS10'!B:B,"",-1)</f>
        <v>4.42</v>
      </c>
      <c r="H2344">
        <f t="shared" si="290"/>
        <v>1.9999999999999574E-2</v>
      </c>
      <c r="I2344" s="2">
        <f>_xlfn.XLOOKUP(A2344,T10Y3M!A:A,T10Y3M!B:B,"",-1)</f>
        <v>0.02</v>
      </c>
      <c r="J2344" s="2">
        <f>_xlfn.XLOOKUP(A2344,BAMLC0A4CBBB!A:A,BAMLC0A4CBBB!B:B,"",-1)</f>
        <v>0.98</v>
      </c>
      <c r="K2344" s="2">
        <f>_xlfn.XLOOKUP(A2344,CPIAUCSL!A:A,CPIAUCSL!B:B,"",-1)</f>
        <v>322.16899999999998</v>
      </c>
      <c r="L2344">
        <f>_xlfn.XLOOKUP(A2344,DFF!A:A,DFF!B:B,"",-1)</f>
        <v>4.33</v>
      </c>
      <c r="M2344">
        <f>_xlfn.XLOOKUP(A2344,'DGS2'!A:A,'DGS2'!B:B,"",-1)</f>
        <v>3.91</v>
      </c>
      <c r="N2344">
        <f t="shared" si="291"/>
        <v>0</v>
      </c>
      <c r="O2344">
        <f t="shared" si="292"/>
        <v>-2.9594179446209568E-3</v>
      </c>
      <c r="P2344">
        <f t="shared" si="293"/>
        <v>0</v>
      </c>
      <c r="Q2344">
        <f t="shared" si="294"/>
        <v>0</v>
      </c>
    </row>
    <row r="2345" spans="1:17">
      <c r="A2345" s="1">
        <v>45867</v>
      </c>
      <c r="B2345">
        <v>6370.86</v>
      </c>
      <c r="C2345">
        <f t="shared" si="288"/>
        <v>-2.9594179446209568E-3</v>
      </c>
      <c r="D2345">
        <f t="shared" si="295"/>
        <v>1.1801959659611949E-3</v>
      </c>
      <c r="E2345">
        <f>_xlfn.XLOOKUP(A2345,VIX!A:A,VIX!B:B,"",-1)</f>
        <v>15.98</v>
      </c>
      <c r="F2345">
        <f t="shared" si="289"/>
        <v>0.95000000000000107</v>
      </c>
      <c r="G2345">
        <f>_xlfn.XLOOKUP(A2345,'DGS10'!A:A,'DGS10'!B:B,"",-1)</f>
        <v>4.34</v>
      </c>
      <c r="H2345">
        <f t="shared" si="290"/>
        <v>-8.0000000000000071E-2</v>
      </c>
      <c r="I2345" s="2">
        <f>_xlfn.XLOOKUP(A2345,T10Y3M!A:A,T10Y3M!B:B,"",-1)</f>
        <v>-0.06</v>
      </c>
      <c r="J2345" s="2">
        <f>_xlfn.XLOOKUP(A2345,BAMLC0A4CBBB!A:A,BAMLC0A4CBBB!B:B,"",-1)</f>
        <v>1</v>
      </c>
      <c r="K2345" s="2">
        <f>_xlfn.XLOOKUP(A2345,CPIAUCSL!A:A,CPIAUCSL!B:B,"",-1)</f>
        <v>322.16899999999998</v>
      </c>
      <c r="L2345">
        <f>_xlfn.XLOOKUP(A2345,DFF!A:A,DFF!B:B,"",-1)</f>
        <v>4.33</v>
      </c>
      <c r="M2345">
        <f>_xlfn.XLOOKUP(A2345,'DGS2'!A:A,'DGS2'!B:B,"",-1)</f>
        <v>3.86</v>
      </c>
      <c r="N2345">
        <f t="shared" si="291"/>
        <v>-5.0000000000000266E-2</v>
      </c>
      <c r="O2345">
        <f t="shared" si="292"/>
        <v>-1.249438851269713E-3</v>
      </c>
      <c r="P2345">
        <f t="shared" si="293"/>
        <v>0</v>
      </c>
      <c r="Q2345">
        <f t="shared" si="294"/>
        <v>0</v>
      </c>
    </row>
    <row r="2346" spans="1:17">
      <c r="A2346" s="1">
        <v>45868</v>
      </c>
      <c r="B2346">
        <v>6362.9</v>
      </c>
      <c r="C2346">
        <f t="shared" si="288"/>
        <v>-1.249438851269713E-3</v>
      </c>
      <c r="D2346">
        <f t="shared" si="295"/>
        <v>-4.0290265220768173E-3</v>
      </c>
      <c r="E2346">
        <f>_xlfn.XLOOKUP(A2346,VIX!A:A,VIX!B:B,"",-1)</f>
        <v>15.48</v>
      </c>
      <c r="F2346">
        <f t="shared" si="289"/>
        <v>-0.5</v>
      </c>
      <c r="G2346">
        <f>_xlfn.XLOOKUP(A2346,'DGS10'!A:A,'DGS10'!B:B,"",-1)</f>
        <v>4.38</v>
      </c>
      <c r="H2346">
        <f t="shared" si="290"/>
        <v>4.0000000000000036E-2</v>
      </c>
      <c r="I2346" s="2">
        <f>_xlfn.XLOOKUP(A2346,T10Y3M!A:A,T10Y3M!B:B,"",-1)</f>
        <v>-0.03</v>
      </c>
      <c r="J2346" s="2">
        <f>_xlfn.XLOOKUP(A2346,BAMLC0A4CBBB!A:A,BAMLC0A4CBBB!B:B,"",-1)</f>
        <v>0.99</v>
      </c>
      <c r="K2346" s="2">
        <f>_xlfn.XLOOKUP(A2346,CPIAUCSL!A:A,CPIAUCSL!B:B,"",-1)</f>
        <v>322.16899999999998</v>
      </c>
      <c r="L2346">
        <f>_xlfn.XLOOKUP(A2346,DFF!A:A,DFF!B:B,"",-1)</f>
        <v>4.33</v>
      </c>
      <c r="M2346">
        <f>_xlfn.XLOOKUP(A2346,'DGS2'!A:A,'DGS2'!B:B,"",-1)</f>
        <v>3.94</v>
      </c>
      <c r="N2346">
        <f t="shared" si="291"/>
        <v>8.0000000000000071E-2</v>
      </c>
      <c r="O2346">
        <f t="shared" si="292"/>
        <v>-3.6948561190650597E-3</v>
      </c>
      <c r="P2346">
        <f t="shared" si="293"/>
        <v>0</v>
      </c>
      <c r="Q2346">
        <f t="shared" si="294"/>
        <v>-1</v>
      </c>
    </row>
    <row r="2347" spans="1:17">
      <c r="A2347" s="1">
        <v>45869</v>
      </c>
      <c r="B2347">
        <v>6339.39</v>
      </c>
      <c r="C2347">
        <f t="shared" si="288"/>
        <v>-3.6948561190650597E-3</v>
      </c>
      <c r="D2347">
        <f t="shared" si="295"/>
        <v>-7.8844778450555264E-3</v>
      </c>
      <c r="E2347">
        <f>_xlfn.XLOOKUP(A2347,VIX!A:A,VIX!B:B,"",-1)</f>
        <v>16.72</v>
      </c>
      <c r="F2347">
        <f t="shared" si="289"/>
        <v>1.2399999999999984</v>
      </c>
      <c r="G2347">
        <f>_xlfn.XLOOKUP(A2347,'DGS10'!A:A,'DGS10'!B:B,"",-1)</f>
        <v>4.37</v>
      </c>
      <c r="H2347">
        <f t="shared" si="290"/>
        <v>-9.9999999999997868E-3</v>
      </c>
      <c r="I2347" s="2">
        <f>_xlfn.XLOOKUP(A2347,T10Y3M!A:A,T10Y3M!B:B,"",-1)</f>
        <v>-0.04</v>
      </c>
      <c r="J2347" s="2">
        <f>_xlfn.XLOOKUP(A2347,BAMLC0A4CBBB!A:A,BAMLC0A4CBBB!B:B,"",-1)</f>
        <v>0.99</v>
      </c>
      <c r="K2347" s="2">
        <f>_xlfn.XLOOKUP(A2347,CPIAUCSL!A:A,CPIAUCSL!B:B,"",-1)</f>
        <v>322.16899999999998</v>
      </c>
      <c r="L2347">
        <f>_xlfn.XLOOKUP(A2347,DFF!A:A,DFF!B:B,"",-1)</f>
        <v>4.33</v>
      </c>
      <c r="M2347">
        <f>_xlfn.XLOOKUP(A2347,'DGS2'!A:A,'DGS2'!B:B,"",-1)</f>
        <v>3.94</v>
      </c>
      <c r="N2347">
        <f t="shared" si="291"/>
        <v>0</v>
      </c>
      <c r="O2347">
        <f t="shared" si="292"/>
        <v>-1.5992074947274171E-2</v>
      </c>
      <c r="P2347">
        <f t="shared" si="293"/>
        <v>0</v>
      </c>
      <c r="Q2347">
        <f t="shared" si="294"/>
        <v>-1</v>
      </c>
    </row>
    <row r="2348" spans="1:17">
      <c r="A2348" s="1">
        <v>45870</v>
      </c>
      <c r="B2348">
        <v>6238.01</v>
      </c>
      <c r="C2348">
        <f t="shared" si="288"/>
        <v>-1.5992074947274171E-2</v>
      </c>
      <c r="D2348">
        <f t="shared" si="295"/>
        <v>-2.0852757712459424E-2</v>
      </c>
      <c r="E2348">
        <f>_xlfn.XLOOKUP(A2348,VIX!A:A,VIX!B:B,"",-1)</f>
        <v>20.38</v>
      </c>
      <c r="F2348">
        <f t="shared" si="289"/>
        <v>3.66</v>
      </c>
      <c r="G2348">
        <f>_xlfn.XLOOKUP(A2348,'DGS10'!A:A,'DGS10'!B:B,"",-1)</f>
        <v>4.2300000000000004</v>
      </c>
      <c r="H2348">
        <f t="shared" si="290"/>
        <v>-0.13999999999999968</v>
      </c>
      <c r="I2348" s="2">
        <f>_xlfn.XLOOKUP(A2348,T10Y3M!A:A,T10Y3M!B:B,"",-1)</f>
        <v>-0.12</v>
      </c>
      <c r="J2348" s="2">
        <f>_xlfn.XLOOKUP(A2348,BAMLC0A4CBBB!A:A,BAMLC0A4CBBB!B:B,"",-1)</f>
        <v>1.04</v>
      </c>
      <c r="K2348" s="2">
        <f>_xlfn.XLOOKUP(A2348,CPIAUCSL!A:A,CPIAUCSL!B:B,"",-1)</f>
        <v>323.291</v>
      </c>
      <c r="L2348">
        <f>_xlfn.XLOOKUP(A2348,DFF!A:A,DFF!B:B,"",-1)</f>
        <v>4.33</v>
      </c>
      <c r="M2348">
        <f>_xlfn.XLOOKUP(A2348,'DGS2'!A:A,'DGS2'!B:B,"",-1)</f>
        <v>3.69</v>
      </c>
      <c r="N2348">
        <f t="shared" si="291"/>
        <v>-0.25</v>
      </c>
      <c r="O2348">
        <f t="shared" si="292"/>
        <v>1.473707159815385E-2</v>
      </c>
      <c r="P2348">
        <f t="shared" si="293"/>
        <v>1</v>
      </c>
      <c r="Q2348">
        <f t="shared" si="294"/>
        <v>1</v>
      </c>
    </row>
    <row r="2349" spans="1:17">
      <c r="A2349" s="1">
        <v>45873</v>
      </c>
      <c r="B2349">
        <v>6329.94</v>
      </c>
      <c r="C2349">
        <f t="shared" si="288"/>
        <v>1.473707159815385E-2</v>
      </c>
      <c r="D2349">
        <f t="shared" si="295"/>
        <v>-5.1800279746656575E-3</v>
      </c>
      <c r="E2349">
        <f>_xlfn.XLOOKUP(A2349,VIX!A:A,VIX!B:B,"",-1)</f>
        <v>17.52</v>
      </c>
      <c r="F2349">
        <f t="shared" si="289"/>
        <v>-2.8599999999999994</v>
      </c>
      <c r="G2349">
        <f>_xlfn.XLOOKUP(A2349,'DGS10'!A:A,'DGS10'!B:B,"",-1)</f>
        <v>4.22</v>
      </c>
      <c r="H2349">
        <f t="shared" si="290"/>
        <v>-1.0000000000000675E-2</v>
      </c>
      <c r="I2349" s="2">
        <f>_xlfn.XLOOKUP(A2349,T10Y3M!A:A,T10Y3M!B:B,"",-1)</f>
        <v>-0.13</v>
      </c>
      <c r="J2349" s="2">
        <f>_xlfn.XLOOKUP(A2349,BAMLC0A4CBBB!A:A,BAMLC0A4CBBB!B:B,"",-1)</f>
        <v>1.04</v>
      </c>
      <c r="K2349" s="2">
        <f>_xlfn.XLOOKUP(A2349,CPIAUCSL!A:A,CPIAUCSL!B:B,"",-1)</f>
        <v>323.291</v>
      </c>
      <c r="L2349">
        <f>_xlfn.XLOOKUP(A2349,DFF!A:A,DFF!B:B,"",-1)</f>
        <v>4.33</v>
      </c>
      <c r="M2349">
        <f>_xlfn.XLOOKUP(A2349,'DGS2'!A:A,'DGS2'!B:B,"",-1)</f>
        <v>3.69</v>
      </c>
      <c r="N2349">
        <f t="shared" si="291"/>
        <v>0</v>
      </c>
      <c r="O2349">
        <f t="shared" si="292"/>
        <v>-4.8578659513360822E-3</v>
      </c>
      <c r="P2349">
        <f t="shared" si="293"/>
        <v>0</v>
      </c>
      <c r="Q2349">
        <f t="shared" si="294"/>
        <v>-1</v>
      </c>
    </row>
    <row r="2350" spans="1:17">
      <c r="A2350" s="1">
        <v>45874</v>
      </c>
      <c r="B2350">
        <v>6299.19</v>
      </c>
      <c r="C2350">
        <f t="shared" si="288"/>
        <v>-4.8578659513360822E-3</v>
      </c>
      <c r="D2350">
        <f t="shared" si="295"/>
        <v>-6.3413041317856855E-3</v>
      </c>
      <c r="E2350">
        <f>_xlfn.XLOOKUP(A2350,VIX!A:A,VIX!B:B,"",-1)</f>
        <v>17.850000000000001</v>
      </c>
      <c r="F2350">
        <f t="shared" si="289"/>
        <v>0.33000000000000185</v>
      </c>
      <c r="G2350">
        <f>_xlfn.XLOOKUP(A2350,'DGS10'!A:A,'DGS10'!B:B,"",-1)</f>
        <v>4.22</v>
      </c>
      <c r="H2350">
        <f t="shared" si="290"/>
        <v>0</v>
      </c>
      <c r="I2350" s="2">
        <f>_xlfn.XLOOKUP(A2350,T10Y3M!A:A,T10Y3M!B:B,"",-1)</f>
        <v>-0.12</v>
      </c>
      <c r="J2350" s="2">
        <f>_xlfn.XLOOKUP(A2350,BAMLC0A4CBBB!A:A,BAMLC0A4CBBB!B:B,"",-1)</f>
        <v>1.03</v>
      </c>
      <c r="K2350" s="2">
        <f>_xlfn.XLOOKUP(A2350,CPIAUCSL!A:A,CPIAUCSL!B:B,"",-1)</f>
        <v>323.291</v>
      </c>
      <c r="L2350">
        <f>_xlfn.XLOOKUP(A2350,DFF!A:A,DFF!B:B,"",-1)</f>
        <v>4.33</v>
      </c>
      <c r="M2350">
        <f>_xlfn.XLOOKUP(A2350,'DGS2'!A:A,'DGS2'!B:B,"",-1)</f>
        <v>3.72</v>
      </c>
      <c r="N2350">
        <f t="shared" si="291"/>
        <v>3.0000000000000249E-2</v>
      </c>
      <c r="O2350">
        <f t="shared" si="292"/>
        <v>7.2818886237755454E-3</v>
      </c>
      <c r="P2350">
        <f t="shared" si="293"/>
        <v>1</v>
      </c>
      <c r="Q2350">
        <f t="shared" si="294"/>
        <v>1</v>
      </c>
    </row>
    <row r="2351" spans="1:17">
      <c r="A2351" s="1">
        <v>45875</v>
      </c>
      <c r="B2351">
        <v>6345.06</v>
      </c>
      <c r="C2351">
        <f t="shared" si="288"/>
        <v>7.2818886237755454E-3</v>
      </c>
      <c r="D2351">
        <f t="shared" si="295"/>
        <v>1.7160921511828242E-2</v>
      </c>
      <c r="E2351">
        <f>_xlfn.XLOOKUP(A2351,VIX!A:A,VIX!B:B,"",-1)</f>
        <v>16.77</v>
      </c>
      <c r="F2351">
        <f t="shared" si="289"/>
        <v>-1.0800000000000018</v>
      </c>
      <c r="G2351">
        <f>_xlfn.XLOOKUP(A2351,'DGS10'!A:A,'DGS10'!B:B,"",-1)</f>
        <v>4.22</v>
      </c>
      <c r="H2351">
        <f t="shared" si="290"/>
        <v>0</v>
      </c>
      <c r="I2351" s="2">
        <f>_xlfn.XLOOKUP(A2351,T10Y3M!A:A,T10Y3M!B:B,"",-1)</f>
        <v>-0.1</v>
      </c>
      <c r="J2351" s="2">
        <f>_xlfn.XLOOKUP(A2351,BAMLC0A4CBBB!A:A,BAMLC0A4CBBB!B:B,"",-1)</f>
        <v>1.02</v>
      </c>
      <c r="K2351" s="2">
        <f>_xlfn.XLOOKUP(A2351,CPIAUCSL!A:A,CPIAUCSL!B:B,"",-1)</f>
        <v>323.291</v>
      </c>
      <c r="L2351">
        <f>_xlfn.XLOOKUP(A2351,DFF!A:A,DFF!B:B,"",-1)</f>
        <v>4.33</v>
      </c>
      <c r="M2351">
        <f>_xlfn.XLOOKUP(A2351,'DGS2'!A:A,'DGS2'!B:B,"",-1)</f>
        <v>3.69</v>
      </c>
      <c r="N2351">
        <f t="shared" si="291"/>
        <v>-3.0000000000000249E-2</v>
      </c>
      <c r="O2351">
        <f t="shared" si="292"/>
        <v>-7.9747078829839335E-4</v>
      </c>
      <c r="P2351">
        <f t="shared" si="293"/>
        <v>0</v>
      </c>
      <c r="Q2351">
        <f t="shared" si="294"/>
        <v>0</v>
      </c>
    </row>
    <row r="2352" spans="1:17">
      <c r="A2352" s="1">
        <v>45876</v>
      </c>
      <c r="B2352">
        <v>6340</v>
      </c>
      <c r="C2352">
        <f t="shared" si="288"/>
        <v>-7.9747078829839335E-4</v>
      </c>
      <c r="D2352">
        <f t="shared" si="295"/>
        <v>1.5892725681445619E-3</v>
      </c>
      <c r="E2352">
        <f>_xlfn.XLOOKUP(A2352,VIX!A:A,VIX!B:B,"",-1)</f>
        <v>16.57</v>
      </c>
      <c r="F2352">
        <f t="shared" si="289"/>
        <v>-0.19999999999999929</v>
      </c>
      <c r="G2352">
        <f>_xlfn.XLOOKUP(A2352,'DGS10'!A:A,'DGS10'!B:B,"",-1)</f>
        <v>4.2300000000000004</v>
      </c>
      <c r="H2352">
        <f t="shared" si="290"/>
        <v>1.0000000000000675E-2</v>
      </c>
      <c r="I2352" s="2">
        <f>_xlfn.XLOOKUP(A2352,T10Y3M!A:A,T10Y3M!B:B,"",-1)</f>
        <v>-0.09</v>
      </c>
      <c r="J2352" s="2">
        <f>_xlfn.XLOOKUP(A2352,BAMLC0A4CBBB!A:A,BAMLC0A4CBBB!B:B,"",-1)</f>
        <v>1.01</v>
      </c>
      <c r="K2352" s="2">
        <f>_xlfn.XLOOKUP(A2352,CPIAUCSL!A:A,CPIAUCSL!B:B,"",-1)</f>
        <v>323.291</v>
      </c>
      <c r="L2352">
        <f>_xlfn.XLOOKUP(A2352,DFF!A:A,DFF!B:B,"",-1)</f>
        <v>4.33</v>
      </c>
      <c r="M2352">
        <f>_xlfn.XLOOKUP(A2352,'DGS2'!A:A,'DGS2'!B:B,"",-1)</f>
        <v>3.72</v>
      </c>
      <c r="N2352">
        <f t="shared" si="291"/>
        <v>3.0000000000000249E-2</v>
      </c>
      <c r="O2352">
        <f t="shared" si="292"/>
        <v>7.7996845425867267E-3</v>
      </c>
      <c r="P2352">
        <f t="shared" si="293"/>
        <v>1</v>
      </c>
      <c r="Q2352">
        <f t="shared" si="294"/>
        <v>1</v>
      </c>
    </row>
    <row r="2353" spans="1:17">
      <c r="A2353" s="1">
        <v>45877</v>
      </c>
      <c r="B2353">
        <v>6389.45</v>
      </c>
      <c r="C2353">
        <f t="shared" si="288"/>
        <v>7.7996845425867267E-3</v>
      </c>
      <c r="D2353">
        <f t="shared" si="295"/>
        <v>1.4328826404664818E-2</v>
      </c>
      <c r="E2353">
        <f>_xlfn.XLOOKUP(A2353,VIX!A:A,VIX!B:B,"",-1)</f>
        <v>15.15</v>
      </c>
      <c r="F2353">
        <f t="shared" si="289"/>
        <v>-1.42</v>
      </c>
      <c r="G2353">
        <f>_xlfn.XLOOKUP(A2353,'DGS10'!A:A,'DGS10'!B:B,"",-1)</f>
        <v>4.2699999999999996</v>
      </c>
      <c r="H2353">
        <f t="shared" si="290"/>
        <v>3.9999999999999147E-2</v>
      </c>
      <c r="I2353" s="2">
        <f>_xlfn.XLOOKUP(A2353,T10Y3M!A:A,T10Y3M!B:B,"",-1)</f>
        <v>-0.05</v>
      </c>
      <c r="J2353" s="2">
        <f>_xlfn.XLOOKUP(A2353,BAMLC0A4CBBB!A:A,BAMLC0A4CBBB!B:B,"",-1)</f>
        <v>1.01</v>
      </c>
      <c r="K2353" s="2">
        <f>_xlfn.XLOOKUP(A2353,CPIAUCSL!A:A,CPIAUCSL!B:B,"",-1)</f>
        <v>323.291</v>
      </c>
      <c r="L2353">
        <f>_xlfn.XLOOKUP(A2353,DFF!A:A,DFF!B:B,"",-1)</f>
        <v>4.33</v>
      </c>
      <c r="M2353">
        <f>_xlfn.XLOOKUP(A2353,'DGS2'!A:A,'DGS2'!B:B,"",-1)</f>
        <v>3.76</v>
      </c>
      <c r="N2353">
        <f t="shared" si="291"/>
        <v>3.9999999999999591E-2</v>
      </c>
      <c r="O2353">
        <f t="shared" si="292"/>
        <v>-2.5041278983324311E-3</v>
      </c>
      <c r="P2353">
        <f t="shared" si="293"/>
        <v>0</v>
      </c>
      <c r="Q2353">
        <f t="shared" si="294"/>
        <v>0</v>
      </c>
    </row>
    <row r="2354" spans="1:17">
      <c r="A2354" s="1">
        <v>45880</v>
      </c>
      <c r="B2354">
        <v>6373.45</v>
      </c>
      <c r="C2354">
        <f t="shared" si="288"/>
        <v>-2.5041278983324311E-3</v>
      </c>
      <c r="D2354">
        <f t="shared" si="295"/>
        <v>4.4743469722900997E-3</v>
      </c>
      <c r="E2354">
        <f>_xlfn.XLOOKUP(A2354,VIX!A:A,VIX!B:B,"",-1)</f>
        <v>16.25</v>
      </c>
      <c r="F2354">
        <f t="shared" si="289"/>
        <v>1.0999999999999996</v>
      </c>
      <c r="G2354">
        <f>_xlfn.XLOOKUP(A2354,'DGS10'!A:A,'DGS10'!B:B,"",-1)</f>
        <v>4.2699999999999996</v>
      </c>
      <c r="H2354">
        <f t="shared" si="290"/>
        <v>0</v>
      </c>
      <c r="I2354" s="2">
        <f>_xlfn.XLOOKUP(A2354,T10Y3M!A:A,T10Y3M!B:B,"",-1)</f>
        <v>-7.0000000000000007E-2</v>
      </c>
      <c r="J2354" s="2">
        <f>_xlfn.XLOOKUP(A2354,BAMLC0A4CBBB!A:A,BAMLC0A4CBBB!B:B,"",-1)</f>
        <v>1.01</v>
      </c>
      <c r="K2354" s="2">
        <f>_xlfn.XLOOKUP(A2354,CPIAUCSL!A:A,CPIAUCSL!B:B,"",-1)</f>
        <v>323.291</v>
      </c>
      <c r="L2354">
        <f>_xlfn.XLOOKUP(A2354,DFF!A:A,DFF!B:B,"",-1)</f>
        <v>4.33</v>
      </c>
      <c r="M2354">
        <f>_xlfn.XLOOKUP(A2354,'DGS2'!A:A,'DGS2'!B:B,"",-1)</f>
        <v>3.76</v>
      </c>
      <c r="N2354">
        <f t="shared" si="291"/>
        <v>0</v>
      </c>
      <c r="O2354">
        <f t="shared" si="292"/>
        <v>1.1345503612643082E-2</v>
      </c>
      <c r="P2354">
        <f t="shared" si="293"/>
        <v>1</v>
      </c>
      <c r="Q2354">
        <f t="shared" si="294"/>
        <v>1</v>
      </c>
    </row>
    <row r="2355" spans="1:17">
      <c r="A2355" s="1">
        <v>45881</v>
      </c>
      <c r="B2355">
        <v>6445.76</v>
      </c>
      <c r="C2355">
        <f t="shared" si="288"/>
        <v>1.1345503612643082E-2</v>
      </c>
      <c r="D2355">
        <f t="shared" si="295"/>
        <v>1.6681388012618426E-2</v>
      </c>
      <c r="E2355">
        <f>_xlfn.XLOOKUP(A2355,VIX!A:A,VIX!B:B,"",-1)</f>
        <v>14.73</v>
      </c>
      <c r="F2355">
        <f t="shared" si="289"/>
        <v>-1.5199999999999996</v>
      </c>
      <c r="G2355">
        <f>_xlfn.XLOOKUP(A2355,'DGS10'!A:A,'DGS10'!B:B,"",-1)</f>
        <v>4.29</v>
      </c>
      <c r="H2355">
        <f t="shared" si="290"/>
        <v>2.0000000000000462E-2</v>
      </c>
      <c r="I2355" s="2">
        <f>_xlfn.XLOOKUP(A2355,T10Y3M!A:A,T10Y3M!B:B,"",-1)</f>
        <v>-0.04</v>
      </c>
      <c r="J2355" s="2">
        <f>_xlfn.XLOOKUP(A2355,BAMLC0A4CBBB!A:A,BAMLC0A4CBBB!B:B,"",-1)</f>
        <v>1</v>
      </c>
      <c r="K2355" s="2">
        <f>_xlfn.XLOOKUP(A2355,CPIAUCSL!A:A,CPIAUCSL!B:B,"",-1)</f>
        <v>323.291</v>
      </c>
      <c r="L2355">
        <f>_xlfn.XLOOKUP(A2355,DFF!A:A,DFF!B:B,"",-1)</f>
        <v>4.33</v>
      </c>
      <c r="M2355">
        <f>_xlfn.XLOOKUP(A2355,'DGS2'!A:A,'DGS2'!B:B,"",-1)</f>
        <v>3.72</v>
      </c>
      <c r="N2355">
        <f t="shared" si="291"/>
        <v>-3.9999999999999591E-2</v>
      </c>
      <c r="O2355">
        <f t="shared" si="292"/>
        <v>3.2300302834731287E-3</v>
      </c>
      <c r="P2355">
        <f t="shared" si="293"/>
        <v>1</v>
      </c>
      <c r="Q2355">
        <f t="shared" si="294"/>
        <v>1</v>
      </c>
    </row>
    <row r="2356" spans="1:17">
      <c r="A2356" s="1">
        <v>45882</v>
      </c>
      <c r="B2356">
        <v>6466.58</v>
      </c>
      <c r="C2356">
        <f t="shared" si="288"/>
        <v>3.2300302834731287E-3</v>
      </c>
      <c r="D2356">
        <f t="shared" si="295"/>
        <v>1.2071461549898688E-2</v>
      </c>
      <c r="E2356">
        <f>_xlfn.XLOOKUP(A2356,VIX!A:A,VIX!B:B,"",-1)</f>
        <v>14.49</v>
      </c>
      <c r="F2356">
        <f t="shared" si="289"/>
        <v>-0.24000000000000021</v>
      </c>
      <c r="G2356">
        <f>_xlfn.XLOOKUP(A2356,'DGS10'!A:A,'DGS10'!B:B,"",-1)</f>
        <v>4.24</v>
      </c>
      <c r="H2356">
        <f t="shared" si="290"/>
        <v>-4.9999999999999822E-2</v>
      </c>
      <c r="I2356" s="2">
        <f>_xlfn.XLOOKUP(A2356,T10Y3M!A:A,T10Y3M!B:B,"",-1)</f>
        <v>-0.05</v>
      </c>
      <c r="J2356" s="2">
        <f>_xlfn.XLOOKUP(A2356,BAMLC0A4CBBB!A:A,BAMLC0A4CBBB!B:B,"",-1)</f>
        <v>0.98</v>
      </c>
      <c r="K2356" s="2">
        <f>_xlfn.XLOOKUP(A2356,CPIAUCSL!A:A,CPIAUCSL!B:B,"",-1)</f>
        <v>323.291</v>
      </c>
      <c r="L2356">
        <f>_xlfn.XLOOKUP(A2356,DFF!A:A,DFF!B:B,"",-1)</f>
        <v>4.33</v>
      </c>
      <c r="M2356">
        <f>_xlfn.XLOOKUP(A2356,'DGS2'!A:A,'DGS2'!B:B,"",-1)</f>
        <v>3.67</v>
      </c>
      <c r="N2356">
        <f t="shared" si="291"/>
        <v>-5.0000000000000266E-2</v>
      </c>
      <c r="O2356">
        <f t="shared" si="292"/>
        <v>3.0309684562790373E-4</v>
      </c>
      <c r="P2356">
        <f t="shared" si="293"/>
        <v>1</v>
      </c>
      <c r="Q2356">
        <f t="shared" si="294"/>
        <v>0</v>
      </c>
    </row>
    <row r="2357" spans="1:17">
      <c r="A2357" s="1">
        <v>45883</v>
      </c>
      <c r="B2357">
        <v>6468.54</v>
      </c>
      <c r="C2357">
        <f t="shared" si="288"/>
        <v>3.0309684562790373E-4</v>
      </c>
      <c r="D2357">
        <f t="shared" si="295"/>
        <v>1.4919705967725516E-2</v>
      </c>
      <c r="E2357">
        <f>_xlfn.XLOOKUP(A2357,VIX!A:A,VIX!B:B,"",-1)</f>
        <v>14.83</v>
      </c>
      <c r="F2357">
        <f t="shared" si="289"/>
        <v>0.33999999999999986</v>
      </c>
      <c r="G2357">
        <f>_xlfn.XLOOKUP(A2357,'DGS10'!A:A,'DGS10'!B:B,"",-1)</f>
        <v>4.29</v>
      </c>
      <c r="H2357">
        <f t="shared" si="290"/>
        <v>4.9999999999999822E-2</v>
      </c>
      <c r="I2357" s="2">
        <f>_xlfn.XLOOKUP(A2357,T10Y3M!A:A,T10Y3M!B:B,"",-1)</f>
        <v>-0.01</v>
      </c>
      <c r="J2357" s="2">
        <f>_xlfn.XLOOKUP(A2357,BAMLC0A4CBBB!A:A,BAMLC0A4CBBB!B:B,"",-1)</f>
        <v>0.97</v>
      </c>
      <c r="K2357" s="2">
        <f>_xlfn.XLOOKUP(A2357,CPIAUCSL!A:A,CPIAUCSL!B:B,"",-1)</f>
        <v>323.291</v>
      </c>
      <c r="L2357">
        <f>_xlfn.XLOOKUP(A2357,DFF!A:A,DFF!B:B,"",-1)</f>
        <v>4.33</v>
      </c>
      <c r="M2357">
        <f>_xlfn.XLOOKUP(A2357,'DGS2'!A:A,'DGS2'!B:B,"",-1)</f>
        <v>3.74</v>
      </c>
      <c r="N2357">
        <f t="shared" si="291"/>
        <v>7.0000000000000284E-2</v>
      </c>
      <c r="O2357">
        <f t="shared" si="292"/>
        <v>-2.8970988816641174E-3</v>
      </c>
      <c r="P2357">
        <f t="shared" si="293"/>
        <v>0</v>
      </c>
      <c r="Q2357">
        <f t="shared" si="294"/>
        <v>0</v>
      </c>
    </row>
    <row r="2358" spans="1:17">
      <c r="A2358" s="1">
        <v>45884</v>
      </c>
      <c r="B2358">
        <v>6449.8</v>
      </c>
      <c r="C2358">
        <f t="shared" si="288"/>
        <v>-2.8970988816641174E-3</v>
      </c>
      <c r="D2358">
        <f t="shared" si="295"/>
        <v>6.2676860447807847E-4</v>
      </c>
      <c r="E2358">
        <f>_xlfn.XLOOKUP(A2358,VIX!A:A,VIX!B:B,"",-1)</f>
        <v>15.09</v>
      </c>
      <c r="F2358">
        <f t="shared" si="289"/>
        <v>0.25999999999999979</v>
      </c>
      <c r="G2358">
        <f>_xlfn.XLOOKUP(A2358,'DGS10'!A:A,'DGS10'!B:B,"",-1)</f>
        <v>4.33</v>
      </c>
      <c r="H2358">
        <f t="shared" si="290"/>
        <v>4.0000000000000036E-2</v>
      </c>
      <c r="I2358" s="2">
        <f>_xlfn.XLOOKUP(A2358,T10Y3M!A:A,T10Y3M!B:B,"",-1)</f>
        <v>0.03</v>
      </c>
      <c r="J2358" s="2">
        <f>_xlfn.XLOOKUP(A2358,BAMLC0A4CBBB!A:A,BAMLC0A4CBBB!B:B,"",-1)</f>
        <v>0.96</v>
      </c>
      <c r="K2358" s="2">
        <f>_xlfn.XLOOKUP(A2358,CPIAUCSL!A:A,CPIAUCSL!B:B,"",-1)</f>
        <v>323.291</v>
      </c>
      <c r="L2358">
        <f>_xlfn.XLOOKUP(A2358,DFF!A:A,DFF!B:B,"",-1)</f>
        <v>4.33</v>
      </c>
      <c r="M2358">
        <f>_xlfn.XLOOKUP(A2358,'DGS2'!A:A,'DGS2'!B:B,"",-1)</f>
        <v>3.75</v>
      </c>
      <c r="N2358">
        <f t="shared" si="291"/>
        <v>9.9999999999997868E-3</v>
      </c>
      <c r="O2358">
        <f t="shared" si="292"/>
        <v>-1.0077831870769494E-4</v>
      </c>
      <c r="P2358">
        <f t="shared" si="293"/>
        <v>0</v>
      </c>
      <c r="Q2358">
        <f t="shared" si="294"/>
        <v>0</v>
      </c>
    </row>
    <row r="2359" spans="1:17">
      <c r="A2359" s="1">
        <v>45887</v>
      </c>
      <c r="B2359">
        <v>6449.15</v>
      </c>
      <c r="C2359">
        <f t="shared" si="288"/>
        <v>-1.0077831870769494E-4</v>
      </c>
      <c r="D2359">
        <f t="shared" si="295"/>
        <v>-2.6953969486189777E-3</v>
      </c>
      <c r="E2359">
        <f>_xlfn.XLOOKUP(A2359,VIX!A:A,VIX!B:B,"",-1)</f>
        <v>14.99</v>
      </c>
      <c r="F2359">
        <f t="shared" si="289"/>
        <v>-9.9999999999999645E-2</v>
      </c>
      <c r="G2359">
        <f>_xlfn.XLOOKUP(A2359,'DGS10'!A:A,'DGS10'!B:B,"",-1)</f>
        <v>4.34</v>
      </c>
      <c r="H2359">
        <f t="shared" si="290"/>
        <v>9.9999999999997868E-3</v>
      </c>
      <c r="I2359" s="2">
        <f>_xlfn.XLOOKUP(A2359,T10Y3M!A:A,T10Y3M!B:B,"",-1)</f>
        <v>0.01</v>
      </c>
      <c r="J2359" s="2">
        <f>_xlfn.XLOOKUP(A2359,BAMLC0A4CBBB!A:A,BAMLC0A4CBBB!B:B,"",-1)</f>
        <v>0.96</v>
      </c>
      <c r="K2359" s="2">
        <f>_xlfn.XLOOKUP(A2359,CPIAUCSL!A:A,CPIAUCSL!B:B,"",-1)</f>
        <v>323.291</v>
      </c>
      <c r="L2359">
        <f>_xlfn.XLOOKUP(A2359,DFF!A:A,DFF!B:B,"",-1)</f>
        <v>4.33</v>
      </c>
      <c r="M2359">
        <f>_xlfn.XLOOKUP(A2359,'DGS2'!A:A,'DGS2'!B:B,"",-1)</f>
        <v>3.77</v>
      </c>
      <c r="N2359">
        <f t="shared" si="291"/>
        <v>2.0000000000000018E-2</v>
      </c>
      <c r="O2359">
        <f t="shared" si="292"/>
        <v>-5.8581363435491474E-3</v>
      </c>
      <c r="P2359">
        <f t="shared" si="293"/>
        <v>0</v>
      </c>
      <c r="Q2359">
        <f t="shared" si="294"/>
        <v>-1</v>
      </c>
    </row>
    <row r="2360" spans="1:17">
      <c r="A2360" s="1">
        <v>45888</v>
      </c>
      <c r="B2360">
        <v>6411.37</v>
      </c>
      <c r="C2360">
        <f t="shared" si="288"/>
        <v>-5.8581363435491474E-3</v>
      </c>
      <c r="D2360">
        <f t="shared" si="295"/>
        <v>-8.8381613161547801E-3</v>
      </c>
      <c r="E2360">
        <f>_xlfn.XLOOKUP(A2360,VIX!A:A,VIX!B:B,"",-1)</f>
        <v>15.57</v>
      </c>
      <c r="F2360">
        <f t="shared" si="289"/>
        <v>0.58000000000000007</v>
      </c>
      <c r="G2360">
        <f>_xlfn.XLOOKUP(A2360,'DGS10'!A:A,'DGS10'!B:B,"",-1)</f>
        <v>4.3</v>
      </c>
      <c r="H2360">
        <f t="shared" si="290"/>
        <v>-4.0000000000000036E-2</v>
      </c>
      <c r="I2360" s="2">
        <f>_xlfn.XLOOKUP(A2360,T10Y3M!A:A,T10Y3M!B:B,"",-1)</f>
        <v>0</v>
      </c>
      <c r="J2360" s="2">
        <f>_xlfn.XLOOKUP(A2360,BAMLC0A4CBBB!A:A,BAMLC0A4CBBB!B:B,"",-1)</f>
        <v>0.97</v>
      </c>
      <c r="K2360" s="2">
        <f>_xlfn.XLOOKUP(A2360,CPIAUCSL!A:A,CPIAUCSL!B:B,"",-1)</f>
        <v>323.291</v>
      </c>
      <c r="L2360">
        <f>_xlfn.XLOOKUP(A2360,DFF!A:A,DFF!B:B,"",-1)</f>
        <v>4.33</v>
      </c>
      <c r="M2360">
        <f>_xlfn.XLOOKUP(A2360,'DGS2'!A:A,'DGS2'!B:B,"",-1)</f>
        <v>3.75</v>
      </c>
      <c r="N2360">
        <f t="shared" si="291"/>
        <v>-2.0000000000000018E-2</v>
      </c>
      <c r="O2360">
        <f t="shared" si="292"/>
        <v>-2.4316175793941408E-3</v>
      </c>
      <c r="P2360">
        <f t="shared" si="293"/>
        <v>0</v>
      </c>
      <c r="Q2360">
        <f t="shared" si="294"/>
        <v>0</v>
      </c>
    </row>
    <row r="2361" spans="1:17">
      <c r="A2361" s="1">
        <v>45889</v>
      </c>
      <c r="B2361">
        <v>6395.78</v>
      </c>
      <c r="C2361">
        <f t="shared" si="288"/>
        <v>-2.4316175793941408E-3</v>
      </c>
      <c r="D2361">
        <f t="shared" si="295"/>
        <v>-8.3754535024342935E-3</v>
      </c>
      <c r="E2361">
        <f>_xlfn.XLOOKUP(A2361,VIX!A:A,VIX!B:B,"",-1)</f>
        <v>15.69</v>
      </c>
      <c r="F2361">
        <f t="shared" si="289"/>
        <v>0.11999999999999922</v>
      </c>
      <c r="G2361">
        <f>_xlfn.XLOOKUP(A2361,'DGS10'!A:A,'DGS10'!B:B,"",-1)</f>
        <v>4.29</v>
      </c>
      <c r="H2361">
        <f t="shared" si="290"/>
        <v>-9.9999999999997868E-3</v>
      </c>
      <c r="I2361" s="2">
        <f>_xlfn.XLOOKUP(A2361,T10Y3M!A:A,T10Y3M!B:B,"",-1)</f>
        <v>-0.01</v>
      </c>
      <c r="J2361" s="2">
        <f>_xlfn.XLOOKUP(A2361,BAMLC0A4CBBB!A:A,BAMLC0A4CBBB!B:B,"",-1)</f>
        <v>0.98</v>
      </c>
      <c r="K2361" s="2">
        <f>_xlfn.XLOOKUP(A2361,CPIAUCSL!A:A,CPIAUCSL!B:B,"",-1)</f>
        <v>323.291</v>
      </c>
      <c r="L2361">
        <f>_xlfn.XLOOKUP(A2361,DFF!A:A,DFF!B:B,"",-1)</f>
        <v>4.33</v>
      </c>
      <c r="M2361">
        <f>_xlfn.XLOOKUP(A2361,'DGS2'!A:A,'DGS2'!B:B,"",-1)</f>
        <v>3.74</v>
      </c>
      <c r="N2361">
        <f t="shared" si="291"/>
        <v>-9.9999999999997868E-3</v>
      </c>
      <c r="O2361">
        <f t="shared" si="292"/>
        <v>-4.0042027712021699E-3</v>
      </c>
      <c r="P2361">
        <f t="shared" si="293"/>
        <v>0</v>
      </c>
      <c r="Q2361">
        <f t="shared" si="294"/>
        <v>-1</v>
      </c>
    </row>
    <row r="2362" spans="1:17">
      <c r="A2362" s="1">
        <v>45890</v>
      </c>
      <c r="B2362">
        <v>6370.17</v>
      </c>
      <c r="C2362">
        <f t="shared" si="288"/>
        <v>-4.0042027712021699E-3</v>
      </c>
      <c r="D2362">
        <f t="shared" si="295"/>
        <v>-1.2246575130055781E-2</v>
      </c>
      <c r="E2362">
        <f>_xlfn.XLOOKUP(A2362,VIX!A:A,VIX!B:B,"",-1)</f>
        <v>16.600000000000001</v>
      </c>
      <c r="F2362">
        <f t="shared" si="289"/>
        <v>0.91000000000000192</v>
      </c>
      <c r="G2362">
        <f>_xlfn.XLOOKUP(A2362,'DGS10'!A:A,'DGS10'!B:B,"",-1)</f>
        <v>4.33</v>
      </c>
      <c r="H2362">
        <f t="shared" si="290"/>
        <v>4.0000000000000036E-2</v>
      </c>
      <c r="I2362" s="2">
        <f>_xlfn.XLOOKUP(A2362,T10Y3M!A:A,T10Y3M!B:B,"",-1)</f>
        <v>0.01</v>
      </c>
      <c r="J2362" s="2">
        <f>_xlfn.XLOOKUP(A2362,BAMLC0A4CBBB!A:A,BAMLC0A4CBBB!B:B,"",-1)</f>
        <v>0.98</v>
      </c>
      <c r="K2362" s="2">
        <f>_xlfn.XLOOKUP(A2362,CPIAUCSL!A:A,CPIAUCSL!B:B,"",-1)</f>
        <v>323.291</v>
      </c>
      <c r="L2362">
        <f>_xlfn.XLOOKUP(A2362,DFF!A:A,DFF!B:B,"",-1)</f>
        <v>4.33</v>
      </c>
      <c r="M2362">
        <f>_xlfn.XLOOKUP(A2362,'DGS2'!A:A,'DGS2'!B:B,"",-1)</f>
        <v>3.79</v>
      </c>
      <c r="N2362">
        <f t="shared" si="291"/>
        <v>4.9999999999999822E-2</v>
      </c>
      <c r="O2362">
        <f t="shared" si="292"/>
        <v>1.518640789806236E-2</v>
      </c>
      <c r="P2362">
        <f t="shared" si="293"/>
        <v>1</v>
      </c>
      <c r="Q2362">
        <f t="shared" si="294"/>
        <v>1</v>
      </c>
    </row>
    <row r="2363" spans="1:17">
      <c r="A2363" s="1">
        <v>45891</v>
      </c>
      <c r="B2363">
        <v>6466.91</v>
      </c>
      <c r="C2363">
        <f t="shared" si="288"/>
        <v>1.518640789806236E-2</v>
      </c>
      <c r="D2363">
        <f t="shared" si="295"/>
        <v>8.6627351096566496E-3</v>
      </c>
      <c r="E2363">
        <f>_xlfn.XLOOKUP(A2363,VIX!A:A,VIX!B:B,"",-1)</f>
        <v>14.22</v>
      </c>
      <c r="F2363">
        <f t="shared" si="289"/>
        <v>-2.3800000000000008</v>
      </c>
      <c r="G2363">
        <f>_xlfn.XLOOKUP(A2363,'DGS10'!A:A,'DGS10'!B:B,"",-1)</f>
        <v>4.26</v>
      </c>
      <c r="H2363">
        <f t="shared" si="290"/>
        <v>-7.0000000000000284E-2</v>
      </c>
      <c r="I2363" s="2">
        <f>_xlfn.XLOOKUP(A2363,T10Y3M!A:A,T10Y3M!B:B,"",-1)</f>
        <v>-0.01</v>
      </c>
      <c r="J2363" s="2">
        <f>_xlfn.XLOOKUP(A2363,BAMLC0A4CBBB!A:A,BAMLC0A4CBBB!B:B,"",-1)</f>
        <v>0.97</v>
      </c>
      <c r="K2363" s="2">
        <f>_xlfn.XLOOKUP(A2363,CPIAUCSL!A:A,CPIAUCSL!B:B,"",-1)</f>
        <v>323.291</v>
      </c>
      <c r="L2363">
        <f>_xlfn.XLOOKUP(A2363,DFF!A:A,DFF!B:B,"",-1)</f>
        <v>4.33</v>
      </c>
      <c r="M2363">
        <f>_xlfn.XLOOKUP(A2363,'DGS2'!A:A,'DGS2'!B:B,"",-1)</f>
        <v>3.68</v>
      </c>
      <c r="N2363">
        <f t="shared" si="291"/>
        <v>-0.10999999999999988</v>
      </c>
      <c r="O2363">
        <f t="shared" si="292"/>
        <v>-4.2663343080389105E-3</v>
      </c>
      <c r="P2363">
        <f t="shared" si="293"/>
        <v>0</v>
      </c>
      <c r="Q2363">
        <f t="shared" si="294"/>
        <v>-1</v>
      </c>
    </row>
    <row r="2364" spans="1:17">
      <c r="A2364" s="1">
        <v>45894</v>
      </c>
      <c r="B2364">
        <v>6439.32</v>
      </c>
      <c r="C2364">
        <f t="shared" si="288"/>
        <v>-4.2663343080389105E-3</v>
      </c>
      <c r="D2364">
        <f t="shared" si="295"/>
        <v>6.8076137703299011E-3</v>
      </c>
      <c r="E2364">
        <f>_xlfn.XLOOKUP(A2364,VIX!A:A,VIX!B:B,"",-1)</f>
        <v>14.79</v>
      </c>
      <c r="F2364">
        <f t="shared" si="289"/>
        <v>0.56999999999999851</v>
      </c>
      <c r="G2364">
        <f>_xlfn.XLOOKUP(A2364,'DGS10'!A:A,'DGS10'!B:B,"",-1)</f>
        <v>4.28</v>
      </c>
      <c r="H2364">
        <f t="shared" si="290"/>
        <v>2.0000000000000462E-2</v>
      </c>
      <c r="I2364" s="2">
        <f>_xlfn.XLOOKUP(A2364,T10Y3M!A:A,T10Y3M!B:B,"",-1)</f>
        <v>-0.01</v>
      </c>
      <c r="J2364" s="2">
        <f>_xlfn.XLOOKUP(A2364,BAMLC0A4CBBB!A:A,BAMLC0A4CBBB!B:B,"",-1)</f>
        <v>0.96</v>
      </c>
      <c r="K2364" s="2">
        <f>_xlfn.XLOOKUP(A2364,CPIAUCSL!A:A,CPIAUCSL!B:B,"",-1)</f>
        <v>323.291</v>
      </c>
      <c r="L2364">
        <f>_xlfn.XLOOKUP(A2364,DFF!A:A,DFF!B:B,"",-1)</f>
        <v>4.33</v>
      </c>
      <c r="M2364">
        <f>_xlfn.XLOOKUP(A2364,'DGS2'!A:A,'DGS2'!B:B,"",-1)</f>
        <v>3.73</v>
      </c>
      <c r="N2364">
        <f t="shared" si="291"/>
        <v>4.9999999999999822E-2</v>
      </c>
      <c r="O2364">
        <f t="shared" si="292"/>
        <v>4.1339768795463083E-3</v>
      </c>
      <c r="P2364">
        <f t="shared" si="293"/>
        <v>1</v>
      </c>
      <c r="Q2364">
        <f t="shared" si="294"/>
        <v>1</v>
      </c>
    </row>
    <row r="2365" spans="1:17">
      <c r="A2365" s="1">
        <v>45895</v>
      </c>
      <c r="B2365">
        <v>6465.94</v>
      </c>
      <c r="C2365">
        <f t="shared" si="288"/>
        <v>4.1339768795463083E-3</v>
      </c>
      <c r="D2365">
        <f t="shared" si="295"/>
        <v>1.503413566670897E-2</v>
      </c>
      <c r="E2365">
        <f>_xlfn.XLOOKUP(A2365,VIX!A:A,VIX!B:B,"",-1)</f>
        <v>14.62</v>
      </c>
      <c r="F2365">
        <f t="shared" si="289"/>
        <v>-0.16999999999999993</v>
      </c>
      <c r="G2365">
        <f>_xlfn.XLOOKUP(A2365,'DGS10'!A:A,'DGS10'!B:B,"",-1)</f>
        <v>4.26</v>
      </c>
      <c r="H2365">
        <f t="shared" si="290"/>
        <v>-2.0000000000000462E-2</v>
      </c>
      <c r="I2365" s="2">
        <f>_xlfn.XLOOKUP(A2365,T10Y3M!A:A,T10Y3M!B:B,"",-1)</f>
        <v>-0.02</v>
      </c>
      <c r="J2365" s="2">
        <f>_xlfn.XLOOKUP(A2365,BAMLC0A4CBBB!A:A,BAMLC0A4CBBB!B:B,"",-1)</f>
        <v>0.98</v>
      </c>
      <c r="K2365" s="2">
        <f>_xlfn.XLOOKUP(A2365,CPIAUCSL!A:A,CPIAUCSL!B:B,"",-1)</f>
        <v>323.291</v>
      </c>
      <c r="L2365">
        <f>_xlfn.XLOOKUP(A2365,DFF!A:A,DFF!B:B,"",-1)</f>
        <v>4.33</v>
      </c>
      <c r="M2365">
        <f>_xlfn.XLOOKUP(A2365,'DGS2'!A:A,'DGS2'!B:B,"",-1)</f>
        <v>3.61</v>
      </c>
      <c r="N2365">
        <f t="shared" si="291"/>
        <v>-0.12000000000000011</v>
      </c>
      <c r="O2365">
        <f t="shared" si="292"/>
        <v>2.3909903277790079E-3</v>
      </c>
      <c r="P2365">
        <f t="shared" si="293"/>
        <v>1</v>
      </c>
      <c r="Q2365">
        <f t="shared" si="294"/>
        <v>0</v>
      </c>
    </row>
    <row r="2366" spans="1:17">
      <c r="A2366" s="1">
        <v>45896</v>
      </c>
      <c r="B2366">
        <v>6481.4</v>
      </c>
      <c r="C2366">
        <f t="shared" si="288"/>
        <v>2.3909903277790079E-3</v>
      </c>
      <c r="D2366">
        <f t="shared" si="295"/>
        <v>2.2406373368424326E-3</v>
      </c>
      <c r="E2366">
        <f>_xlfn.XLOOKUP(A2366,VIX!A:A,VIX!B:B,"",-1)</f>
        <v>14.85</v>
      </c>
      <c r="F2366">
        <f t="shared" si="289"/>
        <v>0.23000000000000043</v>
      </c>
      <c r="G2366">
        <f>_xlfn.XLOOKUP(A2366,'DGS10'!A:A,'DGS10'!B:B,"",-1)</f>
        <v>4.24</v>
      </c>
      <c r="H2366">
        <f t="shared" si="290"/>
        <v>-1.9999999999999574E-2</v>
      </c>
      <c r="I2366" s="2">
        <f>_xlfn.XLOOKUP(A2366,T10Y3M!A:A,T10Y3M!B:B,"",-1)</f>
        <v>-0.02</v>
      </c>
      <c r="J2366" s="2">
        <f>_xlfn.XLOOKUP(A2366,BAMLC0A4CBBB!A:A,BAMLC0A4CBBB!B:B,"",-1)</f>
        <v>0.99</v>
      </c>
      <c r="K2366" s="2">
        <f>_xlfn.XLOOKUP(A2366,CPIAUCSL!A:A,CPIAUCSL!B:B,"",-1)</f>
        <v>323.291</v>
      </c>
      <c r="L2366">
        <f>_xlfn.XLOOKUP(A2366,DFF!A:A,DFF!B:B,"",-1)</f>
        <v>4.33</v>
      </c>
      <c r="M2366">
        <f>_xlfn.XLOOKUP(A2366,'DGS2'!A:A,'DGS2'!B:B,"",-1)</f>
        <v>3.59</v>
      </c>
      <c r="N2366">
        <f t="shared" si="291"/>
        <v>-2.0000000000000018E-2</v>
      </c>
      <c r="O2366">
        <f t="shared" si="292"/>
        <v>3.1567253988336041E-3</v>
      </c>
      <c r="P2366">
        <f t="shared" si="293"/>
        <v>1</v>
      </c>
      <c r="Q2366">
        <f t="shared" si="294"/>
        <v>1</v>
      </c>
    </row>
    <row r="2367" spans="1:17">
      <c r="A2367" s="1">
        <v>45897</v>
      </c>
      <c r="B2367">
        <v>6501.86</v>
      </c>
      <c r="C2367">
        <f t="shared" si="288"/>
        <v>3.1567253988336041E-3</v>
      </c>
      <c r="D2367">
        <f t="shared" si="295"/>
        <v>9.7122056366201193E-3</v>
      </c>
      <c r="E2367">
        <f>_xlfn.XLOOKUP(A2367,VIX!A:A,VIX!B:B,"",-1)</f>
        <v>14.43</v>
      </c>
      <c r="F2367">
        <f t="shared" si="289"/>
        <v>-0.41999999999999993</v>
      </c>
      <c r="G2367">
        <f>_xlfn.XLOOKUP(A2367,'DGS10'!A:A,'DGS10'!B:B,"",-1)</f>
        <v>4.22</v>
      </c>
      <c r="H2367">
        <f t="shared" si="290"/>
        <v>-2.0000000000000462E-2</v>
      </c>
      <c r="I2367" s="2">
        <f>_xlfn.XLOOKUP(A2367,T10Y3M!A:A,T10Y3M!B:B,"",-1)</f>
        <v>-0.04</v>
      </c>
      <c r="J2367" s="2">
        <f>_xlfn.XLOOKUP(A2367,BAMLC0A4CBBB!A:A,BAMLC0A4CBBB!B:B,"",-1)</f>
        <v>0.99</v>
      </c>
      <c r="K2367" s="2">
        <f>_xlfn.XLOOKUP(A2367,CPIAUCSL!A:A,CPIAUCSL!B:B,"",-1)</f>
        <v>323.291</v>
      </c>
      <c r="L2367">
        <f>_xlfn.XLOOKUP(A2367,DFF!A:A,DFF!B:B,"",-1)</f>
        <v>4.33</v>
      </c>
      <c r="M2367">
        <f>_xlfn.XLOOKUP(A2367,'DGS2'!A:A,'DGS2'!B:B,"",-1)</f>
        <v>3.62</v>
      </c>
      <c r="N2367">
        <f t="shared" si="291"/>
        <v>3.0000000000000249E-2</v>
      </c>
      <c r="O2367">
        <f t="shared" si="292"/>
        <v>-6.3981691392923645E-3</v>
      </c>
      <c r="P2367">
        <f t="shared" si="293"/>
        <v>0</v>
      </c>
      <c r="Q2367">
        <f t="shared" si="294"/>
        <v>-1</v>
      </c>
    </row>
    <row r="2368" spans="1:17">
      <c r="A2368" s="1">
        <v>45898</v>
      </c>
      <c r="B2368">
        <v>6460.26</v>
      </c>
      <c r="C2368">
        <f t="shared" si="288"/>
        <v>-6.3981691392923645E-3</v>
      </c>
      <c r="D2368">
        <f t="shared" si="295"/>
        <v>-8.7844922779978241E-4</v>
      </c>
      <c r="E2368">
        <f>_xlfn.XLOOKUP(A2368,VIX!A:A,VIX!B:B,"",-1)</f>
        <v>15.36</v>
      </c>
      <c r="F2368">
        <f t="shared" si="289"/>
        <v>0.92999999999999972</v>
      </c>
      <c r="G2368">
        <f>_xlfn.XLOOKUP(A2368,'DGS10'!A:A,'DGS10'!B:B,"",-1)</f>
        <v>4.2300000000000004</v>
      </c>
      <c r="H2368">
        <f t="shared" si="290"/>
        <v>1.0000000000000675E-2</v>
      </c>
      <c r="I2368" s="2">
        <f>_xlfn.XLOOKUP(A2368,T10Y3M!A:A,T10Y3M!B:B,"",-1)</f>
        <v>0</v>
      </c>
      <c r="J2368" s="2">
        <f>_xlfn.XLOOKUP(A2368,BAMLC0A4CBBB!A:A,BAMLC0A4CBBB!B:B,"",-1)</f>
        <v>1.01</v>
      </c>
      <c r="K2368" s="2">
        <f>_xlfn.XLOOKUP(A2368,CPIAUCSL!A:A,CPIAUCSL!B:B,"",-1)</f>
        <v>323.291</v>
      </c>
      <c r="L2368">
        <f>_xlfn.XLOOKUP(A2368,DFF!A:A,DFF!B:B,"",-1)</f>
        <v>4.33</v>
      </c>
      <c r="M2368">
        <f>_xlfn.XLOOKUP(A2368,'DGS2'!A:A,'DGS2'!B:B,"",-1)</f>
        <v>3.59</v>
      </c>
      <c r="N2368">
        <f t="shared" si="291"/>
        <v>-3.0000000000000249E-2</v>
      </c>
      <c r="O2368">
        <f t="shared" si="292"/>
        <v>-6.9223220118076467E-3</v>
      </c>
      <c r="P2368">
        <f t="shared" si="293"/>
        <v>0</v>
      </c>
      <c r="Q2368">
        <f t="shared" si="294"/>
        <v>-1</v>
      </c>
    </row>
    <row r="2369" spans="1:17">
      <c r="A2369" s="1">
        <v>45902</v>
      </c>
      <c r="B2369">
        <v>6415.54</v>
      </c>
      <c r="C2369">
        <f t="shared" si="288"/>
        <v>-6.9223220118076467E-3</v>
      </c>
      <c r="D2369">
        <f t="shared" si="295"/>
        <v>-1.0161384885981395E-2</v>
      </c>
      <c r="E2369">
        <f>_xlfn.XLOOKUP(A2369,VIX!A:A,VIX!B:B,"",-1)</f>
        <v>17.170000000000002</v>
      </c>
      <c r="F2369">
        <f t="shared" si="289"/>
        <v>1.8100000000000023</v>
      </c>
      <c r="G2369">
        <f>_xlfn.XLOOKUP(A2369,'DGS10'!A:A,'DGS10'!B:B,"",-1)</f>
        <v>4.28</v>
      </c>
      <c r="H2369">
        <f t="shared" si="290"/>
        <v>4.9999999999999822E-2</v>
      </c>
      <c r="I2369" s="2">
        <f>_xlfn.XLOOKUP(A2369,T10Y3M!A:A,T10Y3M!B:B,"",-1)</f>
        <v>0.08</v>
      </c>
      <c r="J2369" s="2">
        <f>_xlfn.XLOOKUP(A2369,BAMLC0A4CBBB!A:A,BAMLC0A4CBBB!B:B,"",-1)</f>
        <v>1.03</v>
      </c>
      <c r="K2369" s="2">
        <f>_xlfn.XLOOKUP(A2369,CPIAUCSL!A:A,CPIAUCSL!B:B,"",-1)</f>
        <v>324.245</v>
      </c>
      <c r="L2369">
        <f>_xlfn.XLOOKUP(A2369,DFF!A:A,DFF!B:B,"",-1)</f>
        <v>4.33</v>
      </c>
      <c r="M2369">
        <f>_xlfn.XLOOKUP(A2369,'DGS2'!A:A,'DGS2'!B:B,"",-1)</f>
        <v>3.66</v>
      </c>
      <c r="N2369">
        <f t="shared" si="291"/>
        <v>7.0000000000000284E-2</v>
      </c>
      <c r="O2369">
        <f t="shared" si="292"/>
        <v>5.1001162801573852E-3</v>
      </c>
      <c r="P2369">
        <f t="shared" si="293"/>
        <v>1</v>
      </c>
      <c r="Q2369">
        <f t="shared" si="294"/>
        <v>1</v>
      </c>
    </row>
    <row r="2370" spans="1:17">
      <c r="A2370" s="1">
        <v>45903</v>
      </c>
      <c r="B2370">
        <v>6448.26</v>
      </c>
      <c r="C2370">
        <f t="shared" si="288"/>
        <v>5.1001162801573852E-3</v>
      </c>
      <c r="D2370">
        <f t="shared" si="295"/>
        <v>-8.2437948525497795E-3</v>
      </c>
      <c r="E2370">
        <f>_xlfn.XLOOKUP(A2370,VIX!A:A,VIX!B:B,"",-1)</f>
        <v>16.350000000000001</v>
      </c>
      <c r="F2370">
        <f t="shared" si="289"/>
        <v>-0.82000000000000028</v>
      </c>
      <c r="G2370">
        <f>_xlfn.XLOOKUP(A2370,'DGS10'!A:A,'DGS10'!B:B,"",-1)</f>
        <v>4.22</v>
      </c>
      <c r="H2370">
        <f t="shared" si="290"/>
        <v>-6.0000000000000497E-2</v>
      </c>
      <c r="I2370" s="2">
        <f>_xlfn.XLOOKUP(A2370,T10Y3M!A:A,T10Y3M!B:B,"",-1)</f>
        <v>0.04</v>
      </c>
      <c r="J2370" s="2">
        <f>_xlfn.XLOOKUP(A2370,BAMLC0A4CBBB!A:A,BAMLC0A4CBBB!B:B,"",-1)</f>
        <v>1.02</v>
      </c>
      <c r="K2370" s="2">
        <f>_xlfn.XLOOKUP(A2370,CPIAUCSL!A:A,CPIAUCSL!B:B,"",-1)</f>
        <v>324.245</v>
      </c>
      <c r="L2370">
        <f>_xlfn.XLOOKUP(A2370,DFF!A:A,DFF!B:B,"",-1)</f>
        <v>4.33</v>
      </c>
      <c r="M2370">
        <f>_xlfn.XLOOKUP(A2370,'DGS2'!A:A,'DGS2'!B:B,"",-1)</f>
        <v>3.61</v>
      </c>
      <c r="N2370">
        <f t="shared" si="291"/>
        <v>-5.0000000000000266E-2</v>
      </c>
      <c r="O2370">
        <f t="shared" si="292"/>
        <v>8.3464376436432897E-3</v>
      </c>
      <c r="P2370">
        <f t="shared" si="293"/>
        <v>1</v>
      </c>
      <c r="Q2370">
        <f t="shared" si="294"/>
        <v>1</v>
      </c>
    </row>
    <row r="2371" spans="1:17">
      <c r="A2371" s="1">
        <v>45904</v>
      </c>
      <c r="B2371">
        <v>6502.08</v>
      </c>
      <c r="C2371">
        <f t="shared" si="288"/>
        <v>8.3464376436432897E-3</v>
      </c>
      <c r="D2371">
        <f t="shared" si="295"/>
        <v>6.4734236702546077E-3</v>
      </c>
      <c r="E2371">
        <f>_xlfn.XLOOKUP(A2371,VIX!A:A,VIX!B:B,"",-1)</f>
        <v>15.3</v>
      </c>
      <c r="F2371">
        <f t="shared" si="289"/>
        <v>-1.0500000000000007</v>
      </c>
      <c r="G2371">
        <f>_xlfn.XLOOKUP(A2371,'DGS10'!A:A,'DGS10'!B:B,"",-1)</f>
        <v>4.17</v>
      </c>
      <c r="H2371">
        <f t="shared" si="290"/>
        <v>-4.9999999999999822E-2</v>
      </c>
      <c r="I2371" s="2">
        <f>_xlfn.XLOOKUP(A2371,T10Y3M!A:A,T10Y3M!B:B,"",-1)</f>
        <v>0.01</v>
      </c>
      <c r="J2371" s="2">
        <f>_xlfn.XLOOKUP(A2371,BAMLC0A4CBBB!A:A,BAMLC0A4CBBB!B:B,"",-1)</f>
        <v>1</v>
      </c>
      <c r="K2371" s="2">
        <f>_xlfn.XLOOKUP(A2371,CPIAUCSL!A:A,CPIAUCSL!B:B,"",-1)</f>
        <v>324.245</v>
      </c>
      <c r="L2371">
        <f>_xlfn.XLOOKUP(A2371,DFF!A:A,DFF!B:B,"",-1)</f>
        <v>4.33</v>
      </c>
      <c r="M2371">
        <f>_xlfn.XLOOKUP(A2371,'DGS2'!A:A,'DGS2'!B:B,"",-1)</f>
        <v>3.59</v>
      </c>
      <c r="N2371">
        <f t="shared" si="291"/>
        <v>-2.0000000000000018E-2</v>
      </c>
      <c r="O2371">
        <f t="shared" si="292"/>
        <v>-3.1651410010334891E-3</v>
      </c>
      <c r="P2371">
        <f t="shared" si="293"/>
        <v>0</v>
      </c>
      <c r="Q2371">
        <f t="shared" si="294"/>
        <v>-1</v>
      </c>
    </row>
    <row r="2372" spans="1:17">
      <c r="A2372" s="1">
        <v>45905</v>
      </c>
      <c r="B2372">
        <v>6481.5</v>
      </c>
      <c r="C2372">
        <f t="shared" ref="C2372:C2435" si="296">IF(OR(B2372="",B2371=""),"",(B2372/B2371)-1)</f>
        <v>-3.1651410010334891E-3</v>
      </c>
      <c r="D2372">
        <f t="shared" si="295"/>
        <v>1.0281285753031E-2</v>
      </c>
      <c r="E2372">
        <f>_xlfn.XLOOKUP(A2372,VIX!A:A,VIX!B:B,"",-1)</f>
        <v>15.18</v>
      </c>
      <c r="F2372">
        <f t="shared" ref="F2372:F2435" si="297">IF(OR(E2372="",E2371=""),"",E2372-E2371)</f>
        <v>-0.12000000000000099</v>
      </c>
      <c r="G2372">
        <f>_xlfn.XLOOKUP(A2372,'DGS10'!A:A,'DGS10'!B:B,"",-1)</f>
        <v>4.0999999999999996</v>
      </c>
      <c r="H2372">
        <f t="shared" ref="H2372:H2435" si="298">IF(OR(G2372="",G2371=""),"",G2372-G2371)</f>
        <v>-7.0000000000000284E-2</v>
      </c>
      <c r="I2372" s="2">
        <f>_xlfn.XLOOKUP(A2372,T10Y3M!A:A,T10Y3M!B:B,"",-1)</f>
        <v>0.03</v>
      </c>
      <c r="J2372" s="2">
        <f>_xlfn.XLOOKUP(A2372,BAMLC0A4CBBB!A:A,BAMLC0A4CBBB!B:B,"",-1)</f>
        <v>1</v>
      </c>
      <c r="K2372" s="2">
        <f>_xlfn.XLOOKUP(A2372,CPIAUCSL!A:A,CPIAUCSL!B:B,"",-1)</f>
        <v>324.245</v>
      </c>
      <c r="L2372">
        <f>_xlfn.XLOOKUP(A2372,DFF!A:A,DFF!B:B,"",-1)</f>
        <v>4.33</v>
      </c>
      <c r="M2372">
        <f>_xlfn.XLOOKUP(A2372,'DGS2'!A:A,'DGS2'!B:B,"",-1)</f>
        <v>3.51</v>
      </c>
      <c r="N2372">
        <f t="shared" ref="N2372:N2435" si="299">IF(OR(M2372="",M2371=""),"",M2372-M2371)</f>
        <v>-8.0000000000000071E-2</v>
      </c>
      <c r="O2372">
        <f t="shared" ref="O2372:O2435" si="300">IF(OR(B2373="",B2372=""),"",(B2373/B2372)-1)</f>
        <v>2.1059939828742547E-3</v>
      </c>
      <c r="P2372">
        <f t="shared" ref="P2372:P2435" si="301">IF(O2372="","",IF(O2372&gt;0,1,0))</f>
        <v>1</v>
      </c>
      <c r="Q2372">
        <f t="shared" ref="Q2372:Q2435" si="302">IF(O2372="","",IF(O2372&gt;0.003,1,IF(O2372&lt;-0.003,-1,0)))</f>
        <v>0</v>
      </c>
    </row>
    <row r="2373" spans="1:17">
      <c r="A2373" s="1">
        <v>45908</v>
      </c>
      <c r="B2373">
        <v>6495.15</v>
      </c>
      <c r="C2373">
        <f t="shared" si="296"/>
        <v>2.1059939828742547E-3</v>
      </c>
      <c r="D2373">
        <f t="shared" si="295"/>
        <v>7.2717291176223053E-3</v>
      </c>
      <c r="E2373">
        <f>_xlfn.XLOOKUP(A2373,VIX!A:A,VIX!B:B,"",-1)</f>
        <v>15.11</v>
      </c>
      <c r="F2373">
        <f t="shared" si="297"/>
        <v>-7.0000000000000284E-2</v>
      </c>
      <c r="G2373">
        <f>_xlfn.XLOOKUP(A2373,'DGS10'!A:A,'DGS10'!B:B,"",-1)</f>
        <v>4.05</v>
      </c>
      <c r="H2373">
        <f t="shared" si="298"/>
        <v>-4.9999999999999822E-2</v>
      </c>
      <c r="I2373" s="2">
        <f>_xlfn.XLOOKUP(A2373,T10Y3M!A:A,T10Y3M!B:B,"",-1)</f>
        <v>-0.05</v>
      </c>
      <c r="J2373" s="2">
        <f>_xlfn.XLOOKUP(A2373,BAMLC0A4CBBB!A:A,BAMLC0A4CBBB!B:B,"",-1)</f>
        <v>1.01</v>
      </c>
      <c r="K2373" s="2">
        <f>_xlfn.XLOOKUP(A2373,CPIAUCSL!A:A,CPIAUCSL!B:B,"",-1)</f>
        <v>324.245</v>
      </c>
      <c r="L2373">
        <f>_xlfn.XLOOKUP(A2373,DFF!A:A,DFF!B:B,"",-1)</f>
        <v>4.33</v>
      </c>
      <c r="M2373">
        <f>_xlfn.XLOOKUP(A2373,'DGS2'!A:A,'DGS2'!B:B,"",-1)</f>
        <v>3.49</v>
      </c>
      <c r="N2373">
        <f t="shared" si="299"/>
        <v>-1.9999999999999574E-2</v>
      </c>
      <c r="O2373">
        <f t="shared" si="300"/>
        <v>2.6881596267984698E-3</v>
      </c>
      <c r="P2373">
        <f t="shared" si="301"/>
        <v>1</v>
      </c>
      <c r="Q2373">
        <f t="shared" si="302"/>
        <v>0</v>
      </c>
    </row>
    <row r="2374" spans="1:17">
      <c r="A2374" s="1">
        <v>45909</v>
      </c>
      <c r="B2374">
        <v>6512.61</v>
      </c>
      <c r="C2374">
        <f t="shared" si="296"/>
        <v>2.6881596267984698E-3</v>
      </c>
      <c r="D2374">
        <f t="shared" ref="D2374:D2437" si="303">IF(OR(B2374="",B2371=""),"",(B2374/B2371)-1)</f>
        <v>1.6194817658348182E-3</v>
      </c>
      <c r="E2374">
        <f>_xlfn.XLOOKUP(A2374,VIX!A:A,VIX!B:B,"",-1)</f>
        <v>15.04</v>
      </c>
      <c r="F2374">
        <f t="shared" si="297"/>
        <v>-7.0000000000000284E-2</v>
      </c>
      <c r="G2374">
        <f>_xlfn.XLOOKUP(A2374,'DGS10'!A:A,'DGS10'!B:B,"",-1)</f>
        <v>4.08</v>
      </c>
      <c r="H2374">
        <f t="shared" si="298"/>
        <v>3.0000000000000249E-2</v>
      </c>
      <c r="I2374" s="2">
        <f>_xlfn.XLOOKUP(A2374,T10Y3M!A:A,T10Y3M!B:B,"",-1)</f>
        <v>-0.02</v>
      </c>
      <c r="J2374" s="2">
        <f>_xlfn.XLOOKUP(A2374,BAMLC0A4CBBB!A:A,BAMLC0A4CBBB!B:B,"",-1)</f>
        <v>1.01</v>
      </c>
      <c r="K2374" s="2">
        <f>_xlfn.XLOOKUP(A2374,CPIAUCSL!A:A,CPIAUCSL!B:B,"",-1)</f>
        <v>324.245</v>
      </c>
      <c r="L2374">
        <f>_xlfn.XLOOKUP(A2374,DFF!A:A,DFF!B:B,"",-1)</f>
        <v>4.33</v>
      </c>
      <c r="M2374">
        <f>_xlfn.XLOOKUP(A2374,'DGS2'!A:A,'DGS2'!B:B,"",-1)</f>
        <v>3.54</v>
      </c>
      <c r="N2374">
        <f t="shared" si="299"/>
        <v>4.9999999999999822E-2</v>
      </c>
      <c r="O2374">
        <f t="shared" si="300"/>
        <v>2.9834428900241683E-3</v>
      </c>
      <c r="P2374">
        <f t="shared" si="301"/>
        <v>1</v>
      </c>
      <c r="Q2374">
        <f t="shared" si="302"/>
        <v>0</v>
      </c>
    </row>
    <row r="2375" spans="1:17">
      <c r="A2375" s="1">
        <v>45910</v>
      </c>
      <c r="B2375">
        <v>6532.04</v>
      </c>
      <c r="C2375">
        <f t="shared" si="296"/>
        <v>2.9834428900241683E-3</v>
      </c>
      <c r="D2375">
        <f t="shared" si="303"/>
        <v>7.7975777212064834E-3</v>
      </c>
      <c r="E2375">
        <f>_xlfn.XLOOKUP(A2375,VIX!A:A,VIX!B:B,"",-1)</f>
        <v>15.35</v>
      </c>
      <c r="F2375">
        <f t="shared" si="297"/>
        <v>0.3100000000000005</v>
      </c>
      <c r="G2375">
        <f>_xlfn.XLOOKUP(A2375,'DGS10'!A:A,'DGS10'!B:B,"",-1)</f>
        <v>4.04</v>
      </c>
      <c r="H2375">
        <f t="shared" si="298"/>
        <v>-4.0000000000000036E-2</v>
      </c>
      <c r="I2375" s="2">
        <f>_xlfn.XLOOKUP(A2375,T10Y3M!A:A,T10Y3M!B:B,"",-1)</f>
        <v>-0.05</v>
      </c>
      <c r="J2375" s="2">
        <f>_xlfn.XLOOKUP(A2375,BAMLC0A4CBBB!A:A,BAMLC0A4CBBB!B:B,"",-1)</f>
        <v>1</v>
      </c>
      <c r="K2375" s="2">
        <f>_xlfn.XLOOKUP(A2375,CPIAUCSL!A:A,CPIAUCSL!B:B,"",-1)</f>
        <v>324.245</v>
      </c>
      <c r="L2375">
        <f>_xlfn.XLOOKUP(A2375,DFF!A:A,DFF!B:B,"",-1)</f>
        <v>4.33</v>
      </c>
      <c r="M2375">
        <f>_xlfn.XLOOKUP(A2375,'DGS2'!A:A,'DGS2'!B:B,"",-1)</f>
        <v>3.54</v>
      </c>
      <c r="N2375">
        <f t="shared" si="299"/>
        <v>0</v>
      </c>
      <c r="O2375">
        <f t="shared" si="300"/>
        <v>8.4858635280862238E-3</v>
      </c>
      <c r="P2375">
        <f t="shared" si="301"/>
        <v>1</v>
      </c>
      <c r="Q2375">
        <f t="shared" si="302"/>
        <v>1</v>
      </c>
    </row>
    <row r="2376" spans="1:17">
      <c r="A2376" s="1">
        <v>45911</v>
      </c>
      <c r="B2376">
        <v>6587.47</v>
      </c>
      <c r="C2376">
        <f t="shared" si="296"/>
        <v>8.4858635280862238E-3</v>
      </c>
      <c r="D2376">
        <f t="shared" si="303"/>
        <v>1.4213682516954984E-2</v>
      </c>
      <c r="E2376">
        <f>_xlfn.XLOOKUP(A2376,VIX!A:A,VIX!B:B,"",-1)</f>
        <v>14.71</v>
      </c>
      <c r="F2376">
        <f t="shared" si="297"/>
        <v>-0.63999999999999879</v>
      </c>
      <c r="G2376">
        <f>_xlfn.XLOOKUP(A2376,'DGS10'!A:A,'DGS10'!B:B,"",-1)</f>
        <v>4.01</v>
      </c>
      <c r="H2376">
        <f t="shared" si="298"/>
        <v>-3.0000000000000249E-2</v>
      </c>
      <c r="I2376" s="2">
        <f>_xlfn.XLOOKUP(A2376,T10Y3M!A:A,T10Y3M!B:B,"",-1)</f>
        <v>-7.0000000000000007E-2</v>
      </c>
      <c r="J2376" s="2">
        <f>_xlfn.XLOOKUP(A2376,BAMLC0A4CBBB!A:A,BAMLC0A4CBBB!B:B,"",-1)</f>
        <v>0.98</v>
      </c>
      <c r="K2376" s="2">
        <f>_xlfn.XLOOKUP(A2376,CPIAUCSL!A:A,CPIAUCSL!B:B,"",-1)</f>
        <v>324.245</v>
      </c>
      <c r="L2376">
        <f>_xlfn.XLOOKUP(A2376,DFF!A:A,DFF!B:B,"",-1)</f>
        <v>4.33</v>
      </c>
      <c r="M2376">
        <f>_xlfn.XLOOKUP(A2376,'DGS2'!A:A,'DGS2'!B:B,"",-1)</f>
        <v>3.52</v>
      </c>
      <c r="N2376">
        <f t="shared" si="299"/>
        <v>-2.0000000000000018E-2</v>
      </c>
      <c r="O2376">
        <f t="shared" si="300"/>
        <v>-4.8273464622994311E-4</v>
      </c>
      <c r="P2376">
        <f t="shared" si="301"/>
        <v>0</v>
      </c>
      <c r="Q2376">
        <f t="shared" si="302"/>
        <v>0</v>
      </c>
    </row>
    <row r="2377" spans="1:17">
      <c r="A2377" s="1">
        <v>45912</v>
      </c>
      <c r="B2377">
        <v>6584.29</v>
      </c>
      <c r="C2377">
        <f t="shared" si="296"/>
        <v>-4.8273464622994311E-4</v>
      </c>
      <c r="D2377">
        <f t="shared" si="303"/>
        <v>1.1006340008076654E-2</v>
      </c>
      <c r="E2377">
        <f>_xlfn.XLOOKUP(A2377,VIX!A:A,VIX!B:B,"",-1)</f>
        <v>14.76</v>
      </c>
      <c r="F2377">
        <f t="shared" si="297"/>
        <v>4.9999999999998934E-2</v>
      </c>
      <c r="G2377">
        <f>_xlfn.XLOOKUP(A2377,'DGS10'!A:A,'DGS10'!B:B,"",-1)</f>
        <v>4.0599999999999996</v>
      </c>
      <c r="H2377">
        <f t="shared" si="298"/>
        <v>4.9999999999999822E-2</v>
      </c>
      <c r="I2377" s="2">
        <f>_xlfn.XLOOKUP(A2377,T10Y3M!A:A,T10Y3M!B:B,"",-1)</f>
        <v>-0.02</v>
      </c>
      <c r="J2377" s="2">
        <f>_xlfn.XLOOKUP(A2377,BAMLC0A4CBBB!A:A,BAMLC0A4CBBB!B:B,"",-1)</f>
        <v>0.97</v>
      </c>
      <c r="K2377" s="2">
        <f>_xlfn.XLOOKUP(A2377,CPIAUCSL!A:A,CPIAUCSL!B:B,"",-1)</f>
        <v>324.245</v>
      </c>
      <c r="L2377">
        <f>_xlfn.XLOOKUP(A2377,DFF!A:A,DFF!B:B,"",-1)</f>
        <v>4.33</v>
      </c>
      <c r="M2377">
        <f>_xlfn.XLOOKUP(A2377,'DGS2'!A:A,'DGS2'!B:B,"",-1)</f>
        <v>3.56</v>
      </c>
      <c r="N2377">
        <f t="shared" si="299"/>
        <v>4.0000000000000036E-2</v>
      </c>
      <c r="O2377">
        <f t="shared" si="300"/>
        <v>4.7066578173196039E-3</v>
      </c>
      <c r="P2377">
        <f t="shared" si="301"/>
        <v>1</v>
      </c>
      <c r="Q2377">
        <f t="shared" si="302"/>
        <v>1</v>
      </c>
    </row>
    <row r="2378" spans="1:17">
      <c r="A2378" s="1">
        <v>45915</v>
      </c>
      <c r="B2378">
        <v>6615.28</v>
      </c>
      <c r="C2378">
        <f t="shared" si="296"/>
        <v>4.7066578173196039E-3</v>
      </c>
      <c r="D2378">
        <f t="shared" si="303"/>
        <v>1.2743338987513786E-2</v>
      </c>
      <c r="E2378">
        <f>_xlfn.XLOOKUP(A2378,VIX!A:A,VIX!B:B,"",-1)</f>
        <v>15.69</v>
      </c>
      <c r="F2378">
        <f t="shared" si="297"/>
        <v>0.92999999999999972</v>
      </c>
      <c r="G2378">
        <f>_xlfn.XLOOKUP(A2378,'DGS10'!A:A,'DGS10'!B:B,"",-1)</f>
        <v>4.05</v>
      </c>
      <c r="H2378">
        <f t="shared" si="298"/>
        <v>-9.9999999999997868E-3</v>
      </c>
      <c r="I2378" s="2">
        <f>_xlfn.XLOOKUP(A2378,T10Y3M!A:A,T10Y3M!B:B,"",-1)</f>
        <v>-0.01</v>
      </c>
      <c r="J2378" s="2">
        <f>_xlfn.XLOOKUP(A2378,BAMLC0A4CBBB!A:A,BAMLC0A4CBBB!B:B,"",-1)</f>
        <v>0.95</v>
      </c>
      <c r="K2378" s="2">
        <f>_xlfn.XLOOKUP(A2378,CPIAUCSL!A:A,CPIAUCSL!B:B,"",-1)</f>
        <v>324.245</v>
      </c>
      <c r="L2378">
        <f>_xlfn.XLOOKUP(A2378,DFF!A:A,DFF!B:B,"",-1)</f>
        <v>4.33</v>
      </c>
      <c r="M2378">
        <f>_xlfn.XLOOKUP(A2378,'DGS2'!A:A,'DGS2'!B:B,"",-1)</f>
        <v>3.54</v>
      </c>
      <c r="N2378">
        <f t="shared" si="299"/>
        <v>-2.0000000000000018E-2</v>
      </c>
      <c r="O2378">
        <f t="shared" si="300"/>
        <v>-1.2879273439672101E-3</v>
      </c>
      <c r="P2378">
        <f t="shared" si="301"/>
        <v>0</v>
      </c>
      <c r="Q2378">
        <f t="shared" si="302"/>
        <v>0</v>
      </c>
    </row>
    <row r="2379" spans="1:17">
      <c r="A2379" s="1">
        <v>45916</v>
      </c>
      <c r="B2379">
        <v>6606.76</v>
      </c>
      <c r="C2379">
        <f t="shared" si="296"/>
        <v>-1.2879273439672101E-3</v>
      </c>
      <c r="D2379">
        <f t="shared" si="303"/>
        <v>2.9282865804323155E-3</v>
      </c>
      <c r="E2379">
        <f>_xlfn.XLOOKUP(A2379,VIX!A:A,VIX!B:B,"",-1)</f>
        <v>16.36</v>
      </c>
      <c r="F2379">
        <f t="shared" si="297"/>
        <v>0.66999999999999993</v>
      </c>
      <c r="G2379">
        <f>_xlfn.XLOOKUP(A2379,'DGS10'!A:A,'DGS10'!B:B,"",-1)</f>
        <v>4.04</v>
      </c>
      <c r="H2379">
        <f t="shared" si="298"/>
        <v>-9.9999999999997868E-3</v>
      </c>
      <c r="I2379" s="2">
        <f>_xlfn.XLOOKUP(A2379,T10Y3M!A:A,T10Y3M!B:B,"",-1)</f>
        <v>0</v>
      </c>
      <c r="J2379" s="2">
        <f>_xlfn.XLOOKUP(A2379,BAMLC0A4CBBB!A:A,BAMLC0A4CBBB!B:B,"",-1)</f>
        <v>0.96</v>
      </c>
      <c r="K2379" s="2">
        <f>_xlfn.XLOOKUP(A2379,CPIAUCSL!A:A,CPIAUCSL!B:B,"",-1)</f>
        <v>324.245</v>
      </c>
      <c r="L2379">
        <f>_xlfn.XLOOKUP(A2379,DFF!A:A,DFF!B:B,"",-1)</f>
        <v>4.33</v>
      </c>
      <c r="M2379">
        <f>_xlfn.XLOOKUP(A2379,'DGS2'!A:A,'DGS2'!B:B,"",-1)</f>
        <v>3.51</v>
      </c>
      <c r="N2379">
        <f t="shared" si="299"/>
        <v>-3.0000000000000249E-2</v>
      </c>
      <c r="O2379">
        <f t="shared" si="300"/>
        <v>-9.7021838238409153E-4</v>
      </c>
      <c r="P2379">
        <f t="shared" si="301"/>
        <v>0</v>
      </c>
      <c r="Q2379">
        <f t="shared" si="302"/>
        <v>0</v>
      </c>
    </row>
    <row r="2380" spans="1:17">
      <c r="A2380" s="1">
        <v>45917</v>
      </c>
      <c r="B2380">
        <v>6600.35</v>
      </c>
      <c r="C2380">
        <f t="shared" si="296"/>
        <v>-9.7021838238409153E-4</v>
      </c>
      <c r="D2380">
        <f t="shared" si="303"/>
        <v>2.43913922381922E-3</v>
      </c>
      <c r="E2380">
        <f>_xlfn.XLOOKUP(A2380,VIX!A:A,VIX!B:B,"",-1)</f>
        <v>15.72</v>
      </c>
      <c r="F2380">
        <f t="shared" si="297"/>
        <v>-0.63999999999999879</v>
      </c>
      <c r="G2380">
        <f>_xlfn.XLOOKUP(A2380,'DGS10'!A:A,'DGS10'!B:B,"",-1)</f>
        <v>4.0599999999999996</v>
      </c>
      <c r="H2380">
        <f t="shared" si="298"/>
        <v>1.9999999999999574E-2</v>
      </c>
      <c r="I2380" s="2">
        <f>_xlfn.XLOOKUP(A2380,T10Y3M!A:A,T10Y3M!B:B,"",-1)</f>
        <v>0.04</v>
      </c>
      <c r="J2380" s="2">
        <f>_xlfn.XLOOKUP(A2380,BAMLC0A4CBBB!A:A,BAMLC0A4CBBB!B:B,"",-1)</f>
        <v>0.96</v>
      </c>
      <c r="K2380" s="2">
        <f>_xlfn.XLOOKUP(A2380,CPIAUCSL!A:A,CPIAUCSL!B:B,"",-1)</f>
        <v>324.245</v>
      </c>
      <c r="L2380">
        <f>_xlfn.XLOOKUP(A2380,DFF!A:A,DFF!B:B,"",-1)</f>
        <v>4.33</v>
      </c>
      <c r="M2380">
        <f>_xlfn.XLOOKUP(A2380,'DGS2'!A:A,'DGS2'!B:B,"",-1)</f>
        <v>3.52</v>
      </c>
      <c r="N2380">
        <f t="shared" si="299"/>
        <v>1.0000000000000231E-2</v>
      </c>
      <c r="O2380">
        <f t="shared" si="300"/>
        <v>4.7891399698500869E-3</v>
      </c>
      <c r="P2380">
        <f t="shared" si="301"/>
        <v>1</v>
      </c>
      <c r="Q2380">
        <f t="shared" si="302"/>
        <v>1</v>
      </c>
    </row>
    <row r="2381" spans="1:17">
      <c r="A2381" s="1">
        <v>45918</v>
      </c>
      <c r="B2381">
        <v>6631.96</v>
      </c>
      <c r="C2381">
        <f t="shared" si="296"/>
        <v>4.7891399698500869E-3</v>
      </c>
      <c r="D2381">
        <f t="shared" si="303"/>
        <v>2.5214352226965442E-3</v>
      </c>
      <c r="E2381">
        <f>_xlfn.XLOOKUP(A2381,VIX!A:A,VIX!B:B,"",-1)</f>
        <v>15.7</v>
      </c>
      <c r="F2381">
        <f t="shared" si="297"/>
        <v>-2.000000000000135E-2</v>
      </c>
      <c r="G2381">
        <f>_xlfn.XLOOKUP(A2381,'DGS10'!A:A,'DGS10'!B:B,"",-1)</f>
        <v>4.1100000000000003</v>
      </c>
      <c r="H2381">
        <f t="shared" si="298"/>
        <v>5.0000000000000711E-2</v>
      </c>
      <c r="I2381" s="2">
        <f>_xlfn.XLOOKUP(A2381,T10Y3M!A:A,T10Y3M!B:B,"",-1)</f>
        <v>0.08</v>
      </c>
      <c r="J2381" s="2">
        <f>_xlfn.XLOOKUP(A2381,BAMLC0A4CBBB!A:A,BAMLC0A4CBBB!B:B,"",-1)</f>
        <v>0.94</v>
      </c>
      <c r="K2381" s="2">
        <f>_xlfn.XLOOKUP(A2381,CPIAUCSL!A:A,CPIAUCSL!B:B,"",-1)</f>
        <v>324.245</v>
      </c>
      <c r="L2381">
        <f>_xlfn.XLOOKUP(A2381,DFF!A:A,DFF!B:B,"",-1)</f>
        <v>4.08</v>
      </c>
      <c r="M2381">
        <f>_xlfn.XLOOKUP(A2381,'DGS2'!A:A,'DGS2'!B:B,"",-1)</f>
        <v>3.57</v>
      </c>
      <c r="N2381">
        <f t="shared" si="299"/>
        <v>4.9999999999999822E-2</v>
      </c>
      <c r="O2381">
        <f t="shared" si="300"/>
        <v>4.8854335671504323E-3</v>
      </c>
      <c r="P2381">
        <f t="shared" si="301"/>
        <v>1</v>
      </c>
      <c r="Q2381">
        <f t="shared" si="302"/>
        <v>1</v>
      </c>
    </row>
    <row r="2382" spans="1:17">
      <c r="A2382" s="1">
        <v>45919</v>
      </c>
      <c r="B2382">
        <v>6664.36</v>
      </c>
      <c r="C2382">
        <f t="shared" si="296"/>
        <v>4.8854335671504323E-3</v>
      </c>
      <c r="D2382">
        <f t="shared" si="303"/>
        <v>8.718343030471809E-3</v>
      </c>
      <c r="E2382">
        <f>_xlfn.XLOOKUP(A2382,VIX!A:A,VIX!B:B,"",-1)</f>
        <v>15.45</v>
      </c>
      <c r="F2382">
        <f t="shared" si="297"/>
        <v>-0.25</v>
      </c>
      <c r="G2382">
        <f>_xlfn.XLOOKUP(A2382,'DGS10'!A:A,'DGS10'!B:B,"",-1)</f>
        <v>4.1399999999999997</v>
      </c>
      <c r="H2382">
        <f t="shared" si="298"/>
        <v>2.9999999999999361E-2</v>
      </c>
      <c r="I2382" s="2">
        <f>_xlfn.XLOOKUP(A2382,T10Y3M!A:A,T10Y3M!B:B,"",-1)</f>
        <v>0.11</v>
      </c>
      <c r="J2382" s="2">
        <f>_xlfn.XLOOKUP(A2382,BAMLC0A4CBBB!A:A,BAMLC0A4CBBB!B:B,"",-1)</f>
        <v>0.93</v>
      </c>
      <c r="K2382" s="2">
        <f>_xlfn.XLOOKUP(A2382,CPIAUCSL!A:A,CPIAUCSL!B:B,"",-1)</f>
        <v>324.245</v>
      </c>
      <c r="L2382">
        <f>_xlfn.XLOOKUP(A2382,DFF!A:A,DFF!B:B,"",-1)</f>
        <v>4.08</v>
      </c>
      <c r="M2382">
        <f>_xlfn.XLOOKUP(A2382,'DGS2'!A:A,'DGS2'!B:B,"",-1)</f>
        <v>3.57</v>
      </c>
      <c r="N2382">
        <f t="shared" si="299"/>
        <v>0</v>
      </c>
      <c r="O2382">
        <f t="shared" si="300"/>
        <v>4.4100258689507843E-3</v>
      </c>
      <c r="P2382">
        <f t="shared" si="301"/>
        <v>1</v>
      </c>
      <c r="Q2382">
        <f t="shared" si="302"/>
        <v>1</v>
      </c>
    </row>
    <row r="2383" spans="1:17">
      <c r="A2383" s="1">
        <v>45922</v>
      </c>
      <c r="B2383">
        <v>6693.75</v>
      </c>
      <c r="C2383">
        <f t="shared" si="296"/>
        <v>4.4100258689507843E-3</v>
      </c>
      <c r="D2383">
        <f t="shared" si="303"/>
        <v>1.4150764732173249E-2</v>
      </c>
      <c r="E2383">
        <f>_xlfn.XLOOKUP(A2383,VIX!A:A,VIX!B:B,"",-1)</f>
        <v>16.100000000000001</v>
      </c>
      <c r="F2383">
        <f t="shared" si="297"/>
        <v>0.65000000000000213</v>
      </c>
      <c r="G2383">
        <f>_xlfn.XLOOKUP(A2383,'DGS10'!A:A,'DGS10'!B:B,"",-1)</f>
        <v>4.1500000000000004</v>
      </c>
      <c r="H2383">
        <f t="shared" si="298"/>
        <v>1.0000000000000675E-2</v>
      </c>
      <c r="I2383" s="2">
        <f>_xlfn.XLOOKUP(A2383,T10Y3M!A:A,T10Y3M!B:B,"",-1)</f>
        <v>0.15</v>
      </c>
      <c r="J2383" s="2">
        <f>_xlfn.XLOOKUP(A2383,BAMLC0A4CBBB!A:A,BAMLC0A4CBBB!B:B,"",-1)</f>
        <v>0.93</v>
      </c>
      <c r="K2383" s="2">
        <f>_xlfn.XLOOKUP(A2383,CPIAUCSL!A:A,CPIAUCSL!B:B,"",-1)</f>
        <v>324.245</v>
      </c>
      <c r="L2383">
        <f>_xlfn.XLOOKUP(A2383,DFF!A:A,DFF!B:B,"",-1)</f>
        <v>4.09</v>
      </c>
      <c r="M2383">
        <f>_xlfn.XLOOKUP(A2383,'DGS2'!A:A,'DGS2'!B:B,"",-1)</f>
        <v>3.61</v>
      </c>
      <c r="N2383">
        <f t="shared" si="299"/>
        <v>4.0000000000000036E-2</v>
      </c>
      <c r="O2383">
        <f t="shared" si="300"/>
        <v>-5.5021475256769037E-3</v>
      </c>
      <c r="P2383">
        <f t="shared" si="301"/>
        <v>0</v>
      </c>
      <c r="Q2383">
        <f t="shared" si="302"/>
        <v>-1</v>
      </c>
    </row>
    <row r="2384" spans="1:17">
      <c r="A2384" s="1">
        <v>45923</v>
      </c>
      <c r="B2384">
        <v>6656.92</v>
      </c>
      <c r="C2384">
        <f t="shared" si="296"/>
        <v>-5.5021475256769037E-3</v>
      </c>
      <c r="D2384">
        <f t="shared" si="303"/>
        <v>3.7635932665456284E-3</v>
      </c>
      <c r="E2384">
        <f>_xlfn.XLOOKUP(A2384,VIX!A:A,VIX!B:B,"",-1)</f>
        <v>16.64</v>
      </c>
      <c r="F2384">
        <f t="shared" si="297"/>
        <v>0.53999999999999915</v>
      </c>
      <c r="G2384">
        <f>_xlfn.XLOOKUP(A2384,'DGS10'!A:A,'DGS10'!B:B,"",-1)</f>
        <v>4.12</v>
      </c>
      <c r="H2384">
        <f t="shared" si="298"/>
        <v>-3.0000000000000249E-2</v>
      </c>
      <c r="I2384" s="2">
        <f>_xlfn.XLOOKUP(A2384,T10Y3M!A:A,T10Y3M!B:B,"",-1)</f>
        <v>0.12</v>
      </c>
      <c r="J2384" s="2">
        <f>_xlfn.XLOOKUP(A2384,BAMLC0A4CBBB!A:A,BAMLC0A4CBBB!B:B,"",-1)</f>
        <v>0.94</v>
      </c>
      <c r="K2384" s="2">
        <f>_xlfn.XLOOKUP(A2384,CPIAUCSL!A:A,CPIAUCSL!B:B,"",-1)</f>
        <v>324.245</v>
      </c>
      <c r="L2384">
        <f>_xlfn.XLOOKUP(A2384,DFF!A:A,DFF!B:B,"",-1)</f>
        <v>4.09</v>
      </c>
      <c r="M2384">
        <f>_xlfn.XLOOKUP(A2384,'DGS2'!A:A,'DGS2'!B:B,"",-1)</f>
        <v>3.53</v>
      </c>
      <c r="N2384">
        <f t="shared" si="299"/>
        <v>-8.0000000000000071E-2</v>
      </c>
      <c r="O2384">
        <f t="shared" si="300"/>
        <v>-2.8466618195801541E-3</v>
      </c>
      <c r="P2384">
        <f t="shared" si="301"/>
        <v>0</v>
      </c>
      <c r="Q2384">
        <f t="shared" si="302"/>
        <v>0</v>
      </c>
    </row>
    <row r="2385" spans="1:17">
      <c r="A2385" s="1">
        <v>45924</v>
      </c>
      <c r="B2385">
        <v>6637.97</v>
      </c>
      <c r="C2385">
        <f t="shared" si="296"/>
        <v>-2.8466618195801541E-3</v>
      </c>
      <c r="D2385">
        <f t="shared" si="303"/>
        <v>-3.959870115059716E-3</v>
      </c>
      <c r="E2385">
        <f>_xlfn.XLOOKUP(A2385,VIX!A:A,VIX!B:B,"",-1)</f>
        <v>16.18</v>
      </c>
      <c r="F2385">
        <f t="shared" si="297"/>
        <v>-0.46000000000000085</v>
      </c>
      <c r="G2385">
        <f>_xlfn.XLOOKUP(A2385,'DGS10'!A:A,'DGS10'!B:B,"",-1)</f>
        <v>4.16</v>
      </c>
      <c r="H2385">
        <f t="shared" si="298"/>
        <v>4.0000000000000036E-2</v>
      </c>
      <c r="I2385" s="2">
        <f>_xlfn.XLOOKUP(A2385,T10Y3M!A:A,T10Y3M!B:B,"",-1)</f>
        <v>0.14000000000000001</v>
      </c>
      <c r="J2385" s="2">
        <f>_xlfn.XLOOKUP(A2385,BAMLC0A4CBBB!A:A,BAMLC0A4CBBB!B:B,"",-1)</f>
        <v>0.95</v>
      </c>
      <c r="K2385" s="2">
        <f>_xlfn.XLOOKUP(A2385,CPIAUCSL!A:A,CPIAUCSL!B:B,"",-1)</f>
        <v>324.245</v>
      </c>
      <c r="L2385">
        <f>_xlfn.XLOOKUP(A2385,DFF!A:A,DFF!B:B,"",-1)</f>
        <v>4.09</v>
      </c>
      <c r="M2385">
        <f>_xlfn.XLOOKUP(A2385,'DGS2'!A:A,'DGS2'!B:B,"",-1)</f>
        <v>3.57</v>
      </c>
      <c r="N2385">
        <f t="shared" si="299"/>
        <v>4.0000000000000036E-2</v>
      </c>
      <c r="O2385">
        <f t="shared" si="300"/>
        <v>-5.0090615052493792E-3</v>
      </c>
      <c r="P2385">
        <f t="shared" si="301"/>
        <v>0</v>
      </c>
      <c r="Q2385">
        <f t="shared" si="302"/>
        <v>-1</v>
      </c>
    </row>
    <row r="2386" spans="1:17">
      <c r="A2386" s="1">
        <v>45925</v>
      </c>
      <c r="B2386">
        <v>6604.72</v>
      </c>
      <c r="C2386">
        <f t="shared" si="296"/>
        <v>-5.0090615052493792E-3</v>
      </c>
      <c r="D2386">
        <f t="shared" si="303"/>
        <v>-1.3300466853408022E-2</v>
      </c>
      <c r="E2386">
        <f>_xlfn.XLOOKUP(A2386,VIX!A:A,VIX!B:B,"",-1)</f>
        <v>16.739999999999998</v>
      </c>
      <c r="F2386">
        <f t="shared" si="297"/>
        <v>0.55999999999999872</v>
      </c>
      <c r="G2386">
        <f>_xlfn.XLOOKUP(A2386,'DGS10'!A:A,'DGS10'!B:B,"",-1)</f>
        <v>4.18</v>
      </c>
      <c r="H2386">
        <f t="shared" si="298"/>
        <v>1.9999999999999574E-2</v>
      </c>
      <c r="I2386" s="2">
        <f>_xlfn.XLOOKUP(A2386,T10Y3M!A:A,T10Y3M!B:B,"",-1)</f>
        <v>0.14000000000000001</v>
      </c>
      <c r="J2386" s="2">
        <f>_xlfn.XLOOKUP(A2386,BAMLC0A4CBBB!A:A,BAMLC0A4CBBB!B:B,"",-1)</f>
        <v>0.96</v>
      </c>
      <c r="K2386" s="2">
        <f>_xlfn.XLOOKUP(A2386,CPIAUCSL!A:A,CPIAUCSL!B:B,"",-1)</f>
        <v>324.245</v>
      </c>
      <c r="L2386">
        <f>_xlfn.XLOOKUP(A2386,DFF!A:A,DFF!B:B,"",-1)</f>
        <v>4.09</v>
      </c>
      <c r="M2386">
        <f>_xlfn.XLOOKUP(A2386,'DGS2'!A:A,'DGS2'!B:B,"",-1)</f>
        <v>3.64</v>
      </c>
      <c r="N2386">
        <f t="shared" si="299"/>
        <v>7.0000000000000284E-2</v>
      </c>
      <c r="O2386">
        <f t="shared" si="300"/>
        <v>5.9018398963164298E-3</v>
      </c>
      <c r="P2386">
        <f t="shared" si="301"/>
        <v>1</v>
      </c>
      <c r="Q2386">
        <f t="shared" si="302"/>
        <v>1</v>
      </c>
    </row>
    <row r="2387" spans="1:17">
      <c r="A2387" s="1">
        <v>45926</v>
      </c>
      <c r="B2387">
        <v>6643.7</v>
      </c>
      <c r="C2387">
        <f t="shared" si="296"/>
        <v>5.9018398963164298E-3</v>
      </c>
      <c r="D2387">
        <f t="shared" si="303"/>
        <v>-1.9859033907573265E-3</v>
      </c>
      <c r="E2387">
        <f>_xlfn.XLOOKUP(A2387,VIX!A:A,VIX!B:B,"",-1)</f>
        <v>15.29</v>
      </c>
      <c r="F2387">
        <f t="shared" si="297"/>
        <v>-1.4499999999999993</v>
      </c>
      <c r="G2387">
        <f>_xlfn.XLOOKUP(A2387,'DGS10'!A:A,'DGS10'!B:B,"",-1)</f>
        <v>4.2</v>
      </c>
      <c r="H2387">
        <f t="shared" si="298"/>
        <v>2.0000000000000462E-2</v>
      </c>
      <c r="I2387" s="2">
        <f>_xlfn.XLOOKUP(A2387,T10Y3M!A:A,T10Y3M!B:B,"",-1)</f>
        <v>0.18</v>
      </c>
      <c r="J2387" s="2">
        <f>_xlfn.XLOOKUP(A2387,BAMLC0A4CBBB!A:A,BAMLC0A4CBBB!B:B,"",-1)</f>
        <v>0.95</v>
      </c>
      <c r="K2387" s="2">
        <f>_xlfn.XLOOKUP(A2387,CPIAUCSL!A:A,CPIAUCSL!B:B,"",-1)</f>
        <v>324.245</v>
      </c>
      <c r="L2387">
        <f>_xlfn.XLOOKUP(A2387,DFF!A:A,DFF!B:B,"",-1)</f>
        <v>4.09</v>
      </c>
      <c r="M2387">
        <f>_xlfn.XLOOKUP(A2387,'DGS2'!A:A,'DGS2'!B:B,"",-1)</f>
        <v>3.63</v>
      </c>
      <c r="N2387">
        <f t="shared" si="299"/>
        <v>-1.0000000000000231E-2</v>
      </c>
      <c r="O2387">
        <f t="shared" si="300"/>
        <v>2.6355795716241914E-3</v>
      </c>
      <c r="P2387">
        <f t="shared" si="301"/>
        <v>1</v>
      </c>
      <c r="Q2387">
        <f t="shared" si="302"/>
        <v>0</v>
      </c>
    </row>
    <row r="2388" spans="1:17">
      <c r="A2388" s="1">
        <v>45929</v>
      </c>
      <c r="B2388">
        <v>6661.21</v>
      </c>
      <c r="C2388">
        <f t="shared" si="296"/>
        <v>2.6355795716241914E-3</v>
      </c>
      <c r="D2388">
        <f t="shared" si="303"/>
        <v>3.5010703573532531E-3</v>
      </c>
      <c r="E2388">
        <f>_xlfn.XLOOKUP(A2388,VIX!A:A,VIX!B:B,"",-1)</f>
        <v>16.12</v>
      </c>
      <c r="F2388">
        <f t="shared" si="297"/>
        <v>0.83000000000000185</v>
      </c>
      <c r="G2388">
        <f>_xlfn.XLOOKUP(A2388,'DGS10'!A:A,'DGS10'!B:B,"",-1)</f>
        <v>4.1500000000000004</v>
      </c>
      <c r="H2388">
        <f t="shared" si="298"/>
        <v>-4.9999999999999822E-2</v>
      </c>
      <c r="I2388" s="2">
        <f>_xlfn.XLOOKUP(A2388,T10Y3M!A:A,T10Y3M!B:B,"",-1)</f>
        <v>0.11</v>
      </c>
      <c r="J2388" s="2">
        <f>_xlfn.XLOOKUP(A2388,BAMLC0A4CBBB!A:A,BAMLC0A4CBBB!B:B,"",-1)</f>
        <v>0.94</v>
      </c>
      <c r="K2388" s="2">
        <f>_xlfn.XLOOKUP(A2388,CPIAUCSL!A:A,CPIAUCSL!B:B,"",-1)</f>
        <v>324.245</v>
      </c>
      <c r="L2388">
        <f>_xlfn.XLOOKUP(A2388,DFF!A:A,DFF!B:B,"",-1)</f>
        <v>4.09</v>
      </c>
      <c r="M2388">
        <f>_xlfn.XLOOKUP(A2388,'DGS2'!A:A,'DGS2'!B:B,"",-1)</f>
        <v>3.63</v>
      </c>
      <c r="N2388">
        <f t="shared" si="299"/>
        <v>0</v>
      </c>
      <c r="O2388">
        <f t="shared" si="300"/>
        <v>4.0908483593822265E-3</v>
      </c>
      <c r="P2388">
        <f t="shared" si="301"/>
        <v>1</v>
      </c>
      <c r="Q2388">
        <f t="shared" si="302"/>
        <v>1</v>
      </c>
    </row>
    <row r="2389" spans="1:17">
      <c r="A2389" s="1">
        <v>45930</v>
      </c>
      <c r="B2389">
        <v>6688.46</v>
      </c>
      <c r="C2389">
        <f t="shared" si="296"/>
        <v>4.0908483593822265E-3</v>
      </c>
      <c r="D2389">
        <f t="shared" si="303"/>
        <v>1.2678811516612321E-2</v>
      </c>
      <c r="E2389">
        <f>_xlfn.XLOOKUP(A2389,VIX!A:A,VIX!B:B,"",-1)</f>
        <v>16.28</v>
      </c>
      <c r="F2389">
        <f t="shared" si="297"/>
        <v>0.16000000000000014</v>
      </c>
      <c r="G2389">
        <f>_xlfn.XLOOKUP(A2389,'DGS10'!A:A,'DGS10'!B:B,"",-1)</f>
        <v>4.16</v>
      </c>
      <c r="H2389">
        <f t="shared" si="298"/>
        <v>9.9999999999997868E-3</v>
      </c>
      <c r="I2389" s="2">
        <f>_xlfn.XLOOKUP(A2389,T10Y3M!A:A,T10Y3M!B:B,"",-1)</f>
        <v>0.14000000000000001</v>
      </c>
      <c r="J2389" s="2">
        <f>_xlfn.XLOOKUP(A2389,BAMLC0A4CBBB!A:A,BAMLC0A4CBBB!B:B,"",-1)</f>
        <v>0.97</v>
      </c>
      <c r="K2389" s="2">
        <f>_xlfn.XLOOKUP(A2389,CPIAUCSL!A:A,CPIAUCSL!B:B,"",-1)</f>
        <v>324.245</v>
      </c>
      <c r="L2389">
        <f>_xlfn.XLOOKUP(A2389,DFF!A:A,DFF!B:B,"",-1)</f>
        <v>4.09</v>
      </c>
      <c r="M2389">
        <f>_xlfn.XLOOKUP(A2389,'DGS2'!A:A,'DGS2'!B:B,"",-1)</f>
        <v>3.6</v>
      </c>
      <c r="N2389">
        <f t="shared" si="299"/>
        <v>-2.9999999999999805E-2</v>
      </c>
      <c r="O2389">
        <f t="shared" si="300"/>
        <v>3.3998857734067744E-3</v>
      </c>
      <c r="P2389">
        <f t="shared" si="301"/>
        <v>1</v>
      </c>
      <c r="Q2389">
        <f t="shared" si="302"/>
        <v>1</v>
      </c>
    </row>
    <row r="2390" spans="1:17">
      <c r="A2390" s="1">
        <v>45931</v>
      </c>
      <c r="B2390">
        <v>6711.2</v>
      </c>
      <c r="C2390">
        <f t="shared" si="296"/>
        <v>3.3998857734067744E-3</v>
      </c>
      <c r="D2390">
        <f t="shared" si="303"/>
        <v>1.0160001204148283E-2</v>
      </c>
      <c r="E2390">
        <f>_xlfn.XLOOKUP(A2390,VIX!A:A,VIX!B:B,"",-1)</f>
        <v>16.29</v>
      </c>
      <c r="F2390">
        <f t="shared" si="297"/>
        <v>9.9999999999980105E-3</v>
      </c>
      <c r="G2390">
        <f>_xlfn.XLOOKUP(A2390,'DGS10'!A:A,'DGS10'!B:B,"",-1)</f>
        <v>4.12</v>
      </c>
      <c r="H2390">
        <f t="shared" si="298"/>
        <v>-4.0000000000000036E-2</v>
      </c>
      <c r="I2390" s="2">
        <f>_xlfn.XLOOKUP(A2390,T10Y3M!A:A,T10Y3M!B:B,"",-1)</f>
        <v>0.11</v>
      </c>
      <c r="J2390" s="2">
        <f>_xlfn.XLOOKUP(A2390,BAMLC0A4CBBB!A:A,BAMLC0A4CBBB!B:B,"",-1)</f>
        <v>0.97</v>
      </c>
      <c r="K2390" s="2">
        <f>_xlfn.XLOOKUP(A2390,CPIAUCSL!A:A,CPIAUCSL!B:B,"",-1)</f>
        <v>0</v>
      </c>
      <c r="L2390">
        <f>_xlfn.XLOOKUP(A2390,DFF!A:A,DFF!B:B,"",-1)</f>
        <v>4.09</v>
      </c>
      <c r="M2390">
        <f>_xlfn.XLOOKUP(A2390,'DGS2'!A:A,'DGS2'!B:B,"",-1)</f>
        <v>3.55</v>
      </c>
      <c r="N2390">
        <f t="shared" si="299"/>
        <v>-5.0000000000000266E-2</v>
      </c>
      <c r="O2390">
        <f t="shared" si="300"/>
        <v>6.1836929312208966E-4</v>
      </c>
      <c r="P2390">
        <f t="shared" si="301"/>
        <v>1</v>
      </c>
      <c r="Q2390">
        <f t="shared" si="302"/>
        <v>0</v>
      </c>
    </row>
    <row r="2391" spans="1:17">
      <c r="A2391" s="1">
        <v>45932</v>
      </c>
      <c r="B2391">
        <v>6715.35</v>
      </c>
      <c r="C2391">
        <f t="shared" si="296"/>
        <v>6.1836929312208966E-4</v>
      </c>
      <c r="D2391">
        <f t="shared" si="303"/>
        <v>8.1276524835578456E-3</v>
      </c>
      <c r="E2391">
        <f>_xlfn.XLOOKUP(A2391,VIX!A:A,VIX!B:B,"",-1)</f>
        <v>16.63</v>
      </c>
      <c r="F2391">
        <f t="shared" si="297"/>
        <v>0.33999999999999986</v>
      </c>
      <c r="G2391">
        <f>_xlfn.XLOOKUP(A2391,'DGS10'!A:A,'DGS10'!B:B,"",-1)</f>
        <v>4.0999999999999996</v>
      </c>
      <c r="H2391">
        <f t="shared" si="298"/>
        <v>-2.0000000000000462E-2</v>
      </c>
      <c r="I2391" s="2">
        <f>_xlfn.XLOOKUP(A2391,T10Y3M!A:A,T10Y3M!B:B,"",-1)</f>
        <v>0.08</v>
      </c>
      <c r="J2391" s="2">
        <f>_xlfn.XLOOKUP(A2391,BAMLC0A4CBBB!A:A,BAMLC0A4CBBB!B:B,"",-1)</f>
        <v>0.96</v>
      </c>
      <c r="K2391" s="2">
        <f>_xlfn.XLOOKUP(A2391,CPIAUCSL!A:A,CPIAUCSL!B:B,"",-1)</f>
        <v>0</v>
      </c>
      <c r="L2391">
        <f>_xlfn.XLOOKUP(A2391,DFF!A:A,DFF!B:B,"",-1)</f>
        <v>4.09</v>
      </c>
      <c r="M2391">
        <f>_xlfn.XLOOKUP(A2391,'DGS2'!A:A,'DGS2'!B:B,"",-1)</f>
        <v>3.55</v>
      </c>
      <c r="N2391">
        <f t="shared" si="299"/>
        <v>0</v>
      </c>
      <c r="O2391">
        <f t="shared" si="300"/>
        <v>6.552152903416264E-5</v>
      </c>
      <c r="P2391">
        <f t="shared" si="301"/>
        <v>1</v>
      </c>
      <c r="Q2391">
        <f t="shared" si="302"/>
        <v>0</v>
      </c>
    </row>
    <row r="2392" spans="1:17">
      <c r="A2392" s="1">
        <v>45933</v>
      </c>
      <c r="B2392">
        <v>6715.79</v>
      </c>
      <c r="C2392">
        <f t="shared" si="296"/>
        <v>6.552152903416264E-5</v>
      </c>
      <c r="D2392">
        <f t="shared" si="303"/>
        <v>4.0861424004927649E-3</v>
      </c>
      <c r="E2392">
        <f>_xlfn.XLOOKUP(A2392,VIX!A:A,VIX!B:B,"",-1)</f>
        <v>16.649999999999999</v>
      </c>
      <c r="F2392">
        <f t="shared" si="297"/>
        <v>1.9999999999999574E-2</v>
      </c>
      <c r="G2392">
        <f>_xlfn.XLOOKUP(A2392,'DGS10'!A:A,'DGS10'!B:B,"",-1)</f>
        <v>4.13</v>
      </c>
      <c r="H2392">
        <f t="shared" si="298"/>
        <v>3.0000000000000249E-2</v>
      </c>
      <c r="I2392" s="2">
        <f>_xlfn.XLOOKUP(A2392,T10Y3M!A:A,T10Y3M!B:B,"",-1)</f>
        <v>0.1</v>
      </c>
      <c r="J2392" s="2">
        <f>_xlfn.XLOOKUP(A2392,BAMLC0A4CBBB!A:A,BAMLC0A4CBBB!B:B,"",-1)</f>
        <v>0.95</v>
      </c>
      <c r="K2392" s="2">
        <f>_xlfn.XLOOKUP(A2392,CPIAUCSL!A:A,CPIAUCSL!B:B,"",-1)</f>
        <v>0</v>
      </c>
      <c r="L2392">
        <f>_xlfn.XLOOKUP(A2392,DFF!A:A,DFF!B:B,"",-1)</f>
        <v>4.09</v>
      </c>
      <c r="M2392">
        <f>_xlfn.XLOOKUP(A2392,'DGS2'!A:A,'DGS2'!B:B,"",-1)</f>
        <v>3.58</v>
      </c>
      <c r="N2392">
        <f t="shared" si="299"/>
        <v>3.0000000000000249E-2</v>
      </c>
      <c r="O2392">
        <f t="shared" si="300"/>
        <v>3.6466298082578064E-3</v>
      </c>
      <c r="P2392">
        <f t="shared" si="301"/>
        <v>1</v>
      </c>
      <c r="Q2392">
        <f t="shared" si="302"/>
        <v>1</v>
      </c>
    </row>
    <row r="2393" spans="1:17">
      <c r="A2393" s="1">
        <v>45936</v>
      </c>
      <c r="B2393">
        <v>6740.28</v>
      </c>
      <c r="C2393">
        <f t="shared" si="296"/>
        <v>3.6466298082578064E-3</v>
      </c>
      <c r="D2393">
        <f t="shared" si="303"/>
        <v>4.3330551913218773E-3</v>
      </c>
      <c r="E2393">
        <f>_xlfn.XLOOKUP(A2393,VIX!A:A,VIX!B:B,"",-1)</f>
        <v>16.37</v>
      </c>
      <c r="F2393">
        <f t="shared" si="297"/>
        <v>-0.27999999999999758</v>
      </c>
      <c r="G2393">
        <f>_xlfn.XLOOKUP(A2393,'DGS10'!A:A,'DGS10'!B:B,"",-1)</f>
        <v>4.18</v>
      </c>
      <c r="H2393">
        <f t="shared" si="298"/>
        <v>4.9999999999999822E-2</v>
      </c>
      <c r="I2393" s="2">
        <f>_xlfn.XLOOKUP(A2393,T10Y3M!A:A,T10Y3M!B:B,"",-1)</f>
        <v>0.16</v>
      </c>
      <c r="J2393" s="2">
        <f>_xlfn.XLOOKUP(A2393,BAMLC0A4CBBB!A:A,BAMLC0A4CBBB!B:B,"",-1)</f>
        <v>0.94</v>
      </c>
      <c r="K2393" s="2">
        <f>_xlfn.XLOOKUP(A2393,CPIAUCSL!A:A,CPIAUCSL!B:B,"",-1)</f>
        <v>0</v>
      </c>
      <c r="L2393">
        <f>_xlfn.XLOOKUP(A2393,DFF!A:A,DFF!B:B,"",-1)</f>
        <v>4.09</v>
      </c>
      <c r="M2393">
        <f>_xlfn.XLOOKUP(A2393,'DGS2'!A:A,'DGS2'!B:B,"",-1)</f>
        <v>3.6</v>
      </c>
      <c r="N2393">
        <f t="shared" si="299"/>
        <v>2.0000000000000018E-2</v>
      </c>
      <c r="O2393">
        <f t="shared" si="300"/>
        <v>-3.8114143626080121E-3</v>
      </c>
      <c r="P2393">
        <f t="shared" si="301"/>
        <v>0</v>
      </c>
      <c r="Q2393">
        <f t="shared" si="302"/>
        <v>-1</v>
      </c>
    </row>
    <row r="2394" spans="1:17">
      <c r="A2394" s="1">
        <v>45937</v>
      </c>
      <c r="B2394">
        <v>6714.59</v>
      </c>
      <c r="C2394">
        <f t="shared" si="296"/>
        <v>-3.8114143626080121E-3</v>
      </c>
      <c r="D2394">
        <f t="shared" si="303"/>
        <v>-1.1317355015005859E-4</v>
      </c>
      <c r="E2394">
        <f>_xlfn.XLOOKUP(A2394,VIX!A:A,VIX!B:B,"",-1)</f>
        <v>17.239999999999998</v>
      </c>
      <c r="F2394">
        <f t="shared" si="297"/>
        <v>0.86999999999999744</v>
      </c>
      <c r="G2394">
        <f>_xlfn.XLOOKUP(A2394,'DGS10'!A:A,'DGS10'!B:B,"",-1)</f>
        <v>4.1399999999999997</v>
      </c>
      <c r="H2394">
        <f t="shared" si="298"/>
        <v>-4.0000000000000036E-2</v>
      </c>
      <c r="I2394" s="2">
        <f>_xlfn.XLOOKUP(A2394,T10Y3M!A:A,T10Y3M!B:B,"",-1)</f>
        <v>0.13</v>
      </c>
      <c r="J2394" s="2">
        <f>_xlfn.XLOOKUP(A2394,BAMLC0A4CBBB!A:A,BAMLC0A4CBBB!B:B,"",-1)</f>
        <v>0.95</v>
      </c>
      <c r="K2394" s="2">
        <f>_xlfn.XLOOKUP(A2394,CPIAUCSL!A:A,CPIAUCSL!B:B,"",-1)</f>
        <v>0</v>
      </c>
      <c r="L2394">
        <f>_xlfn.XLOOKUP(A2394,DFF!A:A,DFF!B:B,"",-1)</f>
        <v>4.09</v>
      </c>
      <c r="M2394">
        <f>_xlfn.XLOOKUP(A2394,'DGS2'!A:A,'DGS2'!B:B,"",-1)</f>
        <v>3.57</v>
      </c>
      <c r="N2394">
        <f t="shared" si="299"/>
        <v>-3.0000000000000249E-2</v>
      </c>
      <c r="O2394">
        <f t="shared" si="300"/>
        <v>5.8276082381798489E-3</v>
      </c>
      <c r="P2394">
        <f t="shared" si="301"/>
        <v>1</v>
      </c>
      <c r="Q2394">
        <f t="shared" si="302"/>
        <v>1</v>
      </c>
    </row>
    <row r="2395" spans="1:17">
      <c r="A2395" s="1">
        <v>45938</v>
      </c>
      <c r="B2395">
        <v>6753.72</v>
      </c>
      <c r="C2395">
        <f t="shared" si="296"/>
        <v>5.8276082381798489E-3</v>
      </c>
      <c r="D2395">
        <f t="shared" si="303"/>
        <v>5.6478835699151908E-3</v>
      </c>
      <c r="E2395">
        <f>_xlfn.XLOOKUP(A2395,VIX!A:A,VIX!B:B,"",-1)</f>
        <v>16.3</v>
      </c>
      <c r="F2395">
        <f t="shared" si="297"/>
        <v>-0.93999999999999773</v>
      </c>
      <c r="G2395">
        <f>_xlfn.XLOOKUP(A2395,'DGS10'!A:A,'DGS10'!B:B,"",-1)</f>
        <v>4.13</v>
      </c>
      <c r="H2395">
        <f t="shared" si="298"/>
        <v>-9.9999999999997868E-3</v>
      </c>
      <c r="I2395" s="2">
        <f>_xlfn.XLOOKUP(A2395,T10Y3M!A:A,T10Y3M!B:B,"",-1)</f>
        <v>0.12</v>
      </c>
      <c r="J2395" s="2">
        <f>_xlfn.XLOOKUP(A2395,BAMLC0A4CBBB!A:A,BAMLC0A4CBBB!B:B,"",-1)</f>
        <v>0.95</v>
      </c>
      <c r="K2395" s="2">
        <f>_xlfn.XLOOKUP(A2395,CPIAUCSL!A:A,CPIAUCSL!B:B,"",-1)</f>
        <v>0</v>
      </c>
      <c r="L2395">
        <f>_xlfn.XLOOKUP(A2395,DFF!A:A,DFF!B:B,"",-1)</f>
        <v>4.0999999999999996</v>
      </c>
      <c r="M2395">
        <f>_xlfn.XLOOKUP(A2395,'DGS2'!A:A,'DGS2'!B:B,"",-1)</f>
        <v>3.58</v>
      </c>
      <c r="N2395">
        <f t="shared" si="299"/>
        <v>1.0000000000000231E-2</v>
      </c>
      <c r="O2395">
        <f t="shared" si="300"/>
        <v>-2.755518440207827E-3</v>
      </c>
      <c r="P2395">
        <f t="shared" si="301"/>
        <v>0</v>
      </c>
      <c r="Q2395">
        <f t="shared" si="302"/>
        <v>0</v>
      </c>
    </row>
    <row r="2396" spans="1:17">
      <c r="A2396" s="1">
        <v>45939</v>
      </c>
      <c r="B2396">
        <v>6735.11</v>
      </c>
      <c r="C2396">
        <f t="shared" si="296"/>
        <v>-2.755518440207827E-3</v>
      </c>
      <c r="D2396">
        <f t="shared" si="303"/>
        <v>-7.6703044977366464E-4</v>
      </c>
      <c r="E2396">
        <f>_xlfn.XLOOKUP(A2396,VIX!A:A,VIX!B:B,"",-1)</f>
        <v>16.43</v>
      </c>
      <c r="F2396">
        <f t="shared" si="297"/>
        <v>0.12999999999999901</v>
      </c>
      <c r="G2396">
        <f>_xlfn.XLOOKUP(A2396,'DGS10'!A:A,'DGS10'!B:B,"",-1)</f>
        <v>4.1399999999999997</v>
      </c>
      <c r="H2396">
        <f t="shared" si="298"/>
        <v>9.9999999999997868E-3</v>
      </c>
      <c r="I2396" s="2">
        <f>_xlfn.XLOOKUP(A2396,T10Y3M!A:A,T10Y3M!B:B,"",-1)</f>
        <v>0.11</v>
      </c>
      <c r="J2396" s="2">
        <f>_xlfn.XLOOKUP(A2396,BAMLC0A4CBBB!A:A,BAMLC0A4CBBB!B:B,"",-1)</f>
        <v>0.98</v>
      </c>
      <c r="K2396" s="2">
        <f>_xlfn.XLOOKUP(A2396,CPIAUCSL!A:A,CPIAUCSL!B:B,"",-1)</f>
        <v>0</v>
      </c>
      <c r="L2396">
        <f>_xlfn.XLOOKUP(A2396,DFF!A:A,DFF!B:B,"",-1)</f>
        <v>4.0999999999999996</v>
      </c>
      <c r="M2396">
        <f>_xlfn.XLOOKUP(A2396,'DGS2'!A:A,'DGS2'!B:B,"",-1)</f>
        <v>3.6</v>
      </c>
      <c r="N2396">
        <f t="shared" si="299"/>
        <v>2.0000000000000018E-2</v>
      </c>
      <c r="O2396">
        <f t="shared" si="300"/>
        <v>-2.7111658161485086E-2</v>
      </c>
      <c r="P2396">
        <f t="shared" si="301"/>
        <v>0</v>
      </c>
      <c r="Q2396">
        <f t="shared" si="302"/>
        <v>-1</v>
      </c>
    </row>
    <row r="2397" spans="1:17">
      <c r="A2397" s="1">
        <v>45940</v>
      </c>
      <c r="B2397">
        <v>6552.51</v>
      </c>
      <c r="C2397">
        <f t="shared" si="296"/>
        <v>-2.7111658161485086E-2</v>
      </c>
      <c r="D2397">
        <f t="shared" si="303"/>
        <v>-2.4138480532690743E-2</v>
      </c>
      <c r="E2397">
        <f>_xlfn.XLOOKUP(A2397,VIX!A:A,VIX!B:B,"",-1)</f>
        <v>21.66</v>
      </c>
      <c r="F2397">
        <f t="shared" si="297"/>
        <v>5.23</v>
      </c>
      <c r="G2397">
        <f>_xlfn.XLOOKUP(A2397,'DGS10'!A:A,'DGS10'!B:B,"",-1)</f>
        <v>4.05</v>
      </c>
      <c r="H2397">
        <f t="shared" si="298"/>
        <v>-8.9999999999999858E-2</v>
      </c>
      <c r="I2397" s="2">
        <f>_xlfn.XLOOKUP(A2397,T10Y3M!A:A,T10Y3M!B:B,"",-1)</f>
        <v>0.03</v>
      </c>
      <c r="J2397" s="2">
        <f>_xlfn.XLOOKUP(A2397,BAMLC0A4CBBB!A:A,BAMLC0A4CBBB!B:B,"",-1)</f>
        <v>1.02</v>
      </c>
      <c r="K2397" s="2">
        <f>_xlfn.XLOOKUP(A2397,CPIAUCSL!A:A,CPIAUCSL!B:B,"",-1)</f>
        <v>0</v>
      </c>
      <c r="L2397">
        <f>_xlfn.XLOOKUP(A2397,DFF!A:A,DFF!B:B,"",-1)</f>
        <v>4.0999999999999996</v>
      </c>
      <c r="M2397">
        <f>_xlfn.XLOOKUP(A2397,'DGS2'!A:A,'DGS2'!B:B,"",-1)</f>
        <v>3.52</v>
      </c>
      <c r="N2397">
        <f t="shared" si="299"/>
        <v>-8.0000000000000071E-2</v>
      </c>
      <c r="O2397">
        <f t="shared" si="300"/>
        <v>1.5598602672868944E-2</v>
      </c>
      <c r="P2397">
        <f t="shared" si="301"/>
        <v>1</v>
      </c>
      <c r="Q2397">
        <f t="shared" si="302"/>
        <v>1</v>
      </c>
    </row>
    <row r="2398" spans="1:17">
      <c r="A2398" s="1">
        <v>45943</v>
      </c>
      <c r="B2398">
        <v>6654.72</v>
      </c>
      <c r="C2398">
        <f t="shared" si="296"/>
        <v>1.5598602672868944E-2</v>
      </c>
      <c r="D2398">
        <f t="shared" si="303"/>
        <v>-1.4658588155860741E-2</v>
      </c>
      <c r="E2398">
        <f>_xlfn.XLOOKUP(A2398,VIX!A:A,VIX!B:B,"",-1)</f>
        <v>19.03</v>
      </c>
      <c r="F2398">
        <f t="shared" si="297"/>
        <v>-2.629999999999999</v>
      </c>
      <c r="G2398">
        <f>_xlfn.XLOOKUP(A2398,'DGS10'!A:A,'DGS10'!B:B,"",-1)</f>
        <v>0</v>
      </c>
      <c r="H2398">
        <f t="shared" si="298"/>
        <v>-4.05</v>
      </c>
      <c r="I2398" s="2">
        <f>_xlfn.XLOOKUP(A2398,T10Y3M!A:A,T10Y3M!B:B,"",-1)</f>
        <v>0</v>
      </c>
      <c r="J2398" s="2">
        <f>_xlfn.XLOOKUP(A2398,BAMLC0A4CBBB!A:A,BAMLC0A4CBBB!B:B,"",-1)</f>
        <v>1.02</v>
      </c>
      <c r="K2398" s="2">
        <f>_xlfn.XLOOKUP(A2398,CPIAUCSL!A:A,CPIAUCSL!B:B,"",-1)</f>
        <v>0</v>
      </c>
      <c r="L2398">
        <f>_xlfn.XLOOKUP(A2398,DFF!A:A,DFF!B:B,"",-1)</f>
        <v>4.0999999999999996</v>
      </c>
      <c r="M2398">
        <f>_xlfn.XLOOKUP(A2398,'DGS2'!A:A,'DGS2'!B:B,"",-1)</f>
        <v>0</v>
      </c>
      <c r="N2398">
        <f t="shared" si="299"/>
        <v>-3.52</v>
      </c>
      <c r="O2398">
        <f t="shared" si="300"/>
        <v>-1.5643032313906735E-3</v>
      </c>
      <c r="P2398">
        <f t="shared" si="301"/>
        <v>0</v>
      </c>
      <c r="Q2398">
        <f t="shared" si="302"/>
        <v>0</v>
      </c>
    </row>
    <row r="2399" spans="1:17">
      <c r="A2399" s="1">
        <v>45944</v>
      </c>
      <c r="B2399">
        <v>6644.31</v>
      </c>
      <c r="C2399">
        <f t="shared" si="296"/>
        <v>-1.5643032313906735E-3</v>
      </c>
      <c r="D2399">
        <f t="shared" si="303"/>
        <v>-1.3481591243498459E-2</v>
      </c>
      <c r="E2399">
        <f>_xlfn.XLOOKUP(A2399,VIX!A:A,VIX!B:B,"",-1)</f>
        <v>20.81</v>
      </c>
      <c r="F2399">
        <f t="shared" si="297"/>
        <v>1.7799999999999976</v>
      </c>
      <c r="G2399">
        <f>_xlfn.XLOOKUP(A2399,'DGS10'!A:A,'DGS10'!B:B,"",-1)</f>
        <v>4.03</v>
      </c>
      <c r="H2399">
        <f t="shared" si="298"/>
        <v>4.03</v>
      </c>
      <c r="I2399" s="2">
        <f>_xlfn.XLOOKUP(A2399,T10Y3M!A:A,T10Y3M!B:B,"",-1)</f>
        <v>0.01</v>
      </c>
      <c r="J2399" s="2">
        <f>_xlfn.XLOOKUP(A2399,BAMLC0A4CBBB!A:A,BAMLC0A4CBBB!B:B,"",-1)</f>
        <v>1.02</v>
      </c>
      <c r="K2399" s="2">
        <f>_xlfn.XLOOKUP(A2399,CPIAUCSL!A:A,CPIAUCSL!B:B,"",-1)</f>
        <v>0</v>
      </c>
      <c r="L2399">
        <f>_xlfn.XLOOKUP(A2399,DFF!A:A,DFF!B:B,"",-1)</f>
        <v>4.0999999999999996</v>
      </c>
      <c r="M2399">
        <f>_xlfn.XLOOKUP(A2399,'DGS2'!A:A,'DGS2'!B:B,"",-1)</f>
        <v>3.48</v>
      </c>
      <c r="N2399">
        <f t="shared" si="299"/>
        <v>3.48</v>
      </c>
      <c r="O2399">
        <f t="shared" si="300"/>
        <v>4.0260011950075114E-3</v>
      </c>
      <c r="P2399">
        <f t="shared" si="301"/>
        <v>1</v>
      </c>
      <c r="Q2399">
        <f t="shared" si="302"/>
        <v>1</v>
      </c>
    </row>
    <row r="2400" spans="1:17">
      <c r="A2400" s="1">
        <v>45945</v>
      </c>
      <c r="B2400">
        <v>6671.06</v>
      </c>
      <c r="C2400">
        <f t="shared" si="296"/>
        <v>4.0260011950075114E-3</v>
      </c>
      <c r="D2400">
        <f t="shared" si="303"/>
        <v>1.8092303560009793E-2</v>
      </c>
      <c r="E2400">
        <f>_xlfn.XLOOKUP(A2400,VIX!A:A,VIX!B:B,"",-1)</f>
        <v>20.64</v>
      </c>
      <c r="F2400">
        <f t="shared" si="297"/>
        <v>-0.16999999999999815</v>
      </c>
      <c r="G2400">
        <f>_xlfn.XLOOKUP(A2400,'DGS10'!A:A,'DGS10'!B:B,"",-1)</f>
        <v>4.05</v>
      </c>
      <c r="H2400">
        <f t="shared" si="298"/>
        <v>1.9999999999999574E-2</v>
      </c>
      <c r="I2400" s="2">
        <f>_xlfn.XLOOKUP(A2400,T10Y3M!A:A,T10Y3M!B:B,"",-1)</f>
        <v>0.02</v>
      </c>
      <c r="J2400" s="2">
        <f>_xlfn.XLOOKUP(A2400,BAMLC0A4CBBB!A:A,BAMLC0A4CBBB!B:B,"",-1)</f>
        <v>0.99</v>
      </c>
      <c r="K2400" s="2">
        <f>_xlfn.XLOOKUP(A2400,CPIAUCSL!A:A,CPIAUCSL!B:B,"",-1)</f>
        <v>0</v>
      </c>
      <c r="L2400">
        <f>_xlfn.XLOOKUP(A2400,DFF!A:A,DFF!B:B,"",-1)</f>
        <v>4.0999999999999996</v>
      </c>
      <c r="M2400">
        <f>_xlfn.XLOOKUP(A2400,'DGS2'!A:A,'DGS2'!B:B,"",-1)</f>
        <v>3.5</v>
      </c>
      <c r="N2400">
        <f t="shared" si="299"/>
        <v>2.0000000000000018E-2</v>
      </c>
      <c r="O2400">
        <f t="shared" si="300"/>
        <v>-6.2943520220175575E-3</v>
      </c>
      <c r="P2400">
        <f t="shared" si="301"/>
        <v>0</v>
      </c>
      <c r="Q2400">
        <f t="shared" si="302"/>
        <v>-1</v>
      </c>
    </row>
    <row r="2401" spans="1:17">
      <c r="A2401" s="1">
        <v>45946</v>
      </c>
      <c r="B2401">
        <v>6629.07</v>
      </c>
      <c r="C2401">
        <f t="shared" si="296"/>
        <v>-6.2943520220175575E-3</v>
      </c>
      <c r="D2401">
        <f t="shared" si="303"/>
        <v>-3.8544070975188305E-3</v>
      </c>
      <c r="E2401">
        <f>_xlfn.XLOOKUP(A2401,VIX!A:A,VIX!B:B,"",-1)</f>
        <v>25.31</v>
      </c>
      <c r="F2401">
        <f t="shared" si="297"/>
        <v>4.6699999999999982</v>
      </c>
      <c r="G2401">
        <f>_xlfn.XLOOKUP(A2401,'DGS10'!A:A,'DGS10'!B:B,"",-1)</f>
        <v>3.99</v>
      </c>
      <c r="H2401">
        <f t="shared" si="298"/>
        <v>-5.9999999999999609E-2</v>
      </c>
      <c r="I2401" s="2">
        <f>_xlfn.XLOOKUP(A2401,T10Y3M!A:A,T10Y3M!B:B,"",-1)</f>
        <v>-0.03</v>
      </c>
      <c r="J2401" s="2">
        <f>_xlfn.XLOOKUP(A2401,BAMLC0A4CBBB!A:A,BAMLC0A4CBBB!B:B,"",-1)</f>
        <v>1.01</v>
      </c>
      <c r="K2401" s="2">
        <f>_xlfn.XLOOKUP(A2401,CPIAUCSL!A:A,CPIAUCSL!B:B,"",-1)</f>
        <v>0</v>
      </c>
      <c r="L2401">
        <f>_xlfn.XLOOKUP(A2401,DFF!A:A,DFF!B:B,"",-1)</f>
        <v>4.1100000000000003</v>
      </c>
      <c r="M2401">
        <f>_xlfn.XLOOKUP(A2401,'DGS2'!A:A,'DGS2'!B:B,"",-1)</f>
        <v>3.41</v>
      </c>
      <c r="N2401">
        <f t="shared" si="299"/>
        <v>-8.9999999999999858E-2</v>
      </c>
      <c r="O2401">
        <f t="shared" si="300"/>
        <v>5.270724249404557E-3</v>
      </c>
      <c r="P2401">
        <f t="shared" si="301"/>
        <v>1</v>
      </c>
      <c r="Q2401">
        <f t="shared" si="302"/>
        <v>1</v>
      </c>
    </row>
    <row r="2402" spans="1:17">
      <c r="A2402" s="1">
        <v>45947</v>
      </c>
      <c r="B2402">
        <v>6664.01</v>
      </c>
      <c r="C2402">
        <f t="shared" si="296"/>
        <v>5.270724249404557E-3</v>
      </c>
      <c r="D2402">
        <f t="shared" si="303"/>
        <v>2.96494293613625E-3</v>
      </c>
      <c r="E2402">
        <f>_xlfn.XLOOKUP(A2402,VIX!A:A,VIX!B:B,"",-1)</f>
        <v>20.78</v>
      </c>
      <c r="F2402">
        <f t="shared" si="297"/>
        <v>-4.5299999999999976</v>
      </c>
      <c r="G2402">
        <f>_xlfn.XLOOKUP(A2402,'DGS10'!A:A,'DGS10'!B:B,"",-1)</f>
        <v>4.0199999999999996</v>
      </c>
      <c r="H2402">
        <f t="shared" si="298"/>
        <v>2.9999999999999361E-2</v>
      </c>
      <c r="I2402" s="2">
        <f>_xlfn.XLOOKUP(A2402,T10Y3M!A:A,T10Y3M!B:B,"",-1)</f>
        <v>0.02</v>
      </c>
      <c r="J2402" s="2">
        <f>_xlfn.XLOOKUP(A2402,BAMLC0A4CBBB!A:A,BAMLC0A4CBBB!B:B,"",-1)</f>
        <v>1.01</v>
      </c>
      <c r="K2402" s="2">
        <f>_xlfn.XLOOKUP(A2402,CPIAUCSL!A:A,CPIAUCSL!B:B,"",-1)</f>
        <v>0</v>
      </c>
      <c r="L2402">
        <f>_xlfn.XLOOKUP(A2402,DFF!A:A,DFF!B:B,"",-1)</f>
        <v>4.1100000000000003</v>
      </c>
      <c r="M2402">
        <f>_xlfn.XLOOKUP(A2402,'DGS2'!A:A,'DGS2'!B:B,"",-1)</f>
        <v>3.46</v>
      </c>
      <c r="N2402">
        <f t="shared" si="299"/>
        <v>4.9999999999999822E-2</v>
      </c>
      <c r="O2402">
        <f t="shared" si="300"/>
        <v>1.0672252892777845E-2</v>
      </c>
      <c r="P2402">
        <f t="shared" si="301"/>
        <v>1</v>
      </c>
      <c r="Q2402">
        <f t="shared" si="302"/>
        <v>1</v>
      </c>
    </row>
    <row r="2403" spans="1:17">
      <c r="A2403" s="1">
        <v>45950</v>
      </c>
      <c r="B2403">
        <v>6735.13</v>
      </c>
      <c r="C2403">
        <f t="shared" si="296"/>
        <v>1.0672252892777845E-2</v>
      </c>
      <c r="D2403">
        <f t="shared" si="303"/>
        <v>9.6041708514089663E-3</v>
      </c>
      <c r="E2403">
        <f>_xlfn.XLOOKUP(A2403,VIX!A:A,VIX!B:B,"",-1)</f>
        <v>18.23</v>
      </c>
      <c r="F2403">
        <f t="shared" si="297"/>
        <v>-2.5500000000000007</v>
      </c>
      <c r="G2403">
        <f>_xlfn.XLOOKUP(A2403,'DGS10'!A:A,'DGS10'!B:B,"",-1)</f>
        <v>4</v>
      </c>
      <c r="H2403">
        <f t="shared" si="298"/>
        <v>-1.9999999999999574E-2</v>
      </c>
      <c r="I2403" s="2">
        <f>_xlfn.XLOOKUP(A2403,T10Y3M!A:A,T10Y3M!B:B,"",-1)</f>
        <v>0.03</v>
      </c>
      <c r="J2403" s="2">
        <f>_xlfn.XLOOKUP(A2403,BAMLC0A4CBBB!A:A,BAMLC0A4CBBB!B:B,"",-1)</f>
        <v>1</v>
      </c>
      <c r="K2403" s="2">
        <f>_xlfn.XLOOKUP(A2403,CPIAUCSL!A:A,CPIAUCSL!B:B,"",-1)</f>
        <v>0</v>
      </c>
      <c r="L2403">
        <f>_xlfn.XLOOKUP(A2403,DFF!A:A,DFF!B:B,"",-1)</f>
        <v>4.1100000000000003</v>
      </c>
      <c r="M2403">
        <f>_xlfn.XLOOKUP(A2403,'DGS2'!A:A,'DGS2'!B:B,"",-1)</f>
        <v>3.46</v>
      </c>
      <c r="N2403">
        <f t="shared" si="299"/>
        <v>0</v>
      </c>
      <c r="O2403">
        <f t="shared" si="300"/>
        <v>3.2664551389505192E-5</v>
      </c>
      <c r="P2403">
        <f t="shared" si="301"/>
        <v>1</v>
      </c>
      <c r="Q2403">
        <f t="shared" si="302"/>
        <v>0</v>
      </c>
    </row>
    <row r="2404" spans="1:17">
      <c r="A2404" s="1">
        <v>45951</v>
      </c>
      <c r="B2404">
        <v>6735.35</v>
      </c>
      <c r="C2404">
        <f t="shared" si="296"/>
        <v>3.2664551389505192E-5</v>
      </c>
      <c r="D2404">
        <f t="shared" si="303"/>
        <v>1.6032414803283324E-2</v>
      </c>
      <c r="E2404">
        <f>_xlfn.XLOOKUP(A2404,VIX!A:A,VIX!B:B,"",-1)</f>
        <v>17.87</v>
      </c>
      <c r="F2404">
        <f t="shared" si="297"/>
        <v>-0.35999999999999943</v>
      </c>
      <c r="G2404">
        <f>_xlfn.XLOOKUP(A2404,'DGS10'!A:A,'DGS10'!B:B,"",-1)</f>
        <v>3.98</v>
      </c>
      <c r="H2404">
        <f t="shared" si="298"/>
        <v>-2.0000000000000018E-2</v>
      </c>
      <c r="I2404" s="2">
        <f>_xlfn.XLOOKUP(A2404,T10Y3M!A:A,T10Y3M!B:B,"",-1)</f>
        <v>0.02</v>
      </c>
      <c r="J2404" s="2">
        <f>_xlfn.XLOOKUP(A2404,BAMLC0A4CBBB!A:A,BAMLC0A4CBBB!B:B,"",-1)</f>
        <v>1.01</v>
      </c>
      <c r="K2404" s="2">
        <f>_xlfn.XLOOKUP(A2404,CPIAUCSL!A:A,CPIAUCSL!B:B,"",-1)</f>
        <v>0</v>
      </c>
      <c r="L2404">
        <f>_xlfn.XLOOKUP(A2404,DFF!A:A,DFF!B:B,"",-1)</f>
        <v>4.1100000000000003</v>
      </c>
      <c r="M2404">
        <f>_xlfn.XLOOKUP(A2404,'DGS2'!A:A,'DGS2'!B:B,"",-1)</f>
        <v>3.45</v>
      </c>
      <c r="N2404">
        <f t="shared" si="299"/>
        <v>-9.9999999999997868E-3</v>
      </c>
      <c r="O2404">
        <f t="shared" si="300"/>
        <v>-5.3375103001329638E-3</v>
      </c>
      <c r="P2404">
        <f t="shared" si="301"/>
        <v>0</v>
      </c>
      <c r="Q2404">
        <f t="shared" si="302"/>
        <v>-1</v>
      </c>
    </row>
    <row r="2405" spans="1:17">
      <c r="A2405" s="1">
        <v>45952</v>
      </c>
      <c r="B2405">
        <v>6699.4</v>
      </c>
      <c r="C2405">
        <f t="shared" si="296"/>
        <v>-5.3375103001329638E-3</v>
      </c>
      <c r="D2405">
        <f t="shared" si="303"/>
        <v>5.310616280587821E-3</v>
      </c>
      <c r="E2405">
        <f>_xlfn.XLOOKUP(A2405,VIX!A:A,VIX!B:B,"",-1)</f>
        <v>18.600000000000001</v>
      </c>
      <c r="F2405">
        <f t="shared" si="297"/>
        <v>0.73000000000000043</v>
      </c>
      <c r="G2405">
        <f>_xlfn.XLOOKUP(A2405,'DGS10'!A:A,'DGS10'!B:B,"",-1)</f>
        <v>3.97</v>
      </c>
      <c r="H2405">
        <f t="shared" si="298"/>
        <v>-9.9999999999997868E-3</v>
      </c>
      <c r="I2405" s="2">
        <f>_xlfn.XLOOKUP(A2405,T10Y3M!A:A,T10Y3M!B:B,"",-1)</f>
        <v>0.01</v>
      </c>
      <c r="J2405" s="2">
        <f>_xlfn.XLOOKUP(A2405,BAMLC0A4CBBB!A:A,BAMLC0A4CBBB!B:B,"",-1)</f>
        <v>1.02</v>
      </c>
      <c r="K2405" s="2">
        <f>_xlfn.XLOOKUP(A2405,CPIAUCSL!A:A,CPIAUCSL!B:B,"",-1)</f>
        <v>0</v>
      </c>
      <c r="L2405">
        <f>_xlfn.XLOOKUP(A2405,DFF!A:A,DFF!B:B,"",-1)</f>
        <v>4.1100000000000003</v>
      </c>
      <c r="M2405">
        <f>_xlfn.XLOOKUP(A2405,'DGS2'!A:A,'DGS2'!B:B,"",-1)</f>
        <v>3.45</v>
      </c>
      <c r="N2405">
        <f t="shared" si="299"/>
        <v>0</v>
      </c>
      <c r="O2405">
        <f t="shared" si="300"/>
        <v>5.8273875272412123E-3</v>
      </c>
      <c r="P2405">
        <f t="shared" si="301"/>
        <v>1</v>
      </c>
      <c r="Q2405">
        <f t="shared" si="302"/>
        <v>1</v>
      </c>
    </row>
    <row r="2406" spans="1:17">
      <c r="A2406" s="1">
        <v>45953</v>
      </c>
      <c r="B2406">
        <v>6738.44</v>
      </c>
      <c r="C2406">
        <f t="shared" si="296"/>
        <v>5.8273875272412123E-3</v>
      </c>
      <c r="D2406">
        <f t="shared" si="303"/>
        <v>4.9145302317832318E-4</v>
      </c>
      <c r="E2406">
        <f>_xlfn.XLOOKUP(A2406,VIX!A:A,VIX!B:B,"",-1)</f>
        <v>17.3</v>
      </c>
      <c r="F2406">
        <f t="shared" si="297"/>
        <v>-1.3000000000000007</v>
      </c>
      <c r="G2406">
        <f>_xlfn.XLOOKUP(A2406,'DGS10'!A:A,'DGS10'!B:B,"",-1)</f>
        <v>4.01</v>
      </c>
      <c r="H2406">
        <f t="shared" si="298"/>
        <v>3.9999999999999591E-2</v>
      </c>
      <c r="I2406" s="2">
        <f>_xlfn.XLOOKUP(A2406,T10Y3M!A:A,T10Y3M!B:B,"",-1)</f>
        <v>0.06</v>
      </c>
      <c r="J2406" s="2">
        <f>_xlfn.XLOOKUP(A2406,BAMLC0A4CBBB!A:A,BAMLC0A4CBBB!B:B,"",-1)</f>
        <v>1</v>
      </c>
      <c r="K2406" s="2">
        <f>_xlfn.XLOOKUP(A2406,CPIAUCSL!A:A,CPIAUCSL!B:B,"",-1)</f>
        <v>0</v>
      </c>
      <c r="L2406">
        <f>_xlfn.XLOOKUP(A2406,DFF!A:A,DFF!B:B,"",-1)</f>
        <v>4.1100000000000003</v>
      </c>
      <c r="M2406">
        <f>_xlfn.XLOOKUP(A2406,'DGS2'!A:A,'DGS2'!B:B,"",-1)</f>
        <v>3.48</v>
      </c>
      <c r="N2406">
        <f t="shared" si="299"/>
        <v>2.9999999999999805E-2</v>
      </c>
      <c r="O2406">
        <f t="shared" si="300"/>
        <v>7.9024225191588471E-3</v>
      </c>
      <c r="P2406">
        <f t="shared" si="301"/>
        <v>1</v>
      </c>
      <c r="Q2406">
        <f t="shared" si="302"/>
        <v>1</v>
      </c>
    </row>
    <row r="2407" spans="1:17">
      <c r="A2407" s="1">
        <v>45954</v>
      </c>
      <c r="B2407">
        <v>6791.69</v>
      </c>
      <c r="C2407">
        <f t="shared" si="296"/>
        <v>7.9024225191588471E-3</v>
      </c>
      <c r="D2407">
        <f t="shared" si="303"/>
        <v>8.3648214272455945E-3</v>
      </c>
      <c r="E2407">
        <f>_xlfn.XLOOKUP(A2407,VIX!A:A,VIX!B:B,"",-1)</f>
        <v>16.37</v>
      </c>
      <c r="F2407">
        <f t="shared" si="297"/>
        <v>-0.92999999999999972</v>
      </c>
      <c r="G2407">
        <f>_xlfn.XLOOKUP(A2407,'DGS10'!A:A,'DGS10'!B:B,"",-1)</f>
        <v>4.0199999999999996</v>
      </c>
      <c r="H2407">
        <f t="shared" si="298"/>
        <v>9.9999999999997868E-3</v>
      </c>
      <c r="I2407" s="2">
        <f>_xlfn.XLOOKUP(A2407,T10Y3M!A:A,T10Y3M!B:B,"",-1)</f>
        <v>0.09</v>
      </c>
      <c r="J2407" s="2">
        <f>_xlfn.XLOOKUP(A2407,BAMLC0A4CBBB!A:A,BAMLC0A4CBBB!B:B,"",-1)</f>
        <v>0.98</v>
      </c>
      <c r="K2407" s="2">
        <f>_xlfn.XLOOKUP(A2407,CPIAUCSL!A:A,CPIAUCSL!B:B,"",-1)</f>
        <v>0</v>
      </c>
      <c r="L2407">
        <f>_xlfn.XLOOKUP(A2407,DFF!A:A,DFF!B:B,"",-1)</f>
        <v>4.1100000000000003</v>
      </c>
      <c r="M2407">
        <f>_xlfn.XLOOKUP(A2407,'DGS2'!A:A,'DGS2'!B:B,"",-1)</f>
        <v>3.48</v>
      </c>
      <c r="N2407">
        <f t="shared" si="299"/>
        <v>0</v>
      </c>
      <c r="O2407">
        <f t="shared" si="300"/>
        <v>1.2290019126314666E-2</v>
      </c>
      <c r="P2407">
        <f t="shared" si="301"/>
        <v>1</v>
      </c>
      <c r="Q2407">
        <f t="shared" si="302"/>
        <v>1</v>
      </c>
    </row>
    <row r="2408" spans="1:17">
      <c r="A2408" s="1">
        <v>45957</v>
      </c>
      <c r="B2408">
        <v>6875.16</v>
      </c>
      <c r="C2408">
        <f t="shared" si="296"/>
        <v>1.2290019126314666E-2</v>
      </c>
      <c r="D2408">
        <f t="shared" si="303"/>
        <v>2.6235185240469416E-2</v>
      </c>
      <c r="E2408">
        <f>_xlfn.XLOOKUP(A2408,VIX!A:A,VIX!B:B,"",-1)</f>
        <v>15.79</v>
      </c>
      <c r="F2408">
        <f t="shared" si="297"/>
        <v>-0.58000000000000185</v>
      </c>
      <c r="G2408">
        <f>_xlfn.XLOOKUP(A2408,'DGS10'!A:A,'DGS10'!B:B,"",-1)</f>
        <v>4.01</v>
      </c>
      <c r="H2408">
        <f t="shared" si="298"/>
        <v>-9.9999999999997868E-3</v>
      </c>
      <c r="I2408" s="2">
        <f>_xlfn.XLOOKUP(A2408,T10Y3M!A:A,T10Y3M!B:B,"",-1)</f>
        <v>0.12</v>
      </c>
      <c r="J2408" s="2">
        <f>_xlfn.XLOOKUP(A2408,BAMLC0A4CBBB!A:A,BAMLC0A4CBBB!B:B,"",-1)</f>
        <v>0.97</v>
      </c>
      <c r="K2408" s="2">
        <f>_xlfn.XLOOKUP(A2408,CPIAUCSL!A:A,CPIAUCSL!B:B,"",-1)</f>
        <v>0</v>
      </c>
      <c r="L2408">
        <f>_xlfn.XLOOKUP(A2408,DFF!A:A,DFF!B:B,"",-1)</f>
        <v>4.12</v>
      </c>
      <c r="M2408">
        <f>_xlfn.XLOOKUP(A2408,'DGS2'!A:A,'DGS2'!B:B,"",-1)</f>
        <v>3.48</v>
      </c>
      <c r="N2408">
        <f t="shared" si="299"/>
        <v>0</v>
      </c>
      <c r="O2408">
        <f t="shared" si="300"/>
        <v>2.2879467532392894E-3</v>
      </c>
      <c r="P2408">
        <f t="shared" si="301"/>
        <v>1</v>
      </c>
      <c r="Q2408">
        <f t="shared" si="302"/>
        <v>0</v>
      </c>
    </row>
    <row r="2409" spans="1:17">
      <c r="A2409" s="1">
        <v>45958</v>
      </c>
      <c r="B2409">
        <v>6890.89</v>
      </c>
      <c r="C2409">
        <f t="shared" si="296"/>
        <v>2.2879467532392894E-3</v>
      </c>
      <c r="D2409">
        <f t="shared" si="303"/>
        <v>2.2623930761422661E-2</v>
      </c>
      <c r="E2409">
        <f>_xlfn.XLOOKUP(A2409,VIX!A:A,VIX!B:B,"",-1)</f>
        <v>16.420000000000002</v>
      </c>
      <c r="F2409">
        <f t="shared" si="297"/>
        <v>0.63000000000000256</v>
      </c>
      <c r="G2409">
        <f>_xlfn.XLOOKUP(A2409,'DGS10'!A:A,'DGS10'!B:B,"",-1)</f>
        <v>3.99</v>
      </c>
      <c r="H2409">
        <f t="shared" si="298"/>
        <v>-1.9999999999999574E-2</v>
      </c>
      <c r="I2409" s="2">
        <f>_xlfn.XLOOKUP(A2409,T10Y3M!A:A,T10Y3M!B:B,"",-1)</f>
        <v>0.1</v>
      </c>
      <c r="J2409" s="2">
        <f>_xlfn.XLOOKUP(A2409,BAMLC0A4CBBB!A:A,BAMLC0A4CBBB!B:B,"",-1)</f>
        <v>0.97</v>
      </c>
      <c r="K2409" s="2">
        <f>_xlfn.XLOOKUP(A2409,CPIAUCSL!A:A,CPIAUCSL!B:B,"",-1)</f>
        <v>0</v>
      </c>
      <c r="L2409">
        <f>_xlfn.XLOOKUP(A2409,DFF!A:A,DFF!B:B,"",-1)</f>
        <v>4.12</v>
      </c>
      <c r="M2409">
        <f>_xlfn.XLOOKUP(A2409,'DGS2'!A:A,'DGS2'!B:B,"",-1)</f>
        <v>3.47</v>
      </c>
      <c r="N2409">
        <f t="shared" si="299"/>
        <v>-9.9999999999997868E-3</v>
      </c>
      <c r="O2409">
        <f t="shared" si="300"/>
        <v>-4.3535740666289513E-5</v>
      </c>
      <c r="P2409">
        <f t="shared" si="301"/>
        <v>0</v>
      </c>
      <c r="Q2409">
        <f t="shared" si="302"/>
        <v>0</v>
      </c>
    </row>
    <row r="2410" spans="1:17">
      <c r="A2410" s="1">
        <v>45959</v>
      </c>
      <c r="B2410">
        <v>6890.59</v>
      </c>
      <c r="C2410">
        <f t="shared" si="296"/>
        <v>-4.3535740666289513E-5</v>
      </c>
      <c r="D2410">
        <f t="shared" si="303"/>
        <v>1.4561913161525331E-2</v>
      </c>
      <c r="E2410">
        <f>_xlfn.XLOOKUP(A2410,VIX!A:A,VIX!B:B,"",-1)</f>
        <v>16.920000000000002</v>
      </c>
      <c r="F2410">
        <f t="shared" si="297"/>
        <v>0.5</v>
      </c>
      <c r="G2410">
        <f>_xlfn.XLOOKUP(A2410,'DGS10'!A:A,'DGS10'!B:B,"",-1)</f>
        <v>4.08</v>
      </c>
      <c r="H2410">
        <f t="shared" si="298"/>
        <v>8.9999999999999858E-2</v>
      </c>
      <c r="I2410" s="2">
        <f>_xlfn.XLOOKUP(A2410,T10Y3M!A:A,T10Y3M!B:B,"",-1)</f>
        <v>0.15</v>
      </c>
      <c r="J2410" s="2">
        <f>_xlfn.XLOOKUP(A2410,BAMLC0A4CBBB!A:A,BAMLC0A4CBBB!B:B,"",-1)</f>
        <v>0.96</v>
      </c>
      <c r="K2410" s="2">
        <f>_xlfn.XLOOKUP(A2410,CPIAUCSL!A:A,CPIAUCSL!B:B,"",-1)</f>
        <v>0</v>
      </c>
      <c r="L2410">
        <f>_xlfn.XLOOKUP(A2410,DFF!A:A,DFF!B:B,"",-1)</f>
        <v>4.12</v>
      </c>
      <c r="M2410">
        <f>_xlfn.XLOOKUP(A2410,'DGS2'!A:A,'DGS2'!B:B,"",-1)</f>
        <v>3.59</v>
      </c>
      <c r="N2410">
        <f t="shared" si="299"/>
        <v>0.11999999999999966</v>
      </c>
      <c r="O2410">
        <f t="shared" si="300"/>
        <v>-9.9048122149192341E-3</v>
      </c>
      <c r="P2410">
        <f t="shared" si="301"/>
        <v>0</v>
      </c>
      <c r="Q2410">
        <f t="shared" si="302"/>
        <v>-1</v>
      </c>
    </row>
    <row r="2411" spans="1:17">
      <c r="A2411" s="1">
        <v>45960</v>
      </c>
      <c r="B2411">
        <v>6822.34</v>
      </c>
      <c r="C2411">
        <f t="shared" si="296"/>
        <v>-9.9048122149192341E-3</v>
      </c>
      <c r="D2411">
        <f t="shared" si="303"/>
        <v>-7.6827302928221819E-3</v>
      </c>
      <c r="E2411">
        <f>_xlfn.XLOOKUP(A2411,VIX!A:A,VIX!B:B,"",-1)</f>
        <v>16.91</v>
      </c>
      <c r="F2411">
        <f t="shared" si="297"/>
        <v>-1.0000000000001563E-2</v>
      </c>
      <c r="G2411">
        <f>_xlfn.XLOOKUP(A2411,'DGS10'!A:A,'DGS10'!B:B,"",-1)</f>
        <v>4.1100000000000003</v>
      </c>
      <c r="H2411">
        <f t="shared" si="298"/>
        <v>3.0000000000000249E-2</v>
      </c>
      <c r="I2411" s="2">
        <f>_xlfn.XLOOKUP(A2411,T10Y3M!A:A,T10Y3M!B:B,"",-1)</f>
        <v>0.19</v>
      </c>
      <c r="J2411" s="2">
        <f>_xlfn.XLOOKUP(A2411,BAMLC0A4CBBB!A:A,BAMLC0A4CBBB!B:B,"",-1)</f>
        <v>0.98</v>
      </c>
      <c r="K2411" s="2">
        <f>_xlfn.XLOOKUP(A2411,CPIAUCSL!A:A,CPIAUCSL!B:B,"",-1)</f>
        <v>0</v>
      </c>
      <c r="L2411">
        <f>_xlfn.XLOOKUP(A2411,DFF!A:A,DFF!B:B,"",-1)</f>
        <v>3.87</v>
      </c>
      <c r="M2411">
        <f>_xlfn.XLOOKUP(A2411,'DGS2'!A:A,'DGS2'!B:B,"",-1)</f>
        <v>3.61</v>
      </c>
      <c r="N2411">
        <f t="shared" si="299"/>
        <v>2.0000000000000018E-2</v>
      </c>
      <c r="O2411">
        <f t="shared" si="300"/>
        <v>2.6178701149457417E-3</v>
      </c>
      <c r="P2411">
        <f t="shared" si="301"/>
        <v>1</v>
      </c>
      <c r="Q2411">
        <f t="shared" si="302"/>
        <v>0</v>
      </c>
    </row>
    <row r="2412" spans="1:17">
      <c r="A2412" s="1">
        <v>45961</v>
      </c>
      <c r="B2412">
        <v>6840.2</v>
      </c>
      <c r="C2412">
        <f t="shared" si="296"/>
        <v>2.6178701149457417E-3</v>
      </c>
      <c r="D2412">
        <f t="shared" si="303"/>
        <v>-7.3560889812491759E-3</v>
      </c>
      <c r="E2412">
        <f>_xlfn.XLOOKUP(A2412,VIX!A:A,VIX!B:B,"",-1)</f>
        <v>17.440000000000001</v>
      </c>
      <c r="F2412">
        <f t="shared" si="297"/>
        <v>0.53000000000000114</v>
      </c>
      <c r="G2412">
        <f>_xlfn.XLOOKUP(A2412,'DGS10'!A:A,'DGS10'!B:B,"",-1)</f>
        <v>4.1100000000000003</v>
      </c>
      <c r="H2412">
        <f t="shared" si="298"/>
        <v>0</v>
      </c>
      <c r="I2412" s="2">
        <f>_xlfn.XLOOKUP(A2412,T10Y3M!A:A,T10Y3M!B:B,"",-1)</f>
        <v>0.22</v>
      </c>
      <c r="J2412" s="2">
        <f>_xlfn.XLOOKUP(A2412,BAMLC0A4CBBB!A:A,BAMLC0A4CBBB!B:B,"",-1)</f>
        <v>1.02</v>
      </c>
      <c r="K2412" s="2">
        <f>_xlfn.XLOOKUP(A2412,CPIAUCSL!A:A,CPIAUCSL!B:B,"",-1)</f>
        <v>0</v>
      </c>
      <c r="L2412">
        <f>_xlfn.XLOOKUP(A2412,DFF!A:A,DFF!B:B,"",-1)</f>
        <v>3.86</v>
      </c>
      <c r="M2412">
        <f>_xlfn.XLOOKUP(A2412,'DGS2'!A:A,'DGS2'!B:B,"",-1)</f>
        <v>3.6</v>
      </c>
      <c r="N2412">
        <f t="shared" si="299"/>
        <v>-9.9999999999997868E-3</v>
      </c>
      <c r="O2412">
        <f t="shared" si="300"/>
        <v>1.7207099207625642E-3</v>
      </c>
      <c r="P2412">
        <f t="shared" si="301"/>
        <v>1</v>
      </c>
      <c r="Q2412">
        <f t="shared" si="302"/>
        <v>0</v>
      </c>
    </row>
    <row r="2413" spans="1:17">
      <c r="A2413" s="1">
        <v>45964</v>
      </c>
      <c r="B2413">
        <v>6851.97</v>
      </c>
      <c r="C2413">
        <f t="shared" si="296"/>
        <v>1.7207099207625642E-3</v>
      </c>
      <c r="D2413">
        <f t="shared" si="303"/>
        <v>-5.6047450218340567E-3</v>
      </c>
      <c r="E2413">
        <f>_xlfn.XLOOKUP(A2413,VIX!A:A,VIX!B:B,"",-1)</f>
        <v>17.170000000000002</v>
      </c>
      <c r="F2413">
        <f t="shared" si="297"/>
        <v>-0.26999999999999957</v>
      </c>
      <c r="G2413">
        <f>_xlfn.XLOOKUP(A2413,'DGS10'!A:A,'DGS10'!B:B,"",-1)</f>
        <v>4.13</v>
      </c>
      <c r="H2413">
        <f t="shared" si="298"/>
        <v>1.9999999999999574E-2</v>
      </c>
      <c r="I2413" s="2">
        <f>_xlfn.XLOOKUP(A2413,T10Y3M!A:A,T10Y3M!B:B,"",-1)</f>
        <v>0.15</v>
      </c>
      <c r="J2413" s="2">
        <f>_xlfn.XLOOKUP(A2413,BAMLC0A4CBBB!A:A,BAMLC0A4CBBB!B:B,"",-1)</f>
        <v>1.04</v>
      </c>
      <c r="K2413" s="2">
        <f>_xlfn.XLOOKUP(A2413,CPIAUCSL!A:A,CPIAUCSL!B:B,"",-1)</f>
        <v>325.06299999999999</v>
      </c>
      <c r="L2413">
        <f>_xlfn.XLOOKUP(A2413,DFF!A:A,DFF!B:B,"",-1)</f>
        <v>3.87</v>
      </c>
      <c r="M2413">
        <f>_xlfn.XLOOKUP(A2413,'DGS2'!A:A,'DGS2'!B:B,"",-1)</f>
        <v>3.6</v>
      </c>
      <c r="N2413">
        <f t="shared" si="299"/>
        <v>0</v>
      </c>
      <c r="O2413">
        <f t="shared" si="300"/>
        <v>-1.1736770592982726E-2</v>
      </c>
      <c r="P2413">
        <f t="shared" si="301"/>
        <v>0</v>
      </c>
      <c r="Q2413">
        <f t="shared" si="302"/>
        <v>-1</v>
      </c>
    </row>
    <row r="2414" spans="1:17">
      <c r="A2414" s="1">
        <v>45965</v>
      </c>
      <c r="B2414">
        <v>6771.55</v>
      </c>
      <c r="C2414">
        <f t="shared" si="296"/>
        <v>-1.1736770592982726E-2</v>
      </c>
      <c r="D2414">
        <f t="shared" si="303"/>
        <v>-7.4446597501737211E-3</v>
      </c>
      <c r="E2414">
        <f>_xlfn.XLOOKUP(A2414,VIX!A:A,VIX!B:B,"",-1)</f>
        <v>19</v>
      </c>
      <c r="F2414">
        <f t="shared" si="297"/>
        <v>1.8299999999999983</v>
      </c>
      <c r="G2414">
        <f>_xlfn.XLOOKUP(A2414,'DGS10'!A:A,'DGS10'!B:B,"",-1)</f>
        <v>4.0999999999999996</v>
      </c>
      <c r="H2414">
        <f t="shared" si="298"/>
        <v>-3.0000000000000249E-2</v>
      </c>
      <c r="I2414" s="2">
        <f>_xlfn.XLOOKUP(A2414,T10Y3M!A:A,T10Y3M!B:B,"",-1)</f>
        <v>0.14000000000000001</v>
      </c>
      <c r="J2414" s="2">
        <f>_xlfn.XLOOKUP(A2414,BAMLC0A4CBBB!A:A,BAMLC0A4CBBB!B:B,"",-1)</f>
        <v>1.04</v>
      </c>
      <c r="K2414" s="2">
        <f>_xlfn.XLOOKUP(A2414,CPIAUCSL!A:A,CPIAUCSL!B:B,"",-1)</f>
        <v>325.06299999999999</v>
      </c>
      <c r="L2414">
        <f>_xlfn.XLOOKUP(A2414,DFF!A:A,DFF!B:B,"",-1)</f>
        <v>3.87</v>
      </c>
      <c r="M2414">
        <f>_xlfn.XLOOKUP(A2414,'DGS2'!A:A,'DGS2'!B:B,"",-1)</f>
        <v>3.58</v>
      </c>
      <c r="N2414">
        <f t="shared" si="299"/>
        <v>-2.0000000000000018E-2</v>
      </c>
      <c r="O2414">
        <f t="shared" si="300"/>
        <v>3.6535209811638936E-3</v>
      </c>
      <c r="P2414">
        <f t="shared" si="301"/>
        <v>1</v>
      </c>
      <c r="Q2414">
        <f t="shared" si="302"/>
        <v>1</v>
      </c>
    </row>
    <row r="2415" spans="1:17">
      <c r="A2415" s="1">
        <v>45966</v>
      </c>
      <c r="B2415">
        <v>6796.29</v>
      </c>
      <c r="C2415">
        <f t="shared" si="296"/>
        <v>3.6535209811638936E-3</v>
      </c>
      <c r="D2415">
        <f t="shared" si="303"/>
        <v>-6.4194029414343934E-3</v>
      </c>
      <c r="E2415">
        <f>_xlfn.XLOOKUP(A2415,VIX!A:A,VIX!B:B,"",-1)</f>
        <v>18.010000000000002</v>
      </c>
      <c r="F2415">
        <f t="shared" si="297"/>
        <v>-0.98999999999999844</v>
      </c>
      <c r="G2415">
        <f>_xlfn.XLOOKUP(A2415,'DGS10'!A:A,'DGS10'!B:B,"",-1)</f>
        <v>4.17</v>
      </c>
      <c r="H2415">
        <f t="shared" si="298"/>
        <v>7.0000000000000284E-2</v>
      </c>
      <c r="I2415" s="2">
        <f>_xlfn.XLOOKUP(A2415,T10Y3M!A:A,T10Y3M!B:B,"",-1)</f>
        <v>0.21</v>
      </c>
      <c r="J2415" s="2">
        <f>_xlfn.XLOOKUP(A2415,BAMLC0A4CBBB!A:A,BAMLC0A4CBBB!B:B,"",-1)</f>
        <v>1.02</v>
      </c>
      <c r="K2415" s="2">
        <f>_xlfn.XLOOKUP(A2415,CPIAUCSL!A:A,CPIAUCSL!B:B,"",-1)</f>
        <v>325.06299999999999</v>
      </c>
      <c r="L2415">
        <f>_xlfn.XLOOKUP(A2415,DFF!A:A,DFF!B:B,"",-1)</f>
        <v>3.87</v>
      </c>
      <c r="M2415">
        <f>_xlfn.XLOOKUP(A2415,'DGS2'!A:A,'DGS2'!B:B,"",-1)</f>
        <v>3.63</v>
      </c>
      <c r="N2415">
        <f t="shared" si="299"/>
        <v>4.9999999999999822E-2</v>
      </c>
      <c r="O2415">
        <f t="shared" si="300"/>
        <v>-1.1178157494750818E-2</v>
      </c>
      <c r="P2415">
        <f t="shared" si="301"/>
        <v>0</v>
      </c>
      <c r="Q2415">
        <f t="shared" si="302"/>
        <v>-1</v>
      </c>
    </row>
    <row r="2416" spans="1:17">
      <c r="A2416" s="1">
        <v>45967</v>
      </c>
      <c r="B2416">
        <v>6720.32</v>
      </c>
      <c r="C2416">
        <f t="shared" si="296"/>
        <v>-1.1178157494750818E-2</v>
      </c>
      <c r="D2416">
        <f t="shared" si="303"/>
        <v>-1.9213452481549154E-2</v>
      </c>
      <c r="E2416">
        <f>_xlfn.XLOOKUP(A2416,VIX!A:A,VIX!B:B,"",-1)</f>
        <v>19.5</v>
      </c>
      <c r="F2416">
        <f t="shared" si="297"/>
        <v>1.4899999999999984</v>
      </c>
      <c r="G2416">
        <f>_xlfn.XLOOKUP(A2416,'DGS10'!A:A,'DGS10'!B:B,"",-1)</f>
        <v>4.1100000000000003</v>
      </c>
      <c r="H2416">
        <f t="shared" si="298"/>
        <v>-5.9999999999999609E-2</v>
      </c>
      <c r="I2416" s="2">
        <f>_xlfn.XLOOKUP(A2416,T10Y3M!A:A,T10Y3M!B:B,"",-1)</f>
        <v>0.18</v>
      </c>
      <c r="J2416" s="2">
        <f>_xlfn.XLOOKUP(A2416,BAMLC0A4CBBB!A:A,BAMLC0A4CBBB!B:B,"",-1)</f>
        <v>1.04</v>
      </c>
      <c r="K2416" s="2">
        <f>_xlfn.XLOOKUP(A2416,CPIAUCSL!A:A,CPIAUCSL!B:B,"",-1)</f>
        <v>325.06299999999999</v>
      </c>
      <c r="L2416">
        <f>_xlfn.XLOOKUP(A2416,DFF!A:A,DFF!B:B,"",-1)</f>
        <v>3.87</v>
      </c>
      <c r="M2416">
        <f>_xlfn.XLOOKUP(A2416,'DGS2'!A:A,'DGS2'!B:B,"",-1)</f>
        <v>3.57</v>
      </c>
      <c r="N2416">
        <f t="shared" si="299"/>
        <v>-6.0000000000000053E-2</v>
      </c>
      <c r="O2416">
        <f t="shared" si="300"/>
        <v>1.2618446740633171E-3</v>
      </c>
      <c r="P2416">
        <f t="shared" si="301"/>
        <v>1</v>
      </c>
      <c r="Q2416">
        <f t="shared" si="302"/>
        <v>0</v>
      </c>
    </row>
    <row r="2417" spans="1:17">
      <c r="A2417" s="1">
        <v>45968</v>
      </c>
      <c r="B2417">
        <v>6728.8</v>
      </c>
      <c r="C2417">
        <f t="shared" si="296"/>
        <v>1.2618446740633171E-3</v>
      </c>
      <c r="D2417">
        <f t="shared" si="303"/>
        <v>-6.3131779282439293E-3</v>
      </c>
      <c r="E2417">
        <f>_xlfn.XLOOKUP(A2417,VIX!A:A,VIX!B:B,"",-1)</f>
        <v>19.079999999999998</v>
      </c>
      <c r="F2417">
        <f t="shared" si="297"/>
        <v>-0.42000000000000171</v>
      </c>
      <c r="G2417">
        <f>_xlfn.XLOOKUP(A2417,'DGS10'!A:A,'DGS10'!B:B,"",-1)</f>
        <v>4.1100000000000003</v>
      </c>
      <c r="H2417">
        <f t="shared" si="298"/>
        <v>0</v>
      </c>
      <c r="I2417" s="2">
        <f>_xlfn.XLOOKUP(A2417,T10Y3M!A:A,T10Y3M!B:B,"",-1)</f>
        <v>0.19</v>
      </c>
      <c r="J2417" s="2">
        <f>_xlfn.XLOOKUP(A2417,BAMLC0A4CBBB!A:A,BAMLC0A4CBBB!B:B,"",-1)</f>
        <v>1.06</v>
      </c>
      <c r="K2417" s="2">
        <f>_xlfn.XLOOKUP(A2417,CPIAUCSL!A:A,CPIAUCSL!B:B,"",-1)</f>
        <v>325.06299999999999</v>
      </c>
      <c r="L2417">
        <f>_xlfn.XLOOKUP(A2417,DFF!A:A,DFF!B:B,"",-1)</f>
        <v>3.87</v>
      </c>
      <c r="M2417">
        <f>_xlfn.XLOOKUP(A2417,'DGS2'!A:A,'DGS2'!B:B,"",-1)</f>
        <v>3.55</v>
      </c>
      <c r="N2417">
        <f t="shared" si="299"/>
        <v>-2.0000000000000018E-2</v>
      </c>
      <c r="O2417">
        <f t="shared" si="300"/>
        <v>1.5400963024610581E-2</v>
      </c>
      <c r="P2417">
        <f t="shared" si="301"/>
        <v>1</v>
      </c>
      <c r="Q2417">
        <f t="shared" si="302"/>
        <v>1</v>
      </c>
    </row>
    <row r="2418" spans="1:17">
      <c r="A2418" s="1">
        <v>45971</v>
      </c>
      <c r="B2418">
        <v>6832.43</v>
      </c>
      <c r="C2418">
        <f t="shared" si="296"/>
        <v>1.5400963024610581E-2</v>
      </c>
      <c r="D2418">
        <f t="shared" si="303"/>
        <v>5.3176071062299712E-3</v>
      </c>
      <c r="E2418">
        <f>_xlfn.XLOOKUP(A2418,VIX!A:A,VIX!B:B,"",-1)</f>
        <v>17.600000000000001</v>
      </c>
      <c r="F2418">
        <f t="shared" si="297"/>
        <v>-1.4799999999999969</v>
      </c>
      <c r="G2418">
        <f>_xlfn.XLOOKUP(A2418,'DGS10'!A:A,'DGS10'!B:B,"",-1)</f>
        <v>4.13</v>
      </c>
      <c r="H2418">
        <f t="shared" si="298"/>
        <v>1.9999999999999574E-2</v>
      </c>
      <c r="I2418" s="2">
        <f>_xlfn.XLOOKUP(A2418,T10Y3M!A:A,T10Y3M!B:B,"",-1)</f>
        <v>0.18</v>
      </c>
      <c r="J2418" s="2">
        <f>_xlfn.XLOOKUP(A2418,BAMLC0A4CBBB!A:A,BAMLC0A4CBBB!B:B,"",-1)</f>
        <v>1.05</v>
      </c>
      <c r="K2418" s="2">
        <f>_xlfn.XLOOKUP(A2418,CPIAUCSL!A:A,CPIAUCSL!B:B,"",-1)</f>
        <v>325.06299999999999</v>
      </c>
      <c r="L2418">
        <f>_xlfn.XLOOKUP(A2418,DFF!A:A,DFF!B:B,"",-1)</f>
        <v>3.87</v>
      </c>
      <c r="M2418">
        <f>_xlfn.XLOOKUP(A2418,'DGS2'!A:A,'DGS2'!B:B,"",-1)</f>
        <v>3.58</v>
      </c>
      <c r="N2418">
        <f t="shared" si="299"/>
        <v>3.0000000000000249E-2</v>
      </c>
      <c r="O2418">
        <f t="shared" si="300"/>
        <v>2.0753963084874094E-3</v>
      </c>
      <c r="P2418">
        <f t="shared" si="301"/>
        <v>1</v>
      </c>
      <c r="Q2418">
        <f t="shared" si="302"/>
        <v>0</v>
      </c>
    </row>
    <row r="2419" spans="1:17">
      <c r="A2419" s="1">
        <v>45972</v>
      </c>
      <c r="B2419">
        <v>6846.61</v>
      </c>
      <c r="C2419">
        <f t="shared" si="296"/>
        <v>2.0753963084874094E-3</v>
      </c>
      <c r="D2419">
        <f t="shared" si="303"/>
        <v>1.8792259892385976E-2</v>
      </c>
      <c r="E2419">
        <f>_xlfn.XLOOKUP(A2419,VIX!A:A,VIX!B:B,"",-1)</f>
        <v>17.28</v>
      </c>
      <c r="F2419">
        <f t="shared" si="297"/>
        <v>-0.32000000000000028</v>
      </c>
      <c r="G2419">
        <f>_xlfn.XLOOKUP(A2419,'DGS10'!A:A,'DGS10'!B:B,"",-1)</f>
        <v>0</v>
      </c>
      <c r="H2419">
        <f t="shared" si="298"/>
        <v>-4.13</v>
      </c>
      <c r="I2419" s="2">
        <f>_xlfn.XLOOKUP(A2419,T10Y3M!A:A,T10Y3M!B:B,"",-1)</f>
        <v>0</v>
      </c>
      <c r="J2419" s="2">
        <f>_xlfn.XLOOKUP(A2419,BAMLC0A4CBBB!A:A,BAMLC0A4CBBB!B:B,"",-1)</f>
        <v>1.05</v>
      </c>
      <c r="K2419" s="2">
        <f>_xlfn.XLOOKUP(A2419,CPIAUCSL!A:A,CPIAUCSL!B:B,"",-1)</f>
        <v>325.06299999999999</v>
      </c>
      <c r="L2419">
        <f>_xlfn.XLOOKUP(A2419,DFF!A:A,DFF!B:B,"",-1)</f>
        <v>3.87</v>
      </c>
      <c r="M2419">
        <f>_xlfn.XLOOKUP(A2419,'DGS2'!A:A,'DGS2'!B:B,"",-1)</f>
        <v>0</v>
      </c>
      <c r="N2419">
        <f t="shared" si="299"/>
        <v>-3.58</v>
      </c>
      <c r="O2419">
        <f t="shared" si="300"/>
        <v>6.2950861813360071E-4</v>
      </c>
      <c r="P2419">
        <f t="shared" si="301"/>
        <v>1</v>
      </c>
      <c r="Q2419">
        <f t="shared" si="302"/>
        <v>0</v>
      </c>
    </row>
    <row r="2420" spans="1:17">
      <c r="A2420" s="1">
        <v>45973</v>
      </c>
      <c r="B2420">
        <v>6850.92</v>
      </c>
      <c r="C2420">
        <f t="shared" si="296"/>
        <v>6.2950861813360071E-4</v>
      </c>
      <c r="D2420">
        <f t="shared" si="303"/>
        <v>1.8148852692902118E-2</v>
      </c>
      <c r="E2420">
        <f>_xlfn.XLOOKUP(A2420,VIX!A:A,VIX!B:B,"",-1)</f>
        <v>17.510000000000002</v>
      </c>
      <c r="F2420">
        <f t="shared" si="297"/>
        <v>0.23000000000000043</v>
      </c>
      <c r="G2420">
        <f>_xlfn.XLOOKUP(A2420,'DGS10'!A:A,'DGS10'!B:B,"",-1)</f>
        <v>4.08</v>
      </c>
      <c r="H2420">
        <f t="shared" si="298"/>
        <v>4.08</v>
      </c>
      <c r="I2420" s="2">
        <f>_xlfn.XLOOKUP(A2420,T10Y3M!A:A,T10Y3M!B:B,"",-1)</f>
        <v>0.13</v>
      </c>
      <c r="J2420" s="2">
        <f>_xlfn.XLOOKUP(A2420,BAMLC0A4CBBB!A:A,BAMLC0A4CBBB!B:B,"",-1)</f>
        <v>1.05</v>
      </c>
      <c r="K2420" s="2">
        <f>_xlfn.XLOOKUP(A2420,CPIAUCSL!A:A,CPIAUCSL!B:B,"",-1)</f>
        <v>325.06299999999999</v>
      </c>
      <c r="L2420">
        <f>_xlfn.XLOOKUP(A2420,DFF!A:A,DFF!B:B,"",-1)</f>
        <v>3.87</v>
      </c>
      <c r="M2420">
        <f>_xlfn.XLOOKUP(A2420,'DGS2'!A:A,'DGS2'!B:B,"",-1)</f>
        <v>3.56</v>
      </c>
      <c r="N2420">
        <f t="shared" si="299"/>
        <v>3.56</v>
      </c>
      <c r="O2420">
        <f t="shared" si="300"/>
        <v>-1.6556900387101336E-2</v>
      </c>
      <c r="P2420">
        <f t="shared" si="301"/>
        <v>0</v>
      </c>
      <c r="Q2420">
        <f t="shared" si="302"/>
        <v>-1</v>
      </c>
    </row>
    <row r="2421" spans="1:17">
      <c r="A2421" s="1">
        <v>45974</v>
      </c>
      <c r="B2421">
        <v>6737.49</v>
      </c>
      <c r="C2421">
        <f t="shared" si="296"/>
        <v>-1.6556900387101336E-2</v>
      </c>
      <c r="D2421">
        <f t="shared" si="303"/>
        <v>-1.3895495453301487E-2</v>
      </c>
      <c r="E2421">
        <f>_xlfn.XLOOKUP(A2421,VIX!A:A,VIX!B:B,"",-1)</f>
        <v>20</v>
      </c>
      <c r="F2421">
        <f t="shared" si="297"/>
        <v>2.4899999999999984</v>
      </c>
      <c r="G2421">
        <f>_xlfn.XLOOKUP(A2421,'DGS10'!A:A,'DGS10'!B:B,"",-1)</f>
        <v>4.1100000000000003</v>
      </c>
      <c r="H2421">
        <f t="shared" si="298"/>
        <v>3.0000000000000249E-2</v>
      </c>
      <c r="I2421" s="2">
        <f>_xlfn.XLOOKUP(A2421,T10Y3M!A:A,T10Y3M!B:B,"",-1)</f>
        <v>0.15</v>
      </c>
      <c r="J2421" s="2">
        <f>_xlfn.XLOOKUP(A2421,BAMLC0A4CBBB!A:A,BAMLC0A4CBBB!B:B,"",-1)</f>
        <v>1.06</v>
      </c>
      <c r="K2421" s="2">
        <f>_xlfn.XLOOKUP(A2421,CPIAUCSL!A:A,CPIAUCSL!B:B,"",-1)</f>
        <v>325.06299999999999</v>
      </c>
      <c r="L2421">
        <f>_xlfn.XLOOKUP(A2421,DFF!A:A,DFF!B:B,"",-1)</f>
        <v>3.88</v>
      </c>
      <c r="M2421">
        <f>_xlfn.XLOOKUP(A2421,'DGS2'!A:A,'DGS2'!B:B,"",-1)</f>
        <v>3.58</v>
      </c>
      <c r="N2421">
        <f t="shared" si="299"/>
        <v>2.0000000000000018E-2</v>
      </c>
      <c r="O2421">
        <f t="shared" si="300"/>
        <v>-5.016705034071034E-4</v>
      </c>
      <c r="P2421">
        <f t="shared" si="301"/>
        <v>0</v>
      </c>
      <c r="Q2421">
        <f t="shared" si="302"/>
        <v>0</v>
      </c>
    </row>
    <row r="2422" spans="1:17">
      <c r="A2422" s="1">
        <v>45975</v>
      </c>
      <c r="B2422">
        <v>6734.11</v>
      </c>
      <c r="C2422">
        <f t="shared" si="296"/>
        <v>-5.016705034071034E-4</v>
      </c>
      <c r="D2422">
        <f t="shared" si="303"/>
        <v>-1.6431489452444326E-2</v>
      </c>
      <c r="E2422">
        <f>_xlfn.XLOOKUP(A2422,VIX!A:A,VIX!B:B,"",-1)</f>
        <v>19.829999999999998</v>
      </c>
      <c r="F2422">
        <f t="shared" si="297"/>
        <v>-0.17000000000000171</v>
      </c>
      <c r="G2422">
        <f>_xlfn.XLOOKUP(A2422,'DGS10'!A:A,'DGS10'!B:B,"",-1)</f>
        <v>4.1399999999999997</v>
      </c>
      <c r="H2422">
        <f t="shared" si="298"/>
        <v>2.9999999999999361E-2</v>
      </c>
      <c r="I2422" s="2">
        <f>_xlfn.XLOOKUP(A2422,T10Y3M!A:A,T10Y3M!B:B,"",-1)</f>
        <v>0.19</v>
      </c>
      <c r="J2422" s="2">
        <f>_xlfn.XLOOKUP(A2422,BAMLC0A4CBBB!A:A,BAMLC0A4CBBB!B:B,"",-1)</f>
        <v>1.06</v>
      </c>
      <c r="K2422" s="2">
        <f>_xlfn.XLOOKUP(A2422,CPIAUCSL!A:A,CPIAUCSL!B:B,"",-1)</f>
        <v>325.06299999999999</v>
      </c>
      <c r="L2422">
        <f>_xlfn.XLOOKUP(A2422,DFF!A:A,DFF!B:B,"",-1)</f>
        <v>3.88</v>
      </c>
      <c r="M2422">
        <f>_xlfn.XLOOKUP(A2422,'DGS2'!A:A,'DGS2'!B:B,"",-1)</f>
        <v>3.62</v>
      </c>
      <c r="N2422">
        <f t="shared" si="299"/>
        <v>4.0000000000000036E-2</v>
      </c>
      <c r="O2422">
        <f t="shared" si="300"/>
        <v>-9.1623094959838447E-3</v>
      </c>
      <c r="P2422">
        <f t="shared" si="301"/>
        <v>0</v>
      </c>
      <c r="Q2422">
        <f t="shared" si="302"/>
        <v>-1</v>
      </c>
    </row>
    <row r="2423" spans="1:17">
      <c r="A2423" s="1">
        <v>45978</v>
      </c>
      <c r="B2423">
        <v>6672.41</v>
      </c>
      <c r="C2423">
        <f t="shared" si="296"/>
        <v>-9.1623094959838447E-3</v>
      </c>
      <c r="D2423">
        <f t="shared" si="303"/>
        <v>-2.6056354475019416E-2</v>
      </c>
      <c r="E2423">
        <f>_xlfn.XLOOKUP(A2423,VIX!A:A,VIX!B:B,"",-1)</f>
        <v>22.38</v>
      </c>
      <c r="F2423">
        <f t="shared" si="297"/>
        <v>2.5500000000000007</v>
      </c>
      <c r="G2423">
        <f>_xlfn.XLOOKUP(A2423,'DGS10'!A:A,'DGS10'!B:B,"",-1)</f>
        <v>4.13</v>
      </c>
      <c r="H2423">
        <f t="shared" si="298"/>
        <v>-9.9999999999997868E-3</v>
      </c>
      <c r="I2423" s="2">
        <f>_xlfn.XLOOKUP(A2423,T10Y3M!A:A,T10Y3M!B:B,"",-1)</f>
        <v>0.16</v>
      </c>
      <c r="J2423" s="2">
        <f>_xlfn.XLOOKUP(A2423,BAMLC0A4CBBB!A:A,BAMLC0A4CBBB!B:B,"",-1)</f>
        <v>1.06</v>
      </c>
      <c r="K2423" s="2">
        <f>_xlfn.XLOOKUP(A2423,CPIAUCSL!A:A,CPIAUCSL!B:B,"",-1)</f>
        <v>325.06299999999999</v>
      </c>
      <c r="L2423">
        <f>_xlfn.XLOOKUP(A2423,DFF!A:A,DFF!B:B,"",-1)</f>
        <v>3.88</v>
      </c>
      <c r="M2423">
        <f>_xlfn.XLOOKUP(A2423,'DGS2'!A:A,'DGS2'!B:B,"",-1)</f>
        <v>3.6</v>
      </c>
      <c r="N2423">
        <f t="shared" si="299"/>
        <v>-2.0000000000000018E-2</v>
      </c>
      <c r="O2423">
        <f t="shared" si="300"/>
        <v>-8.2563871224939911E-3</v>
      </c>
      <c r="P2423">
        <f t="shared" si="301"/>
        <v>0</v>
      </c>
      <c r="Q2423">
        <f t="shared" si="302"/>
        <v>-1</v>
      </c>
    </row>
    <row r="2424" spans="1:17">
      <c r="A2424" s="1">
        <v>45979</v>
      </c>
      <c r="B2424">
        <v>6617.32</v>
      </c>
      <c r="C2424">
        <f t="shared" si="296"/>
        <v>-8.2563871224939911E-3</v>
      </c>
      <c r="D2424">
        <f t="shared" si="303"/>
        <v>-1.7836019051605256E-2</v>
      </c>
      <c r="E2424">
        <f>_xlfn.XLOOKUP(A2424,VIX!A:A,VIX!B:B,"",-1)</f>
        <v>24.69</v>
      </c>
      <c r="F2424">
        <f t="shared" si="297"/>
        <v>2.3100000000000023</v>
      </c>
      <c r="G2424">
        <f>_xlfn.XLOOKUP(A2424,'DGS10'!A:A,'DGS10'!B:B,"",-1)</f>
        <v>4.12</v>
      </c>
      <c r="H2424">
        <f t="shared" si="298"/>
        <v>-9.9999999999997868E-3</v>
      </c>
      <c r="I2424" s="2">
        <f>_xlfn.XLOOKUP(A2424,T10Y3M!A:A,T10Y3M!B:B,"",-1)</f>
        <v>0.18</v>
      </c>
      <c r="J2424" s="2">
        <f>_xlfn.XLOOKUP(A2424,BAMLC0A4CBBB!A:A,BAMLC0A4CBBB!B:B,"",-1)</f>
        <v>1.07</v>
      </c>
      <c r="K2424" s="2">
        <f>_xlfn.XLOOKUP(A2424,CPIAUCSL!A:A,CPIAUCSL!B:B,"",-1)</f>
        <v>325.06299999999999</v>
      </c>
      <c r="L2424">
        <f>_xlfn.XLOOKUP(A2424,DFF!A:A,DFF!B:B,"",-1)</f>
        <v>3.88</v>
      </c>
      <c r="M2424">
        <f>_xlfn.XLOOKUP(A2424,'DGS2'!A:A,'DGS2'!B:B,"",-1)</f>
        <v>3.58</v>
      </c>
      <c r="N2424">
        <f t="shared" si="299"/>
        <v>-2.0000000000000018E-2</v>
      </c>
      <c r="O2424">
        <f t="shared" si="300"/>
        <v>3.7537855204221593E-3</v>
      </c>
      <c r="P2424">
        <f t="shared" si="301"/>
        <v>1</v>
      </c>
      <c r="Q2424">
        <f t="shared" si="302"/>
        <v>1</v>
      </c>
    </row>
    <row r="2425" spans="1:17">
      <c r="A2425" s="1">
        <v>45980</v>
      </c>
      <c r="B2425">
        <v>6642.16</v>
      </c>
      <c r="C2425">
        <f t="shared" si="296"/>
        <v>3.7537855204221593E-3</v>
      </c>
      <c r="D2425">
        <f t="shared" si="303"/>
        <v>-1.365436561030331E-2</v>
      </c>
      <c r="E2425">
        <f>_xlfn.XLOOKUP(A2425,VIX!A:A,VIX!B:B,"",-1)</f>
        <v>23.66</v>
      </c>
      <c r="F2425">
        <f t="shared" si="297"/>
        <v>-1.0300000000000011</v>
      </c>
      <c r="G2425">
        <f>_xlfn.XLOOKUP(A2425,'DGS10'!A:A,'DGS10'!B:B,"",-1)</f>
        <v>4.13</v>
      </c>
      <c r="H2425">
        <f t="shared" si="298"/>
        <v>9.9999999999997868E-3</v>
      </c>
      <c r="I2425" s="2">
        <f>_xlfn.XLOOKUP(A2425,T10Y3M!A:A,T10Y3M!B:B,"",-1)</f>
        <v>0.18</v>
      </c>
      <c r="J2425" s="2">
        <f>_xlfn.XLOOKUP(A2425,BAMLC0A4CBBB!A:A,BAMLC0A4CBBB!B:B,"",-1)</f>
        <v>1.07</v>
      </c>
      <c r="K2425" s="2">
        <f>_xlfn.XLOOKUP(A2425,CPIAUCSL!A:A,CPIAUCSL!B:B,"",-1)</f>
        <v>325.06299999999999</v>
      </c>
      <c r="L2425">
        <f>_xlfn.XLOOKUP(A2425,DFF!A:A,DFF!B:B,"",-1)</f>
        <v>3.88</v>
      </c>
      <c r="M2425">
        <f>_xlfn.XLOOKUP(A2425,'DGS2'!A:A,'DGS2'!B:B,"",-1)</f>
        <v>3.58</v>
      </c>
      <c r="N2425">
        <f t="shared" si="299"/>
        <v>0</v>
      </c>
      <c r="O2425">
        <f t="shared" si="300"/>
        <v>-1.5567225119539341E-2</v>
      </c>
      <c r="P2425">
        <f t="shared" si="301"/>
        <v>0</v>
      </c>
      <c r="Q2425">
        <f t="shared" si="302"/>
        <v>-1</v>
      </c>
    </row>
    <row r="2426" spans="1:17">
      <c r="A2426" s="1">
        <v>45981</v>
      </c>
      <c r="B2426">
        <v>6538.76</v>
      </c>
      <c r="C2426">
        <f t="shared" si="296"/>
        <v>-1.5567225119539341E-2</v>
      </c>
      <c r="D2426">
        <f t="shared" si="303"/>
        <v>-2.003024394484143E-2</v>
      </c>
      <c r="E2426">
        <f>_xlfn.XLOOKUP(A2426,VIX!A:A,VIX!B:B,"",-1)</f>
        <v>26.42</v>
      </c>
      <c r="F2426">
        <f t="shared" si="297"/>
        <v>2.7600000000000016</v>
      </c>
      <c r="G2426">
        <f>_xlfn.XLOOKUP(A2426,'DGS10'!A:A,'DGS10'!B:B,"",-1)</f>
        <v>4.0999999999999996</v>
      </c>
      <c r="H2426">
        <f t="shared" si="298"/>
        <v>-3.0000000000000249E-2</v>
      </c>
      <c r="I2426" s="2">
        <f>_xlfn.XLOOKUP(A2426,T10Y3M!A:A,T10Y3M!B:B,"",-1)</f>
        <v>0.16</v>
      </c>
      <c r="J2426" s="2">
        <f>_xlfn.XLOOKUP(A2426,BAMLC0A4CBBB!A:A,BAMLC0A4CBBB!B:B,"",-1)</f>
        <v>1.08</v>
      </c>
      <c r="K2426" s="2">
        <f>_xlfn.XLOOKUP(A2426,CPIAUCSL!A:A,CPIAUCSL!B:B,"",-1)</f>
        <v>325.06299999999999</v>
      </c>
      <c r="L2426">
        <f>_xlfn.XLOOKUP(A2426,DFF!A:A,DFF!B:B,"",-1)</f>
        <v>3.88</v>
      </c>
      <c r="M2426">
        <f>_xlfn.XLOOKUP(A2426,'DGS2'!A:A,'DGS2'!B:B,"",-1)</f>
        <v>3.55</v>
      </c>
      <c r="N2426">
        <f t="shared" si="299"/>
        <v>-3.0000000000000249E-2</v>
      </c>
      <c r="O2426">
        <f t="shared" si="300"/>
        <v>9.8229633753188494E-3</v>
      </c>
      <c r="P2426">
        <f t="shared" si="301"/>
        <v>1</v>
      </c>
      <c r="Q2426">
        <f t="shared" si="302"/>
        <v>1</v>
      </c>
    </row>
    <row r="2427" spans="1:17">
      <c r="A2427" s="1">
        <v>45982</v>
      </c>
      <c r="B2427">
        <v>6602.99</v>
      </c>
      <c r="C2427">
        <f t="shared" si="296"/>
        <v>9.8229633753188494E-3</v>
      </c>
      <c r="D2427">
        <f t="shared" si="303"/>
        <v>-2.1655292474899168E-3</v>
      </c>
      <c r="E2427">
        <f>_xlfn.XLOOKUP(A2427,VIX!A:A,VIX!B:B,"",-1)</f>
        <v>23.43</v>
      </c>
      <c r="F2427">
        <f t="shared" si="297"/>
        <v>-2.990000000000002</v>
      </c>
      <c r="G2427">
        <f>_xlfn.XLOOKUP(A2427,'DGS10'!A:A,'DGS10'!B:B,"",-1)</f>
        <v>4.0599999999999996</v>
      </c>
      <c r="H2427">
        <f t="shared" si="298"/>
        <v>-4.0000000000000036E-2</v>
      </c>
      <c r="I2427" s="2">
        <f>_xlfn.XLOOKUP(A2427,T10Y3M!A:A,T10Y3M!B:B,"",-1)</f>
        <v>0.16</v>
      </c>
      <c r="J2427" s="2">
        <f>_xlfn.XLOOKUP(A2427,BAMLC0A4CBBB!A:A,BAMLC0A4CBBB!B:B,"",-1)</f>
        <v>1.0900000000000001</v>
      </c>
      <c r="K2427" s="2">
        <f>_xlfn.XLOOKUP(A2427,CPIAUCSL!A:A,CPIAUCSL!B:B,"",-1)</f>
        <v>325.06299999999999</v>
      </c>
      <c r="L2427">
        <f>_xlfn.XLOOKUP(A2427,DFF!A:A,DFF!B:B,"",-1)</f>
        <v>3.88</v>
      </c>
      <c r="M2427">
        <f>_xlfn.XLOOKUP(A2427,'DGS2'!A:A,'DGS2'!B:B,"",-1)</f>
        <v>3.51</v>
      </c>
      <c r="N2427">
        <f t="shared" si="299"/>
        <v>-4.0000000000000036E-2</v>
      </c>
      <c r="O2427">
        <f t="shared" si="300"/>
        <v>1.5467235297948356E-2</v>
      </c>
      <c r="P2427">
        <f t="shared" si="301"/>
        <v>1</v>
      </c>
      <c r="Q2427">
        <f t="shared" si="302"/>
        <v>1</v>
      </c>
    </row>
    <row r="2428" spans="1:17">
      <c r="A2428" s="1">
        <v>45985</v>
      </c>
      <c r="B2428">
        <v>6705.12</v>
      </c>
      <c r="C2428">
        <f t="shared" si="296"/>
        <v>1.5467235297948356E-2</v>
      </c>
      <c r="D2428">
        <f t="shared" si="303"/>
        <v>9.4788442313946675E-3</v>
      </c>
      <c r="E2428">
        <f>_xlfn.XLOOKUP(A2428,VIX!A:A,VIX!B:B,"",-1)</f>
        <v>20.52</v>
      </c>
      <c r="F2428">
        <f t="shared" si="297"/>
        <v>-2.91</v>
      </c>
      <c r="G2428">
        <f>_xlfn.XLOOKUP(A2428,'DGS10'!A:A,'DGS10'!B:B,"",-1)</f>
        <v>4.04</v>
      </c>
      <c r="H2428">
        <f t="shared" si="298"/>
        <v>-1.9999999999999574E-2</v>
      </c>
      <c r="I2428" s="2">
        <f>_xlfn.XLOOKUP(A2428,T10Y3M!A:A,T10Y3M!B:B,"",-1)</f>
        <v>0.13</v>
      </c>
      <c r="J2428" s="2">
        <f>_xlfn.XLOOKUP(A2428,BAMLC0A4CBBB!A:A,BAMLC0A4CBBB!B:B,"",-1)</f>
        <v>1.08</v>
      </c>
      <c r="K2428" s="2">
        <f>_xlfn.XLOOKUP(A2428,CPIAUCSL!A:A,CPIAUCSL!B:B,"",-1)</f>
        <v>325.06299999999999</v>
      </c>
      <c r="L2428">
        <f>_xlfn.XLOOKUP(A2428,DFF!A:A,DFF!B:B,"",-1)</f>
        <v>3.88</v>
      </c>
      <c r="M2428">
        <f>_xlfn.XLOOKUP(A2428,'DGS2'!A:A,'DGS2'!B:B,"",-1)</f>
        <v>3.46</v>
      </c>
      <c r="N2428">
        <f t="shared" si="299"/>
        <v>-4.9999999999999822E-2</v>
      </c>
      <c r="O2428">
        <f t="shared" si="300"/>
        <v>9.0617319302264132E-3</v>
      </c>
      <c r="P2428">
        <f t="shared" si="301"/>
        <v>1</v>
      </c>
      <c r="Q2428">
        <f t="shared" si="302"/>
        <v>1</v>
      </c>
    </row>
    <row r="2429" spans="1:17">
      <c r="A2429" s="1">
        <v>45986</v>
      </c>
      <c r="B2429">
        <v>6765.88</v>
      </c>
      <c r="C2429">
        <f t="shared" si="296"/>
        <v>9.0617319302264132E-3</v>
      </c>
      <c r="D2429">
        <f t="shared" si="303"/>
        <v>3.473441447613923E-2</v>
      </c>
      <c r="E2429">
        <f>_xlfn.XLOOKUP(A2429,VIX!A:A,VIX!B:B,"",-1)</f>
        <v>18.559999999999999</v>
      </c>
      <c r="F2429">
        <f t="shared" si="297"/>
        <v>-1.9600000000000009</v>
      </c>
      <c r="G2429">
        <f>_xlfn.XLOOKUP(A2429,'DGS10'!A:A,'DGS10'!B:B,"",-1)</f>
        <v>4.01</v>
      </c>
      <c r="H2429">
        <f t="shared" si="298"/>
        <v>-3.0000000000000249E-2</v>
      </c>
      <c r="I2429" s="2">
        <f>_xlfn.XLOOKUP(A2429,T10Y3M!A:A,T10Y3M!B:B,"",-1)</f>
        <v>0.11</v>
      </c>
      <c r="J2429" s="2">
        <f>_xlfn.XLOOKUP(A2429,BAMLC0A4CBBB!A:A,BAMLC0A4CBBB!B:B,"",-1)</f>
        <v>1.07</v>
      </c>
      <c r="K2429" s="2">
        <f>_xlfn.XLOOKUP(A2429,CPIAUCSL!A:A,CPIAUCSL!B:B,"",-1)</f>
        <v>325.06299999999999</v>
      </c>
      <c r="L2429">
        <f>_xlfn.XLOOKUP(A2429,DFF!A:A,DFF!B:B,"",-1)</f>
        <v>3.88</v>
      </c>
      <c r="M2429">
        <f>_xlfn.XLOOKUP(A2429,'DGS2'!A:A,'DGS2'!B:B,"",-1)</f>
        <v>3.43</v>
      </c>
      <c r="N2429">
        <f t="shared" si="299"/>
        <v>-2.9999999999999805E-2</v>
      </c>
      <c r="O2429">
        <f t="shared" si="300"/>
        <v>6.9067142781129576E-3</v>
      </c>
      <c r="P2429">
        <f t="shared" si="301"/>
        <v>1</v>
      </c>
      <c r="Q2429">
        <f t="shared" si="302"/>
        <v>1</v>
      </c>
    </row>
    <row r="2430" spans="1:17">
      <c r="A2430" s="1">
        <v>45987</v>
      </c>
      <c r="B2430">
        <v>6812.61</v>
      </c>
      <c r="C2430">
        <f t="shared" si="296"/>
        <v>6.9067142781129576E-3</v>
      </c>
      <c r="D2430">
        <f t="shared" si="303"/>
        <v>3.1746224059100436E-2</v>
      </c>
      <c r="E2430">
        <f>_xlfn.XLOOKUP(A2430,VIX!A:A,VIX!B:B,"",-1)</f>
        <v>17.190000000000001</v>
      </c>
      <c r="F2430">
        <f t="shared" si="297"/>
        <v>-1.3699999999999974</v>
      </c>
      <c r="G2430">
        <f>_xlfn.XLOOKUP(A2430,'DGS10'!A:A,'DGS10'!B:B,"",-1)</f>
        <v>4</v>
      </c>
      <c r="H2430">
        <f t="shared" si="298"/>
        <v>-9.9999999999997868E-3</v>
      </c>
      <c r="I2430" s="2">
        <f>_xlfn.XLOOKUP(A2430,T10Y3M!A:A,T10Y3M!B:B,"",-1)</f>
        <v>0.08</v>
      </c>
      <c r="J2430" s="2">
        <f>_xlfn.XLOOKUP(A2430,BAMLC0A4CBBB!A:A,BAMLC0A4CBBB!B:B,"",-1)</f>
        <v>1.05</v>
      </c>
      <c r="K2430" s="2">
        <f>_xlfn.XLOOKUP(A2430,CPIAUCSL!A:A,CPIAUCSL!B:B,"",-1)</f>
        <v>325.06299999999999</v>
      </c>
      <c r="L2430">
        <f>_xlfn.XLOOKUP(A2430,DFF!A:A,DFF!B:B,"",-1)</f>
        <v>3.88</v>
      </c>
      <c r="M2430">
        <f>_xlfn.XLOOKUP(A2430,'DGS2'!A:A,'DGS2'!B:B,"",-1)</f>
        <v>3.45</v>
      </c>
      <c r="N2430">
        <f t="shared" si="299"/>
        <v>2.0000000000000018E-2</v>
      </c>
      <c r="O2430">
        <f t="shared" si="300"/>
        <v>5.3547759228842473E-3</v>
      </c>
      <c r="P2430">
        <f t="shared" si="301"/>
        <v>1</v>
      </c>
      <c r="Q2430">
        <f t="shared" si="302"/>
        <v>1</v>
      </c>
    </row>
    <row r="2431" spans="1:17">
      <c r="A2431" s="1">
        <v>45989</v>
      </c>
      <c r="B2431">
        <v>6849.09</v>
      </c>
      <c r="C2431">
        <f t="shared" si="296"/>
        <v>5.3547759228842473E-3</v>
      </c>
      <c r="D2431">
        <f t="shared" si="303"/>
        <v>2.1471651514066936E-2</v>
      </c>
      <c r="E2431">
        <f>_xlfn.XLOOKUP(A2431,VIX!A:A,VIX!B:B,"",-1)</f>
        <v>16.350000000000001</v>
      </c>
      <c r="F2431">
        <f t="shared" si="297"/>
        <v>-0.83999999999999986</v>
      </c>
      <c r="G2431">
        <f>_xlfn.XLOOKUP(A2431,'DGS10'!A:A,'DGS10'!B:B,"",-1)</f>
        <v>4.0199999999999996</v>
      </c>
      <c r="H2431">
        <f t="shared" si="298"/>
        <v>1.9999999999999574E-2</v>
      </c>
      <c r="I2431" s="2">
        <f>_xlfn.XLOOKUP(A2431,T10Y3M!A:A,T10Y3M!B:B,"",-1)</f>
        <v>0.14000000000000001</v>
      </c>
      <c r="J2431" s="2">
        <f>_xlfn.XLOOKUP(A2431,BAMLC0A4CBBB!A:A,BAMLC0A4CBBB!B:B,"",-1)</f>
        <v>1.04</v>
      </c>
      <c r="K2431" s="2">
        <f>_xlfn.XLOOKUP(A2431,CPIAUCSL!A:A,CPIAUCSL!B:B,"",-1)</f>
        <v>325.06299999999999</v>
      </c>
      <c r="L2431">
        <f>_xlfn.XLOOKUP(A2431,DFF!A:A,DFF!B:B,"",-1)</f>
        <v>3.89</v>
      </c>
      <c r="M2431">
        <f>_xlfn.XLOOKUP(A2431,'DGS2'!A:A,'DGS2'!B:B,"",-1)</f>
        <v>3.47</v>
      </c>
      <c r="N2431">
        <f t="shared" si="299"/>
        <v>2.0000000000000018E-2</v>
      </c>
      <c r="O2431">
        <f t="shared" si="300"/>
        <v>-5.3233349247856498E-3</v>
      </c>
      <c r="P2431">
        <f t="shared" si="301"/>
        <v>0</v>
      </c>
      <c r="Q2431">
        <f t="shared" si="302"/>
        <v>-1</v>
      </c>
    </row>
    <row r="2432" spans="1:17">
      <c r="A2432" s="1">
        <v>45992</v>
      </c>
      <c r="B2432">
        <v>6812.63</v>
      </c>
      <c r="C2432">
        <f t="shared" si="296"/>
        <v>-5.3233349247856498E-3</v>
      </c>
      <c r="D2432">
        <f t="shared" si="303"/>
        <v>6.9096702867919024E-3</v>
      </c>
      <c r="E2432">
        <f>_xlfn.XLOOKUP(A2432,VIX!A:A,VIX!B:B,"",-1)</f>
        <v>17.239999999999998</v>
      </c>
      <c r="F2432">
        <f t="shared" si="297"/>
        <v>0.88999999999999702</v>
      </c>
      <c r="G2432">
        <f>_xlfn.XLOOKUP(A2432,'DGS10'!A:A,'DGS10'!B:B,"",-1)</f>
        <v>4.09</v>
      </c>
      <c r="H2432">
        <f t="shared" si="298"/>
        <v>7.0000000000000284E-2</v>
      </c>
      <c r="I2432" s="2">
        <f>_xlfn.XLOOKUP(A2432,T10Y3M!A:A,T10Y3M!B:B,"",-1)</f>
        <v>0.28000000000000003</v>
      </c>
      <c r="J2432" s="2">
        <f>_xlfn.XLOOKUP(A2432,BAMLC0A4CBBB!A:A,BAMLC0A4CBBB!B:B,"",-1)</f>
        <v>1.04</v>
      </c>
      <c r="K2432" s="2">
        <f>_xlfn.XLOOKUP(A2432,CPIAUCSL!A:A,CPIAUCSL!B:B,"",-1)</f>
        <v>326.03100000000001</v>
      </c>
      <c r="L2432">
        <f>_xlfn.XLOOKUP(A2432,DFF!A:A,DFF!B:B,"",-1)</f>
        <v>3.89</v>
      </c>
      <c r="M2432">
        <f>_xlfn.XLOOKUP(A2432,'DGS2'!A:A,'DGS2'!B:B,"",-1)</f>
        <v>3.54</v>
      </c>
      <c r="N2432">
        <f t="shared" si="299"/>
        <v>6.999999999999984E-2</v>
      </c>
      <c r="O2432">
        <f t="shared" si="300"/>
        <v>2.4572008167182968E-3</v>
      </c>
      <c r="P2432">
        <f t="shared" si="301"/>
        <v>1</v>
      </c>
      <c r="Q2432">
        <f t="shared" si="302"/>
        <v>0</v>
      </c>
    </row>
    <row r="2433" spans="1:17">
      <c r="A2433" s="1">
        <v>45993</v>
      </c>
      <c r="B2433">
        <v>6829.37</v>
      </c>
      <c r="C2433">
        <f t="shared" si="296"/>
        <v>2.4572008167182968E-3</v>
      </c>
      <c r="D2433">
        <f t="shared" si="303"/>
        <v>2.4601437628164469E-3</v>
      </c>
      <c r="E2433">
        <f>_xlfn.XLOOKUP(A2433,VIX!A:A,VIX!B:B,"",-1)</f>
        <v>16.59</v>
      </c>
      <c r="F2433">
        <f t="shared" si="297"/>
        <v>-0.64999999999999858</v>
      </c>
      <c r="G2433">
        <f>_xlfn.XLOOKUP(A2433,'DGS10'!A:A,'DGS10'!B:B,"",-1)</f>
        <v>4.09</v>
      </c>
      <c r="H2433">
        <f t="shared" si="298"/>
        <v>0</v>
      </c>
      <c r="I2433" s="2">
        <f>_xlfn.XLOOKUP(A2433,T10Y3M!A:A,T10Y3M!B:B,"",-1)</f>
        <v>0.32</v>
      </c>
      <c r="J2433" s="2">
        <f>_xlfn.XLOOKUP(A2433,BAMLC0A4CBBB!A:A,BAMLC0A4CBBB!B:B,"",-1)</f>
        <v>1.03</v>
      </c>
      <c r="K2433" s="2">
        <f>_xlfn.XLOOKUP(A2433,CPIAUCSL!A:A,CPIAUCSL!B:B,"",-1)</f>
        <v>326.03100000000001</v>
      </c>
      <c r="L2433">
        <f>_xlfn.XLOOKUP(A2433,DFF!A:A,DFF!B:B,"",-1)</f>
        <v>3.89</v>
      </c>
      <c r="M2433">
        <f>_xlfn.XLOOKUP(A2433,'DGS2'!A:A,'DGS2'!B:B,"",-1)</f>
        <v>3.51</v>
      </c>
      <c r="N2433">
        <f t="shared" si="299"/>
        <v>-3.0000000000000249E-2</v>
      </c>
      <c r="O2433">
        <f t="shared" si="300"/>
        <v>2.9797770511774679E-3</v>
      </c>
      <c r="P2433">
        <f t="shared" si="301"/>
        <v>1</v>
      </c>
      <c r="Q2433">
        <f t="shared" si="302"/>
        <v>0</v>
      </c>
    </row>
    <row r="2434" spans="1:17">
      <c r="A2434" s="1">
        <v>45994</v>
      </c>
      <c r="B2434">
        <v>6849.72</v>
      </c>
      <c r="C2434">
        <f t="shared" si="296"/>
        <v>2.9797770511774679E-3</v>
      </c>
      <c r="D2434">
        <f t="shared" si="303"/>
        <v>9.1983022562081018E-5</v>
      </c>
      <c r="E2434">
        <f>_xlfn.XLOOKUP(A2434,VIX!A:A,VIX!B:B,"",-1)</f>
        <v>16.079999999999998</v>
      </c>
      <c r="F2434">
        <f t="shared" si="297"/>
        <v>-0.51000000000000156</v>
      </c>
      <c r="G2434">
        <f>_xlfn.XLOOKUP(A2434,'DGS10'!A:A,'DGS10'!B:B,"",-1)</f>
        <v>4.0599999999999996</v>
      </c>
      <c r="H2434">
        <f t="shared" si="298"/>
        <v>-3.0000000000000249E-2</v>
      </c>
      <c r="I2434" s="2">
        <f>_xlfn.XLOOKUP(A2434,T10Y3M!A:A,T10Y3M!B:B,"",-1)</f>
        <v>0.34</v>
      </c>
      <c r="J2434" s="2">
        <f>_xlfn.XLOOKUP(A2434,BAMLC0A4CBBB!A:A,BAMLC0A4CBBB!B:B,"",-1)</f>
        <v>1.03</v>
      </c>
      <c r="K2434" s="2">
        <f>_xlfn.XLOOKUP(A2434,CPIAUCSL!A:A,CPIAUCSL!B:B,"",-1)</f>
        <v>326.03100000000001</v>
      </c>
      <c r="L2434">
        <f>_xlfn.XLOOKUP(A2434,DFF!A:A,DFF!B:B,"",-1)</f>
        <v>3.89</v>
      </c>
      <c r="M2434">
        <f>_xlfn.XLOOKUP(A2434,'DGS2'!A:A,'DGS2'!B:B,"",-1)</f>
        <v>3.49</v>
      </c>
      <c r="N2434">
        <f t="shared" si="299"/>
        <v>-1.9999999999999574E-2</v>
      </c>
      <c r="O2434">
        <f t="shared" si="300"/>
        <v>1.0803361305278258E-3</v>
      </c>
      <c r="P2434">
        <f t="shared" si="301"/>
        <v>1</v>
      </c>
      <c r="Q2434">
        <f t="shared" si="302"/>
        <v>0</v>
      </c>
    </row>
    <row r="2435" spans="1:17">
      <c r="A2435" s="1">
        <v>45995</v>
      </c>
      <c r="B2435">
        <v>6857.12</v>
      </c>
      <c r="C2435">
        <f t="shared" si="296"/>
        <v>1.0803361305278258E-3</v>
      </c>
      <c r="D2435">
        <f t="shared" si="303"/>
        <v>6.5305175827836681E-3</v>
      </c>
      <c r="E2435">
        <f>_xlfn.XLOOKUP(A2435,VIX!A:A,VIX!B:B,"",-1)</f>
        <v>15.78</v>
      </c>
      <c r="F2435">
        <f t="shared" si="297"/>
        <v>-0.29999999999999893</v>
      </c>
      <c r="G2435">
        <f>_xlfn.XLOOKUP(A2435,'DGS10'!A:A,'DGS10'!B:B,"",-1)</f>
        <v>4.1100000000000003</v>
      </c>
      <c r="H2435">
        <f t="shared" si="298"/>
        <v>5.0000000000000711E-2</v>
      </c>
      <c r="I2435" s="2">
        <f>_xlfn.XLOOKUP(A2435,T10Y3M!A:A,T10Y3M!B:B,"",-1)</f>
        <v>0.4</v>
      </c>
      <c r="J2435" s="2">
        <f>_xlfn.XLOOKUP(A2435,BAMLC0A4CBBB!A:A,BAMLC0A4CBBB!B:B,"",-1)</f>
        <v>1.02</v>
      </c>
      <c r="K2435" s="2">
        <f>_xlfn.XLOOKUP(A2435,CPIAUCSL!A:A,CPIAUCSL!B:B,"",-1)</f>
        <v>326.03100000000001</v>
      </c>
      <c r="L2435">
        <f>_xlfn.XLOOKUP(A2435,DFF!A:A,DFF!B:B,"",-1)</f>
        <v>3.89</v>
      </c>
      <c r="M2435">
        <f>_xlfn.XLOOKUP(A2435,'DGS2'!A:A,'DGS2'!B:B,"",-1)</f>
        <v>3.52</v>
      </c>
      <c r="N2435">
        <f t="shared" si="299"/>
        <v>2.9999999999999805E-2</v>
      </c>
      <c r="O2435">
        <f t="shared" si="300"/>
        <v>1.9366731222436595E-3</v>
      </c>
      <c r="P2435">
        <f t="shared" si="301"/>
        <v>1</v>
      </c>
      <c r="Q2435">
        <f t="shared" si="302"/>
        <v>0</v>
      </c>
    </row>
    <row r="2436" spans="1:17">
      <c r="A2436" s="1">
        <v>45996</v>
      </c>
      <c r="B2436">
        <v>6870.4</v>
      </c>
      <c r="C2436">
        <f t="shared" ref="C2436:C2499" si="304">IF(OR(B2436="",B2435=""),"",(B2436/B2435)-1)</f>
        <v>1.9366731222436595E-3</v>
      </c>
      <c r="D2436">
        <f t="shared" si="303"/>
        <v>6.0078748112930569E-3</v>
      </c>
      <c r="E2436">
        <f>_xlfn.XLOOKUP(A2436,VIX!A:A,VIX!B:B,"",-1)</f>
        <v>15.41</v>
      </c>
      <c r="F2436">
        <f t="shared" ref="F2436:F2499" si="305">IF(OR(E2436="",E2435=""),"",E2436-E2435)</f>
        <v>-0.36999999999999922</v>
      </c>
      <c r="G2436">
        <f>_xlfn.XLOOKUP(A2436,'DGS10'!A:A,'DGS10'!B:B,"",-1)</f>
        <v>4.1399999999999997</v>
      </c>
      <c r="H2436">
        <f t="shared" ref="H2436:H2499" si="306">IF(OR(G2436="",G2435=""),"",G2436-G2435)</f>
        <v>2.9999999999999361E-2</v>
      </c>
      <c r="I2436" s="2">
        <f>_xlfn.XLOOKUP(A2436,T10Y3M!A:A,T10Y3M!B:B,"",-1)</f>
        <v>0.43</v>
      </c>
      <c r="J2436" s="2">
        <f>_xlfn.XLOOKUP(A2436,BAMLC0A4CBBB!A:A,BAMLC0A4CBBB!B:B,"",-1)</f>
        <v>1.01</v>
      </c>
      <c r="K2436" s="2">
        <f>_xlfn.XLOOKUP(A2436,CPIAUCSL!A:A,CPIAUCSL!B:B,"",-1)</f>
        <v>326.03100000000001</v>
      </c>
      <c r="L2436">
        <f>_xlfn.XLOOKUP(A2436,DFF!A:A,DFF!B:B,"",-1)</f>
        <v>3.89</v>
      </c>
      <c r="M2436">
        <f>_xlfn.XLOOKUP(A2436,'DGS2'!A:A,'DGS2'!B:B,"",-1)</f>
        <v>3.56</v>
      </c>
      <c r="N2436">
        <f t="shared" ref="N2436:N2499" si="307">IF(OR(M2436="",M2435=""),"",M2436-M2435)</f>
        <v>4.0000000000000036E-2</v>
      </c>
      <c r="O2436">
        <f t="shared" ref="O2436:O2499" si="308">IF(OR(B2437="",B2436=""),"",(B2437/B2436)-1)</f>
        <v>-3.4772356776897606E-3</v>
      </c>
      <c r="P2436">
        <f t="shared" ref="P2436:P2499" si="309">IF(O2436="","",IF(O2436&gt;0,1,0))</f>
        <v>0</v>
      </c>
      <c r="Q2436">
        <f t="shared" ref="Q2436:Q2499" si="310">IF(O2436="","",IF(O2436&gt;0.003,1,IF(O2436&lt;-0.003,-1,0)))</f>
        <v>-1</v>
      </c>
    </row>
    <row r="2437" spans="1:17">
      <c r="A2437" s="1">
        <v>45999</v>
      </c>
      <c r="B2437">
        <v>6846.51</v>
      </c>
      <c r="C2437">
        <f t="shared" si="304"/>
        <v>-3.4772356776897606E-3</v>
      </c>
      <c r="D2437">
        <f t="shared" si="303"/>
        <v>-4.6863229445870402E-4</v>
      </c>
      <c r="E2437">
        <f>_xlfn.XLOOKUP(A2437,VIX!A:A,VIX!B:B,"",-1)</f>
        <v>16.66</v>
      </c>
      <c r="F2437">
        <f t="shared" si="305"/>
        <v>1.25</v>
      </c>
      <c r="G2437">
        <f>_xlfn.XLOOKUP(A2437,'DGS10'!A:A,'DGS10'!B:B,"",-1)</f>
        <v>4.17</v>
      </c>
      <c r="H2437">
        <f t="shared" si="306"/>
        <v>3.0000000000000249E-2</v>
      </c>
      <c r="I2437" s="2">
        <f>_xlfn.XLOOKUP(A2437,T10Y3M!A:A,T10Y3M!B:B,"",-1)</f>
        <v>0.44</v>
      </c>
      <c r="J2437" s="2">
        <f>_xlfn.XLOOKUP(A2437,BAMLC0A4CBBB!A:A,BAMLC0A4CBBB!B:B,"",-1)</f>
        <v>1</v>
      </c>
      <c r="K2437" s="2">
        <f>_xlfn.XLOOKUP(A2437,CPIAUCSL!A:A,CPIAUCSL!B:B,"",-1)</f>
        <v>326.03100000000001</v>
      </c>
      <c r="L2437">
        <f>_xlfn.XLOOKUP(A2437,DFF!A:A,DFF!B:B,"",-1)</f>
        <v>3.89</v>
      </c>
      <c r="M2437">
        <f>_xlfn.XLOOKUP(A2437,'DGS2'!A:A,'DGS2'!B:B,"",-1)</f>
        <v>3.57</v>
      </c>
      <c r="N2437">
        <f t="shared" si="307"/>
        <v>9.9999999999997868E-3</v>
      </c>
      <c r="O2437">
        <f t="shared" si="308"/>
        <v>-8.7635890402559813E-4</v>
      </c>
      <c r="P2437">
        <f t="shared" si="309"/>
        <v>0</v>
      </c>
      <c r="Q2437">
        <f t="shared" si="310"/>
        <v>0</v>
      </c>
    </row>
    <row r="2438" spans="1:17">
      <c r="A2438" s="1">
        <v>46000</v>
      </c>
      <c r="B2438">
        <v>6840.51</v>
      </c>
      <c r="C2438">
        <f t="shared" si="304"/>
        <v>-8.7635890402559813E-4</v>
      </c>
      <c r="D2438">
        <f t="shared" ref="D2438:D2501" si="311">IF(OR(B2438="",B2435=""),"",(B2438/B2435)-1)</f>
        <v>-2.4222997409990565E-3</v>
      </c>
      <c r="E2438">
        <f>_xlfn.XLOOKUP(A2438,VIX!A:A,VIX!B:B,"",-1)</f>
        <v>16.93</v>
      </c>
      <c r="F2438">
        <f t="shared" si="305"/>
        <v>0.26999999999999957</v>
      </c>
      <c r="G2438">
        <f>_xlfn.XLOOKUP(A2438,'DGS10'!A:A,'DGS10'!B:B,"",-1)</f>
        <v>4.18</v>
      </c>
      <c r="H2438">
        <f t="shared" si="306"/>
        <v>9.9999999999997868E-3</v>
      </c>
      <c r="I2438" s="2">
        <f>_xlfn.XLOOKUP(A2438,T10Y3M!A:A,T10Y3M!B:B,"",-1)</f>
        <v>0.45</v>
      </c>
      <c r="J2438" s="2">
        <f>_xlfn.XLOOKUP(A2438,BAMLC0A4CBBB!A:A,BAMLC0A4CBBB!B:B,"",-1)</f>
        <v>1</v>
      </c>
      <c r="K2438" s="2">
        <f>_xlfn.XLOOKUP(A2438,CPIAUCSL!A:A,CPIAUCSL!B:B,"",-1)</f>
        <v>326.03100000000001</v>
      </c>
      <c r="L2438">
        <f>_xlfn.XLOOKUP(A2438,DFF!A:A,DFF!B:B,"",-1)</f>
        <v>3.89</v>
      </c>
      <c r="M2438">
        <f>_xlfn.XLOOKUP(A2438,'DGS2'!A:A,'DGS2'!B:B,"",-1)</f>
        <v>3.61</v>
      </c>
      <c r="N2438">
        <f t="shared" si="307"/>
        <v>4.0000000000000036E-2</v>
      </c>
      <c r="O2438">
        <f t="shared" si="308"/>
        <v>6.7494967480494772E-3</v>
      </c>
      <c r="P2438">
        <f t="shared" si="309"/>
        <v>1</v>
      </c>
      <c r="Q2438">
        <f t="shared" si="310"/>
        <v>1</v>
      </c>
    </row>
    <row r="2439" spans="1:17">
      <c r="A2439" s="1">
        <v>46001</v>
      </c>
      <c r="B2439">
        <v>6886.68</v>
      </c>
      <c r="C2439">
        <f t="shared" si="304"/>
        <v>6.7494967480494772E-3</v>
      </c>
      <c r="D2439">
        <f t="shared" si="311"/>
        <v>2.3695854680951811E-3</v>
      </c>
      <c r="E2439">
        <f>_xlfn.XLOOKUP(A2439,VIX!A:A,VIX!B:B,"",-1)</f>
        <v>15.77</v>
      </c>
      <c r="F2439">
        <f t="shared" si="305"/>
        <v>-1.1600000000000001</v>
      </c>
      <c r="G2439">
        <f>_xlfn.XLOOKUP(A2439,'DGS10'!A:A,'DGS10'!B:B,"",-1)</f>
        <v>4.13</v>
      </c>
      <c r="H2439">
        <f t="shared" si="306"/>
        <v>-4.9999999999999822E-2</v>
      </c>
      <c r="I2439" s="2">
        <f>_xlfn.XLOOKUP(A2439,T10Y3M!A:A,T10Y3M!B:B,"",-1)</f>
        <v>0.44</v>
      </c>
      <c r="J2439" s="2">
        <f>_xlfn.XLOOKUP(A2439,BAMLC0A4CBBB!A:A,BAMLC0A4CBBB!B:B,"",-1)</f>
        <v>1</v>
      </c>
      <c r="K2439" s="2">
        <f>_xlfn.XLOOKUP(A2439,CPIAUCSL!A:A,CPIAUCSL!B:B,"",-1)</f>
        <v>326.03100000000001</v>
      </c>
      <c r="L2439">
        <f>_xlfn.XLOOKUP(A2439,DFF!A:A,DFF!B:B,"",-1)</f>
        <v>3.89</v>
      </c>
      <c r="M2439">
        <f>_xlfn.XLOOKUP(A2439,'DGS2'!A:A,'DGS2'!B:B,"",-1)</f>
        <v>3.54</v>
      </c>
      <c r="N2439">
        <f t="shared" si="307"/>
        <v>-6.999999999999984E-2</v>
      </c>
      <c r="O2439">
        <f t="shared" si="308"/>
        <v>2.0793764194066977E-3</v>
      </c>
      <c r="P2439">
        <f t="shared" si="309"/>
        <v>1</v>
      </c>
      <c r="Q2439">
        <f t="shared" si="310"/>
        <v>0</v>
      </c>
    </row>
    <row r="2440" spans="1:17">
      <c r="A2440" s="1">
        <v>46002</v>
      </c>
      <c r="B2440">
        <v>6901</v>
      </c>
      <c r="C2440">
        <f t="shared" si="304"/>
        <v>2.0793764194066977E-3</v>
      </c>
      <c r="D2440">
        <f t="shared" si="311"/>
        <v>7.9587994467253953E-3</v>
      </c>
      <c r="E2440">
        <f>_xlfn.XLOOKUP(A2440,VIX!A:A,VIX!B:B,"",-1)</f>
        <v>14.85</v>
      </c>
      <c r="F2440">
        <f t="shared" si="305"/>
        <v>-0.91999999999999993</v>
      </c>
      <c r="G2440">
        <f>_xlfn.XLOOKUP(A2440,'DGS10'!A:A,'DGS10'!B:B,"",-1)</f>
        <v>4.1399999999999997</v>
      </c>
      <c r="H2440">
        <f t="shared" si="306"/>
        <v>9.9999999999997868E-3</v>
      </c>
      <c r="I2440" s="2">
        <f>_xlfn.XLOOKUP(A2440,T10Y3M!A:A,T10Y3M!B:B,"",-1)</f>
        <v>0.48</v>
      </c>
      <c r="J2440" s="2">
        <f>_xlfn.XLOOKUP(A2440,BAMLC0A4CBBB!A:A,BAMLC0A4CBBB!B:B,"",-1)</f>
        <v>1</v>
      </c>
      <c r="K2440" s="2">
        <f>_xlfn.XLOOKUP(A2440,CPIAUCSL!A:A,CPIAUCSL!B:B,"",-1)</f>
        <v>326.03100000000001</v>
      </c>
      <c r="L2440">
        <f>_xlfn.XLOOKUP(A2440,DFF!A:A,DFF!B:B,"",-1)</f>
        <v>3.64</v>
      </c>
      <c r="M2440">
        <f>_xlfn.XLOOKUP(A2440,'DGS2'!A:A,'DGS2'!B:B,"",-1)</f>
        <v>3.52</v>
      </c>
      <c r="N2440">
        <f t="shared" si="307"/>
        <v>-2.0000000000000018E-2</v>
      </c>
      <c r="O2440">
        <f t="shared" si="308"/>
        <v>-1.0663671931604113E-2</v>
      </c>
      <c r="P2440">
        <f t="shared" si="309"/>
        <v>0</v>
      </c>
      <c r="Q2440">
        <f t="shared" si="310"/>
        <v>-1</v>
      </c>
    </row>
    <row r="2441" spans="1:17">
      <c r="A2441" s="1">
        <v>46003</v>
      </c>
      <c r="B2441">
        <v>6827.41</v>
      </c>
      <c r="C2441">
        <f t="shared" si="304"/>
        <v>-1.0663671931604113E-2</v>
      </c>
      <c r="D2441">
        <f t="shared" si="311"/>
        <v>-1.9150618886604187E-3</v>
      </c>
      <c r="E2441">
        <f>_xlfn.XLOOKUP(A2441,VIX!A:A,VIX!B:B,"",-1)</f>
        <v>15.74</v>
      </c>
      <c r="F2441">
        <f t="shared" si="305"/>
        <v>0.89000000000000057</v>
      </c>
      <c r="G2441">
        <f>_xlfn.XLOOKUP(A2441,'DGS10'!A:A,'DGS10'!B:B,"",-1)</f>
        <v>4.1900000000000004</v>
      </c>
      <c r="H2441">
        <f t="shared" si="306"/>
        <v>5.0000000000000711E-2</v>
      </c>
      <c r="I2441" s="2">
        <f>_xlfn.XLOOKUP(A2441,T10Y3M!A:A,T10Y3M!B:B,"",-1)</f>
        <v>0.56000000000000005</v>
      </c>
      <c r="J2441" s="2">
        <f>_xlfn.XLOOKUP(A2441,BAMLC0A4CBBB!A:A,BAMLC0A4CBBB!B:B,"",-1)</f>
        <v>1.01</v>
      </c>
      <c r="K2441" s="2">
        <f>_xlfn.XLOOKUP(A2441,CPIAUCSL!A:A,CPIAUCSL!B:B,"",-1)</f>
        <v>326.03100000000001</v>
      </c>
      <c r="L2441">
        <f>_xlfn.XLOOKUP(A2441,DFF!A:A,DFF!B:B,"",-1)</f>
        <v>3.64</v>
      </c>
      <c r="M2441">
        <f>_xlfn.XLOOKUP(A2441,'DGS2'!A:A,'DGS2'!B:B,"",-1)</f>
        <v>3.52</v>
      </c>
      <c r="N2441">
        <f t="shared" si="307"/>
        <v>0</v>
      </c>
      <c r="O2441">
        <f t="shared" si="308"/>
        <v>-1.5965058492165562E-3</v>
      </c>
      <c r="P2441">
        <f t="shared" si="309"/>
        <v>0</v>
      </c>
      <c r="Q2441">
        <f t="shared" si="310"/>
        <v>0</v>
      </c>
    </row>
    <row r="2442" spans="1:17">
      <c r="A2442" s="1">
        <v>46006</v>
      </c>
      <c r="B2442">
        <v>6816.51</v>
      </c>
      <c r="C2442">
        <f t="shared" si="304"/>
        <v>-1.5965058492165562E-3</v>
      </c>
      <c r="D2442">
        <f t="shared" si="311"/>
        <v>-1.0189234870794039E-2</v>
      </c>
      <c r="E2442">
        <f>_xlfn.XLOOKUP(A2442,VIX!A:A,VIX!B:B,"",-1)</f>
        <v>16.5</v>
      </c>
      <c r="F2442">
        <f t="shared" si="305"/>
        <v>0.75999999999999979</v>
      </c>
      <c r="G2442">
        <f>_xlfn.XLOOKUP(A2442,'DGS10'!A:A,'DGS10'!B:B,"",-1)</f>
        <v>4.18</v>
      </c>
      <c r="H2442">
        <f t="shared" si="306"/>
        <v>-1.0000000000000675E-2</v>
      </c>
      <c r="I2442" s="2">
        <f>_xlfn.XLOOKUP(A2442,T10Y3M!A:A,T10Y3M!B:B,"",-1)</f>
        <v>0.53</v>
      </c>
      <c r="J2442" s="2">
        <f>_xlfn.XLOOKUP(A2442,BAMLC0A4CBBB!A:A,BAMLC0A4CBBB!B:B,"",-1)</f>
        <v>1.02</v>
      </c>
      <c r="K2442" s="2">
        <f>_xlfn.XLOOKUP(A2442,CPIAUCSL!A:A,CPIAUCSL!B:B,"",-1)</f>
        <v>326.03100000000001</v>
      </c>
      <c r="L2442">
        <f>_xlfn.XLOOKUP(A2442,DFF!A:A,DFF!B:B,"",-1)</f>
        <v>3.64</v>
      </c>
      <c r="M2442">
        <f>_xlfn.XLOOKUP(A2442,'DGS2'!A:A,'DGS2'!B:B,"",-1)</f>
        <v>3.51</v>
      </c>
      <c r="N2442">
        <f t="shared" si="307"/>
        <v>-1.0000000000000231E-2</v>
      </c>
      <c r="O2442">
        <f t="shared" si="308"/>
        <v>-2.3839178699950336E-3</v>
      </c>
      <c r="P2442">
        <f t="shared" si="309"/>
        <v>0</v>
      </c>
      <c r="Q2442">
        <f t="shared" si="310"/>
        <v>0</v>
      </c>
    </row>
    <row r="2443" spans="1:17">
      <c r="A2443" s="1">
        <v>46007</v>
      </c>
      <c r="B2443">
        <v>6800.26</v>
      </c>
      <c r="C2443">
        <f t="shared" si="304"/>
        <v>-2.3839178699950336E-3</v>
      </c>
      <c r="D2443">
        <f t="shared" si="311"/>
        <v>-1.4597884364584757E-2</v>
      </c>
      <c r="E2443">
        <f>_xlfn.XLOOKUP(A2443,VIX!A:A,VIX!B:B,"",-1)</f>
        <v>16.48</v>
      </c>
      <c r="F2443">
        <f t="shared" si="305"/>
        <v>-1.9999999999999574E-2</v>
      </c>
      <c r="G2443">
        <f>_xlfn.XLOOKUP(A2443,'DGS10'!A:A,'DGS10'!B:B,"",-1)</f>
        <v>4.1500000000000004</v>
      </c>
      <c r="H2443">
        <f t="shared" si="306"/>
        <v>-2.9999999999999361E-2</v>
      </c>
      <c r="I2443" s="2">
        <f>_xlfn.XLOOKUP(A2443,T10Y3M!A:A,T10Y3M!B:B,"",-1)</f>
        <v>0.51</v>
      </c>
      <c r="J2443" s="2">
        <f>_xlfn.XLOOKUP(A2443,BAMLC0A4CBBB!A:A,BAMLC0A4CBBB!B:B,"",-1)</f>
        <v>1.03</v>
      </c>
      <c r="K2443" s="2">
        <f>_xlfn.XLOOKUP(A2443,CPIAUCSL!A:A,CPIAUCSL!B:B,"",-1)</f>
        <v>326.03100000000001</v>
      </c>
      <c r="L2443">
        <f>_xlfn.XLOOKUP(A2443,DFF!A:A,DFF!B:B,"",-1)</f>
        <v>3.64</v>
      </c>
      <c r="M2443">
        <f>_xlfn.XLOOKUP(A2443,'DGS2'!A:A,'DGS2'!B:B,"",-1)</f>
        <v>3.48</v>
      </c>
      <c r="N2443">
        <f t="shared" si="307"/>
        <v>-2.9999999999999805E-2</v>
      </c>
      <c r="O2443">
        <f t="shared" si="308"/>
        <v>-1.1592203827500702E-2</v>
      </c>
      <c r="P2443">
        <f t="shared" si="309"/>
        <v>0</v>
      </c>
      <c r="Q2443">
        <f t="shared" si="310"/>
        <v>-1</v>
      </c>
    </row>
    <row r="2444" spans="1:17">
      <c r="A2444" s="1">
        <v>46008</v>
      </c>
      <c r="B2444">
        <v>6721.43</v>
      </c>
      <c r="C2444">
        <f t="shared" si="304"/>
        <v>-1.1592203827500702E-2</v>
      </c>
      <c r="D2444">
        <f t="shared" si="311"/>
        <v>-1.5522723844034525E-2</v>
      </c>
      <c r="E2444">
        <f>_xlfn.XLOOKUP(A2444,VIX!A:A,VIX!B:B,"",-1)</f>
        <v>17.62</v>
      </c>
      <c r="F2444">
        <f t="shared" si="305"/>
        <v>1.1400000000000006</v>
      </c>
      <c r="G2444">
        <f>_xlfn.XLOOKUP(A2444,'DGS10'!A:A,'DGS10'!B:B,"",-1)</f>
        <v>4.16</v>
      </c>
      <c r="H2444">
        <f t="shared" si="306"/>
        <v>9.9999999999997868E-3</v>
      </c>
      <c r="I2444" s="2">
        <f>_xlfn.XLOOKUP(A2444,T10Y3M!A:A,T10Y3M!B:B,"",-1)</f>
        <v>0.52</v>
      </c>
      <c r="J2444" s="2">
        <f>_xlfn.XLOOKUP(A2444,BAMLC0A4CBBB!A:A,BAMLC0A4CBBB!B:B,"",-1)</f>
        <v>1.03</v>
      </c>
      <c r="K2444" s="2">
        <f>_xlfn.XLOOKUP(A2444,CPIAUCSL!A:A,CPIAUCSL!B:B,"",-1)</f>
        <v>326.03100000000001</v>
      </c>
      <c r="L2444">
        <f>_xlfn.XLOOKUP(A2444,DFF!A:A,DFF!B:B,"",-1)</f>
        <v>3.64</v>
      </c>
      <c r="M2444">
        <f>_xlfn.XLOOKUP(A2444,'DGS2'!A:A,'DGS2'!B:B,"",-1)</f>
        <v>3.49</v>
      </c>
      <c r="N2444">
        <f t="shared" si="307"/>
        <v>1.0000000000000231E-2</v>
      </c>
      <c r="O2444">
        <f t="shared" si="308"/>
        <v>7.9343234996123169E-3</v>
      </c>
      <c r="P2444">
        <f t="shared" si="309"/>
        <v>1</v>
      </c>
      <c r="Q2444">
        <f t="shared" si="310"/>
        <v>1</v>
      </c>
    </row>
    <row r="2445" spans="1:17">
      <c r="A2445" s="1">
        <v>46009</v>
      </c>
      <c r="B2445">
        <v>6774.76</v>
      </c>
      <c r="C2445">
        <f t="shared" si="304"/>
        <v>7.9343234996123169E-3</v>
      </c>
      <c r="D2445">
        <f t="shared" si="311"/>
        <v>-6.1248351429104009E-3</v>
      </c>
      <c r="E2445">
        <f>_xlfn.XLOOKUP(A2445,VIX!A:A,VIX!B:B,"",-1)</f>
        <v>16.87</v>
      </c>
      <c r="F2445">
        <f t="shared" si="305"/>
        <v>-0.75</v>
      </c>
      <c r="G2445">
        <f>_xlfn.XLOOKUP(A2445,'DGS10'!A:A,'DGS10'!B:B,"",-1)</f>
        <v>4.12</v>
      </c>
      <c r="H2445">
        <f t="shared" si="306"/>
        <v>-4.0000000000000036E-2</v>
      </c>
      <c r="I2445" s="2">
        <f>_xlfn.XLOOKUP(A2445,T10Y3M!A:A,T10Y3M!B:B,"",-1)</f>
        <v>0.5</v>
      </c>
      <c r="J2445" s="2">
        <f>_xlfn.XLOOKUP(A2445,BAMLC0A4CBBB!A:A,BAMLC0A4CBBB!B:B,"",-1)</f>
        <v>1.03</v>
      </c>
      <c r="K2445" s="2">
        <f>_xlfn.XLOOKUP(A2445,CPIAUCSL!A:A,CPIAUCSL!B:B,"",-1)</f>
        <v>326.03100000000001</v>
      </c>
      <c r="L2445">
        <f>_xlfn.XLOOKUP(A2445,DFF!A:A,DFF!B:B,"",-1)</f>
        <v>3.64</v>
      </c>
      <c r="M2445">
        <f>_xlfn.XLOOKUP(A2445,'DGS2'!A:A,'DGS2'!B:B,"",-1)</f>
        <v>3.46</v>
      </c>
      <c r="N2445">
        <f t="shared" si="307"/>
        <v>-3.0000000000000249E-2</v>
      </c>
      <c r="O2445">
        <f t="shared" si="308"/>
        <v>8.8180245499471788E-3</v>
      </c>
      <c r="P2445">
        <f t="shared" si="309"/>
        <v>1</v>
      </c>
      <c r="Q2445">
        <f t="shared" si="310"/>
        <v>1</v>
      </c>
    </row>
    <row r="2446" spans="1:17">
      <c r="A2446" s="1">
        <v>46010</v>
      </c>
      <c r="B2446">
        <v>6834.5</v>
      </c>
      <c r="C2446">
        <f t="shared" si="304"/>
        <v>8.8180245499471788E-3</v>
      </c>
      <c r="D2446">
        <f t="shared" si="311"/>
        <v>5.0351015990564019E-3</v>
      </c>
      <c r="E2446">
        <f>_xlfn.XLOOKUP(A2446,VIX!A:A,VIX!B:B,"",-1)</f>
        <v>14.91</v>
      </c>
      <c r="F2446">
        <f t="shared" si="305"/>
        <v>-1.9600000000000009</v>
      </c>
      <c r="G2446">
        <f>_xlfn.XLOOKUP(A2446,'DGS10'!A:A,'DGS10'!B:B,"",-1)</f>
        <v>4.16</v>
      </c>
      <c r="H2446">
        <f t="shared" si="306"/>
        <v>4.0000000000000036E-2</v>
      </c>
      <c r="I2446" s="2">
        <f>_xlfn.XLOOKUP(A2446,T10Y3M!A:A,T10Y3M!B:B,"",-1)</f>
        <v>0.54</v>
      </c>
      <c r="J2446" s="2">
        <f>_xlfn.XLOOKUP(A2446,BAMLC0A4CBBB!A:A,BAMLC0A4CBBB!B:B,"",-1)</f>
        <v>1.02</v>
      </c>
      <c r="K2446" s="2">
        <f>_xlfn.XLOOKUP(A2446,CPIAUCSL!A:A,CPIAUCSL!B:B,"",-1)</f>
        <v>326.03100000000001</v>
      </c>
      <c r="L2446">
        <f>_xlfn.XLOOKUP(A2446,DFF!A:A,DFF!B:B,"",-1)</f>
        <v>3.64</v>
      </c>
      <c r="M2446">
        <f>_xlfn.XLOOKUP(A2446,'DGS2'!A:A,'DGS2'!B:B,"",-1)</f>
        <v>3.48</v>
      </c>
      <c r="N2446">
        <f t="shared" si="307"/>
        <v>2.0000000000000018E-2</v>
      </c>
      <c r="O2446">
        <f t="shared" si="308"/>
        <v>6.4364620674519646E-3</v>
      </c>
      <c r="P2446">
        <f t="shared" si="309"/>
        <v>1</v>
      </c>
      <c r="Q2446">
        <f t="shared" si="310"/>
        <v>1</v>
      </c>
    </row>
    <row r="2447" spans="1:17">
      <c r="A2447" s="1">
        <v>46013</v>
      </c>
      <c r="B2447">
        <v>6878.49</v>
      </c>
      <c r="C2447">
        <f t="shared" si="304"/>
        <v>6.4364620674519646E-3</v>
      </c>
      <c r="D2447">
        <f t="shared" si="311"/>
        <v>2.3367051356630864E-2</v>
      </c>
      <c r="E2447">
        <f>_xlfn.XLOOKUP(A2447,VIX!A:A,VIX!B:B,"",-1)</f>
        <v>14.08</v>
      </c>
      <c r="F2447">
        <f t="shared" si="305"/>
        <v>-0.83000000000000007</v>
      </c>
      <c r="G2447">
        <f>_xlfn.XLOOKUP(A2447,'DGS10'!A:A,'DGS10'!B:B,"",-1)</f>
        <v>4.17</v>
      </c>
      <c r="H2447">
        <f t="shared" si="306"/>
        <v>9.9999999999997868E-3</v>
      </c>
      <c r="I2447" s="2">
        <f>_xlfn.XLOOKUP(A2447,T10Y3M!A:A,T10Y3M!B:B,"",-1)</f>
        <v>0.53</v>
      </c>
      <c r="J2447" s="2">
        <f>_xlfn.XLOOKUP(A2447,BAMLC0A4CBBB!A:A,BAMLC0A4CBBB!B:B,"",-1)</f>
        <v>1.02</v>
      </c>
      <c r="K2447" s="2">
        <f>_xlfn.XLOOKUP(A2447,CPIAUCSL!A:A,CPIAUCSL!B:B,"",-1)</f>
        <v>326.03100000000001</v>
      </c>
      <c r="L2447">
        <f>_xlfn.XLOOKUP(A2447,DFF!A:A,DFF!B:B,"",-1)</f>
        <v>3.64</v>
      </c>
      <c r="M2447">
        <f>_xlfn.XLOOKUP(A2447,'DGS2'!A:A,'DGS2'!B:B,"",-1)</f>
        <v>3.44</v>
      </c>
      <c r="N2447">
        <f t="shared" si="307"/>
        <v>-4.0000000000000036E-2</v>
      </c>
      <c r="O2447">
        <f t="shared" si="308"/>
        <v>4.5504173154282679E-3</v>
      </c>
      <c r="P2447">
        <f t="shared" si="309"/>
        <v>1</v>
      </c>
      <c r="Q2447">
        <f t="shared" si="310"/>
        <v>1</v>
      </c>
    </row>
    <row r="2448" spans="1:17">
      <c r="A2448" s="1">
        <v>46014</v>
      </c>
      <c r="B2448">
        <v>6909.79</v>
      </c>
      <c r="C2448">
        <f t="shared" si="304"/>
        <v>4.5504173154282679E-3</v>
      </c>
      <c r="D2448">
        <f t="shared" si="311"/>
        <v>1.9931333360886594E-2</v>
      </c>
      <c r="E2448">
        <f>_xlfn.XLOOKUP(A2448,VIX!A:A,VIX!B:B,"",-1)</f>
        <v>14</v>
      </c>
      <c r="F2448">
        <f t="shared" si="305"/>
        <v>-8.0000000000000071E-2</v>
      </c>
      <c r="G2448">
        <f>_xlfn.XLOOKUP(A2448,'DGS10'!A:A,'DGS10'!B:B,"",-1)</f>
        <v>4.18</v>
      </c>
      <c r="H2448">
        <f t="shared" si="306"/>
        <v>9.9999999999997868E-3</v>
      </c>
      <c r="I2448" s="2">
        <f>_xlfn.XLOOKUP(A2448,T10Y3M!A:A,T10Y3M!B:B,"",-1)</f>
        <v>0.53</v>
      </c>
      <c r="J2448" s="2">
        <f>_xlfn.XLOOKUP(A2448,BAMLC0A4CBBB!A:A,BAMLC0A4CBBB!B:B,"",-1)</f>
        <v>1.01</v>
      </c>
      <c r="K2448" s="2">
        <f>_xlfn.XLOOKUP(A2448,CPIAUCSL!A:A,CPIAUCSL!B:B,"",-1)</f>
        <v>326.03100000000001</v>
      </c>
      <c r="L2448">
        <f>_xlfn.XLOOKUP(A2448,DFF!A:A,DFF!B:B,"",-1)</f>
        <v>3.64</v>
      </c>
      <c r="M2448">
        <f>_xlfn.XLOOKUP(A2448,'DGS2'!A:A,'DGS2'!B:B,"",-1)</f>
        <v>3.48</v>
      </c>
      <c r="N2448">
        <f t="shared" si="307"/>
        <v>4.0000000000000036E-2</v>
      </c>
      <c r="O2448">
        <f t="shared" si="308"/>
        <v>3.2215161386959235E-3</v>
      </c>
      <c r="P2448">
        <f t="shared" si="309"/>
        <v>1</v>
      </c>
      <c r="Q2448">
        <f t="shared" si="310"/>
        <v>1</v>
      </c>
    </row>
    <row r="2449" spans="1:17">
      <c r="A2449" s="1">
        <v>46015</v>
      </c>
      <c r="B2449">
        <v>6932.05</v>
      </c>
      <c r="C2449">
        <f t="shared" si="304"/>
        <v>3.2215161386959235E-3</v>
      </c>
      <c r="D2449">
        <f t="shared" si="311"/>
        <v>1.4273172872924178E-2</v>
      </c>
      <c r="E2449">
        <f>_xlfn.XLOOKUP(A2449,VIX!A:A,VIX!B:B,"",-1)</f>
        <v>13.47</v>
      </c>
      <c r="F2449">
        <f t="shared" si="305"/>
        <v>-0.52999999999999936</v>
      </c>
      <c r="G2449">
        <f>_xlfn.XLOOKUP(A2449,'DGS10'!A:A,'DGS10'!B:B,"",-1)</f>
        <v>4.1500000000000004</v>
      </c>
      <c r="H2449">
        <f t="shared" si="306"/>
        <v>-2.9999999999999361E-2</v>
      </c>
      <c r="I2449" s="2">
        <f>_xlfn.XLOOKUP(A2449,T10Y3M!A:A,T10Y3M!B:B,"",-1)</f>
        <v>0.46</v>
      </c>
      <c r="J2449" s="2">
        <f>_xlfn.XLOOKUP(A2449,BAMLC0A4CBBB!A:A,BAMLC0A4CBBB!B:B,"",-1)</f>
        <v>1</v>
      </c>
      <c r="K2449" s="2">
        <f>_xlfn.XLOOKUP(A2449,CPIAUCSL!A:A,CPIAUCSL!B:B,"",-1)</f>
        <v>326.03100000000001</v>
      </c>
      <c r="L2449">
        <f>_xlfn.XLOOKUP(A2449,DFF!A:A,DFF!B:B,"",-1)</f>
        <v>3.64</v>
      </c>
      <c r="M2449">
        <f>_xlfn.XLOOKUP(A2449,'DGS2'!A:A,'DGS2'!B:B,"",-1)</f>
        <v>3.47</v>
      </c>
      <c r="N2449">
        <f t="shared" si="307"/>
        <v>-9.9999999999997868E-3</v>
      </c>
      <c r="O2449">
        <f t="shared" si="308"/>
        <v>-3.043832632483312E-4</v>
      </c>
      <c r="P2449">
        <f t="shared" si="309"/>
        <v>0</v>
      </c>
      <c r="Q2449">
        <f t="shared" si="310"/>
        <v>0</v>
      </c>
    </row>
    <row r="2450" spans="1:17">
      <c r="A2450" s="1">
        <v>46017</v>
      </c>
      <c r="B2450">
        <v>6929.94</v>
      </c>
      <c r="C2450">
        <f t="shared" si="304"/>
        <v>-3.043832632483312E-4</v>
      </c>
      <c r="D2450">
        <f t="shared" si="311"/>
        <v>7.4798393252006878E-3</v>
      </c>
      <c r="E2450">
        <f>_xlfn.XLOOKUP(A2450,VIX!A:A,VIX!B:B,"",-1)</f>
        <v>13.6</v>
      </c>
      <c r="F2450">
        <f t="shared" si="305"/>
        <v>0.12999999999999901</v>
      </c>
      <c r="G2450">
        <f>_xlfn.XLOOKUP(A2450,'DGS10'!A:A,'DGS10'!B:B,"",-1)</f>
        <v>4.1399999999999997</v>
      </c>
      <c r="H2450">
        <f t="shared" si="306"/>
        <v>-1.0000000000000675E-2</v>
      </c>
      <c r="I2450" s="2">
        <f>_xlfn.XLOOKUP(A2450,T10Y3M!A:A,T10Y3M!B:B,"",-1)</f>
        <v>0.5</v>
      </c>
      <c r="J2450" s="2">
        <f>_xlfn.XLOOKUP(A2450,BAMLC0A4CBBB!A:A,BAMLC0A4CBBB!B:B,"",-1)</f>
        <v>1</v>
      </c>
      <c r="K2450" s="2">
        <f>_xlfn.XLOOKUP(A2450,CPIAUCSL!A:A,CPIAUCSL!B:B,"",-1)</f>
        <v>326.03100000000001</v>
      </c>
      <c r="L2450">
        <f>_xlfn.XLOOKUP(A2450,DFF!A:A,DFF!B:B,"",-1)</f>
        <v>3.64</v>
      </c>
      <c r="M2450">
        <f>_xlfn.XLOOKUP(A2450,'DGS2'!A:A,'DGS2'!B:B,"",-1)</f>
        <v>3.46</v>
      </c>
      <c r="N2450">
        <f t="shared" si="307"/>
        <v>-1.0000000000000231E-2</v>
      </c>
      <c r="O2450">
        <f t="shared" si="308"/>
        <v>-3.4920937266411656E-3</v>
      </c>
      <c r="P2450">
        <f t="shared" si="309"/>
        <v>0</v>
      </c>
      <c r="Q2450">
        <f t="shared" si="310"/>
        <v>-1</v>
      </c>
    </row>
    <row r="2451" spans="1:17">
      <c r="A2451" s="1">
        <v>46020</v>
      </c>
      <c r="B2451">
        <v>6905.74</v>
      </c>
      <c r="C2451">
        <f t="shared" si="304"/>
        <v>-3.4920937266411656E-3</v>
      </c>
      <c r="D2451">
        <f t="shared" si="311"/>
        <v>-5.8612490394072125E-4</v>
      </c>
      <c r="E2451">
        <f>_xlfn.XLOOKUP(A2451,VIX!A:A,VIX!B:B,"",-1)</f>
        <v>14.2</v>
      </c>
      <c r="F2451">
        <f t="shared" si="305"/>
        <v>0.59999999999999964</v>
      </c>
      <c r="G2451">
        <f>_xlfn.XLOOKUP(A2451,'DGS10'!A:A,'DGS10'!B:B,"",-1)</f>
        <v>4.12</v>
      </c>
      <c r="H2451">
        <f t="shared" si="306"/>
        <v>-1.9999999999999574E-2</v>
      </c>
      <c r="I2451" s="2">
        <f>_xlfn.XLOOKUP(A2451,T10Y3M!A:A,T10Y3M!B:B,"",-1)</f>
        <v>0.44</v>
      </c>
      <c r="J2451" s="2">
        <f>_xlfn.XLOOKUP(A2451,BAMLC0A4CBBB!A:A,BAMLC0A4CBBB!B:B,"",-1)</f>
        <v>1</v>
      </c>
      <c r="K2451" s="2">
        <f>_xlfn.XLOOKUP(A2451,CPIAUCSL!A:A,CPIAUCSL!B:B,"",-1)</f>
        <v>326.03100000000001</v>
      </c>
      <c r="L2451">
        <f>_xlfn.XLOOKUP(A2451,DFF!A:A,DFF!B:B,"",-1)</f>
        <v>3.64</v>
      </c>
      <c r="M2451">
        <f>_xlfn.XLOOKUP(A2451,'DGS2'!A:A,'DGS2'!B:B,"",-1)</f>
        <v>3.45</v>
      </c>
      <c r="N2451">
        <f t="shared" si="307"/>
        <v>-9.9999999999997868E-3</v>
      </c>
      <c r="O2451">
        <f t="shared" si="308"/>
        <v>-1.3756671985912794E-3</v>
      </c>
      <c r="P2451">
        <f t="shared" si="309"/>
        <v>0</v>
      </c>
      <c r="Q2451">
        <f t="shared" si="310"/>
        <v>0</v>
      </c>
    </row>
    <row r="2452" spans="1:17">
      <c r="A2452" s="1">
        <v>46021</v>
      </c>
      <c r="B2452">
        <v>6896.24</v>
      </c>
      <c r="C2452">
        <f t="shared" si="304"/>
        <v>-1.3756671985912794E-3</v>
      </c>
      <c r="D2452">
        <f t="shared" si="311"/>
        <v>-5.1658600269761656E-3</v>
      </c>
      <c r="E2452">
        <f>_xlfn.XLOOKUP(A2452,VIX!A:A,VIX!B:B,"",-1)</f>
        <v>14.33</v>
      </c>
      <c r="F2452">
        <f t="shared" si="305"/>
        <v>0.13000000000000078</v>
      </c>
      <c r="G2452">
        <f>_xlfn.XLOOKUP(A2452,'DGS10'!A:A,'DGS10'!B:B,"",-1)</f>
        <v>4.1399999999999997</v>
      </c>
      <c r="H2452">
        <f t="shared" si="306"/>
        <v>1.9999999999999574E-2</v>
      </c>
      <c r="I2452" s="2">
        <f>_xlfn.XLOOKUP(A2452,T10Y3M!A:A,T10Y3M!B:B,"",-1)</f>
        <v>0.49</v>
      </c>
      <c r="J2452" s="2">
        <f>_xlfn.XLOOKUP(A2452,BAMLC0A4CBBB!A:A,BAMLC0A4CBBB!B:B,"",-1)</f>
        <v>1.01</v>
      </c>
      <c r="K2452" s="2">
        <f>_xlfn.XLOOKUP(A2452,CPIAUCSL!A:A,CPIAUCSL!B:B,"",-1)</f>
        <v>326.03100000000001</v>
      </c>
      <c r="L2452">
        <f>_xlfn.XLOOKUP(A2452,DFF!A:A,DFF!B:B,"",-1)</f>
        <v>3.64</v>
      </c>
      <c r="M2452">
        <f>_xlfn.XLOOKUP(A2452,'DGS2'!A:A,'DGS2'!B:B,"",-1)</f>
        <v>3.45</v>
      </c>
      <c r="N2452">
        <f t="shared" si="307"/>
        <v>0</v>
      </c>
      <c r="O2452">
        <f t="shared" si="308"/>
        <v>-7.3576325649918894E-3</v>
      </c>
      <c r="P2452">
        <f t="shared" si="309"/>
        <v>0</v>
      </c>
      <c r="Q2452">
        <f t="shared" si="310"/>
        <v>-1</v>
      </c>
    </row>
    <row r="2453" spans="1:17">
      <c r="A2453" s="1">
        <v>46022</v>
      </c>
      <c r="B2453">
        <v>6845.5</v>
      </c>
      <c r="C2453">
        <f t="shared" si="304"/>
        <v>-7.3576325649918894E-3</v>
      </c>
      <c r="D2453">
        <f t="shared" si="311"/>
        <v>-1.2184809680891862E-2</v>
      </c>
      <c r="E2453">
        <f>_xlfn.XLOOKUP(A2453,VIX!A:A,VIX!B:B,"",-1)</f>
        <v>14.95</v>
      </c>
      <c r="F2453">
        <f t="shared" si="305"/>
        <v>0.61999999999999922</v>
      </c>
      <c r="G2453">
        <f>_xlfn.XLOOKUP(A2453,'DGS10'!A:A,'DGS10'!B:B,"",-1)</f>
        <v>4.18</v>
      </c>
      <c r="H2453">
        <f t="shared" si="306"/>
        <v>4.0000000000000036E-2</v>
      </c>
      <c r="I2453" s="2">
        <f>_xlfn.XLOOKUP(A2453,T10Y3M!A:A,T10Y3M!B:B,"",-1)</f>
        <v>0.51</v>
      </c>
      <c r="J2453" s="2">
        <f>_xlfn.XLOOKUP(A2453,BAMLC0A4CBBB!A:A,BAMLC0A4CBBB!B:B,"",-1)</f>
        <v>1.01</v>
      </c>
      <c r="K2453" s="2">
        <f>_xlfn.XLOOKUP(A2453,CPIAUCSL!A:A,CPIAUCSL!B:B,"",-1)</f>
        <v>326.03100000000001</v>
      </c>
      <c r="L2453">
        <f>_xlfn.XLOOKUP(A2453,DFF!A:A,DFF!B:B,"",-1)</f>
        <v>3.64</v>
      </c>
      <c r="M2453">
        <f>_xlfn.XLOOKUP(A2453,'DGS2'!A:A,'DGS2'!B:B,"",-1)</f>
        <v>3.47</v>
      </c>
      <c r="N2453">
        <f t="shared" si="307"/>
        <v>2.0000000000000018E-2</v>
      </c>
      <c r="O2453">
        <f t="shared" si="308"/>
        <v>1.8946753341611E-3</v>
      </c>
      <c r="P2453">
        <f t="shared" si="309"/>
        <v>1</v>
      </c>
      <c r="Q2453">
        <f t="shared" si="310"/>
        <v>0</v>
      </c>
    </row>
    <row r="2454" spans="1:17">
      <c r="A2454" s="1">
        <v>46024</v>
      </c>
      <c r="B2454">
        <v>6858.47</v>
      </c>
      <c r="C2454">
        <f t="shared" si="304"/>
        <v>1.8946753341611E-3</v>
      </c>
      <c r="D2454">
        <f t="shared" si="311"/>
        <v>-6.8450303660432255E-3</v>
      </c>
      <c r="E2454">
        <f>_xlfn.XLOOKUP(A2454,VIX!A:A,VIX!B:B,"",-1)</f>
        <v>14.51</v>
      </c>
      <c r="F2454">
        <f t="shared" si="305"/>
        <v>-0.4399999999999995</v>
      </c>
      <c r="G2454">
        <f>_xlfn.XLOOKUP(A2454,'DGS10'!A:A,'DGS10'!B:B,"",-1)</f>
        <v>4.1900000000000004</v>
      </c>
      <c r="H2454">
        <f t="shared" si="306"/>
        <v>1.0000000000000675E-2</v>
      </c>
      <c r="I2454" s="2">
        <f>_xlfn.XLOOKUP(A2454,T10Y3M!A:A,T10Y3M!B:B,"",-1)</f>
        <v>0.54</v>
      </c>
      <c r="J2454" s="2">
        <f>_xlfn.XLOOKUP(A2454,BAMLC0A4CBBB!A:A,BAMLC0A4CBBB!B:B,"",-1)</f>
        <v>1.01</v>
      </c>
      <c r="K2454" s="2">
        <f>_xlfn.XLOOKUP(A2454,CPIAUCSL!A:A,CPIAUCSL!B:B,"",-1)</f>
        <v>326.58800000000002</v>
      </c>
      <c r="L2454">
        <f>_xlfn.XLOOKUP(A2454,DFF!A:A,DFF!B:B,"",-1)</f>
        <v>3.64</v>
      </c>
      <c r="M2454">
        <f>_xlfn.XLOOKUP(A2454,'DGS2'!A:A,'DGS2'!B:B,"",-1)</f>
        <v>3.47</v>
      </c>
      <c r="N2454">
        <f t="shared" si="307"/>
        <v>0</v>
      </c>
      <c r="O2454">
        <f t="shared" si="308"/>
        <v>6.3541868667500445E-3</v>
      </c>
      <c r="P2454">
        <f t="shared" si="309"/>
        <v>1</v>
      </c>
      <c r="Q2454">
        <f t="shared" si="310"/>
        <v>1</v>
      </c>
    </row>
    <row r="2455" spans="1:17">
      <c r="A2455" s="1">
        <v>46027</v>
      </c>
      <c r="B2455">
        <v>6902.05</v>
      </c>
      <c r="C2455">
        <f t="shared" si="304"/>
        <v>6.3541868667500445E-3</v>
      </c>
      <c r="D2455">
        <f t="shared" si="311"/>
        <v>8.424880804613899E-4</v>
      </c>
      <c r="E2455">
        <f>_xlfn.XLOOKUP(A2455,VIX!A:A,VIX!B:B,"",-1)</f>
        <v>14.9</v>
      </c>
      <c r="F2455">
        <f t="shared" si="305"/>
        <v>0.39000000000000057</v>
      </c>
      <c r="G2455">
        <f>_xlfn.XLOOKUP(A2455,'DGS10'!A:A,'DGS10'!B:B,"",-1)</f>
        <v>4.17</v>
      </c>
      <c r="H2455">
        <f t="shared" si="306"/>
        <v>-2.0000000000000462E-2</v>
      </c>
      <c r="I2455" s="2">
        <f>_xlfn.XLOOKUP(A2455,T10Y3M!A:A,T10Y3M!B:B,"",-1)</f>
        <v>0.53</v>
      </c>
      <c r="J2455" s="2">
        <f>_xlfn.XLOOKUP(A2455,BAMLC0A4CBBB!A:A,BAMLC0A4CBBB!B:B,"",-1)</f>
        <v>1.01</v>
      </c>
      <c r="K2455" s="2">
        <f>_xlfn.XLOOKUP(A2455,CPIAUCSL!A:A,CPIAUCSL!B:B,"",-1)</f>
        <v>326.58800000000002</v>
      </c>
      <c r="L2455">
        <f>_xlfn.XLOOKUP(A2455,DFF!A:A,DFF!B:B,"",-1)</f>
        <v>3.64</v>
      </c>
      <c r="M2455">
        <f>_xlfn.XLOOKUP(A2455,'DGS2'!A:A,'DGS2'!B:B,"",-1)</f>
        <v>3.46</v>
      </c>
      <c r="N2455">
        <f t="shared" si="307"/>
        <v>-1.0000000000000231E-2</v>
      </c>
      <c r="O2455">
        <f t="shared" si="308"/>
        <v>6.1967096732129523E-3</v>
      </c>
      <c r="P2455">
        <f t="shared" si="309"/>
        <v>1</v>
      </c>
      <c r="Q2455">
        <f t="shared" si="310"/>
        <v>1</v>
      </c>
    </row>
    <row r="2456" spans="1:17">
      <c r="A2456" s="1">
        <v>46028</v>
      </c>
      <c r="B2456">
        <v>6944.82</v>
      </c>
      <c r="C2456">
        <f t="shared" si="304"/>
        <v>6.1967096732129523E-3</v>
      </c>
      <c r="D2456">
        <f t="shared" si="311"/>
        <v>1.4508801402381089E-2</v>
      </c>
      <c r="E2456">
        <f>_xlfn.XLOOKUP(A2456,VIX!A:A,VIX!B:B,"",-1)</f>
        <v>14.75</v>
      </c>
      <c r="F2456">
        <f t="shared" si="305"/>
        <v>-0.15000000000000036</v>
      </c>
      <c r="G2456">
        <f>_xlfn.XLOOKUP(A2456,'DGS10'!A:A,'DGS10'!B:B,"",-1)</f>
        <v>4.18</v>
      </c>
      <c r="H2456">
        <f t="shared" si="306"/>
        <v>9.9999999999997868E-3</v>
      </c>
      <c r="I2456" s="2">
        <f>_xlfn.XLOOKUP(A2456,T10Y3M!A:A,T10Y3M!B:B,"",-1)</f>
        <v>0.55000000000000004</v>
      </c>
      <c r="J2456" s="2">
        <f>_xlfn.XLOOKUP(A2456,BAMLC0A4CBBB!A:A,BAMLC0A4CBBB!B:B,"",-1)</f>
        <v>1</v>
      </c>
      <c r="K2456" s="2">
        <f>_xlfn.XLOOKUP(A2456,CPIAUCSL!A:A,CPIAUCSL!B:B,"",-1)</f>
        <v>326.58800000000002</v>
      </c>
      <c r="L2456">
        <f>_xlfn.XLOOKUP(A2456,DFF!A:A,DFF!B:B,"",-1)</f>
        <v>3.64</v>
      </c>
      <c r="M2456">
        <f>_xlfn.XLOOKUP(A2456,'DGS2'!A:A,'DGS2'!B:B,"",-1)</f>
        <v>3.47</v>
      </c>
      <c r="N2456">
        <f t="shared" si="307"/>
        <v>1.0000000000000231E-2</v>
      </c>
      <c r="O2456">
        <f t="shared" si="308"/>
        <v>-3.4399739662078765E-3</v>
      </c>
      <c r="P2456">
        <f t="shared" si="309"/>
        <v>0</v>
      </c>
      <c r="Q2456">
        <f t="shared" si="310"/>
        <v>-1</v>
      </c>
    </row>
    <row r="2457" spans="1:17">
      <c r="A2457" s="1">
        <v>46029</v>
      </c>
      <c r="B2457">
        <v>6920.93</v>
      </c>
      <c r="C2457">
        <f t="shared" si="304"/>
        <v>-3.4399739662078765E-3</v>
      </c>
      <c r="D2457">
        <f t="shared" si="311"/>
        <v>9.1069874184768196E-3</v>
      </c>
      <c r="E2457">
        <f>_xlfn.XLOOKUP(A2457,VIX!A:A,VIX!B:B,"",-1)</f>
        <v>15.38</v>
      </c>
      <c r="F2457">
        <f t="shared" si="305"/>
        <v>0.63000000000000078</v>
      </c>
      <c r="G2457">
        <f>_xlfn.XLOOKUP(A2457,'DGS10'!A:A,'DGS10'!B:B,"",-1)</f>
        <v>4.1500000000000004</v>
      </c>
      <c r="H2457">
        <f t="shared" si="306"/>
        <v>-2.9999999999999361E-2</v>
      </c>
      <c r="I2457" s="2">
        <f>_xlfn.XLOOKUP(A2457,T10Y3M!A:A,T10Y3M!B:B,"",-1)</f>
        <v>0.53</v>
      </c>
      <c r="J2457" s="2">
        <f>_xlfn.XLOOKUP(A2457,BAMLC0A4CBBB!A:A,BAMLC0A4CBBB!B:B,"",-1)</f>
        <v>1.01</v>
      </c>
      <c r="K2457" s="2">
        <f>_xlfn.XLOOKUP(A2457,CPIAUCSL!A:A,CPIAUCSL!B:B,"",-1)</f>
        <v>326.58800000000002</v>
      </c>
      <c r="L2457">
        <f>_xlfn.XLOOKUP(A2457,DFF!A:A,DFF!B:B,"",-1)</f>
        <v>3.64</v>
      </c>
      <c r="M2457">
        <f>_xlfn.XLOOKUP(A2457,'DGS2'!A:A,'DGS2'!B:B,"",-1)</f>
        <v>3.47</v>
      </c>
      <c r="N2457">
        <f t="shared" si="307"/>
        <v>0</v>
      </c>
      <c r="O2457">
        <f t="shared" si="308"/>
        <v>7.6579303648571795E-5</v>
      </c>
      <c r="P2457">
        <f t="shared" si="309"/>
        <v>1</v>
      </c>
      <c r="Q2457">
        <f t="shared" si="310"/>
        <v>0</v>
      </c>
    </row>
    <row r="2458" spans="1:17">
      <c r="A2458" s="1">
        <v>46030</v>
      </c>
      <c r="B2458">
        <v>6921.46</v>
      </c>
      <c r="C2458">
        <f t="shared" si="304"/>
        <v>7.6579303648571795E-5</v>
      </c>
      <c r="D2458">
        <f t="shared" si="311"/>
        <v>2.8122079671981659E-3</v>
      </c>
      <c r="E2458">
        <f>_xlfn.XLOOKUP(A2458,VIX!A:A,VIX!B:B,"",-1)</f>
        <v>15.45</v>
      </c>
      <c r="F2458">
        <f t="shared" si="305"/>
        <v>6.9999999999998508E-2</v>
      </c>
      <c r="G2458">
        <f>_xlfn.XLOOKUP(A2458,'DGS10'!A:A,'DGS10'!B:B,"",-1)</f>
        <v>4.1900000000000004</v>
      </c>
      <c r="H2458">
        <f t="shared" si="306"/>
        <v>4.0000000000000036E-2</v>
      </c>
      <c r="I2458" s="2">
        <f>_xlfn.XLOOKUP(A2458,T10Y3M!A:A,T10Y3M!B:B,"",-1)</f>
        <v>0.56999999999999995</v>
      </c>
      <c r="J2458" s="2">
        <f>_xlfn.XLOOKUP(A2458,BAMLC0A4CBBB!A:A,BAMLC0A4CBBB!B:B,"",-1)</f>
        <v>1.01</v>
      </c>
      <c r="K2458" s="2">
        <f>_xlfn.XLOOKUP(A2458,CPIAUCSL!A:A,CPIAUCSL!B:B,"",-1)</f>
        <v>326.58800000000002</v>
      </c>
      <c r="L2458">
        <f>_xlfn.XLOOKUP(A2458,DFF!A:A,DFF!B:B,"",-1)</f>
        <v>3.64</v>
      </c>
      <c r="M2458">
        <f>_xlfn.XLOOKUP(A2458,'DGS2'!A:A,'DGS2'!B:B,"",-1)</f>
        <v>3.49</v>
      </c>
      <c r="N2458">
        <f t="shared" si="307"/>
        <v>2.0000000000000018E-2</v>
      </c>
      <c r="O2458">
        <f t="shared" si="308"/>
        <v>6.4755123918942559E-3</v>
      </c>
      <c r="P2458">
        <f t="shared" si="309"/>
        <v>1</v>
      </c>
      <c r="Q2458">
        <f t="shared" si="310"/>
        <v>1</v>
      </c>
    </row>
    <row r="2459" spans="1:17">
      <c r="A2459" s="1">
        <v>46031</v>
      </c>
      <c r="B2459">
        <v>6966.28</v>
      </c>
      <c r="C2459">
        <f t="shared" si="304"/>
        <v>6.4755123918942559E-3</v>
      </c>
      <c r="D2459">
        <f t="shared" si="311"/>
        <v>3.0900728888580975E-3</v>
      </c>
      <c r="E2459">
        <f>_xlfn.XLOOKUP(A2459,VIX!A:A,VIX!B:B,"",-1)</f>
        <v>14.49</v>
      </c>
      <c r="F2459">
        <f t="shared" si="305"/>
        <v>-0.95999999999999908</v>
      </c>
      <c r="G2459">
        <f>_xlfn.XLOOKUP(A2459,'DGS10'!A:A,'DGS10'!B:B,"",-1)</f>
        <v>4.18</v>
      </c>
      <c r="H2459">
        <f t="shared" si="306"/>
        <v>-1.0000000000000675E-2</v>
      </c>
      <c r="I2459" s="2">
        <f>_xlfn.XLOOKUP(A2459,T10Y3M!A:A,T10Y3M!B:B,"",-1)</f>
        <v>0.56000000000000005</v>
      </c>
      <c r="J2459" s="2">
        <f>_xlfn.XLOOKUP(A2459,BAMLC0A4CBBB!A:A,BAMLC0A4CBBB!B:B,"",-1)</f>
        <v>0.99</v>
      </c>
      <c r="K2459" s="2">
        <f>_xlfn.XLOOKUP(A2459,CPIAUCSL!A:A,CPIAUCSL!B:B,"",-1)</f>
        <v>326.58800000000002</v>
      </c>
      <c r="L2459">
        <f>_xlfn.XLOOKUP(A2459,DFF!A:A,DFF!B:B,"",-1)</f>
        <v>3.64</v>
      </c>
      <c r="M2459">
        <f>_xlfn.XLOOKUP(A2459,'DGS2'!A:A,'DGS2'!B:B,"",-1)</f>
        <v>3.54</v>
      </c>
      <c r="N2459">
        <f t="shared" si="307"/>
        <v>4.9999999999999822E-2</v>
      </c>
      <c r="O2459">
        <f t="shared" si="308"/>
        <v>1.5775995222702122E-3</v>
      </c>
      <c r="P2459">
        <f t="shared" si="309"/>
        <v>1</v>
      </c>
      <c r="Q2459">
        <f t="shared" si="310"/>
        <v>0</v>
      </c>
    </row>
    <row r="2460" spans="1:17">
      <c r="A2460" s="1">
        <v>46034</v>
      </c>
      <c r="B2460">
        <v>6977.27</v>
      </c>
      <c r="C2460">
        <f t="shared" si="304"/>
        <v>1.5775995222702122E-3</v>
      </c>
      <c r="D2460">
        <f t="shared" si="311"/>
        <v>8.1405244670875732E-3</v>
      </c>
      <c r="E2460">
        <f>_xlfn.XLOOKUP(A2460,VIX!A:A,VIX!B:B,"",-1)</f>
        <v>15.12</v>
      </c>
      <c r="F2460">
        <f t="shared" si="305"/>
        <v>0.62999999999999901</v>
      </c>
      <c r="G2460">
        <f>_xlfn.XLOOKUP(A2460,'DGS10'!A:A,'DGS10'!B:B,"",-1)</f>
        <v>4.1900000000000004</v>
      </c>
      <c r="H2460">
        <f t="shared" si="306"/>
        <v>1.0000000000000675E-2</v>
      </c>
      <c r="I2460" s="2">
        <f>_xlfn.XLOOKUP(A2460,T10Y3M!A:A,T10Y3M!B:B,"",-1)</f>
        <v>0.52</v>
      </c>
      <c r="J2460" s="2">
        <f>_xlfn.XLOOKUP(A2460,BAMLC0A4CBBB!A:A,BAMLC0A4CBBB!B:B,"",-1)</f>
        <v>0.99</v>
      </c>
      <c r="K2460" s="2">
        <f>_xlfn.XLOOKUP(A2460,CPIAUCSL!A:A,CPIAUCSL!B:B,"",-1)</f>
        <v>326.58800000000002</v>
      </c>
      <c r="L2460">
        <f>_xlfn.XLOOKUP(A2460,DFF!A:A,DFF!B:B,"",-1)</f>
        <v>3.64</v>
      </c>
      <c r="M2460">
        <f>_xlfn.XLOOKUP(A2460,'DGS2'!A:A,'DGS2'!B:B,"",-1)</f>
        <v>3.54</v>
      </c>
      <c r="N2460">
        <f t="shared" si="307"/>
        <v>0</v>
      </c>
      <c r="O2460">
        <f t="shared" si="308"/>
        <v>-1.9391538524380358E-3</v>
      </c>
      <c r="P2460">
        <f t="shared" si="309"/>
        <v>0</v>
      </c>
      <c r="Q2460">
        <f t="shared" si="310"/>
        <v>0</v>
      </c>
    </row>
    <row r="2461" spans="1:17">
      <c r="A2461" s="1">
        <v>46035</v>
      </c>
      <c r="B2461">
        <v>6963.74</v>
      </c>
      <c r="C2461">
        <f t="shared" si="304"/>
        <v>-1.9391538524380358E-3</v>
      </c>
      <c r="D2461">
        <f t="shared" si="311"/>
        <v>6.1085377940492958E-3</v>
      </c>
      <c r="E2461">
        <f>_xlfn.XLOOKUP(A2461,VIX!A:A,VIX!B:B,"",-1)</f>
        <v>15.98</v>
      </c>
      <c r="F2461">
        <f t="shared" si="305"/>
        <v>0.86000000000000121</v>
      </c>
      <c r="G2461">
        <f>_xlfn.XLOOKUP(A2461,'DGS10'!A:A,'DGS10'!B:B,"",-1)</f>
        <v>4.18</v>
      </c>
      <c r="H2461">
        <f t="shared" si="306"/>
        <v>-1.0000000000000675E-2</v>
      </c>
      <c r="I2461" s="2">
        <f>_xlfn.XLOOKUP(A2461,T10Y3M!A:A,T10Y3M!B:B,"",-1)</f>
        <v>0.51</v>
      </c>
      <c r="J2461" s="2">
        <f>_xlfn.XLOOKUP(A2461,BAMLC0A4CBBB!A:A,BAMLC0A4CBBB!B:B,"",-1)</f>
        <v>0.98</v>
      </c>
      <c r="K2461" s="2">
        <f>_xlfn.XLOOKUP(A2461,CPIAUCSL!A:A,CPIAUCSL!B:B,"",-1)</f>
        <v>326.58800000000002</v>
      </c>
      <c r="L2461">
        <f>_xlfn.XLOOKUP(A2461,DFF!A:A,DFF!B:B,"",-1)</f>
        <v>3.64</v>
      </c>
      <c r="M2461">
        <f>_xlfn.XLOOKUP(A2461,'DGS2'!A:A,'DGS2'!B:B,"",-1)</f>
        <v>3.53</v>
      </c>
      <c r="N2461">
        <f t="shared" si="307"/>
        <v>-1.0000000000000231E-2</v>
      </c>
      <c r="O2461">
        <f t="shared" si="308"/>
        <v>-5.3333409920530706E-3</v>
      </c>
      <c r="P2461">
        <f t="shared" si="309"/>
        <v>0</v>
      </c>
      <c r="Q2461">
        <f t="shared" si="310"/>
        <v>-1</v>
      </c>
    </row>
    <row r="2462" spans="1:17">
      <c r="A2462" s="1">
        <v>46036</v>
      </c>
      <c r="B2462">
        <v>6926.6</v>
      </c>
      <c r="C2462">
        <f t="shared" si="304"/>
        <v>-5.3333409920530706E-3</v>
      </c>
      <c r="D2462">
        <f t="shared" si="311"/>
        <v>-5.6960099220817462E-3</v>
      </c>
      <c r="E2462">
        <f>_xlfn.XLOOKUP(A2462,VIX!A:A,VIX!B:B,"",-1)</f>
        <v>16.75</v>
      </c>
      <c r="F2462">
        <f t="shared" si="305"/>
        <v>0.76999999999999957</v>
      </c>
      <c r="G2462">
        <f>_xlfn.XLOOKUP(A2462,'DGS10'!A:A,'DGS10'!B:B,"",-1)</f>
        <v>4.1500000000000004</v>
      </c>
      <c r="H2462">
        <f t="shared" si="306"/>
        <v>-2.9999999999999361E-2</v>
      </c>
      <c r="I2462" s="2">
        <f>_xlfn.XLOOKUP(A2462,T10Y3M!A:A,T10Y3M!B:B,"",-1)</f>
        <v>0.48</v>
      </c>
      <c r="J2462" s="2">
        <f>_xlfn.XLOOKUP(A2462,BAMLC0A4CBBB!A:A,BAMLC0A4CBBB!B:B,"",-1)</f>
        <v>0.98</v>
      </c>
      <c r="K2462" s="2">
        <f>_xlfn.XLOOKUP(A2462,CPIAUCSL!A:A,CPIAUCSL!B:B,"",-1)</f>
        <v>326.58800000000002</v>
      </c>
      <c r="L2462">
        <f>_xlfn.XLOOKUP(A2462,DFF!A:A,DFF!B:B,"",-1)</f>
        <v>3.64</v>
      </c>
      <c r="M2462">
        <f>_xlfn.XLOOKUP(A2462,'DGS2'!A:A,'DGS2'!B:B,"",-1)</f>
        <v>3.51</v>
      </c>
      <c r="N2462">
        <f t="shared" si="307"/>
        <v>-2.0000000000000018E-2</v>
      </c>
      <c r="O2462">
        <f t="shared" si="308"/>
        <v>2.579909335027164E-3</v>
      </c>
      <c r="P2462">
        <f t="shared" si="309"/>
        <v>1</v>
      </c>
      <c r="Q2462">
        <f t="shared" si="310"/>
        <v>0</v>
      </c>
    </row>
    <row r="2463" spans="1:17">
      <c r="A2463" s="1">
        <v>46037</v>
      </c>
      <c r="B2463">
        <v>6944.47</v>
      </c>
      <c r="C2463">
        <f t="shared" si="304"/>
        <v>2.579909335027164E-3</v>
      </c>
      <c r="D2463">
        <f t="shared" si="311"/>
        <v>-4.7009790362133597E-3</v>
      </c>
      <c r="E2463">
        <f>_xlfn.XLOOKUP(A2463,VIX!A:A,VIX!B:B,"",-1)</f>
        <v>15.84</v>
      </c>
      <c r="F2463">
        <f t="shared" si="305"/>
        <v>-0.91000000000000014</v>
      </c>
      <c r="G2463">
        <f>_xlfn.XLOOKUP(A2463,'DGS10'!A:A,'DGS10'!B:B,"",-1)</f>
        <v>4.17</v>
      </c>
      <c r="H2463">
        <f t="shared" si="306"/>
        <v>1.9999999999999574E-2</v>
      </c>
      <c r="I2463" s="2">
        <f>_xlfn.XLOOKUP(A2463,T10Y3M!A:A,T10Y3M!B:B,"",-1)</f>
        <v>0.49</v>
      </c>
      <c r="J2463" s="2">
        <f>_xlfn.XLOOKUP(A2463,BAMLC0A4CBBB!A:A,BAMLC0A4CBBB!B:B,"",-1)</f>
        <v>0.97</v>
      </c>
      <c r="K2463" s="2">
        <f>_xlfn.XLOOKUP(A2463,CPIAUCSL!A:A,CPIAUCSL!B:B,"",-1)</f>
        <v>326.58800000000002</v>
      </c>
      <c r="L2463">
        <f>_xlfn.XLOOKUP(A2463,DFF!A:A,DFF!B:B,"",-1)</f>
        <v>3.64</v>
      </c>
      <c r="M2463">
        <f>_xlfn.XLOOKUP(A2463,'DGS2'!A:A,'DGS2'!B:B,"",-1)</f>
        <v>3.56</v>
      </c>
      <c r="N2463">
        <f t="shared" si="307"/>
        <v>5.0000000000000266E-2</v>
      </c>
      <c r="O2463">
        <f t="shared" si="308"/>
        <v>-6.4223763656545696E-4</v>
      </c>
      <c r="P2463">
        <f t="shared" si="309"/>
        <v>0</v>
      </c>
      <c r="Q2463">
        <f t="shared" si="310"/>
        <v>0</v>
      </c>
    </row>
    <row r="2464" spans="1:17">
      <c r="A2464" s="1">
        <v>46038</v>
      </c>
      <c r="B2464">
        <v>6940.01</v>
      </c>
      <c r="C2464">
        <f t="shared" si="304"/>
        <v>-6.4223763656545696E-4</v>
      </c>
      <c r="D2464">
        <f t="shared" si="311"/>
        <v>-3.4076516354716313E-3</v>
      </c>
      <c r="E2464">
        <f>_xlfn.XLOOKUP(A2464,VIX!A:A,VIX!B:B,"",-1)</f>
        <v>15.86</v>
      </c>
      <c r="F2464">
        <f t="shared" si="305"/>
        <v>1.9999999999999574E-2</v>
      </c>
      <c r="G2464">
        <f>_xlfn.XLOOKUP(A2464,'DGS10'!A:A,'DGS10'!B:B,"",-1)</f>
        <v>4.24</v>
      </c>
      <c r="H2464">
        <f t="shared" si="306"/>
        <v>7.0000000000000284E-2</v>
      </c>
      <c r="I2464" s="2">
        <f>_xlfn.XLOOKUP(A2464,T10Y3M!A:A,T10Y3M!B:B,"",-1)</f>
        <v>0.56999999999999995</v>
      </c>
      <c r="J2464" s="2">
        <f>_xlfn.XLOOKUP(A2464,BAMLC0A4CBBB!A:A,BAMLC0A4CBBB!B:B,"",-1)</f>
        <v>0.96</v>
      </c>
      <c r="K2464" s="2">
        <f>_xlfn.XLOOKUP(A2464,CPIAUCSL!A:A,CPIAUCSL!B:B,"",-1)</f>
        <v>326.58800000000002</v>
      </c>
      <c r="L2464">
        <f>_xlfn.XLOOKUP(A2464,DFF!A:A,DFF!B:B,"",-1)</f>
        <v>3.64</v>
      </c>
      <c r="M2464">
        <f>_xlfn.XLOOKUP(A2464,'DGS2'!A:A,'DGS2'!B:B,"",-1)</f>
        <v>3.59</v>
      </c>
      <c r="N2464">
        <f t="shared" si="307"/>
        <v>2.9999999999999805E-2</v>
      </c>
      <c r="O2464">
        <f t="shared" si="308"/>
        <v>-2.0626771431165203E-2</v>
      </c>
      <c r="P2464">
        <f t="shared" si="309"/>
        <v>0</v>
      </c>
      <c r="Q2464">
        <f t="shared" si="310"/>
        <v>-1</v>
      </c>
    </row>
    <row r="2465" spans="1:17">
      <c r="A2465" s="1">
        <v>46042</v>
      </c>
      <c r="B2465">
        <v>6796.86</v>
      </c>
      <c r="C2465">
        <f t="shared" si="304"/>
        <v>-2.0626771431165203E-2</v>
      </c>
      <c r="D2465">
        <f t="shared" si="311"/>
        <v>-1.8730690382005699E-2</v>
      </c>
      <c r="E2465">
        <f>_xlfn.XLOOKUP(A2465,VIX!A:A,VIX!B:B,"",-1)</f>
        <v>20.09</v>
      </c>
      <c r="F2465">
        <f t="shared" si="305"/>
        <v>4.2300000000000004</v>
      </c>
      <c r="G2465">
        <f>_xlfn.XLOOKUP(A2465,'DGS10'!A:A,'DGS10'!B:B,"",-1)</f>
        <v>4.3</v>
      </c>
      <c r="H2465">
        <f t="shared" si="306"/>
        <v>5.9999999999999609E-2</v>
      </c>
      <c r="I2465" s="2">
        <f>_xlfn.XLOOKUP(A2465,T10Y3M!A:A,T10Y3M!B:B,"",-1)</f>
        <v>0.6</v>
      </c>
      <c r="J2465" s="2">
        <f>_xlfn.XLOOKUP(A2465,BAMLC0A4CBBB!A:A,BAMLC0A4CBBB!B:B,"",-1)</f>
        <v>0.96</v>
      </c>
      <c r="K2465" s="2">
        <f>_xlfn.XLOOKUP(A2465,CPIAUCSL!A:A,CPIAUCSL!B:B,"",-1)</f>
        <v>326.58800000000002</v>
      </c>
      <c r="L2465">
        <f>_xlfn.XLOOKUP(A2465,DFF!A:A,DFF!B:B,"",-1)</f>
        <v>3.64</v>
      </c>
      <c r="M2465">
        <f>_xlfn.XLOOKUP(A2465,'DGS2'!A:A,'DGS2'!B:B,"",-1)</f>
        <v>3.6</v>
      </c>
      <c r="N2465">
        <f t="shared" si="307"/>
        <v>1.0000000000000231E-2</v>
      </c>
      <c r="O2465">
        <f t="shared" si="308"/>
        <v>1.1587703733783039E-2</v>
      </c>
      <c r="P2465">
        <f t="shared" si="309"/>
        <v>1</v>
      </c>
      <c r="Q2465">
        <f t="shared" si="310"/>
        <v>1</v>
      </c>
    </row>
    <row r="2466" spans="1:17">
      <c r="A2466" s="1">
        <v>46043</v>
      </c>
      <c r="B2466">
        <v>6875.62</v>
      </c>
      <c r="C2466">
        <f t="shared" si="304"/>
        <v>1.1587703733783039E-2</v>
      </c>
      <c r="D2466">
        <f t="shared" si="311"/>
        <v>-9.9143635151422993E-3</v>
      </c>
      <c r="E2466">
        <f>_xlfn.XLOOKUP(A2466,VIX!A:A,VIX!B:B,"",-1)</f>
        <v>16.899999999999999</v>
      </c>
      <c r="F2466">
        <f t="shared" si="305"/>
        <v>-3.1900000000000013</v>
      </c>
      <c r="G2466">
        <f>_xlfn.XLOOKUP(A2466,'DGS10'!A:A,'DGS10'!B:B,"",-1)</f>
        <v>4.26</v>
      </c>
      <c r="H2466">
        <f t="shared" si="306"/>
        <v>-4.0000000000000036E-2</v>
      </c>
      <c r="I2466" s="2">
        <f>_xlfn.XLOOKUP(A2466,T10Y3M!A:A,T10Y3M!B:B,"",-1)</f>
        <v>0.56000000000000005</v>
      </c>
      <c r="J2466" s="2">
        <f>_xlfn.XLOOKUP(A2466,BAMLC0A4CBBB!A:A,BAMLC0A4CBBB!B:B,"",-1)</f>
        <v>0.95</v>
      </c>
      <c r="K2466" s="2">
        <f>_xlfn.XLOOKUP(A2466,CPIAUCSL!A:A,CPIAUCSL!B:B,"",-1)</f>
        <v>326.58800000000002</v>
      </c>
      <c r="L2466">
        <f>_xlfn.XLOOKUP(A2466,DFF!A:A,DFF!B:B,"",-1)</f>
        <v>3.64</v>
      </c>
      <c r="M2466">
        <f>_xlfn.XLOOKUP(A2466,'DGS2'!A:A,'DGS2'!B:B,"",-1)</f>
        <v>3.6</v>
      </c>
      <c r="N2466">
        <f t="shared" si="307"/>
        <v>0</v>
      </c>
      <c r="O2466">
        <f t="shared" si="308"/>
        <v>5.4875051268103991E-3</v>
      </c>
      <c r="P2466">
        <f t="shared" si="309"/>
        <v>1</v>
      </c>
      <c r="Q2466">
        <f t="shared" si="310"/>
        <v>1</v>
      </c>
    </row>
    <row r="2467" spans="1:17">
      <c r="A2467" s="1">
        <v>46044</v>
      </c>
      <c r="B2467">
        <v>6913.35</v>
      </c>
      <c r="C2467">
        <f t="shared" si="304"/>
        <v>5.4875051268103991E-3</v>
      </c>
      <c r="D2467">
        <f t="shared" si="311"/>
        <v>-3.8414930237852252E-3</v>
      </c>
      <c r="E2467">
        <f>_xlfn.XLOOKUP(A2467,VIX!A:A,VIX!B:B,"",-1)</f>
        <v>15.64</v>
      </c>
      <c r="F2467">
        <f t="shared" si="305"/>
        <v>-1.259999999999998</v>
      </c>
      <c r="G2467">
        <f>_xlfn.XLOOKUP(A2467,'DGS10'!A:A,'DGS10'!B:B,"",-1)</f>
        <v>4.26</v>
      </c>
      <c r="H2467">
        <f t="shared" si="306"/>
        <v>0</v>
      </c>
      <c r="I2467" s="2">
        <f>_xlfn.XLOOKUP(A2467,T10Y3M!A:A,T10Y3M!B:B,"",-1)</f>
        <v>0.55000000000000004</v>
      </c>
      <c r="J2467" s="2">
        <f>_xlfn.XLOOKUP(A2467,BAMLC0A4CBBB!A:A,BAMLC0A4CBBB!B:B,"",-1)</f>
        <v>0.93</v>
      </c>
      <c r="K2467" s="2">
        <f>_xlfn.XLOOKUP(A2467,CPIAUCSL!A:A,CPIAUCSL!B:B,"",-1)</f>
        <v>326.58800000000002</v>
      </c>
      <c r="L2467">
        <f>_xlfn.XLOOKUP(A2467,DFF!A:A,DFF!B:B,"",-1)</f>
        <v>3.64</v>
      </c>
      <c r="M2467">
        <f>_xlfn.XLOOKUP(A2467,'DGS2'!A:A,'DGS2'!B:B,"",-1)</f>
        <v>3.61</v>
      </c>
      <c r="N2467">
        <f t="shared" si="307"/>
        <v>9.9999999999997868E-3</v>
      </c>
      <c r="O2467">
        <f t="shared" si="308"/>
        <v>3.2690374420485391E-4</v>
      </c>
      <c r="P2467">
        <f t="shared" si="309"/>
        <v>1</v>
      </c>
      <c r="Q2467">
        <f t="shared" si="310"/>
        <v>0</v>
      </c>
    </row>
    <row r="2468" spans="1:17">
      <c r="A2468" s="1">
        <v>46045</v>
      </c>
      <c r="B2468">
        <v>6915.61</v>
      </c>
      <c r="C2468">
        <f t="shared" si="304"/>
        <v>3.2690374420485391E-4</v>
      </c>
      <c r="D2468">
        <f t="shared" si="311"/>
        <v>1.7471302925174292E-2</v>
      </c>
      <c r="E2468">
        <f>_xlfn.XLOOKUP(A2468,VIX!A:A,VIX!B:B,"",-1)</f>
        <v>16.09</v>
      </c>
      <c r="F2468">
        <f t="shared" si="305"/>
        <v>0.44999999999999929</v>
      </c>
      <c r="G2468">
        <f>_xlfn.XLOOKUP(A2468,'DGS10'!A:A,'DGS10'!B:B,"",-1)</f>
        <v>4.24</v>
      </c>
      <c r="H2468">
        <f t="shared" si="306"/>
        <v>-1.9999999999999574E-2</v>
      </c>
      <c r="I2468" s="2">
        <f>_xlfn.XLOOKUP(A2468,T10Y3M!A:A,T10Y3M!B:B,"",-1)</f>
        <v>0.54</v>
      </c>
      <c r="J2468" s="2">
        <f>_xlfn.XLOOKUP(A2468,BAMLC0A4CBBB!A:A,BAMLC0A4CBBB!B:B,"",-1)</f>
        <v>0.94</v>
      </c>
      <c r="K2468" s="2">
        <f>_xlfn.XLOOKUP(A2468,CPIAUCSL!A:A,CPIAUCSL!B:B,"",-1)</f>
        <v>326.58800000000002</v>
      </c>
      <c r="L2468">
        <f>_xlfn.XLOOKUP(A2468,DFF!A:A,DFF!B:B,"",-1)</f>
        <v>3.64</v>
      </c>
      <c r="M2468">
        <f>_xlfn.XLOOKUP(A2468,'DGS2'!A:A,'DGS2'!B:B,"",-1)</f>
        <v>3.6</v>
      </c>
      <c r="N2468">
        <f t="shared" si="307"/>
        <v>-9.9999999999997868E-3</v>
      </c>
      <c r="O2468">
        <f t="shared" si="308"/>
        <v>5.0060659869484159E-3</v>
      </c>
      <c r="P2468">
        <f t="shared" si="309"/>
        <v>1</v>
      </c>
      <c r="Q2468">
        <f t="shared" si="310"/>
        <v>1</v>
      </c>
    </row>
    <row r="2469" spans="1:17">
      <c r="A2469" s="1">
        <v>46048</v>
      </c>
      <c r="B2469">
        <v>6950.23</v>
      </c>
      <c r="C2469">
        <f t="shared" si="304"/>
        <v>5.0060659869484159E-3</v>
      </c>
      <c r="D2469">
        <f t="shared" si="311"/>
        <v>1.0851385038731065E-2</v>
      </c>
      <c r="E2469">
        <f>_xlfn.XLOOKUP(A2469,VIX!A:A,VIX!B:B,"",-1)</f>
        <v>16.149999999999999</v>
      </c>
      <c r="F2469">
        <f t="shared" si="305"/>
        <v>5.9999999999998721E-2</v>
      </c>
      <c r="G2469">
        <f>_xlfn.XLOOKUP(A2469,'DGS10'!A:A,'DGS10'!B:B,"",-1)</f>
        <v>4.22</v>
      </c>
      <c r="H2469">
        <f t="shared" si="306"/>
        <v>-2.0000000000000462E-2</v>
      </c>
      <c r="I2469" s="2">
        <f>_xlfn.XLOOKUP(A2469,T10Y3M!A:A,T10Y3M!B:B,"",-1)</f>
        <v>0.55000000000000004</v>
      </c>
      <c r="J2469" s="2">
        <f>_xlfn.XLOOKUP(A2469,BAMLC0A4CBBB!A:A,BAMLC0A4CBBB!B:B,"",-1)</f>
        <v>0.94</v>
      </c>
      <c r="K2469" s="2">
        <f>_xlfn.XLOOKUP(A2469,CPIAUCSL!A:A,CPIAUCSL!B:B,"",-1)</f>
        <v>326.58800000000002</v>
      </c>
      <c r="L2469">
        <f>_xlfn.XLOOKUP(A2469,DFF!A:A,DFF!B:B,"",-1)</f>
        <v>3.64</v>
      </c>
      <c r="M2469">
        <f>_xlfn.XLOOKUP(A2469,'DGS2'!A:A,'DGS2'!B:B,"",-1)</f>
        <v>3.56</v>
      </c>
      <c r="N2469">
        <f t="shared" si="307"/>
        <v>-4.0000000000000036E-2</v>
      </c>
      <c r="O2469">
        <f t="shared" si="308"/>
        <v>4.0818793047137092E-3</v>
      </c>
      <c r="P2469">
        <f t="shared" si="309"/>
        <v>1</v>
      </c>
      <c r="Q2469">
        <f t="shared" si="310"/>
        <v>1</v>
      </c>
    </row>
    <row r="2470" spans="1:17">
      <c r="A2470" s="1">
        <v>46049</v>
      </c>
      <c r="B2470">
        <v>6978.6</v>
      </c>
      <c r="C2470">
        <f t="shared" si="304"/>
        <v>4.0818793047137092E-3</v>
      </c>
      <c r="D2470">
        <f t="shared" si="311"/>
        <v>9.4382607563627818E-3</v>
      </c>
      <c r="E2470">
        <f>_xlfn.XLOOKUP(A2470,VIX!A:A,VIX!B:B,"",-1)</f>
        <v>16.350000000000001</v>
      </c>
      <c r="F2470">
        <f t="shared" si="305"/>
        <v>0.20000000000000284</v>
      </c>
      <c r="G2470">
        <f>_xlfn.XLOOKUP(A2470,'DGS10'!A:A,'DGS10'!B:B,"",-1)</f>
        <v>4.24</v>
      </c>
      <c r="H2470">
        <f t="shared" si="306"/>
        <v>2.0000000000000462E-2</v>
      </c>
      <c r="I2470" s="2">
        <f>_xlfn.XLOOKUP(A2470,T10Y3M!A:A,T10Y3M!B:B,"",-1)</f>
        <v>0.56999999999999995</v>
      </c>
      <c r="J2470" s="2">
        <f>_xlfn.XLOOKUP(A2470,BAMLC0A4CBBB!A:A,BAMLC0A4CBBB!B:B,"",-1)</f>
        <v>0.94</v>
      </c>
      <c r="K2470" s="2">
        <f>_xlfn.XLOOKUP(A2470,CPIAUCSL!A:A,CPIAUCSL!B:B,"",-1)</f>
        <v>326.58800000000002</v>
      </c>
      <c r="L2470">
        <f>_xlfn.XLOOKUP(A2470,DFF!A:A,DFF!B:B,"",-1)</f>
        <v>3.64</v>
      </c>
      <c r="M2470">
        <f>_xlfn.XLOOKUP(A2470,'DGS2'!A:A,'DGS2'!B:B,"",-1)</f>
        <v>3.53</v>
      </c>
      <c r="N2470">
        <f t="shared" si="307"/>
        <v>-3.0000000000000249E-2</v>
      </c>
      <c r="O2470">
        <f t="shared" si="308"/>
        <v>-8.1678273579299798E-5</v>
      </c>
      <c r="P2470">
        <f t="shared" si="309"/>
        <v>0</v>
      </c>
      <c r="Q2470">
        <f t="shared" si="310"/>
        <v>0</v>
      </c>
    </row>
    <row r="2471" spans="1:17">
      <c r="A2471" s="1">
        <v>46050</v>
      </c>
      <c r="B2471">
        <v>6978.03</v>
      </c>
      <c r="C2471">
        <f t="shared" si="304"/>
        <v>-8.1678273579299798E-5</v>
      </c>
      <c r="D2471">
        <f t="shared" si="311"/>
        <v>9.0259572185245052E-3</v>
      </c>
      <c r="E2471">
        <f>_xlfn.XLOOKUP(A2471,VIX!A:A,VIX!B:B,"",-1)</f>
        <v>16.350000000000001</v>
      </c>
      <c r="F2471">
        <f t="shared" si="305"/>
        <v>0</v>
      </c>
      <c r="G2471">
        <f>_xlfn.XLOOKUP(A2471,'DGS10'!A:A,'DGS10'!B:B,"",-1)</f>
        <v>4.26</v>
      </c>
      <c r="H2471">
        <f t="shared" si="306"/>
        <v>1.9999999999999574E-2</v>
      </c>
      <c r="I2471" s="2">
        <f>_xlfn.XLOOKUP(A2471,T10Y3M!A:A,T10Y3M!B:B,"",-1)</f>
        <v>0.57999999999999996</v>
      </c>
      <c r="J2471" s="2">
        <f>_xlfn.XLOOKUP(A2471,BAMLC0A4CBBB!A:A,BAMLC0A4CBBB!B:B,"",-1)</f>
        <v>0.93</v>
      </c>
      <c r="K2471" s="2">
        <f>_xlfn.XLOOKUP(A2471,CPIAUCSL!A:A,CPIAUCSL!B:B,"",-1)</f>
        <v>326.58800000000002</v>
      </c>
      <c r="L2471">
        <f>_xlfn.XLOOKUP(A2471,DFF!A:A,DFF!B:B,"",-1)</f>
        <v>3.64</v>
      </c>
      <c r="M2471">
        <f>_xlfn.XLOOKUP(A2471,'DGS2'!A:A,'DGS2'!B:B,"",-1)</f>
        <v>3.56</v>
      </c>
      <c r="N2471">
        <f t="shared" si="307"/>
        <v>3.0000000000000249E-2</v>
      </c>
      <c r="O2471">
        <f t="shared" si="308"/>
        <v>-1.2926284352460238E-3</v>
      </c>
      <c r="P2471">
        <f t="shared" si="309"/>
        <v>0</v>
      </c>
      <c r="Q2471">
        <f t="shared" si="310"/>
        <v>0</v>
      </c>
    </row>
    <row r="2472" spans="1:17">
      <c r="A2472" s="1">
        <v>46051</v>
      </c>
      <c r="B2472">
        <v>6969.01</v>
      </c>
      <c r="C2472">
        <f t="shared" si="304"/>
        <v>-1.2926284352460238E-3</v>
      </c>
      <c r="D2472">
        <f t="shared" si="311"/>
        <v>2.7020688523977654E-3</v>
      </c>
      <c r="E2472">
        <f>_xlfn.XLOOKUP(A2472,VIX!A:A,VIX!B:B,"",-1)</f>
        <v>16.88</v>
      </c>
      <c r="F2472">
        <f t="shared" si="305"/>
        <v>0.52999999999999758</v>
      </c>
      <c r="G2472">
        <f>_xlfn.XLOOKUP(A2472,'DGS10'!A:A,'DGS10'!B:B,"",-1)</f>
        <v>4.24</v>
      </c>
      <c r="H2472">
        <f t="shared" si="306"/>
        <v>-1.9999999999999574E-2</v>
      </c>
      <c r="I2472" s="2">
        <f>_xlfn.XLOOKUP(A2472,T10Y3M!A:A,T10Y3M!B:B,"",-1)</f>
        <v>0.56999999999999995</v>
      </c>
      <c r="J2472" s="2">
        <f>_xlfn.XLOOKUP(A2472,BAMLC0A4CBBB!A:A,BAMLC0A4CBBB!B:B,"",-1)</f>
        <v>0.94</v>
      </c>
      <c r="K2472" s="2">
        <f>_xlfn.XLOOKUP(A2472,CPIAUCSL!A:A,CPIAUCSL!B:B,"",-1)</f>
        <v>326.58800000000002</v>
      </c>
      <c r="L2472">
        <f>_xlfn.XLOOKUP(A2472,DFF!A:A,DFF!B:B,"",-1)</f>
        <v>3.64</v>
      </c>
      <c r="M2472">
        <f>_xlfn.XLOOKUP(A2472,'DGS2'!A:A,'DGS2'!B:B,"",-1)</f>
        <v>3.53</v>
      </c>
      <c r="N2472">
        <f t="shared" si="307"/>
        <v>-3.0000000000000249E-2</v>
      </c>
      <c r="O2472">
        <f t="shared" si="308"/>
        <v>-4.3019022788028938E-3</v>
      </c>
      <c r="P2472">
        <f t="shared" si="309"/>
        <v>0</v>
      </c>
      <c r="Q2472">
        <f t="shared" si="310"/>
        <v>-1</v>
      </c>
    </row>
    <row r="2473" spans="1:17">
      <c r="A2473" s="1">
        <v>46052</v>
      </c>
      <c r="B2473">
        <v>6939.03</v>
      </c>
      <c r="C2473">
        <f t="shared" si="304"/>
        <v>-4.3019022788028938E-3</v>
      </c>
      <c r="D2473">
        <f t="shared" si="311"/>
        <v>-5.6701917290001846E-3</v>
      </c>
      <c r="E2473">
        <f>_xlfn.XLOOKUP(A2473,VIX!A:A,VIX!B:B,"",-1)</f>
        <v>17.440000000000001</v>
      </c>
      <c r="F2473">
        <f t="shared" si="305"/>
        <v>0.56000000000000227</v>
      </c>
      <c r="G2473">
        <f>_xlfn.XLOOKUP(A2473,'DGS10'!A:A,'DGS10'!B:B,"",-1)</f>
        <v>4.26</v>
      </c>
      <c r="H2473">
        <f t="shared" si="306"/>
        <v>1.9999999999999574E-2</v>
      </c>
      <c r="I2473" s="2">
        <f>_xlfn.XLOOKUP(A2473,T10Y3M!A:A,T10Y3M!B:B,"",-1)</f>
        <v>0.59</v>
      </c>
      <c r="J2473" s="2">
        <f>_xlfn.XLOOKUP(A2473,BAMLC0A4CBBB!A:A,BAMLC0A4CBBB!B:B,"",-1)</f>
        <v>0.94</v>
      </c>
      <c r="K2473" s="2">
        <f>_xlfn.XLOOKUP(A2473,CPIAUCSL!A:A,CPIAUCSL!B:B,"",-1)</f>
        <v>326.58800000000002</v>
      </c>
      <c r="L2473">
        <f>_xlfn.XLOOKUP(A2473,DFF!A:A,DFF!B:B,"",-1)</f>
        <v>3.64</v>
      </c>
      <c r="M2473">
        <f>_xlfn.XLOOKUP(A2473,'DGS2'!A:A,'DGS2'!B:B,"",-1)</f>
        <v>3.52</v>
      </c>
      <c r="N2473">
        <f t="shared" si="307"/>
        <v>-9.9999999999997868E-3</v>
      </c>
      <c r="O2473">
        <f t="shared" si="308"/>
        <v>5.3912434446889979E-3</v>
      </c>
      <c r="P2473">
        <f t="shared" si="309"/>
        <v>1</v>
      </c>
      <c r="Q2473">
        <f t="shared" si="310"/>
        <v>1</v>
      </c>
    </row>
    <row r="2474" spans="1:17">
      <c r="A2474" s="1">
        <v>46055</v>
      </c>
      <c r="B2474">
        <v>6976.44</v>
      </c>
      <c r="C2474">
        <f t="shared" si="304"/>
        <v>5.3912434446889979E-3</v>
      </c>
      <c r="D2474">
        <f t="shared" si="311"/>
        <v>-2.278580057695212E-4</v>
      </c>
      <c r="E2474">
        <f>_xlfn.XLOOKUP(A2474,VIX!A:A,VIX!B:B,"",-1)</f>
        <v>16.34</v>
      </c>
      <c r="F2474">
        <f t="shared" si="305"/>
        <v>-1.1000000000000014</v>
      </c>
      <c r="G2474">
        <f>_xlfn.XLOOKUP(A2474,'DGS10'!A:A,'DGS10'!B:B,"",-1)</f>
        <v>4.29</v>
      </c>
      <c r="H2474">
        <f t="shared" si="306"/>
        <v>3.0000000000000249E-2</v>
      </c>
      <c r="I2474" s="2">
        <f>_xlfn.XLOOKUP(A2474,T10Y3M!A:A,T10Y3M!B:B,"",-1)</f>
        <v>0.6</v>
      </c>
      <c r="J2474" s="2">
        <f>_xlfn.XLOOKUP(A2474,BAMLC0A4CBBB!A:A,BAMLC0A4CBBB!B:B,"",-1)</f>
        <v>0.93</v>
      </c>
      <c r="K2474" s="2">
        <f>_xlfn.XLOOKUP(A2474,CPIAUCSL!A:A,CPIAUCSL!B:B,"",-1)</f>
        <v>327.45999999999998</v>
      </c>
      <c r="L2474">
        <f>_xlfn.XLOOKUP(A2474,DFF!A:A,DFF!B:B,"",-1)</f>
        <v>3.64</v>
      </c>
      <c r="M2474">
        <f>_xlfn.XLOOKUP(A2474,'DGS2'!A:A,'DGS2'!B:B,"",-1)</f>
        <v>3.57</v>
      </c>
      <c r="N2474">
        <f t="shared" si="307"/>
        <v>4.9999999999999822E-2</v>
      </c>
      <c r="O2474">
        <f t="shared" si="308"/>
        <v>-8.4039997477222128E-3</v>
      </c>
      <c r="P2474">
        <f t="shared" si="309"/>
        <v>0</v>
      </c>
      <c r="Q2474">
        <f t="shared" si="310"/>
        <v>-1</v>
      </c>
    </row>
    <row r="2475" spans="1:17">
      <c r="A2475" s="1">
        <v>46056</v>
      </c>
      <c r="B2475">
        <v>6917.81</v>
      </c>
      <c r="C2475">
        <f t="shared" si="304"/>
        <v>-8.4039997477222128E-3</v>
      </c>
      <c r="D2475">
        <f t="shared" si="311"/>
        <v>-7.3468110965545508E-3</v>
      </c>
      <c r="E2475">
        <f>_xlfn.XLOOKUP(A2475,VIX!A:A,VIX!B:B,"",-1)</f>
        <v>18</v>
      </c>
      <c r="F2475">
        <f t="shared" si="305"/>
        <v>1.6600000000000001</v>
      </c>
      <c r="G2475">
        <f>_xlfn.XLOOKUP(A2475,'DGS10'!A:A,'DGS10'!B:B,"",-1)</f>
        <v>4.28</v>
      </c>
      <c r="H2475">
        <f t="shared" si="306"/>
        <v>-9.9999999999997868E-3</v>
      </c>
      <c r="I2475" s="2">
        <f>_xlfn.XLOOKUP(A2475,T10Y3M!A:A,T10Y3M!B:B,"",-1)</f>
        <v>0.59</v>
      </c>
      <c r="J2475" s="2">
        <f>_xlfn.XLOOKUP(A2475,BAMLC0A4CBBB!A:A,BAMLC0A4CBBB!B:B,"",-1)</f>
        <v>0.94</v>
      </c>
      <c r="K2475" s="2">
        <f>_xlfn.XLOOKUP(A2475,CPIAUCSL!A:A,CPIAUCSL!B:B,"",-1)</f>
        <v>327.45999999999998</v>
      </c>
      <c r="L2475">
        <f>_xlfn.XLOOKUP(A2475,DFF!A:A,DFF!B:B,"",-1)</f>
        <v>3.64</v>
      </c>
      <c r="M2475">
        <f>_xlfn.XLOOKUP(A2475,'DGS2'!A:A,'DGS2'!B:B,"",-1)</f>
        <v>3.57</v>
      </c>
      <c r="N2475">
        <f t="shared" si="307"/>
        <v>0</v>
      </c>
      <c r="O2475">
        <f t="shared" si="308"/>
        <v>-5.0724145358140849E-3</v>
      </c>
      <c r="P2475">
        <f t="shared" si="309"/>
        <v>0</v>
      </c>
      <c r="Q2475">
        <f t="shared" si="310"/>
        <v>-1</v>
      </c>
    </row>
    <row r="2476" spans="1:17">
      <c r="A2476" s="1">
        <v>46057</v>
      </c>
      <c r="B2476">
        <v>6882.72</v>
      </c>
      <c r="C2476">
        <f t="shared" si="304"/>
        <v>-5.0724145358140849E-3</v>
      </c>
      <c r="D2476">
        <f t="shared" si="311"/>
        <v>-8.1149670775308991E-3</v>
      </c>
      <c r="E2476">
        <f>_xlfn.XLOOKUP(A2476,VIX!A:A,VIX!B:B,"",-1)</f>
        <v>18.64</v>
      </c>
      <c r="F2476">
        <f t="shared" si="305"/>
        <v>0.64000000000000057</v>
      </c>
      <c r="G2476">
        <f>_xlfn.XLOOKUP(A2476,'DGS10'!A:A,'DGS10'!B:B,"",-1)</f>
        <v>4.29</v>
      </c>
      <c r="H2476">
        <f t="shared" si="306"/>
        <v>9.9999999999997868E-3</v>
      </c>
      <c r="I2476" s="2">
        <f>_xlfn.XLOOKUP(A2476,T10Y3M!A:A,T10Y3M!B:B,"",-1)</f>
        <v>0.6</v>
      </c>
      <c r="J2476" s="2">
        <f>_xlfn.XLOOKUP(A2476,BAMLC0A4CBBB!A:A,BAMLC0A4CBBB!B:B,"",-1)</f>
        <v>0.95</v>
      </c>
      <c r="K2476" s="2">
        <f>_xlfn.XLOOKUP(A2476,CPIAUCSL!A:A,CPIAUCSL!B:B,"",-1)</f>
        <v>327.45999999999998</v>
      </c>
      <c r="L2476">
        <f>_xlfn.XLOOKUP(A2476,DFF!A:A,DFF!B:B,"",-1)</f>
        <v>3.64</v>
      </c>
      <c r="M2476">
        <f>_xlfn.XLOOKUP(A2476,'DGS2'!A:A,'DGS2'!B:B,"",-1)</f>
        <v>3.57</v>
      </c>
      <c r="N2476">
        <f t="shared" si="307"/>
        <v>0</v>
      </c>
      <c r="O2476">
        <f t="shared" si="308"/>
        <v>-1.2250970546528239E-2</v>
      </c>
      <c r="P2476">
        <f t="shared" si="309"/>
        <v>0</v>
      </c>
      <c r="Q2476">
        <f t="shared" si="310"/>
        <v>-1</v>
      </c>
    </row>
    <row r="2477" spans="1:17">
      <c r="A2477" s="1">
        <v>46058</v>
      </c>
      <c r="B2477">
        <v>6798.4</v>
      </c>
      <c r="C2477">
        <f t="shared" si="304"/>
        <v>-1.2250970546528239E-2</v>
      </c>
      <c r="D2477">
        <f t="shared" si="311"/>
        <v>-2.5520179346486205E-2</v>
      </c>
      <c r="E2477">
        <f>_xlfn.XLOOKUP(A2477,VIX!A:A,VIX!B:B,"",-1)</f>
        <v>21.77</v>
      </c>
      <c r="F2477">
        <f t="shared" si="305"/>
        <v>3.129999999999999</v>
      </c>
      <c r="G2477">
        <f>_xlfn.XLOOKUP(A2477,'DGS10'!A:A,'DGS10'!B:B,"",-1)</f>
        <v>4.21</v>
      </c>
      <c r="H2477">
        <f t="shared" si="306"/>
        <v>-8.0000000000000071E-2</v>
      </c>
      <c r="I2477" s="2">
        <f>_xlfn.XLOOKUP(A2477,T10Y3M!A:A,T10Y3M!B:B,"",-1)</f>
        <v>0.54</v>
      </c>
      <c r="J2477" s="2">
        <f>_xlfn.XLOOKUP(A2477,BAMLC0A4CBBB!A:A,BAMLC0A4CBBB!B:B,"",-1)</f>
        <v>0.96</v>
      </c>
      <c r="K2477" s="2">
        <f>_xlfn.XLOOKUP(A2477,CPIAUCSL!A:A,CPIAUCSL!B:B,"",-1)</f>
        <v>327.45999999999998</v>
      </c>
      <c r="L2477">
        <f>_xlfn.XLOOKUP(A2477,DFF!A:A,DFF!B:B,"",-1)</f>
        <v>3.64</v>
      </c>
      <c r="M2477">
        <f>_xlfn.XLOOKUP(A2477,'DGS2'!A:A,'DGS2'!B:B,"",-1)</f>
        <v>3.47</v>
      </c>
      <c r="N2477">
        <f t="shared" si="307"/>
        <v>-9.9999999999999645E-2</v>
      </c>
      <c r="O2477">
        <f t="shared" si="308"/>
        <v>1.9695810779006839E-2</v>
      </c>
      <c r="P2477">
        <f t="shared" si="309"/>
        <v>1</v>
      </c>
      <c r="Q2477">
        <f t="shared" si="310"/>
        <v>1</v>
      </c>
    </row>
    <row r="2478" spans="1:17">
      <c r="A2478" s="1">
        <v>46059</v>
      </c>
      <c r="B2478">
        <v>6932.3</v>
      </c>
      <c r="C2478">
        <f t="shared" si="304"/>
        <v>1.9695810779006839E-2</v>
      </c>
      <c r="D2478">
        <f t="shared" si="311"/>
        <v>2.0945935202036914E-3</v>
      </c>
      <c r="E2478">
        <f>_xlfn.XLOOKUP(A2478,VIX!A:A,VIX!B:B,"",-1)</f>
        <v>17.760000000000002</v>
      </c>
      <c r="F2478">
        <f t="shared" si="305"/>
        <v>-4.009999999999998</v>
      </c>
      <c r="G2478">
        <f>_xlfn.XLOOKUP(A2478,'DGS10'!A:A,'DGS10'!B:B,"",-1)</f>
        <v>4.22</v>
      </c>
      <c r="H2478">
        <f t="shared" si="306"/>
        <v>9.9999999999997868E-3</v>
      </c>
      <c r="I2478" s="2">
        <f>_xlfn.XLOOKUP(A2478,T10Y3M!A:A,T10Y3M!B:B,"",-1)</f>
        <v>0.54</v>
      </c>
      <c r="J2478" s="2">
        <f>_xlfn.XLOOKUP(A2478,BAMLC0A4CBBB!A:A,BAMLC0A4CBBB!B:B,"",-1)</f>
        <v>0.96</v>
      </c>
      <c r="K2478" s="2">
        <f>_xlfn.XLOOKUP(A2478,CPIAUCSL!A:A,CPIAUCSL!B:B,"",-1)</f>
        <v>327.45999999999998</v>
      </c>
      <c r="L2478">
        <f>_xlfn.XLOOKUP(A2478,DFF!A:A,DFF!B:B,"",-1)</f>
        <v>3.64</v>
      </c>
      <c r="M2478">
        <f>_xlfn.XLOOKUP(A2478,'DGS2'!A:A,'DGS2'!B:B,"",-1)</f>
        <v>3.5</v>
      </c>
      <c r="N2478">
        <f t="shared" si="307"/>
        <v>2.9999999999999805E-2</v>
      </c>
      <c r="O2478">
        <f t="shared" si="308"/>
        <v>4.6910837672922145E-3</v>
      </c>
      <c r="P2478">
        <f t="shared" si="309"/>
        <v>1</v>
      </c>
      <c r="Q2478">
        <f t="shared" si="310"/>
        <v>1</v>
      </c>
    </row>
    <row r="2479" spans="1:17">
      <c r="A2479" s="1">
        <v>46062</v>
      </c>
      <c r="B2479">
        <v>6964.82</v>
      </c>
      <c r="C2479">
        <f t="shared" si="304"/>
        <v>4.6910837672922145E-3</v>
      </c>
      <c r="D2479">
        <f t="shared" si="311"/>
        <v>1.192842364646518E-2</v>
      </c>
      <c r="E2479">
        <f>_xlfn.XLOOKUP(A2479,VIX!A:A,VIX!B:B,"",-1)</f>
        <v>17.36</v>
      </c>
      <c r="F2479">
        <f t="shared" si="305"/>
        <v>-0.40000000000000213</v>
      </c>
      <c r="G2479">
        <f>_xlfn.XLOOKUP(A2479,'DGS10'!A:A,'DGS10'!B:B,"",-1)</f>
        <v>4.22</v>
      </c>
      <c r="H2479">
        <f t="shared" si="306"/>
        <v>0</v>
      </c>
      <c r="I2479" s="2">
        <f>_xlfn.XLOOKUP(A2479,T10Y3M!A:A,T10Y3M!B:B,"",-1)</f>
        <v>0.53</v>
      </c>
      <c r="J2479" s="2">
        <f>_xlfn.XLOOKUP(A2479,BAMLC0A4CBBB!A:A,BAMLC0A4CBBB!B:B,"",-1)</f>
        <v>0.96</v>
      </c>
      <c r="K2479" s="2">
        <f>_xlfn.XLOOKUP(A2479,CPIAUCSL!A:A,CPIAUCSL!B:B,"",-1)</f>
        <v>327.45999999999998</v>
      </c>
      <c r="L2479">
        <f>_xlfn.XLOOKUP(A2479,DFF!A:A,DFF!B:B,"",-1)</f>
        <v>3.64</v>
      </c>
      <c r="M2479">
        <f>_xlfn.XLOOKUP(A2479,'DGS2'!A:A,'DGS2'!B:B,"",-1)</f>
        <v>3.48</v>
      </c>
      <c r="N2479">
        <f t="shared" si="307"/>
        <v>-2.0000000000000018E-2</v>
      </c>
      <c r="O2479">
        <f t="shared" si="308"/>
        <v>-3.3037465433419788E-3</v>
      </c>
      <c r="P2479">
        <f t="shared" si="309"/>
        <v>0</v>
      </c>
      <c r="Q2479">
        <f t="shared" si="310"/>
        <v>-1</v>
      </c>
    </row>
    <row r="2480" spans="1:17">
      <c r="A2480" s="1">
        <v>46063</v>
      </c>
      <c r="B2480">
        <v>6941.81</v>
      </c>
      <c r="C2480">
        <f t="shared" si="304"/>
        <v>-3.3037465433419788E-3</v>
      </c>
      <c r="D2480">
        <f t="shared" si="311"/>
        <v>2.1094669333961091E-2</v>
      </c>
      <c r="E2480">
        <f>_xlfn.XLOOKUP(A2480,VIX!A:A,VIX!B:B,"",-1)</f>
        <v>17.79</v>
      </c>
      <c r="F2480">
        <f t="shared" si="305"/>
        <v>0.42999999999999972</v>
      </c>
      <c r="G2480">
        <f>_xlfn.XLOOKUP(A2480,'DGS10'!A:A,'DGS10'!B:B,"",-1)</f>
        <v>4.16</v>
      </c>
      <c r="H2480">
        <f t="shared" si="306"/>
        <v>-5.9999999999999609E-2</v>
      </c>
      <c r="I2480" s="2">
        <f>_xlfn.XLOOKUP(A2480,T10Y3M!A:A,T10Y3M!B:B,"",-1)</f>
        <v>0.47</v>
      </c>
      <c r="J2480" s="2">
        <f>_xlfn.XLOOKUP(A2480,BAMLC0A4CBBB!A:A,BAMLC0A4CBBB!B:B,"",-1)</f>
        <v>0.98</v>
      </c>
      <c r="K2480" s="2">
        <f>_xlfn.XLOOKUP(A2480,CPIAUCSL!A:A,CPIAUCSL!B:B,"",-1)</f>
        <v>327.45999999999998</v>
      </c>
      <c r="L2480">
        <f>_xlfn.XLOOKUP(A2480,DFF!A:A,DFF!B:B,"",-1)</f>
        <v>3.64</v>
      </c>
      <c r="M2480">
        <f>_xlfn.XLOOKUP(A2480,'DGS2'!A:A,'DGS2'!B:B,"",-1)</f>
        <v>3.45</v>
      </c>
      <c r="N2480">
        <f t="shared" si="307"/>
        <v>-2.9999999999999805E-2</v>
      </c>
      <c r="O2480">
        <f t="shared" si="308"/>
        <v>-4.8978580514336123E-5</v>
      </c>
      <c r="P2480">
        <f t="shared" si="309"/>
        <v>0</v>
      </c>
      <c r="Q2480">
        <f t="shared" si="310"/>
        <v>0</v>
      </c>
    </row>
    <row r="2481" spans="1:17">
      <c r="A2481" s="1">
        <v>46064</v>
      </c>
      <c r="B2481">
        <v>6941.47</v>
      </c>
      <c r="C2481">
        <f t="shared" si="304"/>
        <v>-4.8978580514336123E-5</v>
      </c>
      <c r="D2481">
        <f t="shared" si="311"/>
        <v>1.3227933009247739E-3</v>
      </c>
      <c r="E2481">
        <f>_xlfn.XLOOKUP(A2481,VIX!A:A,VIX!B:B,"",-1)</f>
        <v>17.649999999999999</v>
      </c>
      <c r="F2481">
        <f t="shared" si="305"/>
        <v>-0.14000000000000057</v>
      </c>
      <c r="G2481">
        <f>_xlfn.XLOOKUP(A2481,'DGS10'!A:A,'DGS10'!B:B,"",-1)</f>
        <v>4.18</v>
      </c>
      <c r="H2481">
        <f t="shared" si="306"/>
        <v>1.9999999999999574E-2</v>
      </c>
      <c r="I2481" s="2">
        <f>_xlfn.XLOOKUP(A2481,T10Y3M!A:A,T10Y3M!B:B,"",-1)</f>
        <v>0.48</v>
      </c>
      <c r="J2481" s="2">
        <f>_xlfn.XLOOKUP(A2481,BAMLC0A4CBBB!A:A,BAMLC0A4CBBB!B:B,"",-1)</f>
        <v>0.98</v>
      </c>
      <c r="K2481" s="2">
        <f>_xlfn.XLOOKUP(A2481,CPIAUCSL!A:A,CPIAUCSL!B:B,"",-1)</f>
        <v>327.45999999999998</v>
      </c>
      <c r="L2481">
        <f>_xlfn.XLOOKUP(A2481,DFF!A:A,DFF!B:B,"",-1)</f>
        <v>3.64</v>
      </c>
      <c r="M2481">
        <f>_xlfn.XLOOKUP(A2481,'DGS2'!A:A,'DGS2'!B:B,"",-1)</f>
        <v>3.52</v>
      </c>
      <c r="N2481">
        <f t="shared" si="307"/>
        <v>6.999999999999984E-2</v>
      </c>
      <c r="O2481">
        <f t="shared" si="308"/>
        <v>-1.5660947897203292E-2</v>
      </c>
      <c r="P2481">
        <f t="shared" si="309"/>
        <v>0</v>
      </c>
      <c r="Q2481">
        <f t="shared" si="310"/>
        <v>-1</v>
      </c>
    </row>
    <row r="2482" spans="1:17">
      <c r="A2482" s="1">
        <v>46065</v>
      </c>
      <c r="B2482">
        <v>6832.76</v>
      </c>
      <c r="C2482">
        <f t="shared" si="304"/>
        <v>-1.5660947897203292E-2</v>
      </c>
      <c r="D2482">
        <f t="shared" si="311"/>
        <v>-1.8961006888907339E-2</v>
      </c>
      <c r="E2482">
        <f>_xlfn.XLOOKUP(A2482,VIX!A:A,VIX!B:B,"",-1)</f>
        <v>20.82</v>
      </c>
      <c r="F2482">
        <f t="shared" si="305"/>
        <v>3.1700000000000017</v>
      </c>
      <c r="G2482">
        <f>_xlfn.XLOOKUP(A2482,'DGS10'!A:A,'DGS10'!B:B,"",-1)</f>
        <v>4.09</v>
      </c>
      <c r="H2482">
        <f t="shared" si="306"/>
        <v>-8.9999999999999858E-2</v>
      </c>
      <c r="I2482" s="2">
        <f>_xlfn.XLOOKUP(A2482,T10Y3M!A:A,T10Y3M!B:B,"",-1)</f>
        <v>0.39</v>
      </c>
      <c r="J2482" s="2">
        <f>_xlfn.XLOOKUP(A2482,BAMLC0A4CBBB!A:A,BAMLC0A4CBBB!B:B,"",-1)</f>
        <v>0.99</v>
      </c>
      <c r="K2482" s="2">
        <f>_xlfn.XLOOKUP(A2482,CPIAUCSL!A:A,CPIAUCSL!B:B,"",-1)</f>
        <v>327.45999999999998</v>
      </c>
      <c r="L2482">
        <f>_xlfn.XLOOKUP(A2482,DFF!A:A,DFF!B:B,"",-1)</f>
        <v>3.64</v>
      </c>
      <c r="M2482">
        <f>_xlfn.XLOOKUP(A2482,'DGS2'!A:A,'DGS2'!B:B,"",-1)</f>
        <v>3.47</v>
      </c>
      <c r="N2482">
        <f t="shared" si="307"/>
        <v>-4.9999999999999822E-2</v>
      </c>
      <c r="O2482">
        <f t="shared" si="308"/>
        <v>4.9906626312057334E-4</v>
      </c>
      <c r="P2482">
        <f t="shared" si="309"/>
        <v>1</v>
      </c>
      <c r="Q2482">
        <f t="shared" si="310"/>
        <v>0</v>
      </c>
    </row>
    <row r="2483" spans="1:17">
      <c r="A2483" s="1">
        <v>46066</v>
      </c>
      <c r="B2483">
        <v>6836.17</v>
      </c>
      <c r="C2483">
        <f t="shared" si="304"/>
        <v>4.9906626312057334E-4</v>
      </c>
      <c r="D2483">
        <f t="shared" si="311"/>
        <v>-1.521793307509145E-2</v>
      </c>
      <c r="E2483">
        <f>_xlfn.XLOOKUP(A2483,VIX!A:A,VIX!B:B,"",-1)</f>
        <v>20.6</v>
      </c>
      <c r="F2483">
        <f t="shared" si="305"/>
        <v>-0.21999999999999886</v>
      </c>
      <c r="G2483">
        <f>_xlfn.XLOOKUP(A2483,'DGS10'!A:A,'DGS10'!B:B,"",-1)</f>
        <v>4.04</v>
      </c>
      <c r="H2483">
        <f t="shared" si="306"/>
        <v>-4.9999999999999822E-2</v>
      </c>
      <c r="I2483" s="2">
        <f>_xlfn.XLOOKUP(A2483,T10Y3M!A:A,T10Y3M!B:B,"",-1)</f>
        <v>0.36</v>
      </c>
      <c r="J2483" s="2">
        <f>_xlfn.XLOOKUP(A2483,BAMLC0A4CBBB!A:A,BAMLC0A4CBBB!B:B,"",-1)</f>
        <v>1</v>
      </c>
      <c r="K2483" s="2">
        <f>_xlfn.XLOOKUP(A2483,CPIAUCSL!A:A,CPIAUCSL!B:B,"",-1)</f>
        <v>327.45999999999998</v>
      </c>
      <c r="L2483">
        <f>_xlfn.XLOOKUP(A2483,DFF!A:A,DFF!B:B,"",-1)</f>
        <v>3.64</v>
      </c>
      <c r="M2483">
        <f>_xlfn.XLOOKUP(A2483,'DGS2'!A:A,'DGS2'!B:B,"",-1)</f>
        <v>3.4</v>
      </c>
      <c r="N2483">
        <f t="shared" si="307"/>
        <v>-7.0000000000000284E-2</v>
      </c>
      <c r="O2483">
        <f t="shared" si="308"/>
        <v>1.0312792104349988E-3</v>
      </c>
      <c r="P2483">
        <f t="shared" si="309"/>
        <v>1</v>
      </c>
      <c r="Q2483">
        <f t="shared" si="310"/>
        <v>0</v>
      </c>
    </row>
    <row r="2484" spans="1:17">
      <c r="A2484" s="1">
        <v>46070</v>
      </c>
      <c r="B2484">
        <v>6843.22</v>
      </c>
      <c r="C2484">
        <f t="shared" si="304"/>
        <v>1.0312792104349988E-3</v>
      </c>
      <c r="D2484">
        <f t="shared" si="311"/>
        <v>-1.4154062468036299E-2</v>
      </c>
      <c r="E2484">
        <f>_xlfn.XLOOKUP(A2484,VIX!A:A,VIX!B:B,"",-1)</f>
        <v>20.29</v>
      </c>
      <c r="F2484">
        <f t="shared" si="305"/>
        <v>-0.31000000000000227</v>
      </c>
      <c r="G2484">
        <f>_xlfn.XLOOKUP(A2484,'DGS10'!A:A,'DGS10'!B:B,"",-1)</f>
        <v>4.05</v>
      </c>
      <c r="H2484">
        <f t="shared" si="306"/>
        <v>9.9999999999997868E-3</v>
      </c>
      <c r="I2484" s="2">
        <f>_xlfn.XLOOKUP(A2484,T10Y3M!A:A,T10Y3M!B:B,"",-1)</f>
        <v>0.36</v>
      </c>
      <c r="J2484" s="2">
        <f>_xlfn.XLOOKUP(A2484,BAMLC0A4CBBB!A:A,BAMLC0A4CBBB!B:B,"",-1)</f>
        <v>1.01</v>
      </c>
      <c r="K2484" s="2">
        <f>_xlfn.XLOOKUP(A2484,CPIAUCSL!A:A,CPIAUCSL!B:B,"",-1)</f>
        <v>327.45999999999998</v>
      </c>
      <c r="L2484">
        <f>_xlfn.XLOOKUP(A2484,DFF!A:A,DFF!B:B,"",-1)</f>
        <v>3.64</v>
      </c>
      <c r="M2484">
        <f>_xlfn.XLOOKUP(A2484,'DGS2'!A:A,'DGS2'!B:B,"",-1)</f>
        <v>3.43</v>
      </c>
      <c r="N2484">
        <f t="shared" si="307"/>
        <v>3.0000000000000249E-2</v>
      </c>
      <c r="O2484">
        <f t="shared" si="308"/>
        <v>5.5660931549768033E-3</v>
      </c>
      <c r="P2484">
        <f t="shared" si="309"/>
        <v>1</v>
      </c>
      <c r="Q2484">
        <f t="shared" si="310"/>
        <v>1</v>
      </c>
    </row>
    <row r="2485" spans="1:17">
      <c r="A2485" s="1">
        <v>46071</v>
      </c>
      <c r="B2485">
        <v>6881.31</v>
      </c>
      <c r="C2485">
        <f t="shared" si="304"/>
        <v>5.5660931549768033E-3</v>
      </c>
      <c r="D2485">
        <f t="shared" si="311"/>
        <v>7.1054742153975337E-3</v>
      </c>
      <c r="E2485">
        <f>_xlfn.XLOOKUP(A2485,VIX!A:A,VIX!B:B,"",-1)</f>
        <v>19.62</v>
      </c>
      <c r="F2485">
        <f t="shared" si="305"/>
        <v>-0.66999999999999815</v>
      </c>
      <c r="G2485">
        <f>_xlfn.XLOOKUP(A2485,'DGS10'!A:A,'DGS10'!B:B,"",-1)</f>
        <v>4.09</v>
      </c>
      <c r="H2485">
        <f t="shared" si="306"/>
        <v>4.0000000000000036E-2</v>
      </c>
      <c r="I2485" s="2">
        <f>_xlfn.XLOOKUP(A2485,T10Y3M!A:A,T10Y3M!B:B,"",-1)</f>
        <v>0.39</v>
      </c>
      <c r="J2485" s="2">
        <f>_xlfn.XLOOKUP(A2485,BAMLC0A4CBBB!A:A,BAMLC0A4CBBB!B:B,"",-1)</f>
        <v>0.99</v>
      </c>
      <c r="K2485" s="2">
        <f>_xlfn.XLOOKUP(A2485,CPIAUCSL!A:A,CPIAUCSL!B:B,"",-1)</f>
        <v>327.45999999999998</v>
      </c>
      <c r="L2485">
        <f>_xlfn.XLOOKUP(A2485,DFF!A:A,DFF!B:B,"",-1)</f>
        <v>3.64</v>
      </c>
      <c r="M2485">
        <f>_xlfn.XLOOKUP(A2485,'DGS2'!A:A,'DGS2'!B:B,"",-1)</f>
        <v>3.47</v>
      </c>
      <c r="N2485">
        <f t="shared" si="307"/>
        <v>4.0000000000000036E-2</v>
      </c>
      <c r="O2485">
        <f t="shared" si="308"/>
        <v>-2.8221370640183485E-3</v>
      </c>
      <c r="P2485">
        <f t="shared" si="309"/>
        <v>0</v>
      </c>
      <c r="Q2485">
        <f t="shared" si="310"/>
        <v>0</v>
      </c>
    </row>
    <row r="2486" spans="1:17">
      <c r="A2486" s="1">
        <v>46072</v>
      </c>
      <c r="B2486">
        <v>6861.89</v>
      </c>
      <c r="C2486">
        <f t="shared" si="304"/>
        <v>-2.8221370640183485E-3</v>
      </c>
      <c r="D2486">
        <f t="shared" si="311"/>
        <v>3.7623406088498346E-3</v>
      </c>
      <c r="E2486">
        <f>_xlfn.XLOOKUP(A2486,VIX!A:A,VIX!B:B,"",-1)</f>
        <v>20.23</v>
      </c>
      <c r="F2486">
        <f t="shared" si="305"/>
        <v>0.60999999999999943</v>
      </c>
      <c r="G2486">
        <f>_xlfn.XLOOKUP(A2486,'DGS10'!A:A,'DGS10'!B:B,"",-1)</f>
        <v>4.08</v>
      </c>
      <c r="H2486">
        <f t="shared" si="306"/>
        <v>-9.9999999999997868E-3</v>
      </c>
      <c r="I2486" s="2">
        <f>_xlfn.XLOOKUP(A2486,T10Y3M!A:A,T10Y3M!B:B,"",-1)</f>
        <v>0.39</v>
      </c>
      <c r="J2486" s="2">
        <f>_xlfn.XLOOKUP(A2486,BAMLC0A4CBBB!A:A,BAMLC0A4CBBB!B:B,"",-1)</f>
        <v>0.99</v>
      </c>
      <c r="K2486" s="2">
        <f>_xlfn.XLOOKUP(A2486,CPIAUCSL!A:A,CPIAUCSL!B:B,"",-1)</f>
        <v>327.45999999999998</v>
      </c>
      <c r="L2486">
        <f>_xlfn.XLOOKUP(A2486,DFF!A:A,DFF!B:B,"",-1)</f>
        <v>3.64</v>
      </c>
      <c r="M2486">
        <f>_xlfn.XLOOKUP(A2486,'DGS2'!A:A,'DGS2'!B:B,"",-1)</f>
        <v>3.47</v>
      </c>
      <c r="N2486">
        <f t="shared" si="307"/>
        <v>0</v>
      </c>
      <c r="O2486">
        <f t="shared" si="308"/>
        <v>6.9397789821754596E-3</v>
      </c>
      <c r="P2486">
        <f t="shared" si="309"/>
        <v>1</v>
      </c>
      <c r="Q2486">
        <f t="shared" si="310"/>
        <v>1</v>
      </c>
    </row>
    <row r="2487" spans="1:17">
      <c r="A2487" s="1">
        <v>46073</v>
      </c>
      <c r="B2487">
        <v>6909.51</v>
      </c>
      <c r="C2487">
        <f t="shared" si="304"/>
        <v>6.9397789821754596E-3</v>
      </c>
      <c r="D2487">
        <f t="shared" si="311"/>
        <v>9.6869602321714154E-3</v>
      </c>
      <c r="E2487">
        <f>_xlfn.XLOOKUP(A2487,VIX!A:A,VIX!B:B,"",-1)</f>
        <v>19.09</v>
      </c>
      <c r="F2487">
        <f t="shared" si="305"/>
        <v>-1.1400000000000006</v>
      </c>
      <c r="G2487">
        <f>_xlfn.XLOOKUP(A2487,'DGS10'!A:A,'DGS10'!B:B,"",-1)</f>
        <v>4.08</v>
      </c>
      <c r="H2487">
        <f t="shared" si="306"/>
        <v>0</v>
      </c>
      <c r="I2487" s="2">
        <f>_xlfn.XLOOKUP(A2487,T10Y3M!A:A,T10Y3M!B:B,"",-1)</f>
        <v>0.39</v>
      </c>
      <c r="J2487" s="2">
        <f>_xlfn.XLOOKUP(A2487,BAMLC0A4CBBB!A:A,BAMLC0A4CBBB!B:B,"",-1)</f>
        <v>0.99</v>
      </c>
      <c r="K2487" s="2">
        <f>_xlfn.XLOOKUP(A2487,CPIAUCSL!A:A,CPIAUCSL!B:B,"",-1)</f>
        <v>327.45999999999998</v>
      </c>
      <c r="L2487">
        <f>_xlfn.XLOOKUP(A2487,DFF!A:A,DFF!B:B,"",-1)</f>
        <v>3.64</v>
      </c>
      <c r="M2487">
        <f>_xlfn.XLOOKUP(A2487,'DGS2'!A:A,'DGS2'!B:B,"",-1)</f>
        <v>3.48</v>
      </c>
      <c r="N2487">
        <f t="shared" si="307"/>
        <v>9.9999999999997868E-3</v>
      </c>
      <c r="O2487">
        <f t="shared" si="308"/>
        <v>-1.0385685815636703E-2</v>
      </c>
      <c r="P2487">
        <f t="shared" si="309"/>
        <v>0</v>
      </c>
      <c r="Q2487">
        <f t="shared" si="310"/>
        <v>-1</v>
      </c>
    </row>
    <row r="2488" spans="1:17">
      <c r="A2488" s="1">
        <v>46076</v>
      </c>
      <c r="B2488">
        <v>6837.75</v>
      </c>
      <c r="C2488">
        <f t="shared" si="304"/>
        <v>-1.0385685815636703E-2</v>
      </c>
      <c r="D2488">
        <f t="shared" si="311"/>
        <v>-6.3301900364901575E-3</v>
      </c>
      <c r="E2488">
        <f>_xlfn.XLOOKUP(A2488,VIX!A:A,VIX!B:B,"",-1)</f>
        <v>21.01</v>
      </c>
      <c r="F2488">
        <f t="shared" si="305"/>
        <v>1.9200000000000017</v>
      </c>
      <c r="G2488">
        <f>_xlfn.XLOOKUP(A2488,'DGS10'!A:A,'DGS10'!B:B,"",-1)</f>
        <v>4.03</v>
      </c>
      <c r="H2488">
        <f t="shared" si="306"/>
        <v>-4.9999999999999822E-2</v>
      </c>
      <c r="I2488" s="2">
        <f>_xlfn.XLOOKUP(A2488,T10Y3M!A:A,T10Y3M!B:B,"",-1)</f>
        <v>0.34</v>
      </c>
      <c r="J2488" s="2">
        <f>_xlfn.XLOOKUP(A2488,BAMLC0A4CBBB!A:A,BAMLC0A4CBBB!B:B,"",-1)</f>
        <v>1.01</v>
      </c>
      <c r="K2488" s="2">
        <f>_xlfn.XLOOKUP(A2488,CPIAUCSL!A:A,CPIAUCSL!B:B,"",-1)</f>
        <v>327.45999999999998</v>
      </c>
      <c r="L2488">
        <f>_xlfn.XLOOKUP(A2488,DFF!A:A,DFF!B:B,"",-1)</f>
        <v>3.64</v>
      </c>
      <c r="M2488">
        <f>_xlfn.XLOOKUP(A2488,'DGS2'!A:A,'DGS2'!B:B,"",-1)</f>
        <v>3.43</v>
      </c>
      <c r="N2488">
        <f t="shared" si="307"/>
        <v>-4.9999999999999822E-2</v>
      </c>
      <c r="O2488">
        <f t="shared" si="308"/>
        <v>7.6516397937917979E-3</v>
      </c>
      <c r="P2488">
        <f t="shared" si="309"/>
        <v>1</v>
      </c>
      <c r="Q2488">
        <f t="shared" si="310"/>
        <v>1</v>
      </c>
    </row>
    <row r="2489" spans="1:17">
      <c r="A2489" s="1">
        <v>46077</v>
      </c>
      <c r="B2489">
        <v>6890.07</v>
      </c>
      <c r="C2489">
        <f t="shared" si="304"/>
        <v>7.6516397937917979E-3</v>
      </c>
      <c r="D2489">
        <f t="shared" si="311"/>
        <v>4.1067402712662293E-3</v>
      </c>
      <c r="E2489">
        <f>_xlfn.XLOOKUP(A2489,VIX!A:A,VIX!B:B,"",-1)</f>
        <v>19.55</v>
      </c>
      <c r="F2489">
        <f t="shared" si="305"/>
        <v>-1.4600000000000009</v>
      </c>
      <c r="G2489">
        <f>_xlfn.XLOOKUP(A2489,'DGS10'!A:A,'DGS10'!B:B,"",-1)</f>
        <v>4.04</v>
      </c>
      <c r="H2489">
        <f t="shared" si="306"/>
        <v>9.9999999999997868E-3</v>
      </c>
      <c r="I2489" s="2">
        <f>_xlfn.XLOOKUP(A2489,T10Y3M!A:A,T10Y3M!B:B,"",-1)</f>
        <v>0.35</v>
      </c>
      <c r="J2489" s="2">
        <f>_xlfn.XLOOKUP(A2489,BAMLC0A4CBBB!A:A,BAMLC0A4CBBB!B:B,"",-1)</f>
        <v>1.02</v>
      </c>
      <c r="K2489" s="2">
        <f>_xlfn.XLOOKUP(A2489,CPIAUCSL!A:A,CPIAUCSL!B:B,"",-1)</f>
        <v>327.45999999999998</v>
      </c>
      <c r="L2489">
        <f>_xlfn.XLOOKUP(A2489,DFF!A:A,DFF!B:B,"",-1)</f>
        <v>3.64</v>
      </c>
      <c r="M2489">
        <f>_xlfn.XLOOKUP(A2489,'DGS2'!A:A,'DGS2'!B:B,"",-1)</f>
        <v>3.43</v>
      </c>
      <c r="N2489">
        <f t="shared" si="307"/>
        <v>0</v>
      </c>
      <c r="O2489">
        <f t="shared" si="308"/>
        <v>8.1363469456769977E-3</v>
      </c>
      <c r="P2489">
        <f t="shared" si="309"/>
        <v>1</v>
      </c>
      <c r="Q2489">
        <f t="shared" si="310"/>
        <v>1</v>
      </c>
    </row>
    <row r="2490" spans="1:17">
      <c r="A2490" s="1">
        <v>46078</v>
      </c>
      <c r="B2490">
        <v>6946.13</v>
      </c>
      <c r="C2490">
        <f t="shared" si="304"/>
        <v>8.1363469456769977E-3</v>
      </c>
      <c r="D2490">
        <f t="shared" si="311"/>
        <v>5.2999416745904693E-3</v>
      </c>
      <c r="E2490">
        <f>_xlfn.XLOOKUP(A2490,VIX!A:A,VIX!B:B,"",-1)</f>
        <v>17.93</v>
      </c>
      <c r="F2490">
        <f t="shared" si="305"/>
        <v>-1.620000000000001</v>
      </c>
      <c r="G2490">
        <f>_xlfn.XLOOKUP(A2490,'DGS10'!A:A,'DGS10'!B:B,"",-1)</f>
        <v>4.05</v>
      </c>
      <c r="H2490">
        <f t="shared" si="306"/>
        <v>9.9999999999997868E-3</v>
      </c>
      <c r="I2490" s="2">
        <f>_xlfn.XLOOKUP(A2490,T10Y3M!A:A,T10Y3M!B:B,"",-1)</f>
        <v>0.36</v>
      </c>
      <c r="J2490" s="2">
        <f>_xlfn.XLOOKUP(A2490,BAMLC0A4CBBB!A:A,BAMLC0A4CBBB!B:B,"",-1)</f>
        <v>1.01</v>
      </c>
      <c r="K2490" s="2">
        <f>_xlfn.XLOOKUP(A2490,CPIAUCSL!A:A,CPIAUCSL!B:B,"",-1)</f>
        <v>327.45999999999998</v>
      </c>
      <c r="L2490">
        <f>_xlfn.XLOOKUP(A2490,DFF!A:A,DFF!B:B,"",-1)</f>
        <v>3.64</v>
      </c>
      <c r="M2490">
        <f>_xlfn.XLOOKUP(A2490,'DGS2'!A:A,'DGS2'!B:B,"",-1)</f>
        <v>3.45</v>
      </c>
      <c r="N2490">
        <f t="shared" si="307"/>
        <v>2.0000000000000018E-2</v>
      </c>
      <c r="O2490">
        <f t="shared" si="308"/>
        <v>-5.3655776669887523E-3</v>
      </c>
      <c r="P2490">
        <f t="shared" si="309"/>
        <v>0</v>
      </c>
      <c r="Q2490">
        <f t="shared" si="310"/>
        <v>-1</v>
      </c>
    </row>
    <row r="2491" spans="1:17">
      <c r="A2491" s="1">
        <v>46079</v>
      </c>
      <c r="B2491">
        <v>6908.86</v>
      </c>
      <c r="C2491">
        <f t="shared" si="304"/>
        <v>-5.3655776669887523E-3</v>
      </c>
      <c r="D2491">
        <f t="shared" si="311"/>
        <v>1.039961975796122E-2</v>
      </c>
      <c r="E2491">
        <f>_xlfn.XLOOKUP(A2491,VIX!A:A,VIX!B:B,"",-1)</f>
        <v>18.63</v>
      </c>
      <c r="F2491">
        <f t="shared" si="305"/>
        <v>0.69999999999999929</v>
      </c>
      <c r="G2491">
        <f>_xlfn.XLOOKUP(A2491,'DGS10'!A:A,'DGS10'!B:B,"",-1)</f>
        <v>4.0199999999999996</v>
      </c>
      <c r="H2491">
        <f t="shared" si="306"/>
        <v>-3.0000000000000249E-2</v>
      </c>
      <c r="I2491" s="2">
        <f>_xlfn.XLOOKUP(A2491,T10Y3M!A:A,T10Y3M!B:B,"",-1)</f>
        <v>0.34</v>
      </c>
      <c r="J2491" s="2">
        <f>_xlfn.XLOOKUP(A2491,BAMLC0A4CBBB!A:A,BAMLC0A4CBBB!B:B,"",-1)</f>
        <v>1.03</v>
      </c>
      <c r="K2491" s="2">
        <f>_xlfn.XLOOKUP(A2491,CPIAUCSL!A:A,CPIAUCSL!B:B,"",-1)</f>
        <v>327.45999999999998</v>
      </c>
      <c r="L2491">
        <f>_xlfn.XLOOKUP(A2491,DFF!A:A,DFF!B:B,"",-1)</f>
        <v>3.64</v>
      </c>
      <c r="M2491">
        <f>_xlfn.XLOOKUP(A2491,'DGS2'!A:A,'DGS2'!B:B,"",-1)</f>
        <v>3.42</v>
      </c>
      <c r="N2491">
        <f t="shared" si="307"/>
        <v>-3.0000000000000249E-2</v>
      </c>
      <c r="O2491">
        <f t="shared" si="308"/>
        <v>-4.3393555521460403E-3</v>
      </c>
      <c r="P2491">
        <f t="shared" si="309"/>
        <v>0</v>
      </c>
      <c r="Q2491">
        <f t="shared" si="310"/>
        <v>-1</v>
      </c>
    </row>
    <row r="2492" spans="1:17">
      <c r="A2492" s="1">
        <v>46080</v>
      </c>
      <c r="B2492">
        <v>6878.88</v>
      </c>
      <c r="C2492">
        <f t="shared" si="304"/>
        <v>-4.3393555521460403E-3</v>
      </c>
      <c r="D2492">
        <f t="shared" si="311"/>
        <v>-1.6240763881933962E-3</v>
      </c>
      <c r="E2492">
        <f>_xlfn.XLOOKUP(A2492,VIX!A:A,VIX!B:B,"",-1)</f>
        <v>19.86</v>
      </c>
      <c r="F2492">
        <f t="shared" si="305"/>
        <v>1.2300000000000004</v>
      </c>
      <c r="G2492">
        <f>_xlfn.XLOOKUP(A2492,'DGS10'!A:A,'DGS10'!B:B,"",-1)</f>
        <v>3.97</v>
      </c>
      <c r="H2492">
        <f t="shared" si="306"/>
        <v>-4.9999999999999378E-2</v>
      </c>
      <c r="I2492" s="2">
        <f>_xlfn.XLOOKUP(A2492,T10Y3M!A:A,T10Y3M!B:B,"",-1)</f>
        <v>0.3</v>
      </c>
      <c r="J2492" s="2">
        <f>_xlfn.XLOOKUP(A2492,BAMLC0A4CBBB!A:A,BAMLC0A4CBBB!B:B,"",-1)</f>
        <v>1.07</v>
      </c>
      <c r="K2492" s="2">
        <f>_xlfn.XLOOKUP(A2492,CPIAUCSL!A:A,CPIAUCSL!B:B,"",-1)</f>
        <v>327.45999999999998</v>
      </c>
      <c r="L2492">
        <f>_xlfn.XLOOKUP(A2492,DFF!A:A,DFF!B:B,"",-1)</f>
        <v>3.64</v>
      </c>
      <c r="M2492">
        <f>_xlfn.XLOOKUP(A2492,'DGS2'!A:A,'DGS2'!B:B,"",-1)</f>
        <v>3.38</v>
      </c>
      <c r="N2492">
        <f t="shared" si="307"/>
        <v>-4.0000000000000036E-2</v>
      </c>
      <c r="O2492">
        <f t="shared" si="308"/>
        <v>3.9832065685119211E-4</v>
      </c>
      <c r="P2492">
        <f t="shared" si="309"/>
        <v>1</v>
      </c>
      <c r="Q2492">
        <f t="shared" si="310"/>
        <v>0</v>
      </c>
    </row>
    <row r="2493" spans="1:17">
      <c r="A2493" s="1">
        <v>46083</v>
      </c>
      <c r="B2493">
        <v>6881.62</v>
      </c>
      <c r="C2493">
        <f t="shared" si="304"/>
        <v>3.9832065685119211E-4</v>
      </c>
      <c r="D2493">
        <f t="shared" si="311"/>
        <v>-9.2871858142592467E-3</v>
      </c>
      <c r="E2493">
        <f>_xlfn.XLOOKUP(A2493,VIX!A:A,VIX!B:B,"",-1)</f>
        <v>21.44</v>
      </c>
      <c r="F2493">
        <f t="shared" si="305"/>
        <v>1.5800000000000018</v>
      </c>
      <c r="G2493">
        <f>_xlfn.XLOOKUP(A2493,'DGS10'!A:A,'DGS10'!B:B,"",-1)</f>
        <v>4.05</v>
      </c>
      <c r="H2493">
        <f t="shared" si="306"/>
        <v>7.9999999999999627E-2</v>
      </c>
      <c r="I2493" s="2">
        <f>_xlfn.XLOOKUP(A2493,T10Y3M!A:A,T10Y3M!B:B,"",-1)</f>
        <v>0.33</v>
      </c>
      <c r="J2493" s="2">
        <f>_xlfn.XLOOKUP(A2493,BAMLC0A4CBBB!A:A,BAMLC0A4CBBB!B:B,"",-1)</f>
        <v>1.06</v>
      </c>
      <c r="K2493" s="2">
        <f>_xlfn.XLOOKUP(A2493,CPIAUCSL!A:A,CPIAUCSL!B:B,"",-1)</f>
        <v>327.45999999999998</v>
      </c>
      <c r="L2493">
        <f>_xlfn.XLOOKUP(A2493,DFF!A:A,DFF!B:B,"",-1)</f>
        <v>3.64</v>
      </c>
      <c r="M2493">
        <f>_xlfn.XLOOKUP(A2493,'DGS2'!A:A,'DGS2'!B:B,"",-1)</f>
        <v>3.47</v>
      </c>
      <c r="N2493">
        <f t="shared" si="307"/>
        <v>9.0000000000000302E-2</v>
      </c>
      <c r="O2493">
        <f t="shared" si="308"/>
        <v>-9.4439971983341087E-3</v>
      </c>
      <c r="P2493">
        <f t="shared" si="309"/>
        <v>0</v>
      </c>
      <c r="Q2493">
        <f t="shared" si="310"/>
        <v>-1</v>
      </c>
    </row>
    <row r="2494" spans="1:17">
      <c r="A2494" s="1">
        <v>46084</v>
      </c>
      <c r="B2494">
        <v>6816.63</v>
      </c>
      <c r="C2494">
        <f t="shared" si="304"/>
        <v>-9.4439971983341087E-3</v>
      </c>
      <c r="D2494">
        <f t="shared" si="311"/>
        <v>-1.3349525102549387E-2</v>
      </c>
      <c r="E2494">
        <f>_xlfn.XLOOKUP(A2494,VIX!A:A,VIX!B:B,"",-1)</f>
        <v>23.57</v>
      </c>
      <c r="F2494">
        <f t="shared" si="305"/>
        <v>2.129999999999999</v>
      </c>
      <c r="G2494">
        <f>_xlfn.XLOOKUP(A2494,'DGS10'!A:A,'DGS10'!B:B,"",-1)</f>
        <v>4.0599999999999996</v>
      </c>
      <c r="H2494">
        <f t="shared" si="306"/>
        <v>9.9999999999997868E-3</v>
      </c>
      <c r="I2494" s="2">
        <f>_xlfn.XLOOKUP(A2494,T10Y3M!A:A,T10Y3M!B:B,"",-1)</f>
        <v>0.35</v>
      </c>
      <c r="J2494" s="2">
        <f>_xlfn.XLOOKUP(A2494,BAMLC0A4CBBB!A:A,BAMLC0A4CBBB!B:B,"",-1)</f>
        <v>1.06</v>
      </c>
      <c r="K2494" s="2">
        <f>_xlfn.XLOOKUP(A2494,CPIAUCSL!A:A,CPIAUCSL!B:B,"",-1)</f>
        <v>327.45999999999998</v>
      </c>
      <c r="L2494">
        <f>_xlfn.XLOOKUP(A2494,DFF!A:A,DFF!B:B,"",-1)</f>
        <v>3.64</v>
      </c>
      <c r="M2494">
        <f>_xlfn.XLOOKUP(A2494,'DGS2'!A:A,'DGS2'!B:B,"",-1)</f>
        <v>3.51</v>
      </c>
      <c r="N2494">
        <f t="shared" si="307"/>
        <v>3.9999999999999591E-2</v>
      </c>
      <c r="O2494">
        <f t="shared" si="308"/>
        <v>7.7560319395360011E-3</v>
      </c>
      <c r="P2494">
        <f t="shared" si="309"/>
        <v>1</v>
      </c>
      <c r="Q2494">
        <f t="shared" si="310"/>
        <v>1</v>
      </c>
    </row>
    <row r="2495" spans="1:17">
      <c r="A2495" s="1">
        <v>46085</v>
      </c>
      <c r="B2495">
        <v>6869.5</v>
      </c>
      <c r="C2495">
        <f t="shared" si="304"/>
        <v>7.7560319395360011E-3</v>
      </c>
      <c r="D2495">
        <f t="shared" si="311"/>
        <v>-1.3635940734538776E-3</v>
      </c>
      <c r="E2495">
        <f>_xlfn.XLOOKUP(A2495,VIX!A:A,VIX!B:B,"",-1)</f>
        <v>21.15</v>
      </c>
      <c r="F2495">
        <f t="shared" si="305"/>
        <v>-2.4200000000000017</v>
      </c>
      <c r="G2495">
        <f>_xlfn.XLOOKUP(A2495,'DGS10'!A:A,'DGS10'!B:B,"",-1)</f>
        <v>4.09</v>
      </c>
      <c r="H2495">
        <f t="shared" si="306"/>
        <v>3.0000000000000249E-2</v>
      </c>
      <c r="I2495" s="2">
        <f>_xlfn.XLOOKUP(A2495,T10Y3M!A:A,T10Y3M!B:B,"",-1)</f>
        <v>0.38</v>
      </c>
      <c r="J2495" s="2">
        <f>_xlfn.XLOOKUP(A2495,BAMLC0A4CBBB!A:A,BAMLC0A4CBBB!B:B,"",-1)</f>
        <v>1.03</v>
      </c>
      <c r="K2495" s="2">
        <f>_xlfn.XLOOKUP(A2495,CPIAUCSL!A:A,CPIAUCSL!B:B,"",-1)</f>
        <v>327.45999999999998</v>
      </c>
      <c r="L2495">
        <f>_xlfn.XLOOKUP(A2495,DFF!A:A,DFF!B:B,"",-1)</f>
        <v>3.64</v>
      </c>
      <c r="M2495">
        <f>_xlfn.XLOOKUP(A2495,'DGS2'!A:A,'DGS2'!B:B,"",-1)</f>
        <v>3.54</v>
      </c>
      <c r="N2495">
        <f t="shared" si="307"/>
        <v>3.0000000000000249E-2</v>
      </c>
      <c r="O2495">
        <f t="shared" si="308"/>
        <v>-5.6466991775238062E-3</v>
      </c>
      <c r="P2495">
        <f t="shared" si="309"/>
        <v>0</v>
      </c>
      <c r="Q2495">
        <f t="shared" si="310"/>
        <v>-1</v>
      </c>
    </row>
    <row r="2496" spans="1:17">
      <c r="A2496" s="1">
        <v>46086</v>
      </c>
      <c r="B2496">
        <v>6830.71</v>
      </c>
      <c r="C2496">
        <f t="shared" si="304"/>
        <v>-5.6466991775238062E-3</v>
      </c>
      <c r="D2496">
        <f t="shared" si="311"/>
        <v>-7.3979673390858203E-3</v>
      </c>
      <c r="E2496">
        <f>_xlfn.XLOOKUP(A2496,VIX!A:A,VIX!B:B,"",-1)</f>
        <v>23.75</v>
      </c>
      <c r="F2496">
        <f t="shared" si="305"/>
        <v>2.6000000000000014</v>
      </c>
      <c r="G2496">
        <f>_xlfn.XLOOKUP(A2496,'DGS10'!A:A,'DGS10'!B:B,"",-1)</f>
        <v>4.13</v>
      </c>
      <c r="H2496">
        <f t="shared" si="306"/>
        <v>4.0000000000000036E-2</v>
      </c>
      <c r="I2496" s="2">
        <f>_xlfn.XLOOKUP(A2496,T10Y3M!A:A,T10Y3M!B:B,"",-1)</f>
        <v>0.43</v>
      </c>
      <c r="J2496" s="2">
        <f>_xlfn.XLOOKUP(A2496,BAMLC0A4CBBB!A:A,BAMLC0A4CBBB!B:B,"",-1)</f>
        <v>1.04</v>
      </c>
      <c r="K2496" s="2">
        <f>_xlfn.XLOOKUP(A2496,CPIAUCSL!A:A,CPIAUCSL!B:B,"",-1)</f>
        <v>327.45999999999998</v>
      </c>
      <c r="L2496">
        <f>_xlfn.XLOOKUP(A2496,DFF!A:A,DFF!B:B,"",-1)</f>
        <v>3.64</v>
      </c>
      <c r="M2496">
        <f>_xlfn.XLOOKUP(A2496,'DGS2'!A:A,'DGS2'!B:B,"",-1)</f>
        <v>3.57</v>
      </c>
      <c r="N2496">
        <f t="shared" si="307"/>
        <v>2.9999999999999805E-2</v>
      </c>
      <c r="O2496">
        <f t="shared" si="308"/>
        <v>-1.3276804314631963E-2</v>
      </c>
      <c r="P2496">
        <f t="shared" si="309"/>
        <v>0</v>
      </c>
      <c r="Q2496">
        <f t="shared" si="310"/>
        <v>-1</v>
      </c>
    </row>
    <row r="2497" spans="1:17">
      <c r="A2497" s="1">
        <v>46087</v>
      </c>
      <c r="B2497">
        <v>6740.02</v>
      </c>
      <c r="C2497">
        <f t="shared" si="304"/>
        <v>-1.3276804314631963E-2</v>
      </c>
      <c r="D2497">
        <f t="shared" si="311"/>
        <v>-1.1238691259463973E-2</v>
      </c>
      <c r="E2497">
        <f>_xlfn.XLOOKUP(A2497,VIX!A:A,VIX!B:B,"",-1)</f>
        <v>29.49</v>
      </c>
      <c r="F2497">
        <f t="shared" si="305"/>
        <v>5.7399999999999984</v>
      </c>
      <c r="G2497">
        <f>_xlfn.XLOOKUP(A2497,'DGS10'!A:A,'DGS10'!B:B,"",-1)</f>
        <v>4.1500000000000004</v>
      </c>
      <c r="H2497">
        <f t="shared" si="306"/>
        <v>2.0000000000000462E-2</v>
      </c>
      <c r="I2497" s="2">
        <f>_xlfn.XLOOKUP(A2497,T10Y3M!A:A,T10Y3M!B:B,"",-1)</f>
        <v>0.46</v>
      </c>
      <c r="J2497" s="2">
        <f>_xlfn.XLOOKUP(A2497,BAMLC0A4CBBB!A:A,BAMLC0A4CBBB!B:B,"",-1)</f>
        <v>1.06</v>
      </c>
      <c r="K2497" s="2">
        <f>_xlfn.XLOOKUP(A2497,CPIAUCSL!A:A,CPIAUCSL!B:B,"",-1)</f>
        <v>327.45999999999998</v>
      </c>
      <c r="L2497">
        <f>_xlfn.XLOOKUP(A2497,DFF!A:A,DFF!B:B,"",-1)</f>
        <v>3.64</v>
      </c>
      <c r="M2497">
        <f>_xlfn.XLOOKUP(A2497,'DGS2'!A:A,'DGS2'!B:B,"",-1)</f>
        <v>3.56</v>
      </c>
      <c r="N2497">
        <f t="shared" si="307"/>
        <v>-9.9999999999997868E-3</v>
      </c>
      <c r="O2497">
        <f t="shared" si="308"/>
        <v>8.3041296613362015E-3</v>
      </c>
      <c r="P2497">
        <f t="shared" si="309"/>
        <v>1</v>
      </c>
      <c r="Q2497">
        <f t="shared" si="310"/>
        <v>1</v>
      </c>
    </row>
    <row r="2498" spans="1:17">
      <c r="A2498" s="1">
        <v>46090</v>
      </c>
      <c r="B2498">
        <v>6795.99</v>
      </c>
      <c r="C2498">
        <f t="shared" si="304"/>
        <v>8.3041296613362015E-3</v>
      </c>
      <c r="D2498">
        <f t="shared" si="311"/>
        <v>-1.070092437586434E-2</v>
      </c>
      <c r="E2498">
        <f>_xlfn.XLOOKUP(A2498,VIX!A:A,VIX!B:B,"",-1)</f>
        <v>25.5</v>
      </c>
      <c r="F2498">
        <f t="shared" si="305"/>
        <v>-3.9899999999999984</v>
      </c>
      <c r="G2498">
        <f>_xlfn.XLOOKUP(A2498,'DGS10'!A:A,'DGS10'!B:B,"",-1)</f>
        <v>4.12</v>
      </c>
      <c r="H2498">
        <f t="shared" si="306"/>
        <v>-3.0000000000000249E-2</v>
      </c>
      <c r="I2498" s="2">
        <f>_xlfn.XLOOKUP(A2498,T10Y3M!A:A,T10Y3M!B:B,"",-1)</f>
        <v>0.41</v>
      </c>
      <c r="J2498" s="2">
        <f>_xlfn.XLOOKUP(A2498,BAMLC0A4CBBB!A:A,BAMLC0A4CBBB!B:B,"",-1)</f>
        <v>1.07</v>
      </c>
      <c r="K2498" s="2">
        <f>_xlfn.XLOOKUP(A2498,CPIAUCSL!A:A,CPIAUCSL!B:B,"",-1)</f>
        <v>327.45999999999998</v>
      </c>
      <c r="L2498">
        <f>_xlfn.XLOOKUP(A2498,DFF!A:A,DFF!B:B,"",-1)</f>
        <v>3.64</v>
      </c>
      <c r="M2498">
        <f>_xlfn.XLOOKUP(A2498,'DGS2'!A:A,'DGS2'!B:B,"",-1)</f>
        <v>3.56</v>
      </c>
      <c r="N2498">
        <f t="shared" si="307"/>
        <v>0</v>
      </c>
      <c r="O2498">
        <f t="shared" si="308"/>
        <v>-2.1350826001804712E-3</v>
      </c>
      <c r="P2498">
        <f t="shared" si="309"/>
        <v>0</v>
      </c>
      <c r="Q2498">
        <f t="shared" si="310"/>
        <v>0</v>
      </c>
    </row>
    <row r="2499" spans="1:17">
      <c r="A2499" s="1">
        <v>46091</v>
      </c>
      <c r="B2499">
        <v>6781.48</v>
      </c>
      <c r="C2499">
        <f t="shared" si="304"/>
        <v>-2.1350826001804712E-3</v>
      </c>
      <c r="D2499">
        <f t="shared" si="311"/>
        <v>-7.2071570890874792E-3</v>
      </c>
      <c r="E2499">
        <f>_xlfn.XLOOKUP(A2499,VIX!A:A,VIX!B:B,"",-1)</f>
        <v>24.93</v>
      </c>
      <c r="F2499">
        <f t="shared" si="305"/>
        <v>-0.57000000000000028</v>
      </c>
      <c r="G2499">
        <f>_xlfn.XLOOKUP(A2499,'DGS10'!A:A,'DGS10'!B:B,"",-1)</f>
        <v>4.1500000000000004</v>
      </c>
      <c r="H2499">
        <f t="shared" si="306"/>
        <v>3.0000000000000249E-2</v>
      </c>
      <c r="I2499" s="2">
        <f>_xlfn.XLOOKUP(A2499,T10Y3M!A:A,T10Y3M!B:B,"",-1)</f>
        <v>0.44</v>
      </c>
      <c r="J2499" s="2">
        <f>_xlfn.XLOOKUP(A2499,BAMLC0A4CBBB!A:A,BAMLC0A4CBBB!B:B,"",-1)</f>
        <v>1.06</v>
      </c>
      <c r="K2499" s="2">
        <f>_xlfn.XLOOKUP(A2499,CPIAUCSL!A:A,CPIAUCSL!B:B,"",-1)</f>
        <v>327.45999999999998</v>
      </c>
      <c r="L2499">
        <f>_xlfn.XLOOKUP(A2499,DFF!A:A,DFF!B:B,"",-1)</f>
        <v>3.64</v>
      </c>
      <c r="M2499">
        <f>_xlfn.XLOOKUP(A2499,'DGS2'!A:A,'DGS2'!B:B,"",-1)</f>
        <v>3.57</v>
      </c>
      <c r="N2499">
        <f t="shared" si="307"/>
        <v>9.9999999999997868E-3</v>
      </c>
      <c r="O2499">
        <f t="shared" si="308"/>
        <v>-8.3757527855266023E-4</v>
      </c>
      <c r="P2499">
        <f t="shared" si="309"/>
        <v>0</v>
      </c>
      <c r="Q2499">
        <f t="shared" si="310"/>
        <v>0</v>
      </c>
    </row>
    <row r="2500" spans="1:17">
      <c r="A2500" s="1">
        <v>46092</v>
      </c>
      <c r="B2500">
        <v>6775.8</v>
      </c>
      <c r="C2500">
        <f t="shared" ref="C2500:C2516" si="312">IF(OR(B2500="",B2499=""),"",(B2500/B2499)-1)</f>
        <v>-8.3757527855266023E-4</v>
      </c>
      <c r="D2500">
        <f t="shared" si="311"/>
        <v>5.3085895887547974E-3</v>
      </c>
      <c r="E2500">
        <f>_xlfn.XLOOKUP(A2500,VIX!A:A,VIX!B:B,"",-1)</f>
        <v>24.23</v>
      </c>
      <c r="F2500">
        <f t="shared" ref="F2500:F2516" si="313">IF(OR(E2500="",E2499=""),"",E2500-E2499)</f>
        <v>-0.69999999999999929</v>
      </c>
      <c r="G2500">
        <f>_xlfn.XLOOKUP(A2500,'DGS10'!A:A,'DGS10'!B:B,"",-1)</f>
        <v>4.21</v>
      </c>
      <c r="H2500">
        <f t="shared" ref="H2500:H2516" si="314">IF(OR(G2500="",G2499=""),"",G2500-G2499)</f>
        <v>5.9999999999999609E-2</v>
      </c>
      <c r="I2500" s="2">
        <f>_xlfn.XLOOKUP(A2500,T10Y3M!A:A,T10Y3M!B:B,"",-1)</f>
        <v>0.5</v>
      </c>
      <c r="J2500" s="2">
        <f>_xlfn.XLOOKUP(A2500,BAMLC0A4CBBB!A:A,BAMLC0A4CBBB!B:B,"",-1)</f>
        <v>1.0900000000000001</v>
      </c>
      <c r="K2500" s="2">
        <f>_xlfn.XLOOKUP(A2500,CPIAUCSL!A:A,CPIAUCSL!B:B,"",-1)</f>
        <v>327.45999999999998</v>
      </c>
      <c r="L2500">
        <f>_xlfn.XLOOKUP(A2500,DFF!A:A,DFF!B:B,"",-1)</f>
        <v>3.64</v>
      </c>
      <c r="M2500">
        <f>_xlfn.XLOOKUP(A2500,'DGS2'!A:A,'DGS2'!B:B,"",-1)</f>
        <v>3.64</v>
      </c>
      <c r="N2500">
        <f t="shared" ref="N2500:N2516" si="315">IF(OR(M2500="",M2499=""),"",M2500-M2499)</f>
        <v>7.0000000000000284E-2</v>
      </c>
      <c r="O2500">
        <f t="shared" ref="O2500:O2516" si="316">IF(OR(B2501="",B2500=""),"",(B2501/B2500)-1)</f>
        <v>-1.5227722187786008E-2</v>
      </c>
      <c r="P2500">
        <f t="shared" ref="P2500:P2516" si="317">IF(O2500="","",IF(O2500&gt;0,1,0))</f>
        <v>0</v>
      </c>
      <c r="Q2500">
        <f t="shared" ref="Q2500:Q2516" si="318">IF(O2500="","",IF(O2500&gt;0.003,1,IF(O2500&lt;-0.003,-1,0)))</f>
        <v>-1</v>
      </c>
    </row>
    <row r="2501" spans="1:17">
      <c r="A2501" s="1">
        <v>46093</v>
      </c>
      <c r="B2501">
        <v>6672.62</v>
      </c>
      <c r="C2501">
        <f t="shared" si="312"/>
        <v>-1.5227722187786008E-2</v>
      </c>
      <c r="D2501">
        <f t="shared" si="311"/>
        <v>-1.8153352197398775E-2</v>
      </c>
      <c r="E2501">
        <f>_xlfn.XLOOKUP(A2501,VIX!A:A,VIX!B:B,"",-1)</f>
        <v>27.29</v>
      </c>
      <c r="F2501">
        <f t="shared" si="313"/>
        <v>3.0599999999999987</v>
      </c>
      <c r="G2501">
        <f>_xlfn.XLOOKUP(A2501,'DGS10'!A:A,'DGS10'!B:B,"",-1)</f>
        <v>4.2699999999999996</v>
      </c>
      <c r="H2501">
        <f t="shared" si="314"/>
        <v>5.9999999999999609E-2</v>
      </c>
      <c r="I2501" s="2">
        <f>_xlfn.XLOOKUP(A2501,T10Y3M!A:A,T10Y3M!B:B,"",-1)</f>
        <v>0.55000000000000004</v>
      </c>
      <c r="J2501" s="2">
        <f>_xlfn.XLOOKUP(A2501,BAMLC0A4CBBB!A:A,BAMLC0A4CBBB!B:B,"",-1)</f>
        <v>1.1200000000000001</v>
      </c>
      <c r="K2501" s="2">
        <f>_xlfn.XLOOKUP(A2501,CPIAUCSL!A:A,CPIAUCSL!B:B,"",-1)</f>
        <v>327.45999999999998</v>
      </c>
      <c r="L2501">
        <f>_xlfn.XLOOKUP(A2501,DFF!A:A,DFF!B:B,"",-1)</f>
        <v>3.64</v>
      </c>
      <c r="M2501">
        <f>_xlfn.XLOOKUP(A2501,'DGS2'!A:A,'DGS2'!B:B,"",-1)</f>
        <v>3.76</v>
      </c>
      <c r="N2501">
        <f t="shared" si="315"/>
        <v>0.11999999999999966</v>
      </c>
      <c r="O2501">
        <f t="shared" si="316"/>
        <v>-6.0590892333146629E-3</v>
      </c>
      <c r="P2501">
        <f t="shared" si="317"/>
        <v>0</v>
      </c>
      <c r="Q2501">
        <f t="shared" si="318"/>
        <v>-1</v>
      </c>
    </row>
    <row r="2502" spans="1:17">
      <c r="A2502" s="1">
        <v>46094</v>
      </c>
      <c r="B2502">
        <v>6632.19</v>
      </c>
      <c r="C2502">
        <f t="shared" si="312"/>
        <v>-6.0590892333146629E-3</v>
      </c>
      <c r="D2502">
        <f t="shared" ref="D2502:D2516" si="319">IF(OR(B2502="",B2499=""),"",(B2502/B2499)-1)</f>
        <v>-2.2014368544919449E-2</v>
      </c>
      <c r="E2502">
        <f>_xlfn.XLOOKUP(A2502,VIX!A:A,VIX!B:B,"",-1)</f>
        <v>27.19</v>
      </c>
      <c r="F2502">
        <f t="shared" si="313"/>
        <v>-9.9999999999997868E-2</v>
      </c>
      <c r="G2502">
        <f>_xlfn.XLOOKUP(A2502,'DGS10'!A:A,'DGS10'!B:B,"",-1)</f>
        <v>4.28</v>
      </c>
      <c r="H2502">
        <f t="shared" si="314"/>
        <v>1.0000000000000675E-2</v>
      </c>
      <c r="I2502" s="2">
        <f>_xlfn.XLOOKUP(A2502,T10Y3M!A:A,T10Y3M!B:B,"",-1)</f>
        <v>0.56000000000000005</v>
      </c>
      <c r="J2502" s="2">
        <f>_xlfn.XLOOKUP(A2502,BAMLC0A4CBBB!A:A,BAMLC0A4CBBB!B:B,"",-1)</f>
        <v>1.1499999999999999</v>
      </c>
      <c r="K2502" s="2">
        <f>_xlfn.XLOOKUP(A2502,CPIAUCSL!A:A,CPIAUCSL!B:B,"",-1)</f>
        <v>327.45999999999998</v>
      </c>
      <c r="L2502">
        <f>_xlfn.XLOOKUP(A2502,DFF!A:A,DFF!B:B,"",-1)</f>
        <v>3.64</v>
      </c>
      <c r="M2502">
        <f>_xlfn.XLOOKUP(A2502,'DGS2'!A:A,'DGS2'!B:B,"",-1)</f>
        <v>3.73</v>
      </c>
      <c r="N2502">
        <f t="shared" si="315"/>
        <v>-2.9999999999999805E-2</v>
      </c>
      <c r="O2502">
        <f t="shared" si="316"/>
        <v>1.0130891907499606E-2</v>
      </c>
      <c r="P2502">
        <f t="shared" si="317"/>
        <v>1</v>
      </c>
      <c r="Q2502">
        <f t="shared" si="318"/>
        <v>1</v>
      </c>
    </row>
    <row r="2503" spans="1:17">
      <c r="A2503" s="1">
        <v>46097</v>
      </c>
      <c r="B2503">
        <v>6699.38</v>
      </c>
      <c r="C2503">
        <f t="shared" si="312"/>
        <v>1.0130891907499606E-2</v>
      </c>
      <c r="D2503">
        <f t="shared" si="319"/>
        <v>-1.127837303344259E-2</v>
      </c>
      <c r="E2503">
        <f>_xlfn.XLOOKUP(A2503,VIX!A:A,VIX!B:B,"",-1)</f>
        <v>23.51</v>
      </c>
      <c r="F2503">
        <f t="shared" si="313"/>
        <v>-3.6799999999999997</v>
      </c>
      <c r="G2503">
        <f>_xlfn.XLOOKUP(A2503,'DGS10'!A:A,'DGS10'!B:B,"",-1)</f>
        <v>4.2300000000000004</v>
      </c>
      <c r="H2503">
        <f t="shared" si="314"/>
        <v>-4.9999999999999822E-2</v>
      </c>
      <c r="I2503" s="2">
        <f>_xlfn.XLOOKUP(A2503,T10Y3M!A:A,T10Y3M!B:B,"",-1)</f>
        <v>0.51</v>
      </c>
      <c r="J2503" s="2">
        <f>_xlfn.XLOOKUP(A2503,BAMLC0A4CBBB!A:A,BAMLC0A4CBBB!B:B,"",-1)</f>
        <v>1.1599999999999999</v>
      </c>
      <c r="K2503" s="2">
        <f>_xlfn.XLOOKUP(A2503,CPIAUCSL!A:A,CPIAUCSL!B:B,"",-1)</f>
        <v>327.45999999999998</v>
      </c>
      <c r="L2503">
        <f>_xlfn.XLOOKUP(A2503,DFF!A:A,DFF!B:B,"",-1)</f>
        <v>3.64</v>
      </c>
      <c r="M2503">
        <f>_xlfn.XLOOKUP(A2503,'DGS2'!A:A,'DGS2'!B:B,"",-1)</f>
        <v>3.68</v>
      </c>
      <c r="N2503">
        <f t="shared" si="315"/>
        <v>-4.9999999999999822E-2</v>
      </c>
      <c r="O2503">
        <f t="shared" si="316"/>
        <v>2.494260662927017E-3</v>
      </c>
      <c r="P2503">
        <f t="shared" si="317"/>
        <v>1</v>
      </c>
      <c r="Q2503">
        <f t="shared" si="318"/>
        <v>0</v>
      </c>
    </row>
    <row r="2504" spans="1:17">
      <c r="A2504" s="1">
        <v>46098</v>
      </c>
      <c r="B2504">
        <v>6716.09</v>
      </c>
      <c r="C2504">
        <f t="shared" si="312"/>
        <v>2.494260662927017E-3</v>
      </c>
      <c r="D2504">
        <f t="shared" si="319"/>
        <v>6.5146823886270688E-3</v>
      </c>
      <c r="E2504">
        <f>_xlfn.XLOOKUP(A2504,VIX!A:A,VIX!B:B,"",-1)</f>
        <v>22.37</v>
      </c>
      <c r="F2504">
        <f t="shared" si="313"/>
        <v>-1.1400000000000006</v>
      </c>
      <c r="G2504">
        <f>_xlfn.XLOOKUP(A2504,'DGS10'!A:A,'DGS10'!B:B,"",-1)</f>
        <v>4.2</v>
      </c>
      <c r="H2504">
        <f t="shared" si="314"/>
        <v>-3.0000000000000249E-2</v>
      </c>
      <c r="I2504" s="2">
        <f>_xlfn.XLOOKUP(A2504,T10Y3M!A:A,T10Y3M!B:B,"",-1)</f>
        <v>0.48</v>
      </c>
      <c r="J2504" s="2">
        <f>_xlfn.XLOOKUP(A2504,BAMLC0A4CBBB!A:A,BAMLC0A4CBBB!B:B,"",-1)</f>
        <v>1.1399999999999999</v>
      </c>
      <c r="K2504" s="2">
        <f>_xlfn.XLOOKUP(A2504,CPIAUCSL!A:A,CPIAUCSL!B:B,"",-1)</f>
        <v>327.45999999999998</v>
      </c>
      <c r="L2504">
        <f>_xlfn.XLOOKUP(A2504,DFF!A:A,DFF!B:B,"",-1)</f>
        <v>3.64</v>
      </c>
      <c r="M2504">
        <f>_xlfn.XLOOKUP(A2504,'DGS2'!A:A,'DGS2'!B:B,"",-1)</f>
        <v>3.68</v>
      </c>
      <c r="N2504">
        <f t="shared" si="315"/>
        <v>0</v>
      </c>
      <c r="O2504">
        <f t="shared" si="316"/>
        <v>-1.3607619909798752E-2</v>
      </c>
      <c r="P2504">
        <f t="shared" si="317"/>
        <v>0</v>
      </c>
      <c r="Q2504">
        <f t="shared" si="318"/>
        <v>-1</v>
      </c>
    </row>
    <row r="2505" spans="1:17">
      <c r="A2505" s="1">
        <v>46099</v>
      </c>
      <c r="B2505">
        <v>6624.7</v>
      </c>
      <c r="C2505">
        <f t="shared" si="312"/>
        <v>-1.3607619909798752E-2</v>
      </c>
      <c r="D2505">
        <f t="shared" si="319"/>
        <v>-1.1293403837947524E-3</v>
      </c>
      <c r="E2505">
        <f>_xlfn.XLOOKUP(A2505,VIX!A:A,VIX!B:B,"",-1)</f>
        <v>25.09</v>
      </c>
      <c r="F2505">
        <f t="shared" si="313"/>
        <v>2.7199999999999989</v>
      </c>
      <c r="G2505">
        <f>_xlfn.XLOOKUP(A2505,'DGS10'!A:A,'DGS10'!B:B,"",-1)</f>
        <v>4.26</v>
      </c>
      <c r="H2505">
        <f t="shared" si="314"/>
        <v>5.9999999999999609E-2</v>
      </c>
      <c r="I2505" s="2">
        <f>_xlfn.XLOOKUP(A2505,T10Y3M!A:A,T10Y3M!B:B,"",-1)</f>
        <v>0.53</v>
      </c>
      <c r="J2505" s="2">
        <f>_xlfn.XLOOKUP(A2505,BAMLC0A4CBBB!A:A,BAMLC0A4CBBB!B:B,"",-1)</f>
        <v>1.1299999999999999</v>
      </c>
      <c r="K2505" s="2">
        <f>_xlfn.XLOOKUP(A2505,CPIAUCSL!A:A,CPIAUCSL!B:B,"",-1)</f>
        <v>327.45999999999998</v>
      </c>
      <c r="L2505">
        <f>_xlfn.XLOOKUP(A2505,DFF!A:A,DFF!B:B,"",-1)</f>
        <v>3.64</v>
      </c>
      <c r="M2505">
        <f>_xlfn.XLOOKUP(A2505,'DGS2'!A:A,'DGS2'!B:B,"",-1)</f>
        <v>3.76</v>
      </c>
      <c r="N2505">
        <f t="shared" si="315"/>
        <v>7.9999999999999627E-2</v>
      </c>
      <c r="O2505">
        <f t="shared" si="316"/>
        <v>-2.7488037194136616E-3</v>
      </c>
      <c r="P2505">
        <f t="shared" si="317"/>
        <v>0</v>
      </c>
      <c r="Q2505">
        <f t="shared" si="318"/>
        <v>0</v>
      </c>
    </row>
    <row r="2506" spans="1:17">
      <c r="A2506" s="1">
        <v>46100</v>
      </c>
      <c r="B2506">
        <v>6606.49</v>
      </c>
      <c r="C2506">
        <f t="shared" si="312"/>
        <v>-2.7488037194136616E-3</v>
      </c>
      <c r="D2506">
        <f t="shared" si="319"/>
        <v>-1.3865462177097054E-2</v>
      </c>
      <c r="E2506">
        <f>_xlfn.XLOOKUP(A2506,VIX!A:A,VIX!B:B,"",-1)</f>
        <v>24.06</v>
      </c>
      <c r="F2506">
        <f t="shared" si="313"/>
        <v>-1.0300000000000011</v>
      </c>
      <c r="G2506">
        <f>_xlfn.XLOOKUP(A2506,'DGS10'!A:A,'DGS10'!B:B,"",-1)</f>
        <v>4.25</v>
      </c>
      <c r="H2506">
        <f t="shared" si="314"/>
        <v>-9.9999999999997868E-3</v>
      </c>
      <c r="I2506" s="2">
        <f>_xlfn.XLOOKUP(A2506,T10Y3M!A:A,T10Y3M!B:B,"",-1)</f>
        <v>0.52</v>
      </c>
      <c r="J2506" s="2">
        <f>_xlfn.XLOOKUP(A2506,BAMLC0A4CBBB!A:A,BAMLC0A4CBBB!B:B,"",-1)</f>
        <v>1.1299999999999999</v>
      </c>
      <c r="K2506" s="2">
        <f>_xlfn.XLOOKUP(A2506,CPIAUCSL!A:A,CPIAUCSL!B:B,"",-1)</f>
        <v>327.45999999999998</v>
      </c>
      <c r="L2506">
        <f>_xlfn.XLOOKUP(A2506,DFF!A:A,DFF!B:B,"",-1)</f>
        <v>3.64</v>
      </c>
      <c r="M2506">
        <f>_xlfn.XLOOKUP(A2506,'DGS2'!A:A,'DGS2'!B:B,"",-1)</f>
        <v>3.79</v>
      </c>
      <c r="N2506">
        <f t="shared" si="315"/>
        <v>3.0000000000000249E-2</v>
      </c>
      <c r="O2506">
        <f t="shared" si="316"/>
        <v>-1.5138144460977054E-2</v>
      </c>
      <c r="P2506">
        <f t="shared" si="317"/>
        <v>0</v>
      </c>
      <c r="Q2506">
        <f t="shared" si="318"/>
        <v>-1</v>
      </c>
    </row>
    <row r="2507" spans="1:17">
      <c r="A2507" s="1">
        <v>46101</v>
      </c>
      <c r="B2507">
        <v>6506.48</v>
      </c>
      <c r="C2507">
        <f t="shared" si="312"/>
        <v>-1.5138144460977054E-2</v>
      </c>
      <c r="D2507">
        <f t="shared" si="319"/>
        <v>-3.121012374759724E-2</v>
      </c>
      <c r="E2507">
        <f>_xlfn.XLOOKUP(A2507,VIX!A:A,VIX!B:B,"",-1)</f>
        <v>26.78</v>
      </c>
      <c r="F2507">
        <f t="shared" si="313"/>
        <v>2.7200000000000024</v>
      </c>
      <c r="G2507">
        <f>_xlfn.XLOOKUP(A2507,'DGS10'!A:A,'DGS10'!B:B,"",-1)</f>
        <v>4.3899999999999997</v>
      </c>
      <c r="H2507">
        <f t="shared" si="314"/>
        <v>0.13999999999999968</v>
      </c>
      <c r="I2507" s="2">
        <f>_xlfn.XLOOKUP(A2507,T10Y3M!A:A,T10Y3M!B:B,"",-1)</f>
        <v>0.65</v>
      </c>
      <c r="J2507" s="2">
        <f>_xlfn.XLOOKUP(A2507,BAMLC0A4CBBB!A:A,BAMLC0A4CBBB!B:B,"",-1)</f>
        <v>1.1100000000000001</v>
      </c>
      <c r="K2507" s="2">
        <f>_xlfn.XLOOKUP(A2507,CPIAUCSL!A:A,CPIAUCSL!B:B,"",-1)</f>
        <v>327.45999999999998</v>
      </c>
      <c r="L2507">
        <f>_xlfn.XLOOKUP(A2507,DFF!A:A,DFF!B:B,"",-1)</f>
        <v>3.64</v>
      </c>
      <c r="M2507">
        <f>_xlfn.XLOOKUP(A2507,'DGS2'!A:A,'DGS2'!B:B,"",-1)</f>
        <v>3.88</v>
      </c>
      <c r="N2507">
        <f t="shared" si="315"/>
        <v>8.9999999999999858E-2</v>
      </c>
      <c r="O2507">
        <f t="shared" si="316"/>
        <v>1.1453197427795159E-2</v>
      </c>
      <c r="P2507">
        <f t="shared" si="317"/>
        <v>1</v>
      </c>
      <c r="Q2507">
        <f t="shared" si="318"/>
        <v>1</v>
      </c>
    </row>
    <row r="2508" spans="1:17">
      <c r="A2508" s="1">
        <v>46104</v>
      </c>
      <c r="B2508">
        <v>6581</v>
      </c>
      <c r="C2508">
        <f t="shared" si="312"/>
        <v>1.1453197427795159E-2</v>
      </c>
      <c r="D2508">
        <f t="shared" si="319"/>
        <v>-6.5965251256659974E-3</v>
      </c>
      <c r="E2508">
        <f>_xlfn.XLOOKUP(A2508,VIX!A:A,VIX!B:B,"",-1)</f>
        <v>26.15</v>
      </c>
      <c r="F2508">
        <f t="shared" si="313"/>
        <v>-0.63000000000000256</v>
      </c>
      <c r="G2508">
        <f>_xlfn.XLOOKUP(A2508,'DGS10'!A:A,'DGS10'!B:B,"",-1)</f>
        <v>4.34</v>
      </c>
      <c r="H2508">
        <f t="shared" si="314"/>
        <v>-4.9999999999999822E-2</v>
      </c>
      <c r="I2508" s="2">
        <f>_xlfn.XLOOKUP(A2508,T10Y3M!A:A,T10Y3M!B:B,"",-1)</f>
        <v>0.6</v>
      </c>
      <c r="J2508" s="2">
        <f>_xlfn.XLOOKUP(A2508,BAMLC0A4CBBB!A:A,BAMLC0A4CBBB!B:B,"",-1)</f>
        <v>1.1100000000000001</v>
      </c>
      <c r="K2508" s="2">
        <f>_xlfn.XLOOKUP(A2508,CPIAUCSL!A:A,CPIAUCSL!B:B,"",-1)</f>
        <v>327.45999999999998</v>
      </c>
      <c r="L2508">
        <f>_xlfn.XLOOKUP(A2508,DFF!A:A,DFF!B:B,"",-1)</f>
        <v>3.64</v>
      </c>
      <c r="M2508">
        <f>_xlfn.XLOOKUP(A2508,'DGS2'!A:A,'DGS2'!B:B,"",-1)</f>
        <v>3.83</v>
      </c>
      <c r="N2508">
        <f t="shared" si="315"/>
        <v>-4.9999999999999822E-2</v>
      </c>
      <c r="O2508">
        <f t="shared" si="316"/>
        <v>-3.742592311198889E-3</v>
      </c>
      <c r="P2508">
        <f t="shared" si="317"/>
        <v>0</v>
      </c>
      <c r="Q2508">
        <f t="shared" si="318"/>
        <v>-1</v>
      </c>
    </row>
    <row r="2509" spans="1:17">
      <c r="A2509" s="1">
        <v>46105</v>
      </c>
      <c r="B2509">
        <v>6556.37</v>
      </c>
      <c r="C2509">
        <f t="shared" si="312"/>
        <v>-3.742592311198889E-3</v>
      </c>
      <c r="D2509">
        <f t="shared" si="319"/>
        <v>-7.5864793559060617E-3</v>
      </c>
      <c r="E2509">
        <f>_xlfn.XLOOKUP(A2509,VIX!A:A,VIX!B:B,"",-1)</f>
        <v>26.95</v>
      </c>
      <c r="F2509">
        <f t="shared" si="313"/>
        <v>0.80000000000000071</v>
      </c>
      <c r="G2509">
        <f>_xlfn.XLOOKUP(A2509,'DGS10'!A:A,'DGS10'!B:B,"",-1)</f>
        <v>4.3899999999999997</v>
      </c>
      <c r="H2509">
        <f t="shared" si="314"/>
        <v>4.9999999999999822E-2</v>
      </c>
      <c r="I2509" s="2">
        <f>_xlfn.XLOOKUP(A2509,T10Y3M!A:A,T10Y3M!B:B,"",-1)</f>
        <v>0.65</v>
      </c>
      <c r="J2509" s="2">
        <f>_xlfn.XLOOKUP(A2509,BAMLC0A4CBBB!A:A,BAMLC0A4CBBB!B:B,"",-1)</f>
        <v>1.0900000000000001</v>
      </c>
      <c r="K2509" s="2">
        <f>_xlfn.XLOOKUP(A2509,CPIAUCSL!A:A,CPIAUCSL!B:B,"",-1)</f>
        <v>327.45999999999998</v>
      </c>
      <c r="L2509">
        <f>_xlfn.XLOOKUP(A2509,DFF!A:A,DFF!B:B,"",-1)</f>
        <v>3.64</v>
      </c>
      <c r="M2509">
        <f>_xlfn.XLOOKUP(A2509,'DGS2'!A:A,'DGS2'!B:B,"",-1)</f>
        <v>3.9</v>
      </c>
      <c r="N2509">
        <f t="shared" si="315"/>
        <v>6.999999999999984E-2</v>
      </c>
      <c r="O2509">
        <f t="shared" si="316"/>
        <v>5.4191572470740912E-3</v>
      </c>
      <c r="P2509">
        <f t="shared" si="317"/>
        <v>1</v>
      </c>
      <c r="Q2509">
        <f t="shared" si="318"/>
        <v>1</v>
      </c>
    </row>
    <row r="2510" spans="1:17">
      <c r="A2510" s="1">
        <v>46106</v>
      </c>
      <c r="B2510">
        <v>6591.9</v>
      </c>
      <c r="C2510">
        <f t="shared" si="312"/>
        <v>5.4191572470740912E-3</v>
      </c>
      <c r="D2510">
        <f t="shared" si="319"/>
        <v>1.3128450406364234E-2</v>
      </c>
      <c r="E2510">
        <f>_xlfn.XLOOKUP(A2510,VIX!A:A,VIX!B:B,"",-1)</f>
        <v>25.33</v>
      </c>
      <c r="F2510">
        <f t="shared" si="313"/>
        <v>-1.620000000000001</v>
      </c>
      <c r="G2510">
        <f>_xlfn.XLOOKUP(A2510,'DGS10'!A:A,'DGS10'!B:B,"",-1)</f>
        <v>4.33</v>
      </c>
      <c r="H2510">
        <f t="shared" si="314"/>
        <v>-5.9999999999999609E-2</v>
      </c>
      <c r="I2510" s="2">
        <f>_xlfn.XLOOKUP(A2510,T10Y3M!A:A,T10Y3M!B:B,"",-1)</f>
        <v>0.6</v>
      </c>
      <c r="J2510" s="2">
        <f>_xlfn.XLOOKUP(A2510,BAMLC0A4CBBB!A:A,BAMLC0A4CBBB!B:B,"",-1)</f>
        <v>1.0900000000000001</v>
      </c>
      <c r="K2510" s="2">
        <f>_xlfn.XLOOKUP(A2510,CPIAUCSL!A:A,CPIAUCSL!B:B,"",-1)</f>
        <v>327.45999999999998</v>
      </c>
      <c r="L2510">
        <f>_xlfn.XLOOKUP(A2510,DFF!A:A,DFF!B:B,"",-1)</f>
        <v>3.64</v>
      </c>
      <c r="M2510">
        <f>_xlfn.XLOOKUP(A2510,'DGS2'!A:A,'DGS2'!B:B,"",-1)</f>
        <v>3.84</v>
      </c>
      <c r="N2510">
        <f t="shared" si="315"/>
        <v>-6.0000000000000053E-2</v>
      </c>
      <c r="O2510">
        <f t="shared" si="316"/>
        <v>-1.7406210652467391E-2</v>
      </c>
      <c r="P2510">
        <f t="shared" si="317"/>
        <v>0</v>
      </c>
      <c r="Q2510">
        <f t="shared" si="318"/>
        <v>-1</v>
      </c>
    </row>
    <row r="2511" spans="1:17">
      <c r="A2511" s="1">
        <v>46107</v>
      </c>
      <c r="B2511">
        <v>6477.16</v>
      </c>
      <c r="C2511">
        <f t="shared" si="312"/>
        <v>-1.7406210652467391E-2</v>
      </c>
      <c r="D2511">
        <f t="shared" si="319"/>
        <v>-1.57787570278074E-2</v>
      </c>
      <c r="E2511">
        <f>_xlfn.XLOOKUP(A2511,VIX!A:A,VIX!B:B,"",-1)</f>
        <v>27.44</v>
      </c>
      <c r="F2511">
        <f t="shared" si="313"/>
        <v>2.110000000000003</v>
      </c>
      <c r="G2511">
        <f>_xlfn.XLOOKUP(A2511,'DGS10'!A:A,'DGS10'!B:B,"",-1)</f>
        <v>4.42</v>
      </c>
      <c r="H2511">
        <f t="shared" si="314"/>
        <v>8.9999999999999858E-2</v>
      </c>
      <c r="I2511" s="2">
        <f>_xlfn.XLOOKUP(A2511,T10Y3M!A:A,T10Y3M!B:B,"",-1)</f>
        <v>0.69</v>
      </c>
      <c r="J2511" s="2">
        <f>_xlfn.XLOOKUP(A2511,BAMLC0A4CBBB!A:A,BAMLC0A4CBBB!B:B,"",-1)</f>
        <v>1.1100000000000001</v>
      </c>
      <c r="K2511" s="2">
        <f>_xlfn.XLOOKUP(A2511,CPIAUCSL!A:A,CPIAUCSL!B:B,"",-1)</f>
        <v>327.45999999999998</v>
      </c>
      <c r="L2511">
        <f>_xlfn.XLOOKUP(A2511,DFF!A:A,DFF!B:B,"",-1)</f>
        <v>3.64</v>
      </c>
      <c r="M2511">
        <f>_xlfn.XLOOKUP(A2511,'DGS2'!A:A,'DGS2'!B:B,"",-1)</f>
        <v>3.96</v>
      </c>
      <c r="N2511">
        <f t="shared" si="315"/>
        <v>0.12000000000000011</v>
      </c>
      <c r="O2511">
        <f t="shared" si="316"/>
        <v>-1.6721834878249076E-2</v>
      </c>
      <c r="P2511">
        <f t="shared" si="317"/>
        <v>0</v>
      </c>
      <c r="Q2511">
        <f t="shared" si="318"/>
        <v>-1</v>
      </c>
    </row>
    <row r="2512" spans="1:17">
      <c r="A2512" s="1">
        <v>46108</v>
      </c>
      <c r="B2512">
        <v>6368.85</v>
      </c>
      <c r="C2512">
        <f t="shared" si="312"/>
        <v>-1.6721834878249076E-2</v>
      </c>
      <c r="D2512">
        <f t="shared" si="319"/>
        <v>-2.8601192428127087E-2</v>
      </c>
      <c r="E2512">
        <f>_xlfn.XLOOKUP(A2512,VIX!A:A,VIX!B:B,"",-1)</f>
        <v>31.05</v>
      </c>
      <c r="F2512">
        <f t="shared" si="313"/>
        <v>3.6099999999999994</v>
      </c>
      <c r="G2512">
        <f>_xlfn.XLOOKUP(A2512,'DGS10'!A:A,'DGS10'!B:B,"",-1)</f>
        <v>4.4400000000000004</v>
      </c>
      <c r="H2512">
        <f t="shared" si="314"/>
        <v>2.0000000000000462E-2</v>
      </c>
      <c r="I2512" s="2">
        <f>_xlfn.XLOOKUP(A2512,T10Y3M!A:A,T10Y3M!B:B,"",-1)</f>
        <v>0.71</v>
      </c>
      <c r="J2512" s="2">
        <f>_xlfn.XLOOKUP(A2512,BAMLC0A4CBBB!A:A,BAMLC0A4CBBB!B:B,"",-1)</f>
        <v>1.1399999999999999</v>
      </c>
      <c r="K2512" s="2">
        <f>_xlfn.XLOOKUP(A2512,CPIAUCSL!A:A,CPIAUCSL!B:B,"",-1)</f>
        <v>327.45999999999998</v>
      </c>
      <c r="L2512">
        <f>_xlfn.XLOOKUP(A2512,DFF!A:A,DFF!B:B,"",-1)</f>
        <v>3.64</v>
      </c>
      <c r="M2512">
        <f>_xlfn.XLOOKUP(A2512,'DGS2'!A:A,'DGS2'!B:B,"",-1)</f>
        <v>3.88</v>
      </c>
      <c r="N2512">
        <f t="shared" si="315"/>
        <v>-8.0000000000000071E-2</v>
      </c>
      <c r="O2512">
        <f t="shared" si="316"/>
        <v>-3.9457672892280193E-3</v>
      </c>
      <c r="P2512">
        <f t="shared" si="317"/>
        <v>0</v>
      </c>
      <c r="Q2512">
        <f t="shared" si="318"/>
        <v>-1</v>
      </c>
    </row>
    <row r="2513" spans="1:17">
      <c r="A2513" s="1">
        <v>46111</v>
      </c>
      <c r="B2513">
        <v>6343.72</v>
      </c>
      <c r="C2513">
        <f t="shared" si="312"/>
        <v>-3.9457672892280193E-3</v>
      </c>
      <c r="D2513">
        <f t="shared" si="319"/>
        <v>-3.7649236183801227E-2</v>
      </c>
      <c r="E2513">
        <f>_xlfn.XLOOKUP(A2513,VIX!A:A,VIX!B:B,"",-1)</f>
        <v>30.61</v>
      </c>
      <c r="F2513">
        <f t="shared" si="313"/>
        <v>-0.44000000000000128</v>
      </c>
      <c r="G2513">
        <f>_xlfn.XLOOKUP(A2513,'DGS10'!A:A,'DGS10'!B:B,"",-1)</f>
        <v>4.3499999999999996</v>
      </c>
      <c r="H2513">
        <f t="shared" si="314"/>
        <v>-9.0000000000000746E-2</v>
      </c>
      <c r="I2513" s="2">
        <f>_xlfn.XLOOKUP(A2513,T10Y3M!A:A,T10Y3M!B:B,"",-1)</f>
        <v>0.64</v>
      </c>
      <c r="J2513" s="2">
        <f>_xlfn.XLOOKUP(A2513,BAMLC0A4CBBB!A:A,BAMLC0A4CBBB!B:B,"",-1)</f>
        <v>1.1599999999999999</v>
      </c>
      <c r="K2513" s="2">
        <f>_xlfn.XLOOKUP(A2513,CPIAUCSL!A:A,CPIAUCSL!B:B,"",-1)</f>
        <v>327.45999999999998</v>
      </c>
      <c r="L2513">
        <f>_xlfn.XLOOKUP(A2513,DFF!A:A,DFF!B:B,"",-1)</f>
        <v>3.64</v>
      </c>
      <c r="M2513">
        <f>_xlfn.XLOOKUP(A2513,'DGS2'!A:A,'DGS2'!B:B,"",-1)</f>
        <v>3.82</v>
      </c>
      <c r="N2513">
        <f t="shared" si="315"/>
        <v>-6.0000000000000053E-2</v>
      </c>
      <c r="O2513">
        <f t="shared" si="316"/>
        <v>2.9131172245937753E-2</v>
      </c>
      <c r="P2513">
        <f t="shared" si="317"/>
        <v>1</v>
      </c>
      <c r="Q2513">
        <f t="shared" si="318"/>
        <v>1</v>
      </c>
    </row>
    <row r="2514" spans="1:17">
      <c r="A2514" s="1">
        <v>46112</v>
      </c>
      <c r="B2514">
        <v>6528.52</v>
      </c>
      <c r="C2514">
        <f t="shared" si="312"/>
        <v>2.9131172245937753E-2</v>
      </c>
      <c r="D2514">
        <f t="shared" si="319"/>
        <v>7.9294011572974554E-3</v>
      </c>
      <c r="E2514">
        <f>_xlfn.XLOOKUP(A2514,VIX!A:A,VIX!B:B,"",-1)</f>
        <v>25.25</v>
      </c>
      <c r="F2514">
        <f t="shared" si="313"/>
        <v>-5.3599999999999994</v>
      </c>
      <c r="G2514">
        <f>_xlfn.XLOOKUP(A2514,'DGS10'!A:A,'DGS10'!B:B,"",-1)</f>
        <v>4.3</v>
      </c>
      <c r="H2514">
        <f t="shared" si="314"/>
        <v>-4.9999999999999822E-2</v>
      </c>
      <c r="I2514" s="2">
        <f>_xlfn.XLOOKUP(A2514,T10Y3M!A:A,T10Y3M!B:B,"",-1)</f>
        <v>0.6</v>
      </c>
      <c r="J2514" s="2">
        <f>_xlfn.XLOOKUP(A2514,BAMLC0A4CBBB!A:A,BAMLC0A4CBBB!B:B,"",-1)</f>
        <v>1.1299999999999999</v>
      </c>
      <c r="K2514" s="2">
        <f>_xlfn.XLOOKUP(A2514,CPIAUCSL!A:A,CPIAUCSL!B:B,"",-1)</f>
        <v>327.45999999999998</v>
      </c>
      <c r="L2514">
        <f>_xlfn.XLOOKUP(A2514,DFF!A:A,DFF!B:B,"",-1)</f>
        <v>3.64</v>
      </c>
      <c r="M2514">
        <f>_xlfn.XLOOKUP(A2514,'DGS2'!A:A,'DGS2'!B:B,"",-1)</f>
        <v>3.79</v>
      </c>
      <c r="N2514">
        <f t="shared" si="315"/>
        <v>-2.9999999999999805E-2</v>
      </c>
      <c r="O2514">
        <f t="shared" si="316"/>
        <v>7.1685466231241612E-3</v>
      </c>
      <c r="P2514">
        <f t="shared" si="317"/>
        <v>1</v>
      </c>
      <c r="Q2514">
        <f t="shared" si="318"/>
        <v>1</v>
      </c>
    </row>
    <row r="2515" spans="1:17">
      <c r="A2515" s="1">
        <v>46113</v>
      </c>
      <c r="B2515">
        <v>6575.32</v>
      </c>
      <c r="C2515">
        <f t="shared" si="312"/>
        <v>7.1685466231241612E-3</v>
      </c>
      <c r="D2515">
        <f t="shared" si="319"/>
        <v>3.2418725515595437E-2</v>
      </c>
      <c r="E2515">
        <f>_xlfn.XLOOKUP(A2515,VIX!A:A,VIX!B:B,"",-1)</f>
        <v>24.54</v>
      </c>
      <c r="F2515">
        <f t="shared" si="313"/>
        <v>-0.71000000000000085</v>
      </c>
      <c r="G2515">
        <f>_xlfn.XLOOKUP(A2515,'DGS10'!A:A,'DGS10'!B:B,"",-1)</f>
        <v>4.33</v>
      </c>
      <c r="H2515">
        <f t="shared" si="314"/>
        <v>3.0000000000000249E-2</v>
      </c>
      <c r="I2515" s="2">
        <f>_xlfn.XLOOKUP(A2515,T10Y3M!A:A,T10Y3M!B:B,"",-1)</f>
        <v>0.63</v>
      </c>
      <c r="J2515" s="2">
        <f>_xlfn.XLOOKUP(A2515,BAMLC0A4CBBB!A:A,BAMLC0A4CBBB!B:B,"",-1)</f>
        <v>1.1000000000000001</v>
      </c>
      <c r="K2515" s="2">
        <f>_xlfn.XLOOKUP(A2515,CPIAUCSL!A:A,CPIAUCSL!B:B,"",-1)</f>
        <v>327.45999999999998</v>
      </c>
      <c r="L2515">
        <f>_xlfn.XLOOKUP(A2515,DFF!A:A,DFF!B:B,"",-1)</f>
        <v>3.64</v>
      </c>
      <c r="M2515">
        <f>_xlfn.XLOOKUP(A2515,'DGS2'!A:A,'DGS2'!B:B,"",-1)</f>
        <v>3.81</v>
      </c>
      <c r="N2515">
        <f t="shared" si="315"/>
        <v>2.0000000000000018E-2</v>
      </c>
      <c r="O2515">
        <f t="shared" si="316"/>
        <v>1.1208579962647125E-3</v>
      </c>
      <c r="P2515">
        <f t="shared" si="317"/>
        <v>1</v>
      </c>
      <c r="Q2515">
        <f t="shared" si="318"/>
        <v>0</v>
      </c>
    </row>
    <row r="2516" spans="1:17">
      <c r="A2516" s="1">
        <v>46114</v>
      </c>
      <c r="B2516">
        <v>6582.69</v>
      </c>
      <c r="C2516">
        <f t="shared" si="312"/>
        <v>1.1208579962647125E-3</v>
      </c>
      <c r="D2516">
        <f t="shared" si="319"/>
        <v>3.767032592863484E-2</v>
      </c>
      <c r="E2516">
        <f>_xlfn.XLOOKUP(A2516,VIX!A:A,VIX!B:B,"",-1)</f>
        <v>24.54</v>
      </c>
      <c r="F2516">
        <f t="shared" si="313"/>
        <v>0</v>
      </c>
      <c r="G2516">
        <f>_xlfn.XLOOKUP(A2516,'DGS10'!A:A,'DGS10'!B:B,"",-1)</f>
        <v>4.3099999999999996</v>
      </c>
      <c r="H2516">
        <f t="shared" si="314"/>
        <v>-2.0000000000000462E-2</v>
      </c>
      <c r="I2516" s="2">
        <f>_xlfn.XLOOKUP(A2516,T10Y3M!A:A,T10Y3M!B:B,"",-1)</f>
        <v>0.61</v>
      </c>
      <c r="J2516" s="2">
        <f>_xlfn.XLOOKUP(A2516,BAMLC0A4CBBB!A:A,BAMLC0A4CBBB!B:B,"",-1)</f>
        <v>1.0900000000000001</v>
      </c>
      <c r="K2516" s="2">
        <f>_xlfn.XLOOKUP(A2516,CPIAUCSL!A:A,CPIAUCSL!B:B,"",-1)</f>
        <v>327.45999999999998</v>
      </c>
      <c r="L2516">
        <f>_xlfn.XLOOKUP(A2516,DFF!A:A,DFF!B:B,"",-1)</f>
        <v>3.64</v>
      </c>
      <c r="M2516">
        <f>_xlfn.XLOOKUP(A2516,'DGS2'!A:A,'DGS2'!B:B,"",-1)</f>
        <v>3.79</v>
      </c>
      <c r="N2516">
        <f t="shared" si="315"/>
        <v>-2.0000000000000018E-2</v>
      </c>
      <c r="O2516" t="str">
        <f t="shared" si="316"/>
        <v/>
      </c>
      <c r="P2516" t="str">
        <f t="shared" si="317"/>
        <v/>
      </c>
      <c r="Q2516" t="str">
        <f t="shared" si="318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C3175-AFAE-4667-89E7-5351EA04F0C8}">
  <dimension ref="A1:B8224"/>
  <sheetViews>
    <sheetView tabSelected="1" workbookViewId="0">
      <selection sqref="A1:B1048576"/>
    </sheetView>
  </sheetViews>
  <sheetFormatPr defaultRowHeight="14.4"/>
  <cols>
    <col min="1" max="1" width="10.44140625" bestFit="1" customWidth="1"/>
    <col min="2" max="2" width="13.109375" bestFit="1" customWidth="1"/>
  </cols>
  <sheetData>
    <row r="1" spans="1:2">
      <c r="A1" s="3" t="s">
        <v>21</v>
      </c>
      <c r="B1" s="3" t="s">
        <v>19</v>
      </c>
    </row>
    <row r="2" spans="1:2">
      <c r="A2" s="4">
        <v>31414</v>
      </c>
      <c r="B2" s="3">
        <v>25.56</v>
      </c>
    </row>
    <row r="3" spans="1:2">
      <c r="A3" s="4">
        <v>31415</v>
      </c>
      <c r="B3" s="3">
        <v>26</v>
      </c>
    </row>
    <row r="4" spans="1:2">
      <c r="A4" s="4">
        <v>31418</v>
      </c>
      <c r="B4" s="3">
        <v>26.53</v>
      </c>
    </row>
    <row r="5" spans="1:2">
      <c r="A5" s="4">
        <v>31419</v>
      </c>
      <c r="B5" s="3">
        <v>25.85</v>
      </c>
    </row>
    <row r="6" spans="1:2">
      <c r="A6" s="4">
        <v>31420</v>
      </c>
      <c r="B6" s="3">
        <v>25.87</v>
      </c>
    </row>
    <row r="7" spans="1:2">
      <c r="A7" s="4">
        <v>31421</v>
      </c>
      <c r="B7" s="3">
        <v>26.03</v>
      </c>
    </row>
    <row r="8" spans="1:2">
      <c r="A8" s="4">
        <v>31422</v>
      </c>
      <c r="B8" s="3">
        <v>25.65</v>
      </c>
    </row>
    <row r="9" spans="1:2">
      <c r="A9" s="4">
        <v>31425</v>
      </c>
      <c r="B9" s="3">
        <v>25.08</v>
      </c>
    </row>
    <row r="10" spans="1:2">
      <c r="A10" s="4">
        <v>31426</v>
      </c>
      <c r="B10" s="3">
        <v>24.97</v>
      </c>
    </row>
    <row r="11" spans="1:2">
      <c r="A11" s="4">
        <v>31427</v>
      </c>
      <c r="B11" s="3">
        <v>25.18</v>
      </c>
    </row>
    <row r="12" spans="1:2">
      <c r="A12" s="4">
        <v>31428</v>
      </c>
      <c r="B12" s="3">
        <v>23.98</v>
      </c>
    </row>
    <row r="13" spans="1:2">
      <c r="A13" s="4">
        <v>31429</v>
      </c>
      <c r="B13" s="3">
        <v>23.63</v>
      </c>
    </row>
    <row r="14" spans="1:2">
      <c r="A14" s="4">
        <v>31432</v>
      </c>
      <c r="B14" s="3">
        <v>21.33</v>
      </c>
    </row>
    <row r="15" spans="1:2">
      <c r="A15" s="4">
        <v>31433</v>
      </c>
      <c r="B15" s="3">
        <v>20.61</v>
      </c>
    </row>
    <row r="16" spans="1:2">
      <c r="A16" s="4">
        <v>31434</v>
      </c>
      <c r="B16" s="3">
        <v>20.25</v>
      </c>
    </row>
    <row r="17" spans="1:2">
      <c r="A17" s="4">
        <v>31435</v>
      </c>
      <c r="B17" s="3">
        <v>19.93</v>
      </c>
    </row>
    <row r="18" spans="1:2">
      <c r="A18" s="4">
        <v>31436</v>
      </c>
      <c r="B18" s="3">
        <v>19.45</v>
      </c>
    </row>
    <row r="19" spans="1:2">
      <c r="A19" s="4">
        <v>31439</v>
      </c>
      <c r="B19" s="3">
        <v>20.87</v>
      </c>
    </row>
    <row r="20" spans="1:2">
      <c r="A20" s="4">
        <v>31440</v>
      </c>
      <c r="B20" s="3">
        <v>19.45</v>
      </c>
    </row>
    <row r="21" spans="1:2">
      <c r="A21" s="4">
        <v>31441</v>
      </c>
      <c r="B21" s="3">
        <v>19.61</v>
      </c>
    </row>
    <row r="22" spans="1:2">
      <c r="A22" s="4">
        <v>31442</v>
      </c>
      <c r="B22" s="3">
        <v>19.579999999999998</v>
      </c>
    </row>
    <row r="23" spans="1:2">
      <c r="A23" s="4">
        <v>31443</v>
      </c>
      <c r="B23" s="3">
        <v>18.95</v>
      </c>
    </row>
    <row r="24" spans="1:2">
      <c r="A24" s="4">
        <v>31446</v>
      </c>
      <c r="B24" s="3">
        <v>17.420000000000002</v>
      </c>
    </row>
    <row r="25" spans="1:2">
      <c r="A25" s="4">
        <v>31447</v>
      </c>
      <c r="B25" s="3">
        <v>15.58</v>
      </c>
    </row>
    <row r="26" spans="1:2">
      <c r="A26" s="4">
        <v>31448</v>
      </c>
      <c r="B26" s="3">
        <v>16.28</v>
      </c>
    </row>
    <row r="27" spans="1:2">
      <c r="A27" s="4">
        <v>31449</v>
      </c>
      <c r="B27" s="3">
        <v>16.600000000000001</v>
      </c>
    </row>
    <row r="28" spans="1:2">
      <c r="A28" s="4">
        <v>31450</v>
      </c>
      <c r="B28" s="3">
        <v>17.7</v>
      </c>
    </row>
    <row r="29" spans="1:2">
      <c r="A29" s="4">
        <v>31453</v>
      </c>
      <c r="B29" s="3">
        <v>16.78</v>
      </c>
    </row>
    <row r="30" spans="1:2">
      <c r="A30" s="4">
        <v>31454</v>
      </c>
      <c r="B30" s="3">
        <v>16.28</v>
      </c>
    </row>
    <row r="31" spans="1:2">
      <c r="A31" s="4">
        <v>31455</v>
      </c>
      <c r="B31" s="3">
        <v>15.74</v>
      </c>
    </row>
    <row r="32" spans="1:2">
      <c r="A32" s="4">
        <v>31456</v>
      </c>
      <c r="B32" s="3">
        <v>16.43</v>
      </c>
    </row>
    <row r="33" spans="1:2">
      <c r="A33" s="4">
        <v>31457</v>
      </c>
      <c r="B33" s="3">
        <v>16.03</v>
      </c>
    </row>
    <row r="34" spans="1:2">
      <c r="A34" s="4">
        <v>31461</v>
      </c>
      <c r="B34" s="3">
        <v>14.7</v>
      </c>
    </row>
    <row r="35" spans="1:2">
      <c r="A35" s="4">
        <v>31462</v>
      </c>
      <c r="B35" s="3">
        <v>15.08</v>
      </c>
    </row>
    <row r="36" spans="1:2">
      <c r="A36" s="4">
        <v>31463</v>
      </c>
      <c r="B36" s="3">
        <v>14.13</v>
      </c>
    </row>
    <row r="37" spans="1:2">
      <c r="A37" s="4">
        <v>31464</v>
      </c>
      <c r="B37" s="3">
        <v>13.63</v>
      </c>
    </row>
    <row r="38" spans="1:2">
      <c r="A38" s="4">
        <v>31467</v>
      </c>
      <c r="B38" s="3">
        <v>14.68</v>
      </c>
    </row>
    <row r="39" spans="1:2">
      <c r="A39" s="4">
        <v>31468</v>
      </c>
      <c r="B39" s="3">
        <v>14.68</v>
      </c>
    </row>
    <row r="40" spans="1:2">
      <c r="A40" s="4">
        <v>31469</v>
      </c>
      <c r="B40" s="3">
        <v>14.62</v>
      </c>
    </row>
    <row r="41" spans="1:2">
      <c r="A41" s="4">
        <v>31470</v>
      </c>
      <c r="B41" s="3">
        <v>14.05</v>
      </c>
    </row>
    <row r="42" spans="1:2">
      <c r="A42" s="4">
        <v>31471</v>
      </c>
      <c r="B42" s="3">
        <v>13.23</v>
      </c>
    </row>
    <row r="43" spans="1:2">
      <c r="A43" s="4">
        <v>31474</v>
      </c>
      <c r="B43" s="3">
        <v>11.98</v>
      </c>
    </row>
    <row r="44" spans="1:2">
      <c r="A44" s="4">
        <v>31475</v>
      </c>
      <c r="B44" s="3">
        <v>11.98</v>
      </c>
    </row>
    <row r="45" spans="1:2">
      <c r="A45" s="4">
        <v>31476</v>
      </c>
      <c r="B45" s="3">
        <v>12.03</v>
      </c>
    </row>
    <row r="46" spans="1:2">
      <c r="A46" s="4">
        <v>31477</v>
      </c>
      <c r="B46" s="3">
        <v>13.13</v>
      </c>
    </row>
    <row r="47" spans="1:2">
      <c r="A47" s="4">
        <v>31478</v>
      </c>
      <c r="B47" s="3">
        <v>12.24</v>
      </c>
    </row>
    <row r="48" spans="1:2">
      <c r="A48" s="4">
        <v>31481</v>
      </c>
      <c r="B48" s="3">
        <v>12.94</v>
      </c>
    </row>
    <row r="49" spans="1:2">
      <c r="A49" s="4">
        <v>31482</v>
      </c>
      <c r="B49" s="3">
        <v>13.23</v>
      </c>
    </row>
    <row r="50" spans="1:2">
      <c r="A50" s="4">
        <v>31483</v>
      </c>
      <c r="B50" s="3">
        <v>14.05</v>
      </c>
    </row>
    <row r="51" spans="1:2">
      <c r="A51" s="4">
        <v>31484</v>
      </c>
      <c r="B51" s="3">
        <v>12.6</v>
      </c>
    </row>
    <row r="52" spans="1:2">
      <c r="A52" s="4">
        <v>31485</v>
      </c>
      <c r="B52" s="3">
        <v>12.55</v>
      </c>
    </row>
    <row r="53" spans="1:2">
      <c r="A53" s="4">
        <v>31488</v>
      </c>
      <c r="B53" s="3">
        <v>13.28</v>
      </c>
    </row>
    <row r="54" spans="1:2">
      <c r="A54" s="4">
        <v>31489</v>
      </c>
      <c r="B54" s="3">
        <v>14.03</v>
      </c>
    </row>
    <row r="55" spans="1:2">
      <c r="A55" s="4">
        <v>31490</v>
      </c>
      <c r="B55" s="3">
        <v>13.25</v>
      </c>
    </row>
    <row r="56" spans="1:2">
      <c r="A56" s="4">
        <v>31491</v>
      </c>
      <c r="B56" s="3">
        <v>12.75</v>
      </c>
    </row>
    <row r="57" spans="1:2">
      <c r="A57" s="4">
        <v>31492</v>
      </c>
      <c r="B57" s="3">
        <v>13.95</v>
      </c>
    </row>
    <row r="58" spans="1:2">
      <c r="A58" s="4">
        <v>31495</v>
      </c>
      <c r="B58" s="3">
        <v>12.2</v>
      </c>
    </row>
    <row r="59" spans="1:2">
      <c r="A59" s="4">
        <v>31496</v>
      </c>
      <c r="B59" s="3">
        <v>12.43</v>
      </c>
    </row>
    <row r="60" spans="1:2">
      <c r="A60" s="4">
        <v>31497</v>
      </c>
      <c r="B60" s="3">
        <v>12.03</v>
      </c>
    </row>
    <row r="61" spans="1:2">
      <c r="A61" s="4">
        <v>31498</v>
      </c>
      <c r="B61" s="3">
        <v>11.35</v>
      </c>
    </row>
    <row r="62" spans="1:2">
      <c r="A62" s="4">
        <v>31502</v>
      </c>
      <c r="B62" s="3">
        <v>10.25</v>
      </c>
    </row>
    <row r="63" spans="1:2">
      <c r="A63" s="4">
        <v>31503</v>
      </c>
      <c r="B63" s="3">
        <v>11.13</v>
      </c>
    </row>
    <row r="64" spans="1:2">
      <c r="A64" s="4">
        <v>31504</v>
      </c>
      <c r="B64" s="3">
        <v>11.35</v>
      </c>
    </row>
    <row r="65" spans="1:2">
      <c r="A65" s="4">
        <v>31505</v>
      </c>
      <c r="B65" s="3">
        <v>11.7</v>
      </c>
    </row>
    <row r="66" spans="1:2">
      <c r="A66" s="4">
        <v>31506</v>
      </c>
      <c r="B66" s="3">
        <v>12.75</v>
      </c>
    </row>
    <row r="67" spans="1:2">
      <c r="A67" s="4">
        <v>31509</v>
      </c>
      <c r="B67" s="3">
        <v>14.39</v>
      </c>
    </row>
    <row r="68" spans="1:2">
      <c r="A68" s="4">
        <v>31510</v>
      </c>
      <c r="B68" s="3">
        <v>12.83</v>
      </c>
    </row>
    <row r="69" spans="1:2">
      <c r="A69" s="4">
        <v>31511</v>
      </c>
      <c r="B69" s="3">
        <v>13</v>
      </c>
    </row>
    <row r="70" spans="1:2">
      <c r="A70" s="4">
        <v>31512</v>
      </c>
      <c r="B70" s="3">
        <v>13.45</v>
      </c>
    </row>
    <row r="71" spans="1:2">
      <c r="A71" s="4">
        <v>31513</v>
      </c>
      <c r="B71" s="3">
        <v>13.63</v>
      </c>
    </row>
    <row r="72" spans="1:2">
      <c r="A72" s="4">
        <v>31516</v>
      </c>
      <c r="B72" s="3">
        <v>12.94</v>
      </c>
    </row>
    <row r="73" spans="1:2">
      <c r="A73" s="4">
        <v>31517</v>
      </c>
      <c r="B73" s="3">
        <v>12.72</v>
      </c>
    </row>
    <row r="74" spans="1:2">
      <c r="A74" s="4">
        <v>31518</v>
      </c>
      <c r="B74" s="3">
        <v>11.5</v>
      </c>
    </row>
    <row r="75" spans="1:2">
      <c r="A75" s="4">
        <v>31519</v>
      </c>
      <c r="B75" s="3">
        <v>11.75</v>
      </c>
    </row>
    <row r="76" spans="1:2">
      <c r="A76" s="4">
        <v>31520</v>
      </c>
      <c r="B76" s="3">
        <v>11.88</v>
      </c>
    </row>
    <row r="77" spans="1:2">
      <c r="A77" s="4">
        <v>31523</v>
      </c>
      <c r="B77" s="3">
        <v>12.48</v>
      </c>
    </row>
    <row r="78" spans="1:2">
      <c r="A78" s="4">
        <v>31524</v>
      </c>
      <c r="B78" s="3">
        <v>13.13</v>
      </c>
    </row>
    <row r="79" spans="1:2">
      <c r="A79" s="4">
        <v>31525</v>
      </c>
      <c r="B79" s="3">
        <v>13.7</v>
      </c>
    </row>
    <row r="80" spans="1:2">
      <c r="A80" s="4">
        <v>31526</v>
      </c>
      <c r="B80" s="3">
        <v>13.65</v>
      </c>
    </row>
    <row r="81" spans="1:2">
      <c r="A81" s="4">
        <v>31527</v>
      </c>
      <c r="B81" s="3">
        <v>14.23</v>
      </c>
    </row>
    <row r="82" spans="1:2">
      <c r="A82" s="4">
        <v>31530</v>
      </c>
      <c r="B82" s="3">
        <v>13.34</v>
      </c>
    </row>
    <row r="83" spans="1:2">
      <c r="A83" s="4">
        <v>31531</v>
      </c>
      <c r="B83" s="3">
        <v>13.63</v>
      </c>
    </row>
    <row r="84" spans="1:2">
      <c r="A84" s="4">
        <v>31532</v>
      </c>
      <c r="B84" s="3">
        <v>13.38</v>
      </c>
    </row>
    <row r="85" spans="1:2">
      <c r="A85" s="4">
        <v>31533</v>
      </c>
      <c r="B85" s="3">
        <v>13.8</v>
      </c>
    </row>
    <row r="86" spans="1:2">
      <c r="A86" s="4">
        <v>31534</v>
      </c>
      <c r="B86" s="3">
        <v>14.65</v>
      </c>
    </row>
    <row r="87" spans="1:2">
      <c r="A87" s="4">
        <v>31537</v>
      </c>
      <c r="B87" s="3">
        <v>14.32</v>
      </c>
    </row>
    <row r="88" spans="1:2">
      <c r="A88" s="4">
        <v>31538</v>
      </c>
      <c r="B88" s="3">
        <v>14.43</v>
      </c>
    </row>
    <row r="89" spans="1:2">
      <c r="A89" s="4">
        <v>31539</v>
      </c>
      <c r="B89" s="3">
        <v>15.13</v>
      </c>
    </row>
    <row r="90" spans="1:2">
      <c r="A90" s="4">
        <v>31540</v>
      </c>
      <c r="B90" s="3">
        <v>15.7</v>
      </c>
    </row>
    <row r="91" spans="1:2">
      <c r="A91" s="4">
        <v>31541</v>
      </c>
      <c r="B91" s="3">
        <v>15.83</v>
      </c>
    </row>
    <row r="92" spans="1:2">
      <c r="A92" s="4">
        <v>31544</v>
      </c>
      <c r="B92" s="3">
        <v>15.75</v>
      </c>
    </row>
    <row r="93" spans="1:2">
      <c r="A93" s="4">
        <v>31545</v>
      </c>
      <c r="B93" s="3">
        <v>15.65</v>
      </c>
    </row>
    <row r="94" spans="1:2">
      <c r="A94" s="4">
        <v>31546</v>
      </c>
      <c r="B94" s="3">
        <v>15.53</v>
      </c>
    </row>
    <row r="95" spans="1:2">
      <c r="A95" s="4">
        <v>31547</v>
      </c>
      <c r="B95" s="3">
        <v>15.68</v>
      </c>
    </row>
    <row r="96" spans="1:2">
      <c r="A96" s="4">
        <v>31548</v>
      </c>
      <c r="B96" s="3">
        <v>16.079999999999998</v>
      </c>
    </row>
    <row r="97" spans="1:2">
      <c r="A97" s="4">
        <v>31551</v>
      </c>
      <c r="B97" s="3">
        <v>17.13</v>
      </c>
    </row>
    <row r="98" spans="1:2">
      <c r="A98" s="4">
        <v>31552</v>
      </c>
      <c r="B98" s="3">
        <v>16.18</v>
      </c>
    </row>
    <row r="99" spans="1:2">
      <c r="A99" s="4">
        <v>31553</v>
      </c>
      <c r="B99" s="3">
        <v>15.53</v>
      </c>
    </row>
    <row r="100" spans="1:2">
      <c r="A100" s="4">
        <v>31554</v>
      </c>
      <c r="B100" s="3">
        <v>16.04</v>
      </c>
    </row>
    <row r="101" spans="1:2">
      <c r="A101" s="4">
        <v>31555</v>
      </c>
      <c r="B101" s="3">
        <v>16.95</v>
      </c>
    </row>
    <row r="102" spans="1:2">
      <c r="A102" s="4">
        <v>31559</v>
      </c>
      <c r="B102" s="3">
        <v>15.1</v>
      </c>
    </row>
    <row r="103" spans="1:2">
      <c r="A103" s="4">
        <v>31560</v>
      </c>
      <c r="B103" s="3">
        <v>14.65</v>
      </c>
    </row>
    <row r="104" spans="1:2">
      <c r="A104" s="4">
        <v>31561</v>
      </c>
      <c r="B104" s="3">
        <v>14.5</v>
      </c>
    </row>
    <row r="105" spans="1:2">
      <c r="A105" s="4">
        <v>31562</v>
      </c>
      <c r="B105" s="3">
        <v>14.3</v>
      </c>
    </row>
    <row r="106" spans="1:2">
      <c r="A106" s="4">
        <v>31565</v>
      </c>
      <c r="B106" s="3">
        <v>13.8</v>
      </c>
    </row>
    <row r="107" spans="1:2">
      <c r="A107" s="4">
        <v>31566</v>
      </c>
      <c r="B107" s="3">
        <v>13.35</v>
      </c>
    </row>
    <row r="108" spans="1:2">
      <c r="A108" s="4">
        <v>31567</v>
      </c>
      <c r="B108" s="3">
        <v>13.15</v>
      </c>
    </row>
    <row r="109" spans="1:2">
      <c r="A109" s="4">
        <v>31568</v>
      </c>
      <c r="B109" s="3">
        <v>13.21</v>
      </c>
    </row>
    <row r="110" spans="1:2">
      <c r="A110" s="4">
        <v>31569</v>
      </c>
      <c r="B110" s="3">
        <v>12.73</v>
      </c>
    </row>
    <row r="111" spans="1:2">
      <c r="A111" s="4">
        <v>31572</v>
      </c>
      <c r="B111" s="3">
        <v>12.61</v>
      </c>
    </row>
    <row r="112" spans="1:2">
      <c r="A112" s="4">
        <v>31573</v>
      </c>
      <c r="B112" s="3">
        <v>12.38</v>
      </c>
    </row>
    <row r="113" spans="1:2">
      <c r="A113" s="4">
        <v>31574</v>
      </c>
      <c r="B113" s="3">
        <v>13.52</v>
      </c>
    </row>
    <row r="114" spans="1:2">
      <c r="A114" s="4">
        <v>31575</v>
      </c>
      <c r="B114" s="3">
        <v>13.69</v>
      </c>
    </row>
    <row r="115" spans="1:2">
      <c r="A115" s="4">
        <v>31576</v>
      </c>
      <c r="B115" s="3">
        <v>13.83</v>
      </c>
    </row>
    <row r="116" spans="1:2">
      <c r="A116" s="4">
        <v>31579</v>
      </c>
      <c r="B116" s="3">
        <v>13.65</v>
      </c>
    </row>
    <row r="117" spans="1:2">
      <c r="A117" s="4">
        <v>31580</v>
      </c>
      <c r="B117" s="3">
        <v>13.65</v>
      </c>
    </row>
    <row r="118" spans="1:2">
      <c r="A118" s="4">
        <v>31581</v>
      </c>
      <c r="B118" s="3">
        <v>13.62</v>
      </c>
    </row>
    <row r="119" spans="1:2">
      <c r="A119" s="4">
        <v>31582</v>
      </c>
      <c r="B119" s="3">
        <v>13.73</v>
      </c>
    </row>
    <row r="120" spans="1:2">
      <c r="A120" s="4">
        <v>31583</v>
      </c>
      <c r="B120" s="3">
        <v>14.44</v>
      </c>
    </row>
    <row r="121" spans="1:2">
      <c r="A121" s="4">
        <v>31586</v>
      </c>
      <c r="B121" s="3">
        <v>14.05</v>
      </c>
    </row>
    <row r="122" spans="1:2">
      <c r="A122" s="4">
        <v>31587</v>
      </c>
      <c r="B122" s="3">
        <v>13.98</v>
      </c>
    </row>
    <row r="123" spans="1:2">
      <c r="A123" s="4">
        <v>31588</v>
      </c>
      <c r="B123" s="3">
        <v>13.23</v>
      </c>
    </row>
    <row r="124" spans="1:2">
      <c r="A124" s="4">
        <v>31589</v>
      </c>
      <c r="B124" s="3">
        <v>13.14</v>
      </c>
    </row>
    <row r="125" spans="1:2">
      <c r="A125" s="4">
        <v>31590</v>
      </c>
      <c r="B125" s="3">
        <v>13.38</v>
      </c>
    </row>
    <row r="126" spans="1:2">
      <c r="A126" s="4">
        <v>31593</v>
      </c>
      <c r="B126" s="3">
        <v>12.8</v>
      </c>
    </row>
    <row r="127" spans="1:2">
      <c r="A127" s="4">
        <v>31594</v>
      </c>
      <c r="B127" s="3">
        <v>12.39</v>
      </c>
    </row>
    <row r="128" spans="1:2">
      <c r="A128" s="4">
        <v>31595</v>
      </c>
      <c r="B128" s="3">
        <v>12.04</v>
      </c>
    </row>
    <row r="129" spans="1:2">
      <c r="A129" s="4">
        <v>31596</v>
      </c>
      <c r="B129" s="3">
        <v>11.7</v>
      </c>
    </row>
    <row r="130" spans="1:2">
      <c r="A130" s="4">
        <v>31600</v>
      </c>
      <c r="B130" s="3">
        <v>11.18</v>
      </c>
    </row>
    <row r="131" spans="1:2">
      <c r="A131" s="4">
        <v>31601</v>
      </c>
      <c r="B131" s="3">
        <v>11.19</v>
      </c>
    </row>
    <row r="132" spans="1:2">
      <c r="A132" s="4">
        <v>31602</v>
      </c>
      <c r="B132" s="3">
        <v>11</v>
      </c>
    </row>
    <row r="133" spans="1:2">
      <c r="A133" s="4">
        <v>31603</v>
      </c>
      <c r="B133" s="3">
        <v>11.13</v>
      </c>
    </row>
    <row r="134" spans="1:2">
      <c r="A134" s="4">
        <v>31604</v>
      </c>
      <c r="B134" s="3">
        <v>11.13</v>
      </c>
    </row>
    <row r="135" spans="1:2">
      <c r="A135" s="4">
        <v>31607</v>
      </c>
      <c r="B135" s="3">
        <v>11.23</v>
      </c>
    </row>
    <row r="136" spans="1:2">
      <c r="A136" s="4">
        <v>31608</v>
      </c>
      <c r="B136" s="3">
        <v>11.85</v>
      </c>
    </row>
    <row r="137" spans="1:2">
      <c r="A137" s="4">
        <v>31609</v>
      </c>
      <c r="B137" s="3">
        <v>12.68</v>
      </c>
    </row>
    <row r="138" spans="1:2">
      <c r="A138" s="4">
        <v>31610</v>
      </c>
      <c r="B138" s="3">
        <v>12.3</v>
      </c>
    </row>
    <row r="139" spans="1:2">
      <c r="A139" s="4">
        <v>31611</v>
      </c>
      <c r="B139" s="3">
        <v>12.8</v>
      </c>
    </row>
    <row r="140" spans="1:2">
      <c r="A140" s="4">
        <v>31614</v>
      </c>
      <c r="B140" s="3">
        <v>13.07</v>
      </c>
    </row>
    <row r="141" spans="1:2">
      <c r="A141" s="4">
        <v>31615</v>
      </c>
      <c r="B141" s="3">
        <v>10.88</v>
      </c>
    </row>
    <row r="142" spans="1:2">
      <c r="A142" s="4">
        <v>31616</v>
      </c>
      <c r="B142" s="3">
        <v>10.83</v>
      </c>
    </row>
    <row r="143" spans="1:2">
      <c r="A143" s="4">
        <v>31617</v>
      </c>
      <c r="B143" s="3">
        <v>10.95</v>
      </c>
    </row>
    <row r="144" spans="1:2">
      <c r="A144" s="4">
        <v>31618</v>
      </c>
      <c r="B144" s="3">
        <v>10.83</v>
      </c>
    </row>
    <row r="145" spans="1:2">
      <c r="A145" s="4">
        <v>31621</v>
      </c>
      <c r="B145" s="3">
        <v>11.09</v>
      </c>
    </row>
    <row r="146" spans="1:2">
      <c r="A146" s="4">
        <v>31622</v>
      </c>
      <c r="B146" s="3">
        <v>11.63</v>
      </c>
    </row>
    <row r="147" spans="1:2">
      <c r="A147" s="4">
        <v>31623</v>
      </c>
      <c r="B147" s="3">
        <v>11.73</v>
      </c>
    </row>
    <row r="148" spans="1:2">
      <c r="A148" s="4">
        <v>31624</v>
      </c>
      <c r="B148" s="3">
        <v>11.23</v>
      </c>
    </row>
    <row r="149" spans="1:2">
      <c r="A149" s="4">
        <v>31625</v>
      </c>
      <c r="B149" s="3">
        <v>11.56</v>
      </c>
    </row>
    <row r="150" spans="1:2">
      <c r="A150" s="4">
        <v>31628</v>
      </c>
      <c r="B150" s="3">
        <v>14</v>
      </c>
    </row>
    <row r="151" spans="1:2">
      <c r="A151" s="4">
        <v>31629</v>
      </c>
      <c r="B151" s="3">
        <v>14.35</v>
      </c>
    </row>
    <row r="152" spans="1:2">
      <c r="A152" s="4">
        <v>31630</v>
      </c>
      <c r="B152" s="3">
        <v>14.8</v>
      </c>
    </row>
    <row r="153" spans="1:2">
      <c r="A153" s="4">
        <v>31631</v>
      </c>
      <c r="B153" s="3">
        <v>15.18</v>
      </c>
    </row>
    <row r="154" spans="1:2">
      <c r="A154" s="4">
        <v>31632</v>
      </c>
      <c r="B154" s="3">
        <v>14.83</v>
      </c>
    </row>
    <row r="155" spans="1:2">
      <c r="A155" s="4">
        <v>31635</v>
      </c>
      <c r="B155" s="3">
        <v>14.92</v>
      </c>
    </row>
    <row r="156" spans="1:2">
      <c r="A156" s="4">
        <v>31636</v>
      </c>
      <c r="B156" s="3">
        <v>15.5</v>
      </c>
    </row>
    <row r="157" spans="1:2">
      <c r="A157" s="4">
        <v>31637</v>
      </c>
      <c r="B157" s="3">
        <v>15.28</v>
      </c>
    </row>
    <row r="158" spans="1:2">
      <c r="A158" s="4">
        <v>31638</v>
      </c>
      <c r="B158" s="3">
        <v>15.43</v>
      </c>
    </row>
    <row r="159" spans="1:2">
      <c r="A159" s="4">
        <v>31639</v>
      </c>
      <c r="B159" s="3">
        <v>15.83</v>
      </c>
    </row>
    <row r="160" spans="1:2">
      <c r="A160" s="4">
        <v>31642</v>
      </c>
      <c r="B160" s="3">
        <v>15.58</v>
      </c>
    </row>
    <row r="161" spans="1:2">
      <c r="A161" s="4">
        <v>31643</v>
      </c>
      <c r="B161" s="3">
        <v>14.98</v>
      </c>
    </row>
    <row r="162" spans="1:2">
      <c r="A162" s="4">
        <v>31644</v>
      </c>
      <c r="B162" s="3">
        <v>15.23</v>
      </c>
    </row>
    <row r="163" spans="1:2">
      <c r="A163" s="4">
        <v>31645</v>
      </c>
      <c r="B163" s="3">
        <v>15.23</v>
      </c>
    </row>
    <row r="164" spans="1:2">
      <c r="A164" s="4">
        <v>31646</v>
      </c>
      <c r="B164" s="3">
        <v>15.48</v>
      </c>
    </row>
    <row r="165" spans="1:2">
      <c r="A165" s="4">
        <v>31649</v>
      </c>
      <c r="B165" s="3">
        <v>15.48</v>
      </c>
    </row>
    <row r="166" spans="1:2">
      <c r="A166" s="4">
        <v>31650</v>
      </c>
      <c r="B166" s="3">
        <v>15.78</v>
      </c>
    </row>
    <row r="167" spans="1:2">
      <c r="A167" s="4">
        <v>31651</v>
      </c>
      <c r="B167" s="3">
        <v>15.83</v>
      </c>
    </row>
    <row r="168" spans="1:2">
      <c r="A168" s="4">
        <v>31652</v>
      </c>
      <c r="B168" s="3">
        <v>15.83</v>
      </c>
    </row>
    <row r="169" spans="1:2">
      <c r="A169" s="4">
        <v>31653</v>
      </c>
      <c r="B169" s="3">
        <v>15.93</v>
      </c>
    </row>
    <row r="170" spans="1:2">
      <c r="A170" s="4">
        <v>31657</v>
      </c>
      <c r="B170" s="3">
        <v>16.43</v>
      </c>
    </row>
    <row r="171" spans="1:2">
      <c r="A171" s="4">
        <v>31658</v>
      </c>
      <c r="B171" s="3">
        <v>16.03</v>
      </c>
    </row>
    <row r="172" spans="1:2">
      <c r="A172" s="4">
        <v>31659</v>
      </c>
      <c r="B172" s="3">
        <v>16.18</v>
      </c>
    </row>
    <row r="173" spans="1:2">
      <c r="A173" s="4">
        <v>31660</v>
      </c>
      <c r="B173" s="3">
        <v>15.63</v>
      </c>
    </row>
    <row r="174" spans="1:2">
      <c r="A174" s="4">
        <v>31663</v>
      </c>
      <c r="B174" s="3">
        <v>15.63</v>
      </c>
    </row>
    <row r="175" spans="1:2">
      <c r="A175" s="4">
        <v>31664</v>
      </c>
      <c r="B175" s="3">
        <v>15</v>
      </c>
    </row>
    <row r="176" spans="1:2">
      <c r="A176" s="4">
        <v>31665</v>
      </c>
      <c r="B176" s="3">
        <v>14.9</v>
      </c>
    </row>
    <row r="177" spans="1:2">
      <c r="A177" s="4">
        <v>31666</v>
      </c>
      <c r="B177" s="3">
        <v>15.05</v>
      </c>
    </row>
    <row r="178" spans="1:2">
      <c r="A178" s="4">
        <v>31667</v>
      </c>
      <c r="B178" s="3">
        <v>15.06</v>
      </c>
    </row>
    <row r="179" spans="1:2">
      <c r="A179" s="4">
        <v>31670</v>
      </c>
      <c r="B179" s="3">
        <v>14.31</v>
      </c>
    </row>
    <row r="180" spans="1:2">
      <c r="A180" s="4">
        <v>31671</v>
      </c>
      <c r="B180" s="3">
        <v>13.8</v>
      </c>
    </row>
    <row r="181" spans="1:2">
      <c r="A181" s="4">
        <v>31672</v>
      </c>
      <c r="B181" s="3">
        <v>14.03</v>
      </c>
    </row>
    <row r="182" spans="1:2">
      <c r="A182" s="4">
        <v>31673</v>
      </c>
      <c r="B182" s="3">
        <v>14.55</v>
      </c>
    </row>
    <row r="183" spans="1:2">
      <c r="A183" s="4">
        <v>31674</v>
      </c>
      <c r="B183" s="3">
        <v>14.47</v>
      </c>
    </row>
    <row r="184" spans="1:2">
      <c r="A184" s="4">
        <v>31677</v>
      </c>
      <c r="B184" s="3">
        <v>13.94</v>
      </c>
    </row>
    <row r="185" spans="1:2">
      <c r="A185" s="4">
        <v>31678</v>
      </c>
      <c r="B185" s="3">
        <v>14.3</v>
      </c>
    </row>
    <row r="186" spans="1:2">
      <c r="A186" s="4">
        <v>31679</v>
      </c>
      <c r="B186" s="3">
        <v>14.55</v>
      </c>
    </row>
    <row r="187" spans="1:2">
      <c r="A187" s="4">
        <v>31680</v>
      </c>
      <c r="B187" s="3">
        <v>14.28</v>
      </c>
    </row>
    <row r="188" spans="1:2">
      <c r="A188" s="4">
        <v>31681</v>
      </c>
      <c r="B188" s="3">
        <v>14.43</v>
      </c>
    </row>
    <row r="189" spans="1:2">
      <c r="A189" s="4">
        <v>31684</v>
      </c>
      <c r="B189" s="3">
        <v>14.93</v>
      </c>
    </row>
    <row r="190" spans="1:2">
      <c r="A190" s="4">
        <v>31685</v>
      </c>
      <c r="B190" s="3">
        <v>14.7</v>
      </c>
    </row>
    <row r="191" spans="1:2">
      <c r="A191" s="4">
        <v>31686</v>
      </c>
      <c r="B191" s="3">
        <v>15.23</v>
      </c>
    </row>
    <row r="192" spans="1:2">
      <c r="A192" s="4">
        <v>31687</v>
      </c>
      <c r="B192" s="3">
        <v>15.38</v>
      </c>
    </row>
    <row r="193" spans="1:2">
      <c r="A193" s="4">
        <v>31688</v>
      </c>
      <c r="B193" s="3">
        <v>14.86</v>
      </c>
    </row>
    <row r="194" spans="1:2">
      <c r="A194" s="4">
        <v>31691</v>
      </c>
      <c r="B194" s="3">
        <v>14.83</v>
      </c>
    </row>
    <row r="195" spans="1:2">
      <c r="A195" s="4">
        <v>31692</v>
      </c>
      <c r="B195" s="3">
        <v>15.6</v>
      </c>
    </row>
    <row r="196" spans="1:2">
      <c r="A196" s="4">
        <v>31693</v>
      </c>
      <c r="B196" s="3">
        <v>15.35</v>
      </c>
    </row>
    <row r="197" spans="1:2">
      <c r="A197" s="4">
        <v>31694</v>
      </c>
      <c r="B197" s="3">
        <v>15.05</v>
      </c>
    </row>
    <row r="198" spans="1:2">
      <c r="A198" s="4">
        <v>31695</v>
      </c>
      <c r="B198" s="3">
        <v>14.98</v>
      </c>
    </row>
    <row r="199" spans="1:2">
      <c r="A199" s="4">
        <v>31699</v>
      </c>
      <c r="B199" s="3">
        <v>14.55</v>
      </c>
    </row>
    <row r="200" spans="1:2">
      <c r="A200" s="4">
        <v>31700</v>
      </c>
      <c r="B200" s="3">
        <v>14.83</v>
      </c>
    </row>
    <row r="201" spans="1:2">
      <c r="A201" s="4">
        <v>31701</v>
      </c>
      <c r="B201" s="3">
        <v>14.53</v>
      </c>
    </row>
    <row r="202" spans="1:2">
      <c r="A202" s="4">
        <v>31702</v>
      </c>
      <c r="B202" s="3">
        <v>14.85</v>
      </c>
    </row>
    <row r="203" spans="1:2">
      <c r="A203" s="4">
        <v>31705</v>
      </c>
      <c r="B203" s="3">
        <v>15.17</v>
      </c>
    </row>
    <row r="204" spans="1:2">
      <c r="A204" s="4">
        <v>31706</v>
      </c>
      <c r="B204" s="3">
        <v>15.22</v>
      </c>
    </row>
    <row r="205" spans="1:2">
      <c r="A205" s="4">
        <v>31707</v>
      </c>
      <c r="B205" s="3">
        <v>14.85</v>
      </c>
    </row>
    <row r="206" spans="1:2">
      <c r="A206" s="4">
        <v>31708</v>
      </c>
      <c r="B206" s="3">
        <v>14.88</v>
      </c>
    </row>
    <row r="207" spans="1:2">
      <c r="A207" s="4">
        <v>31709</v>
      </c>
      <c r="B207" s="3">
        <v>14.93</v>
      </c>
    </row>
    <row r="208" spans="1:2">
      <c r="A208" s="4">
        <v>31712</v>
      </c>
      <c r="B208" s="3">
        <v>14.4</v>
      </c>
    </row>
    <row r="209" spans="1:2">
      <c r="A209" s="4">
        <v>31713</v>
      </c>
      <c r="B209" s="3">
        <v>14.18</v>
      </c>
    </row>
    <row r="210" spans="1:2">
      <c r="A210" s="4">
        <v>31714</v>
      </c>
      <c r="B210" s="3">
        <v>13.73</v>
      </c>
    </row>
    <row r="211" spans="1:2">
      <c r="A211" s="4">
        <v>31715</v>
      </c>
      <c r="B211" s="3">
        <v>15.08</v>
      </c>
    </row>
    <row r="212" spans="1:2">
      <c r="A212" s="4">
        <v>31716</v>
      </c>
      <c r="B212" s="3">
        <v>15.25</v>
      </c>
    </row>
    <row r="213" spans="1:2">
      <c r="A213" s="4">
        <v>31719</v>
      </c>
      <c r="B213" s="3">
        <v>14.7</v>
      </c>
    </row>
    <row r="214" spans="1:2">
      <c r="A214" s="4">
        <v>31720</v>
      </c>
      <c r="B214" s="3">
        <v>15.05</v>
      </c>
    </row>
    <row r="215" spans="1:2">
      <c r="A215" s="4">
        <v>31721</v>
      </c>
      <c r="B215" s="3">
        <v>14.93</v>
      </c>
    </row>
    <row r="216" spans="1:2">
      <c r="A216" s="4">
        <v>31722</v>
      </c>
      <c r="B216" s="3">
        <v>15.08</v>
      </c>
    </row>
    <row r="217" spans="1:2">
      <c r="A217" s="4">
        <v>31723</v>
      </c>
      <c r="B217" s="3">
        <v>15.15</v>
      </c>
    </row>
    <row r="218" spans="1:2">
      <c r="A218" s="4">
        <v>31726</v>
      </c>
      <c r="B218" s="3">
        <v>15.3</v>
      </c>
    </row>
    <row r="219" spans="1:2">
      <c r="A219" s="4">
        <v>31727</v>
      </c>
      <c r="B219" s="3">
        <v>15.39</v>
      </c>
    </row>
    <row r="220" spans="1:2">
      <c r="A220" s="4">
        <v>31728</v>
      </c>
      <c r="B220" s="3">
        <v>15.33</v>
      </c>
    </row>
    <row r="221" spans="1:2">
      <c r="A221" s="4">
        <v>31729</v>
      </c>
      <c r="B221" s="3">
        <v>15.55</v>
      </c>
    </row>
    <row r="222" spans="1:2">
      <c r="A222" s="4">
        <v>31730</v>
      </c>
      <c r="B222" s="3">
        <v>15.68</v>
      </c>
    </row>
    <row r="223" spans="1:2">
      <c r="A223" s="4">
        <v>31733</v>
      </c>
      <c r="B223" s="3">
        <v>15.62</v>
      </c>
    </row>
    <row r="224" spans="1:2">
      <c r="A224" s="4">
        <v>31734</v>
      </c>
      <c r="B224" s="3">
        <v>15.65</v>
      </c>
    </row>
    <row r="225" spans="1:2">
      <c r="A225" s="4">
        <v>31735</v>
      </c>
      <c r="B225" s="3">
        <v>15.52</v>
      </c>
    </row>
    <row r="226" spans="1:2">
      <c r="A226" s="4">
        <v>31736</v>
      </c>
      <c r="B226" s="3">
        <v>15.1</v>
      </c>
    </row>
    <row r="227" spans="1:2">
      <c r="A227" s="4">
        <v>31737</v>
      </c>
      <c r="B227" s="3">
        <v>15.13</v>
      </c>
    </row>
    <row r="228" spans="1:2">
      <c r="A228" s="4">
        <v>31740</v>
      </c>
      <c r="B228" s="3">
        <v>14.98</v>
      </c>
    </row>
    <row r="229" spans="1:2">
      <c r="A229" s="4">
        <v>31741</v>
      </c>
      <c r="B229" s="3">
        <v>15.05</v>
      </c>
    </row>
    <row r="230" spans="1:2">
      <c r="A230" s="4">
        <v>31742</v>
      </c>
      <c r="B230" s="3">
        <v>15</v>
      </c>
    </row>
    <row r="231" spans="1:2">
      <c r="A231" s="4">
        <v>31744</v>
      </c>
      <c r="B231" s="3">
        <v>15</v>
      </c>
    </row>
    <row r="232" spans="1:2">
      <c r="A232" s="4">
        <v>31747</v>
      </c>
      <c r="B232" s="3">
        <v>15.29</v>
      </c>
    </row>
    <row r="233" spans="1:2">
      <c r="A233" s="4">
        <v>31748</v>
      </c>
      <c r="B233" s="3">
        <v>15.22</v>
      </c>
    </row>
    <row r="234" spans="1:2">
      <c r="A234" s="4">
        <v>31749</v>
      </c>
      <c r="B234" s="3">
        <v>15.13</v>
      </c>
    </row>
    <row r="235" spans="1:2">
      <c r="A235" s="4">
        <v>31750</v>
      </c>
      <c r="B235" s="3">
        <v>15.2</v>
      </c>
    </row>
    <row r="236" spans="1:2">
      <c r="A236" s="4">
        <v>31751</v>
      </c>
      <c r="B236" s="3">
        <v>15.14</v>
      </c>
    </row>
    <row r="237" spans="1:2">
      <c r="A237" s="4">
        <v>31754</v>
      </c>
      <c r="B237" s="3">
        <v>15.01</v>
      </c>
    </row>
    <row r="238" spans="1:2">
      <c r="A238" s="4">
        <v>31755</v>
      </c>
      <c r="B238" s="3">
        <v>14.93</v>
      </c>
    </row>
    <row r="239" spans="1:2">
      <c r="A239" s="4">
        <v>31756</v>
      </c>
      <c r="B239" s="3">
        <v>15.12</v>
      </c>
    </row>
    <row r="240" spans="1:2">
      <c r="A240" s="4">
        <v>31757</v>
      </c>
      <c r="B240" s="3">
        <v>15.49</v>
      </c>
    </row>
    <row r="241" spans="1:2">
      <c r="A241" s="4">
        <v>31758</v>
      </c>
      <c r="B241" s="3">
        <v>16.13</v>
      </c>
    </row>
    <row r="242" spans="1:2">
      <c r="A242" s="4">
        <v>31761</v>
      </c>
      <c r="B242" s="3">
        <v>16.38</v>
      </c>
    </row>
    <row r="243" spans="1:2">
      <c r="A243" s="4">
        <v>31762</v>
      </c>
      <c r="B243" s="3">
        <v>16.11</v>
      </c>
    </row>
    <row r="244" spans="1:2">
      <c r="A244" s="4">
        <v>31763</v>
      </c>
      <c r="B244" s="3">
        <v>15.83</v>
      </c>
    </row>
    <row r="245" spans="1:2">
      <c r="A245" s="4">
        <v>31764</v>
      </c>
      <c r="B245" s="3">
        <v>16.28</v>
      </c>
    </row>
    <row r="246" spans="1:2">
      <c r="A246" s="4">
        <v>31765</v>
      </c>
      <c r="B246" s="3">
        <v>16.55</v>
      </c>
    </row>
    <row r="247" spans="1:2">
      <c r="A247" s="4">
        <v>31768</v>
      </c>
      <c r="B247" s="3">
        <v>16.95</v>
      </c>
    </row>
    <row r="248" spans="1:2">
      <c r="A248" s="4">
        <v>31769</v>
      </c>
      <c r="B248" s="3">
        <v>16.93</v>
      </c>
    </row>
    <row r="249" spans="1:2">
      <c r="A249" s="4">
        <v>31770</v>
      </c>
      <c r="B249" s="3">
        <v>17.260000000000002</v>
      </c>
    </row>
    <row r="250" spans="1:2">
      <c r="A250" s="4">
        <v>31775</v>
      </c>
      <c r="B250" s="3">
        <v>17.649999999999999</v>
      </c>
    </row>
    <row r="251" spans="1:2">
      <c r="A251" s="4">
        <v>31776</v>
      </c>
      <c r="B251" s="3">
        <v>17.73</v>
      </c>
    </row>
    <row r="252" spans="1:2">
      <c r="A252" s="4">
        <v>31777</v>
      </c>
      <c r="B252" s="3">
        <v>17.93</v>
      </c>
    </row>
    <row r="253" spans="1:2">
      <c r="A253" s="4">
        <v>31779</v>
      </c>
      <c r="B253" s="3">
        <v>18.13</v>
      </c>
    </row>
    <row r="254" spans="1:2">
      <c r="A254" s="4">
        <v>31782</v>
      </c>
      <c r="B254" s="3">
        <v>17.98</v>
      </c>
    </row>
    <row r="255" spans="1:2">
      <c r="A255" s="4">
        <v>31783</v>
      </c>
      <c r="B255" s="3">
        <v>18.21</v>
      </c>
    </row>
    <row r="256" spans="1:2">
      <c r="A256" s="4">
        <v>31784</v>
      </c>
      <c r="B256" s="3">
        <v>18.28</v>
      </c>
    </row>
    <row r="257" spans="1:2">
      <c r="A257" s="4">
        <v>31785</v>
      </c>
      <c r="B257" s="3">
        <v>18.63</v>
      </c>
    </row>
    <row r="258" spans="1:2">
      <c r="A258" s="4">
        <v>31786</v>
      </c>
      <c r="B258" s="3">
        <v>18.78</v>
      </c>
    </row>
    <row r="259" spans="1:2">
      <c r="A259" s="4">
        <v>31789</v>
      </c>
      <c r="B259" s="3">
        <v>19</v>
      </c>
    </row>
    <row r="260" spans="1:2">
      <c r="A260" s="4">
        <v>31790</v>
      </c>
      <c r="B260" s="3">
        <v>18.86</v>
      </c>
    </row>
    <row r="261" spans="1:2">
      <c r="A261" s="4">
        <v>31791</v>
      </c>
      <c r="B261" s="3">
        <v>19.13</v>
      </c>
    </row>
    <row r="262" spans="1:2">
      <c r="A262" s="4">
        <v>31792</v>
      </c>
      <c r="B262" s="3">
        <v>19.09</v>
      </c>
    </row>
    <row r="263" spans="1:2">
      <c r="A263" s="4">
        <v>31793</v>
      </c>
      <c r="B263" s="3">
        <v>19.13</v>
      </c>
    </row>
    <row r="264" spans="1:2">
      <c r="A264" s="4">
        <v>31796</v>
      </c>
      <c r="B264" s="3">
        <v>18.7</v>
      </c>
    </row>
    <row r="265" spans="1:2">
      <c r="A265" s="4">
        <v>31797</v>
      </c>
      <c r="B265" s="3">
        <v>18.73</v>
      </c>
    </row>
    <row r="266" spans="1:2">
      <c r="A266" s="4">
        <v>31798</v>
      </c>
      <c r="B266" s="3">
        <v>18.600000000000001</v>
      </c>
    </row>
    <row r="267" spans="1:2">
      <c r="A267" s="4">
        <v>31799</v>
      </c>
      <c r="B267" s="3">
        <v>18.760000000000002</v>
      </c>
    </row>
    <row r="268" spans="1:2">
      <c r="A268" s="4">
        <v>31800</v>
      </c>
      <c r="B268" s="3">
        <v>18.59</v>
      </c>
    </row>
    <row r="269" spans="1:2">
      <c r="A269" s="4">
        <v>31803</v>
      </c>
      <c r="B269" s="3">
        <v>18.63</v>
      </c>
    </row>
    <row r="270" spans="1:2">
      <c r="A270" s="4">
        <v>31804</v>
      </c>
      <c r="B270" s="3">
        <v>18.48</v>
      </c>
    </row>
    <row r="271" spans="1:2">
      <c r="A271" s="4">
        <v>31805</v>
      </c>
      <c r="B271" s="3">
        <v>18.559999999999999</v>
      </c>
    </row>
    <row r="272" spans="1:2">
      <c r="A272" s="4">
        <v>31806</v>
      </c>
      <c r="B272" s="3">
        <v>18.68</v>
      </c>
    </row>
    <row r="273" spans="1:2">
      <c r="A273" s="4">
        <v>31807</v>
      </c>
      <c r="B273" s="3">
        <v>18.73</v>
      </c>
    </row>
    <row r="274" spans="1:2">
      <c r="A274" s="4">
        <v>31810</v>
      </c>
      <c r="B274" s="3">
        <v>18.59</v>
      </c>
    </row>
    <row r="275" spans="1:2">
      <c r="A275" s="4">
        <v>31811</v>
      </c>
      <c r="B275" s="3">
        <v>18.38</v>
      </c>
    </row>
    <row r="276" spans="1:2">
      <c r="A276" s="4">
        <v>31812</v>
      </c>
      <c r="B276" s="3">
        <v>18.260000000000002</v>
      </c>
    </row>
    <row r="277" spans="1:2">
      <c r="A277" s="4">
        <v>31813</v>
      </c>
      <c r="B277" s="3">
        <v>18.559999999999999</v>
      </c>
    </row>
    <row r="278" spans="1:2">
      <c r="A278" s="4">
        <v>31814</v>
      </c>
      <c r="B278" s="3">
        <v>18.440000000000001</v>
      </c>
    </row>
    <row r="279" spans="1:2">
      <c r="A279" s="4">
        <v>31817</v>
      </c>
      <c r="B279" s="3">
        <v>18.37</v>
      </c>
    </row>
    <row r="280" spans="1:2">
      <c r="A280" s="4">
        <v>31818</v>
      </c>
      <c r="B280" s="3">
        <v>18.43</v>
      </c>
    </row>
    <row r="281" spans="1:2">
      <c r="A281" s="4">
        <v>31819</v>
      </c>
      <c r="B281" s="3">
        <v>18.03</v>
      </c>
    </row>
    <row r="282" spans="1:2">
      <c r="A282" s="4">
        <v>31820</v>
      </c>
      <c r="B282" s="3">
        <v>18.05</v>
      </c>
    </row>
    <row r="283" spans="1:2">
      <c r="A283" s="4">
        <v>31821</v>
      </c>
      <c r="B283" s="3">
        <v>17.829999999999998</v>
      </c>
    </row>
    <row r="284" spans="1:2">
      <c r="A284" s="4">
        <v>31825</v>
      </c>
      <c r="B284" s="3">
        <v>17.78</v>
      </c>
    </row>
    <row r="285" spans="1:2">
      <c r="A285" s="4">
        <v>31826</v>
      </c>
      <c r="B285" s="3">
        <v>17.440000000000001</v>
      </c>
    </row>
    <row r="286" spans="1:2">
      <c r="A286" s="4">
        <v>31827</v>
      </c>
      <c r="B286" s="3">
        <v>17.48</v>
      </c>
    </row>
    <row r="287" spans="1:2">
      <c r="A287" s="4">
        <v>31828</v>
      </c>
      <c r="B287" s="3">
        <v>17.829999999999998</v>
      </c>
    </row>
    <row r="288" spans="1:2">
      <c r="A288" s="4">
        <v>31831</v>
      </c>
      <c r="B288" s="3">
        <v>17.149999999999999</v>
      </c>
    </row>
    <row r="289" spans="1:2">
      <c r="A289" s="4">
        <v>31832</v>
      </c>
      <c r="B289" s="3">
        <v>16.75</v>
      </c>
    </row>
    <row r="290" spans="1:2">
      <c r="A290" s="4">
        <v>31833</v>
      </c>
      <c r="B290" s="3">
        <v>16.43</v>
      </c>
    </row>
    <row r="291" spans="1:2">
      <c r="A291" s="4">
        <v>31834</v>
      </c>
      <c r="B291" s="3">
        <v>16.98</v>
      </c>
    </row>
    <row r="292" spans="1:2">
      <c r="A292" s="4">
        <v>31835</v>
      </c>
      <c r="B292" s="3">
        <v>16.45</v>
      </c>
    </row>
    <row r="293" spans="1:2">
      <c r="A293" s="4">
        <v>31838</v>
      </c>
      <c r="B293" s="3">
        <v>16.43</v>
      </c>
    </row>
    <row r="294" spans="1:2">
      <c r="A294" s="4">
        <v>31839</v>
      </c>
      <c r="B294" s="3">
        <v>17.399999999999999</v>
      </c>
    </row>
    <row r="295" spans="1:2">
      <c r="A295" s="4">
        <v>31840</v>
      </c>
      <c r="B295" s="3">
        <v>17.399999999999999</v>
      </c>
    </row>
    <row r="296" spans="1:2">
      <c r="A296" s="4">
        <v>31841</v>
      </c>
      <c r="B296" s="3">
        <v>18</v>
      </c>
    </row>
    <row r="297" spans="1:2">
      <c r="A297" s="4">
        <v>31842</v>
      </c>
      <c r="B297" s="3">
        <v>18.13</v>
      </c>
    </row>
    <row r="298" spans="1:2">
      <c r="A298" s="4">
        <v>31845</v>
      </c>
      <c r="B298" s="3">
        <v>18.13</v>
      </c>
    </row>
    <row r="299" spans="1:2">
      <c r="A299" s="4">
        <v>31846</v>
      </c>
      <c r="B299" s="3">
        <v>18.27</v>
      </c>
    </row>
    <row r="300" spans="1:2">
      <c r="A300" s="4">
        <v>31847</v>
      </c>
      <c r="B300" s="3">
        <v>18.329999999999998</v>
      </c>
    </row>
    <row r="301" spans="1:2">
      <c r="A301" s="4">
        <v>31848</v>
      </c>
      <c r="B301" s="3">
        <v>18.420000000000002</v>
      </c>
    </row>
    <row r="302" spans="1:2">
      <c r="A302" s="4">
        <v>31849</v>
      </c>
      <c r="B302" s="3">
        <v>18.39</v>
      </c>
    </row>
    <row r="303" spans="1:2">
      <c r="A303" s="4">
        <v>31852</v>
      </c>
      <c r="B303" s="3">
        <v>18.61</v>
      </c>
    </row>
    <row r="304" spans="1:2">
      <c r="A304" s="4">
        <v>31853</v>
      </c>
      <c r="B304" s="3">
        <v>18.940000000000001</v>
      </c>
    </row>
    <row r="305" spans="1:2">
      <c r="A305" s="4">
        <v>31854</v>
      </c>
      <c r="B305" s="3">
        <v>18.75</v>
      </c>
    </row>
    <row r="306" spans="1:2">
      <c r="A306" s="4">
        <v>31855</v>
      </c>
      <c r="B306" s="3">
        <v>18.61</v>
      </c>
    </row>
    <row r="307" spans="1:2">
      <c r="A307" s="4">
        <v>31856</v>
      </c>
      <c r="B307" s="3">
        <v>18.7</v>
      </c>
    </row>
    <row r="308" spans="1:2">
      <c r="A308" s="4">
        <v>31859</v>
      </c>
      <c r="B308" s="3">
        <v>18.600000000000001</v>
      </c>
    </row>
    <row r="309" spans="1:2">
      <c r="A309" s="4">
        <v>31861</v>
      </c>
      <c r="B309" s="3">
        <v>18.48</v>
      </c>
    </row>
    <row r="310" spans="1:2">
      <c r="A310" s="4">
        <v>31862</v>
      </c>
      <c r="B310" s="3">
        <v>18.63</v>
      </c>
    </row>
    <row r="311" spans="1:2">
      <c r="A311" s="4">
        <v>31863</v>
      </c>
      <c r="B311" s="3">
        <v>18.649999999999999</v>
      </c>
    </row>
    <row r="312" spans="1:2">
      <c r="A312" s="4">
        <v>31866</v>
      </c>
      <c r="B312" s="3">
        <v>18.670000000000002</v>
      </c>
    </row>
    <row r="313" spans="1:2">
      <c r="A313" s="4">
        <v>31867</v>
      </c>
      <c r="B313" s="3">
        <v>18.82</v>
      </c>
    </row>
    <row r="314" spans="1:2">
      <c r="A314" s="4">
        <v>31868</v>
      </c>
      <c r="B314" s="3">
        <v>18.78</v>
      </c>
    </row>
    <row r="315" spans="1:2">
      <c r="A315" s="4">
        <v>31869</v>
      </c>
      <c r="B315" s="3">
        <v>18.899999999999999</v>
      </c>
    </row>
    <row r="316" spans="1:2">
      <c r="A316" s="4">
        <v>31870</v>
      </c>
      <c r="B316" s="3">
        <v>18.68</v>
      </c>
    </row>
    <row r="317" spans="1:2">
      <c r="A317" s="4">
        <v>31873</v>
      </c>
      <c r="B317" s="3">
        <v>18.71</v>
      </c>
    </row>
    <row r="318" spans="1:2">
      <c r="A318" s="4">
        <v>31874</v>
      </c>
      <c r="B318" s="3">
        <v>18.690000000000001</v>
      </c>
    </row>
    <row r="319" spans="1:2">
      <c r="A319" s="4">
        <v>31875</v>
      </c>
      <c r="B319" s="3">
        <v>18.68</v>
      </c>
    </row>
    <row r="320" spans="1:2">
      <c r="A320" s="4">
        <v>31876</v>
      </c>
      <c r="B320" s="3">
        <v>18.64</v>
      </c>
    </row>
    <row r="321" spans="1:2">
      <c r="A321" s="4">
        <v>31877</v>
      </c>
      <c r="B321" s="3">
        <v>18.260000000000002</v>
      </c>
    </row>
    <row r="322" spans="1:2">
      <c r="A322" s="4">
        <v>31880</v>
      </c>
      <c r="B322" s="3">
        <v>18.07</v>
      </c>
    </row>
    <row r="323" spans="1:2">
      <c r="A323" s="4">
        <v>31881</v>
      </c>
      <c r="B323" s="3">
        <v>18.09</v>
      </c>
    </row>
    <row r="324" spans="1:2">
      <c r="A324" s="4">
        <v>31882</v>
      </c>
      <c r="B324" s="3">
        <v>18.46</v>
      </c>
    </row>
    <row r="325" spans="1:2">
      <c r="A325" s="4">
        <v>31883</v>
      </c>
      <c r="B325" s="3">
        <v>18.579999999999998</v>
      </c>
    </row>
    <row r="326" spans="1:2">
      <c r="A326" s="4">
        <v>31887</v>
      </c>
      <c r="B326" s="3">
        <v>18.66</v>
      </c>
    </row>
    <row r="327" spans="1:2">
      <c r="A327" s="4">
        <v>31888</v>
      </c>
      <c r="B327" s="3">
        <v>18.97</v>
      </c>
    </row>
    <row r="328" spans="1:2">
      <c r="A328" s="4">
        <v>31889</v>
      </c>
      <c r="B328" s="3">
        <v>19.03</v>
      </c>
    </row>
    <row r="329" spans="1:2">
      <c r="A329" s="4">
        <v>31890</v>
      </c>
      <c r="B329" s="3">
        <v>19.03</v>
      </c>
    </row>
    <row r="330" spans="1:2">
      <c r="A330" s="4">
        <v>31891</v>
      </c>
      <c r="B330" s="3">
        <v>19.010000000000002</v>
      </c>
    </row>
    <row r="331" spans="1:2">
      <c r="A331" s="4">
        <v>31894</v>
      </c>
      <c r="B331" s="3">
        <v>18.829999999999998</v>
      </c>
    </row>
    <row r="332" spans="1:2">
      <c r="A332" s="4">
        <v>31895</v>
      </c>
      <c r="B332" s="3">
        <v>18.73</v>
      </c>
    </row>
    <row r="333" spans="1:2">
      <c r="A333" s="4">
        <v>31896</v>
      </c>
      <c r="B333" s="3">
        <v>18.66</v>
      </c>
    </row>
    <row r="334" spans="1:2">
      <c r="A334" s="4">
        <v>31897</v>
      </c>
      <c r="B334" s="3">
        <v>18.760000000000002</v>
      </c>
    </row>
    <row r="335" spans="1:2">
      <c r="A335" s="4">
        <v>31898</v>
      </c>
      <c r="B335" s="3">
        <v>18.84</v>
      </c>
    </row>
    <row r="336" spans="1:2">
      <c r="A336" s="4">
        <v>31901</v>
      </c>
      <c r="B336" s="3">
        <v>18.93</v>
      </c>
    </row>
    <row r="337" spans="1:2">
      <c r="A337" s="4">
        <v>31902</v>
      </c>
      <c r="B337" s="3">
        <v>19.18</v>
      </c>
    </row>
    <row r="338" spans="1:2">
      <c r="A338" s="4">
        <v>31903</v>
      </c>
      <c r="B338" s="3">
        <v>19.22</v>
      </c>
    </row>
    <row r="339" spans="1:2">
      <c r="A339" s="4">
        <v>31904</v>
      </c>
      <c r="B339" s="3">
        <v>19.079999999999998</v>
      </c>
    </row>
    <row r="340" spans="1:2">
      <c r="A340" s="4">
        <v>31905</v>
      </c>
      <c r="B340" s="3">
        <v>19.28</v>
      </c>
    </row>
    <row r="341" spans="1:2">
      <c r="A341" s="4">
        <v>31908</v>
      </c>
      <c r="B341" s="3">
        <v>19.43</v>
      </c>
    </row>
    <row r="342" spans="1:2">
      <c r="A342" s="4">
        <v>31909</v>
      </c>
      <c r="B342" s="3">
        <v>19.37</v>
      </c>
    </row>
    <row r="343" spans="1:2">
      <c r="A343" s="4">
        <v>31910</v>
      </c>
      <c r="B343" s="3">
        <v>19.39</v>
      </c>
    </row>
    <row r="344" spans="1:2">
      <c r="A344" s="4">
        <v>31911</v>
      </c>
      <c r="B344" s="3">
        <v>19.559999999999999</v>
      </c>
    </row>
    <row r="345" spans="1:2">
      <c r="A345" s="4">
        <v>31912</v>
      </c>
      <c r="B345" s="3">
        <v>19.84</v>
      </c>
    </row>
    <row r="346" spans="1:2">
      <c r="A346" s="4">
        <v>31915</v>
      </c>
      <c r="B346" s="3">
        <v>19.91</v>
      </c>
    </row>
    <row r="347" spans="1:2">
      <c r="A347" s="4">
        <v>31916</v>
      </c>
      <c r="B347" s="3">
        <v>19.97</v>
      </c>
    </row>
    <row r="348" spans="1:2">
      <c r="A348" s="4">
        <v>31917</v>
      </c>
      <c r="B348" s="3">
        <v>19.75</v>
      </c>
    </row>
    <row r="349" spans="1:2">
      <c r="A349" s="4">
        <v>31918</v>
      </c>
      <c r="B349" s="3">
        <v>19.95</v>
      </c>
    </row>
    <row r="350" spans="1:2">
      <c r="A350" s="4">
        <v>31919</v>
      </c>
      <c r="B350" s="3">
        <v>19.68</v>
      </c>
    </row>
    <row r="351" spans="1:2">
      <c r="A351" s="4">
        <v>31923</v>
      </c>
      <c r="B351" s="3">
        <v>19.350000000000001</v>
      </c>
    </row>
    <row r="352" spans="1:2">
      <c r="A352" s="4">
        <v>31924</v>
      </c>
      <c r="B352" s="3">
        <v>19.38</v>
      </c>
    </row>
    <row r="353" spans="1:2">
      <c r="A353" s="4">
        <v>31925</v>
      </c>
      <c r="B353" s="3">
        <v>19.28</v>
      </c>
    </row>
    <row r="354" spans="1:2">
      <c r="A354" s="4">
        <v>31926</v>
      </c>
      <c r="B354" s="3">
        <v>19.36</v>
      </c>
    </row>
    <row r="355" spans="1:2">
      <c r="A355" s="4">
        <v>31929</v>
      </c>
      <c r="B355" s="3">
        <v>19.55</v>
      </c>
    </row>
    <row r="356" spans="1:2">
      <c r="A356" s="4">
        <v>31930</v>
      </c>
      <c r="B356" s="3">
        <v>19.7</v>
      </c>
    </row>
    <row r="357" spans="1:2">
      <c r="A357" s="4">
        <v>31931</v>
      </c>
      <c r="B357" s="3">
        <v>19.87</v>
      </c>
    </row>
    <row r="358" spans="1:2">
      <c r="A358" s="4">
        <v>31932</v>
      </c>
      <c r="B358" s="3">
        <v>19.75</v>
      </c>
    </row>
    <row r="359" spans="1:2">
      <c r="A359" s="4">
        <v>31933</v>
      </c>
      <c r="B359" s="3">
        <v>19.79</v>
      </c>
    </row>
    <row r="360" spans="1:2">
      <c r="A360" s="4">
        <v>31936</v>
      </c>
      <c r="B360" s="3">
        <v>19.940000000000001</v>
      </c>
    </row>
    <row r="361" spans="1:2">
      <c r="A361" s="4">
        <v>31937</v>
      </c>
      <c r="B361" s="3">
        <v>19.84</v>
      </c>
    </row>
    <row r="362" spans="1:2">
      <c r="A362" s="4">
        <v>31938</v>
      </c>
      <c r="B362" s="3">
        <v>19.829999999999998</v>
      </c>
    </row>
    <row r="363" spans="1:2">
      <c r="A363" s="4">
        <v>31939</v>
      </c>
      <c r="B363" s="3">
        <v>19.850000000000001</v>
      </c>
    </row>
    <row r="364" spans="1:2">
      <c r="A364" s="4">
        <v>31940</v>
      </c>
      <c r="B364" s="3">
        <v>19.93</v>
      </c>
    </row>
    <row r="365" spans="1:2">
      <c r="A365" s="4">
        <v>31943</v>
      </c>
      <c r="B365" s="3">
        <v>20.07</v>
      </c>
    </row>
    <row r="366" spans="1:2">
      <c r="A366" s="4">
        <v>31944</v>
      </c>
      <c r="B366" s="3">
        <v>20.27</v>
      </c>
    </row>
    <row r="367" spans="1:2">
      <c r="A367" s="4">
        <v>31945</v>
      </c>
      <c r="B367" s="3">
        <v>20.41</v>
      </c>
    </row>
    <row r="368" spans="1:2">
      <c r="A368" s="4">
        <v>31946</v>
      </c>
      <c r="B368" s="3">
        <v>20.5</v>
      </c>
    </row>
    <row r="369" spans="1:2">
      <c r="A369" s="4">
        <v>31947</v>
      </c>
      <c r="B369" s="3">
        <v>20.65</v>
      </c>
    </row>
    <row r="370" spans="1:2">
      <c r="A370" s="4">
        <v>31950</v>
      </c>
      <c r="B370" s="3">
        <v>20.49</v>
      </c>
    </row>
    <row r="371" spans="1:2">
      <c r="A371" s="4">
        <v>31951</v>
      </c>
      <c r="B371" s="3">
        <v>19.95</v>
      </c>
    </row>
    <row r="372" spans="1:2">
      <c r="A372" s="4">
        <v>31952</v>
      </c>
      <c r="B372" s="3">
        <v>20.13</v>
      </c>
    </row>
    <row r="373" spans="1:2">
      <c r="A373" s="4">
        <v>31953</v>
      </c>
      <c r="B373" s="3">
        <v>20.149999999999999</v>
      </c>
    </row>
    <row r="374" spans="1:2">
      <c r="A374" s="4">
        <v>31954</v>
      </c>
      <c r="B374" s="3">
        <v>20.34</v>
      </c>
    </row>
    <row r="375" spans="1:2">
      <c r="A375" s="4">
        <v>31957</v>
      </c>
      <c r="B375" s="3">
        <v>20.38</v>
      </c>
    </row>
    <row r="376" spans="1:2">
      <c r="A376" s="4">
        <v>31958</v>
      </c>
      <c r="B376" s="3">
        <v>20.22</v>
      </c>
    </row>
    <row r="377" spans="1:2">
      <c r="A377" s="4">
        <v>31959</v>
      </c>
      <c r="B377" s="3">
        <v>20.47</v>
      </c>
    </row>
    <row r="378" spans="1:2">
      <c r="A378" s="4">
        <v>31960</v>
      </c>
      <c r="B378" s="3">
        <v>20.61</v>
      </c>
    </row>
    <row r="379" spans="1:2">
      <c r="A379" s="4">
        <v>31961</v>
      </c>
      <c r="B379" s="3">
        <v>20.61</v>
      </c>
    </row>
    <row r="380" spans="1:2">
      <c r="A380" s="4">
        <v>31964</v>
      </c>
      <c r="B380" s="3">
        <v>20.92</v>
      </c>
    </row>
    <row r="381" spans="1:2">
      <c r="A381" s="4">
        <v>31965</v>
      </c>
      <c r="B381" s="3">
        <v>20.76</v>
      </c>
    </row>
    <row r="382" spans="1:2">
      <c r="A382" s="4">
        <v>31966</v>
      </c>
      <c r="B382" s="3">
        <v>20.94</v>
      </c>
    </row>
    <row r="383" spans="1:2">
      <c r="A383" s="4">
        <v>31967</v>
      </c>
      <c r="B383" s="3">
        <v>21.32</v>
      </c>
    </row>
    <row r="384" spans="1:2">
      <c r="A384" s="4">
        <v>31968</v>
      </c>
      <c r="B384" s="3">
        <v>21.34</v>
      </c>
    </row>
    <row r="385" spans="1:2">
      <c r="A385" s="4">
        <v>31971</v>
      </c>
      <c r="B385" s="3">
        <v>21.38</v>
      </c>
    </row>
    <row r="386" spans="1:2">
      <c r="A386" s="4">
        <v>31972</v>
      </c>
      <c r="B386" s="3">
        <v>21.65</v>
      </c>
    </row>
    <row r="387" spans="1:2">
      <c r="A387" s="4">
        <v>31973</v>
      </c>
      <c r="B387" s="3">
        <v>22.23</v>
      </c>
    </row>
    <row r="388" spans="1:2">
      <c r="A388" s="4">
        <v>31974</v>
      </c>
      <c r="B388" s="3">
        <v>22.44</v>
      </c>
    </row>
    <row r="389" spans="1:2">
      <c r="A389" s="4">
        <v>31975</v>
      </c>
      <c r="B389" s="3">
        <v>22.44</v>
      </c>
    </row>
    <row r="390" spans="1:2">
      <c r="A390" s="4">
        <v>31978</v>
      </c>
      <c r="B390" s="3">
        <v>22.23</v>
      </c>
    </row>
    <row r="391" spans="1:2">
      <c r="A391" s="4">
        <v>31979</v>
      </c>
      <c r="B391" s="3">
        <v>21.75</v>
      </c>
    </row>
    <row r="392" spans="1:2">
      <c r="A392" s="4">
        <v>31980</v>
      </c>
      <c r="B392" s="3">
        <v>21.73</v>
      </c>
    </row>
    <row r="393" spans="1:2">
      <c r="A393" s="4">
        <v>31981</v>
      </c>
      <c r="B393" s="3">
        <v>21.23</v>
      </c>
    </row>
    <row r="394" spans="1:2">
      <c r="A394" s="4">
        <v>31982</v>
      </c>
      <c r="B394" s="3">
        <v>20.58</v>
      </c>
    </row>
    <row r="395" spans="1:2">
      <c r="A395" s="4">
        <v>31985</v>
      </c>
      <c r="B395" s="3">
        <v>20.5</v>
      </c>
    </row>
    <row r="396" spans="1:2">
      <c r="A396" s="4">
        <v>31986</v>
      </c>
      <c r="B396" s="3">
        <v>21.35</v>
      </c>
    </row>
    <row r="397" spans="1:2">
      <c r="A397" s="4">
        <v>31987</v>
      </c>
      <c r="B397" s="3">
        <v>21.49</v>
      </c>
    </row>
    <row r="398" spans="1:2">
      <c r="A398" s="4">
        <v>31988</v>
      </c>
      <c r="B398" s="3">
        <v>21.47</v>
      </c>
    </row>
    <row r="399" spans="1:2">
      <c r="A399" s="4">
        <v>31989</v>
      </c>
      <c r="B399" s="3">
        <v>21.43</v>
      </c>
    </row>
    <row r="400" spans="1:2">
      <c r="A400" s="4">
        <v>31992</v>
      </c>
      <c r="B400" s="3">
        <v>22.21</v>
      </c>
    </row>
    <row r="401" spans="1:2">
      <c r="A401" s="4">
        <v>31993</v>
      </c>
      <c r="B401" s="3">
        <v>21.82</v>
      </c>
    </row>
    <row r="402" spans="1:2">
      <c r="A402" s="4">
        <v>31994</v>
      </c>
      <c r="B402" s="3">
        <v>21.37</v>
      </c>
    </row>
    <row r="403" spans="1:2">
      <c r="A403" s="4">
        <v>31995</v>
      </c>
      <c r="B403" s="3">
        <v>21.17</v>
      </c>
    </row>
    <row r="404" spans="1:2">
      <c r="A404" s="4">
        <v>31996</v>
      </c>
      <c r="B404" s="3">
        <v>21.01</v>
      </c>
    </row>
    <row r="405" spans="1:2">
      <c r="A405" s="4">
        <v>31999</v>
      </c>
      <c r="B405" s="3">
        <v>20.7</v>
      </c>
    </row>
    <row r="406" spans="1:2">
      <c r="A406" s="4">
        <v>32000</v>
      </c>
      <c r="B406" s="3">
        <v>21.07</v>
      </c>
    </row>
    <row r="407" spans="1:2">
      <c r="A407" s="4">
        <v>32001</v>
      </c>
      <c r="B407" s="3">
        <v>20.96</v>
      </c>
    </row>
    <row r="408" spans="1:2">
      <c r="A408" s="4">
        <v>32002</v>
      </c>
      <c r="B408" s="3">
        <v>20.76</v>
      </c>
    </row>
    <row r="409" spans="1:2">
      <c r="A409" s="4">
        <v>32003</v>
      </c>
      <c r="B409" s="3">
        <v>20.53</v>
      </c>
    </row>
    <row r="410" spans="1:2">
      <c r="A410" s="4">
        <v>32006</v>
      </c>
      <c r="B410" s="3">
        <v>19.850000000000001</v>
      </c>
    </row>
    <row r="411" spans="1:2">
      <c r="A411" s="4">
        <v>32007</v>
      </c>
      <c r="B411" s="3">
        <v>19.84</v>
      </c>
    </row>
    <row r="412" spans="1:2">
      <c r="A412" s="4">
        <v>32008</v>
      </c>
      <c r="B412" s="3">
        <v>19.71</v>
      </c>
    </row>
    <row r="413" spans="1:2">
      <c r="A413" s="4">
        <v>32009</v>
      </c>
      <c r="B413" s="3">
        <v>19.47</v>
      </c>
    </row>
    <row r="414" spans="1:2">
      <c r="A414" s="4">
        <v>32010</v>
      </c>
      <c r="B414" s="3">
        <v>19.2</v>
      </c>
    </row>
    <row r="415" spans="1:2">
      <c r="A415" s="4">
        <v>32013</v>
      </c>
      <c r="B415" s="3">
        <v>19.18</v>
      </c>
    </row>
    <row r="416" spans="1:2">
      <c r="A416" s="4">
        <v>32014</v>
      </c>
      <c r="B416" s="3">
        <v>19.3</v>
      </c>
    </row>
    <row r="417" spans="1:2">
      <c r="A417" s="4">
        <v>32015</v>
      </c>
      <c r="B417" s="3">
        <v>19.489999999999998</v>
      </c>
    </row>
    <row r="418" spans="1:2">
      <c r="A418" s="4">
        <v>32016</v>
      </c>
      <c r="B418" s="3">
        <v>19.690000000000001</v>
      </c>
    </row>
    <row r="419" spans="1:2">
      <c r="A419" s="4">
        <v>32017</v>
      </c>
      <c r="B419" s="3">
        <v>19.440000000000001</v>
      </c>
    </row>
    <row r="420" spans="1:2">
      <c r="A420" s="4">
        <v>32020</v>
      </c>
      <c r="B420" s="3">
        <v>19.760000000000002</v>
      </c>
    </row>
    <row r="421" spans="1:2">
      <c r="A421" s="4">
        <v>32021</v>
      </c>
      <c r="B421" s="3">
        <v>19.61</v>
      </c>
    </row>
    <row r="422" spans="1:2">
      <c r="A422" s="4">
        <v>32022</v>
      </c>
      <c r="B422" s="3">
        <v>19.62</v>
      </c>
    </row>
    <row r="423" spans="1:2">
      <c r="A423" s="4">
        <v>32023</v>
      </c>
      <c r="B423" s="3">
        <v>19.48</v>
      </c>
    </row>
    <row r="424" spans="1:2">
      <c r="A424" s="4">
        <v>32024</v>
      </c>
      <c r="B424" s="3">
        <v>19.34</v>
      </c>
    </row>
    <row r="425" spans="1:2">
      <c r="A425" s="4">
        <v>32027</v>
      </c>
      <c r="B425" s="3">
        <v>19.34</v>
      </c>
    </row>
    <row r="426" spans="1:2">
      <c r="A426" s="4">
        <v>32028</v>
      </c>
      <c r="B426" s="3">
        <v>18.989999999999998</v>
      </c>
    </row>
    <row r="427" spans="1:2">
      <c r="A427" s="4">
        <v>32029</v>
      </c>
      <c r="B427" s="3">
        <v>19.43</v>
      </c>
    </row>
    <row r="428" spans="1:2">
      <c r="A428" s="4">
        <v>32030</v>
      </c>
      <c r="B428" s="3">
        <v>19.72</v>
      </c>
    </row>
    <row r="429" spans="1:2">
      <c r="A429" s="4">
        <v>32031</v>
      </c>
      <c r="B429" s="3">
        <v>19.420000000000002</v>
      </c>
    </row>
    <row r="430" spans="1:2">
      <c r="A430" s="4">
        <v>32034</v>
      </c>
      <c r="B430" s="3">
        <v>19.64</v>
      </c>
    </row>
    <row r="431" spans="1:2">
      <c r="A431" s="4">
        <v>32035</v>
      </c>
      <c r="B431" s="3">
        <v>19.66</v>
      </c>
    </row>
    <row r="432" spans="1:2">
      <c r="A432" s="4">
        <v>32036</v>
      </c>
      <c r="B432" s="3">
        <v>19.71</v>
      </c>
    </row>
    <row r="433" spans="1:2">
      <c r="A433" s="4">
        <v>32037</v>
      </c>
      <c r="B433" s="3">
        <v>19.579999999999998</v>
      </c>
    </row>
    <row r="434" spans="1:2">
      <c r="A434" s="4">
        <v>32038</v>
      </c>
      <c r="B434" s="3">
        <v>19.579999999999998</v>
      </c>
    </row>
    <row r="435" spans="1:2">
      <c r="A435" s="4">
        <v>32041</v>
      </c>
      <c r="B435" s="3">
        <v>19.77</v>
      </c>
    </row>
    <row r="436" spans="1:2">
      <c r="A436" s="4">
        <v>32042</v>
      </c>
      <c r="B436" s="3">
        <v>19.350000000000001</v>
      </c>
    </row>
    <row r="437" spans="1:2">
      <c r="A437" s="4">
        <v>32043</v>
      </c>
      <c r="B437" s="3">
        <v>19.66</v>
      </c>
    </row>
    <row r="438" spans="1:2">
      <c r="A438" s="4">
        <v>32044</v>
      </c>
      <c r="B438" s="3">
        <v>19.61</v>
      </c>
    </row>
    <row r="439" spans="1:2">
      <c r="A439" s="4">
        <v>32045</v>
      </c>
      <c r="B439" s="3">
        <v>19.47</v>
      </c>
    </row>
    <row r="440" spans="1:2">
      <c r="A440" s="4">
        <v>32048</v>
      </c>
      <c r="B440" s="3">
        <v>19.48</v>
      </c>
    </row>
    <row r="441" spans="1:2">
      <c r="A441" s="4">
        <v>32049</v>
      </c>
      <c r="B441" s="3">
        <v>19.579999999999998</v>
      </c>
    </row>
    <row r="442" spans="1:2">
      <c r="A442" s="4">
        <v>32050</v>
      </c>
      <c r="B442" s="3">
        <v>19.62</v>
      </c>
    </row>
    <row r="443" spans="1:2">
      <c r="A443" s="4">
        <v>32051</v>
      </c>
      <c r="B443" s="3">
        <v>19.62</v>
      </c>
    </row>
    <row r="444" spans="1:2">
      <c r="A444" s="4">
        <v>32052</v>
      </c>
      <c r="B444" s="3">
        <v>19.88</v>
      </c>
    </row>
    <row r="445" spans="1:2">
      <c r="A445" s="4">
        <v>32055</v>
      </c>
      <c r="B445" s="3">
        <v>19.809999999999999</v>
      </c>
    </row>
    <row r="446" spans="1:2">
      <c r="A446" s="4">
        <v>32056</v>
      </c>
      <c r="B446" s="3">
        <v>19.329999999999998</v>
      </c>
    </row>
    <row r="447" spans="1:2">
      <c r="A447" s="4">
        <v>32057</v>
      </c>
      <c r="B447" s="3">
        <v>19.68</v>
      </c>
    </row>
    <row r="448" spans="1:2">
      <c r="A448" s="4">
        <v>32058</v>
      </c>
      <c r="B448" s="3">
        <v>19.77</v>
      </c>
    </row>
    <row r="449" spans="1:2">
      <c r="A449" s="4">
        <v>32059</v>
      </c>
      <c r="B449" s="3">
        <v>19.670000000000002</v>
      </c>
    </row>
    <row r="450" spans="1:2">
      <c r="A450" s="4">
        <v>32062</v>
      </c>
      <c r="B450" s="3">
        <v>19.670000000000002</v>
      </c>
    </row>
    <row r="451" spans="1:2">
      <c r="A451" s="4">
        <v>32063</v>
      </c>
      <c r="B451" s="3">
        <v>19.66</v>
      </c>
    </row>
    <row r="452" spans="1:2">
      <c r="A452" s="4">
        <v>32064</v>
      </c>
      <c r="B452" s="3">
        <v>19.79</v>
      </c>
    </row>
    <row r="453" spans="1:2">
      <c r="A453" s="4">
        <v>32065</v>
      </c>
      <c r="B453" s="3">
        <v>19.77</v>
      </c>
    </row>
    <row r="454" spans="1:2">
      <c r="A454" s="4">
        <v>32066</v>
      </c>
      <c r="B454" s="3">
        <v>20.23</v>
      </c>
    </row>
    <row r="455" spans="1:2">
      <c r="A455" s="4">
        <v>32069</v>
      </c>
      <c r="B455" s="3">
        <v>19.79</v>
      </c>
    </row>
    <row r="456" spans="1:2">
      <c r="A456" s="4">
        <v>32070</v>
      </c>
      <c r="B456" s="3">
        <v>19.79</v>
      </c>
    </row>
    <row r="457" spans="1:2">
      <c r="A457" s="4">
        <v>32071</v>
      </c>
      <c r="B457" s="3">
        <v>19.93</v>
      </c>
    </row>
    <row r="458" spans="1:2">
      <c r="A458" s="4">
        <v>32072</v>
      </c>
      <c r="B458" s="3">
        <v>20.190000000000001</v>
      </c>
    </row>
    <row r="459" spans="1:2">
      <c r="A459" s="4">
        <v>32073</v>
      </c>
      <c r="B459" s="3">
        <v>20.18</v>
      </c>
    </row>
    <row r="460" spans="1:2">
      <c r="A460" s="4">
        <v>32076</v>
      </c>
      <c r="B460" s="3">
        <v>20</v>
      </c>
    </row>
    <row r="461" spans="1:2">
      <c r="A461" s="4">
        <v>32077</v>
      </c>
      <c r="B461" s="3">
        <v>20.149999999999999</v>
      </c>
    </row>
    <row r="462" spans="1:2">
      <c r="A462" s="4">
        <v>32078</v>
      </c>
      <c r="B462" s="3">
        <v>20.100000000000001</v>
      </c>
    </row>
    <row r="463" spans="1:2">
      <c r="A463" s="4">
        <v>32079</v>
      </c>
      <c r="B463" s="3">
        <v>19.93</v>
      </c>
    </row>
    <row r="464" spans="1:2">
      <c r="A464" s="4">
        <v>32080</v>
      </c>
      <c r="B464" s="3">
        <v>19.96</v>
      </c>
    </row>
    <row r="465" spans="1:2">
      <c r="A465" s="4">
        <v>32083</v>
      </c>
      <c r="B465" s="3">
        <v>19.64</v>
      </c>
    </row>
    <row r="466" spans="1:2">
      <c r="A466" s="4">
        <v>32084</v>
      </c>
      <c r="B466" s="3">
        <v>19.39</v>
      </c>
    </row>
    <row r="467" spans="1:2">
      <c r="A467" s="4">
        <v>32085</v>
      </c>
      <c r="B467" s="3">
        <v>19.09</v>
      </c>
    </row>
    <row r="468" spans="1:2">
      <c r="A468" s="4">
        <v>32086</v>
      </c>
      <c r="B468" s="3">
        <v>19.02</v>
      </c>
    </row>
    <row r="469" spans="1:2">
      <c r="A469" s="4">
        <v>32087</v>
      </c>
      <c r="B469" s="3">
        <v>18.73</v>
      </c>
    </row>
    <row r="470" spans="1:2">
      <c r="A470" s="4">
        <v>32090</v>
      </c>
      <c r="B470" s="3">
        <v>18.66</v>
      </c>
    </row>
    <row r="471" spans="1:2">
      <c r="A471" s="4">
        <v>32091</v>
      </c>
      <c r="B471" s="3">
        <v>18.98</v>
      </c>
    </row>
    <row r="472" spans="1:2">
      <c r="A472" s="4">
        <v>32092</v>
      </c>
      <c r="B472" s="3">
        <v>18.920000000000002</v>
      </c>
    </row>
    <row r="473" spans="1:2">
      <c r="A473" s="4">
        <v>32093</v>
      </c>
      <c r="B473" s="3">
        <v>18.93</v>
      </c>
    </row>
    <row r="474" spans="1:2">
      <c r="A474" s="4">
        <v>32094</v>
      </c>
      <c r="B474" s="3">
        <v>18.89</v>
      </c>
    </row>
    <row r="475" spans="1:2">
      <c r="A475" s="4">
        <v>32097</v>
      </c>
      <c r="B475" s="3">
        <v>18.690000000000001</v>
      </c>
    </row>
    <row r="476" spans="1:2">
      <c r="A476" s="4">
        <v>32098</v>
      </c>
      <c r="B476" s="3">
        <v>18.28</v>
      </c>
    </row>
    <row r="477" spans="1:2">
      <c r="A477" s="4">
        <v>32099</v>
      </c>
      <c r="B477" s="3">
        <v>18.62</v>
      </c>
    </row>
    <row r="478" spans="1:2">
      <c r="A478" s="4">
        <v>32100</v>
      </c>
      <c r="B478" s="3">
        <v>18.55</v>
      </c>
    </row>
    <row r="479" spans="1:2">
      <c r="A479" s="4">
        <v>32101</v>
      </c>
      <c r="B479" s="3">
        <v>18.87</v>
      </c>
    </row>
    <row r="480" spans="1:2">
      <c r="A480" s="4">
        <v>32104</v>
      </c>
      <c r="B480" s="3">
        <v>19.309999999999999</v>
      </c>
    </row>
    <row r="481" spans="1:2">
      <c r="A481" s="4">
        <v>32105</v>
      </c>
      <c r="B481" s="3">
        <v>18.73</v>
      </c>
    </row>
    <row r="482" spans="1:2">
      <c r="A482" s="4">
        <v>32106</v>
      </c>
      <c r="B482" s="3">
        <v>18.63</v>
      </c>
    </row>
    <row r="483" spans="1:2">
      <c r="A483" s="4">
        <v>32108</v>
      </c>
      <c r="B483" s="3">
        <v>18.63</v>
      </c>
    </row>
    <row r="484" spans="1:2">
      <c r="A484" s="4">
        <v>32111</v>
      </c>
      <c r="B484" s="3">
        <v>18.52</v>
      </c>
    </row>
    <row r="485" spans="1:2">
      <c r="A485" s="4">
        <v>32112</v>
      </c>
      <c r="B485" s="3">
        <v>18.440000000000001</v>
      </c>
    </row>
    <row r="486" spans="1:2">
      <c r="A486" s="4">
        <v>32113</v>
      </c>
      <c r="B486" s="3">
        <v>18.59</v>
      </c>
    </row>
    <row r="487" spans="1:2">
      <c r="A487" s="4">
        <v>32114</v>
      </c>
      <c r="B487" s="3">
        <v>18.87</v>
      </c>
    </row>
    <row r="488" spans="1:2">
      <c r="A488" s="4">
        <v>32115</v>
      </c>
      <c r="B488" s="3">
        <v>18.68</v>
      </c>
    </row>
    <row r="489" spans="1:2">
      <c r="A489" s="4">
        <v>32118</v>
      </c>
      <c r="B489" s="3">
        <v>18.3</v>
      </c>
    </row>
    <row r="490" spans="1:2">
      <c r="A490" s="4">
        <v>32119</v>
      </c>
      <c r="B490" s="3">
        <v>18.059999999999999</v>
      </c>
    </row>
    <row r="491" spans="1:2">
      <c r="A491" s="4">
        <v>32120</v>
      </c>
      <c r="B491" s="3">
        <v>18.53</v>
      </c>
    </row>
    <row r="492" spans="1:2">
      <c r="A492" s="4">
        <v>32121</v>
      </c>
      <c r="B492" s="3">
        <v>18.510000000000002</v>
      </c>
    </row>
    <row r="493" spans="1:2">
      <c r="A493" s="4">
        <v>32122</v>
      </c>
      <c r="B493" s="3">
        <v>18.309999999999999</v>
      </c>
    </row>
    <row r="494" spans="1:2">
      <c r="A494" s="4">
        <v>32125</v>
      </c>
      <c r="B494" s="3">
        <v>17.47</v>
      </c>
    </row>
    <row r="495" spans="1:2">
      <c r="A495" s="4">
        <v>32126</v>
      </c>
      <c r="B495" s="3">
        <v>16.75</v>
      </c>
    </row>
    <row r="496" spans="1:2">
      <c r="A496" s="4">
        <v>32127</v>
      </c>
      <c r="B496" s="3">
        <v>15.97</v>
      </c>
    </row>
    <row r="497" spans="1:2">
      <c r="A497" s="4">
        <v>32128</v>
      </c>
      <c r="B497" s="3">
        <v>15.97</v>
      </c>
    </row>
    <row r="498" spans="1:2">
      <c r="A498" s="4">
        <v>32129</v>
      </c>
      <c r="B498" s="3">
        <v>15.57</v>
      </c>
    </row>
    <row r="499" spans="1:2">
      <c r="A499" s="4">
        <v>32132</v>
      </c>
      <c r="B499" s="3">
        <v>15.12</v>
      </c>
    </row>
    <row r="500" spans="1:2">
      <c r="A500" s="4">
        <v>32133</v>
      </c>
      <c r="B500" s="3">
        <v>16.600000000000001</v>
      </c>
    </row>
    <row r="501" spans="1:2">
      <c r="A501" s="4">
        <v>32134</v>
      </c>
      <c r="B501" s="3">
        <v>16.64</v>
      </c>
    </row>
    <row r="502" spans="1:2">
      <c r="A502" s="4">
        <v>32135</v>
      </c>
      <c r="B502" s="3">
        <v>16.54</v>
      </c>
    </row>
    <row r="503" spans="1:2">
      <c r="A503" s="4">
        <v>32139</v>
      </c>
      <c r="B503" s="3">
        <v>16.46</v>
      </c>
    </row>
    <row r="504" spans="1:2">
      <c r="A504" s="4">
        <v>32140</v>
      </c>
      <c r="B504" s="3">
        <v>16.95</v>
      </c>
    </row>
    <row r="505" spans="1:2">
      <c r="A505" s="4">
        <v>32141</v>
      </c>
      <c r="B505" s="3">
        <v>16.97</v>
      </c>
    </row>
    <row r="506" spans="1:2">
      <c r="A506" s="4">
        <v>32142</v>
      </c>
      <c r="B506" s="3">
        <v>16.739999999999998</v>
      </c>
    </row>
    <row r="507" spans="1:2">
      <c r="A507" s="4">
        <v>32146</v>
      </c>
      <c r="B507" s="3">
        <v>17.77</v>
      </c>
    </row>
    <row r="508" spans="1:2">
      <c r="A508" s="4">
        <v>32147</v>
      </c>
      <c r="B508" s="3">
        <v>17.89</v>
      </c>
    </row>
    <row r="509" spans="1:2">
      <c r="A509" s="4">
        <v>32148</v>
      </c>
      <c r="B509" s="3">
        <v>17.73</v>
      </c>
    </row>
    <row r="510" spans="1:2">
      <c r="A510" s="4">
        <v>32149</v>
      </c>
      <c r="B510" s="3">
        <v>17.3</v>
      </c>
    </row>
    <row r="511" spans="1:2">
      <c r="A511" s="4">
        <v>32150</v>
      </c>
      <c r="B511" s="3">
        <v>17.329999999999998</v>
      </c>
    </row>
    <row r="512" spans="1:2">
      <c r="A512" s="4">
        <v>32153</v>
      </c>
      <c r="B512" s="3">
        <v>16.63</v>
      </c>
    </row>
    <row r="513" spans="1:2">
      <c r="A513" s="4">
        <v>32154</v>
      </c>
      <c r="B513" s="3">
        <v>16.760000000000002</v>
      </c>
    </row>
    <row r="514" spans="1:2">
      <c r="A514" s="4">
        <v>32155</v>
      </c>
      <c r="B514" s="3">
        <v>16.559999999999999</v>
      </c>
    </row>
    <row r="515" spans="1:2">
      <c r="A515" s="4">
        <v>32156</v>
      </c>
      <c r="B515" s="3">
        <v>17.100000000000001</v>
      </c>
    </row>
    <row r="516" spans="1:2">
      <c r="A516" s="4">
        <v>32157</v>
      </c>
      <c r="B516" s="3">
        <v>16.920000000000002</v>
      </c>
    </row>
    <row r="517" spans="1:2">
      <c r="A517" s="4">
        <v>32160</v>
      </c>
      <c r="B517" s="3">
        <v>17.28</v>
      </c>
    </row>
    <row r="518" spans="1:2">
      <c r="A518" s="4">
        <v>32161</v>
      </c>
      <c r="B518" s="3">
        <v>17.3</v>
      </c>
    </row>
    <row r="519" spans="1:2">
      <c r="A519" s="4">
        <v>32162</v>
      </c>
      <c r="B519" s="3">
        <v>17.2</v>
      </c>
    </row>
    <row r="520" spans="1:2">
      <c r="A520" s="4">
        <v>32163</v>
      </c>
      <c r="B520" s="3">
        <v>17.21</v>
      </c>
    </row>
    <row r="521" spans="1:2">
      <c r="A521" s="4">
        <v>32164</v>
      </c>
      <c r="B521" s="3">
        <v>16.989999999999998</v>
      </c>
    </row>
    <row r="522" spans="1:2">
      <c r="A522" s="4">
        <v>32167</v>
      </c>
      <c r="B522" s="3">
        <v>17.11</v>
      </c>
    </row>
    <row r="523" spans="1:2">
      <c r="A523" s="4">
        <v>32168</v>
      </c>
      <c r="B523" s="3">
        <v>16.96</v>
      </c>
    </row>
    <row r="524" spans="1:2">
      <c r="A524" s="4">
        <v>32169</v>
      </c>
      <c r="B524" s="3">
        <v>16.64</v>
      </c>
    </row>
    <row r="525" spans="1:2">
      <c r="A525" s="4">
        <v>32170</v>
      </c>
      <c r="B525" s="3">
        <v>16.940000000000001</v>
      </c>
    </row>
    <row r="526" spans="1:2">
      <c r="A526" s="4">
        <v>32171</v>
      </c>
      <c r="B526" s="3">
        <v>16.97</v>
      </c>
    </row>
    <row r="527" spans="1:2">
      <c r="A527" s="4">
        <v>32174</v>
      </c>
      <c r="B527" s="3">
        <v>16.829999999999998</v>
      </c>
    </row>
    <row r="528" spans="1:2">
      <c r="A528" s="4">
        <v>32175</v>
      </c>
      <c r="B528" s="3">
        <v>16.920000000000002</v>
      </c>
    </row>
    <row r="529" spans="1:2">
      <c r="A529" s="4">
        <v>32176</v>
      </c>
      <c r="B529" s="3">
        <v>17.12</v>
      </c>
    </row>
    <row r="530" spans="1:2">
      <c r="A530" s="4">
        <v>32177</v>
      </c>
      <c r="B530" s="3">
        <v>17.170000000000002</v>
      </c>
    </row>
    <row r="531" spans="1:2">
      <c r="A531" s="4">
        <v>32178</v>
      </c>
      <c r="B531" s="3">
        <v>17.34</v>
      </c>
    </row>
    <row r="532" spans="1:2">
      <c r="A532" s="4">
        <v>32181</v>
      </c>
      <c r="B532" s="3">
        <v>17.7</v>
      </c>
    </row>
    <row r="533" spans="1:2">
      <c r="A533" s="4">
        <v>32182</v>
      </c>
      <c r="B533" s="3">
        <v>17.38</v>
      </c>
    </row>
    <row r="534" spans="1:2">
      <c r="A534" s="4">
        <v>32183</v>
      </c>
      <c r="B534" s="3">
        <v>17.12</v>
      </c>
    </row>
    <row r="535" spans="1:2">
      <c r="A535" s="4">
        <v>32184</v>
      </c>
      <c r="B535" s="3">
        <v>17.170000000000002</v>
      </c>
    </row>
    <row r="536" spans="1:2">
      <c r="A536" s="4">
        <v>32185</v>
      </c>
      <c r="B536" s="3">
        <v>16.84</v>
      </c>
    </row>
    <row r="537" spans="1:2">
      <c r="A537" s="4">
        <v>32188</v>
      </c>
      <c r="B537" s="3">
        <v>16.84</v>
      </c>
    </row>
    <row r="538" spans="1:2">
      <c r="A538" s="4">
        <v>32189</v>
      </c>
      <c r="B538" s="3">
        <v>16.8</v>
      </c>
    </row>
    <row r="539" spans="1:2">
      <c r="A539" s="4">
        <v>32190</v>
      </c>
      <c r="B539" s="3">
        <v>16.62</v>
      </c>
    </row>
    <row r="540" spans="1:2">
      <c r="A540" s="4">
        <v>32191</v>
      </c>
      <c r="B540" s="3">
        <v>16.5</v>
      </c>
    </row>
    <row r="541" spans="1:2">
      <c r="A541" s="4">
        <v>32192</v>
      </c>
      <c r="B541" s="3">
        <v>16.73</v>
      </c>
    </row>
    <row r="542" spans="1:2">
      <c r="A542" s="4">
        <v>32195</v>
      </c>
      <c r="B542" s="3">
        <v>16.64</v>
      </c>
    </row>
    <row r="543" spans="1:2">
      <c r="A543" s="4">
        <v>32196</v>
      </c>
      <c r="B543" s="3">
        <v>16.8</v>
      </c>
    </row>
    <row r="544" spans="1:2">
      <c r="A544" s="4">
        <v>32197</v>
      </c>
      <c r="B544" s="3">
        <v>16.579999999999998</v>
      </c>
    </row>
    <row r="545" spans="1:2">
      <c r="A545" s="4">
        <v>32198</v>
      </c>
      <c r="B545" s="3">
        <v>15.86</v>
      </c>
    </row>
    <row r="546" spans="1:2">
      <c r="A546" s="4">
        <v>32199</v>
      </c>
      <c r="B546" s="3">
        <v>15.77</v>
      </c>
    </row>
    <row r="547" spans="1:2">
      <c r="A547" s="4">
        <v>32202</v>
      </c>
      <c r="B547" s="3">
        <v>15.98</v>
      </c>
    </row>
    <row r="548" spans="1:2">
      <c r="A548" s="4">
        <v>32203</v>
      </c>
      <c r="B548" s="3">
        <v>15.57</v>
      </c>
    </row>
    <row r="549" spans="1:2">
      <c r="A549" s="4">
        <v>32204</v>
      </c>
      <c r="B549" s="3">
        <v>15.69</v>
      </c>
    </row>
    <row r="550" spans="1:2">
      <c r="A550" s="4">
        <v>32205</v>
      </c>
      <c r="B550" s="3">
        <v>15.35</v>
      </c>
    </row>
    <row r="551" spans="1:2">
      <c r="A551" s="4">
        <v>32206</v>
      </c>
      <c r="B551" s="3">
        <v>15.63</v>
      </c>
    </row>
    <row r="552" spans="1:2">
      <c r="A552" s="4">
        <v>32209</v>
      </c>
      <c r="B552" s="3">
        <v>15.35</v>
      </c>
    </row>
    <row r="553" spans="1:2">
      <c r="A553" s="4">
        <v>32210</v>
      </c>
      <c r="B553" s="3">
        <v>15.58</v>
      </c>
    </row>
    <row r="554" spans="1:2">
      <c r="A554" s="4">
        <v>32211</v>
      </c>
      <c r="B554" s="3">
        <v>15.52</v>
      </c>
    </row>
    <row r="555" spans="1:2">
      <c r="A555" s="4">
        <v>32212</v>
      </c>
      <c r="B555" s="3">
        <v>16.04</v>
      </c>
    </row>
    <row r="556" spans="1:2">
      <c r="A556" s="4">
        <v>32213</v>
      </c>
      <c r="B556" s="3">
        <v>16.2</v>
      </c>
    </row>
    <row r="557" spans="1:2">
      <c r="A557" s="4">
        <v>32216</v>
      </c>
      <c r="B557" s="3">
        <v>15.57</v>
      </c>
    </row>
    <row r="558" spans="1:2">
      <c r="A558" s="4">
        <v>32217</v>
      </c>
      <c r="B558" s="3">
        <v>15.81</v>
      </c>
    </row>
    <row r="559" spans="1:2">
      <c r="A559" s="4">
        <v>32218</v>
      </c>
      <c r="B559" s="3">
        <v>16.03</v>
      </c>
    </row>
    <row r="560" spans="1:2">
      <c r="A560" s="4">
        <v>32219</v>
      </c>
      <c r="B560" s="3">
        <v>16.39</v>
      </c>
    </row>
    <row r="561" spans="1:2">
      <c r="A561" s="4">
        <v>32220</v>
      </c>
      <c r="B561" s="3">
        <v>16.61</v>
      </c>
    </row>
    <row r="562" spans="1:2">
      <c r="A562" s="4">
        <v>32223</v>
      </c>
      <c r="B562" s="3">
        <v>16.52</v>
      </c>
    </row>
    <row r="563" spans="1:2">
      <c r="A563" s="4">
        <v>32224</v>
      </c>
      <c r="B563" s="3">
        <v>16.02</v>
      </c>
    </row>
    <row r="564" spans="1:2">
      <c r="A564" s="4">
        <v>32225</v>
      </c>
      <c r="B564" s="3">
        <v>16.579999999999998</v>
      </c>
    </row>
    <row r="565" spans="1:2">
      <c r="A565" s="4">
        <v>32226</v>
      </c>
      <c r="B565" s="3">
        <v>16.73</v>
      </c>
    </row>
    <row r="566" spans="1:2">
      <c r="A566" s="4">
        <v>32227</v>
      </c>
      <c r="B566" s="3">
        <v>17.07</v>
      </c>
    </row>
    <row r="567" spans="1:2">
      <c r="A567" s="4">
        <v>32230</v>
      </c>
      <c r="B567" s="3">
        <v>17.05</v>
      </c>
    </row>
    <row r="568" spans="1:2">
      <c r="A568" s="4">
        <v>32231</v>
      </c>
      <c r="B568" s="3">
        <v>17.079999999999998</v>
      </c>
    </row>
    <row r="569" spans="1:2">
      <c r="A569" s="4">
        <v>32232</v>
      </c>
      <c r="B569" s="3">
        <v>17.059999999999999</v>
      </c>
    </row>
    <row r="570" spans="1:2">
      <c r="A570" s="4">
        <v>32233</v>
      </c>
      <c r="B570" s="3">
        <v>17.09</v>
      </c>
    </row>
    <row r="571" spans="1:2">
      <c r="A571" s="4">
        <v>32237</v>
      </c>
      <c r="B571" s="3">
        <v>16.989999999999998</v>
      </c>
    </row>
    <row r="572" spans="1:2">
      <c r="A572" s="4">
        <v>32238</v>
      </c>
      <c r="B572" s="3">
        <v>16.72</v>
      </c>
    </row>
    <row r="573" spans="1:2">
      <c r="A573" s="4">
        <v>32239</v>
      </c>
      <c r="B573" s="3">
        <v>16.8</v>
      </c>
    </row>
    <row r="574" spans="1:2">
      <c r="A574" s="4">
        <v>32240</v>
      </c>
      <c r="B574" s="3">
        <v>17.05</v>
      </c>
    </row>
    <row r="575" spans="1:2">
      <c r="A575" s="4">
        <v>32241</v>
      </c>
      <c r="B575" s="3">
        <v>16.87</v>
      </c>
    </row>
    <row r="576" spans="1:2">
      <c r="A576" s="4">
        <v>32244</v>
      </c>
      <c r="B576" s="3">
        <v>17.87</v>
      </c>
    </row>
    <row r="577" spans="1:2">
      <c r="A577" s="4">
        <v>32245</v>
      </c>
      <c r="B577" s="3">
        <v>18.059999999999999</v>
      </c>
    </row>
    <row r="578" spans="1:2">
      <c r="A578" s="4">
        <v>32246</v>
      </c>
      <c r="B578" s="3">
        <v>18.12</v>
      </c>
    </row>
    <row r="579" spans="1:2">
      <c r="A579" s="4">
        <v>32247</v>
      </c>
      <c r="B579" s="3">
        <v>18.399999999999999</v>
      </c>
    </row>
    <row r="580" spans="1:2">
      <c r="A580" s="4">
        <v>32248</v>
      </c>
      <c r="B580" s="3">
        <v>18.32</v>
      </c>
    </row>
    <row r="581" spans="1:2">
      <c r="A581" s="4">
        <v>32251</v>
      </c>
      <c r="B581" s="3">
        <v>18.5</v>
      </c>
    </row>
    <row r="582" spans="1:2">
      <c r="A582" s="4">
        <v>32252</v>
      </c>
      <c r="B582" s="3">
        <v>17.920000000000002</v>
      </c>
    </row>
    <row r="583" spans="1:2">
      <c r="A583" s="4">
        <v>32253</v>
      </c>
      <c r="B583" s="3">
        <v>17.93</v>
      </c>
    </row>
    <row r="584" spans="1:2">
      <c r="A584" s="4">
        <v>32254</v>
      </c>
      <c r="B584" s="3">
        <v>18.34</v>
      </c>
    </row>
    <row r="585" spans="1:2">
      <c r="A585" s="4">
        <v>32255</v>
      </c>
      <c r="B585" s="3">
        <v>18.13</v>
      </c>
    </row>
    <row r="586" spans="1:2">
      <c r="A586" s="4">
        <v>32258</v>
      </c>
      <c r="B586" s="3">
        <v>18.36</v>
      </c>
    </row>
    <row r="587" spans="1:2">
      <c r="A587" s="4">
        <v>32259</v>
      </c>
      <c r="B587" s="3">
        <v>18.54</v>
      </c>
    </row>
    <row r="588" spans="1:2">
      <c r="A588" s="4">
        <v>32260</v>
      </c>
      <c r="B588" s="3">
        <v>18.32</v>
      </c>
    </row>
    <row r="589" spans="1:2">
      <c r="A589" s="4">
        <v>32261</v>
      </c>
      <c r="B589" s="3">
        <v>17.91</v>
      </c>
    </row>
    <row r="590" spans="1:2">
      <c r="A590" s="4">
        <v>32262</v>
      </c>
      <c r="B590" s="3">
        <v>18.100000000000001</v>
      </c>
    </row>
    <row r="591" spans="1:2">
      <c r="A591" s="4">
        <v>32265</v>
      </c>
      <c r="B591" s="3">
        <v>17.12</v>
      </c>
    </row>
    <row r="592" spans="1:2">
      <c r="A592" s="4">
        <v>32266</v>
      </c>
      <c r="B592" s="3">
        <v>17.3</v>
      </c>
    </row>
    <row r="593" spans="1:2">
      <c r="A593" s="4">
        <v>32267</v>
      </c>
      <c r="B593" s="3">
        <v>17.23</v>
      </c>
    </row>
    <row r="594" spans="1:2">
      <c r="A594" s="4">
        <v>32268</v>
      </c>
      <c r="B594" s="3">
        <v>17.41</v>
      </c>
    </row>
    <row r="595" spans="1:2">
      <c r="A595" s="4">
        <v>32269</v>
      </c>
      <c r="B595" s="3">
        <v>17.63</v>
      </c>
    </row>
    <row r="596" spans="1:2">
      <c r="A596" s="4">
        <v>32272</v>
      </c>
      <c r="B596" s="3">
        <v>17.559999999999999</v>
      </c>
    </row>
    <row r="597" spans="1:2">
      <c r="A597" s="4">
        <v>32273</v>
      </c>
      <c r="B597" s="3">
        <v>17.5</v>
      </c>
    </row>
    <row r="598" spans="1:2">
      <c r="A598" s="4">
        <v>32274</v>
      </c>
      <c r="B598" s="3">
        <v>17.48</v>
      </c>
    </row>
    <row r="599" spans="1:2">
      <c r="A599" s="4">
        <v>32275</v>
      </c>
      <c r="B599" s="3">
        <v>17.489999999999998</v>
      </c>
    </row>
    <row r="600" spans="1:2">
      <c r="A600" s="4">
        <v>32276</v>
      </c>
      <c r="B600" s="3">
        <v>17.53</v>
      </c>
    </row>
    <row r="601" spans="1:2">
      <c r="A601" s="4">
        <v>32279</v>
      </c>
      <c r="B601" s="3">
        <v>17.7</v>
      </c>
    </row>
    <row r="602" spans="1:2">
      <c r="A602" s="4">
        <v>32280</v>
      </c>
      <c r="B602" s="3">
        <v>17.72</v>
      </c>
    </row>
    <row r="603" spans="1:2">
      <c r="A603" s="4">
        <v>32281</v>
      </c>
      <c r="B603" s="3">
        <v>17.39</v>
      </c>
    </row>
    <row r="604" spans="1:2">
      <c r="A604" s="4">
        <v>32282</v>
      </c>
      <c r="B604" s="3">
        <v>17.43</v>
      </c>
    </row>
    <row r="605" spans="1:2">
      <c r="A605" s="4">
        <v>32283</v>
      </c>
      <c r="B605" s="3">
        <v>17.41</v>
      </c>
    </row>
    <row r="606" spans="1:2">
      <c r="A606" s="4">
        <v>32286</v>
      </c>
      <c r="B606" s="3">
        <v>17.010000000000002</v>
      </c>
    </row>
    <row r="607" spans="1:2">
      <c r="A607" s="4">
        <v>32287</v>
      </c>
      <c r="B607" s="3">
        <v>17.04</v>
      </c>
    </row>
    <row r="608" spans="1:2">
      <c r="A608" s="4">
        <v>32288</v>
      </c>
      <c r="B608" s="3">
        <v>17.39</v>
      </c>
    </row>
    <row r="609" spans="1:2">
      <c r="A609" s="4">
        <v>32289</v>
      </c>
      <c r="B609" s="3">
        <v>17.54</v>
      </c>
    </row>
    <row r="610" spans="1:2">
      <c r="A610" s="4">
        <v>32290</v>
      </c>
      <c r="B610" s="3">
        <v>17.45</v>
      </c>
    </row>
    <row r="611" spans="1:2">
      <c r="A611" s="4">
        <v>32293</v>
      </c>
      <c r="B611" s="3">
        <v>17.45</v>
      </c>
    </row>
    <row r="612" spans="1:2">
      <c r="A612" s="4">
        <v>32294</v>
      </c>
      <c r="B612" s="3">
        <v>17.54</v>
      </c>
    </row>
    <row r="613" spans="1:2">
      <c r="A613" s="4">
        <v>32295</v>
      </c>
      <c r="B613" s="3">
        <v>17.600000000000001</v>
      </c>
    </row>
    <row r="614" spans="1:2">
      <c r="A614" s="4">
        <v>32296</v>
      </c>
      <c r="B614" s="3">
        <v>17.670000000000002</v>
      </c>
    </row>
    <row r="615" spans="1:2">
      <c r="A615" s="4">
        <v>32297</v>
      </c>
      <c r="B615" s="3">
        <v>17.510000000000002</v>
      </c>
    </row>
    <row r="616" spans="1:2">
      <c r="A616" s="4">
        <v>32300</v>
      </c>
      <c r="B616" s="3">
        <v>17.28</v>
      </c>
    </row>
    <row r="617" spans="1:2">
      <c r="A617" s="4">
        <v>32301</v>
      </c>
      <c r="B617" s="3">
        <v>17.32</v>
      </c>
    </row>
    <row r="618" spans="1:2">
      <c r="A618" s="4">
        <v>32302</v>
      </c>
      <c r="B618" s="3">
        <v>17.350000000000001</v>
      </c>
    </row>
    <row r="619" spans="1:2">
      <c r="A619" s="4">
        <v>32303</v>
      </c>
      <c r="B619" s="3">
        <v>17.09</v>
      </c>
    </row>
    <row r="620" spans="1:2">
      <c r="A620" s="4">
        <v>32304</v>
      </c>
      <c r="B620" s="3">
        <v>16.7</v>
      </c>
    </row>
    <row r="621" spans="1:2">
      <c r="A621" s="4">
        <v>32307</v>
      </c>
      <c r="B621" s="3">
        <v>16.43</v>
      </c>
    </row>
    <row r="622" spans="1:2">
      <c r="A622" s="4">
        <v>32308</v>
      </c>
      <c r="B622" s="3">
        <v>16.850000000000001</v>
      </c>
    </row>
    <row r="623" spans="1:2">
      <c r="A623" s="4">
        <v>32309</v>
      </c>
      <c r="B623" s="3">
        <v>16.559999999999999</v>
      </c>
    </row>
    <row r="624" spans="1:2">
      <c r="A624" s="4">
        <v>32310</v>
      </c>
      <c r="B624" s="3">
        <v>16.62</v>
      </c>
    </row>
    <row r="625" spans="1:2">
      <c r="A625" s="4">
        <v>32311</v>
      </c>
      <c r="B625" s="3">
        <v>16.43</v>
      </c>
    </row>
    <row r="626" spans="1:2">
      <c r="A626" s="4">
        <v>32314</v>
      </c>
      <c r="B626" s="3">
        <v>16.02</v>
      </c>
    </row>
    <row r="627" spans="1:2">
      <c r="A627" s="4">
        <v>32315</v>
      </c>
      <c r="B627" s="3">
        <v>15.82</v>
      </c>
    </row>
    <row r="628" spans="1:2">
      <c r="A628" s="4">
        <v>32316</v>
      </c>
      <c r="B628" s="3">
        <v>16.03</v>
      </c>
    </row>
    <row r="629" spans="1:2">
      <c r="A629" s="4">
        <v>32317</v>
      </c>
      <c r="B629" s="3">
        <v>15.86</v>
      </c>
    </row>
    <row r="630" spans="1:2">
      <c r="A630" s="4">
        <v>32318</v>
      </c>
      <c r="B630" s="3">
        <v>16.03</v>
      </c>
    </row>
    <row r="631" spans="1:2">
      <c r="A631" s="4">
        <v>32321</v>
      </c>
      <c r="B631" s="3">
        <v>15.86</v>
      </c>
    </row>
    <row r="632" spans="1:2">
      <c r="A632" s="4">
        <v>32322</v>
      </c>
      <c r="B632" s="3">
        <v>16.010000000000002</v>
      </c>
    </row>
    <row r="633" spans="1:2">
      <c r="A633" s="4">
        <v>32323</v>
      </c>
      <c r="B633" s="3">
        <v>15.37</v>
      </c>
    </row>
    <row r="634" spans="1:2">
      <c r="A634" s="4">
        <v>32324</v>
      </c>
      <c r="B634" s="3">
        <v>15.2</v>
      </c>
    </row>
    <row r="635" spans="1:2">
      <c r="A635" s="4">
        <v>32325</v>
      </c>
      <c r="B635" s="3">
        <v>14.92</v>
      </c>
    </row>
    <row r="636" spans="1:2">
      <c r="A636" s="4">
        <v>32329</v>
      </c>
      <c r="B636" s="3">
        <v>15.11</v>
      </c>
    </row>
    <row r="637" spans="1:2">
      <c r="A637" s="4">
        <v>32330</v>
      </c>
      <c r="B637" s="3">
        <v>15.44</v>
      </c>
    </row>
    <row r="638" spans="1:2">
      <c r="A638" s="4">
        <v>32331</v>
      </c>
      <c r="B638" s="3">
        <v>15.83</v>
      </c>
    </row>
    <row r="639" spans="1:2">
      <c r="A639" s="4">
        <v>32332</v>
      </c>
      <c r="B639" s="3">
        <v>15.42</v>
      </c>
    </row>
    <row r="640" spans="1:2">
      <c r="A640" s="4">
        <v>32335</v>
      </c>
      <c r="B640" s="3">
        <v>14.56</v>
      </c>
    </row>
    <row r="641" spans="1:2">
      <c r="A641" s="4">
        <v>32336</v>
      </c>
      <c r="B641" s="3">
        <v>14.61</v>
      </c>
    </row>
    <row r="642" spans="1:2">
      <c r="A642" s="4">
        <v>32337</v>
      </c>
      <c r="B642" s="3">
        <v>14.35</v>
      </c>
    </row>
    <row r="643" spans="1:2">
      <c r="A643" s="4">
        <v>32338</v>
      </c>
      <c r="B643" s="3">
        <v>14.84</v>
      </c>
    </row>
    <row r="644" spans="1:2">
      <c r="A644" s="4">
        <v>32339</v>
      </c>
      <c r="B644" s="3">
        <v>14.85</v>
      </c>
    </row>
    <row r="645" spans="1:2">
      <c r="A645" s="4">
        <v>32342</v>
      </c>
      <c r="B645" s="3">
        <v>15.84</v>
      </c>
    </row>
    <row r="646" spans="1:2">
      <c r="A646" s="4">
        <v>32343</v>
      </c>
      <c r="B646" s="3">
        <v>15.16</v>
      </c>
    </row>
    <row r="647" spans="1:2">
      <c r="A647" s="4">
        <v>32344</v>
      </c>
      <c r="B647" s="3">
        <v>15.76</v>
      </c>
    </row>
    <row r="648" spans="1:2">
      <c r="A648" s="4">
        <v>32345</v>
      </c>
      <c r="B648" s="3">
        <v>16.28</v>
      </c>
    </row>
    <row r="649" spans="1:2">
      <c r="A649" s="4">
        <v>32346</v>
      </c>
      <c r="B649" s="3">
        <v>16.27</v>
      </c>
    </row>
    <row r="650" spans="1:2">
      <c r="A650" s="4">
        <v>32349</v>
      </c>
      <c r="B650" s="3">
        <v>16.09</v>
      </c>
    </row>
    <row r="651" spans="1:2">
      <c r="A651" s="4">
        <v>32350</v>
      </c>
      <c r="B651" s="3">
        <v>15.99</v>
      </c>
    </row>
    <row r="652" spans="1:2">
      <c r="A652" s="4">
        <v>32351</v>
      </c>
      <c r="B652" s="3">
        <v>16.18</v>
      </c>
    </row>
    <row r="653" spans="1:2">
      <c r="A653" s="4">
        <v>32352</v>
      </c>
      <c r="B653" s="3">
        <v>16.079999999999998</v>
      </c>
    </row>
    <row r="654" spans="1:2">
      <c r="A654" s="4">
        <v>32353</v>
      </c>
      <c r="B654" s="3">
        <v>16.37</v>
      </c>
    </row>
    <row r="655" spans="1:2">
      <c r="A655" s="4">
        <v>32356</v>
      </c>
      <c r="B655" s="3">
        <v>16.07</v>
      </c>
    </row>
    <row r="656" spans="1:2">
      <c r="A656" s="4">
        <v>32357</v>
      </c>
      <c r="B656" s="3">
        <v>15.57</v>
      </c>
    </row>
    <row r="657" spans="1:2">
      <c r="A657" s="4">
        <v>32358</v>
      </c>
      <c r="B657" s="3">
        <v>15.2</v>
      </c>
    </row>
    <row r="658" spans="1:2">
      <c r="A658" s="4">
        <v>32359</v>
      </c>
      <c r="B658" s="3">
        <v>15.12</v>
      </c>
    </row>
    <row r="659" spans="1:2">
      <c r="A659" s="4">
        <v>32360</v>
      </c>
      <c r="B659" s="3">
        <v>15.31</v>
      </c>
    </row>
    <row r="660" spans="1:2">
      <c r="A660" s="4">
        <v>32363</v>
      </c>
      <c r="B660" s="3">
        <v>15.84</v>
      </c>
    </row>
    <row r="661" spans="1:2">
      <c r="A661" s="4">
        <v>32364</v>
      </c>
      <c r="B661" s="3">
        <v>15.56</v>
      </c>
    </row>
    <row r="662" spans="1:2">
      <c r="A662" s="4">
        <v>32365</v>
      </c>
      <c r="B662" s="3">
        <v>15.65</v>
      </c>
    </row>
    <row r="663" spans="1:2">
      <c r="A663" s="4">
        <v>32366</v>
      </c>
      <c r="B663" s="3">
        <v>15.75</v>
      </c>
    </row>
    <row r="664" spans="1:2">
      <c r="A664" s="4">
        <v>32367</v>
      </c>
      <c r="B664" s="3">
        <v>15.54</v>
      </c>
    </row>
    <row r="665" spans="1:2">
      <c r="A665" s="4">
        <v>32370</v>
      </c>
      <c r="B665" s="3">
        <v>15.59</v>
      </c>
    </row>
    <row r="666" spans="1:2">
      <c r="A666" s="4">
        <v>32371</v>
      </c>
      <c r="B666" s="3">
        <v>15.51</v>
      </c>
    </row>
    <row r="667" spans="1:2">
      <c r="A667" s="4">
        <v>32372</v>
      </c>
      <c r="B667" s="3">
        <v>15.46</v>
      </c>
    </row>
    <row r="668" spans="1:2">
      <c r="A668" s="4">
        <v>32373</v>
      </c>
      <c r="B668" s="3">
        <v>15.59</v>
      </c>
    </row>
    <row r="669" spans="1:2">
      <c r="A669" s="4">
        <v>32374</v>
      </c>
      <c r="B669" s="3">
        <v>15.77</v>
      </c>
    </row>
    <row r="670" spans="1:2">
      <c r="A670" s="4">
        <v>32377</v>
      </c>
      <c r="B670" s="3">
        <v>15.75</v>
      </c>
    </row>
    <row r="671" spans="1:2">
      <c r="A671" s="4">
        <v>32378</v>
      </c>
      <c r="B671" s="3">
        <v>15.71</v>
      </c>
    </row>
    <row r="672" spans="1:2">
      <c r="A672" s="4">
        <v>32379</v>
      </c>
      <c r="B672" s="3">
        <v>15.55</v>
      </c>
    </row>
    <row r="673" spans="1:2">
      <c r="A673" s="4">
        <v>32380</v>
      </c>
      <c r="B673" s="3">
        <v>15.33</v>
      </c>
    </row>
    <row r="674" spans="1:2">
      <c r="A674" s="4">
        <v>32381</v>
      </c>
      <c r="B674" s="3">
        <v>15.35</v>
      </c>
    </row>
    <row r="675" spans="1:2">
      <c r="A675" s="4">
        <v>32384</v>
      </c>
      <c r="B675" s="3">
        <v>15.24</v>
      </c>
    </row>
    <row r="676" spans="1:2">
      <c r="A676" s="4">
        <v>32385</v>
      </c>
      <c r="B676" s="3">
        <v>15.39</v>
      </c>
    </row>
    <row r="677" spans="1:2">
      <c r="A677" s="4">
        <v>32386</v>
      </c>
      <c r="B677" s="3">
        <v>15.19</v>
      </c>
    </row>
    <row r="678" spans="1:2">
      <c r="A678" s="4">
        <v>32387</v>
      </c>
      <c r="B678" s="3">
        <v>15.05</v>
      </c>
    </row>
    <row r="679" spans="1:2">
      <c r="A679" s="4">
        <v>32388</v>
      </c>
      <c r="B679" s="3">
        <v>14.79</v>
      </c>
    </row>
    <row r="680" spans="1:2">
      <c r="A680" s="4">
        <v>32391</v>
      </c>
      <c r="B680" s="3">
        <v>14.79</v>
      </c>
    </row>
    <row r="681" spans="1:2">
      <c r="A681" s="4">
        <v>32392</v>
      </c>
      <c r="B681" s="3">
        <v>14.25</v>
      </c>
    </row>
    <row r="682" spans="1:2">
      <c r="A682" s="4">
        <v>32393</v>
      </c>
      <c r="B682" s="3">
        <v>14.29</v>
      </c>
    </row>
    <row r="683" spans="1:2">
      <c r="A683" s="4">
        <v>32394</v>
      </c>
      <c r="B683" s="3">
        <v>14.51</v>
      </c>
    </row>
    <row r="684" spans="1:2">
      <c r="A684" s="4">
        <v>32395</v>
      </c>
      <c r="B684" s="3">
        <v>14.14</v>
      </c>
    </row>
    <row r="685" spans="1:2">
      <c r="A685" s="4">
        <v>32398</v>
      </c>
      <c r="B685" s="3">
        <v>14.48</v>
      </c>
    </row>
    <row r="686" spans="1:2">
      <c r="A686" s="4">
        <v>32399</v>
      </c>
      <c r="B686" s="3">
        <v>14.55</v>
      </c>
    </row>
    <row r="687" spans="1:2">
      <c r="A687" s="4">
        <v>32400</v>
      </c>
      <c r="B687" s="3">
        <v>15.38</v>
      </c>
    </row>
    <row r="688" spans="1:2">
      <c r="A688" s="4">
        <v>32401</v>
      </c>
      <c r="B688" s="3">
        <v>14.86</v>
      </c>
    </row>
    <row r="689" spans="1:2">
      <c r="A689" s="4">
        <v>32402</v>
      </c>
      <c r="B689" s="3">
        <v>14.5</v>
      </c>
    </row>
    <row r="690" spans="1:2">
      <c r="A690" s="4">
        <v>32405</v>
      </c>
      <c r="B690" s="3">
        <v>14.72</v>
      </c>
    </row>
    <row r="691" spans="1:2">
      <c r="A691" s="4">
        <v>32406</v>
      </c>
      <c r="B691" s="3">
        <v>15.08</v>
      </c>
    </row>
    <row r="692" spans="1:2">
      <c r="A692" s="4">
        <v>32407</v>
      </c>
      <c r="B692" s="3">
        <v>15.19</v>
      </c>
    </row>
    <row r="693" spans="1:2">
      <c r="A693" s="4">
        <v>32408</v>
      </c>
      <c r="B693" s="3">
        <v>15.25</v>
      </c>
    </row>
    <row r="694" spans="1:2">
      <c r="A694" s="4">
        <v>32409</v>
      </c>
      <c r="B694" s="3">
        <v>14.26</v>
      </c>
    </row>
    <row r="695" spans="1:2">
      <c r="A695" s="4">
        <v>32412</v>
      </c>
      <c r="B695" s="3">
        <v>14.16</v>
      </c>
    </row>
    <row r="696" spans="1:2">
      <c r="A696" s="4">
        <v>32413</v>
      </c>
      <c r="B696" s="3">
        <v>14.22</v>
      </c>
    </row>
    <row r="697" spans="1:2">
      <c r="A697" s="4">
        <v>32414</v>
      </c>
      <c r="B697" s="3">
        <v>14.07</v>
      </c>
    </row>
    <row r="698" spans="1:2">
      <c r="A698" s="4">
        <v>32415</v>
      </c>
      <c r="B698" s="3">
        <v>13.91</v>
      </c>
    </row>
    <row r="699" spans="1:2">
      <c r="A699" s="4">
        <v>32416</v>
      </c>
      <c r="B699" s="3">
        <v>13.33</v>
      </c>
    </row>
    <row r="700" spans="1:2">
      <c r="A700" s="4">
        <v>32419</v>
      </c>
      <c r="B700" s="3">
        <v>13.03</v>
      </c>
    </row>
    <row r="701" spans="1:2">
      <c r="A701" s="4">
        <v>32420</v>
      </c>
      <c r="B701" s="3">
        <v>13.03</v>
      </c>
    </row>
    <row r="702" spans="1:2">
      <c r="A702" s="4">
        <v>32421</v>
      </c>
      <c r="B702" s="3">
        <v>12.58</v>
      </c>
    </row>
    <row r="703" spans="1:2">
      <c r="A703" s="4">
        <v>32422</v>
      </c>
      <c r="B703" s="3">
        <v>12.62</v>
      </c>
    </row>
    <row r="704" spans="1:2">
      <c r="A704" s="4">
        <v>32423</v>
      </c>
      <c r="B704" s="3">
        <v>12.99</v>
      </c>
    </row>
    <row r="705" spans="1:2">
      <c r="A705" s="4">
        <v>32426</v>
      </c>
      <c r="B705" s="3">
        <v>13.59</v>
      </c>
    </row>
    <row r="706" spans="1:2">
      <c r="A706" s="4">
        <v>32427</v>
      </c>
      <c r="B706" s="3">
        <v>13.63</v>
      </c>
    </row>
    <row r="707" spans="1:2">
      <c r="A707" s="4">
        <v>32428</v>
      </c>
      <c r="B707" s="3">
        <v>14.02</v>
      </c>
    </row>
    <row r="708" spans="1:2">
      <c r="A708" s="4">
        <v>32429</v>
      </c>
      <c r="B708" s="3">
        <v>14.26</v>
      </c>
    </row>
    <row r="709" spans="1:2">
      <c r="A709" s="4">
        <v>32430</v>
      </c>
      <c r="B709" s="3">
        <v>14.9</v>
      </c>
    </row>
    <row r="710" spans="1:2">
      <c r="A710" s="4">
        <v>32433</v>
      </c>
      <c r="B710" s="3">
        <v>15.16</v>
      </c>
    </row>
    <row r="711" spans="1:2">
      <c r="A711" s="4">
        <v>32434</v>
      </c>
      <c r="B711" s="3">
        <v>14.63</v>
      </c>
    </row>
    <row r="712" spans="1:2">
      <c r="A712" s="4">
        <v>32435</v>
      </c>
      <c r="B712" s="3">
        <v>15.33</v>
      </c>
    </row>
    <row r="713" spans="1:2">
      <c r="A713" s="4">
        <v>32436</v>
      </c>
      <c r="B713" s="3">
        <v>14.44</v>
      </c>
    </row>
    <row r="714" spans="1:2">
      <c r="A714" s="4">
        <v>32437</v>
      </c>
      <c r="B714" s="3">
        <v>14.22</v>
      </c>
    </row>
    <row r="715" spans="1:2">
      <c r="A715" s="4">
        <v>32440</v>
      </c>
      <c r="B715" s="3">
        <v>12.94</v>
      </c>
    </row>
    <row r="716" spans="1:2">
      <c r="A716" s="4">
        <v>32441</v>
      </c>
      <c r="B716" s="3">
        <v>13.36</v>
      </c>
    </row>
    <row r="717" spans="1:2">
      <c r="A717" s="4">
        <v>32442</v>
      </c>
      <c r="B717" s="3">
        <v>13.45</v>
      </c>
    </row>
    <row r="718" spans="1:2">
      <c r="A718" s="4">
        <v>32443</v>
      </c>
      <c r="B718" s="3">
        <v>13.67</v>
      </c>
    </row>
    <row r="719" spans="1:2">
      <c r="A719" s="4">
        <v>32444</v>
      </c>
      <c r="B719" s="3">
        <v>13.79</v>
      </c>
    </row>
    <row r="720" spans="1:2">
      <c r="A720" s="4">
        <v>32447</v>
      </c>
      <c r="B720" s="3">
        <v>13.54</v>
      </c>
    </row>
    <row r="721" spans="1:2">
      <c r="A721" s="4">
        <v>32448</v>
      </c>
      <c r="B721" s="3">
        <v>13.52</v>
      </c>
    </row>
    <row r="722" spans="1:2">
      <c r="A722" s="4">
        <v>32449</v>
      </c>
      <c r="B722" s="3">
        <v>13.78</v>
      </c>
    </row>
    <row r="723" spans="1:2">
      <c r="A723" s="4">
        <v>32450</v>
      </c>
      <c r="B723" s="3">
        <v>13.89</v>
      </c>
    </row>
    <row r="724" spans="1:2">
      <c r="A724" s="4">
        <v>32451</v>
      </c>
      <c r="B724" s="3">
        <v>14.04</v>
      </c>
    </row>
    <row r="725" spans="1:2">
      <c r="A725" s="4">
        <v>32454</v>
      </c>
      <c r="B725" s="3">
        <v>14.08</v>
      </c>
    </row>
    <row r="726" spans="1:2">
      <c r="A726" s="4">
        <v>32455</v>
      </c>
      <c r="B726" s="3">
        <v>13.7</v>
      </c>
    </row>
    <row r="727" spans="1:2">
      <c r="A727" s="4">
        <v>32456</v>
      </c>
      <c r="B727" s="3">
        <v>13.88</v>
      </c>
    </row>
    <row r="728" spans="1:2">
      <c r="A728" s="4">
        <v>32457</v>
      </c>
      <c r="B728" s="3">
        <v>13.99</v>
      </c>
    </row>
    <row r="729" spans="1:2">
      <c r="A729" s="4">
        <v>32458</v>
      </c>
      <c r="B729" s="3">
        <v>13.99</v>
      </c>
    </row>
    <row r="730" spans="1:2">
      <c r="A730" s="4">
        <v>32461</v>
      </c>
      <c r="B730" s="3">
        <v>14.25</v>
      </c>
    </row>
    <row r="731" spans="1:2">
      <c r="A731" s="4">
        <v>32462</v>
      </c>
      <c r="B731" s="3">
        <v>14.03</v>
      </c>
    </row>
    <row r="732" spans="1:2">
      <c r="A732" s="4">
        <v>32463</v>
      </c>
      <c r="B732" s="3">
        <v>13.68</v>
      </c>
    </row>
    <row r="733" spans="1:2">
      <c r="A733" s="4">
        <v>32464</v>
      </c>
      <c r="B733" s="3">
        <v>13.3</v>
      </c>
    </row>
    <row r="734" spans="1:2">
      <c r="A734" s="4">
        <v>32465</v>
      </c>
      <c r="B734" s="3">
        <v>13.47</v>
      </c>
    </row>
    <row r="735" spans="1:2">
      <c r="A735" s="4">
        <v>32468</v>
      </c>
      <c r="B735" s="3">
        <v>13.73</v>
      </c>
    </row>
    <row r="736" spans="1:2">
      <c r="A736" s="4">
        <v>32469</v>
      </c>
      <c r="B736" s="3">
        <v>14.78</v>
      </c>
    </row>
    <row r="737" spans="1:2">
      <c r="A737" s="4">
        <v>32470</v>
      </c>
      <c r="B737" s="3">
        <v>14.11</v>
      </c>
    </row>
    <row r="738" spans="1:2">
      <c r="A738" s="4">
        <v>32471</v>
      </c>
      <c r="B738" s="3">
        <v>14.11</v>
      </c>
    </row>
    <row r="739" spans="1:2">
      <c r="A739" s="4">
        <v>32472</v>
      </c>
      <c r="B739" s="3">
        <v>15.43</v>
      </c>
    </row>
    <row r="740" spans="1:2">
      <c r="A740" s="4">
        <v>32475</v>
      </c>
      <c r="B740" s="3">
        <v>14.93</v>
      </c>
    </row>
    <row r="741" spans="1:2">
      <c r="A741" s="4">
        <v>32476</v>
      </c>
      <c r="B741" s="3">
        <v>15</v>
      </c>
    </row>
    <row r="742" spans="1:2">
      <c r="A742" s="4">
        <v>32477</v>
      </c>
      <c r="B742" s="3">
        <v>15.42</v>
      </c>
    </row>
    <row r="743" spans="1:2">
      <c r="A743" s="4">
        <v>32478</v>
      </c>
      <c r="B743" s="3">
        <v>15.63</v>
      </c>
    </row>
    <row r="744" spans="1:2">
      <c r="A744" s="4">
        <v>32479</v>
      </c>
      <c r="B744" s="3">
        <v>15.69</v>
      </c>
    </row>
    <row r="745" spans="1:2">
      <c r="A745" s="4">
        <v>32482</v>
      </c>
      <c r="B745" s="3">
        <v>15.36</v>
      </c>
    </row>
    <row r="746" spans="1:2">
      <c r="A746" s="4">
        <v>32483</v>
      </c>
      <c r="B746" s="3">
        <v>15.51</v>
      </c>
    </row>
    <row r="747" spans="1:2">
      <c r="A747" s="4">
        <v>32484</v>
      </c>
      <c r="B747" s="3">
        <v>15.8</v>
      </c>
    </row>
    <row r="748" spans="1:2">
      <c r="A748" s="4">
        <v>32485</v>
      </c>
      <c r="B748" s="3">
        <v>15.48</v>
      </c>
    </row>
    <row r="749" spans="1:2">
      <c r="A749" s="4">
        <v>32486</v>
      </c>
      <c r="B749" s="3">
        <v>15.9</v>
      </c>
    </row>
    <row r="750" spans="1:2">
      <c r="A750" s="4">
        <v>32489</v>
      </c>
      <c r="B750" s="3">
        <v>16.079999999999998</v>
      </c>
    </row>
    <row r="751" spans="1:2">
      <c r="A751" s="4">
        <v>32490</v>
      </c>
      <c r="B751" s="3">
        <v>15.93</v>
      </c>
    </row>
    <row r="752" spans="1:2">
      <c r="A752" s="4">
        <v>32491</v>
      </c>
      <c r="B752" s="3">
        <v>16.329999999999998</v>
      </c>
    </row>
    <row r="753" spans="1:2">
      <c r="A753" s="4">
        <v>32492</v>
      </c>
      <c r="B753" s="3">
        <v>16.39</v>
      </c>
    </row>
    <row r="754" spans="1:2">
      <c r="A754" s="4">
        <v>32493</v>
      </c>
      <c r="B754" s="3">
        <v>16.809999999999999</v>
      </c>
    </row>
    <row r="755" spans="1:2">
      <c r="A755" s="4">
        <v>32496</v>
      </c>
      <c r="B755" s="3">
        <v>16.239999999999998</v>
      </c>
    </row>
    <row r="756" spans="1:2">
      <c r="A756" s="4">
        <v>32497</v>
      </c>
      <c r="B756" s="3">
        <v>17.68</v>
      </c>
    </row>
    <row r="757" spans="1:2">
      <c r="A757" s="4">
        <v>32498</v>
      </c>
      <c r="B757" s="3">
        <v>17.27</v>
      </c>
    </row>
    <row r="758" spans="1:2">
      <c r="A758" s="4">
        <v>32499</v>
      </c>
      <c r="B758" s="3">
        <v>17.36</v>
      </c>
    </row>
    <row r="759" spans="1:2">
      <c r="A759" s="4">
        <v>32500</v>
      </c>
      <c r="B759" s="3">
        <v>16.63</v>
      </c>
    </row>
    <row r="760" spans="1:2">
      <c r="A760" s="4">
        <v>32504</v>
      </c>
      <c r="B760" s="3">
        <v>16.98</v>
      </c>
    </row>
    <row r="761" spans="1:2">
      <c r="A761" s="4">
        <v>32505</v>
      </c>
      <c r="B761" s="3">
        <v>17.03</v>
      </c>
    </row>
    <row r="762" spans="1:2">
      <c r="A762" s="4">
        <v>32506</v>
      </c>
      <c r="B762" s="3">
        <v>16.809999999999999</v>
      </c>
    </row>
    <row r="763" spans="1:2">
      <c r="A763" s="4">
        <v>32507</v>
      </c>
      <c r="B763" s="3">
        <v>17.12</v>
      </c>
    </row>
    <row r="764" spans="1:2">
      <c r="A764" s="4">
        <v>32511</v>
      </c>
      <c r="B764" s="3">
        <v>17.38</v>
      </c>
    </row>
    <row r="765" spans="1:2">
      <c r="A765" s="4">
        <v>32512</v>
      </c>
      <c r="B765" s="3">
        <v>16.989999999999998</v>
      </c>
    </row>
    <row r="766" spans="1:2">
      <c r="A766" s="4">
        <v>32513</v>
      </c>
      <c r="B766" s="3">
        <v>17.45</v>
      </c>
    </row>
    <row r="767" spans="1:2">
      <c r="A767" s="4">
        <v>32514</v>
      </c>
      <c r="B767" s="3">
        <v>17.559999999999999</v>
      </c>
    </row>
    <row r="768" spans="1:2">
      <c r="A768" s="4">
        <v>32517</v>
      </c>
      <c r="B768" s="3">
        <v>17.739999999999998</v>
      </c>
    </row>
    <row r="769" spans="1:2">
      <c r="A769" s="4">
        <v>32518</v>
      </c>
      <c r="B769" s="3">
        <v>17.8</v>
      </c>
    </row>
    <row r="770" spans="1:2">
      <c r="A770" s="4">
        <v>32519</v>
      </c>
      <c r="B770" s="3">
        <v>18.16</v>
      </c>
    </row>
    <row r="771" spans="1:2">
      <c r="A771" s="4">
        <v>32520</v>
      </c>
      <c r="B771" s="3">
        <v>18.11</v>
      </c>
    </row>
    <row r="772" spans="1:2">
      <c r="A772" s="4">
        <v>32521</v>
      </c>
      <c r="B772" s="3">
        <v>18.489999999999998</v>
      </c>
    </row>
    <row r="773" spans="1:2">
      <c r="A773" s="4">
        <v>32524</v>
      </c>
      <c r="B773" s="3">
        <v>18.88</v>
      </c>
    </row>
    <row r="774" spans="1:2">
      <c r="A774" s="4">
        <v>32525</v>
      </c>
      <c r="B774" s="3">
        <v>19.03</v>
      </c>
    </row>
    <row r="775" spans="1:2">
      <c r="A775" s="4">
        <v>32526</v>
      </c>
      <c r="B775" s="3">
        <v>19.2</v>
      </c>
    </row>
    <row r="776" spans="1:2">
      <c r="A776" s="4">
        <v>32527</v>
      </c>
      <c r="B776" s="3">
        <v>19.28</v>
      </c>
    </row>
    <row r="777" spans="1:2">
      <c r="A777" s="4">
        <v>32528</v>
      </c>
      <c r="B777" s="3">
        <v>18.850000000000001</v>
      </c>
    </row>
    <row r="778" spans="1:2">
      <c r="A778" s="4">
        <v>32531</v>
      </c>
      <c r="B778" s="3">
        <v>17.66</v>
      </c>
    </row>
    <row r="779" spans="1:2">
      <c r="A779" s="4">
        <v>32532</v>
      </c>
      <c r="B779" s="3">
        <v>17.96</v>
      </c>
    </row>
    <row r="780" spans="1:2">
      <c r="A780" s="4">
        <v>32533</v>
      </c>
      <c r="B780" s="3">
        <v>18.23</v>
      </c>
    </row>
    <row r="781" spans="1:2">
      <c r="A781" s="4">
        <v>32534</v>
      </c>
      <c r="B781" s="3">
        <v>17.68</v>
      </c>
    </row>
    <row r="782" spans="1:2">
      <c r="A782" s="4">
        <v>32535</v>
      </c>
      <c r="B782" s="3">
        <v>17.739999999999998</v>
      </c>
    </row>
    <row r="783" spans="1:2">
      <c r="A783" s="4">
        <v>32538</v>
      </c>
      <c r="B783" s="3">
        <v>17.32</v>
      </c>
    </row>
    <row r="784" spans="1:2">
      <c r="A784" s="4">
        <v>32539</v>
      </c>
      <c r="B784" s="3">
        <v>17</v>
      </c>
    </row>
    <row r="785" spans="1:2">
      <c r="A785" s="4">
        <v>32540</v>
      </c>
      <c r="B785" s="3">
        <v>17.5</v>
      </c>
    </row>
    <row r="786" spans="1:2">
      <c r="A786" s="4">
        <v>32541</v>
      </c>
      <c r="B786" s="3">
        <v>17.72</v>
      </c>
    </row>
    <row r="787" spans="1:2">
      <c r="A787" s="4">
        <v>32542</v>
      </c>
      <c r="B787" s="3">
        <v>17.510000000000002</v>
      </c>
    </row>
    <row r="788" spans="1:2">
      <c r="A788" s="4">
        <v>32545</v>
      </c>
      <c r="B788" s="3">
        <v>17.38</v>
      </c>
    </row>
    <row r="789" spans="1:2">
      <c r="A789" s="4">
        <v>32546</v>
      </c>
      <c r="B789" s="3">
        <v>17.55</v>
      </c>
    </row>
    <row r="790" spans="1:2">
      <c r="A790" s="4">
        <v>32547</v>
      </c>
      <c r="B790" s="3">
        <v>17.489999999999998</v>
      </c>
    </row>
    <row r="791" spans="1:2">
      <c r="A791" s="4">
        <v>32548</v>
      </c>
      <c r="B791" s="3">
        <v>17.420000000000002</v>
      </c>
    </row>
    <row r="792" spans="1:2">
      <c r="A792" s="4">
        <v>32549</v>
      </c>
      <c r="B792" s="3">
        <v>17.11</v>
      </c>
    </row>
    <row r="793" spans="1:2">
      <c r="A793" s="4">
        <v>32552</v>
      </c>
      <c r="B793" s="3">
        <v>17.61</v>
      </c>
    </row>
    <row r="794" spans="1:2">
      <c r="A794" s="4">
        <v>32553</v>
      </c>
      <c r="B794" s="3">
        <v>17.600000000000001</v>
      </c>
    </row>
    <row r="795" spans="1:2">
      <c r="A795" s="4">
        <v>32554</v>
      </c>
      <c r="B795" s="3">
        <v>18.23</v>
      </c>
    </row>
    <row r="796" spans="1:2">
      <c r="A796" s="4">
        <v>32555</v>
      </c>
      <c r="B796" s="3">
        <v>18.350000000000001</v>
      </c>
    </row>
    <row r="797" spans="1:2">
      <c r="A797" s="4">
        <v>32556</v>
      </c>
      <c r="B797" s="3">
        <v>18.600000000000001</v>
      </c>
    </row>
    <row r="798" spans="1:2">
      <c r="A798" s="4">
        <v>32559</v>
      </c>
      <c r="B798" s="3">
        <v>18.600000000000001</v>
      </c>
    </row>
    <row r="799" spans="1:2">
      <c r="A799" s="4">
        <v>32560</v>
      </c>
      <c r="B799" s="3">
        <v>18.64</v>
      </c>
    </row>
    <row r="800" spans="1:2">
      <c r="A800" s="4">
        <v>32561</v>
      </c>
      <c r="B800" s="3">
        <v>18.5</v>
      </c>
    </row>
    <row r="801" spans="1:2">
      <c r="A801" s="4">
        <v>32562</v>
      </c>
      <c r="B801" s="3">
        <v>18.489999999999998</v>
      </c>
    </row>
    <row r="802" spans="1:2">
      <c r="A802" s="4">
        <v>32563</v>
      </c>
      <c r="B802" s="3">
        <v>18.059999999999999</v>
      </c>
    </row>
    <row r="803" spans="1:2">
      <c r="A803" s="4">
        <v>32566</v>
      </c>
      <c r="B803" s="3">
        <v>18.16</v>
      </c>
    </row>
    <row r="804" spans="1:2">
      <c r="A804" s="4">
        <v>32567</v>
      </c>
      <c r="B804" s="3">
        <v>18.21</v>
      </c>
    </row>
    <row r="805" spans="1:2">
      <c r="A805" s="4">
        <v>32568</v>
      </c>
      <c r="B805" s="3">
        <v>18.3</v>
      </c>
    </row>
    <row r="806" spans="1:2">
      <c r="A806" s="4">
        <v>32569</v>
      </c>
      <c r="B806" s="3">
        <v>18.68</v>
      </c>
    </row>
    <row r="807" spans="1:2">
      <c r="A807" s="4">
        <v>32570</v>
      </c>
      <c r="B807" s="3">
        <v>18.670000000000002</v>
      </c>
    </row>
    <row r="808" spans="1:2">
      <c r="A808" s="4">
        <v>32573</v>
      </c>
      <c r="B808" s="3">
        <v>18.73</v>
      </c>
    </row>
    <row r="809" spans="1:2">
      <c r="A809" s="4">
        <v>32574</v>
      </c>
      <c r="B809" s="3">
        <v>18.12</v>
      </c>
    </row>
    <row r="810" spans="1:2">
      <c r="A810" s="4">
        <v>32575</v>
      </c>
      <c r="B810" s="3">
        <v>18.57</v>
      </c>
    </row>
    <row r="811" spans="1:2">
      <c r="A811" s="4">
        <v>32576</v>
      </c>
      <c r="B811" s="3">
        <v>18.53</v>
      </c>
    </row>
    <row r="812" spans="1:2">
      <c r="A812" s="4">
        <v>32577</v>
      </c>
      <c r="B812" s="3">
        <v>18.53</v>
      </c>
    </row>
    <row r="813" spans="1:2">
      <c r="A813" s="4">
        <v>32580</v>
      </c>
      <c r="B813" s="3">
        <v>19.05</v>
      </c>
    </row>
    <row r="814" spans="1:2">
      <c r="A814" s="4">
        <v>32581</v>
      </c>
      <c r="B814" s="3">
        <v>19.47</v>
      </c>
    </row>
    <row r="815" spans="1:2">
      <c r="A815" s="4">
        <v>32582</v>
      </c>
      <c r="B815" s="3">
        <v>19.84</v>
      </c>
    </row>
    <row r="816" spans="1:2">
      <c r="A816" s="4">
        <v>32583</v>
      </c>
      <c r="B816" s="3">
        <v>19.86</v>
      </c>
    </row>
    <row r="817" spans="1:2">
      <c r="A817" s="4">
        <v>32584</v>
      </c>
      <c r="B817" s="3">
        <v>20.34</v>
      </c>
    </row>
    <row r="818" spans="1:2">
      <c r="A818" s="4">
        <v>32587</v>
      </c>
      <c r="B818" s="3">
        <v>19.53</v>
      </c>
    </row>
    <row r="819" spans="1:2">
      <c r="A819" s="4">
        <v>32588</v>
      </c>
      <c r="B819" s="3">
        <v>20.079999999999998</v>
      </c>
    </row>
    <row r="820" spans="1:2">
      <c r="A820" s="4">
        <v>32589</v>
      </c>
      <c r="B820" s="3">
        <v>20.21</v>
      </c>
    </row>
    <row r="821" spans="1:2">
      <c r="A821" s="4">
        <v>32590</v>
      </c>
      <c r="B821" s="3">
        <v>20.16</v>
      </c>
    </row>
    <row r="822" spans="1:2">
      <c r="A822" s="4">
        <v>32594</v>
      </c>
      <c r="B822" s="3">
        <v>20.55</v>
      </c>
    </row>
    <row r="823" spans="1:2">
      <c r="A823" s="4">
        <v>32595</v>
      </c>
      <c r="B823" s="3">
        <v>19.93</v>
      </c>
    </row>
    <row r="824" spans="1:2">
      <c r="A824" s="4">
        <v>32596</v>
      </c>
      <c r="B824" s="3">
        <v>20.2</v>
      </c>
    </row>
    <row r="825" spans="1:2">
      <c r="A825" s="4">
        <v>32597</v>
      </c>
      <c r="B825" s="3">
        <v>21.03</v>
      </c>
    </row>
    <row r="826" spans="1:2">
      <c r="A826" s="4">
        <v>32598</v>
      </c>
      <c r="B826" s="3">
        <v>20.27</v>
      </c>
    </row>
    <row r="827" spans="1:2">
      <c r="A827" s="4">
        <v>32601</v>
      </c>
      <c r="B827" s="3">
        <v>20.03</v>
      </c>
    </row>
    <row r="828" spans="1:2">
      <c r="A828" s="4">
        <v>32602</v>
      </c>
      <c r="B828" s="3">
        <v>20.59</v>
      </c>
    </row>
    <row r="829" spans="1:2">
      <c r="A829" s="4">
        <v>32603</v>
      </c>
      <c r="B829" s="3">
        <v>20.07</v>
      </c>
    </row>
    <row r="830" spans="1:2">
      <c r="A830" s="4">
        <v>32604</v>
      </c>
      <c r="B830" s="3">
        <v>19.850000000000001</v>
      </c>
    </row>
    <row r="831" spans="1:2">
      <c r="A831" s="4">
        <v>32605</v>
      </c>
      <c r="B831" s="3">
        <v>20.03</v>
      </c>
    </row>
    <row r="832" spans="1:2">
      <c r="A832" s="4">
        <v>32608</v>
      </c>
      <c r="B832" s="3">
        <v>20.65</v>
      </c>
    </row>
    <row r="833" spans="1:2">
      <c r="A833" s="4">
        <v>32609</v>
      </c>
      <c r="B833" s="3">
        <v>20.56</v>
      </c>
    </row>
    <row r="834" spans="1:2">
      <c r="A834" s="4">
        <v>32610</v>
      </c>
      <c r="B834" s="3">
        <v>20.66</v>
      </c>
    </row>
    <row r="835" spans="1:2">
      <c r="A835" s="4">
        <v>32611</v>
      </c>
      <c r="B835" s="3">
        <v>20.260000000000002</v>
      </c>
    </row>
    <row r="836" spans="1:2">
      <c r="A836" s="4">
        <v>32612</v>
      </c>
      <c r="B836" s="3">
        <v>20.68</v>
      </c>
    </row>
    <row r="837" spans="1:2">
      <c r="A837" s="4">
        <v>32615</v>
      </c>
      <c r="B837" s="3">
        <v>21.23</v>
      </c>
    </row>
    <row r="838" spans="1:2">
      <c r="A838" s="4">
        <v>32616</v>
      </c>
      <c r="B838" s="3">
        <v>21.74</v>
      </c>
    </row>
    <row r="839" spans="1:2">
      <c r="A839" s="4">
        <v>32617</v>
      </c>
      <c r="B839" s="3">
        <v>22.66</v>
      </c>
    </row>
    <row r="840" spans="1:2">
      <c r="A840" s="4">
        <v>32618</v>
      </c>
      <c r="B840" s="3">
        <v>24.62</v>
      </c>
    </row>
    <row r="841" spans="1:2">
      <c r="A841" s="4">
        <v>32619</v>
      </c>
      <c r="B841" s="3">
        <v>23.38</v>
      </c>
    </row>
    <row r="842" spans="1:2">
      <c r="A842" s="4">
        <v>32622</v>
      </c>
      <c r="B842" s="3">
        <v>20.64</v>
      </c>
    </row>
    <row r="843" spans="1:2">
      <c r="A843" s="4">
        <v>32623</v>
      </c>
      <c r="B843" s="3">
        <v>21.32</v>
      </c>
    </row>
    <row r="844" spans="1:2">
      <c r="A844" s="4">
        <v>32624</v>
      </c>
      <c r="B844" s="3">
        <v>21.2</v>
      </c>
    </row>
    <row r="845" spans="1:2">
      <c r="A845" s="4">
        <v>32625</v>
      </c>
      <c r="B845" s="3">
        <v>20.83</v>
      </c>
    </row>
    <row r="846" spans="1:2">
      <c r="A846" s="4">
        <v>32626</v>
      </c>
      <c r="B846" s="3">
        <v>20.38</v>
      </c>
    </row>
    <row r="847" spans="1:2">
      <c r="A847" s="4">
        <v>32629</v>
      </c>
      <c r="B847" s="3">
        <v>20.66</v>
      </c>
    </row>
    <row r="848" spans="1:2">
      <c r="A848" s="4">
        <v>32630</v>
      </c>
      <c r="B848" s="3">
        <v>19.73</v>
      </c>
    </row>
    <row r="849" spans="1:2">
      <c r="A849" s="4">
        <v>32631</v>
      </c>
      <c r="B849" s="3">
        <v>20.13</v>
      </c>
    </row>
    <row r="850" spans="1:2">
      <c r="A850" s="4">
        <v>32632</v>
      </c>
      <c r="B850" s="3">
        <v>20.57</v>
      </c>
    </row>
    <row r="851" spans="1:2">
      <c r="A851" s="4">
        <v>32633</v>
      </c>
      <c r="B851" s="3">
        <v>20.079999999999998</v>
      </c>
    </row>
    <row r="852" spans="1:2">
      <c r="A852" s="4">
        <v>32636</v>
      </c>
      <c r="B852" s="3">
        <v>19.41</v>
      </c>
    </row>
    <row r="853" spans="1:2">
      <c r="A853" s="4">
        <v>32637</v>
      </c>
      <c r="B853" s="3">
        <v>19.54</v>
      </c>
    </row>
    <row r="854" spans="1:2">
      <c r="A854" s="4">
        <v>32638</v>
      </c>
      <c r="B854" s="3">
        <v>19.559999999999999</v>
      </c>
    </row>
    <row r="855" spans="1:2">
      <c r="A855" s="4">
        <v>32639</v>
      </c>
      <c r="B855" s="3">
        <v>20.13</v>
      </c>
    </row>
    <row r="856" spans="1:2">
      <c r="A856" s="4">
        <v>32640</v>
      </c>
      <c r="B856" s="3">
        <v>20.12</v>
      </c>
    </row>
    <row r="857" spans="1:2">
      <c r="A857" s="4">
        <v>32643</v>
      </c>
      <c r="B857" s="3">
        <v>20.53</v>
      </c>
    </row>
    <row r="858" spans="1:2">
      <c r="A858" s="4">
        <v>32644</v>
      </c>
      <c r="B858" s="3">
        <v>20.58</v>
      </c>
    </row>
    <row r="859" spans="1:2">
      <c r="A859" s="4">
        <v>32645</v>
      </c>
      <c r="B859" s="3">
        <v>20.149999999999999</v>
      </c>
    </row>
    <row r="860" spans="1:2">
      <c r="A860" s="4">
        <v>32646</v>
      </c>
      <c r="B860" s="3">
        <v>20.25</v>
      </c>
    </row>
    <row r="861" spans="1:2">
      <c r="A861" s="4">
        <v>32647</v>
      </c>
      <c r="B861" s="3">
        <v>20.58</v>
      </c>
    </row>
    <row r="862" spans="1:2">
      <c r="A862" s="4">
        <v>32650</v>
      </c>
      <c r="B862" s="3">
        <v>20.92</v>
      </c>
    </row>
    <row r="863" spans="1:2">
      <c r="A863" s="4">
        <v>32651</v>
      </c>
      <c r="B863" s="3">
        <v>21.77</v>
      </c>
    </row>
    <row r="864" spans="1:2">
      <c r="A864" s="4">
        <v>32652</v>
      </c>
      <c r="B864" s="3">
        <v>19.68</v>
      </c>
    </row>
    <row r="865" spans="1:2">
      <c r="A865" s="4">
        <v>32653</v>
      </c>
      <c r="B865" s="3">
        <v>19.46</v>
      </c>
    </row>
    <row r="866" spans="1:2">
      <c r="A866" s="4">
        <v>32654</v>
      </c>
      <c r="B866" s="3">
        <v>19.55</v>
      </c>
    </row>
    <row r="867" spans="1:2">
      <c r="A867" s="4">
        <v>32657</v>
      </c>
      <c r="B867" s="3">
        <v>19.55</v>
      </c>
    </row>
    <row r="868" spans="1:2">
      <c r="A868" s="4">
        <v>32658</v>
      </c>
      <c r="B868" s="3">
        <v>19.96</v>
      </c>
    </row>
    <row r="869" spans="1:2">
      <c r="A869" s="4">
        <v>32659</v>
      </c>
      <c r="B869" s="3">
        <v>19.93</v>
      </c>
    </row>
    <row r="870" spans="1:2">
      <c r="A870" s="4">
        <v>32660</v>
      </c>
      <c r="B870" s="3">
        <v>19.829999999999998</v>
      </c>
    </row>
    <row r="871" spans="1:2">
      <c r="A871" s="4">
        <v>32661</v>
      </c>
      <c r="B871" s="3">
        <v>20.18</v>
      </c>
    </row>
    <row r="872" spans="1:2">
      <c r="A872" s="4">
        <v>32664</v>
      </c>
      <c r="B872" s="3">
        <v>20.5</v>
      </c>
    </row>
    <row r="873" spans="1:2">
      <c r="A873" s="4">
        <v>32665</v>
      </c>
      <c r="B873" s="3">
        <v>20.38</v>
      </c>
    </row>
    <row r="874" spans="1:2">
      <c r="A874" s="4">
        <v>32666</v>
      </c>
      <c r="B874" s="3">
        <v>19.7</v>
      </c>
    </row>
    <row r="875" spans="1:2">
      <c r="A875" s="4">
        <v>32667</v>
      </c>
      <c r="B875" s="3">
        <v>19.940000000000001</v>
      </c>
    </row>
    <row r="876" spans="1:2">
      <c r="A876" s="4">
        <v>32668</v>
      </c>
      <c r="B876" s="3">
        <v>19.87</v>
      </c>
    </row>
    <row r="877" spans="1:2">
      <c r="A877" s="4">
        <v>32671</v>
      </c>
      <c r="B877" s="3">
        <v>19.3</v>
      </c>
    </row>
    <row r="878" spans="1:2">
      <c r="A878" s="4">
        <v>32672</v>
      </c>
      <c r="B878" s="3">
        <v>19.5</v>
      </c>
    </row>
    <row r="879" spans="1:2">
      <c r="A879" s="4">
        <v>32673</v>
      </c>
      <c r="B879" s="3">
        <v>20.37</v>
      </c>
    </row>
    <row r="880" spans="1:2">
      <c r="A880" s="4">
        <v>32674</v>
      </c>
      <c r="B880" s="3">
        <v>20.56</v>
      </c>
    </row>
    <row r="881" spans="1:2">
      <c r="A881" s="4">
        <v>32675</v>
      </c>
      <c r="B881" s="3">
        <v>19.98</v>
      </c>
    </row>
    <row r="882" spans="1:2">
      <c r="A882" s="4">
        <v>32678</v>
      </c>
      <c r="B882" s="3">
        <v>20.88</v>
      </c>
    </row>
    <row r="883" spans="1:2">
      <c r="A883" s="4">
        <v>32679</v>
      </c>
      <c r="B883" s="3">
        <v>19.88</v>
      </c>
    </row>
    <row r="884" spans="1:2">
      <c r="A884" s="4">
        <v>32680</v>
      </c>
      <c r="B884" s="3">
        <v>19.739999999999998</v>
      </c>
    </row>
    <row r="885" spans="1:2">
      <c r="A885" s="4">
        <v>32681</v>
      </c>
      <c r="B885" s="3">
        <v>19.53</v>
      </c>
    </row>
    <row r="886" spans="1:2">
      <c r="A886" s="4">
        <v>32682</v>
      </c>
      <c r="B886" s="3">
        <v>19.71</v>
      </c>
    </row>
    <row r="887" spans="1:2">
      <c r="A887" s="4">
        <v>32685</v>
      </c>
      <c r="B887" s="3">
        <v>20.28</v>
      </c>
    </row>
    <row r="888" spans="1:2">
      <c r="A888" s="4">
        <v>32686</v>
      </c>
      <c r="B888" s="3">
        <v>20.38</v>
      </c>
    </row>
    <row r="889" spans="1:2">
      <c r="A889" s="4">
        <v>32687</v>
      </c>
      <c r="B889" s="3">
        <v>20.04</v>
      </c>
    </row>
    <row r="890" spans="1:2">
      <c r="A890" s="4">
        <v>32688</v>
      </c>
      <c r="B890" s="3">
        <v>20.27</v>
      </c>
    </row>
    <row r="891" spans="1:2">
      <c r="A891" s="4">
        <v>32689</v>
      </c>
      <c r="B891" s="3">
        <v>20.29</v>
      </c>
    </row>
    <row r="892" spans="1:2">
      <c r="A892" s="4">
        <v>32692</v>
      </c>
      <c r="B892" s="3">
        <v>20.55</v>
      </c>
    </row>
    <row r="893" spans="1:2">
      <c r="A893" s="4">
        <v>32693</v>
      </c>
      <c r="B893" s="3">
        <v>20.29</v>
      </c>
    </row>
    <row r="894" spans="1:2">
      <c r="A894" s="4">
        <v>32694</v>
      </c>
      <c r="B894" s="3">
        <v>20.98</v>
      </c>
    </row>
    <row r="895" spans="1:2">
      <c r="A895" s="4">
        <v>32695</v>
      </c>
      <c r="B895" s="3">
        <v>20.350000000000001</v>
      </c>
    </row>
    <row r="896" spans="1:2">
      <c r="A896" s="4">
        <v>32696</v>
      </c>
      <c r="B896" s="3">
        <v>20.78</v>
      </c>
    </row>
    <row r="897" spans="1:2">
      <c r="A897" s="4">
        <v>32699</v>
      </c>
      <c r="B897" s="3">
        <v>20.38</v>
      </c>
    </row>
    <row r="898" spans="1:2">
      <c r="A898" s="4">
        <v>32700</v>
      </c>
      <c r="B898" s="3">
        <v>20.75</v>
      </c>
    </row>
    <row r="899" spans="1:2">
      <c r="A899" s="4">
        <v>32701</v>
      </c>
      <c r="B899" s="3">
        <v>20.2</v>
      </c>
    </row>
    <row r="900" spans="1:2">
      <c r="A900" s="4">
        <v>32702</v>
      </c>
      <c r="B900" s="3">
        <v>20.420000000000002</v>
      </c>
    </row>
    <row r="901" spans="1:2">
      <c r="A901" s="4">
        <v>32703</v>
      </c>
      <c r="B901" s="3">
        <v>20.36</v>
      </c>
    </row>
    <row r="902" spans="1:2">
      <c r="A902" s="4">
        <v>32706</v>
      </c>
      <c r="B902" s="3">
        <v>20.49</v>
      </c>
    </row>
    <row r="903" spans="1:2">
      <c r="A903" s="4">
        <v>32707</v>
      </c>
      <c r="B903" s="3">
        <v>20.21</v>
      </c>
    </row>
    <row r="904" spans="1:2">
      <c r="A904" s="4">
        <v>32708</v>
      </c>
      <c r="B904" s="3">
        <v>19.829999999999998</v>
      </c>
    </row>
    <row r="905" spans="1:2">
      <c r="A905" s="4">
        <v>32709</v>
      </c>
      <c r="B905" s="3">
        <v>19.920000000000002</v>
      </c>
    </row>
    <row r="906" spans="1:2">
      <c r="A906" s="4">
        <v>32710</v>
      </c>
      <c r="B906" s="3">
        <v>19.86</v>
      </c>
    </row>
    <row r="907" spans="1:2">
      <c r="A907" s="4">
        <v>32713</v>
      </c>
      <c r="B907" s="3">
        <v>18.760000000000002</v>
      </c>
    </row>
    <row r="908" spans="1:2">
      <c r="A908" s="4">
        <v>32714</v>
      </c>
      <c r="B908" s="3">
        <v>18.52</v>
      </c>
    </row>
    <row r="909" spans="1:2">
      <c r="A909" s="4">
        <v>32715</v>
      </c>
      <c r="B909" s="3">
        <v>18.32</v>
      </c>
    </row>
    <row r="910" spans="1:2">
      <c r="A910" s="4">
        <v>32716</v>
      </c>
      <c r="B910" s="3">
        <v>18.149999999999999</v>
      </c>
    </row>
    <row r="911" spans="1:2">
      <c r="A911" s="4">
        <v>32717</v>
      </c>
      <c r="B911" s="3">
        <v>17.96</v>
      </c>
    </row>
    <row r="912" spans="1:2">
      <c r="A912" s="4">
        <v>32720</v>
      </c>
      <c r="B912" s="3">
        <v>18.329999999999998</v>
      </c>
    </row>
    <row r="913" spans="1:2">
      <c r="A913" s="4">
        <v>32721</v>
      </c>
      <c r="B913" s="3">
        <v>17.91</v>
      </c>
    </row>
    <row r="914" spans="1:2">
      <c r="A914" s="4">
        <v>32722</v>
      </c>
      <c r="B914" s="3">
        <v>18.28</v>
      </c>
    </row>
    <row r="915" spans="1:2">
      <c r="A915" s="4">
        <v>32723</v>
      </c>
      <c r="B915" s="3">
        <v>18.18</v>
      </c>
    </row>
    <row r="916" spans="1:2">
      <c r="A916" s="4">
        <v>32724</v>
      </c>
      <c r="B916" s="3">
        <v>18.05</v>
      </c>
    </row>
    <row r="917" spans="1:2">
      <c r="A917" s="4">
        <v>32727</v>
      </c>
      <c r="B917" s="3">
        <v>17.91</v>
      </c>
    </row>
    <row r="918" spans="1:2">
      <c r="A918" s="4">
        <v>32728</v>
      </c>
      <c r="B918" s="3">
        <v>18.059999999999999</v>
      </c>
    </row>
    <row r="919" spans="1:2">
      <c r="A919" s="4">
        <v>32729</v>
      </c>
      <c r="B919" s="3">
        <v>18.23</v>
      </c>
    </row>
    <row r="920" spans="1:2">
      <c r="A920" s="4">
        <v>32730</v>
      </c>
      <c r="B920" s="3">
        <v>18.579999999999998</v>
      </c>
    </row>
    <row r="921" spans="1:2">
      <c r="A921" s="4">
        <v>32731</v>
      </c>
      <c r="B921" s="3">
        <v>18.46</v>
      </c>
    </row>
    <row r="922" spans="1:2">
      <c r="A922" s="4">
        <v>32734</v>
      </c>
      <c r="B922" s="3">
        <v>18.600000000000001</v>
      </c>
    </row>
    <row r="923" spans="1:2">
      <c r="A923" s="4">
        <v>32735</v>
      </c>
      <c r="B923" s="3">
        <v>18.78</v>
      </c>
    </row>
    <row r="924" spans="1:2">
      <c r="A924" s="4">
        <v>32736</v>
      </c>
      <c r="B924" s="3">
        <v>18.989999999999998</v>
      </c>
    </row>
    <row r="925" spans="1:2">
      <c r="A925" s="4">
        <v>32737</v>
      </c>
      <c r="B925" s="3">
        <v>18.670000000000002</v>
      </c>
    </row>
    <row r="926" spans="1:2">
      <c r="A926" s="4">
        <v>32738</v>
      </c>
      <c r="B926" s="3">
        <v>18.82</v>
      </c>
    </row>
    <row r="927" spans="1:2">
      <c r="A927" s="4">
        <v>32741</v>
      </c>
      <c r="B927" s="3">
        <v>19.100000000000001</v>
      </c>
    </row>
    <row r="928" spans="1:2">
      <c r="A928" s="4">
        <v>32742</v>
      </c>
      <c r="B928" s="3">
        <v>19.010000000000002</v>
      </c>
    </row>
    <row r="929" spans="1:2">
      <c r="A929" s="4">
        <v>32743</v>
      </c>
      <c r="B929" s="3">
        <v>19.149999999999999</v>
      </c>
    </row>
    <row r="930" spans="1:2">
      <c r="A930" s="4">
        <v>32744</v>
      </c>
      <c r="B930" s="3">
        <v>19.02</v>
      </c>
    </row>
    <row r="931" spans="1:2">
      <c r="A931" s="4">
        <v>32745</v>
      </c>
      <c r="B931" s="3">
        <v>18.53</v>
      </c>
    </row>
    <row r="932" spans="1:2">
      <c r="A932" s="4">
        <v>32748</v>
      </c>
      <c r="B932" s="3">
        <v>18.690000000000001</v>
      </c>
    </row>
    <row r="933" spans="1:2">
      <c r="A933" s="4">
        <v>32749</v>
      </c>
      <c r="B933" s="3">
        <v>18.59</v>
      </c>
    </row>
    <row r="934" spans="1:2">
      <c r="A934" s="4">
        <v>32750</v>
      </c>
      <c r="B934" s="3">
        <v>18.850000000000001</v>
      </c>
    </row>
    <row r="935" spans="1:2">
      <c r="A935" s="4">
        <v>32751</v>
      </c>
      <c r="B935" s="3">
        <v>18.829999999999998</v>
      </c>
    </row>
    <row r="936" spans="1:2">
      <c r="A936" s="4">
        <v>32752</v>
      </c>
      <c r="B936" s="3">
        <v>18.88</v>
      </c>
    </row>
    <row r="937" spans="1:2">
      <c r="A937" s="4">
        <v>32755</v>
      </c>
      <c r="B937" s="3">
        <v>18.88</v>
      </c>
    </row>
    <row r="938" spans="1:2">
      <c r="A938" s="4">
        <v>32756</v>
      </c>
      <c r="B938" s="3">
        <v>19.079999999999998</v>
      </c>
    </row>
    <row r="939" spans="1:2">
      <c r="A939" s="4">
        <v>32757</v>
      </c>
      <c r="B939" s="3">
        <v>19.41</v>
      </c>
    </row>
    <row r="940" spans="1:2">
      <c r="A940" s="4">
        <v>32758</v>
      </c>
      <c r="B940" s="3">
        <v>19.399999999999999</v>
      </c>
    </row>
    <row r="941" spans="1:2">
      <c r="A941" s="4">
        <v>32759</v>
      </c>
      <c r="B941" s="3">
        <v>19.77</v>
      </c>
    </row>
    <row r="942" spans="1:2">
      <c r="A942" s="4">
        <v>32762</v>
      </c>
      <c r="B942" s="3">
        <v>19.77</v>
      </c>
    </row>
    <row r="943" spans="1:2">
      <c r="A943" s="4">
        <v>32763</v>
      </c>
      <c r="B943" s="3">
        <v>19.68</v>
      </c>
    </row>
    <row r="944" spans="1:2">
      <c r="A944" s="4">
        <v>32764</v>
      </c>
      <c r="B944" s="3">
        <v>19.87</v>
      </c>
    </row>
    <row r="945" spans="1:2">
      <c r="A945" s="4">
        <v>32765</v>
      </c>
      <c r="B945" s="3">
        <v>19.73</v>
      </c>
    </row>
    <row r="946" spans="1:2">
      <c r="A946" s="4">
        <v>32766</v>
      </c>
      <c r="B946" s="3">
        <v>19.96</v>
      </c>
    </row>
    <row r="947" spans="1:2">
      <c r="A947" s="4">
        <v>32769</v>
      </c>
      <c r="B947" s="3">
        <v>19.87</v>
      </c>
    </row>
    <row r="948" spans="1:2">
      <c r="A948" s="4">
        <v>32770</v>
      </c>
      <c r="B948" s="3">
        <v>19.68</v>
      </c>
    </row>
    <row r="949" spans="1:2">
      <c r="A949" s="4">
        <v>32771</v>
      </c>
      <c r="B949" s="3">
        <v>19.68</v>
      </c>
    </row>
    <row r="950" spans="1:2">
      <c r="A950" s="4">
        <v>32772</v>
      </c>
      <c r="B950" s="3">
        <v>19.690000000000001</v>
      </c>
    </row>
    <row r="951" spans="1:2">
      <c r="A951" s="4">
        <v>32773</v>
      </c>
      <c r="B951" s="3">
        <v>19.21</v>
      </c>
    </row>
    <row r="952" spans="1:2">
      <c r="A952" s="4">
        <v>32776</v>
      </c>
      <c r="B952" s="3">
        <v>19.489999999999998</v>
      </c>
    </row>
    <row r="953" spans="1:2">
      <c r="A953" s="4">
        <v>32777</v>
      </c>
      <c r="B953" s="3">
        <v>19.62</v>
      </c>
    </row>
    <row r="954" spans="1:2">
      <c r="A954" s="4">
        <v>32778</v>
      </c>
      <c r="B954" s="3">
        <v>19.61</v>
      </c>
    </row>
    <row r="955" spans="1:2">
      <c r="A955" s="4">
        <v>32779</v>
      </c>
      <c r="B955" s="3">
        <v>19.989999999999998</v>
      </c>
    </row>
    <row r="956" spans="1:2">
      <c r="A956" s="4">
        <v>32780</v>
      </c>
      <c r="B956" s="3">
        <v>20.149999999999999</v>
      </c>
    </row>
    <row r="957" spans="1:2">
      <c r="A957" s="4">
        <v>32783</v>
      </c>
      <c r="B957" s="3">
        <v>19.989999999999998</v>
      </c>
    </row>
    <row r="958" spans="1:2">
      <c r="A958" s="4">
        <v>32784</v>
      </c>
      <c r="B958" s="3">
        <v>20.149999999999999</v>
      </c>
    </row>
    <row r="959" spans="1:2">
      <c r="A959" s="4">
        <v>32785</v>
      </c>
      <c r="B959" s="3">
        <v>20.170000000000002</v>
      </c>
    </row>
    <row r="960" spans="1:2">
      <c r="A960" s="4">
        <v>32786</v>
      </c>
      <c r="B960" s="3">
        <v>19.95</v>
      </c>
    </row>
    <row r="961" spans="1:2">
      <c r="A961" s="4">
        <v>32787</v>
      </c>
      <c r="B961" s="3">
        <v>19.89</v>
      </c>
    </row>
    <row r="962" spans="1:2">
      <c r="A962" s="4">
        <v>32790</v>
      </c>
      <c r="B962" s="3">
        <v>20.04</v>
      </c>
    </row>
    <row r="963" spans="1:2">
      <c r="A963" s="4">
        <v>32791</v>
      </c>
      <c r="B963" s="3">
        <v>20.21</v>
      </c>
    </row>
    <row r="964" spans="1:2">
      <c r="A964" s="4">
        <v>32792</v>
      </c>
      <c r="B964" s="3">
        <v>20.18</v>
      </c>
    </row>
    <row r="965" spans="1:2">
      <c r="A965" s="4">
        <v>32793</v>
      </c>
      <c r="B965" s="3">
        <v>20.49</v>
      </c>
    </row>
    <row r="966" spans="1:2">
      <c r="A966" s="4">
        <v>32794</v>
      </c>
      <c r="B966" s="3">
        <v>20.91</v>
      </c>
    </row>
    <row r="967" spans="1:2">
      <c r="A967" s="4">
        <v>32797</v>
      </c>
      <c r="B967" s="3">
        <v>20.64</v>
      </c>
    </row>
    <row r="968" spans="1:2">
      <c r="A968" s="4">
        <v>32798</v>
      </c>
      <c r="B968" s="3">
        <v>20.68</v>
      </c>
    </row>
    <row r="969" spans="1:2">
      <c r="A969" s="4">
        <v>32799</v>
      </c>
      <c r="B969" s="3">
        <v>20.58</v>
      </c>
    </row>
    <row r="970" spans="1:2">
      <c r="A970" s="4">
        <v>32800</v>
      </c>
      <c r="B970" s="3">
        <v>20.37</v>
      </c>
    </row>
    <row r="971" spans="1:2">
      <c r="A971" s="4">
        <v>32801</v>
      </c>
      <c r="B971" s="3">
        <v>20.04</v>
      </c>
    </row>
    <row r="972" spans="1:2">
      <c r="A972" s="4">
        <v>32804</v>
      </c>
      <c r="B972" s="3">
        <v>19.670000000000002</v>
      </c>
    </row>
    <row r="973" spans="1:2">
      <c r="A973" s="4">
        <v>32805</v>
      </c>
      <c r="B973" s="3">
        <v>19.7</v>
      </c>
    </row>
    <row r="974" spans="1:2">
      <c r="A974" s="4">
        <v>32806</v>
      </c>
      <c r="B974" s="3">
        <v>19.600000000000001</v>
      </c>
    </row>
    <row r="975" spans="1:2">
      <c r="A975" s="4">
        <v>32807</v>
      </c>
      <c r="B975" s="3">
        <v>19.48</v>
      </c>
    </row>
    <row r="976" spans="1:2">
      <c r="A976" s="4">
        <v>32808</v>
      </c>
      <c r="B976" s="3">
        <v>19.79</v>
      </c>
    </row>
    <row r="977" spans="1:2">
      <c r="A977" s="4">
        <v>32811</v>
      </c>
      <c r="B977" s="3">
        <v>19.739999999999998</v>
      </c>
    </row>
    <row r="978" spans="1:2">
      <c r="A978" s="4">
        <v>32812</v>
      </c>
      <c r="B978" s="3">
        <v>19.88</v>
      </c>
    </row>
    <row r="979" spans="1:2">
      <c r="A979" s="4">
        <v>32813</v>
      </c>
      <c r="B979" s="3">
        <v>20.09</v>
      </c>
    </row>
    <row r="980" spans="1:2">
      <c r="A980" s="4">
        <v>32814</v>
      </c>
      <c r="B980" s="3">
        <v>20.010000000000002</v>
      </c>
    </row>
    <row r="981" spans="1:2">
      <c r="A981" s="4">
        <v>32815</v>
      </c>
      <c r="B981" s="3">
        <v>20.23</v>
      </c>
    </row>
    <row r="982" spans="1:2">
      <c r="A982" s="4">
        <v>32818</v>
      </c>
      <c r="B982" s="3">
        <v>20.059999999999999</v>
      </c>
    </row>
    <row r="983" spans="1:2">
      <c r="A983" s="4">
        <v>32819</v>
      </c>
      <c r="B983" s="3">
        <v>19.97</v>
      </c>
    </row>
    <row r="984" spans="1:2">
      <c r="A984" s="4">
        <v>32820</v>
      </c>
      <c r="B984" s="3">
        <v>19.97</v>
      </c>
    </row>
    <row r="985" spans="1:2">
      <c r="A985" s="4">
        <v>32821</v>
      </c>
      <c r="B985" s="3">
        <v>19.62</v>
      </c>
    </row>
    <row r="986" spans="1:2">
      <c r="A986" s="4">
        <v>32822</v>
      </c>
      <c r="B986" s="3">
        <v>19.84</v>
      </c>
    </row>
    <row r="987" spans="1:2">
      <c r="A987" s="4">
        <v>32825</v>
      </c>
      <c r="B987" s="3">
        <v>19.62</v>
      </c>
    </row>
    <row r="988" spans="1:2">
      <c r="A988" s="4">
        <v>32826</v>
      </c>
      <c r="B988" s="3">
        <v>19.579999999999998</v>
      </c>
    </row>
    <row r="989" spans="1:2">
      <c r="A989" s="4">
        <v>32827</v>
      </c>
      <c r="B989" s="3">
        <v>19.690000000000001</v>
      </c>
    </row>
    <row r="990" spans="1:2">
      <c r="A990" s="4">
        <v>32828</v>
      </c>
      <c r="B990" s="3">
        <v>19.88</v>
      </c>
    </row>
    <row r="991" spans="1:2">
      <c r="A991" s="4">
        <v>32829</v>
      </c>
      <c r="B991" s="3">
        <v>19.93</v>
      </c>
    </row>
    <row r="992" spans="1:2">
      <c r="A992" s="4">
        <v>32832</v>
      </c>
      <c r="B992" s="3">
        <v>20.13</v>
      </c>
    </row>
    <row r="993" spans="1:2">
      <c r="A993" s="4">
        <v>32833</v>
      </c>
      <c r="B993" s="3">
        <v>20.52</v>
      </c>
    </row>
    <row r="994" spans="1:2">
      <c r="A994" s="4">
        <v>32834</v>
      </c>
      <c r="B994" s="3">
        <v>19.8</v>
      </c>
    </row>
    <row r="995" spans="1:2">
      <c r="A995" s="4">
        <v>32835</v>
      </c>
      <c r="B995" s="3">
        <v>19.8</v>
      </c>
    </row>
    <row r="996" spans="1:2">
      <c r="A996" s="4">
        <v>32836</v>
      </c>
      <c r="B996" s="3">
        <v>19.84</v>
      </c>
    </row>
    <row r="997" spans="1:2">
      <c r="A997" s="4">
        <v>32839</v>
      </c>
      <c r="B997" s="3">
        <v>19.649999999999999</v>
      </c>
    </row>
    <row r="998" spans="1:2">
      <c r="A998" s="4">
        <v>32840</v>
      </c>
      <c r="B998" s="3">
        <v>19.329999999999998</v>
      </c>
    </row>
    <row r="999" spans="1:2">
      <c r="A999" s="4">
        <v>32841</v>
      </c>
      <c r="B999" s="3">
        <v>19.399999999999999</v>
      </c>
    </row>
    <row r="1000" spans="1:2">
      <c r="A1000" s="4">
        <v>32842</v>
      </c>
      <c r="B1000" s="3">
        <v>19.87</v>
      </c>
    </row>
    <row r="1001" spans="1:2">
      <c r="A1001" s="4">
        <v>32843</v>
      </c>
      <c r="B1001" s="3">
        <v>20.260000000000002</v>
      </c>
    </row>
    <row r="1002" spans="1:2">
      <c r="A1002" s="4">
        <v>32846</v>
      </c>
      <c r="B1002" s="3">
        <v>20.239999999999998</v>
      </c>
    </row>
    <row r="1003" spans="1:2">
      <c r="A1003" s="4">
        <v>32847</v>
      </c>
      <c r="B1003" s="3">
        <v>20.22</v>
      </c>
    </row>
    <row r="1004" spans="1:2">
      <c r="A1004" s="4">
        <v>32848</v>
      </c>
      <c r="B1004" s="3">
        <v>20.46</v>
      </c>
    </row>
    <row r="1005" spans="1:2">
      <c r="A1005" s="4">
        <v>32849</v>
      </c>
      <c r="B1005" s="3">
        <v>20.45</v>
      </c>
    </row>
    <row r="1006" spans="1:2">
      <c r="A1006" s="4">
        <v>32850</v>
      </c>
      <c r="B1006" s="3">
        <v>20.41</v>
      </c>
    </row>
    <row r="1007" spans="1:2">
      <c r="A1007" s="4">
        <v>32853</v>
      </c>
      <c r="B1007" s="3">
        <v>20.69</v>
      </c>
    </row>
    <row r="1008" spans="1:2">
      <c r="A1008" s="4">
        <v>32854</v>
      </c>
      <c r="B1008" s="3">
        <v>20.8</v>
      </c>
    </row>
    <row r="1009" spans="1:2">
      <c r="A1009" s="4">
        <v>32855</v>
      </c>
      <c r="B1009" s="3">
        <v>20.75</v>
      </c>
    </row>
    <row r="1010" spans="1:2">
      <c r="A1010" s="4">
        <v>32856</v>
      </c>
      <c r="B1010" s="3">
        <v>20.67</v>
      </c>
    </row>
    <row r="1011" spans="1:2">
      <c r="A1011" s="4">
        <v>32857</v>
      </c>
      <c r="B1011" s="3">
        <v>21.13</v>
      </c>
    </row>
    <row r="1012" spans="1:2">
      <c r="A1012" s="4">
        <v>32860</v>
      </c>
      <c r="B1012" s="3">
        <v>22.2</v>
      </c>
    </row>
    <row r="1013" spans="1:2">
      <c r="A1013" s="4">
        <v>32861</v>
      </c>
      <c r="B1013" s="3">
        <v>22.17</v>
      </c>
    </row>
    <row r="1014" spans="1:2">
      <c r="A1014" s="4">
        <v>32862</v>
      </c>
      <c r="B1014" s="3">
        <v>21.58</v>
      </c>
    </row>
    <row r="1015" spans="1:2">
      <c r="A1015" s="4">
        <v>32863</v>
      </c>
      <c r="B1015" s="3">
        <v>21.53</v>
      </c>
    </row>
    <row r="1016" spans="1:2">
      <c r="A1016" s="4">
        <v>32864</v>
      </c>
      <c r="B1016" s="3">
        <v>21.31</v>
      </c>
    </row>
    <row r="1017" spans="1:2">
      <c r="A1017" s="4">
        <v>32868</v>
      </c>
      <c r="B1017" s="3">
        <v>21.91</v>
      </c>
    </row>
    <row r="1018" spans="1:2">
      <c r="A1018" s="4">
        <v>32869</v>
      </c>
      <c r="B1018" s="3">
        <v>21.78</v>
      </c>
    </row>
    <row r="1019" spans="1:2">
      <c r="A1019" s="4">
        <v>32870</v>
      </c>
      <c r="B1019" s="3">
        <v>21.6</v>
      </c>
    </row>
    <row r="1020" spans="1:2">
      <c r="A1020" s="4">
        <v>32871</v>
      </c>
      <c r="B1020" s="3">
        <v>21.84</v>
      </c>
    </row>
    <row r="1021" spans="1:2">
      <c r="A1021" s="4">
        <v>32875</v>
      </c>
      <c r="B1021" s="3">
        <v>22.88</v>
      </c>
    </row>
    <row r="1022" spans="1:2">
      <c r="A1022" s="4">
        <v>32876</v>
      </c>
      <c r="B1022" s="3">
        <v>23.81</v>
      </c>
    </row>
    <row r="1023" spans="1:2">
      <c r="A1023" s="4">
        <v>32877</v>
      </c>
      <c r="B1023" s="3">
        <v>23.41</v>
      </c>
    </row>
    <row r="1024" spans="1:2">
      <c r="A1024" s="4">
        <v>32878</v>
      </c>
      <c r="B1024" s="3">
        <v>23.07</v>
      </c>
    </row>
    <row r="1025" spans="1:2">
      <c r="A1025" s="4">
        <v>32881</v>
      </c>
      <c r="B1025" s="3">
        <v>21.64</v>
      </c>
    </row>
    <row r="1026" spans="1:2">
      <c r="A1026" s="4">
        <v>32882</v>
      </c>
      <c r="B1026" s="3">
        <v>22.25</v>
      </c>
    </row>
    <row r="1027" spans="1:2">
      <c r="A1027" s="4">
        <v>32883</v>
      </c>
      <c r="B1027" s="3">
        <v>22.9</v>
      </c>
    </row>
    <row r="1028" spans="1:2">
      <c r="A1028" s="4">
        <v>32884</v>
      </c>
      <c r="B1028" s="3">
        <v>23.15</v>
      </c>
    </row>
    <row r="1029" spans="1:2">
      <c r="A1029" s="4">
        <v>32885</v>
      </c>
      <c r="B1029" s="3">
        <v>23.17</v>
      </c>
    </row>
    <row r="1030" spans="1:2">
      <c r="A1030" s="4">
        <v>32888</v>
      </c>
      <c r="B1030" s="3">
        <v>22.36</v>
      </c>
    </row>
    <row r="1031" spans="1:2">
      <c r="A1031" s="4">
        <v>32889</v>
      </c>
      <c r="B1031" s="3">
        <v>22.61</v>
      </c>
    </row>
    <row r="1032" spans="1:2">
      <c r="A1032" s="4">
        <v>32890</v>
      </c>
      <c r="B1032" s="3">
        <v>22.11</v>
      </c>
    </row>
    <row r="1033" spans="1:2">
      <c r="A1033" s="4">
        <v>32891</v>
      </c>
      <c r="B1033" s="3">
        <v>22.78</v>
      </c>
    </row>
    <row r="1034" spans="1:2">
      <c r="A1034" s="4">
        <v>32892</v>
      </c>
      <c r="B1034" s="3">
        <v>23.7</v>
      </c>
    </row>
    <row r="1035" spans="1:2">
      <c r="A1035" s="4">
        <v>32895</v>
      </c>
      <c r="B1035" s="3">
        <v>22.57</v>
      </c>
    </row>
    <row r="1036" spans="1:2">
      <c r="A1036" s="4">
        <v>32896</v>
      </c>
      <c r="B1036" s="3">
        <v>22.34</v>
      </c>
    </row>
    <row r="1037" spans="1:2">
      <c r="A1037" s="4">
        <v>32897</v>
      </c>
      <c r="B1037" s="3">
        <v>23.43</v>
      </c>
    </row>
    <row r="1038" spans="1:2">
      <c r="A1038" s="4">
        <v>32898</v>
      </c>
      <c r="B1038" s="3">
        <v>24.48</v>
      </c>
    </row>
    <row r="1039" spans="1:2">
      <c r="A1039" s="4">
        <v>32899</v>
      </c>
      <c r="B1039" s="3">
        <v>22.56</v>
      </c>
    </row>
    <row r="1040" spans="1:2">
      <c r="A1040" s="4">
        <v>32902</v>
      </c>
      <c r="B1040" s="3">
        <v>22.79</v>
      </c>
    </row>
    <row r="1041" spans="1:2">
      <c r="A1041" s="4">
        <v>32903</v>
      </c>
      <c r="B1041" s="3">
        <v>22.29</v>
      </c>
    </row>
    <row r="1042" spans="1:2">
      <c r="A1042" s="4">
        <v>32904</v>
      </c>
      <c r="B1042" s="3">
        <v>22.69</v>
      </c>
    </row>
    <row r="1043" spans="1:2">
      <c r="A1043" s="4">
        <v>32905</v>
      </c>
      <c r="B1043" s="3">
        <v>22.71</v>
      </c>
    </row>
    <row r="1044" spans="1:2">
      <c r="A1044" s="4">
        <v>32906</v>
      </c>
      <c r="B1044" s="3">
        <v>23.04</v>
      </c>
    </row>
    <row r="1045" spans="1:2">
      <c r="A1045" s="4">
        <v>32909</v>
      </c>
      <c r="B1045" s="3">
        <v>22.44</v>
      </c>
    </row>
    <row r="1046" spans="1:2">
      <c r="A1046" s="4">
        <v>32910</v>
      </c>
      <c r="B1046" s="3">
        <v>22.36</v>
      </c>
    </row>
    <row r="1047" spans="1:2">
      <c r="A1047" s="4">
        <v>32911</v>
      </c>
      <c r="B1047" s="3">
        <v>22.4</v>
      </c>
    </row>
    <row r="1048" spans="1:2">
      <c r="A1048" s="4">
        <v>32912</v>
      </c>
      <c r="B1048" s="3">
        <v>22.11</v>
      </c>
    </row>
    <row r="1049" spans="1:2">
      <c r="A1049" s="4">
        <v>32913</v>
      </c>
      <c r="B1049" s="3">
        <v>21.82</v>
      </c>
    </row>
    <row r="1050" spans="1:2">
      <c r="A1050" s="4">
        <v>32916</v>
      </c>
      <c r="B1050" s="3">
        <v>22.02</v>
      </c>
    </row>
    <row r="1051" spans="1:2">
      <c r="A1051" s="4">
        <v>32917</v>
      </c>
      <c r="B1051" s="3">
        <v>21.88</v>
      </c>
    </row>
    <row r="1052" spans="1:2">
      <c r="A1052" s="4">
        <v>32918</v>
      </c>
      <c r="B1052" s="3">
        <v>22.12</v>
      </c>
    </row>
    <row r="1053" spans="1:2">
      <c r="A1053" s="4">
        <v>32919</v>
      </c>
      <c r="B1053" s="3">
        <v>22.86</v>
      </c>
    </row>
    <row r="1054" spans="1:2">
      <c r="A1054" s="4">
        <v>32920</v>
      </c>
      <c r="B1054" s="3">
        <v>22.46</v>
      </c>
    </row>
    <row r="1055" spans="1:2">
      <c r="A1055" s="4">
        <v>32923</v>
      </c>
      <c r="B1055" s="3">
        <v>22.46</v>
      </c>
    </row>
    <row r="1056" spans="1:2">
      <c r="A1056" s="4">
        <v>32924</v>
      </c>
      <c r="B1056" s="3">
        <v>22.2</v>
      </c>
    </row>
    <row r="1057" spans="1:2">
      <c r="A1057" s="4">
        <v>32925</v>
      </c>
      <c r="B1057" s="3">
        <v>21.87</v>
      </c>
    </row>
    <row r="1058" spans="1:2">
      <c r="A1058" s="4">
        <v>32926</v>
      </c>
      <c r="B1058" s="3">
        <v>21.4</v>
      </c>
    </row>
    <row r="1059" spans="1:2">
      <c r="A1059" s="4">
        <v>32927</v>
      </c>
      <c r="B1059" s="3">
        <v>21.13</v>
      </c>
    </row>
    <row r="1060" spans="1:2">
      <c r="A1060" s="4">
        <v>32930</v>
      </c>
      <c r="B1060" s="3">
        <v>21.81</v>
      </c>
    </row>
    <row r="1061" spans="1:2">
      <c r="A1061" s="4">
        <v>32931</v>
      </c>
      <c r="B1061" s="3">
        <v>21.62</v>
      </c>
    </row>
    <row r="1062" spans="1:2">
      <c r="A1062" s="4">
        <v>32932</v>
      </c>
      <c r="B1062" s="3">
        <v>21.55</v>
      </c>
    </row>
    <row r="1063" spans="1:2">
      <c r="A1063" s="4">
        <v>32933</v>
      </c>
      <c r="B1063" s="3">
        <v>21.19</v>
      </c>
    </row>
    <row r="1064" spans="1:2">
      <c r="A1064" s="4">
        <v>32934</v>
      </c>
      <c r="B1064" s="3">
        <v>21.36</v>
      </c>
    </row>
    <row r="1065" spans="1:2">
      <c r="A1065" s="4">
        <v>32937</v>
      </c>
      <c r="B1065" s="3">
        <v>21.62</v>
      </c>
    </row>
    <row r="1066" spans="1:2">
      <c r="A1066" s="4">
        <v>32938</v>
      </c>
      <c r="B1066" s="3">
        <v>21.3</v>
      </c>
    </row>
    <row r="1067" spans="1:2">
      <c r="A1067" s="4">
        <v>32939</v>
      </c>
      <c r="B1067" s="3">
        <v>20.93</v>
      </c>
    </row>
    <row r="1068" spans="1:2">
      <c r="A1068" s="4">
        <v>32940</v>
      </c>
      <c r="B1068" s="3">
        <v>20.8</v>
      </c>
    </row>
    <row r="1069" spans="1:2">
      <c r="A1069" s="4">
        <v>32941</v>
      </c>
      <c r="B1069" s="3">
        <v>20.420000000000002</v>
      </c>
    </row>
    <row r="1070" spans="1:2">
      <c r="A1070" s="4">
        <v>32944</v>
      </c>
      <c r="B1070" s="3">
        <v>20.260000000000002</v>
      </c>
    </row>
    <row r="1071" spans="1:2">
      <c r="A1071" s="4">
        <v>32945</v>
      </c>
      <c r="B1071" s="3">
        <v>20.149999999999999</v>
      </c>
    </row>
    <row r="1072" spans="1:2">
      <c r="A1072" s="4">
        <v>32946</v>
      </c>
      <c r="B1072" s="3">
        <v>20.07</v>
      </c>
    </row>
    <row r="1073" spans="1:2">
      <c r="A1073" s="4">
        <v>32947</v>
      </c>
      <c r="B1073" s="3">
        <v>20.38</v>
      </c>
    </row>
    <row r="1074" spans="1:2">
      <c r="A1074" s="4">
        <v>32948</v>
      </c>
      <c r="B1074" s="3">
        <v>20.09</v>
      </c>
    </row>
    <row r="1075" spans="1:2">
      <c r="A1075" s="4">
        <v>32951</v>
      </c>
      <c r="B1075" s="3">
        <v>19.600000000000001</v>
      </c>
    </row>
    <row r="1076" spans="1:2">
      <c r="A1076" s="4">
        <v>32952</v>
      </c>
      <c r="B1076" s="3">
        <v>19.34</v>
      </c>
    </row>
    <row r="1077" spans="1:2">
      <c r="A1077" s="4">
        <v>32953</v>
      </c>
      <c r="B1077" s="3">
        <v>19.59</v>
      </c>
    </row>
    <row r="1078" spans="1:2">
      <c r="A1078" s="4">
        <v>32954</v>
      </c>
      <c r="B1078" s="3">
        <v>19.850000000000001</v>
      </c>
    </row>
    <row r="1079" spans="1:2">
      <c r="A1079" s="4">
        <v>32955</v>
      </c>
      <c r="B1079" s="3">
        <v>20.28</v>
      </c>
    </row>
    <row r="1080" spans="1:2">
      <c r="A1080" s="4">
        <v>32958</v>
      </c>
      <c r="B1080" s="3">
        <v>20.48</v>
      </c>
    </row>
    <row r="1081" spans="1:2">
      <c r="A1081" s="4">
        <v>32959</v>
      </c>
      <c r="B1081" s="3">
        <v>20.36</v>
      </c>
    </row>
    <row r="1082" spans="1:2">
      <c r="A1082" s="4">
        <v>32960</v>
      </c>
      <c r="B1082" s="3">
        <v>20.09</v>
      </c>
    </row>
    <row r="1083" spans="1:2">
      <c r="A1083" s="4">
        <v>32961</v>
      </c>
      <c r="B1083" s="3">
        <v>20.03</v>
      </c>
    </row>
    <row r="1084" spans="1:2">
      <c r="A1084" s="4">
        <v>32962</v>
      </c>
      <c r="B1084" s="3">
        <v>20.34</v>
      </c>
    </row>
    <row r="1085" spans="1:2">
      <c r="A1085" s="4">
        <v>32965</v>
      </c>
      <c r="B1085" s="3">
        <v>20.51</v>
      </c>
    </row>
    <row r="1086" spans="1:2">
      <c r="A1086" s="4">
        <v>32966</v>
      </c>
      <c r="B1086" s="3">
        <v>20.23</v>
      </c>
    </row>
    <row r="1087" spans="1:2">
      <c r="A1087" s="4">
        <v>32967</v>
      </c>
      <c r="B1087" s="3">
        <v>19.78</v>
      </c>
    </row>
    <row r="1088" spans="1:2">
      <c r="A1088" s="4">
        <v>32968</v>
      </c>
      <c r="B1088" s="3">
        <v>19.48</v>
      </c>
    </row>
    <row r="1089" spans="1:2">
      <c r="A1089" s="4">
        <v>32969</v>
      </c>
      <c r="B1089" s="3">
        <v>19.149999999999999</v>
      </c>
    </row>
    <row r="1090" spans="1:2">
      <c r="A1090" s="4">
        <v>32972</v>
      </c>
      <c r="B1090" s="3">
        <v>18.32</v>
      </c>
    </row>
    <row r="1091" spans="1:2">
      <c r="A1091" s="4">
        <v>32973</v>
      </c>
      <c r="B1091" s="3">
        <v>17.559999999999999</v>
      </c>
    </row>
    <row r="1092" spans="1:2">
      <c r="A1092" s="4">
        <v>32974</v>
      </c>
      <c r="B1092" s="3">
        <v>18.190000000000001</v>
      </c>
    </row>
    <row r="1093" spans="1:2">
      <c r="A1093" s="4">
        <v>32975</v>
      </c>
      <c r="B1093" s="3">
        <v>17.760000000000002</v>
      </c>
    </row>
    <row r="1094" spans="1:2">
      <c r="A1094" s="4">
        <v>32979</v>
      </c>
      <c r="B1094" s="3">
        <v>17.87</v>
      </c>
    </row>
    <row r="1095" spans="1:2">
      <c r="A1095" s="4">
        <v>32980</v>
      </c>
      <c r="B1095" s="3">
        <v>17.37</v>
      </c>
    </row>
    <row r="1096" spans="1:2">
      <c r="A1096" s="4">
        <v>32981</v>
      </c>
      <c r="B1096" s="3">
        <v>16.95</v>
      </c>
    </row>
    <row r="1097" spans="1:2">
      <c r="A1097" s="4">
        <v>32982</v>
      </c>
      <c r="B1097" s="3">
        <v>17.93</v>
      </c>
    </row>
    <row r="1098" spans="1:2">
      <c r="A1098" s="4">
        <v>32983</v>
      </c>
      <c r="B1098" s="3">
        <v>17.899999999999999</v>
      </c>
    </row>
    <row r="1099" spans="1:2">
      <c r="A1099" s="4">
        <v>32986</v>
      </c>
      <c r="B1099" s="3">
        <v>18.600000000000001</v>
      </c>
    </row>
    <row r="1100" spans="1:2">
      <c r="A1100" s="4">
        <v>32987</v>
      </c>
      <c r="B1100" s="3">
        <v>17.850000000000001</v>
      </c>
    </row>
    <row r="1101" spans="1:2">
      <c r="A1101" s="4">
        <v>32988</v>
      </c>
      <c r="B1101" s="3">
        <v>17.489999999999998</v>
      </c>
    </row>
    <row r="1102" spans="1:2">
      <c r="A1102" s="4">
        <v>32989</v>
      </c>
      <c r="B1102" s="3">
        <v>18.5</v>
      </c>
    </row>
    <row r="1103" spans="1:2">
      <c r="A1103" s="4">
        <v>32990</v>
      </c>
      <c r="B1103" s="3">
        <v>18.57</v>
      </c>
    </row>
    <row r="1104" spans="1:2">
      <c r="A1104" s="4">
        <v>32993</v>
      </c>
      <c r="B1104" s="3">
        <v>18.5</v>
      </c>
    </row>
    <row r="1105" spans="1:2">
      <c r="A1105" s="4">
        <v>32994</v>
      </c>
      <c r="B1105" s="3">
        <v>18.760000000000002</v>
      </c>
    </row>
    <row r="1106" spans="1:2">
      <c r="A1106" s="4">
        <v>32995</v>
      </c>
      <c r="B1106" s="3">
        <v>18.63</v>
      </c>
    </row>
    <row r="1107" spans="1:2">
      <c r="A1107" s="4">
        <v>32996</v>
      </c>
      <c r="B1107" s="3">
        <v>17.98</v>
      </c>
    </row>
    <row r="1108" spans="1:2">
      <c r="A1108" s="4">
        <v>32997</v>
      </c>
      <c r="B1108" s="3">
        <v>17.98</v>
      </c>
    </row>
    <row r="1109" spans="1:2">
      <c r="A1109" s="4">
        <v>33000</v>
      </c>
      <c r="B1109" s="3">
        <v>18.3</v>
      </c>
    </row>
    <row r="1110" spans="1:2">
      <c r="A1110" s="4">
        <v>33001</v>
      </c>
      <c r="B1110" s="3">
        <v>18.260000000000002</v>
      </c>
    </row>
    <row r="1111" spans="1:2">
      <c r="A1111" s="4">
        <v>33002</v>
      </c>
      <c r="B1111" s="3">
        <v>19.010000000000002</v>
      </c>
    </row>
    <row r="1112" spans="1:2">
      <c r="A1112" s="4">
        <v>33003</v>
      </c>
      <c r="B1112" s="3">
        <v>19.03</v>
      </c>
    </row>
    <row r="1113" spans="1:2">
      <c r="A1113" s="4">
        <v>33004</v>
      </c>
      <c r="B1113" s="3">
        <v>18.96</v>
      </c>
    </row>
    <row r="1114" spans="1:2">
      <c r="A1114" s="4">
        <v>33007</v>
      </c>
      <c r="B1114" s="3">
        <v>19.73</v>
      </c>
    </row>
    <row r="1115" spans="1:2">
      <c r="A1115" s="4">
        <v>33008</v>
      </c>
      <c r="B1115" s="3">
        <v>19.52</v>
      </c>
    </row>
    <row r="1116" spans="1:2">
      <c r="A1116" s="4">
        <v>33009</v>
      </c>
      <c r="B1116" s="3">
        <v>19.05</v>
      </c>
    </row>
    <row r="1117" spans="1:2">
      <c r="A1117" s="4">
        <v>33010</v>
      </c>
      <c r="B1117" s="3">
        <v>18.89</v>
      </c>
    </row>
    <row r="1118" spans="1:2">
      <c r="A1118" s="4">
        <v>33011</v>
      </c>
      <c r="B1118" s="3">
        <v>18.78</v>
      </c>
    </row>
    <row r="1119" spans="1:2">
      <c r="A1119" s="4">
        <v>33014</v>
      </c>
      <c r="B1119" s="3">
        <v>18.260000000000002</v>
      </c>
    </row>
    <row r="1120" spans="1:2">
      <c r="A1120" s="4">
        <v>33015</v>
      </c>
      <c r="B1120" s="3">
        <v>17.510000000000002</v>
      </c>
    </row>
    <row r="1121" spans="1:2">
      <c r="A1121" s="4">
        <v>33016</v>
      </c>
      <c r="B1121" s="3">
        <v>16.25</v>
      </c>
    </row>
    <row r="1122" spans="1:2">
      <c r="A1122" s="4">
        <v>33017</v>
      </c>
      <c r="B1122" s="3">
        <v>16.02</v>
      </c>
    </row>
    <row r="1123" spans="1:2">
      <c r="A1123" s="4">
        <v>33018</v>
      </c>
      <c r="B1123" s="3">
        <v>16.12</v>
      </c>
    </row>
    <row r="1124" spans="1:2">
      <c r="A1124" s="4">
        <v>33022</v>
      </c>
      <c r="B1124" s="3">
        <v>18</v>
      </c>
    </row>
    <row r="1125" spans="1:2">
      <c r="A1125" s="4">
        <v>33023</v>
      </c>
      <c r="B1125" s="3">
        <v>17.88</v>
      </c>
    </row>
    <row r="1126" spans="1:2">
      <c r="A1126" s="4">
        <v>33024</v>
      </c>
      <c r="B1126" s="3">
        <v>17.47</v>
      </c>
    </row>
    <row r="1127" spans="1:2">
      <c r="A1127" s="4">
        <v>33025</v>
      </c>
      <c r="B1127" s="3">
        <v>17.510000000000002</v>
      </c>
    </row>
    <row r="1128" spans="1:2">
      <c r="A1128" s="4">
        <v>33028</v>
      </c>
      <c r="B1128" s="3">
        <v>17.09</v>
      </c>
    </row>
    <row r="1129" spans="1:2">
      <c r="A1129" s="4">
        <v>33029</v>
      </c>
      <c r="B1129" s="3">
        <v>16.41</v>
      </c>
    </row>
    <row r="1130" spans="1:2">
      <c r="A1130" s="4">
        <v>33030</v>
      </c>
      <c r="B1130" s="3">
        <v>16.91</v>
      </c>
    </row>
    <row r="1131" spans="1:2">
      <c r="A1131" s="4">
        <v>33031</v>
      </c>
      <c r="B1131" s="3">
        <v>16.649999999999999</v>
      </c>
    </row>
    <row r="1132" spans="1:2">
      <c r="A1132" s="4">
        <v>33032</v>
      </c>
      <c r="B1132" s="3">
        <v>16.78</v>
      </c>
    </row>
    <row r="1133" spans="1:2">
      <c r="A1133" s="4">
        <v>33035</v>
      </c>
      <c r="B1133" s="3">
        <v>16.82</v>
      </c>
    </row>
    <row r="1134" spans="1:2">
      <c r="A1134" s="4">
        <v>33036</v>
      </c>
      <c r="B1134" s="3">
        <v>17.39</v>
      </c>
    </row>
    <row r="1135" spans="1:2">
      <c r="A1135" s="4">
        <v>33037</v>
      </c>
      <c r="B1135" s="3">
        <v>17.600000000000001</v>
      </c>
    </row>
    <row r="1136" spans="1:2">
      <c r="A1136" s="4">
        <v>33038</v>
      </c>
      <c r="B1136" s="3">
        <v>17.11</v>
      </c>
    </row>
    <row r="1137" spans="1:2">
      <c r="A1137" s="4">
        <v>33039</v>
      </c>
      <c r="B1137" s="3">
        <v>16.64</v>
      </c>
    </row>
    <row r="1138" spans="1:2">
      <c r="A1138" s="4">
        <v>33042</v>
      </c>
      <c r="B1138" s="3">
        <v>15.92</v>
      </c>
    </row>
    <row r="1139" spans="1:2">
      <c r="A1139" s="4">
        <v>33043</v>
      </c>
      <c r="B1139" s="3">
        <v>15.55</v>
      </c>
    </row>
    <row r="1140" spans="1:2">
      <c r="A1140" s="4">
        <v>33044</v>
      </c>
      <c r="B1140" s="3">
        <v>15.43</v>
      </c>
    </row>
    <row r="1141" spans="1:2">
      <c r="A1141" s="4">
        <v>33045</v>
      </c>
      <c r="B1141" s="3">
        <v>16.09</v>
      </c>
    </row>
    <row r="1142" spans="1:2">
      <c r="A1142" s="4">
        <v>33046</v>
      </c>
      <c r="B1142" s="3">
        <v>16.5</v>
      </c>
    </row>
    <row r="1143" spans="1:2">
      <c r="A1143" s="4">
        <v>33049</v>
      </c>
      <c r="B1143" s="3">
        <v>16.149999999999999</v>
      </c>
    </row>
    <row r="1144" spans="1:2">
      <c r="A1144" s="4">
        <v>33050</v>
      </c>
      <c r="B1144" s="3">
        <v>17.12</v>
      </c>
    </row>
    <row r="1145" spans="1:2">
      <c r="A1145" s="4">
        <v>33051</v>
      </c>
      <c r="B1145" s="3">
        <v>16.7</v>
      </c>
    </row>
    <row r="1146" spans="1:2">
      <c r="A1146" s="4">
        <v>33052</v>
      </c>
      <c r="B1146" s="3">
        <v>17.18</v>
      </c>
    </row>
    <row r="1147" spans="1:2">
      <c r="A1147" s="4">
        <v>33053</v>
      </c>
      <c r="B1147" s="3">
        <v>17.05</v>
      </c>
    </row>
    <row r="1148" spans="1:2">
      <c r="A1148" s="4">
        <v>33056</v>
      </c>
      <c r="B1148" s="3">
        <v>16.940000000000001</v>
      </c>
    </row>
    <row r="1149" spans="1:2">
      <c r="A1149" s="4">
        <v>33057</v>
      </c>
      <c r="B1149" s="3">
        <v>16.73</v>
      </c>
    </row>
    <row r="1150" spans="1:2">
      <c r="A1150" s="4">
        <v>33058</v>
      </c>
      <c r="B1150" s="3">
        <v>16.73</v>
      </c>
    </row>
    <row r="1151" spans="1:2">
      <c r="A1151" s="4">
        <v>33059</v>
      </c>
      <c r="B1151" s="3">
        <v>16.5</v>
      </c>
    </row>
    <row r="1152" spans="1:2">
      <c r="A1152" s="4">
        <v>33060</v>
      </c>
      <c r="B1152" s="3">
        <v>16.489999999999998</v>
      </c>
    </row>
    <row r="1153" spans="1:2">
      <c r="A1153" s="4">
        <v>33063</v>
      </c>
      <c r="B1153" s="3">
        <v>16.63</v>
      </c>
    </row>
    <row r="1154" spans="1:2">
      <c r="A1154" s="4">
        <v>33064</v>
      </c>
      <c r="B1154" s="3">
        <v>17.05</v>
      </c>
    </row>
    <row r="1155" spans="1:2">
      <c r="A1155" s="4">
        <v>33065</v>
      </c>
      <c r="B1155" s="3">
        <v>17.45</v>
      </c>
    </row>
    <row r="1156" spans="1:2">
      <c r="A1156" s="4">
        <v>33066</v>
      </c>
      <c r="B1156" s="3">
        <v>18.690000000000001</v>
      </c>
    </row>
    <row r="1157" spans="1:2">
      <c r="A1157" s="4">
        <v>33067</v>
      </c>
      <c r="B1157" s="3">
        <v>18.37</v>
      </c>
    </row>
    <row r="1158" spans="1:2">
      <c r="A1158" s="4">
        <v>33070</v>
      </c>
      <c r="B1158" s="3">
        <v>18.670000000000002</v>
      </c>
    </row>
    <row r="1159" spans="1:2">
      <c r="A1159" s="4">
        <v>33071</v>
      </c>
      <c r="B1159" s="3">
        <v>18.23</v>
      </c>
    </row>
    <row r="1160" spans="1:2">
      <c r="A1160" s="4">
        <v>33072</v>
      </c>
      <c r="B1160" s="3">
        <v>18.57</v>
      </c>
    </row>
    <row r="1161" spans="1:2">
      <c r="A1161" s="4">
        <v>33073</v>
      </c>
      <c r="B1161" s="3">
        <v>19.07</v>
      </c>
    </row>
    <row r="1162" spans="1:2">
      <c r="A1162" s="4">
        <v>33074</v>
      </c>
      <c r="B1162" s="3">
        <v>19.61</v>
      </c>
    </row>
    <row r="1163" spans="1:2">
      <c r="A1163" s="4">
        <v>33077</v>
      </c>
      <c r="B1163" s="3">
        <v>19.88</v>
      </c>
    </row>
    <row r="1164" spans="1:2">
      <c r="A1164" s="4">
        <v>33078</v>
      </c>
      <c r="B1164" s="3">
        <v>19.84</v>
      </c>
    </row>
    <row r="1165" spans="1:2">
      <c r="A1165" s="4">
        <v>33079</v>
      </c>
      <c r="B1165" s="3">
        <v>19.329999999999998</v>
      </c>
    </row>
    <row r="1166" spans="1:2">
      <c r="A1166" s="4">
        <v>33080</v>
      </c>
      <c r="B1166" s="3">
        <v>20.329999999999998</v>
      </c>
    </row>
    <row r="1167" spans="1:2">
      <c r="A1167" s="4">
        <v>33081</v>
      </c>
      <c r="B1167" s="3">
        <v>20.07</v>
      </c>
    </row>
    <row r="1168" spans="1:2">
      <c r="A1168" s="4">
        <v>33084</v>
      </c>
      <c r="B1168" s="3">
        <v>20.239999999999998</v>
      </c>
    </row>
    <row r="1169" spans="1:2">
      <c r="A1169" s="4">
        <v>33085</v>
      </c>
      <c r="B1169" s="3">
        <v>20.57</v>
      </c>
    </row>
    <row r="1170" spans="1:2">
      <c r="A1170" s="4">
        <v>33086</v>
      </c>
      <c r="B1170" s="3">
        <v>21.59</v>
      </c>
    </row>
    <row r="1171" spans="1:2">
      <c r="A1171" s="4">
        <v>33087</v>
      </c>
      <c r="B1171" s="3">
        <v>23.71</v>
      </c>
    </row>
    <row r="1172" spans="1:2">
      <c r="A1172" s="4">
        <v>33088</v>
      </c>
      <c r="B1172" s="3">
        <v>23.79</v>
      </c>
    </row>
    <row r="1173" spans="1:2">
      <c r="A1173" s="4">
        <v>33091</v>
      </c>
      <c r="B1173" s="3">
        <v>28.73</v>
      </c>
    </row>
    <row r="1174" spans="1:2">
      <c r="A1174" s="4">
        <v>33092</v>
      </c>
      <c r="B1174" s="3">
        <v>29.6</v>
      </c>
    </row>
    <row r="1175" spans="1:2">
      <c r="A1175" s="4">
        <v>33093</v>
      </c>
      <c r="B1175" s="3">
        <v>26.19</v>
      </c>
    </row>
    <row r="1176" spans="1:2">
      <c r="A1176" s="4">
        <v>33094</v>
      </c>
      <c r="B1176" s="3">
        <v>25.69</v>
      </c>
    </row>
    <row r="1177" spans="1:2">
      <c r="A1177" s="4">
        <v>33095</v>
      </c>
      <c r="B1177" s="3">
        <v>26.38</v>
      </c>
    </row>
    <row r="1178" spans="1:2">
      <c r="A1178" s="4">
        <v>33098</v>
      </c>
      <c r="B1178" s="3">
        <v>27.07</v>
      </c>
    </row>
    <row r="1179" spans="1:2">
      <c r="A1179" s="4">
        <v>33099</v>
      </c>
      <c r="B1179" s="3">
        <v>26.7</v>
      </c>
    </row>
    <row r="1180" spans="1:2">
      <c r="A1180" s="4">
        <v>33100</v>
      </c>
      <c r="B1180" s="3">
        <v>26.54</v>
      </c>
    </row>
    <row r="1181" spans="1:2">
      <c r="A1181" s="4">
        <v>33101</v>
      </c>
      <c r="B1181" s="3">
        <v>27.4</v>
      </c>
    </row>
    <row r="1182" spans="1:2">
      <c r="A1182" s="4">
        <v>33102</v>
      </c>
      <c r="B1182" s="3">
        <v>28.65</v>
      </c>
    </row>
    <row r="1183" spans="1:2">
      <c r="A1183" s="4">
        <v>33105</v>
      </c>
      <c r="B1183" s="3">
        <v>28.63</v>
      </c>
    </row>
    <row r="1184" spans="1:2">
      <c r="A1184" s="4">
        <v>33106</v>
      </c>
      <c r="B1184" s="3">
        <v>28.46</v>
      </c>
    </row>
    <row r="1185" spans="1:2">
      <c r="A1185" s="4">
        <v>33107</v>
      </c>
      <c r="B1185" s="3">
        <v>30.52</v>
      </c>
    </row>
    <row r="1186" spans="1:2">
      <c r="A1186" s="4">
        <v>33108</v>
      </c>
      <c r="B1186" s="3">
        <v>31.67</v>
      </c>
    </row>
    <row r="1187" spans="1:2">
      <c r="A1187" s="4">
        <v>33109</v>
      </c>
      <c r="B1187" s="3">
        <v>31.1</v>
      </c>
    </row>
    <row r="1188" spans="1:2">
      <c r="A1188" s="4">
        <v>33112</v>
      </c>
      <c r="B1188" s="3">
        <v>27.36</v>
      </c>
    </row>
    <row r="1189" spans="1:2">
      <c r="A1189" s="4">
        <v>33113</v>
      </c>
      <c r="B1189" s="3">
        <v>27.73</v>
      </c>
    </row>
    <row r="1190" spans="1:2">
      <c r="A1190" s="4">
        <v>33114</v>
      </c>
      <c r="B1190" s="3">
        <v>26.15</v>
      </c>
    </row>
    <row r="1191" spans="1:2">
      <c r="A1191" s="4">
        <v>33115</v>
      </c>
      <c r="B1191" s="3">
        <v>26.96</v>
      </c>
    </row>
    <row r="1192" spans="1:2">
      <c r="A1192" s="4">
        <v>33116</v>
      </c>
      <c r="B1192" s="3">
        <v>27.45</v>
      </c>
    </row>
    <row r="1193" spans="1:2">
      <c r="A1193" s="4">
        <v>33119</v>
      </c>
      <c r="B1193" s="3">
        <v>27.45</v>
      </c>
    </row>
    <row r="1194" spans="1:2">
      <c r="A1194" s="4">
        <v>33120</v>
      </c>
      <c r="B1194" s="3">
        <v>29.3</v>
      </c>
    </row>
    <row r="1195" spans="1:2">
      <c r="A1195" s="4">
        <v>33121</v>
      </c>
      <c r="B1195" s="3">
        <v>30</v>
      </c>
    </row>
    <row r="1196" spans="1:2">
      <c r="A1196" s="4">
        <v>33122</v>
      </c>
      <c r="B1196" s="3">
        <v>31.51</v>
      </c>
    </row>
    <row r="1197" spans="1:2">
      <c r="A1197" s="4">
        <v>33123</v>
      </c>
      <c r="B1197" s="3">
        <v>30.09</v>
      </c>
    </row>
    <row r="1198" spans="1:2">
      <c r="A1198" s="4">
        <v>33126</v>
      </c>
      <c r="B1198" s="3">
        <v>30.83</v>
      </c>
    </row>
    <row r="1199" spans="1:2">
      <c r="A1199" s="4">
        <v>33127</v>
      </c>
      <c r="B1199" s="3">
        <v>30.29</v>
      </c>
    </row>
    <row r="1200" spans="1:2">
      <c r="A1200" s="4">
        <v>33128</v>
      </c>
      <c r="B1200" s="3">
        <v>30.85</v>
      </c>
    </row>
    <row r="1201" spans="1:2">
      <c r="A1201" s="4">
        <v>33129</v>
      </c>
      <c r="B1201" s="3">
        <v>31.2</v>
      </c>
    </row>
    <row r="1202" spans="1:2">
      <c r="A1202" s="4">
        <v>33130</v>
      </c>
      <c r="B1202" s="3">
        <v>31.79</v>
      </c>
    </row>
    <row r="1203" spans="1:2">
      <c r="A1203" s="4">
        <v>33133</v>
      </c>
      <c r="B1203" s="3">
        <v>33.729999999999997</v>
      </c>
    </row>
    <row r="1204" spans="1:2">
      <c r="A1204" s="4">
        <v>33134</v>
      </c>
      <c r="B1204" s="3">
        <v>33.479999999999997</v>
      </c>
    </row>
    <row r="1205" spans="1:2">
      <c r="A1205" s="4">
        <v>33135</v>
      </c>
      <c r="B1205" s="3">
        <v>33.18</v>
      </c>
    </row>
    <row r="1206" spans="1:2">
      <c r="A1206" s="4">
        <v>33136</v>
      </c>
      <c r="B1206" s="3">
        <v>34.44</v>
      </c>
    </row>
    <row r="1207" spans="1:2">
      <c r="A1207" s="4">
        <v>33137</v>
      </c>
      <c r="B1207" s="3">
        <v>36.21</v>
      </c>
    </row>
    <row r="1208" spans="1:2">
      <c r="A1208" s="4">
        <v>33140</v>
      </c>
      <c r="B1208" s="3">
        <v>39.049999999999997</v>
      </c>
    </row>
    <row r="1209" spans="1:2">
      <c r="A1209" s="4">
        <v>33141</v>
      </c>
      <c r="B1209" s="3">
        <v>38.33</v>
      </c>
    </row>
    <row r="1210" spans="1:2">
      <c r="A1210" s="4">
        <v>33142</v>
      </c>
      <c r="B1210" s="3">
        <v>39.119999999999997</v>
      </c>
    </row>
    <row r="1211" spans="1:2">
      <c r="A1211" s="4">
        <v>33143</v>
      </c>
      <c r="B1211" s="3">
        <v>39.770000000000003</v>
      </c>
    </row>
    <row r="1212" spans="1:2">
      <c r="A1212" s="4">
        <v>33144</v>
      </c>
      <c r="B1212" s="3">
        <v>39.53</v>
      </c>
    </row>
    <row r="1213" spans="1:2">
      <c r="A1213" s="4">
        <v>33147</v>
      </c>
      <c r="B1213" s="3">
        <v>37.08</v>
      </c>
    </row>
    <row r="1214" spans="1:2">
      <c r="A1214" s="4">
        <v>33148</v>
      </c>
      <c r="B1214" s="3">
        <v>34.43</v>
      </c>
    </row>
    <row r="1215" spans="1:2">
      <c r="A1215" s="4">
        <v>33149</v>
      </c>
      <c r="B1215" s="3">
        <v>37.04</v>
      </c>
    </row>
    <row r="1216" spans="1:2">
      <c r="A1216" s="4">
        <v>33150</v>
      </c>
      <c r="B1216" s="3">
        <v>36.76</v>
      </c>
    </row>
    <row r="1217" spans="1:2">
      <c r="A1217" s="4">
        <v>33151</v>
      </c>
      <c r="B1217" s="3">
        <v>37.869999999999997</v>
      </c>
    </row>
    <row r="1218" spans="1:2">
      <c r="A1218" s="4">
        <v>33154</v>
      </c>
      <c r="B1218" s="3">
        <v>38.880000000000003</v>
      </c>
    </row>
    <row r="1219" spans="1:2">
      <c r="A1219" s="4">
        <v>33155</v>
      </c>
      <c r="B1219" s="3">
        <v>40.729999999999997</v>
      </c>
    </row>
    <row r="1220" spans="1:2">
      <c r="A1220" s="4">
        <v>33156</v>
      </c>
      <c r="B1220" s="3">
        <v>39.299999999999997</v>
      </c>
    </row>
    <row r="1221" spans="1:2">
      <c r="A1221" s="4">
        <v>33157</v>
      </c>
      <c r="B1221" s="3">
        <v>41.07</v>
      </c>
    </row>
    <row r="1222" spans="1:2">
      <c r="A1222" s="4">
        <v>33158</v>
      </c>
      <c r="B1222" s="3">
        <v>39.42</v>
      </c>
    </row>
    <row r="1223" spans="1:2">
      <c r="A1223" s="4">
        <v>33161</v>
      </c>
      <c r="B1223" s="3">
        <v>38</v>
      </c>
    </row>
    <row r="1224" spans="1:2">
      <c r="A1224" s="4">
        <v>33162</v>
      </c>
      <c r="B1224" s="3">
        <v>39.340000000000003</v>
      </c>
    </row>
    <row r="1225" spans="1:2">
      <c r="A1225" s="4">
        <v>33163</v>
      </c>
      <c r="B1225" s="3">
        <v>36.03</v>
      </c>
    </row>
    <row r="1226" spans="1:2">
      <c r="A1226" s="4">
        <v>33164</v>
      </c>
      <c r="B1226" s="3">
        <v>37.03</v>
      </c>
    </row>
    <row r="1227" spans="1:2">
      <c r="A1227" s="4">
        <v>33165</v>
      </c>
      <c r="B1227" s="3">
        <v>33.82</v>
      </c>
    </row>
    <row r="1228" spans="1:2">
      <c r="A1228" s="4">
        <v>33168</v>
      </c>
      <c r="B1228" s="3">
        <v>28.46</v>
      </c>
    </row>
    <row r="1229" spans="1:2">
      <c r="A1229" s="4">
        <v>33169</v>
      </c>
      <c r="B1229" s="3">
        <v>29.95</v>
      </c>
    </row>
    <row r="1230" spans="1:2">
      <c r="A1230" s="4">
        <v>33170</v>
      </c>
      <c r="B1230" s="3">
        <v>30.8</v>
      </c>
    </row>
    <row r="1231" spans="1:2">
      <c r="A1231" s="4">
        <v>33171</v>
      </c>
      <c r="B1231" s="3">
        <v>34.35</v>
      </c>
    </row>
    <row r="1232" spans="1:2">
      <c r="A1232" s="4">
        <v>33172</v>
      </c>
      <c r="B1232" s="3">
        <v>33.03</v>
      </c>
    </row>
    <row r="1233" spans="1:2">
      <c r="A1233" s="4">
        <v>33175</v>
      </c>
      <c r="B1233" s="3">
        <v>35.28</v>
      </c>
    </row>
    <row r="1234" spans="1:2">
      <c r="A1234" s="4">
        <v>33176</v>
      </c>
      <c r="B1234" s="3">
        <v>34.93</v>
      </c>
    </row>
    <row r="1235" spans="1:2">
      <c r="A1235" s="4">
        <v>33177</v>
      </c>
      <c r="B1235" s="3">
        <v>35.31</v>
      </c>
    </row>
    <row r="1236" spans="1:2">
      <c r="A1236" s="4">
        <v>33178</v>
      </c>
      <c r="B1236" s="3">
        <v>35.299999999999997</v>
      </c>
    </row>
    <row r="1237" spans="1:2">
      <c r="A1237" s="4">
        <v>33179</v>
      </c>
      <c r="B1237" s="3">
        <v>33.950000000000003</v>
      </c>
    </row>
    <row r="1238" spans="1:2">
      <c r="A1238" s="4">
        <v>33182</v>
      </c>
      <c r="B1238" s="3">
        <v>32.049999999999997</v>
      </c>
    </row>
    <row r="1239" spans="1:2">
      <c r="A1239" s="4">
        <v>33183</v>
      </c>
      <c r="B1239" s="3">
        <v>32.409999999999997</v>
      </c>
    </row>
    <row r="1240" spans="1:2">
      <c r="A1240" s="4">
        <v>33184</v>
      </c>
      <c r="B1240" s="3">
        <v>35.479999999999997</v>
      </c>
    </row>
    <row r="1241" spans="1:2">
      <c r="A1241" s="4">
        <v>33185</v>
      </c>
      <c r="B1241" s="3">
        <v>35.61</v>
      </c>
    </row>
    <row r="1242" spans="1:2">
      <c r="A1242" s="4">
        <v>33186</v>
      </c>
      <c r="B1242" s="3">
        <v>33.909999999999997</v>
      </c>
    </row>
    <row r="1243" spans="1:2">
      <c r="A1243" s="4">
        <v>33189</v>
      </c>
      <c r="B1243" s="3">
        <v>32.08</v>
      </c>
    </row>
    <row r="1244" spans="1:2">
      <c r="A1244" s="4">
        <v>33190</v>
      </c>
      <c r="B1244" s="3">
        <v>33.299999999999997</v>
      </c>
    </row>
    <row r="1245" spans="1:2">
      <c r="A1245" s="4">
        <v>33191</v>
      </c>
      <c r="B1245" s="3">
        <v>31.18</v>
      </c>
    </row>
    <row r="1246" spans="1:2">
      <c r="A1246" s="4">
        <v>33192</v>
      </c>
      <c r="B1246" s="3">
        <v>31.05</v>
      </c>
    </row>
    <row r="1247" spans="1:2">
      <c r="A1247" s="4">
        <v>33193</v>
      </c>
      <c r="B1247" s="3">
        <v>29.91</v>
      </c>
    </row>
    <row r="1248" spans="1:2">
      <c r="A1248" s="4">
        <v>33196</v>
      </c>
      <c r="B1248" s="3">
        <v>31.45</v>
      </c>
    </row>
    <row r="1249" spans="1:2">
      <c r="A1249" s="4">
        <v>33197</v>
      </c>
      <c r="B1249" s="3">
        <v>29.5</v>
      </c>
    </row>
    <row r="1250" spans="1:2">
      <c r="A1250" s="4">
        <v>33198</v>
      </c>
      <c r="B1250" s="3">
        <v>30.08</v>
      </c>
    </row>
    <row r="1251" spans="1:2">
      <c r="A1251" s="4">
        <v>33199</v>
      </c>
      <c r="B1251" s="3">
        <v>30.08</v>
      </c>
    </row>
    <row r="1252" spans="1:2">
      <c r="A1252" s="4">
        <v>33200</v>
      </c>
      <c r="B1252" s="3">
        <v>32.35</v>
      </c>
    </row>
    <row r="1253" spans="1:2">
      <c r="A1253" s="4">
        <v>33203</v>
      </c>
      <c r="B1253" s="3">
        <v>33.28</v>
      </c>
    </row>
    <row r="1254" spans="1:2">
      <c r="A1254" s="4">
        <v>33204</v>
      </c>
      <c r="B1254" s="3">
        <v>33.049999999999997</v>
      </c>
    </row>
    <row r="1255" spans="1:2">
      <c r="A1255" s="4">
        <v>33205</v>
      </c>
      <c r="B1255" s="3">
        <v>33.28</v>
      </c>
    </row>
    <row r="1256" spans="1:2">
      <c r="A1256" s="4">
        <v>33206</v>
      </c>
      <c r="B1256" s="3">
        <v>32.93</v>
      </c>
    </row>
    <row r="1257" spans="1:2">
      <c r="A1257" s="4">
        <v>33207</v>
      </c>
      <c r="B1257" s="3">
        <v>29.08</v>
      </c>
    </row>
    <row r="1258" spans="1:2">
      <c r="A1258" s="4">
        <v>33210</v>
      </c>
      <c r="B1258" s="3">
        <v>29.4</v>
      </c>
    </row>
    <row r="1259" spans="1:2">
      <c r="A1259" s="4">
        <v>33211</v>
      </c>
      <c r="B1259" s="3">
        <v>29.05</v>
      </c>
    </row>
    <row r="1260" spans="1:2">
      <c r="A1260" s="4">
        <v>33212</v>
      </c>
      <c r="B1260" s="3">
        <v>27.18</v>
      </c>
    </row>
    <row r="1261" spans="1:2">
      <c r="A1261" s="4">
        <v>33213</v>
      </c>
      <c r="B1261" s="3">
        <v>26.35</v>
      </c>
    </row>
    <row r="1262" spans="1:2">
      <c r="A1262" s="4">
        <v>33214</v>
      </c>
      <c r="B1262" s="3">
        <v>26.61</v>
      </c>
    </row>
    <row r="1263" spans="1:2">
      <c r="A1263" s="4">
        <v>33217</v>
      </c>
      <c r="B1263" s="3">
        <v>27.08</v>
      </c>
    </row>
    <row r="1264" spans="1:2">
      <c r="A1264" s="4">
        <v>33218</v>
      </c>
      <c r="B1264" s="3">
        <v>26.5</v>
      </c>
    </row>
    <row r="1265" spans="1:2">
      <c r="A1265" s="4">
        <v>33219</v>
      </c>
      <c r="B1265" s="3">
        <v>25.3</v>
      </c>
    </row>
    <row r="1266" spans="1:2">
      <c r="A1266" s="4">
        <v>33220</v>
      </c>
      <c r="B1266" s="3">
        <v>26.45</v>
      </c>
    </row>
    <row r="1267" spans="1:2">
      <c r="A1267" s="4">
        <v>33221</v>
      </c>
      <c r="B1267" s="3">
        <v>26.6</v>
      </c>
    </row>
    <row r="1268" spans="1:2">
      <c r="A1268" s="4">
        <v>33224</v>
      </c>
      <c r="B1268" s="3">
        <v>27.1</v>
      </c>
    </row>
    <row r="1269" spans="1:2">
      <c r="A1269" s="4">
        <v>33225</v>
      </c>
      <c r="B1269" s="3">
        <v>27.85</v>
      </c>
    </row>
    <row r="1270" spans="1:2">
      <c r="A1270" s="4">
        <v>33226</v>
      </c>
      <c r="B1270" s="3">
        <v>28.26</v>
      </c>
    </row>
    <row r="1271" spans="1:2">
      <c r="A1271" s="4">
        <v>33227</v>
      </c>
      <c r="B1271" s="3">
        <v>27.5</v>
      </c>
    </row>
    <row r="1272" spans="1:2">
      <c r="A1272" s="4">
        <v>33228</v>
      </c>
      <c r="B1272" s="3">
        <v>27.08</v>
      </c>
    </row>
    <row r="1273" spans="1:2">
      <c r="A1273" s="4">
        <v>33231</v>
      </c>
      <c r="B1273" s="3">
        <v>26.95</v>
      </c>
    </row>
    <row r="1274" spans="1:2">
      <c r="A1274" s="4">
        <v>33233</v>
      </c>
      <c r="B1274" s="3">
        <v>27.35</v>
      </c>
    </row>
    <row r="1275" spans="1:2">
      <c r="A1275" s="4">
        <v>33234</v>
      </c>
      <c r="B1275" s="3">
        <v>26.95</v>
      </c>
    </row>
    <row r="1276" spans="1:2">
      <c r="A1276" s="4">
        <v>33235</v>
      </c>
      <c r="B1276" s="3">
        <v>27.58</v>
      </c>
    </row>
    <row r="1277" spans="1:2">
      <c r="A1277" s="4">
        <v>33238</v>
      </c>
      <c r="B1277" s="3">
        <v>28.48</v>
      </c>
    </row>
    <row r="1278" spans="1:2">
      <c r="A1278" s="4">
        <v>33240</v>
      </c>
      <c r="B1278" s="3">
        <v>26.53</v>
      </c>
    </row>
    <row r="1279" spans="1:2">
      <c r="A1279" s="4">
        <v>33241</v>
      </c>
      <c r="B1279" s="3">
        <v>25.61</v>
      </c>
    </row>
    <row r="1280" spans="1:2">
      <c r="A1280" s="4">
        <v>33242</v>
      </c>
      <c r="B1280" s="3">
        <v>24.88</v>
      </c>
    </row>
    <row r="1281" spans="1:2">
      <c r="A1281" s="4">
        <v>33245</v>
      </c>
      <c r="B1281" s="3">
        <v>27.25</v>
      </c>
    </row>
    <row r="1282" spans="1:2">
      <c r="A1282" s="4">
        <v>33246</v>
      </c>
      <c r="B1282" s="3">
        <v>27.5</v>
      </c>
    </row>
    <row r="1283" spans="1:2">
      <c r="A1283" s="4">
        <v>33247</v>
      </c>
      <c r="B1283" s="3">
        <v>28</v>
      </c>
    </row>
    <row r="1284" spans="1:2">
      <c r="A1284" s="4">
        <v>33248</v>
      </c>
      <c r="B1284" s="3">
        <v>27.55</v>
      </c>
    </row>
    <row r="1285" spans="1:2">
      <c r="A1285" s="4">
        <v>33249</v>
      </c>
      <c r="B1285" s="3">
        <v>27.43</v>
      </c>
    </row>
    <row r="1286" spans="1:2">
      <c r="A1286" s="4">
        <v>33252</v>
      </c>
      <c r="B1286" s="3">
        <v>30.13</v>
      </c>
    </row>
    <row r="1287" spans="1:2">
      <c r="A1287" s="4">
        <v>33253</v>
      </c>
      <c r="B1287" s="3">
        <v>30.35</v>
      </c>
    </row>
    <row r="1288" spans="1:2">
      <c r="A1288" s="4">
        <v>33254</v>
      </c>
      <c r="B1288" s="3">
        <v>32.25</v>
      </c>
    </row>
    <row r="1289" spans="1:2">
      <c r="A1289" s="4">
        <v>33255</v>
      </c>
      <c r="B1289" s="3">
        <v>21.48</v>
      </c>
    </row>
    <row r="1290" spans="1:2">
      <c r="A1290" s="4">
        <v>33256</v>
      </c>
      <c r="B1290" s="3">
        <v>20.05</v>
      </c>
    </row>
    <row r="1291" spans="1:2">
      <c r="A1291" s="4">
        <v>33259</v>
      </c>
      <c r="B1291" s="3">
        <v>21.63</v>
      </c>
    </row>
    <row r="1292" spans="1:2">
      <c r="A1292" s="4">
        <v>33260</v>
      </c>
      <c r="B1292" s="3">
        <v>24.91</v>
      </c>
    </row>
    <row r="1293" spans="1:2">
      <c r="A1293" s="4">
        <v>33261</v>
      </c>
      <c r="B1293" s="3">
        <v>24.08</v>
      </c>
    </row>
    <row r="1294" spans="1:2">
      <c r="A1294" s="4">
        <v>33262</v>
      </c>
      <c r="B1294" s="3">
        <v>25.63</v>
      </c>
    </row>
    <row r="1295" spans="1:2">
      <c r="A1295" s="4">
        <v>33263</v>
      </c>
      <c r="B1295" s="3">
        <v>24.15</v>
      </c>
    </row>
    <row r="1296" spans="1:2">
      <c r="A1296" s="4">
        <v>33266</v>
      </c>
      <c r="B1296" s="3">
        <v>21.03</v>
      </c>
    </row>
    <row r="1297" spans="1:2">
      <c r="A1297" s="4">
        <v>33267</v>
      </c>
      <c r="B1297" s="3">
        <v>21.73</v>
      </c>
    </row>
    <row r="1298" spans="1:2">
      <c r="A1298" s="4">
        <v>33268</v>
      </c>
      <c r="B1298" s="3">
        <v>21.08</v>
      </c>
    </row>
    <row r="1299" spans="1:2">
      <c r="A1299" s="4">
        <v>33269</v>
      </c>
      <c r="B1299" s="3">
        <v>21.9</v>
      </c>
    </row>
    <row r="1300" spans="1:2">
      <c r="A1300" s="4">
        <v>33270</v>
      </c>
      <c r="B1300" s="3">
        <v>21.33</v>
      </c>
    </row>
    <row r="1301" spans="1:2">
      <c r="A1301" s="4">
        <v>33273</v>
      </c>
      <c r="B1301" s="3">
        <v>21.23</v>
      </c>
    </row>
    <row r="1302" spans="1:2">
      <c r="A1302" s="4">
        <v>33274</v>
      </c>
      <c r="B1302" s="3">
        <v>20.7</v>
      </c>
    </row>
    <row r="1303" spans="1:2">
      <c r="A1303" s="4">
        <v>33275</v>
      </c>
      <c r="B1303" s="3">
        <v>21.48</v>
      </c>
    </row>
    <row r="1304" spans="1:2">
      <c r="A1304" s="4">
        <v>33276</v>
      </c>
      <c r="B1304" s="3">
        <v>21.33</v>
      </c>
    </row>
    <row r="1305" spans="1:2">
      <c r="A1305" s="4">
        <v>33277</v>
      </c>
      <c r="B1305" s="3">
        <v>21.78</v>
      </c>
    </row>
    <row r="1306" spans="1:2">
      <c r="A1306" s="4">
        <v>33280</v>
      </c>
      <c r="B1306" s="3">
        <v>22.44</v>
      </c>
    </row>
    <row r="1307" spans="1:2">
      <c r="A1307" s="4">
        <v>33281</v>
      </c>
      <c r="B1307" s="3">
        <v>22.78</v>
      </c>
    </row>
    <row r="1308" spans="1:2">
      <c r="A1308" s="4">
        <v>33282</v>
      </c>
      <c r="B1308" s="3">
        <v>22.38</v>
      </c>
    </row>
    <row r="1309" spans="1:2">
      <c r="A1309" s="4">
        <v>33283</v>
      </c>
      <c r="B1309" s="3">
        <v>22.25</v>
      </c>
    </row>
    <row r="1310" spans="1:2">
      <c r="A1310" s="4">
        <v>33284</v>
      </c>
      <c r="B1310" s="3">
        <v>20.73</v>
      </c>
    </row>
    <row r="1311" spans="1:2">
      <c r="A1311" s="4">
        <v>33287</v>
      </c>
      <c r="B1311" s="3">
        <v>20.73</v>
      </c>
    </row>
    <row r="1312" spans="1:2">
      <c r="A1312" s="4">
        <v>33288</v>
      </c>
      <c r="B1312" s="3">
        <v>20.079999999999998</v>
      </c>
    </row>
    <row r="1313" spans="1:2">
      <c r="A1313" s="4">
        <v>33289</v>
      </c>
      <c r="B1313" s="3">
        <v>20.18</v>
      </c>
    </row>
    <row r="1314" spans="1:2">
      <c r="A1314" s="4">
        <v>33290</v>
      </c>
      <c r="B1314" s="3">
        <v>18.48</v>
      </c>
    </row>
    <row r="1315" spans="1:2">
      <c r="A1315" s="4">
        <v>33291</v>
      </c>
      <c r="B1315" s="3">
        <v>17.43</v>
      </c>
    </row>
    <row r="1316" spans="1:2">
      <c r="A1316" s="4">
        <v>33294</v>
      </c>
      <c r="B1316" s="3">
        <v>17.43</v>
      </c>
    </row>
    <row r="1317" spans="1:2">
      <c r="A1317" s="4">
        <v>33295</v>
      </c>
      <c r="B1317" s="3">
        <v>18.48</v>
      </c>
    </row>
    <row r="1318" spans="1:2">
      <c r="A1318" s="4">
        <v>33296</v>
      </c>
      <c r="B1318" s="3">
        <v>19.03</v>
      </c>
    </row>
    <row r="1319" spans="1:2">
      <c r="A1319" s="4">
        <v>33297</v>
      </c>
      <c r="B1319" s="3">
        <v>19.28</v>
      </c>
    </row>
    <row r="1320" spans="1:2">
      <c r="A1320" s="4">
        <v>33298</v>
      </c>
      <c r="B1320" s="3">
        <v>19.43</v>
      </c>
    </row>
    <row r="1321" spans="1:2">
      <c r="A1321" s="4">
        <v>33301</v>
      </c>
      <c r="B1321" s="3">
        <v>20.329999999999998</v>
      </c>
    </row>
    <row r="1322" spans="1:2">
      <c r="A1322" s="4">
        <v>33302</v>
      </c>
      <c r="B1322" s="3">
        <v>20.5</v>
      </c>
    </row>
    <row r="1323" spans="1:2">
      <c r="A1323" s="4">
        <v>33303</v>
      </c>
      <c r="B1323" s="3">
        <v>19.78</v>
      </c>
    </row>
    <row r="1324" spans="1:2">
      <c r="A1324" s="4">
        <v>33304</v>
      </c>
      <c r="B1324" s="3">
        <v>19.329999999999998</v>
      </c>
    </row>
    <row r="1325" spans="1:2">
      <c r="A1325" s="4">
        <v>33305</v>
      </c>
      <c r="B1325" s="3">
        <v>19.34</v>
      </c>
    </row>
    <row r="1326" spans="1:2">
      <c r="A1326" s="4">
        <v>33308</v>
      </c>
      <c r="B1326" s="3">
        <v>19</v>
      </c>
    </row>
    <row r="1327" spans="1:2">
      <c r="A1327" s="4">
        <v>33309</v>
      </c>
      <c r="B1327" s="3">
        <v>20.059999999999999</v>
      </c>
    </row>
    <row r="1328" spans="1:2">
      <c r="A1328" s="4">
        <v>33310</v>
      </c>
      <c r="B1328" s="3">
        <v>20.48</v>
      </c>
    </row>
    <row r="1329" spans="1:2">
      <c r="A1329" s="4">
        <v>33311</v>
      </c>
      <c r="B1329" s="3">
        <v>20.05</v>
      </c>
    </row>
    <row r="1330" spans="1:2">
      <c r="A1330" s="4">
        <v>33312</v>
      </c>
      <c r="B1330" s="3">
        <v>19.88</v>
      </c>
    </row>
    <row r="1331" spans="1:2">
      <c r="A1331" s="4">
        <v>33315</v>
      </c>
      <c r="B1331" s="3">
        <v>19.78</v>
      </c>
    </row>
    <row r="1332" spans="1:2">
      <c r="A1332" s="4">
        <v>33316</v>
      </c>
      <c r="B1332" s="3">
        <v>20.68</v>
      </c>
    </row>
    <row r="1333" spans="1:2">
      <c r="A1333" s="4">
        <v>33317</v>
      </c>
      <c r="B1333" s="3">
        <v>20.399999999999999</v>
      </c>
    </row>
    <row r="1334" spans="1:2">
      <c r="A1334" s="4">
        <v>33318</v>
      </c>
      <c r="B1334" s="3">
        <v>20.78</v>
      </c>
    </row>
    <row r="1335" spans="1:2">
      <c r="A1335" s="4">
        <v>33319</v>
      </c>
      <c r="B1335" s="3">
        <v>19.88</v>
      </c>
    </row>
    <row r="1336" spans="1:2">
      <c r="A1336" s="4">
        <v>33322</v>
      </c>
      <c r="B1336" s="3">
        <v>19.47</v>
      </c>
    </row>
    <row r="1337" spans="1:2">
      <c r="A1337" s="4">
        <v>33323</v>
      </c>
      <c r="B1337" s="3">
        <v>19.78</v>
      </c>
    </row>
    <row r="1338" spans="1:2">
      <c r="A1338" s="4">
        <v>33324</v>
      </c>
      <c r="B1338" s="3">
        <v>19.45</v>
      </c>
    </row>
    <row r="1339" spans="1:2">
      <c r="A1339" s="4">
        <v>33325</v>
      </c>
      <c r="B1339" s="3">
        <v>19.63</v>
      </c>
    </row>
    <row r="1340" spans="1:2">
      <c r="A1340" s="4">
        <v>33329</v>
      </c>
      <c r="B1340" s="3">
        <v>19.28</v>
      </c>
    </row>
    <row r="1341" spans="1:2">
      <c r="A1341" s="4">
        <v>33330</v>
      </c>
      <c r="B1341" s="3">
        <v>19.38</v>
      </c>
    </row>
    <row r="1342" spans="1:2">
      <c r="A1342" s="4">
        <v>33331</v>
      </c>
      <c r="B1342" s="3">
        <v>19.48</v>
      </c>
    </row>
    <row r="1343" spans="1:2">
      <c r="A1343" s="4">
        <v>33332</v>
      </c>
      <c r="B1343" s="3">
        <v>19.98</v>
      </c>
    </row>
    <row r="1344" spans="1:2">
      <c r="A1344" s="4">
        <v>33333</v>
      </c>
      <c r="B1344" s="3">
        <v>20.03</v>
      </c>
    </row>
    <row r="1345" spans="1:2">
      <c r="A1345" s="4">
        <v>33336</v>
      </c>
      <c r="B1345" s="3">
        <v>20.28</v>
      </c>
    </row>
    <row r="1346" spans="1:2">
      <c r="A1346" s="4">
        <v>33337</v>
      </c>
      <c r="B1346" s="3">
        <v>20.58</v>
      </c>
    </row>
    <row r="1347" spans="1:2">
      <c r="A1347" s="4">
        <v>33338</v>
      </c>
      <c r="B1347" s="3">
        <v>21.08</v>
      </c>
    </row>
    <row r="1348" spans="1:2">
      <c r="A1348" s="4">
        <v>33339</v>
      </c>
      <c r="B1348" s="3">
        <v>20.98</v>
      </c>
    </row>
    <row r="1349" spans="1:2">
      <c r="A1349" s="4">
        <v>33340</v>
      </c>
      <c r="B1349" s="3">
        <v>21.54</v>
      </c>
    </row>
    <row r="1350" spans="1:2">
      <c r="A1350" s="4">
        <v>33343</v>
      </c>
      <c r="B1350" s="3">
        <v>21.85</v>
      </c>
    </row>
    <row r="1351" spans="1:2">
      <c r="A1351" s="4">
        <v>33344</v>
      </c>
      <c r="B1351" s="3">
        <v>21.6</v>
      </c>
    </row>
    <row r="1352" spans="1:2">
      <c r="A1352" s="4">
        <v>33345</v>
      </c>
      <c r="B1352" s="3">
        <v>21.73</v>
      </c>
    </row>
    <row r="1353" spans="1:2">
      <c r="A1353" s="4">
        <v>33346</v>
      </c>
      <c r="B1353" s="3">
        <v>21.08</v>
      </c>
    </row>
    <row r="1354" spans="1:2">
      <c r="A1354" s="4">
        <v>33347</v>
      </c>
      <c r="B1354" s="3">
        <v>21.16</v>
      </c>
    </row>
    <row r="1355" spans="1:2">
      <c r="A1355" s="4">
        <v>33350</v>
      </c>
      <c r="B1355" s="3">
        <v>21.68</v>
      </c>
    </row>
    <row r="1356" spans="1:2">
      <c r="A1356" s="4">
        <v>33351</v>
      </c>
      <c r="B1356" s="3">
        <v>21.03</v>
      </c>
    </row>
    <row r="1357" spans="1:2">
      <c r="A1357" s="4">
        <v>33352</v>
      </c>
      <c r="B1357" s="3">
        <v>21</v>
      </c>
    </row>
    <row r="1358" spans="1:2">
      <c r="A1358" s="4">
        <v>33353</v>
      </c>
      <c r="B1358" s="3">
        <v>20.95</v>
      </c>
    </row>
    <row r="1359" spans="1:2">
      <c r="A1359" s="4">
        <v>33354</v>
      </c>
      <c r="B1359" s="3">
        <v>21.28</v>
      </c>
    </row>
    <row r="1360" spans="1:2">
      <c r="A1360" s="4">
        <v>33357</v>
      </c>
      <c r="B1360" s="3">
        <v>21.3</v>
      </c>
    </row>
    <row r="1361" spans="1:2">
      <c r="A1361" s="4">
        <v>33358</v>
      </c>
      <c r="B1361" s="3">
        <v>20.99</v>
      </c>
    </row>
    <row r="1362" spans="1:2">
      <c r="A1362" s="4">
        <v>33359</v>
      </c>
      <c r="B1362" s="3">
        <v>21.28</v>
      </c>
    </row>
    <row r="1363" spans="1:2">
      <c r="A1363" s="4">
        <v>33360</v>
      </c>
      <c r="B1363" s="3">
        <v>21.17</v>
      </c>
    </row>
    <row r="1364" spans="1:2">
      <c r="A1364" s="4">
        <v>33361</v>
      </c>
      <c r="B1364" s="3">
        <v>21.43</v>
      </c>
    </row>
    <row r="1365" spans="1:2">
      <c r="A1365" s="4">
        <v>33364</v>
      </c>
      <c r="B1365" s="3">
        <v>21.73</v>
      </c>
    </row>
    <row r="1366" spans="1:2">
      <c r="A1366" s="4">
        <v>33365</v>
      </c>
      <c r="B1366" s="3">
        <v>21.72</v>
      </c>
    </row>
    <row r="1367" spans="1:2">
      <c r="A1367" s="4">
        <v>33366</v>
      </c>
      <c r="B1367" s="3">
        <v>21.83</v>
      </c>
    </row>
    <row r="1368" spans="1:2">
      <c r="A1368" s="4">
        <v>33367</v>
      </c>
      <c r="B1368" s="3">
        <v>21.92</v>
      </c>
    </row>
    <row r="1369" spans="1:2">
      <c r="A1369" s="4">
        <v>33368</v>
      </c>
      <c r="B1369" s="3">
        <v>21.25</v>
      </c>
    </row>
    <row r="1370" spans="1:2">
      <c r="A1370" s="4">
        <v>33371</v>
      </c>
      <c r="B1370" s="3">
        <v>20.89</v>
      </c>
    </row>
    <row r="1371" spans="1:2">
      <c r="A1371" s="4">
        <v>33372</v>
      </c>
      <c r="B1371" s="3">
        <v>20.73</v>
      </c>
    </row>
    <row r="1372" spans="1:2">
      <c r="A1372" s="4">
        <v>33373</v>
      </c>
      <c r="B1372" s="3">
        <v>21.04</v>
      </c>
    </row>
    <row r="1373" spans="1:2">
      <c r="A1373" s="4">
        <v>33374</v>
      </c>
      <c r="B1373" s="3">
        <v>20.91</v>
      </c>
    </row>
    <row r="1374" spans="1:2">
      <c r="A1374" s="4">
        <v>33375</v>
      </c>
      <c r="B1374" s="3">
        <v>21.19</v>
      </c>
    </row>
    <row r="1375" spans="1:2">
      <c r="A1375" s="4">
        <v>33378</v>
      </c>
      <c r="B1375" s="3">
        <v>21.39</v>
      </c>
    </row>
    <row r="1376" spans="1:2">
      <c r="A1376" s="4">
        <v>33379</v>
      </c>
      <c r="B1376" s="3">
        <v>20.95</v>
      </c>
    </row>
    <row r="1377" spans="1:2">
      <c r="A1377" s="4">
        <v>33380</v>
      </c>
      <c r="B1377" s="3">
        <v>20.85</v>
      </c>
    </row>
    <row r="1378" spans="1:2">
      <c r="A1378" s="4">
        <v>33381</v>
      </c>
      <c r="B1378" s="3">
        <v>20.95</v>
      </c>
    </row>
    <row r="1379" spans="1:2">
      <c r="A1379" s="4">
        <v>33382</v>
      </c>
      <c r="B1379" s="3">
        <v>21.04</v>
      </c>
    </row>
    <row r="1380" spans="1:2">
      <c r="A1380" s="4">
        <v>33386</v>
      </c>
      <c r="B1380" s="3">
        <v>21.34</v>
      </c>
    </row>
    <row r="1381" spans="1:2">
      <c r="A1381" s="4">
        <v>33387</v>
      </c>
      <c r="B1381" s="3">
        <v>21.04</v>
      </c>
    </row>
    <row r="1382" spans="1:2">
      <c r="A1382" s="4">
        <v>33388</v>
      </c>
      <c r="B1382" s="3">
        <v>21.3</v>
      </c>
    </row>
    <row r="1383" spans="1:2">
      <c r="A1383" s="4">
        <v>33389</v>
      </c>
      <c r="B1383" s="3">
        <v>21.16</v>
      </c>
    </row>
    <row r="1384" spans="1:2">
      <c r="A1384" s="4">
        <v>33392</v>
      </c>
      <c r="B1384" s="3">
        <v>21.16</v>
      </c>
    </row>
    <row r="1385" spans="1:2">
      <c r="A1385" s="4">
        <v>33393</v>
      </c>
      <c r="B1385" s="3">
        <v>20.9</v>
      </c>
    </row>
    <row r="1386" spans="1:2">
      <c r="A1386" s="4">
        <v>33394</v>
      </c>
      <c r="B1386" s="3">
        <v>20.45</v>
      </c>
    </row>
    <row r="1387" spans="1:2">
      <c r="A1387" s="4">
        <v>33395</v>
      </c>
      <c r="B1387" s="3">
        <v>20.38</v>
      </c>
    </row>
    <row r="1388" spans="1:2">
      <c r="A1388" s="4">
        <v>33396</v>
      </c>
      <c r="B1388" s="3">
        <v>20.28</v>
      </c>
    </row>
    <row r="1389" spans="1:2">
      <c r="A1389" s="4">
        <v>33399</v>
      </c>
      <c r="B1389" s="3">
        <v>19.84</v>
      </c>
    </row>
    <row r="1390" spans="1:2">
      <c r="A1390" s="4">
        <v>33400</v>
      </c>
      <c r="B1390" s="3">
        <v>19.850000000000001</v>
      </c>
    </row>
    <row r="1391" spans="1:2">
      <c r="A1391" s="4">
        <v>33401</v>
      </c>
      <c r="B1391" s="3">
        <v>20.079999999999998</v>
      </c>
    </row>
    <row r="1392" spans="1:2">
      <c r="A1392" s="4">
        <v>33402</v>
      </c>
      <c r="B1392" s="3">
        <v>19.71</v>
      </c>
    </row>
    <row r="1393" spans="1:2">
      <c r="A1393" s="4">
        <v>33403</v>
      </c>
      <c r="B1393" s="3">
        <v>19.7</v>
      </c>
    </row>
    <row r="1394" spans="1:2">
      <c r="A1394" s="4">
        <v>33406</v>
      </c>
      <c r="B1394" s="3">
        <v>19.97</v>
      </c>
    </row>
    <row r="1395" spans="1:2">
      <c r="A1395" s="4">
        <v>33407</v>
      </c>
      <c r="B1395" s="3">
        <v>20.11</v>
      </c>
    </row>
    <row r="1396" spans="1:2">
      <c r="A1396" s="4">
        <v>33408</v>
      </c>
      <c r="B1396" s="3">
        <v>19.989999999999998</v>
      </c>
    </row>
    <row r="1397" spans="1:2">
      <c r="A1397" s="4">
        <v>33409</v>
      </c>
      <c r="B1397" s="3">
        <v>20.22</v>
      </c>
    </row>
    <row r="1398" spans="1:2">
      <c r="A1398" s="4">
        <v>33410</v>
      </c>
      <c r="B1398" s="3">
        <v>20.100000000000001</v>
      </c>
    </row>
    <row r="1399" spans="1:2">
      <c r="A1399" s="4">
        <v>33413</v>
      </c>
      <c r="B1399" s="3">
        <v>19.920000000000002</v>
      </c>
    </row>
    <row r="1400" spans="1:2">
      <c r="A1400" s="4">
        <v>33414</v>
      </c>
      <c r="B1400" s="3">
        <v>20.03</v>
      </c>
    </row>
    <row r="1401" spans="1:2">
      <c r="A1401" s="4">
        <v>33415</v>
      </c>
      <c r="B1401" s="3">
        <v>20.12</v>
      </c>
    </row>
    <row r="1402" spans="1:2">
      <c r="A1402" s="4">
        <v>33416</v>
      </c>
      <c r="B1402" s="3">
        <v>20.41</v>
      </c>
    </row>
    <row r="1403" spans="1:2">
      <c r="A1403" s="4">
        <v>33417</v>
      </c>
      <c r="B1403" s="3">
        <v>20.56</v>
      </c>
    </row>
    <row r="1404" spans="1:2">
      <c r="A1404" s="4">
        <v>33420</v>
      </c>
      <c r="B1404" s="3">
        <v>20.78</v>
      </c>
    </row>
    <row r="1405" spans="1:2">
      <c r="A1405" s="4">
        <v>33421</v>
      </c>
      <c r="B1405" s="3">
        <v>20.92</v>
      </c>
    </row>
    <row r="1406" spans="1:2">
      <c r="A1406" s="4">
        <v>33422</v>
      </c>
      <c r="B1406" s="3">
        <v>20.69</v>
      </c>
    </row>
    <row r="1407" spans="1:2">
      <c r="A1407" s="4">
        <v>33423</v>
      </c>
      <c r="B1407" s="3">
        <v>20.69</v>
      </c>
    </row>
    <row r="1408" spans="1:2">
      <c r="A1408" s="4">
        <v>33424</v>
      </c>
      <c r="B1408" s="3">
        <v>20.91</v>
      </c>
    </row>
    <row r="1409" spans="1:2">
      <c r="A1409" s="4">
        <v>33427</v>
      </c>
      <c r="B1409" s="3">
        <v>21.29</v>
      </c>
    </row>
    <row r="1410" spans="1:2">
      <c r="A1410" s="4">
        <v>33428</v>
      </c>
      <c r="B1410" s="3">
        <v>21.35</v>
      </c>
    </row>
    <row r="1411" spans="1:2">
      <c r="A1411" s="4">
        <v>33429</v>
      </c>
      <c r="B1411" s="3">
        <v>21.43</v>
      </c>
    </row>
    <row r="1412" spans="1:2">
      <c r="A1412" s="4">
        <v>33430</v>
      </c>
      <c r="B1412" s="3">
        <v>21.32</v>
      </c>
    </row>
    <row r="1413" spans="1:2">
      <c r="A1413" s="4">
        <v>33431</v>
      </c>
      <c r="B1413" s="3">
        <v>21.74</v>
      </c>
    </row>
    <row r="1414" spans="1:2">
      <c r="A1414" s="4">
        <v>33434</v>
      </c>
      <c r="B1414" s="3">
        <v>21.5</v>
      </c>
    </row>
    <row r="1415" spans="1:2">
      <c r="A1415" s="4">
        <v>33435</v>
      </c>
      <c r="B1415" s="3">
        <v>21.7</v>
      </c>
    </row>
    <row r="1416" spans="1:2">
      <c r="A1416" s="4">
        <v>33436</v>
      </c>
      <c r="B1416" s="3">
        <v>22.2</v>
      </c>
    </row>
    <row r="1417" spans="1:2">
      <c r="A1417" s="4">
        <v>33437</v>
      </c>
      <c r="B1417" s="3">
        <v>21.97</v>
      </c>
    </row>
    <row r="1418" spans="1:2">
      <c r="A1418" s="4">
        <v>33438</v>
      </c>
      <c r="B1418" s="3">
        <v>22.16</v>
      </c>
    </row>
    <row r="1419" spans="1:2">
      <c r="A1419" s="4">
        <v>33441</v>
      </c>
      <c r="B1419" s="3">
        <v>21.74</v>
      </c>
    </row>
    <row r="1420" spans="1:2">
      <c r="A1420" s="4">
        <v>33442</v>
      </c>
      <c r="B1420" s="3">
        <v>21.25</v>
      </c>
    </row>
    <row r="1421" spans="1:2">
      <c r="A1421" s="4">
        <v>33443</v>
      </c>
      <c r="B1421" s="3">
        <v>21.41</v>
      </c>
    </row>
    <row r="1422" spans="1:2">
      <c r="A1422" s="4">
        <v>33444</v>
      </c>
      <c r="B1422" s="3">
        <v>21.11</v>
      </c>
    </row>
    <row r="1423" spans="1:2">
      <c r="A1423" s="4">
        <v>33445</v>
      </c>
      <c r="B1423" s="3">
        <v>21.48</v>
      </c>
    </row>
    <row r="1424" spans="1:2">
      <c r="A1424" s="4">
        <v>33448</v>
      </c>
      <c r="B1424" s="3">
        <v>21.38</v>
      </c>
    </row>
    <row r="1425" spans="1:2">
      <c r="A1425" s="4">
        <v>33449</v>
      </c>
      <c r="B1425" s="3">
        <v>21.55</v>
      </c>
    </row>
    <row r="1426" spans="1:2">
      <c r="A1426" s="4">
        <v>33450</v>
      </c>
      <c r="B1426" s="3">
        <v>21.7</v>
      </c>
    </row>
    <row r="1427" spans="1:2">
      <c r="A1427" s="4">
        <v>33451</v>
      </c>
      <c r="B1427" s="3">
        <v>21.33</v>
      </c>
    </row>
    <row r="1428" spans="1:2">
      <c r="A1428" s="4">
        <v>33452</v>
      </c>
      <c r="B1428" s="3">
        <v>21.35</v>
      </c>
    </row>
    <row r="1429" spans="1:2">
      <c r="A1429" s="4">
        <v>33455</v>
      </c>
      <c r="B1429" s="3">
        <v>21.5</v>
      </c>
    </row>
    <row r="1430" spans="1:2">
      <c r="A1430" s="4">
        <v>33456</v>
      </c>
      <c r="B1430" s="3">
        <v>21.39</v>
      </c>
    </row>
    <row r="1431" spans="1:2">
      <c r="A1431" s="4">
        <v>33457</v>
      </c>
      <c r="B1431" s="3">
        <v>21.38</v>
      </c>
    </row>
    <row r="1432" spans="1:2">
      <c r="A1432" s="4">
        <v>33458</v>
      </c>
      <c r="B1432" s="3">
        <v>21.6</v>
      </c>
    </row>
    <row r="1433" spans="1:2">
      <c r="A1433" s="4">
        <v>33459</v>
      </c>
      <c r="B1433" s="3">
        <v>21.64</v>
      </c>
    </row>
    <row r="1434" spans="1:2">
      <c r="A1434" s="4">
        <v>33462</v>
      </c>
      <c r="B1434" s="3">
        <v>21.71</v>
      </c>
    </row>
    <row r="1435" spans="1:2">
      <c r="A1435" s="4">
        <v>33463</v>
      </c>
      <c r="B1435" s="3">
        <v>21.52</v>
      </c>
    </row>
    <row r="1436" spans="1:2">
      <c r="A1436" s="4">
        <v>33464</v>
      </c>
      <c r="B1436" s="3">
        <v>21.3</v>
      </c>
    </row>
    <row r="1437" spans="1:2">
      <c r="A1437" s="4">
        <v>33465</v>
      </c>
      <c r="B1437" s="3">
        <v>21.39</v>
      </c>
    </row>
    <row r="1438" spans="1:2">
      <c r="A1438" s="4">
        <v>33466</v>
      </c>
      <c r="B1438" s="3">
        <v>21.29</v>
      </c>
    </row>
    <row r="1439" spans="1:2">
      <c r="A1439" s="4">
        <v>33469</v>
      </c>
      <c r="B1439" s="3">
        <v>22.5</v>
      </c>
    </row>
    <row r="1440" spans="1:2">
      <c r="A1440" s="4">
        <v>33470</v>
      </c>
      <c r="B1440" s="3">
        <v>22.3</v>
      </c>
    </row>
    <row r="1441" spans="1:2">
      <c r="A1441" s="4">
        <v>33471</v>
      </c>
      <c r="B1441" s="3">
        <v>21.44</v>
      </c>
    </row>
    <row r="1442" spans="1:2">
      <c r="A1442" s="4">
        <v>33472</v>
      </c>
      <c r="B1442" s="3">
        <v>21.93</v>
      </c>
    </row>
    <row r="1443" spans="1:2">
      <c r="A1443" s="4">
        <v>33473</v>
      </c>
      <c r="B1443" s="3">
        <v>21.78</v>
      </c>
    </row>
    <row r="1444" spans="1:2">
      <c r="A1444" s="4">
        <v>33476</v>
      </c>
      <c r="B1444" s="3">
        <v>21.98</v>
      </c>
    </row>
    <row r="1445" spans="1:2">
      <c r="A1445" s="4">
        <v>33477</v>
      </c>
      <c r="B1445" s="3">
        <v>21.86</v>
      </c>
    </row>
    <row r="1446" spans="1:2">
      <c r="A1446" s="4">
        <v>33478</v>
      </c>
      <c r="B1446" s="3">
        <v>21.77</v>
      </c>
    </row>
    <row r="1447" spans="1:2">
      <c r="A1447" s="4">
        <v>33479</v>
      </c>
      <c r="B1447" s="3">
        <v>22.02</v>
      </c>
    </row>
    <row r="1448" spans="1:2">
      <c r="A1448" s="4">
        <v>33480</v>
      </c>
      <c r="B1448" s="3">
        <v>22.28</v>
      </c>
    </row>
    <row r="1449" spans="1:2">
      <c r="A1449" s="4">
        <v>33484</v>
      </c>
      <c r="B1449" s="3">
        <v>22.28</v>
      </c>
    </row>
    <row r="1450" spans="1:2">
      <c r="A1450" s="4">
        <v>33485</v>
      </c>
      <c r="B1450" s="3">
        <v>21.76</v>
      </c>
    </row>
    <row r="1451" spans="1:2">
      <c r="A1451" s="4">
        <v>33486</v>
      </c>
      <c r="B1451" s="3">
        <v>21.75</v>
      </c>
    </row>
    <row r="1452" spans="1:2">
      <c r="A1452" s="4">
        <v>33487</v>
      </c>
      <c r="B1452" s="3">
        <v>21.56</v>
      </c>
    </row>
    <row r="1453" spans="1:2">
      <c r="A1453" s="4">
        <v>33490</v>
      </c>
      <c r="B1453" s="3">
        <v>21.36</v>
      </c>
    </row>
    <row r="1454" spans="1:2">
      <c r="A1454" s="4">
        <v>33491</v>
      </c>
      <c r="B1454" s="3">
        <v>21.44</v>
      </c>
    </row>
    <row r="1455" spans="1:2">
      <c r="A1455" s="4">
        <v>33492</v>
      </c>
      <c r="B1455" s="3">
        <v>21.66</v>
      </c>
    </row>
    <row r="1456" spans="1:2">
      <c r="A1456" s="4">
        <v>33493</v>
      </c>
      <c r="B1456" s="3">
        <v>21.51</v>
      </c>
    </row>
    <row r="1457" spans="1:2">
      <c r="A1457" s="4">
        <v>33494</v>
      </c>
      <c r="B1457" s="3">
        <v>21.71</v>
      </c>
    </row>
    <row r="1458" spans="1:2">
      <c r="A1458" s="4">
        <v>33497</v>
      </c>
      <c r="B1458" s="3">
        <v>21.84</v>
      </c>
    </row>
    <row r="1459" spans="1:2">
      <c r="A1459" s="4">
        <v>33498</v>
      </c>
      <c r="B1459" s="3">
        <v>21.73</v>
      </c>
    </row>
    <row r="1460" spans="1:2">
      <c r="A1460" s="4">
        <v>33499</v>
      </c>
      <c r="B1460" s="3">
        <v>21.87</v>
      </c>
    </row>
    <row r="1461" spans="1:2">
      <c r="A1461" s="4">
        <v>33500</v>
      </c>
      <c r="B1461" s="3">
        <v>21.79</v>
      </c>
    </row>
    <row r="1462" spans="1:2">
      <c r="A1462" s="4">
        <v>33501</v>
      </c>
      <c r="B1462" s="3">
        <v>22.02</v>
      </c>
    </row>
    <row r="1463" spans="1:2">
      <c r="A1463" s="4">
        <v>33504</v>
      </c>
      <c r="B1463" s="3">
        <v>22.2</v>
      </c>
    </row>
    <row r="1464" spans="1:2">
      <c r="A1464" s="4">
        <v>33505</v>
      </c>
      <c r="B1464" s="3">
        <v>22.24</v>
      </c>
    </row>
    <row r="1465" spans="1:2">
      <c r="A1465" s="4">
        <v>33506</v>
      </c>
      <c r="B1465" s="3">
        <v>22.11</v>
      </c>
    </row>
    <row r="1466" spans="1:2">
      <c r="A1466" s="4">
        <v>33507</v>
      </c>
      <c r="B1466" s="3">
        <v>22.23</v>
      </c>
    </row>
    <row r="1467" spans="1:2">
      <c r="A1467" s="4">
        <v>33508</v>
      </c>
      <c r="B1467" s="3">
        <v>22.42</v>
      </c>
    </row>
    <row r="1468" spans="1:2">
      <c r="A1468" s="4">
        <v>33511</v>
      </c>
      <c r="B1468" s="3">
        <v>22.25</v>
      </c>
    </row>
    <row r="1469" spans="1:2">
      <c r="A1469" s="4">
        <v>33512</v>
      </c>
      <c r="B1469" s="3">
        <v>22.1</v>
      </c>
    </row>
    <row r="1470" spans="1:2">
      <c r="A1470" s="4">
        <v>33513</v>
      </c>
      <c r="B1470" s="3">
        <v>22.34</v>
      </c>
    </row>
    <row r="1471" spans="1:2">
      <c r="A1471" s="4">
        <v>33514</v>
      </c>
      <c r="B1471" s="3">
        <v>22.7</v>
      </c>
    </row>
    <row r="1472" spans="1:2">
      <c r="A1472" s="4">
        <v>33515</v>
      </c>
      <c r="B1472" s="3">
        <v>22.64</v>
      </c>
    </row>
    <row r="1473" spans="1:2">
      <c r="A1473" s="4">
        <v>33518</v>
      </c>
      <c r="B1473" s="3">
        <v>22.99</v>
      </c>
    </row>
    <row r="1474" spans="1:2">
      <c r="A1474" s="4">
        <v>33519</v>
      </c>
      <c r="B1474" s="3">
        <v>23.02</v>
      </c>
    </row>
    <row r="1475" spans="1:2">
      <c r="A1475" s="4">
        <v>33520</v>
      </c>
      <c r="B1475" s="3">
        <v>23.18</v>
      </c>
    </row>
    <row r="1476" spans="1:2">
      <c r="A1476" s="4">
        <v>33521</v>
      </c>
      <c r="B1476" s="3">
        <v>23.01</v>
      </c>
    </row>
    <row r="1477" spans="1:2">
      <c r="A1477" s="4">
        <v>33522</v>
      </c>
      <c r="B1477" s="3">
        <v>23.19</v>
      </c>
    </row>
    <row r="1478" spans="1:2">
      <c r="A1478" s="4">
        <v>33525</v>
      </c>
      <c r="B1478" s="3">
        <v>23.48</v>
      </c>
    </row>
    <row r="1479" spans="1:2">
      <c r="A1479" s="4">
        <v>33526</v>
      </c>
      <c r="B1479" s="3">
        <v>23.89</v>
      </c>
    </row>
    <row r="1480" spans="1:2">
      <c r="A1480" s="4">
        <v>33527</v>
      </c>
      <c r="B1480" s="3">
        <v>23.67</v>
      </c>
    </row>
    <row r="1481" spans="1:2">
      <c r="A1481" s="4">
        <v>33528</v>
      </c>
      <c r="B1481" s="3">
        <v>23.96</v>
      </c>
    </row>
    <row r="1482" spans="1:2">
      <c r="A1482" s="4">
        <v>33529</v>
      </c>
      <c r="B1482" s="3">
        <v>24.12</v>
      </c>
    </row>
    <row r="1483" spans="1:2">
      <c r="A1483" s="4">
        <v>33532</v>
      </c>
      <c r="B1483" s="3">
        <v>24.03</v>
      </c>
    </row>
    <row r="1484" spans="1:2">
      <c r="A1484" s="4">
        <v>33533</v>
      </c>
      <c r="B1484" s="3">
        <v>23.47</v>
      </c>
    </row>
    <row r="1485" spans="1:2">
      <c r="A1485" s="4">
        <v>33534</v>
      </c>
      <c r="B1485" s="3">
        <v>23.14</v>
      </c>
    </row>
    <row r="1486" spans="1:2">
      <c r="A1486" s="4">
        <v>33535</v>
      </c>
      <c r="B1486" s="3">
        <v>23.47</v>
      </c>
    </row>
    <row r="1487" spans="1:2">
      <c r="A1487" s="4">
        <v>33536</v>
      </c>
      <c r="B1487" s="3">
        <v>23.18</v>
      </c>
    </row>
    <row r="1488" spans="1:2">
      <c r="A1488" s="4">
        <v>33539</v>
      </c>
      <c r="B1488" s="3">
        <v>23.24</v>
      </c>
    </row>
    <row r="1489" spans="1:2">
      <c r="A1489" s="4">
        <v>33540</v>
      </c>
      <c r="B1489" s="3">
        <v>23.09</v>
      </c>
    </row>
    <row r="1490" spans="1:2">
      <c r="A1490" s="4">
        <v>33541</v>
      </c>
      <c r="B1490" s="3">
        <v>23.11</v>
      </c>
    </row>
    <row r="1491" spans="1:2">
      <c r="A1491" s="4">
        <v>33542</v>
      </c>
      <c r="B1491" s="3">
        <v>23.29</v>
      </c>
    </row>
    <row r="1492" spans="1:2">
      <c r="A1492" s="4">
        <v>33543</v>
      </c>
      <c r="B1492" s="3">
        <v>23.85</v>
      </c>
    </row>
    <row r="1493" spans="1:2">
      <c r="A1493" s="4">
        <v>33546</v>
      </c>
      <c r="B1493" s="3">
        <v>23.82</v>
      </c>
    </row>
    <row r="1494" spans="1:2">
      <c r="A1494" s="4">
        <v>33547</v>
      </c>
      <c r="B1494" s="3">
        <v>23.78</v>
      </c>
    </row>
    <row r="1495" spans="1:2">
      <c r="A1495" s="4">
        <v>33548</v>
      </c>
      <c r="B1495" s="3">
        <v>23.44</v>
      </c>
    </row>
    <row r="1496" spans="1:2">
      <c r="A1496" s="4">
        <v>33549</v>
      </c>
      <c r="B1496" s="3">
        <v>23.29</v>
      </c>
    </row>
    <row r="1497" spans="1:2">
      <c r="A1497" s="4">
        <v>33550</v>
      </c>
      <c r="B1497" s="3">
        <v>23</v>
      </c>
    </row>
    <row r="1498" spans="1:2">
      <c r="A1498" s="4">
        <v>33553</v>
      </c>
      <c r="B1498" s="3">
        <v>22.66</v>
      </c>
    </row>
    <row r="1499" spans="1:2">
      <c r="A1499" s="4">
        <v>33554</v>
      </c>
      <c r="B1499" s="3">
        <v>22.58</v>
      </c>
    </row>
    <row r="1500" spans="1:2">
      <c r="A1500" s="4">
        <v>33555</v>
      </c>
      <c r="B1500" s="3">
        <v>22.28</v>
      </c>
    </row>
    <row r="1501" spans="1:2">
      <c r="A1501" s="4">
        <v>33556</v>
      </c>
      <c r="B1501" s="3">
        <v>22.55</v>
      </c>
    </row>
    <row r="1502" spans="1:2">
      <c r="A1502" s="4">
        <v>33557</v>
      </c>
      <c r="B1502" s="3">
        <v>22.79</v>
      </c>
    </row>
    <row r="1503" spans="1:2">
      <c r="A1503" s="4">
        <v>33560</v>
      </c>
      <c r="B1503" s="3">
        <v>22.38</v>
      </c>
    </row>
    <row r="1504" spans="1:2">
      <c r="A1504" s="4">
        <v>33561</v>
      </c>
      <c r="B1504" s="3">
        <v>21.88</v>
      </c>
    </row>
    <row r="1505" spans="1:2">
      <c r="A1505" s="4">
        <v>33562</v>
      </c>
      <c r="B1505" s="3">
        <v>22.17</v>
      </c>
    </row>
    <row r="1506" spans="1:2">
      <c r="A1506" s="4">
        <v>33563</v>
      </c>
      <c r="B1506" s="3">
        <v>21.93</v>
      </c>
    </row>
    <row r="1507" spans="1:2">
      <c r="A1507" s="4">
        <v>33564</v>
      </c>
      <c r="B1507" s="3">
        <v>21.85</v>
      </c>
    </row>
    <row r="1508" spans="1:2">
      <c r="A1508" s="4">
        <v>33567</v>
      </c>
      <c r="B1508" s="3">
        <v>22.15</v>
      </c>
    </row>
    <row r="1509" spans="1:2">
      <c r="A1509" s="4">
        <v>33568</v>
      </c>
      <c r="B1509" s="3">
        <v>21.04</v>
      </c>
    </row>
    <row r="1510" spans="1:2">
      <c r="A1510" s="4">
        <v>33569</v>
      </c>
      <c r="B1510" s="3">
        <v>21.38</v>
      </c>
    </row>
    <row r="1511" spans="1:2">
      <c r="A1511" s="4">
        <v>33570</v>
      </c>
      <c r="B1511" s="3">
        <v>21.38</v>
      </c>
    </row>
    <row r="1512" spans="1:2">
      <c r="A1512" s="4">
        <v>33571</v>
      </c>
      <c r="B1512" s="3">
        <v>21.48</v>
      </c>
    </row>
    <row r="1513" spans="1:2">
      <c r="A1513" s="4">
        <v>33574</v>
      </c>
      <c r="B1513" s="3">
        <v>21.1</v>
      </c>
    </row>
    <row r="1514" spans="1:2">
      <c r="A1514" s="4">
        <v>33575</v>
      </c>
      <c r="B1514" s="3">
        <v>20.61</v>
      </c>
    </row>
    <row r="1515" spans="1:2">
      <c r="A1515" s="4">
        <v>33576</v>
      </c>
      <c r="B1515" s="3">
        <v>20.75</v>
      </c>
    </row>
    <row r="1516" spans="1:2">
      <c r="A1516" s="4">
        <v>33577</v>
      </c>
      <c r="B1516" s="3">
        <v>20.420000000000002</v>
      </c>
    </row>
    <row r="1517" spans="1:2">
      <c r="A1517" s="4">
        <v>33578</v>
      </c>
      <c r="B1517" s="3">
        <v>19.87</v>
      </c>
    </row>
    <row r="1518" spans="1:2">
      <c r="A1518" s="4">
        <v>33581</v>
      </c>
      <c r="B1518" s="3">
        <v>19.39</v>
      </c>
    </row>
    <row r="1519" spans="1:2">
      <c r="A1519" s="4">
        <v>33582</v>
      </c>
      <c r="B1519" s="3">
        <v>19.239999999999998</v>
      </c>
    </row>
    <row r="1520" spans="1:2">
      <c r="A1520" s="4">
        <v>33583</v>
      </c>
      <c r="B1520" s="3">
        <v>19.54</v>
      </c>
    </row>
    <row r="1521" spans="1:2">
      <c r="A1521" s="4">
        <v>33584</v>
      </c>
      <c r="B1521" s="3">
        <v>19.940000000000001</v>
      </c>
    </row>
    <row r="1522" spans="1:2">
      <c r="A1522" s="4">
        <v>33585</v>
      </c>
      <c r="B1522" s="3">
        <v>20.09</v>
      </c>
    </row>
    <row r="1523" spans="1:2">
      <c r="A1523" s="4">
        <v>33588</v>
      </c>
      <c r="B1523" s="3">
        <v>19.78</v>
      </c>
    </row>
    <row r="1524" spans="1:2">
      <c r="A1524" s="4">
        <v>33589</v>
      </c>
      <c r="B1524" s="3">
        <v>19.45</v>
      </c>
    </row>
    <row r="1525" spans="1:2">
      <c r="A1525" s="4">
        <v>33590</v>
      </c>
      <c r="B1525" s="3">
        <v>19.39</v>
      </c>
    </row>
    <row r="1526" spans="1:2">
      <c r="A1526" s="4">
        <v>33591</v>
      </c>
      <c r="B1526" s="3">
        <v>19.12</v>
      </c>
    </row>
    <row r="1527" spans="1:2">
      <c r="A1527" s="4">
        <v>33592</v>
      </c>
      <c r="B1527" s="3">
        <v>18.28</v>
      </c>
    </row>
    <row r="1528" spans="1:2">
      <c r="A1528" s="4">
        <v>33595</v>
      </c>
      <c r="B1528" s="3">
        <v>18.579999999999998</v>
      </c>
    </row>
    <row r="1529" spans="1:2">
      <c r="A1529" s="4">
        <v>33596</v>
      </c>
      <c r="B1529" s="3">
        <v>18.68</v>
      </c>
    </row>
    <row r="1530" spans="1:2">
      <c r="A1530" s="4">
        <v>33598</v>
      </c>
      <c r="B1530" s="3">
        <v>18.63</v>
      </c>
    </row>
    <row r="1531" spans="1:2">
      <c r="A1531" s="4">
        <v>33599</v>
      </c>
      <c r="B1531" s="3">
        <v>18.82</v>
      </c>
    </row>
    <row r="1532" spans="1:2">
      <c r="A1532" s="4">
        <v>33602</v>
      </c>
      <c r="B1532" s="3">
        <v>18.63</v>
      </c>
    </row>
    <row r="1533" spans="1:2">
      <c r="A1533" s="4">
        <v>33603</v>
      </c>
      <c r="B1533" s="3">
        <v>19.149999999999999</v>
      </c>
    </row>
    <row r="1534" spans="1:2">
      <c r="A1534" s="4">
        <v>33605</v>
      </c>
      <c r="B1534" s="3">
        <v>19.43</v>
      </c>
    </row>
    <row r="1535" spans="1:2">
      <c r="A1535" s="4">
        <v>33606</v>
      </c>
      <c r="B1535" s="3">
        <v>19.22</v>
      </c>
    </row>
    <row r="1536" spans="1:2">
      <c r="A1536" s="4">
        <v>33609</v>
      </c>
      <c r="B1536" s="3">
        <v>19.239999999999998</v>
      </c>
    </row>
    <row r="1537" spans="1:2">
      <c r="A1537" s="4">
        <v>33610</v>
      </c>
      <c r="B1537" s="3">
        <v>18.72</v>
      </c>
    </row>
    <row r="1538" spans="1:2">
      <c r="A1538" s="4">
        <v>33611</v>
      </c>
      <c r="B1538" s="3">
        <v>17.95</v>
      </c>
    </row>
    <row r="1539" spans="1:2">
      <c r="A1539" s="4">
        <v>33612</v>
      </c>
      <c r="B1539" s="3">
        <v>17.89</v>
      </c>
    </row>
    <row r="1540" spans="1:2">
      <c r="A1540" s="4">
        <v>33613</v>
      </c>
      <c r="B1540" s="3">
        <v>18.260000000000002</v>
      </c>
    </row>
    <row r="1541" spans="1:2">
      <c r="A1541" s="4">
        <v>33616</v>
      </c>
      <c r="B1541" s="3">
        <v>18.77</v>
      </c>
    </row>
    <row r="1542" spans="1:2">
      <c r="A1542" s="4">
        <v>33617</v>
      </c>
      <c r="B1542" s="3">
        <v>18.399999999999999</v>
      </c>
    </row>
    <row r="1543" spans="1:2">
      <c r="A1543" s="4">
        <v>33618</v>
      </c>
      <c r="B1543" s="3">
        <v>18.829999999999998</v>
      </c>
    </row>
    <row r="1544" spans="1:2">
      <c r="A1544" s="4">
        <v>33619</v>
      </c>
      <c r="B1544" s="3">
        <v>18.940000000000001</v>
      </c>
    </row>
    <row r="1545" spans="1:2">
      <c r="A1545" s="4">
        <v>33620</v>
      </c>
      <c r="B1545" s="3">
        <v>19.11</v>
      </c>
    </row>
    <row r="1546" spans="1:2">
      <c r="A1546" s="4">
        <v>33623</v>
      </c>
      <c r="B1546" s="3">
        <v>18.920000000000002</v>
      </c>
    </row>
    <row r="1547" spans="1:2">
      <c r="A1547" s="4">
        <v>33624</v>
      </c>
      <c r="B1547" s="3">
        <v>18.5</v>
      </c>
    </row>
    <row r="1548" spans="1:2">
      <c r="A1548" s="4">
        <v>33625</v>
      </c>
      <c r="B1548" s="3">
        <v>18.73</v>
      </c>
    </row>
    <row r="1549" spans="1:2">
      <c r="A1549" s="4">
        <v>33626</v>
      </c>
      <c r="B1549" s="3">
        <v>18.38</v>
      </c>
    </row>
    <row r="1550" spans="1:2">
      <c r="A1550" s="4">
        <v>33627</v>
      </c>
      <c r="B1550" s="3">
        <v>18.75</v>
      </c>
    </row>
    <row r="1551" spans="1:2">
      <c r="A1551" s="4">
        <v>33630</v>
      </c>
      <c r="B1551" s="3">
        <v>19.350000000000001</v>
      </c>
    </row>
    <row r="1552" spans="1:2">
      <c r="A1552" s="4">
        <v>33631</v>
      </c>
      <c r="B1552" s="3">
        <v>19.09</v>
      </c>
    </row>
    <row r="1553" spans="1:2">
      <c r="A1553" s="4">
        <v>33632</v>
      </c>
      <c r="B1553" s="3">
        <v>18.920000000000002</v>
      </c>
    </row>
    <row r="1554" spans="1:2">
      <c r="A1554" s="4">
        <v>33633</v>
      </c>
      <c r="B1554" s="3">
        <v>18.95</v>
      </c>
    </row>
    <row r="1555" spans="1:2">
      <c r="A1555" s="4">
        <v>33634</v>
      </c>
      <c r="B1555" s="3">
        <v>18.93</v>
      </c>
    </row>
    <row r="1556" spans="1:2">
      <c r="A1556" s="4">
        <v>33637</v>
      </c>
      <c r="B1556" s="3">
        <v>18.97</v>
      </c>
    </row>
    <row r="1557" spans="1:2">
      <c r="A1557" s="4">
        <v>33638</v>
      </c>
      <c r="B1557" s="3">
        <v>19.260000000000002</v>
      </c>
    </row>
    <row r="1558" spans="1:2">
      <c r="A1558" s="4">
        <v>33639</v>
      </c>
      <c r="B1558" s="3">
        <v>19.5</v>
      </c>
    </row>
    <row r="1559" spans="1:2">
      <c r="A1559" s="4">
        <v>33640</v>
      </c>
      <c r="B1559" s="3">
        <v>19.48</v>
      </c>
    </row>
    <row r="1560" spans="1:2">
      <c r="A1560" s="4">
        <v>33641</v>
      </c>
      <c r="B1560" s="3">
        <v>19.91</v>
      </c>
    </row>
    <row r="1561" spans="1:2">
      <c r="A1561" s="4">
        <v>33644</v>
      </c>
      <c r="B1561" s="3">
        <v>19.690000000000001</v>
      </c>
    </row>
    <row r="1562" spans="1:2">
      <c r="A1562" s="4">
        <v>33645</v>
      </c>
      <c r="B1562" s="3">
        <v>19.36</v>
      </c>
    </row>
    <row r="1563" spans="1:2">
      <c r="A1563" s="4">
        <v>33646</v>
      </c>
      <c r="B1563" s="3">
        <v>19.29</v>
      </c>
    </row>
    <row r="1564" spans="1:2">
      <c r="A1564" s="4">
        <v>33647</v>
      </c>
      <c r="B1564" s="3">
        <v>19.7</v>
      </c>
    </row>
    <row r="1565" spans="1:2">
      <c r="A1565" s="4">
        <v>33648</v>
      </c>
      <c r="B1565" s="3">
        <v>19.420000000000002</v>
      </c>
    </row>
    <row r="1566" spans="1:2">
      <c r="A1566" s="4">
        <v>33651</v>
      </c>
      <c r="B1566" s="3">
        <v>19.420000000000002</v>
      </c>
    </row>
    <row r="1567" spans="1:2">
      <c r="A1567" s="4">
        <v>33652</v>
      </c>
      <c r="B1567" s="3">
        <v>18.14</v>
      </c>
    </row>
    <row r="1568" spans="1:2">
      <c r="A1568" s="4">
        <v>33653</v>
      </c>
      <c r="B1568" s="3">
        <v>18.420000000000002</v>
      </c>
    </row>
    <row r="1569" spans="1:2">
      <c r="A1569" s="4">
        <v>33654</v>
      </c>
      <c r="B1569" s="3">
        <v>18.52</v>
      </c>
    </row>
    <row r="1570" spans="1:2">
      <c r="A1570" s="4">
        <v>33655</v>
      </c>
      <c r="B1570" s="3">
        <v>18.600000000000001</v>
      </c>
    </row>
    <row r="1571" spans="1:2">
      <c r="A1571" s="4">
        <v>33658</v>
      </c>
      <c r="B1571" s="3">
        <v>18.37</v>
      </c>
    </row>
    <row r="1572" spans="1:2">
      <c r="A1572" s="4">
        <v>33659</v>
      </c>
      <c r="B1572" s="3">
        <v>18.3</v>
      </c>
    </row>
    <row r="1573" spans="1:2">
      <c r="A1573" s="4">
        <v>33660</v>
      </c>
      <c r="B1573" s="3">
        <v>18.440000000000001</v>
      </c>
    </row>
    <row r="1574" spans="1:2">
      <c r="A1574" s="4">
        <v>33661</v>
      </c>
      <c r="B1574" s="3">
        <v>18.77</v>
      </c>
    </row>
    <row r="1575" spans="1:2">
      <c r="A1575" s="4">
        <v>33662</v>
      </c>
      <c r="B1575" s="3">
        <v>18.690000000000001</v>
      </c>
    </row>
    <row r="1576" spans="1:2">
      <c r="A1576" s="4">
        <v>33665</v>
      </c>
      <c r="B1576" s="3">
        <v>18.36</v>
      </c>
    </row>
    <row r="1577" spans="1:2">
      <c r="A1577" s="4">
        <v>33666</v>
      </c>
      <c r="B1577" s="3">
        <v>18.670000000000002</v>
      </c>
    </row>
    <row r="1578" spans="1:2">
      <c r="A1578" s="4">
        <v>33667</v>
      </c>
      <c r="B1578" s="3">
        <v>18.62</v>
      </c>
    </row>
    <row r="1579" spans="1:2">
      <c r="A1579" s="4">
        <v>33668</v>
      </c>
      <c r="B1579" s="3">
        <v>18.579999999999998</v>
      </c>
    </row>
    <row r="1580" spans="1:2">
      <c r="A1580" s="4">
        <v>33669</v>
      </c>
      <c r="B1580" s="3">
        <v>18.53</v>
      </c>
    </row>
    <row r="1581" spans="1:2">
      <c r="A1581" s="4">
        <v>33672</v>
      </c>
      <c r="B1581" s="3">
        <v>18.649999999999999</v>
      </c>
    </row>
    <row r="1582" spans="1:2">
      <c r="A1582" s="4">
        <v>33673</v>
      </c>
      <c r="B1582" s="3">
        <v>18.62</v>
      </c>
    </row>
    <row r="1583" spans="1:2">
      <c r="A1583" s="4">
        <v>33674</v>
      </c>
      <c r="B1583" s="3">
        <v>18.5</v>
      </c>
    </row>
    <row r="1584" spans="1:2">
      <c r="A1584" s="4">
        <v>33675</v>
      </c>
      <c r="B1584" s="3">
        <v>18.86</v>
      </c>
    </row>
    <row r="1585" spans="1:2">
      <c r="A1585" s="4">
        <v>33676</v>
      </c>
      <c r="B1585" s="3">
        <v>19.16</v>
      </c>
    </row>
    <row r="1586" spans="1:2">
      <c r="A1586" s="4">
        <v>33679</v>
      </c>
      <c r="B1586" s="3">
        <v>19.149999999999999</v>
      </c>
    </row>
    <row r="1587" spans="1:2">
      <c r="A1587" s="4">
        <v>33680</v>
      </c>
      <c r="B1587" s="3">
        <v>19.27</v>
      </c>
    </row>
    <row r="1588" spans="1:2">
      <c r="A1588" s="4">
        <v>33681</v>
      </c>
      <c r="B1588" s="3">
        <v>19.05</v>
      </c>
    </row>
    <row r="1589" spans="1:2">
      <c r="A1589" s="4">
        <v>33682</v>
      </c>
      <c r="B1589" s="3">
        <v>19.27</v>
      </c>
    </row>
    <row r="1590" spans="1:2">
      <c r="A1590" s="4">
        <v>33683</v>
      </c>
      <c r="B1590" s="3">
        <v>18.78</v>
      </c>
    </row>
    <row r="1591" spans="1:2">
      <c r="A1591" s="4">
        <v>33686</v>
      </c>
      <c r="B1591" s="3">
        <v>18.91</v>
      </c>
    </row>
    <row r="1592" spans="1:2">
      <c r="A1592" s="4">
        <v>33687</v>
      </c>
      <c r="B1592" s="3">
        <v>19.059999999999999</v>
      </c>
    </row>
    <row r="1593" spans="1:2">
      <c r="A1593" s="4">
        <v>33688</v>
      </c>
      <c r="B1593" s="3">
        <v>19</v>
      </c>
    </row>
    <row r="1594" spans="1:2">
      <c r="A1594" s="4">
        <v>33689</v>
      </c>
      <c r="B1594" s="3">
        <v>19.309999999999999</v>
      </c>
    </row>
    <row r="1595" spans="1:2">
      <c r="A1595" s="4">
        <v>33690</v>
      </c>
      <c r="B1595" s="3">
        <v>19.190000000000001</v>
      </c>
    </row>
    <row r="1596" spans="1:2">
      <c r="A1596" s="4">
        <v>33693</v>
      </c>
      <c r="B1596" s="3">
        <v>19.25</v>
      </c>
    </row>
    <row r="1597" spans="1:2">
      <c r="A1597" s="4">
        <v>33694</v>
      </c>
      <c r="B1597" s="3">
        <v>19.489999999999998</v>
      </c>
    </row>
    <row r="1598" spans="1:2">
      <c r="A1598" s="4">
        <v>33695</v>
      </c>
      <c r="B1598" s="3">
        <v>19.850000000000001</v>
      </c>
    </row>
    <row r="1599" spans="1:2">
      <c r="A1599" s="4">
        <v>33696</v>
      </c>
      <c r="B1599" s="3">
        <v>19.79</v>
      </c>
    </row>
    <row r="1600" spans="1:2">
      <c r="A1600" s="4">
        <v>33697</v>
      </c>
      <c r="B1600" s="3">
        <v>20.25</v>
      </c>
    </row>
    <row r="1601" spans="1:2">
      <c r="A1601" s="4">
        <v>33700</v>
      </c>
      <c r="B1601" s="3">
        <v>20.440000000000001</v>
      </c>
    </row>
    <row r="1602" spans="1:2">
      <c r="A1602" s="4">
        <v>33701</v>
      </c>
      <c r="B1602" s="3">
        <v>20.29</v>
      </c>
    </row>
    <row r="1603" spans="1:2">
      <c r="A1603" s="4">
        <v>33702</v>
      </c>
      <c r="B1603" s="3">
        <v>20.64</v>
      </c>
    </row>
    <row r="1604" spans="1:2">
      <c r="A1604" s="4">
        <v>33703</v>
      </c>
      <c r="B1604" s="3">
        <v>20.329999999999998</v>
      </c>
    </row>
    <row r="1605" spans="1:2">
      <c r="A1605" s="4">
        <v>33704</v>
      </c>
      <c r="B1605" s="3">
        <v>20.45</v>
      </c>
    </row>
    <row r="1606" spans="1:2">
      <c r="A1606" s="4">
        <v>33707</v>
      </c>
      <c r="B1606" s="3">
        <v>20.239999999999998</v>
      </c>
    </row>
    <row r="1607" spans="1:2">
      <c r="A1607" s="4">
        <v>33708</v>
      </c>
      <c r="B1607" s="3">
        <v>19.809999999999999</v>
      </c>
    </row>
    <row r="1608" spans="1:2">
      <c r="A1608" s="4">
        <v>33709</v>
      </c>
      <c r="B1608" s="3">
        <v>19.93</v>
      </c>
    </row>
    <row r="1609" spans="1:2">
      <c r="A1609" s="4">
        <v>33710</v>
      </c>
      <c r="B1609" s="3">
        <v>20.25</v>
      </c>
    </row>
    <row r="1610" spans="1:2">
      <c r="A1610" s="4">
        <v>33714</v>
      </c>
      <c r="B1610" s="3">
        <v>20.260000000000002</v>
      </c>
    </row>
    <row r="1611" spans="1:2">
      <c r="A1611" s="4">
        <v>33715</v>
      </c>
      <c r="B1611" s="3">
        <v>20.170000000000002</v>
      </c>
    </row>
    <row r="1612" spans="1:2">
      <c r="A1612" s="4">
        <v>33716</v>
      </c>
      <c r="B1612" s="3">
        <v>19.920000000000002</v>
      </c>
    </row>
    <row r="1613" spans="1:2">
      <c r="A1613" s="4">
        <v>33717</v>
      </c>
      <c r="B1613" s="3">
        <v>19.91</v>
      </c>
    </row>
    <row r="1614" spans="1:2">
      <c r="A1614" s="4">
        <v>33718</v>
      </c>
      <c r="B1614" s="3">
        <v>20.05</v>
      </c>
    </row>
    <row r="1615" spans="1:2">
      <c r="A1615" s="4">
        <v>33721</v>
      </c>
      <c r="B1615" s="3">
        <v>20.309999999999999</v>
      </c>
    </row>
    <row r="1616" spans="1:2">
      <c r="A1616" s="4">
        <v>33722</v>
      </c>
      <c r="B1616" s="3">
        <v>20.29</v>
      </c>
    </row>
    <row r="1617" spans="1:2">
      <c r="A1617" s="4">
        <v>33723</v>
      </c>
      <c r="B1617" s="3">
        <v>20.77</v>
      </c>
    </row>
    <row r="1618" spans="1:2">
      <c r="A1618" s="4">
        <v>33724</v>
      </c>
      <c r="B1618" s="3">
        <v>20.88</v>
      </c>
    </row>
    <row r="1619" spans="1:2">
      <c r="A1619" s="4">
        <v>33725</v>
      </c>
      <c r="B1619" s="3">
        <v>20.88</v>
      </c>
    </row>
    <row r="1620" spans="1:2">
      <c r="A1620" s="4">
        <v>33728</v>
      </c>
      <c r="B1620" s="3">
        <v>21.13</v>
      </c>
    </row>
    <row r="1621" spans="1:2">
      <c r="A1621" s="4">
        <v>33729</v>
      </c>
      <c r="B1621" s="3">
        <v>20.78</v>
      </c>
    </row>
    <row r="1622" spans="1:2">
      <c r="A1622" s="4">
        <v>33730</v>
      </c>
      <c r="B1622" s="3">
        <v>20.79</v>
      </c>
    </row>
    <row r="1623" spans="1:2">
      <c r="A1623" s="4">
        <v>33731</v>
      </c>
      <c r="B1623" s="3">
        <v>20.73</v>
      </c>
    </row>
    <row r="1624" spans="1:2">
      <c r="A1624" s="4">
        <v>33732</v>
      </c>
      <c r="B1624" s="3">
        <v>20.85</v>
      </c>
    </row>
    <row r="1625" spans="1:2">
      <c r="A1625" s="4">
        <v>33735</v>
      </c>
      <c r="B1625" s="3">
        <v>21.02</v>
      </c>
    </row>
    <row r="1626" spans="1:2">
      <c r="A1626" s="4">
        <v>33736</v>
      </c>
      <c r="B1626" s="3">
        <v>20.98</v>
      </c>
    </row>
    <row r="1627" spans="1:2">
      <c r="A1627" s="4">
        <v>33737</v>
      </c>
      <c r="B1627" s="3">
        <v>20.75</v>
      </c>
    </row>
    <row r="1628" spans="1:2">
      <c r="A1628" s="4">
        <v>33738</v>
      </c>
      <c r="B1628" s="3">
        <v>20.56</v>
      </c>
    </row>
    <row r="1629" spans="1:2">
      <c r="A1629" s="4">
        <v>33739</v>
      </c>
      <c r="B1629" s="3">
        <v>20.7</v>
      </c>
    </row>
    <row r="1630" spans="1:2">
      <c r="A1630" s="4">
        <v>33742</v>
      </c>
      <c r="B1630" s="3">
        <v>20.54</v>
      </c>
    </row>
    <row r="1631" spans="1:2">
      <c r="A1631" s="4">
        <v>33743</v>
      </c>
      <c r="B1631" s="3">
        <v>20.12</v>
      </c>
    </row>
    <row r="1632" spans="1:2">
      <c r="A1632" s="4">
        <v>33744</v>
      </c>
      <c r="B1632" s="3">
        <v>20.2</v>
      </c>
    </row>
    <row r="1633" spans="1:2">
      <c r="A1633" s="4">
        <v>33745</v>
      </c>
      <c r="B1633" s="3">
        <v>20.79</v>
      </c>
    </row>
    <row r="1634" spans="1:2">
      <c r="A1634" s="4">
        <v>33746</v>
      </c>
      <c r="B1634" s="3">
        <v>20.79</v>
      </c>
    </row>
    <row r="1635" spans="1:2">
      <c r="A1635" s="4">
        <v>33750</v>
      </c>
      <c r="B1635" s="3">
        <v>21.8</v>
      </c>
    </row>
    <row r="1636" spans="1:2">
      <c r="A1636" s="4">
        <v>33751</v>
      </c>
      <c r="B1636" s="3">
        <v>22</v>
      </c>
    </row>
    <row r="1637" spans="1:2">
      <c r="A1637" s="4">
        <v>33752</v>
      </c>
      <c r="B1637" s="3">
        <v>21.97</v>
      </c>
    </row>
    <row r="1638" spans="1:2">
      <c r="A1638" s="4">
        <v>33753</v>
      </c>
      <c r="B1638" s="3">
        <v>22.13</v>
      </c>
    </row>
    <row r="1639" spans="1:2">
      <c r="A1639" s="4">
        <v>33756</v>
      </c>
      <c r="B1639" s="3">
        <v>22.07</v>
      </c>
    </row>
    <row r="1640" spans="1:2">
      <c r="A1640" s="4">
        <v>33757</v>
      </c>
      <c r="B1640" s="3">
        <v>22.2</v>
      </c>
    </row>
    <row r="1641" spans="1:2">
      <c r="A1641" s="4">
        <v>33758</v>
      </c>
      <c r="B1641" s="3">
        <v>22.45</v>
      </c>
    </row>
    <row r="1642" spans="1:2">
      <c r="A1642" s="4">
        <v>33759</v>
      </c>
      <c r="B1642" s="3">
        <v>22.53</v>
      </c>
    </row>
    <row r="1643" spans="1:2">
      <c r="A1643" s="4">
        <v>33760</v>
      </c>
      <c r="B1643" s="3">
        <v>22.65</v>
      </c>
    </row>
    <row r="1644" spans="1:2">
      <c r="A1644" s="4">
        <v>33763</v>
      </c>
      <c r="B1644" s="3">
        <v>22.43</v>
      </c>
    </row>
    <row r="1645" spans="1:2">
      <c r="A1645" s="4">
        <v>33764</v>
      </c>
      <c r="B1645" s="3">
        <v>22.23</v>
      </c>
    </row>
    <row r="1646" spans="1:2">
      <c r="A1646" s="4">
        <v>33765</v>
      </c>
      <c r="B1646" s="3">
        <v>22.49</v>
      </c>
    </row>
    <row r="1647" spans="1:2">
      <c r="A1647" s="4">
        <v>33766</v>
      </c>
      <c r="B1647" s="3">
        <v>22.33</v>
      </c>
    </row>
    <row r="1648" spans="1:2">
      <c r="A1648" s="4">
        <v>33767</v>
      </c>
      <c r="B1648" s="3">
        <v>22.28</v>
      </c>
    </row>
    <row r="1649" spans="1:2">
      <c r="A1649" s="4">
        <v>33770</v>
      </c>
      <c r="B1649" s="3">
        <v>22.38</v>
      </c>
    </row>
    <row r="1650" spans="1:2">
      <c r="A1650" s="4">
        <v>33771</v>
      </c>
      <c r="B1650" s="3">
        <v>22.23</v>
      </c>
    </row>
    <row r="1651" spans="1:2">
      <c r="A1651" s="4">
        <v>33772</v>
      </c>
      <c r="B1651" s="3">
        <v>22.3</v>
      </c>
    </row>
    <row r="1652" spans="1:2">
      <c r="A1652" s="4">
        <v>33773</v>
      </c>
      <c r="B1652" s="3">
        <v>22.23</v>
      </c>
    </row>
    <row r="1653" spans="1:2">
      <c r="A1653" s="4">
        <v>33774</v>
      </c>
      <c r="B1653" s="3">
        <v>22.16</v>
      </c>
    </row>
    <row r="1654" spans="1:2">
      <c r="A1654" s="4">
        <v>33777</v>
      </c>
      <c r="B1654" s="3">
        <v>22.47</v>
      </c>
    </row>
    <row r="1655" spans="1:2">
      <c r="A1655" s="4">
        <v>33778</v>
      </c>
      <c r="B1655" s="3">
        <v>22.74</v>
      </c>
    </row>
    <row r="1656" spans="1:2">
      <c r="A1656" s="4">
        <v>33779</v>
      </c>
      <c r="B1656" s="3">
        <v>23.03</v>
      </c>
    </row>
    <row r="1657" spans="1:2">
      <c r="A1657" s="4">
        <v>33780</v>
      </c>
      <c r="B1657" s="3">
        <v>22.73</v>
      </c>
    </row>
    <row r="1658" spans="1:2">
      <c r="A1658" s="4">
        <v>33781</v>
      </c>
      <c r="B1658" s="3">
        <v>22.42</v>
      </c>
    </row>
    <row r="1659" spans="1:2">
      <c r="A1659" s="4">
        <v>33784</v>
      </c>
      <c r="B1659" s="3">
        <v>22.27</v>
      </c>
    </row>
    <row r="1660" spans="1:2">
      <c r="A1660" s="4">
        <v>33785</v>
      </c>
      <c r="B1660" s="3">
        <v>21.84</v>
      </c>
    </row>
    <row r="1661" spans="1:2">
      <c r="A1661" s="4">
        <v>33786</v>
      </c>
      <c r="B1661" s="3">
        <v>21.9</v>
      </c>
    </row>
    <row r="1662" spans="1:2">
      <c r="A1662" s="4">
        <v>33787</v>
      </c>
      <c r="B1662" s="3">
        <v>22.08</v>
      </c>
    </row>
    <row r="1663" spans="1:2">
      <c r="A1663" s="4">
        <v>33788</v>
      </c>
      <c r="B1663" s="3">
        <v>22.08</v>
      </c>
    </row>
    <row r="1664" spans="1:2">
      <c r="A1664" s="4">
        <v>33791</v>
      </c>
      <c r="B1664" s="3">
        <v>21.87</v>
      </c>
    </row>
    <row r="1665" spans="1:2">
      <c r="A1665" s="4">
        <v>33792</v>
      </c>
      <c r="B1665" s="3">
        <v>21.51</v>
      </c>
    </row>
    <row r="1666" spans="1:2">
      <c r="A1666" s="4">
        <v>33793</v>
      </c>
      <c r="B1666" s="3">
        <v>21.38</v>
      </c>
    </row>
    <row r="1667" spans="1:2">
      <c r="A1667" s="4">
        <v>33794</v>
      </c>
      <c r="B1667" s="3">
        <v>21.38</v>
      </c>
    </row>
    <row r="1668" spans="1:2">
      <c r="A1668" s="4">
        <v>33795</v>
      </c>
      <c r="B1668" s="3">
        <v>21.25</v>
      </c>
    </row>
    <row r="1669" spans="1:2">
      <c r="A1669" s="4">
        <v>33798</v>
      </c>
      <c r="B1669" s="3">
        <v>21.38</v>
      </c>
    </row>
    <row r="1670" spans="1:2">
      <c r="A1670" s="4">
        <v>33799</v>
      </c>
      <c r="B1670" s="3">
        <v>21.42</v>
      </c>
    </row>
    <row r="1671" spans="1:2">
      <c r="A1671" s="4">
        <v>33800</v>
      </c>
      <c r="B1671" s="3">
        <v>21.73</v>
      </c>
    </row>
    <row r="1672" spans="1:2">
      <c r="A1672" s="4">
        <v>33801</v>
      </c>
      <c r="B1672" s="3">
        <v>21.8</v>
      </c>
    </row>
    <row r="1673" spans="1:2">
      <c r="A1673" s="4">
        <v>33802</v>
      </c>
      <c r="B1673" s="3">
        <v>21.56</v>
      </c>
    </row>
    <row r="1674" spans="1:2">
      <c r="A1674" s="4">
        <v>33805</v>
      </c>
      <c r="B1674" s="3">
        <v>21.78</v>
      </c>
    </row>
    <row r="1675" spans="1:2">
      <c r="A1675" s="4">
        <v>33806</v>
      </c>
      <c r="B1675" s="3">
        <v>21.91</v>
      </c>
    </row>
    <row r="1676" spans="1:2">
      <c r="A1676" s="4">
        <v>33807</v>
      </c>
      <c r="B1676" s="3">
        <v>21.99</v>
      </c>
    </row>
    <row r="1677" spans="1:2">
      <c r="A1677" s="4">
        <v>33808</v>
      </c>
      <c r="B1677" s="3">
        <v>22.11</v>
      </c>
    </row>
    <row r="1678" spans="1:2">
      <c r="A1678" s="4">
        <v>33809</v>
      </c>
      <c r="B1678" s="3">
        <v>21.95</v>
      </c>
    </row>
    <row r="1679" spans="1:2">
      <c r="A1679" s="4">
        <v>33812</v>
      </c>
      <c r="B1679" s="3">
        <v>22.09</v>
      </c>
    </row>
    <row r="1680" spans="1:2">
      <c r="A1680" s="4">
        <v>33813</v>
      </c>
      <c r="B1680" s="3">
        <v>22.03</v>
      </c>
    </row>
    <row r="1681" spans="1:2">
      <c r="A1681" s="4">
        <v>33814</v>
      </c>
      <c r="B1681" s="3">
        <v>21.98</v>
      </c>
    </row>
    <row r="1682" spans="1:2">
      <c r="A1682" s="4">
        <v>33815</v>
      </c>
      <c r="B1682" s="3">
        <v>21.82</v>
      </c>
    </row>
    <row r="1683" spans="1:2">
      <c r="A1683" s="4">
        <v>33816</v>
      </c>
      <c r="B1683" s="3">
        <v>21.83</v>
      </c>
    </row>
    <row r="1684" spans="1:2">
      <c r="A1684" s="4">
        <v>33819</v>
      </c>
      <c r="B1684" s="3">
        <v>21.6</v>
      </c>
    </row>
    <row r="1685" spans="1:2">
      <c r="A1685" s="4">
        <v>33820</v>
      </c>
      <c r="B1685" s="3">
        <v>21.23</v>
      </c>
    </row>
    <row r="1686" spans="1:2">
      <c r="A1686" s="4">
        <v>33821</v>
      </c>
      <c r="B1686" s="3">
        <v>21.18</v>
      </c>
    </row>
    <row r="1687" spans="1:2">
      <c r="A1687" s="4">
        <v>33822</v>
      </c>
      <c r="B1687" s="3">
        <v>21.41</v>
      </c>
    </row>
    <row r="1688" spans="1:2">
      <c r="A1688" s="4">
        <v>33823</v>
      </c>
      <c r="B1688" s="3">
        <v>21.27</v>
      </c>
    </row>
    <row r="1689" spans="1:2">
      <c r="A1689" s="4">
        <v>33826</v>
      </c>
      <c r="B1689" s="3">
        <v>21.12</v>
      </c>
    </row>
    <row r="1690" spans="1:2">
      <c r="A1690" s="4">
        <v>33827</v>
      </c>
      <c r="B1690" s="3">
        <v>21</v>
      </c>
    </row>
    <row r="1691" spans="1:2">
      <c r="A1691" s="4">
        <v>33828</v>
      </c>
      <c r="B1691" s="3">
        <v>21.13</v>
      </c>
    </row>
    <row r="1692" spans="1:2">
      <c r="A1692" s="4">
        <v>33829</v>
      </c>
      <c r="B1692" s="3">
        <v>21.35</v>
      </c>
    </row>
    <row r="1693" spans="1:2">
      <c r="A1693" s="4">
        <v>33830</v>
      </c>
      <c r="B1693" s="3">
        <v>21.31</v>
      </c>
    </row>
    <row r="1694" spans="1:2">
      <c r="A1694" s="4">
        <v>33833</v>
      </c>
      <c r="B1694" s="3">
        <v>21.47</v>
      </c>
    </row>
    <row r="1695" spans="1:2">
      <c r="A1695" s="4">
        <v>33834</v>
      </c>
      <c r="B1695" s="3">
        <v>21.54</v>
      </c>
    </row>
    <row r="1696" spans="1:2">
      <c r="A1696" s="4">
        <v>33835</v>
      </c>
      <c r="B1696" s="3">
        <v>21.33</v>
      </c>
    </row>
    <row r="1697" spans="1:2">
      <c r="A1697" s="4">
        <v>33836</v>
      </c>
      <c r="B1697" s="3">
        <v>21.4</v>
      </c>
    </row>
    <row r="1698" spans="1:2">
      <c r="A1698" s="4">
        <v>33837</v>
      </c>
      <c r="B1698" s="3">
        <v>21.19</v>
      </c>
    </row>
    <row r="1699" spans="1:2">
      <c r="A1699" s="4">
        <v>33840</v>
      </c>
      <c r="B1699" s="3">
        <v>21.85</v>
      </c>
    </row>
    <row r="1700" spans="1:2">
      <c r="A1700" s="4">
        <v>33841</v>
      </c>
      <c r="B1700" s="3">
        <v>21.6</v>
      </c>
    </row>
    <row r="1701" spans="1:2">
      <c r="A1701" s="4">
        <v>33842</v>
      </c>
      <c r="B1701" s="3">
        <v>21.24</v>
      </c>
    </row>
    <row r="1702" spans="1:2">
      <c r="A1702" s="4">
        <v>33843</v>
      </c>
      <c r="B1702" s="3">
        <v>21.14</v>
      </c>
    </row>
    <row r="1703" spans="1:2">
      <c r="A1703" s="4">
        <v>33844</v>
      </c>
      <c r="B1703" s="3">
        <v>21.3</v>
      </c>
    </row>
    <row r="1704" spans="1:2">
      <c r="A1704" s="4">
        <v>33847</v>
      </c>
      <c r="B1704" s="3">
        <v>21.46</v>
      </c>
    </row>
    <row r="1705" spans="1:2">
      <c r="A1705" s="4">
        <v>33848</v>
      </c>
      <c r="B1705" s="3">
        <v>21.72</v>
      </c>
    </row>
    <row r="1706" spans="1:2">
      <c r="A1706" s="4">
        <v>33849</v>
      </c>
      <c r="B1706" s="3">
        <v>21.65</v>
      </c>
    </row>
    <row r="1707" spans="1:2">
      <c r="A1707" s="4">
        <v>33850</v>
      </c>
      <c r="B1707" s="3">
        <v>21.69</v>
      </c>
    </row>
    <row r="1708" spans="1:2">
      <c r="A1708" s="4">
        <v>33851</v>
      </c>
      <c r="B1708" s="3">
        <v>21.77</v>
      </c>
    </row>
    <row r="1709" spans="1:2">
      <c r="A1709" s="4">
        <v>33854</v>
      </c>
      <c r="B1709" s="3">
        <v>21.77</v>
      </c>
    </row>
    <row r="1710" spans="1:2">
      <c r="A1710" s="4">
        <v>33855</v>
      </c>
      <c r="B1710" s="3">
        <v>21.98</v>
      </c>
    </row>
    <row r="1711" spans="1:2">
      <c r="A1711" s="4">
        <v>33856</v>
      </c>
      <c r="B1711" s="3">
        <v>22</v>
      </c>
    </row>
    <row r="1712" spans="1:2">
      <c r="A1712" s="4">
        <v>33857</v>
      </c>
      <c r="B1712" s="3">
        <v>21.93</v>
      </c>
    </row>
    <row r="1713" spans="1:2">
      <c r="A1713" s="4">
        <v>33858</v>
      </c>
      <c r="B1713" s="3">
        <v>22</v>
      </c>
    </row>
    <row r="1714" spans="1:2">
      <c r="A1714" s="4">
        <v>33861</v>
      </c>
      <c r="B1714" s="3">
        <v>22.35</v>
      </c>
    </row>
    <row r="1715" spans="1:2">
      <c r="A1715" s="4">
        <v>33862</v>
      </c>
      <c r="B1715" s="3">
        <v>22.13</v>
      </c>
    </row>
    <row r="1716" spans="1:2">
      <c r="A1716" s="4">
        <v>33863</v>
      </c>
      <c r="B1716" s="3">
        <v>22.39</v>
      </c>
    </row>
    <row r="1717" spans="1:2">
      <c r="A1717" s="4">
        <v>33864</v>
      </c>
      <c r="B1717" s="3">
        <v>22.23</v>
      </c>
    </row>
    <row r="1718" spans="1:2">
      <c r="A1718" s="4">
        <v>33865</v>
      </c>
      <c r="B1718" s="3">
        <v>21.96</v>
      </c>
    </row>
    <row r="1719" spans="1:2">
      <c r="A1719" s="4">
        <v>33868</v>
      </c>
      <c r="B1719" s="3">
        <v>21.91</v>
      </c>
    </row>
    <row r="1720" spans="1:2">
      <c r="A1720" s="4">
        <v>33869</v>
      </c>
      <c r="B1720" s="3">
        <v>21.78</v>
      </c>
    </row>
    <row r="1721" spans="1:2">
      <c r="A1721" s="4">
        <v>33870</v>
      </c>
      <c r="B1721" s="3">
        <v>21.78</v>
      </c>
    </row>
    <row r="1722" spans="1:2">
      <c r="A1722" s="4">
        <v>33871</v>
      </c>
      <c r="B1722" s="3">
        <v>21.57</v>
      </c>
    </row>
    <row r="1723" spans="1:2">
      <c r="A1723" s="4">
        <v>33872</v>
      </c>
      <c r="B1723" s="3">
        <v>21.51</v>
      </c>
    </row>
    <row r="1724" spans="1:2">
      <c r="A1724" s="4">
        <v>33875</v>
      </c>
      <c r="B1724" s="3">
        <v>21.78</v>
      </c>
    </row>
    <row r="1725" spans="1:2">
      <c r="A1725" s="4">
        <v>33876</v>
      </c>
      <c r="B1725" s="3">
        <v>21.66</v>
      </c>
    </row>
    <row r="1726" spans="1:2">
      <c r="A1726" s="4">
        <v>33877</v>
      </c>
      <c r="B1726" s="3">
        <v>21.83</v>
      </c>
    </row>
    <row r="1727" spans="1:2">
      <c r="A1727" s="4">
        <v>33878</v>
      </c>
      <c r="B1727" s="3">
        <v>21.83</v>
      </c>
    </row>
    <row r="1728" spans="1:2">
      <c r="A1728" s="4">
        <v>33879</v>
      </c>
      <c r="B1728" s="3">
        <v>21.93</v>
      </c>
    </row>
    <row r="1729" spans="1:2">
      <c r="A1729" s="4">
        <v>33882</v>
      </c>
      <c r="B1729" s="3">
        <v>21.76</v>
      </c>
    </row>
    <row r="1730" spans="1:2">
      <c r="A1730" s="4">
        <v>33883</v>
      </c>
      <c r="B1730" s="3">
        <v>21.85</v>
      </c>
    </row>
    <row r="1731" spans="1:2">
      <c r="A1731" s="4">
        <v>33884</v>
      </c>
      <c r="B1731" s="3">
        <v>21.89</v>
      </c>
    </row>
    <row r="1732" spans="1:2">
      <c r="A1732" s="4">
        <v>33885</v>
      </c>
      <c r="B1732" s="3">
        <v>21.99</v>
      </c>
    </row>
    <row r="1733" spans="1:2">
      <c r="A1733" s="4">
        <v>33886</v>
      </c>
      <c r="B1733" s="3">
        <v>21.99</v>
      </c>
    </row>
    <row r="1734" spans="1:2">
      <c r="A1734" s="4">
        <v>33889</v>
      </c>
      <c r="B1734" s="3">
        <v>22.28</v>
      </c>
    </row>
    <row r="1735" spans="1:2">
      <c r="A1735" s="4">
        <v>33890</v>
      </c>
      <c r="B1735" s="3">
        <v>22.12</v>
      </c>
    </row>
    <row r="1736" spans="1:2">
      <c r="A1736" s="4">
        <v>33891</v>
      </c>
      <c r="B1736" s="3">
        <v>22.16</v>
      </c>
    </row>
    <row r="1737" spans="1:2">
      <c r="A1737" s="4">
        <v>33892</v>
      </c>
      <c r="B1737" s="3">
        <v>22.37</v>
      </c>
    </row>
    <row r="1738" spans="1:2">
      <c r="A1738" s="4">
        <v>33893</v>
      </c>
      <c r="B1738" s="3">
        <v>22.31</v>
      </c>
    </row>
    <row r="1739" spans="1:2">
      <c r="A1739" s="4">
        <v>33896</v>
      </c>
      <c r="B1739" s="3">
        <v>22.18</v>
      </c>
    </row>
    <row r="1740" spans="1:2">
      <c r="A1740" s="4">
        <v>33897</v>
      </c>
      <c r="B1740" s="3">
        <v>21.88</v>
      </c>
    </row>
    <row r="1741" spans="1:2">
      <c r="A1741" s="4">
        <v>33898</v>
      </c>
      <c r="B1741" s="3">
        <v>21.49</v>
      </c>
    </row>
    <row r="1742" spans="1:2">
      <c r="A1742" s="4">
        <v>33899</v>
      </c>
      <c r="B1742" s="3">
        <v>21.22</v>
      </c>
    </row>
    <row r="1743" spans="1:2">
      <c r="A1743" s="4">
        <v>33900</v>
      </c>
      <c r="B1743" s="3">
        <v>21.11</v>
      </c>
    </row>
    <row r="1744" spans="1:2">
      <c r="A1744" s="4">
        <v>33903</v>
      </c>
      <c r="B1744" s="3">
        <v>21.14</v>
      </c>
    </row>
    <row r="1745" spans="1:2">
      <c r="A1745" s="4">
        <v>33904</v>
      </c>
      <c r="B1745" s="3">
        <v>21.03</v>
      </c>
    </row>
    <row r="1746" spans="1:2">
      <c r="A1746" s="4">
        <v>33905</v>
      </c>
      <c r="B1746" s="3">
        <v>21.17</v>
      </c>
    </row>
    <row r="1747" spans="1:2">
      <c r="A1747" s="4">
        <v>33906</v>
      </c>
      <c r="B1747" s="3">
        <v>20.71</v>
      </c>
    </row>
    <row r="1748" spans="1:2">
      <c r="A1748" s="4">
        <v>33907</v>
      </c>
      <c r="B1748" s="3">
        <v>20.68</v>
      </c>
    </row>
    <row r="1749" spans="1:2">
      <c r="A1749" s="4">
        <v>33910</v>
      </c>
      <c r="B1749" s="3">
        <v>20.77</v>
      </c>
    </row>
    <row r="1750" spans="1:2">
      <c r="A1750" s="4">
        <v>33911</v>
      </c>
      <c r="B1750" s="3">
        <v>20.6</v>
      </c>
    </row>
    <row r="1751" spans="1:2">
      <c r="A1751" s="4">
        <v>33912</v>
      </c>
      <c r="B1751" s="3">
        <v>20.329999999999998</v>
      </c>
    </row>
    <row r="1752" spans="1:2">
      <c r="A1752" s="4">
        <v>33913</v>
      </c>
      <c r="B1752" s="3">
        <v>20.62</v>
      </c>
    </row>
    <row r="1753" spans="1:2">
      <c r="A1753" s="4">
        <v>33914</v>
      </c>
      <c r="B1753" s="3">
        <v>20.260000000000002</v>
      </c>
    </row>
    <row r="1754" spans="1:2">
      <c r="A1754" s="4">
        <v>33917</v>
      </c>
      <c r="B1754" s="3">
        <v>20.63</v>
      </c>
    </row>
    <row r="1755" spans="1:2">
      <c r="A1755" s="4">
        <v>33918</v>
      </c>
      <c r="B1755" s="3">
        <v>20.54</v>
      </c>
    </row>
    <row r="1756" spans="1:2">
      <c r="A1756" s="4">
        <v>33919</v>
      </c>
      <c r="B1756" s="3">
        <v>20.46</v>
      </c>
    </row>
    <row r="1757" spans="1:2">
      <c r="A1757" s="4">
        <v>33920</v>
      </c>
      <c r="B1757" s="3">
        <v>20.190000000000001</v>
      </c>
    </row>
    <row r="1758" spans="1:2">
      <c r="A1758" s="4">
        <v>33921</v>
      </c>
      <c r="B1758" s="3">
        <v>20.04</v>
      </c>
    </row>
    <row r="1759" spans="1:2">
      <c r="A1759" s="4">
        <v>33924</v>
      </c>
      <c r="B1759" s="3">
        <v>20.37</v>
      </c>
    </row>
    <row r="1760" spans="1:2">
      <c r="A1760" s="4">
        <v>33925</v>
      </c>
      <c r="B1760" s="3">
        <v>20.32</v>
      </c>
    </row>
    <row r="1761" spans="1:2">
      <c r="A1761" s="4">
        <v>33926</v>
      </c>
      <c r="B1761" s="3">
        <v>20.21</v>
      </c>
    </row>
    <row r="1762" spans="1:2">
      <c r="A1762" s="4">
        <v>33927</v>
      </c>
      <c r="B1762" s="3">
        <v>20.5</v>
      </c>
    </row>
    <row r="1763" spans="1:2">
      <c r="A1763" s="4">
        <v>33928</v>
      </c>
      <c r="B1763" s="3">
        <v>20.37</v>
      </c>
    </row>
    <row r="1764" spans="1:2">
      <c r="A1764" s="4">
        <v>33931</v>
      </c>
      <c r="B1764" s="3">
        <v>20.010000000000002</v>
      </c>
    </row>
    <row r="1765" spans="1:2">
      <c r="A1765" s="4">
        <v>33932</v>
      </c>
      <c r="B1765" s="3">
        <v>20.059999999999999</v>
      </c>
    </row>
    <row r="1766" spans="1:2">
      <c r="A1766" s="4">
        <v>33933</v>
      </c>
      <c r="B1766" s="3">
        <v>20.29</v>
      </c>
    </row>
    <row r="1767" spans="1:2">
      <c r="A1767" s="4">
        <v>33935</v>
      </c>
      <c r="B1767" s="3">
        <v>20.29</v>
      </c>
    </row>
    <row r="1768" spans="1:2">
      <c r="A1768" s="4">
        <v>33938</v>
      </c>
      <c r="B1768" s="3">
        <v>19.91</v>
      </c>
    </row>
    <row r="1769" spans="1:2">
      <c r="A1769" s="4">
        <v>33939</v>
      </c>
      <c r="B1769" s="3">
        <v>19.559999999999999</v>
      </c>
    </row>
    <row r="1770" spans="1:2">
      <c r="A1770" s="4">
        <v>33940</v>
      </c>
      <c r="B1770" s="3">
        <v>19.38</v>
      </c>
    </row>
    <row r="1771" spans="1:2">
      <c r="A1771" s="4">
        <v>33941</v>
      </c>
      <c r="B1771" s="3">
        <v>19.079999999999998</v>
      </c>
    </row>
    <row r="1772" spans="1:2">
      <c r="A1772" s="4">
        <v>33942</v>
      </c>
      <c r="B1772" s="3">
        <v>18.95</v>
      </c>
    </row>
    <row r="1773" spans="1:2">
      <c r="A1773" s="4">
        <v>33945</v>
      </c>
      <c r="B1773" s="3">
        <v>19.170000000000002</v>
      </c>
    </row>
    <row r="1774" spans="1:2">
      <c r="A1774" s="4">
        <v>33946</v>
      </c>
      <c r="B1774" s="3">
        <v>18.690000000000001</v>
      </c>
    </row>
    <row r="1775" spans="1:2">
      <c r="A1775" s="4">
        <v>33947</v>
      </c>
      <c r="B1775" s="3">
        <v>18.86</v>
      </c>
    </row>
    <row r="1776" spans="1:2">
      <c r="A1776" s="4">
        <v>33948</v>
      </c>
      <c r="B1776" s="3">
        <v>19.260000000000002</v>
      </c>
    </row>
    <row r="1777" spans="1:2">
      <c r="A1777" s="4">
        <v>33949</v>
      </c>
      <c r="B1777" s="3">
        <v>19.09</v>
      </c>
    </row>
    <row r="1778" spans="1:2">
      <c r="A1778" s="4">
        <v>33952</v>
      </c>
      <c r="B1778" s="3">
        <v>19.059999999999999</v>
      </c>
    </row>
    <row r="1779" spans="1:2">
      <c r="A1779" s="4">
        <v>33953</v>
      </c>
      <c r="B1779" s="3">
        <v>18.940000000000001</v>
      </c>
    </row>
    <row r="1780" spans="1:2">
      <c r="A1780" s="4">
        <v>33954</v>
      </c>
      <c r="B1780" s="3">
        <v>19.420000000000002</v>
      </c>
    </row>
    <row r="1781" spans="1:2">
      <c r="A1781" s="4">
        <v>33955</v>
      </c>
      <c r="B1781" s="3">
        <v>19.68</v>
      </c>
    </row>
    <row r="1782" spans="1:2">
      <c r="A1782" s="4">
        <v>33956</v>
      </c>
      <c r="B1782" s="3">
        <v>19.809999999999999</v>
      </c>
    </row>
    <row r="1783" spans="1:2">
      <c r="A1783" s="4">
        <v>33959</v>
      </c>
      <c r="B1783" s="3">
        <v>19.920000000000002</v>
      </c>
    </row>
    <row r="1784" spans="1:2">
      <c r="A1784" s="4">
        <v>33960</v>
      </c>
      <c r="B1784" s="3">
        <v>19.79</v>
      </c>
    </row>
    <row r="1785" spans="1:2">
      <c r="A1785" s="4">
        <v>33961</v>
      </c>
      <c r="B1785" s="3">
        <v>19.97</v>
      </c>
    </row>
    <row r="1786" spans="1:2">
      <c r="A1786" s="4">
        <v>33962</v>
      </c>
      <c r="B1786" s="3">
        <v>19.97</v>
      </c>
    </row>
    <row r="1787" spans="1:2">
      <c r="A1787" s="4">
        <v>33966</v>
      </c>
      <c r="B1787" s="3">
        <v>19.77</v>
      </c>
    </row>
    <row r="1788" spans="1:2">
      <c r="A1788" s="4">
        <v>33967</v>
      </c>
      <c r="B1788" s="3">
        <v>19.62</v>
      </c>
    </row>
    <row r="1789" spans="1:2">
      <c r="A1789" s="4">
        <v>33968</v>
      </c>
      <c r="B1789" s="3">
        <v>19.63</v>
      </c>
    </row>
    <row r="1790" spans="1:2">
      <c r="A1790" s="4">
        <v>33969</v>
      </c>
      <c r="B1790" s="3">
        <v>19.489999999999998</v>
      </c>
    </row>
    <row r="1791" spans="1:2">
      <c r="A1791" s="4">
        <v>33973</v>
      </c>
      <c r="B1791" s="3">
        <v>19.03</v>
      </c>
    </row>
    <row r="1792" spans="1:2">
      <c r="A1792" s="4">
        <v>33974</v>
      </c>
      <c r="B1792" s="3">
        <v>19.13</v>
      </c>
    </row>
    <row r="1793" spans="1:2">
      <c r="A1793" s="4">
        <v>33975</v>
      </c>
      <c r="B1793" s="3">
        <v>19.03</v>
      </c>
    </row>
    <row r="1794" spans="1:2">
      <c r="A1794" s="4">
        <v>33976</v>
      </c>
      <c r="B1794" s="3">
        <v>18.920000000000002</v>
      </c>
    </row>
    <row r="1795" spans="1:2">
      <c r="A1795" s="4">
        <v>33977</v>
      </c>
      <c r="B1795" s="3">
        <v>18.899999999999999</v>
      </c>
    </row>
    <row r="1796" spans="1:2">
      <c r="A1796" s="4">
        <v>33980</v>
      </c>
      <c r="B1796" s="3">
        <v>18.78</v>
      </c>
    </row>
    <row r="1797" spans="1:2">
      <c r="A1797" s="4">
        <v>33981</v>
      </c>
      <c r="B1797" s="3">
        <v>18.21</v>
      </c>
    </row>
    <row r="1798" spans="1:2">
      <c r="A1798" s="4">
        <v>33982</v>
      </c>
      <c r="B1798" s="3">
        <v>18.510000000000002</v>
      </c>
    </row>
    <row r="1799" spans="1:2">
      <c r="A1799" s="4">
        <v>33983</v>
      </c>
      <c r="B1799" s="3">
        <v>18.71</v>
      </c>
    </row>
    <row r="1800" spans="1:2">
      <c r="A1800" s="4">
        <v>33984</v>
      </c>
      <c r="B1800" s="3">
        <v>18.89</v>
      </c>
    </row>
    <row r="1801" spans="1:2">
      <c r="A1801" s="4">
        <v>33987</v>
      </c>
      <c r="B1801" s="3">
        <v>18.940000000000001</v>
      </c>
    </row>
    <row r="1802" spans="1:2">
      <c r="A1802" s="4">
        <v>33988</v>
      </c>
      <c r="B1802" s="3">
        <v>18.399999999999999</v>
      </c>
    </row>
    <row r="1803" spans="1:2">
      <c r="A1803" s="4">
        <v>33989</v>
      </c>
      <c r="B1803" s="3">
        <v>18.350000000000001</v>
      </c>
    </row>
    <row r="1804" spans="1:2">
      <c r="A1804" s="4">
        <v>33990</v>
      </c>
      <c r="B1804" s="3">
        <v>18.71</v>
      </c>
    </row>
    <row r="1805" spans="1:2">
      <c r="A1805" s="4">
        <v>33991</v>
      </c>
      <c r="B1805" s="3">
        <v>18.64</v>
      </c>
    </row>
    <row r="1806" spans="1:2">
      <c r="A1806" s="4">
        <v>33994</v>
      </c>
      <c r="B1806" s="3">
        <v>19.510000000000002</v>
      </c>
    </row>
    <row r="1807" spans="1:2">
      <c r="A1807" s="4">
        <v>33995</v>
      </c>
      <c r="B1807" s="3">
        <v>19.670000000000002</v>
      </c>
    </row>
    <row r="1808" spans="1:2">
      <c r="A1808" s="4">
        <v>33996</v>
      </c>
      <c r="B1808" s="3">
        <v>19.66</v>
      </c>
    </row>
    <row r="1809" spans="1:2">
      <c r="A1809" s="4">
        <v>33997</v>
      </c>
      <c r="B1809" s="3">
        <v>20.38</v>
      </c>
    </row>
    <row r="1810" spans="1:2">
      <c r="A1810" s="4">
        <v>33998</v>
      </c>
      <c r="B1810" s="3">
        <v>20.27</v>
      </c>
    </row>
    <row r="1811" spans="1:2">
      <c r="A1811" s="4">
        <v>34001</v>
      </c>
      <c r="B1811" s="3">
        <v>20.32</v>
      </c>
    </row>
    <row r="1812" spans="1:2">
      <c r="A1812" s="4">
        <v>34002</v>
      </c>
      <c r="B1812" s="3">
        <v>20</v>
      </c>
    </row>
    <row r="1813" spans="1:2">
      <c r="A1813" s="4">
        <v>34004</v>
      </c>
      <c r="B1813" s="3">
        <v>20.29</v>
      </c>
    </row>
    <row r="1814" spans="1:2">
      <c r="A1814" s="4">
        <v>34005</v>
      </c>
      <c r="B1814" s="3">
        <v>20.27</v>
      </c>
    </row>
    <row r="1815" spans="1:2">
      <c r="A1815" s="4">
        <v>34008</v>
      </c>
      <c r="B1815" s="3">
        <v>20.07</v>
      </c>
    </row>
    <row r="1816" spans="1:2">
      <c r="A1816" s="4">
        <v>34009</v>
      </c>
      <c r="B1816" s="3">
        <v>20.12</v>
      </c>
    </row>
    <row r="1817" spans="1:2">
      <c r="A1817" s="4">
        <v>34010</v>
      </c>
      <c r="B1817" s="3">
        <v>20.2</v>
      </c>
    </row>
    <row r="1818" spans="1:2">
      <c r="A1818" s="4">
        <v>34011</v>
      </c>
      <c r="B1818" s="3">
        <v>20.29</v>
      </c>
    </row>
    <row r="1819" spans="1:2">
      <c r="A1819" s="4">
        <v>34012</v>
      </c>
      <c r="B1819" s="3">
        <v>19.96</v>
      </c>
    </row>
    <row r="1820" spans="1:2">
      <c r="A1820" s="4">
        <v>34016</v>
      </c>
      <c r="B1820" s="3">
        <v>19.59</v>
      </c>
    </row>
    <row r="1821" spans="1:2">
      <c r="A1821" s="4">
        <v>34017</v>
      </c>
      <c r="B1821" s="3">
        <v>19.3</v>
      </c>
    </row>
    <row r="1822" spans="1:2">
      <c r="A1822" s="4">
        <v>34018</v>
      </c>
      <c r="B1822" s="3">
        <v>19.440000000000001</v>
      </c>
    </row>
    <row r="1823" spans="1:2">
      <c r="A1823" s="4">
        <v>34019</v>
      </c>
      <c r="B1823" s="3">
        <v>19.690000000000001</v>
      </c>
    </row>
    <row r="1824" spans="1:2">
      <c r="A1824" s="4">
        <v>34022</v>
      </c>
      <c r="B1824" s="3">
        <v>20.079999999999998</v>
      </c>
    </row>
    <row r="1825" spans="1:2">
      <c r="A1825" s="4">
        <v>34023</v>
      </c>
      <c r="B1825" s="3">
        <v>20.49</v>
      </c>
    </row>
    <row r="1826" spans="1:2">
      <c r="A1826" s="4">
        <v>34024</v>
      </c>
      <c r="B1826" s="3">
        <v>20.28</v>
      </c>
    </row>
    <row r="1827" spans="1:2">
      <c r="A1827" s="4">
        <v>34025</v>
      </c>
      <c r="B1827" s="3">
        <v>20.63</v>
      </c>
    </row>
    <row r="1828" spans="1:2">
      <c r="A1828" s="4">
        <v>34026</v>
      </c>
      <c r="B1828" s="3">
        <v>20.53</v>
      </c>
    </row>
    <row r="1829" spans="1:2">
      <c r="A1829" s="4">
        <v>34029</v>
      </c>
      <c r="B1829" s="3">
        <v>20.62</v>
      </c>
    </row>
    <row r="1830" spans="1:2">
      <c r="A1830" s="4">
        <v>34030</v>
      </c>
      <c r="B1830" s="3">
        <v>20.48</v>
      </c>
    </row>
    <row r="1831" spans="1:2">
      <c r="A1831" s="4">
        <v>34031</v>
      </c>
      <c r="B1831" s="3">
        <v>20.46</v>
      </c>
    </row>
    <row r="1832" spans="1:2">
      <c r="A1832" s="4">
        <v>34032</v>
      </c>
      <c r="B1832" s="3">
        <v>21.05</v>
      </c>
    </row>
    <row r="1833" spans="1:2">
      <c r="A1833" s="4">
        <v>34033</v>
      </c>
      <c r="B1833" s="3">
        <v>20.85</v>
      </c>
    </row>
    <row r="1834" spans="1:2">
      <c r="A1834" s="4">
        <v>34036</v>
      </c>
      <c r="B1834" s="3">
        <v>20.63</v>
      </c>
    </row>
    <row r="1835" spans="1:2">
      <c r="A1835" s="4">
        <v>34037</v>
      </c>
      <c r="B1835" s="3">
        <v>20.71</v>
      </c>
    </row>
    <row r="1836" spans="1:2">
      <c r="A1836" s="4">
        <v>34038</v>
      </c>
      <c r="B1836" s="3">
        <v>20.420000000000002</v>
      </c>
    </row>
    <row r="1837" spans="1:2">
      <c r="A1837" s="4">
        <v>34039</v>
      </c>
      <c r="B1837" s="3">
        <v>20.12</v>
      </c>
    </row>
    <row r="1838" spans="1:2">
      <c r="A1838" s="4">
        <v>34040</v>
      </c>
      <c r="B1838" s="3">
        <v>20.38</v>
      </c>
    </row>
    <row r="1839" spans="1:2">
      <c r="A1839" s="4">
        <v>34043</v>
      </c>
      <c r="B1839" s="3">
        <v>20.18</v>
      </c>
    </row>
    <row r="1840" spans="1:2">
      <c r="A1840" s="4">
        <v>34044</v>
      </c>
      <c r="B1840" s="3">
        <v>20.04</v>
      </c>
    </row>
    <row r="1841" spans="1:2">
      <c r="A1841" s="4">
        <v>34045</v>
      </c>
      <c r="B1841" s="3">
        <v>20.14</v>
      </c>
    </row>
    <row r="1842" spans="1:2">
      <c r="A1842" s="4">
        <v>34046</v>
      </c>
      <c r="B1842" s="3">
        <v>20.29</v>
      </c>
    </row>
    <row r="1843" spans="1:2">
      <c r="A1843" s="4">
        <v>34047</v>
      </c>
      <c r="B1843" s="3">
        <v>20.05</v>
      </c>
    </row>
    <row r="1844" spans="1:2">
      <c r="A1844" s="4">
        <v>34050</v>
      </c>
      <c r="B1844" s="3">
        <v>19.52</v>
      </c>
    </row>
    <row r="1845" spans="1:2">
      <c r="A1845" s="4">
        <v>34051</v>
      </c>
      <c r="B1845" s="3">
        <v>19.98</v>
      </c>
    </row>
    <row r="1846" spans="1:2">
      <c r="A1846" s="4">
        <v>34052</v>
      </c>
      <c r="B1846" s="3">
        <v>19.97</v>
      </c>
    </row>
    <row r="1847" spans="1:2">
      <c r="A1847" s="4">
        <v>34053</v>
      </c>
      <c r="B1847" s="3">
        <v>20.12</v>
      </c>
    </row>
    <row r="1848" spans="1:2">
      <c r="A1848" s="4">
        <v>34054</v>
      </c>
      <c r="B1848" s="3">
        <v>20.420000000000002</v>
      </c>
    </row>
    <row r="1849" spans="1:2">
      <c r="A1849" s="4">
        <v>34057</v>
      </c>
      <c r="B1849" s="3">
        <v>20.27</v>
      </c>
    </row>
    <row r="1850" spans="1:2">
      <c r="A1850" s="4">
        <v>34058</v>
      </c>
      <c r="B1850" s="3">
        <v>20.27</v>
      </c>
    </row>
    <row r="1851" spans="1:2">
      <c r="A1851" s="4">
        <v>34059</v>
      </c>
      <c r="B1851" s="3">
        <v>20.440000000000001</v>
      </c>
    </row>
    <row r="1852" spans="1:2">
      <c r="A1852" s="4">
        <v>34060</v>
      </c>
      <c r="B1852" s="3">
        <v>20.54</v>
      </c>
    </row>
    <row r="1853" spans="1:2">
      <c r="A1853" s="4">
        <v>34061</v>
      </c>
      <c r="B1853" s="3">
        <v>20.67</v>
      </c>
    </row>
    <row r="1854" spans="1:2">
      <c r="A1854" s="4">
        <v>34064</v>
      </c>
      <c r="B1854" s="3">
        <v>20.59</v>
      </c>
    </row>
    <row r="1855" spans="1:2">
      <c r="A1855" s="4">
        <v>34065</v>
      </c>
      <c r="B1855" s="3">
        <v>20.329999999999998</v>
      </c>
    </row>
    <row r="1856" spans="1:2">
      <c r="A1856" s="4">
        <v>34066</v>
      </c>
      <c r="B1856" s="3">
        <v>20.350000000000001</v>
      </c>
    </row>
    <row r="1857" spans="1:2">
      <c r="A1857" s="4">
        <v>34067</v>
      </c>
      <c r="B1857" s="3">
        <v>20.22</v>
      </c>
    </row>
    <row r="1858" spans="1:2">
      <c r="A1858" s="4">
        <v>34071</v>
      </c>
      <c r="B1858" s="3">
        <v>20.43</v>
      </c>
    </row>
    <row r="1859" spans="1:2">
      <c r="A1859" s="4">
        <v>34072</v>
      </c>
      <c r="B1859" s="3">
        <v>20.28</v>
      </c>
    </row>
    <row r="1860" spans="1:2">
      <c r="A1860" s="4">
        <v>34073</v>
      </c>
      <c r="B1860" s="3">
        <v>20.38</v>
      </c>
    </row>
    <row r="1861" spans="1:2">
      <c r="A1861" s="4">
        <v>34074</v>
      </c>
      <c r="B1861" s="3">
        <v>20.21</v>
      </c>
    </row>
    <row r="1862" spans="1:2">
      <c r="A1862" s="4">
        <v>34075</v>
      </c>
      <c r="B1862" s="3">
        <v>20.09</v>
      </c>
    </row>
    <row r="1863" spans="1:2">
      <c r="A1863" s="4">
        <v>34078</v>
      </c>
      <c r="B1863" s="3">
        <v>19.989999999999998</v>
      </c>
    </row>
    <row r="1864" spans="1:2">
      <c r="A1864" s="4">
        <v>34079</v>
      </c>
      <c r="B1864" s="3">
        <v>20.05</v>
      </c>
    </row>
    <row r="1865" spans="1:2">
      <c r="A1865" s="4">
        <v>34080</v>
      </c>
      <c r="B1865" s="3">
        <v>19.989999999999998</v>
      </c>
    </row>
    <row r="1866" spans="1:2">
      <c r="A1866" s="4">
        <v>34081</v>
      </c>
      <c r="B1866" s="3">
        <v>19.79</v>
      </c>
    </row>
    <row r="1867" spans="1:2">
      <c r="A1867" s="4">
        <v>34082</v>
      </c>
      <c r="B1867" s="3">
        <v>19.93</v>
      </c>
    </row>
    <row r="1868" spans="1:2">
      <c r="A1868" s="4">
        <v>34085</v>
      </c>
      <c r="B1868" s="3">
        <v>19.829999999999998</v>
      </c>
    </row>
    <row r="1869" spans="1:2">
      <c r="A1869" s="4">
        <v>34086</v>
      </c>
      <c r="B1869" s="3">
        <v>20.21</v>
      </c>
    </row>
    <row r="1870" spans="1:2">
      <c r="A1870" s="4">
        <v>34088</v>
      </c>
      <c r="B1870" s="3">
        <v>20.63</v>
      </c>
    </row>
    <row r="1871" spans="1:2">
      <c r="A1871" s="4">
        <v>34089</v>
      </c>
      <c r="B1871" s="3">
        <v>20.54</v>
      </c>
    </row>
    <row r="1872" spans="1:2">
      <c r="A1872" s="4">
        <v>34092</v>
      </c>
      <c r="B1872" s="3">
        <v>20.58</v>
      </c>
    </row>
    <row r="1873" spans="1:2">
      <c r="A1873" s="4">
        <v>34093</v>
      </c>
      <c r="B1873" s="3">
        <v>20.399999999999999</v>
      </c>
    </row>
    <row r="1874" spans="1:2">
      <c r="A1874" s="4">
        <v>34094</v>
      </c>
      <c r="B1874" s="3">
        <v>20.46</v>
      </c>
    </row>
    <row r="1875" spans="1:2">
      <c r="A1875" s="4">
        <v>34095</v>
      </c>
      <c r="B1875" s="3">
        <v>20.49</v>
      </c>
    </row>
    <row r="1876" spans="1:2">
      <c r="A1876" s="4">
        <v>34096</v>
      </c>
      <c r="B1876" s="3">
        <v>20.43</v>
      </c>
    </row>
    <row r="1877" spans="1:2">
      <c r="A1877" s="4">
        <v>34099</v>
      </c>
      <c r="B1877" s="3">
        <v>20.420000000000002</v>
      </c>
    </row>
    <row r="1878" spans="1:2">
      <c r="A1878" s="4">
        <v>34100</v>
      </c>
      <c r="B1878" s="3">
        <v>20.38</v>
      </c>
    </row>
    <row r="1879" spans="1:2">
      <c r="A1879" s="4">
        <v>34101</v>
      </c>
      <c r="B1879" s="3">
        <v>20.190000000000001</v>
      </c>
    </row>
    <row r="1880" spans="1:2">
      <c r="A1880" s="4">
        <v>34102</v>
      </c>
      <c r="B1880" s="3">
        <v>19.8</v>
      </c>
    </row>
    <row r="1881" spans="1:2">
      <c r="A1881" s="4">
        <v>34103</v>
      </c>
      <c r="B1881" s="3">
        <v>19.510000000000002</v>
      </c>
    </row>
    <row r="1882" spans="1:2">
      <c r="A1882" s="4">
        <v>34106</v>
      </c>
      <c r="B1882" s="3">
        <v>19.510000000000002</v>
      </c>
    </row>
    <row r="1883" spans="1:2">
      <c r="A1883" s="4">
        <v>34107</v>
      </c>
      <c r="B1883" s="3">
        <v>19.32</v>
      </c>
    </row>
    <row r="1884" spans="1:2">
      <c r="A1884" s="4">
        <v>34108</v>
      </c>
      <c r="B1884" s="3">
        <v>19.149999999999999</v>
      </c>
    </row>
    <row r="1885" spans="1:2">
      <c r="A1885" s="4">
        <v>34109</v>
      </c>
      <c r="B1885" s="3">
        <v>19.559999999999999</v>
      </c>
    </row>
    <row r="1886" spans="1:2">
      <c r="A1886" s="4">
        <v>34110</v>
      </c>
      <c r="B1886" s="3">
        <v>19.600000000000001</v>
      </c>
    </row>
    <row r="1887" spans="1:2">
      <c r="A1887" s="4">
        <v>34113</v>
      </c>
      <c r="B1887" s="3">
        <v>19.43</v>
      </c>
    </row>
    <row r="1888" spans="1:2">
      <c r="A1888" s="4">
        <v>34114</v>
      </c>
      <c r="B1888" s="3">
        <v>19.75</v>
      </c>
    </row>
    <row r="1889" spans="1:2">
      <c r="A1889" s="4">
        <v>34115</v>
      </c>
      <c r="B1889" s="3">
        <v>19.920000000000002</v>
      </c>
    </row>
    <row r="1890" spans="1:2">
      <c r="A1890" s="4">
        <v>34116</v>
      </c>
      <c r="B1890" s="3">
        <v>20.05</v>
      </c>
    </row>
    <row r="1891" spans="1:2">
      <c r="A1891" s="4">
        <v>34117</v>
      </c>
      <c r="B1891" s="3">
        <v>20.04</v>
      </c>
    </row>
    <row r="1892" spans="1:2">
      <c r="A1892" s="4">
        <v>34121</v>
      </c>
      <c r="B1892" s="3">
        <v>20.2</v>
      </c>
    </row>
    <row r="1893" spans="1:2">
      <c r="A1893" s="4">
        <v>34122</v>
      </c>
      <c r="B1893" s="3">
        <v>20.05</v>
      </c>
    </row>
    <row r="1894" spans="1:2">
      <c r="A1894" s="4">
        <v>34123</v>
      </c>
      <c r="B1894" s="3">
        <v>19.77</v>
      </c>
    </row>
    <row r="1895" spans="1:2">
      <c r="A1895" s="4">
        <v>34124</v>
      </c>
      <c r="B1895" s="3">
        <v>19.79</v>
      </c>
    </row>
    <row r="1896" spans="1:2">
      <c r="A1896" s="4">
        <v>34127</v>
      </c>
      <c r="B1896" s="3">
        <v>19.600000000000001</v>
      </c>
    </row>
    <row r="1897" spans="1:2">
      <c r="A1897" s="4">
        <v>34128</v>
      </c>
      <c r="B1897" s="3">
        <v>19.649999999999999</v>
      </c>
    </row>
    <row r="1898" spans="1:2">
      <c r="A1898" s="4">
        <v>34129</v>
      </c>
      <c r="B1898" s="3">
        <v>19.66</v>
      </c>
    </row>
    <row r="1899" spans="1:2">
      <c r="A1899" s="4">
        <v>34130</v>
      </c>
      <c r="B1899" s="3">
        <v>19.27</v>
      </c>
    </row>
    <row r="1900" spans="1:2">
      <c r="A1900" s="4">
        <v>34131</v>
      </c>
      <c r="B1900" s="3">
        <v>18.989999999999998</v>
      </c>
    </row>
    <row r="1901" spans="1:2">
      <c r="A1901" s="4">
        <v>34134</v>
      </c>
      <c r="B1901" s="3">
        <v>18.899999999999999</v>
      </c>
    </row>
    <row r="1902" spans="1:2">
      <c r="A1902" s="4">
        <v>34135</v>
      </c>
      <c r="B1902" s="3">
        <v>18.600000000000001</v>
      </c>
    </row>
    <row r="1903" spans="1:2">
      <c r="A1903" s="4">
        <v>34136</v>
      </c>
      <c r="B1903" s="3">
        <v>18.87</v>
      </c>
    </row>
    <row r="1904" spans="1:2">
      <c r="A1904" s="4">
        <v>34137</v>
      </c>
      <c r="B1904" s="3">
        <v>18.7</v>
      </c>
    </row>
    <row r="1905" spans="1:2">
      <c r="A1905" s="4">
        <v>34138</v>
      </c>
      <c r="B1905" s="3">
        <v>18.71</v>
      </c>
    </row>
    <row r="1906" spans="1:2">
      <c r="A1906" s="4">
        <v>34141</v>
      </c>
      <c r="B1906" s="3">
        <v>18.63</v>
      </c>
    </row>
    <row r="1907" spans="1:2">
      <c r="A1907" s="4">
        <v>34142</v>
      </c>
      <c r="B1907" s="3">
        <v>18.350000000000001</v>
      </c>
    </row>
    <row r="1908" spans="1:2">
      <c r="A1908" s="4">
        <v>34143</v>
      </c>
      <c r="B1908" s="3">
        <v>18.440000000000001</v>
      </c>
    </row>
    <row r="1909" spans="1:2">
      <c r="A1909" s="4">
        <v>34144</v>
      </c>
      <c r="B1909" s="3">
        <v>18.36</v>
      </c>
    </row>
    <row r="1910" spans="1:2">
      <c r="A1910" s="4">
        <v>34145</v>
      </c>
      <c r="B1910" s="3">
        <v>18.829999999999998</v>
      </c>
    </row>
    <row r="1911" spans="1:2">
      <c r="A1911" s="4">
        <v>34148</v>
      </c>
      <c r="B1911" s="3">
        <v>18.89</v>
      </c>
    </row>
    <row r="1912" spans="1:2">
      <c r="A1912" s="4">
        <v>34149</v>
      </c>
      <c r="B1912" s="3">
        <v>18.989999999999998</v>
      </c>
    </row>
    <row r="1913" spans="1:2">
      <c r="A1913" s="4">
        <v>34150</v>
      </c>
      <c r="B1913" s="3">
        <v>18.82</v>
      </c>
    </row>
    <row r="1914" spans="1:2">
      <c r="A1914" s="4">
        <v>34151</v>
      </c>
      <c r="B1914" s="3">
        <v>18.440000000000001</v>
      </c>
    </row>
    <row r="1915" spans="1:2">
      <c r="A1915" s="4">
        <v>34152</v>
      </c>
      <c r="B1915" s="3">
        <v>17.93</v>
      </c>
    </row>
    <row r="1916" spans="1:2">
      <c r="A1916" s="4">
        <v>34156</v>
      </c>
      <c r="B1916" s="3">
        <v>18.29</v>
      </c>
    </row>
    <row r="1917" spans="1:2">
      <c r="A1917" s="4">
        <v>34157</v>
      </c>
      <c r="B1917" s="3">
        <v>18.059999999999999</v>
      </c>
    </row>
    <row r="1918" spans="1:2">
      <c r="A1918" s="4">
        <v>34158</v>
      </c>
      <c r="B1918" s="3">
        <v>17.79</v>
      </c>
    </row>
    <row r="1919" spans="1:2">
      <c r="A1919" s="4">
        <v>34159</v>
      </c>
      <c r="B1919" s="3">
        <v>17.920000000000002</v>
      </c>
    </row>
    <row r="1920" spans="1:2">
      <c r="A1920" s="4">
        <v>34162</v>
      </c>
      <c r="B1920" s="3">
        <v>18.12</v>
      </c>
    </row>
    <row r="1921" spans="1:2">
      <c r="A1921" s="4">
        <v>34163</v>
      </c>
      <c r="B1921" s="3">
        <v>18.05</v>
      </c>
    </row>
    <row r="1922" spans="1:2">
      <c r="A1922" s="4">
        <v>34164</v>
      </c>
      <c r="B1922" s="3">
        <v>17.43</v>
      </c>
    </row>
    <row r="1923" spans="1:2">
      <c r="A1923" s="4">
        <v>34165</v>
      </c>
      <c r="B1923" s="3">
        <v>17.73</v>
      </c>
    </row>
    <row r="1924" spans="1:2">
      <c r="A1924" s="4">
        <v>34166</v>
      </c>
      <c r="B1924" s="3">
        <v>17.29</v>
      </c>
    </row>
    <row r="1925" spans="1:2">
      <c r="A1925" s="4">
        <v>34169</v>
      </c>
      <c r="B1925" s="3">
        <v>17.68</v>
      </c>
    </row>
    <row r="1926" spans="1:2">
      <c r="A1926" s="4">
        <v>34170</v>
      </c>
      <c r="B1926" s="3">
        <v>17.2</v>
      </c>
    </row>
    <row r="1927" spans="1:2">
      <c r="A1927" s="4">
        <v>34171</v>
      </c>
      <c r="B1927" s="3">
        <v>17.600000000000001</v>
      </c>
    </row>
    <row r="1928" spans="1:2">
      <c r="A1928" s="4">
        <v>34172</v>
      </c>
      <c r="B1928" s="3">
        <v>17.57</v>
      </c>
    </row>
    <row r="1929" spans="1:2">
      <c r="A1929" s="4">
        <v>34173</v>
      </c>
      <c r="B1929" s="3">
        <v>17.670000000000002</v>
      </c>
    </row>
    <row r="1930" spans="1:2">
      <c r="A1930" s="4">
        <v>34176</v>
      </c>
      <c r="B1930" s="3">
        <v>18.11</v>
      </c>
    </row>
    <row r="1931" spans="1:2">
      <c r="A1931" s="4">
        <v>34177</v>
      </c>
      <c r="B1931" s="3">
        <v>18.5</v>
      </c>
    </row>
    <row r="1932" spans="1:2">
      <c r="A1932" s="4">
        <v>34178</v>
      </c>
      <c r="B1932" s="3">
        <v>18.25</v>
      </c>
    </row>
    <row r="1933" spans="1:2">
      <c r="A1933" s="4">
        <v>34179</v>
      </c>
      <c r="B1933" s="3">
        <v>18.12</v>
      </c>
    </row>
    <row r="1934" spans="1:2">
      <c r="A1934" s="4">
        <v>34180</v>
      </c>
      <c r="B1934" s="3">
        <v>17.940000000000001</v>
      </c>
    </row>
    <row r="1935" spans="1:2">
      <c r="A1935" s="4">
        <v>34183</v>
      </c>
      <c r="B1935" s="3">
        <v>17.899999999999999</v>
      </c>
    </row>
    <row r="1936" spans="1:2">
      <c r="A1936" s="4">
        <v>34184</v>
      </c>
      <c r="B1936" s="3">
        <v>17.809999999999999</v>
      </c>
    </row>
    <row r="1937" spans="1:2">
      <c r="A1937" s="4">
        <v>34185</v>
      </c>
      <c r="B1937" s="3">
        <v>17.82</v>
      </c>
    </row>
    <row r="1938" spans="1:2">
      <c r="A1938" s="4">
        <v>34186</v>
      </c>
      <c r="B1938" s="3">
        <v>17.54</v>
      </c>
    </row>
    <row r="1939" spans="1:2">
      <c r="A1939" s="4">
        <v>34187</v>
      </c>
      <c r="B1939" s="3">
        <v>17.3</v>
      </c>
    </row>
    <row r="1940" spans="1:2">
      <c r="A1940" s="4">
        <v>34190</v>
      </c>
      <c r="B1940" s="3">
        <v>17.579999999999998</v>
      </c>
    </row>
    <row r="1941" spans="1:2">
      <c r="A1941" s="4">
        <v>34191</v>
      </c>
      <c r="B1941" s="3">
        <v>17.579999999999998</v>
      </c>
    </row>
    <row r="1942" spans="1:2">
      <c r="A1942" s="4">
        <v>34192</v>
      </c>
      <c r="B1942" s="3">
        <v>17.87</v>
      </c>
    </row>
    <row r="1943" spans="1:2">
      <c r="A1943" s="4">
        <v>34193</v>
      </c>
      <c r="B1943" s="3">
        <v>18.16</v>
      </c>
    </row>
    <row r="1944" spans="1:2">
      <c r="A1944" s="4">
        <v>34194</v>
      </c>
      <c r="B1944" s="3">
        <v>18.14</v>
      </c>
    </row>
    <row r="1945" spans="1:2">
      <c r="A1945" s="4">
        <v>34197</v>
      </c>
      <c r="B1945" s="3">
        <v>17.84</v>
      </c>
    </row>
    <row r="1946" spans="1:2">
      <c r="A1946" s="4">
        <v>34198</v>
      </c>
      <c r="B1946" s="3">
        <v>17.95</v>
      </c>
    </row>
    <row r="1947" spans="1:2">
      <c r="A1947" s="4">
        <v>34199</v>
      </c>
      <c r="B1947" s="3">
        <v>17.68</v>
      </c>
    </row>
    <row r="1948" spans="1:2">
      <c r="A1948" s="4">
        <v>34200</v>
      </c>
      <c r="B1948" s="3">
        <v>17.64</v>
      </c>
    </row>
    <row r="1949" spans="1:2">
      <c r="A1949" s="4">
        <v>34201</v>
      </c>
      <c r="B1949" s="3">
        <v>18.09</v>
      </c>
    </row>
    <row r="1950" spans="1:2">
      <c r="A1950" s="4">
        <v>34204</v>
      </c>
      <c r="B1950" s="3">
        <v>18.420000000000002</v>
      </c>
    </row>
    <row r="1951" spans="1:2">
      <c r="A1951" s="4">
        <v>34205</v>
      </c>
      <c r="B1951" s="3">
        <v>18.38</v>
      </c>
    </row>
    <row r="1952" spans="1:2">
      <c r="A1952" s="4">
        <v>34206</v>
      </c>
      <c r="B1952" s="3">
        <v>18.45</v>
      </c>
    </row>
    <row r="1953" spans="1:2">
      <c r="A1953" s="4">
        <v>34207</v>
      </c>
      <c r="B1953" s="3">
        <v>18.399999999999999</v>
      </c>
    </row>
    <row r="1954" spans="1:2">
      <c r="A1954" s="4">
        <v>34208</v>
      </c>
      <c r="B1954" s="3">
        <v>18.82</v>
      </c>
    </row>
    <row r="1955" spans="1:2">
      <c r="A1955" s="4">
        <v>34211</v>
      </c>
      <c r="B1955" s="3">
        <v>18.63</v>
      </c>
    </row>
    <row r="1956" spans="1:2">
      <c r="A1956" s="4">
        <v>34212</v>
      </c>
      <c r="B1956" s="3">
        <v>18.239999999999998</v>
      </c>
    </row>
    <row r="1957" spans="1:2">
      <c r="A1957" s="4">
        <v>34213</v>
      </c>
      <c r="B1957" s="3">
        <v>17.920000000000002</v>
      </c>
    </row>
    <row r="1958" spans="1:2">
      <c r="A1958" s="4">
        <v>34214</v>
      </c>
      <c r="B1958" s="3">
        <v>17.97</v>
      </c>
    </row>
    <row r="1959" spans="1:2">
      <c r="A1959" s="4">
        <v>34215</v>
      </c>
      <c r="B1959" s="3">
        <v>17.72</v>
      </c>
    </row>
    <row r="1960" spans="1:2">
      <c r="A1960" s="4">
        <v>34219</v>
      </c>
      <c r="B1960" s="3">
        <v>17.14</v>
      </c>
    </row>
    <row r="1961" spans="1:2">
      <c r="A1961" s="4">
        <v>34220</v>
      </c>
      <c r="B1961" s="3">
        <v>17</v>
      </c>
    </row>
    <row r="1962" spans="1:2">
      <c r="A1962" s="4">
        <v>34221</v>
      </c>
      <c r="B1962" s="3">
        <v>16.97</v>
      </c>
    </row>
    <row r="1963" spans="1:2">
      <c r="A1963" s="4">
        <v>34222</v>
      </c>
      <c r="B1963" s="3">
        <v>16.739999999999998</v>
      </c>
    </row>
    <row r="1964" spans="1:2">
      <c r="A1964" s="4">
        <v>34225</v>
      </c>
      <c r="B1964" s="3">
        <v>16.98</v>
      </c>
    </row>
    <row r="1965" spans="1:2">
      <c r="A1965" s="4">
        <v>34226</v>
      </c>
      <c r="B1965" s="3">
        <v>16.940000000000001</v>
      </c>
    </row>
    <row r="1966" spans="1:2">
      <c r="A1966" s="4">
        <v>34227</v>
      </c>
      <c r="B1966" s="3">
        <v>16.850000000000001</v>
      </c>
    </row>
    <row r="1967" spans="1:2">
      <c r="A1967" s="4">
        <v>34228</v>
      </c>
      <c r="B1967" s="3">
        <v>16.850000000000001</v>
      </c>
    </row>
    <row r="1968" spans="1:2">
      <c r="A1968" s="4">
        <v>34229</v>
      </c>
      <c r="B1968" s="3">
        <v>17.100000000000001</v>
      </c>
    </row>
    <row r="1969" spans="1:2">
      <c r="A1969" s="4">
        <v>34232</v>
      </c>
      <c r="B1969" s="3">
        <v>17.68</v>
      </c>
    </row>
    <row r="1970" spans="1:2">
      <c r="A1970" s="4">
        <v>34233</v>
      </c>
      <c r="B1970" s="3">
        <v>18.12</v>
      </c>
    </row>
    <row r="1971" spans="1:2">
      <c r="A1971" s="4">
        <v>34234</v>
      </c>
      <c r="B1971" s="3">
        <v>17.53</v>
      </c>
    </row>
    <row r="1972" spans="1:2">
      <c r="A1972" s="4">
        <v>34235</v>
      </c>
      <c r="B1972" s="3">
        <v>17.52</v>
      </c>
    </row>
    <row r="1973" spans="1:2">
      <c r="A1973" s="4">
        <v>34236</v>
      </c>
      <c r="B1973" s="3">
        <v>17.52</v>
      </c>
    </row>
    <row r="1974" spans="1:2">
      <c r="A1974" s="4">
        <v>34239</v>
      </c>
      <c r="B1974" s="3">
        <v>17.52</v>
      </c>
    </row>
    <row r="1975" spans="1:2">
      <c r="A1975" s="4">
        <v>34240</v>
      </c>
      <c r="B1975" s="3">
        <v>18.07</v>
      </c>
    </row>
    <row r="1976" spans="1:2">
      <c r="A1976" s="4">
        <v>34241</v>
      </c>
      <c r="B1976" s="3">
        <v>18.73</v>
      </c>
    </row>
    <row r="1977" spans="1:2">
      <c r="A1977" s="4">
        <v>34242</v>
      </c>
      <c r="B1977" s="3">
        <v>18.72</v>
      </c>
    </row>
    <row r="1978" spans="1:2">
      <c r="A1978" s="4">
        <v>34243</v>
      </c>
      <c r="B1978" s="3">
        <v>18.63</v>
      </c>
    </row>
    <row r="1979" spans="1:2">
      <c r="A1979" s="4">
        <v>34246</v>
      </c>
      <c r="B1979" s="3">
        <v>18.399999999999999</v>
      </c>
    </row>
    <row r="1980" spans="1:2">
      <c r="A1980" s="4">
        <v>34247</v>
      </c>
      <c r="B1980" s="3">
        <v>18.43</v>
      </c>
    </row>
    <row r="1981" spans="1:2">
      <c r="A1981" s="4">
        <v>34248</v>
      </c>
      <c r="B1981" s="3">
        <v>18.43</v>
      </c>
    </row>
    <row r="1982" spans="1:2">
      <c r="A1982" s="4">
        <v>34249</v>
      </c>
      <c r="B1982" s="3">
        <v>18.489999999999998</v>
      </c>
    </row>
    <row r="1983" spans="1:2">
      <c r="A1983" s="4">
        <v>34250</v>
      </c>
      <c r="B1983" s="3">
        <v>18.53</v>
      </c>
    </row>
    <row r="1984" spans="1:2">
      <c r="A1984" s="4">
        <v>34253</v>
      </c>
      <c r="B1984" s="3">
        <v>18.760000000000002</v>
      </c>
    </row>
    <row r="1985" spans="1:2">
      <c r="A1985" s="4">
        <v>34254</v>
      </c>
      <c r="B1985" s="3">
        <v>18.7</v>
      </c>
    </row>
    <row r="1986" spans="1:2">
      <c r="A1986" s="4">
        <v>34255</v>
      </c>
      <c r="B1986" s="3">
        <v>18.649999999999999</v>
      </c>
    </row>
    <row r="1987" spans="1:2">
      <c r="A1987" s="4">
        <v>34256</v>
      </c>
      <c r="B1987" s="3">
        <v>18.5</v>
      </c>
    </row>
    <row r="1988" spans="1:2">
      <c r="A1988" s="4">
        <v>34257</v>
      </c>
      <c r="B1988" s="3">
        <v>18.239999999999998</v>
      </c>
    </row>
    <row r="1989" spans="1:2">
      <c r="A1989" s="4">
        <v>34260</v>
      </c>
      <c r="B1989" s="3">
        <v>18.13</v>
      </c>
    </row>
    <row r="1990" spans="1:2">
      <c r="A1990" s="4">
        <v>34261</v>
      </c>
      <c r="B1990" s="3">
        <v>18.04</v>
      </c>
    </row>
    <row r="1991" spans="1:2">
      <c r="A1991" s="4">
        <v>34262</v>
      </c>
      <c r="B1991" s="3">
        <v>18.25</v>
      </c>
    </row>
    <row r="1992" spans="1:2">
      <c r="A1992" s="4">
        <v>34263</v>
      </c>
      <c r="B1992" s="3">
        <v>18.28</v>
      </c>
    </row>
    <row r="1993" spans="1:2">
      <c r="A1993" s="4">
        <v>34264</v>
      </c>
      <c r="B1993" s="3">
        <v>17.920000000000002</v>
      </c>
    </row>
    <row r="1994" spans="1:2">
      <c r="A1994" s="4">
        <v>34267</v>
      </c>
      <c r="B1994" s="3">
        <v>17.36</v>
      </c>
    </row>
    <row r="1995" spans="1:2">
      <c r="A1995" s="4">
        <v>34268</v>
      </c>
      <c r="B1995" s="3">
        <v>17.55</v>
      </c>
    </row>
    <row r="1996" spans="1:2">
      <c r="A1996" s="4">
        <v>34269</v>
      </c>
      <c r="B1996" s="3">
        <v>17.66</v>
      </c>
    </row>
    <row r="1997" spans="1:2">
      <c r="A1997" s="4">
        <v>34270</v>
      </c>
      <c r="B1997" s="3">
        <v>17.3</v>
      </c>
    </row>
    <row r="1998" spans="1:2">
      <c r="A1998" s="4">
        <v>34271</v>
      </c>
      <c r="B1998" s="3">
        <v>16.97</v>
      </c>
    </row>
    <row r="1999" spans="1:2">
      <c r="A1999" s="4">
        <v>34274</v>
      </c>
      <c r="B1999" s="3">
        <v>17.5</v>
      </c>
    </row>
    <row r="2000" spans="1:2">
      <c r="A2000" s="4">
        <v>34275</v>
      </c>
      <c r="B2000" s="3">
        <v>17.03</v>
      </c>
    </row>
    <row r="2001" spans="1:2">
      <c r="A2001" s="4">
        <v>34276</v>
      </c>
      <c r="B2001" s="3">
        <v>17.47</v>
      </c>
    </row>
    <row r="2002" spans="1:2">
      <c r="A2002" s="4">
        <v>34277</v>
      </c>
      <c r="B2002" s="3">
        <v>17.38</v>
      </c>
    </row>
    <row r="2003" spans="1:2">
      <c r="A2003" s="4">
        <v>34278</v>
      </c>
      <c r="B2003" s="3">
        <v>17.09</v>
      </c>
    </row>
    <row r="2004" spans="1:2">
      <c r="A2004" s="4">
        <v>34281</v>
      </c>
      <c r="B2004" s="3">
        <v>16.690000000000001</v>
      </c>
    </row>
    <row r="2005" spans="1:2">
      <c r="A2005" s="4">
        <v>34282</v>
      </c>
      <c r="B2005" s="3">
        <v>16.71</v>
      </c>
    </row>
    <row r="2006" spans="1:2">
      <c r="A2006" s="4">
        <v>34283</v>
      </c>
      <c r="B2006" s="3">
        <v>16.54</v>
      </c>
    </row>
    <row r="2007" spans="1:2">
      <c r="A2007" s="4">
        <v>34284</v>
      </c>
      <c r="B2007" s="3">
        <v>16.91</v>
      </c>
    </row>
    <row r="2008" spans="1:2">
      <c r="A2008" s="4">
        <v>34285</v>
      </c>
      <c r="B2008" s="3">
        <v>16.72</v>
      </c>
    </row>
    <row r="2009" spans="1:2">
      <c r="A2009" s="4">
        <v>34288</v>
      </c>
      <c r="B2009" s="3">
        <v>16.78</v>
      </c>
    </row>
    <row r="2010" spans="1:2">
      <c r="A2010" s="4">
        <v>34289</v>
      </c>
      <c r="B2010" s="3">
        <v>16.690000000000001</v>
      </c>
    </row>
    <row r="2011" spans="1:2">
      <c r="A2011" s="4">
        <v>34290</v>
      </c>
      <c r="B2011" s="3">
        <v>17.079999999999998</v>
      </c>
    </row>
    <row r="2012" spans="1:2">
      <c r="A2012" s="4">
        <v>34291</v>
      </c>
      <c r="B2012" s="3">
        <v>16.670000000000002</v>
      </c>
    </row>
    <row r="2013" spans="1:2">
      <c r="A2013" s="4">
        <v>34292</v>
      </c>
      <c r="B2013" s="3">
        <v>16.55</v>
      </c>
    </row>
    <row r="2014" spans="1:2">
      <c r="A2014" s="4">
        <v>34295</v>
      </c>
      <c r="B2014" s="3">
        <v>16.670000000000002</v>
      </c>
    </row>
    <row r="2015" spans="1:2">
      <c r="A2015" s="4">
        <v>34296</v>
      </c>
      <c r="B2015" s="3">
        <v>16.39</v>
      </c>
    </row>
    <row r="2016" spans="1:2">
      <c r="A2016" s="4">
        <v>34297</v>
      </c>
      <c r="B2016" s="3">
        <v>15.73</v>
      </c>
    </row>
    <row r="2017" spans="1:2">
      <c r="A2017" s="4">
        <v>34299</v>
      </c>
      <c r="B2017" s="3">
        <v>15.53</v>
      </c>
    </row>
    <row r="2018" spans="1:2">
      <c r="A2018" s="4">
        <v>34302</v>
      </c>
      <c r="B2018" s="3">
        <v>15.3</v>
      </c>
    </row>
    <row r="2019" spans="1:2">
      <c r="A2019" s="4">
        <v>34303</v>
      </c>
      <c r="B2019" s="3">
        <v>15.36</v>
      </c>
    </row>
    <row r="2020" spans="1:2">
      <c r="A2020" s="4">
        <v>34304</v>
      </c>
      <c r="B2020" s="3">
        <v>15.45</v>
      </c>
    </row>
    <row r="2021" spans="1:2">
      <c r="A2021" s="4">
        <v>34305</v>
      </c>
      <c r="B2021" s="3">
        <v>14.93</v>
      </c>
    </row>
    <row r="2022" spans="1:2">
      <c r="A2022" s="4">
        <v>34306</v>
      </c>
      <c r="B2022" s="3">
        <v>15.03</v>
      </c>
    </row>
    <row r="2023" spans="1:2">
      <c r="A2023" s="4">
        <v>34309</v>
      </c>
      <c r="B2023" s="3">
        <v>14.57</v>
      </c>
    </row>
    <row r="2024" spans="1:2">
      <c r="A2024" s="4">
        <v>34310</v>
      </c>
      <c r="B2024" s="3">
        <v>14.53</v>
      </c>
    </row>
    <row r="2025" spans="1:2">
      <c r="A2025" s="4">
        <v>34311</v>
      </c>
      <c r="B2025" s="3">
        <v>14.61</v>
      </c>
    </row>
    <row r="2026" spans="1:2">
      <c r="A2026" s="4">
        <v>34312</v>
      </c>
      <c r="B2026" s="3">
        <v>14.65</v>
      </c>
    </row>
    <row r="2027" spans="1:2">
      <c r="A2027" s="4">
        <v>34313</v>
      </c>
      <c r="B2027" s="3">
        <v>15.04</v>
      </c>
    </row>
    <row r="2028" spans="1:2">
      <c r="A2028" s="4">
        <v>34316</v>
      </c>
      <c r="B2028" s="3">
        <v>14.5</v>
      </c>
    </row>
    <row r="2029" spans="1:2">
      <c r="A2029" s="4">
        <v>34317</v>
      </c>
      <c r="B2029" s="3">
        <v>14.47</v>
      </c>
    </row>
    <row r="2030" spans="1:2">
      <c r="A2030" s="4">
        <v>34318</v>
      </c>
      <c r="B2030" s="3">
        <v>14.39</v>
      </c>
    </row>
    <row r="2031" spans="1:2">
      <c r="A2031" s="4">
        <v>34319</v>
      </c>
      <c r="B2031" s="3">
        <v>14.21</v>
      </c>
    </row>
    <row r="2032" spans="1:2">
      <c r="A2032" s="4">
        <v>34320</v>
      </c>
      <c r="B2032" s="3">
        <v>13.98</v>
      </c>
    </row>
    <row r="2033" spans="1:2">
      <c r="A2033" s="4">
        <v>34323</v>
      </c>
      <c r="B2033" s="3">
        <v>14.2</v>
      </c>
    </row>
    <row r="2034" spans="1:2">
      <c r="A2034" s="4">
        <v>34324</v>
      </c>
      <c r="B2034" s="3">
        <v>14.32</v>
      </c>
    </row>
    <row r="2035" spans="1:2">
      <c r="A2035" s="4">
        <v>34325</v>
      </c>
      <c r="B2035" s="3">
        <v>14.61</v>
      </c>
    </row>
    <row r="2036" spans="1:2">
      <c r="A2036" s="4">
        <v>34326</v>
      </c>
      <c r="B2036" s="3">
        <v>14.48</v>
      </c>
    </row>
    <row r="2037" spans="1:2">
      <c r="A2037" s="4">
        <v>34330</v>
      </c>
      <c r="B2037" s="3">
        <v>14.09</v>
      </c>
    </row>
    <row r="2038" spans="1:2">
      <c r="A2038" s="4">
        <v>34331</v>
      </c>
      <c r="B2038" s="3">
        <v>14.11</v>
      </c>
    </row>
    <row r="2039" spans="1:2">
      <c r="A2039" s="4">
        <v>34332</v>
      </c>
      <c r="B2039" s="3">
        <v>14.45</v>
      </c>
    </row>
    <row r="2040" spans="1:2">
      <c r="A2040" s="4">
        <v>34333</v>
      </c>
      <c r="B2040" s="3">
        <v>14.19</v>
      </c>
    </row>
    <row r="2041" spans="1:2">
      <c r="A2041" s="4">
        <v>34337</v>
      </c>
      <c r="B2041" s="3">
        <v>14.52</v>
      </c>
    </row>
    <row r="2042" spans="1:2">
      <c r="A2042" s="4">
        <v>34338</v>
      </c>
      <c r="B2042" s="3">
        <v>14.66</v>
      </c>
    </row>
    <row r="2043" spans="1:2">
      <c r="A2043" s="4">
        <v>34339</v>
      </c>
      <c r="B2043" s="3">
        <v>15.3</v>
      </c>
    </row>
    <row r="2044" spans="1:2">
      <c r="A2044" s="4">
        <v>34340</v>
      </c>
      <c r="B2044" s="3">
        <v>15.36</v>
      </c>
    </row>
    <row r="2045" spans="1:2">
      <c r="A2045" s="4">
        <v>34341</v>
      </c>
      <c r="B2045" s="3">
        <v>15.33</v>
      </c>
    </row>
    <row r="2046" spans="1:2">
      <c r="A2046" s="4">
        <v>34344</v>
      </c>
      <c r="B2046" s="3">
        <v>14.65</v>
      </c>
    </row>
    <row r="2047" spans="1:2">
      <c r="A2047" s="4">
        <v>34345</v>
      </c>
      <c r="B2047" s="3">
        <v>14.95</v>
      </c>
    </row>
    <row r="2048" spans="1:2">
      <c r="A2048" s="4">
        <v>34346</v>
      </c>
      <c r="B2048" s="3">
        <v>14.36</v>
      </c>
    </row>
    <row r="2049" spans="1:2">
      <c r="A2049" s="4">
        <v>34347</v>
      </c>
      <c r="B2049" s="3">
        <v>14.56</v>
      </c>
    </row>
    <row r="2050" spans="1:2">
      <c r="A2050" s="4">
        <v>34348</v>
      </c>
      <c r="B2050" s="3">
        <v>14.81</v>
      </c>
    </row>
    <row r="2051" spans="1:2">
      <c r="A2051" s="4">
        <v>34351</v>
      </c>
      <c r="B2051" s="3">
        <v>15.15</v>
      </c>
    </row>
    <row r="2052" spans="1:2">
      <c r="A2052" s="4">
        <v>34352</v>
      </c>
      <c r="B2052" s="3">
        <v>14.92</v>
      </c>
    </row>
    <row r="2053" spans="1:2">
      <c r="A2053" s="4">
        <v>34353</v>
      </c>
      <c r="B2053" s="3">
        <v>15.25</v>
      </c>
    </row>
    <row r="2054" spans="1:2">
      <c r="A2054" s="4">
        <v>34354</v>
      </c>
      <c r="B2054" s="3">
        <v>14.95</v>
      </c>
    </row>
    <row r="2055" spans="1:2">
      <c r="A2055" s="4">
        <v>34355</v>
      </c>
      <c r="B2055" s="3">
        <v>14.85</v>
      </c>
    </row>
    <row r="2056" spans="1:2">
      <c r="A2056" s="4">
        <v>34358</v>
      </c>
      <c r="B2056" s="3">
        <v>15.09</v>
      </c>
    </row>
    <row r="2057" spans="1:2">
      <c r="A2057" s="4">
        <v>34359</v>
      </c>
      <c r="B2057" s="3">
        <v>15.26</v>
      </c>
    </row>
    <row r="2058" spans="1:2">
      <c r="A2058" s="4">
        <v>34360</v>
      </c>
      <c r="B2058" s="3">
        <v>15.5</v>
      </c>
    </row>
    <row r="2059" spans="1:2">
      <c r="A2059" s="4">
        <v>34361</v>
      </c>
      <c r="B2059" s="3">
        <v>15.48</v>
      </c>
    </row>
    <row r="2060" spans="1:2">
      <c r="A2060" s="4">
        <v>34362</v>
      </c>
      <c r="B2060" s="3">
        <v>15.37</v>
      </c>
    </row>
    <row r="2061" spans="1:2">
      <c r="A2061" s="4">
        <v>34365</v>
      </c>
      <c r="B2061" s="3">
        <v>15.24</v>
      </c>
    </row>
    <row r="2062" spans="1:2">
      <c r="A2062" s="4">
        <v>34366</v>
      </c>
      <c r="B2062" s="3">
        <v>15.91</v>
      </c>
    </row>
    <row r="2063" spans="1:2">
      <c r="A2063" s="4">
        <v>34367</v>
      </c>
      <c r="B2063" s="3">
        <v>16.059999999999999</v>
      </c>
    </row>
    <row r="2064" spans="1:2">
      <c r="A2064" s="4">
        <v>34368</v>
      </c>
      <c r="B2064" s="3">
        <v>15.97</v>
      </c>
    </row>
    <row r="2065" spans="1:2">
      <c r="A2065" s="4">
        <v>34369</v>
      </c>
      <c r="B2065" s="3">
        <v>15.63</v>
      </c>
    </row>
    <row r="2066" spans="1:2">
      <c r="A2066" s="4">
        <v>34372</v>
      </c>
      <c r="B2066" s="3">
        <v>15.31</v>
      </c>
    </row>
    <row r="2067" spans="1:2">
      <c r="A2067" s="4">
        <v>34373</v>
      </c>
      <c r="B2067" s="3">
        <v>15.12</v>
      </c>
    </row>
    <row r="2068" spans="1:2">
      <c r="A2068" s="4">
        <v>34374</v>
      </c>
      <c r="B2068" s="3">
        <v>14.64</v>
      </c>
    </row>
    <row r="2069" spans="1:2">
      <c r="A2069" s="4">
        <v>34375</v>
      </c>
      <c r="B2069" s="3">
        <v>14.59</v>
      </c>
    </row>
    <row r="2070" spans="1:2">
      <c r="A2070" s="4">
        <v>34376</v>
      </c>
      <c r="B2070" s="3">
        <v>14.71</v>
      </c>
    </row>
    <row r="2071" spans="1:2">
      <c r="A2071" s="4">
        <v>34379</v>
      </c>
      <c r="B2071" s="3">
        <v>14.15</v>
      </c>
    </row>
    <row r="2072" spans="1:2">
      <c r="A2072" s="4">
        <v>34380</v>
      </c>
      <c r="B2072" s="3">
        <v>14.13</v>
      </c>
    </row>
    <row r="2073" spans="1:2">
      <c r="A2073" s="4">
        <v>34381</v>
      </c>
      <c r="B2073" s="3">
        <v>13.89</v>
      </c>
    </row>
    <row r="2074" spans="1:2">
      <c r="A2074" s="4">
        <v>34382</v>
      </c>
      <c r="B2074" s="3">
        <v>14.26</v>
      </c>
    </row>
    <row r="2075" spans="1:2">
      <c r="A2075" s="4">
        <v>34383</v>
      </c>
      <c r="B2075" s="3">
        <v>14.21</v>
      </c>
    </row>
    <row r="2076" spans="1:2">
      <c r="A2076" s="4">
        <v>34387</v>
      </c>
      <c r="B2076" s="3">
        <v>14.28</v>
      </c>
    </row>
    <row r="2077" spans="1:2">
      <c r="A2077" s="4">
        <v>34388</v>
      </c>
      <c r="B2077" s="3">
        <v>14.18</v>
      </c>
    </row>
    <row r="2078" spans="1:2">
      <c r="A2078" s="4">
        <v>34389</v>
      </c>
      <c r="B2078" s="3">
        <v>14.82</v>
      </c>
    </row>
    <row r="2079" spans="1:2">
      <c r="A2079" s="4">
        <v>34390</v>
      </c>
      <c r="B2079" s="3">
        <v>14.48</v>
      </c>
    </row>
    <row r="2080" spans="1:2">
      <c r="A2080" s="4">
        <v>34393</v>
      </c>
      <c r="B2080" s="3">
        <v>14.5</v>
      </c>
    </row>
    <row r="2081" spans="1:2">
      <c r="A2081" s="4">
        <v>34394</v>
      </c>
      <c r="B2081" s="3">
        <v>14.78</v>
      </c>
    </row>
    <row r="2082" spans="1:2">
      <c r="A2082" s="4">
        <v>34395</v>
      </c>
      <c r="B2082" s="3">
        <v>14.8</v>
      </c>
    </row>
    <row r="2083" spans="1:2">
      <c r="A2083" s="4">
        <v>34396</v>
      </c>
      <c r="B2083" s="3">
        <v>14.74</v>
      </c>
    </row>
    <row r="2084" spans="1:2">
      <c r="A2084" s="4">
        <v>34397</v>
      </c>
      <c r="B2084" s="3">
        <v>14.57</v>
      </c>
    </row>
    <row r="2085" spans="1:2">
      <c r="A2085" s="4">
        <v>34400</v>
      </c>
      <c r="B2085" s="3">
        <v>14.14</v>
      </c>
    </row>
    <row r="2086" spans="1:2">
      <c r="A2086" s="4">
        <v>34401</v>
      </c>
      <c r="B2086" s="3">
        <v>14.17</v>
      </c>
    </row>
    <row r="2087" spans="1:2">
      <c r="A2087" s="4">
        <v>34402</v>
      </c>
      <c r="B2087" s="3">
        <v>14.23</v>
      </c>
    </row>
    <row r="2088" spans="1:2">
      <c r="A2088" s="4">
        <v>34403</v>
      </c>
      <c r="B2088" s="3">
        <v>14.19</v>
      </c>
    </row>
    <row r="2089" spans="1:2">
      <c r="A2089" s="4">
        <v>34404</v>
      </c>
      <c r="B2089" s="3">
        <v>14.47</v>
      </c>
    </row>
    <row r="2090" spans="1:2">
      <c r="A2090" s="4">
        <v>34407</v>
      </c>
      <c r="B2090" s="3">
        <v>14.52</v>
      </c>
    </row>
    <row r="2091" spans="1:2">
      <c r="A2091" s="4">
        <v>34408</v>
      </c>
      <c r="B2091" s="3">
        <v>14.82</v>
      </c>
    </row>
    <row r="2092" spans="1:2">
      <c r="A2092" s="4">
        <v>34409</v>
      </c>
      <c r="B2092" s="3">
        <v>15.03</v>
      </c>
    </row>
    <row r="2093" spans="1:2">
      <c r="A2093" s="4">
        <v>34410</v>
      </c>
      <c r="B2093" s="3">
        <v>14.83</v>
      </c>
    </row>
    <row r="2094" spans="1:2">
      <c r="A2094" s="4">
        <v>34411</v>
      </c>
      <c r="B2094" s="3">
        <v>14.88</v>
      </c>
    </row>
    <row r="2095" spans="1:2">
      <c r="A2095" s="4">
        <v>34414</v>
      </c>
      <c r="B2095" s="3">
        <v>15.37</v>
      </c>
    </row>
    <row r="2096" spans="1:2">
      <c r="A2096" s="4">
        <v>34415</v>
      </c>
      <c r="B2096" s="3">
        <v>15.04</v>
      </c>
    </row>
    <row r="2097" spans="1:2">
      <c r="A2097" s="4">
        <v>34416</v>
      </c>
      <c r="B2097" s="3">
        <v>14.94</v>
      </c>
    </row>
    <row r="2098" spans="1:2">
      <c r="A2098" s="4">
        <v>34417</v>
      </c>
      <c r="B2098" s="3">
        <v>15.21</v>
      </c>
    </row>
    <row r="2099" spans="1:2">
      <c r="A2099" s="4">
        <v>34418</v>
      </c>
      <c r="B2099" s="3">
        <v>15.19</v>
      </c>
    </row>
    <row r="2100" spans="1:2">
      <c r="A2100" s="4">
        <v>34421</v>
      </c>
      <c r="B2100" s="3">
        <v>14.15</v>
      </c>
    </row>
    <row r="2101" spans="1:2">
      <c r="A2101" s="4">
        <v>34422</v>
      </c>
      <c r="B2101" s="3">
        <v>14.41</v>
      </c>
    </row>
    <row r="2102" spans="1:2">
      <c r="A2102" s="4">
        <v>34423</v>
      </c>
      <c r="B2102" s="3">
        <v>14.4</v>
      </c>
    </row>
    <row r="2103" spans="1:2">
      <c r="A2103" s="4">
        <v>34424</v>
      </c>
      <c r="B2103" s="3">
        <v>14.78</v>
      </c>
    </row>
    <row r="2104" spans="1:2">
      <c r="A2104" s="4">
        <v>34428</v>
      </c>
      <c r="B2104" s="3">
        <v>15.67</v>
      </c>
    </row>
    <row r="2105" spans="1:2">
      <c r="A2105" s="4">
        <v>34429</v>
      </c>
      <c r="B2105" s="3">
        <v>15.67</v>
      </c>
    </row>
    <row r="2106" spans="1:2">
      <c r="A2106" s="4">
        <v>34430</v>
      </c>
      <c r="B2106" s="3">
        <v>15.77</v>
      </c>
    </row>
    <row r="2107" spans="1:2">
      <c r="A2107" s="4">
        <v>34431</v>
      </c>
      <c r="B2107" s="3">
        <v>15.59</v>
      </c>
    </row>
    <row r="2108" spans="1:2">
      <c r="A2108" s="4">
        <v>34432</v>
      </c>
      <c r="B2108" s="3">
        <v>15.57</v>
      </c>
    </row>
    <row r="2109" spans="1:2">
      <c r="A2109" s="4">
        <v>34435</v>
      </c>
      <c r="B2109" s="3">
        <v>15.86</v>
      </c>
    </row>
    <row r="2110" spans="1:2">
      <c r="A2110" s="4">
        <v>34436</v>
      </c>
      <c r="B2110" s="3">
        <v>15.74</v>
      </c>
    </row>
    <row r="2111" spans="1:2">
      <c r="A2111" s="4">
        <v>34437</v>
      </c>
      <c r="B2111" s="3">
        <v>15.96</v>
      </c>
    </row>
    <row r="2112" spans="1:2">
      <c r="A2112" s="4">
        <v>34438</v>
      </c>
      <c r="B2112" s="3">
        <v>16.2</v>
      </c>
    </row>
    <row r="2113" spans="1:2">
      <c r="A2113" s="4">
        <v>34439</v>
      </c>
      <c r="B2113" s="3">
        <v>16.579999999999998</v>
      </c>
    </row>
    <row r="2114" spans="1:2">
      <c r="A2114" s="4">
        <v>34442</v>
      </c>
      <c r="B2114" s="3">
        <v>16.64</v>
      </c>
    </row>
    <row r="2115" spans="1:2">
      <c r="A2115" s="4">
        <v>34443</v>
      </c>
      <c r="B2115" s="3">
        <v>16.43</v>
      </c>
    </row>
    <row r="2116" spans="1:2">
      <c r="A2116" s="4">
        <v>34444</v>
      </c>
      <c r="B2116" s="3">
        <v>16.649999999999999</v>
      </c>
    </row>
    <row r="2117" spans="1:2">
      <c r="A2117" s="4">
        <v>34445</v>
      </c>
      <c r="B2117" s="3">
        <v>17.559999999999999</v>
      </c>
    </row>
    <row r="2118" spans="1:2">
      <c r="A2118" s="4">
        <v>34446</v>
      </c>
      <c r="B2118" s="3">
        <v>17.84</v>
      </c>
    </row>
    <row r="2119" spans="1:2">
      <c r="A2119" s="4">
        <v>34449</v>
      </c>
      <c r="B2119" s="3">
        <v>17.66</v>
      </c>
    </row>
    <row r="2120" spans="1:2">
      <c r="A2120" s="4">
        <v>34450</v>
      </c>
      <c r="B2120" s="3">
        <v>16.82</v>
      </c>
    </row>
    <row r="2121" spans="1:2">
      <c r="A2121" s="4">
        <v>34451</v>
      </c>
      <c r="B2121" s="3">
        <v>16.7</v>
      </c>
    </row>
    <row r="2122" spans="1:2">
      <c r="A2122" s="4">
        <v>34452</v>
      </c>
      <c r="B2122" s="3">
        <v>16.57</v>
      </c>
    </row>
    <row r="2123" spans="1:2">
      <c r="A2123" s="4">
        <v>34453</v>
      </c>
      <c r="B2123" s="3">
        <v>16.920000000000002</v>
      </c>
    </row>
    <row r="2124" spans="1:2">
      <c r="A2124" s="4">
        <v>34456</v>
      </c>
      <c r="B2124" s="3">
        <v>17.18</v>
      </c>
    </row>
    <row r="2125" spans="1:2">
      <c r="A2125" s="4">
        <v>34457</v>
      </c>
      <c r="B2125" s="3">
        <v>16.93</v>
      </c>
    </row>
    <row r="2126" spans="1:2">
      <c r="A2126" s="4">
        <v>34458</v>
      </c>
      <c r="B2126" s="3">
        <v>16.850000000000001</v>
      </c>
    </row>
    <row r="2127" spans="1:2">
      <c r="A2127" s="4">
        <v>34459</v>
      </c>
      <c r="B2127" s="3">
        <v>17.28</v>
      </c>
    </row>
    <row r="2128" spans="1:2">
      <c r="A2128" s="4">
        <v>34460</v>
      </c>
      <c r="B2128" s="3">
        <v>17.739999999999998</v>
      </c>
    </row>
    <row r="2129" spans="1:2">
      <c r="A2129" s="4">
        <v>34463</v>
      </c>
      <c r="B2129" s="3">
        <v>17.72</v>
      </c>
    </row>
    <row r="2130" spans="1:2">
      <c r="A2130" s="4">
        <v>34464</v>
      </c>
      <c r="B2130" s="3">
        <v>17.62</v>
      </c>
    </row>
    <row r="2131" spans="1:2">
      <c r="A2131" s="4">
        <v>34465</v>
      </c>
      <c r="B2131" s="3">
        <v>17.84</v>
      </c>
    </row>
    <row r="2132" spans="1:2">
      <c r="A2132" s="4">
        <v>34466</v>
      </c>
      <c r="B2132" s="3">
        <v>18.27</v>
      </c>
    </row>
    <row r="2133" spans="1:2">
      <c r="A2133" s="4">
        <v>34467</v>
      </c>
      <c r="B2133" s="3">
        <v>18.2</v>
      </c>
    </row>
    <row r="2134" spans="1:2">
      <c r="A2134" s="4">
        <v>34470</v>
      </c>
      <c r="B2134" s="3">
        <v>17.989999999999998</v>
      </c>
    </row>
    <row r="2135" spans="1:2">
      <c r="A2135" s="4">
        <v>34471</v>
      </c>
      <c r="B2135" s="3">
        <v>17.61</v>
      </c>
    </row>
    <row r="2136" spans="1:2">
      <c r="A2136" s="4">
        <v>34472</v>
      </c>
      <c r="B2136" s="3">
        <v>18.02</v>
      </c>
    </row>
    <row r="2137" spans="1:2">
      <c r="A2137" s="4">
        <v>34473</v>
      </c>
      <c r="B2137" s="3">
        <v>18.489999999999998</v>
      </c>
    </row>
    <row r="2138" spans="1:2">
      <c r="A2138" s="4">
        <v>34474</v>
      </c>
      <c r="B2138" s="3">
        <v>18.93</v>
      </c>
    </row>
    <row r="2139" spans="1:2">
      <c r="A2139" s="4">
        <v>34477</v>
      </c>
      <c r="B2139" s="3">
        <v>18.690000000000001</v>
      </c>
    </row>
    <row r="2140" spans="1:2">
      <c r="A2140" s="4">
        <v>34478</v>
      </c>
      <c r="B2140" s="3">
        <v>18.399999999999999</v>
      </c>
    </row>
    <row r="2141" spans="1:2">
      <c r="A2141" s="4">
        <v>34479</v>
      </c>
      <c r="B2141" s="3">
        <v>17.829999999999998</v>
      </c>
    </row>
    <row r="2142" spans="1:2">
      <c r="A2142" s="4">
        <v>34480</v>
      </c>
      <c r="B2142" s="3">
        <v>17.760000000000002</v>
      </c>
    </row>
    <row r="2143" spans="1:2">
      <c r="A2143" s="4">
        <v>34481</v>
      </c>
      <c r="B2143" s="3">
        <v>18.02</v>
      </c>
    </row>
    <row r="2144" spans="1:2">
      <c r="A2144" s="4">
        <v>34485</v>
      </c>
      <c r="B2144" s="3">
        <v>18.3</v>
      </c>
    </row>
    <row r="2145" spans="1:2">
      <c r="A2145" s="4">
        <v>34486</v>
      </c>
      <c r="B2145" s="3">
        <v>18.29</v>
      </c>
    </row>
    <row r="2146" spans="1:2">
      <c r="A2146" s="4">
        <v>34487</v>
      </c>
      <c r="B2146" s="3">
        <v>18.25</v>
      </c>
    </row>
    <row r="2147" spans="1:2">
      <c r="A2147" s="4">
        <v>34488</v>
      </c>
      <c r="B2147" s="3">
        <v>18.11</v>
      </c>
    </row>
    <row r="2148" spans="1:2">
      <c r="A2148" s="4">
        <v>34491</v>
      </c>
      <c r="B2148" s="3">
        <v>18.100000000000001</v>
      </c>
    </row>
    <row r="2149" spans="1:2">
      <c r="A2149" s="4">
        <v>34492</v>
      </c>
      <c r="B2149" s="3">
        <v>17.78</v>
      </c>
    </row>
    <row r="2150" spans="1:2">
      <c r="A2150" s="4">
        <v>34493</v>
      </c>
      <c r="B2150" s="3">
        <v>18.28</v>
      </c>
    </row>
    <row r="2151" spans="1:2">
      <c r="A2151" s="4">
        <v>34494</v>
      </c>
      <c r="B2151" s="3">
        <v>18.670000000000002</v>
      </c>
    </row>
    <row r="2152" spans="1:2">
      <c r="A2152" s="4">
        <v>34495</v>
      </c>
      <c r="B2152" s="3">
        <v>18.48</v>
      </c>
    </row>
    <row r="2153" spans="1:2">
      <c r="A2153" s="4">
        <v>34498</v>
      </c>
      <c r="B2153" s="3">
        <v>18.82</v>
      </c>
    </row>
    <row r="2154" spans="1:2">
      <c r="A2154" s="4">
        <v>34499</v>
      </c>
      <c r="B2154" s="3">
        <v>18.940000000000001</v>
      </c>
    </row>
    <row r="2155" spans="1:2">
      <c r="A2155" s="4">
        <v>34500</v>
      </c>
      <c r="B2155" s="3">
        <v>19.75</v>
      </c>
    </row>
    <row r="2156" spans="1:2">
      <c r="A2156" s="4">
        <v>34501</v>
      </c>
      <c r="B2156" s="3">
        <v>19.829999999999998</v>
      </c>
    </row>
    <row r="2157" spans="1:2">
      <c r="A2157" s="4">
        <v>34502</v>
      </c>
      <c r="B2157" s="3">
        <v>20.72</v>
      </c>
    </row>
    <row r="2158" spans="1:2">
      <c r="A2158" s="4">
        <v>34505</v>
      </c>
      <c r="B2158" s="3">
        <v>20.68</v>
      </c>
    </row>
    <row r="2159" spans="1:2">
      <c r="A2159" s="4">
        <v>34506</v>
      </c>
      <c r="B2159" s="3">
        <v>20.079999999999998</v>
      </c>
    </row>
    <row r="2160" spans="1:2">
      <c r="A2160" s="4">
        <v>34507</v>
      </c>
      <c r="B2160" s="3">
        <v>19.59</v>
      </c>
    </row>
    <row r="2161" spans="1:2">
      <c r="A2161" s="4">
        <v>34508</v>
      </c>
      <c r="B2161" s="3">
        <v>19.38</v>
      </c>
    </row>
    <row r="2162" spans="1:2">
      <c r="A2162" s="4">
        <v>34509</v>
      </c>
      <c r="B2162" s="3">
        <v>19.28</v>
      </c>
    </row>
    <row r="2163" spans="1:2">
      <c r="A2163" s="4">
        <v>34512</v>
      </c>
      <c r="B2163" s="3">
        <v>18.96</v>
      </c>
    </row>
    <row r="2164" spans="1:2">
      <c r="A2164" s="4">
        <v>34513</v>
      </c>
      <c r="B2164" s="3">
        <v>19.14</v>
      </c>
    </row>
    <row r="2165" spans="1:2">
      <c r="A2165" s="4">
        <v>34514</v>
      </c>
      <c r="B2165" s="3">
        <v>18.82</v>
      </c>
    </row>
    <row r="2166" spans="1:2">
      <c r="A2166" s="4">
        <v>34515</v>
      </c>
      <c r="B2166" s="3">
        <v>19.37</v>
      </c>
    </row>
    <row r="2167" spans="1:2">
      <c r="A2167" s="4">
        <v>34516</v>
      </c>
      <c r="B2167" s="3">
        <v>19.52</v>
      </c>
    </row>
    <row r="2168" spans="1:2">
      <c r="A2168" s="4">
        <v>34520</v>
      </c>
      <c r="B2168" s="3">
        <v>19.62</v>
      </c>
    </row>
    <row r="2169" spans="1:2">
      <c r="A2169" s="4">
        <v>34521</v>
      </c>
      <c r="B2169" s="3">
        <v>19.3</v>
      </c>
    </row>
    <row r="2170" spans="1:2">
      <c r="A2170" s="4">
        <v>34522</v>
      </c>
      <c r="B2170" s="3">
        <v>19.149999999999999</v>
      </c>
    </row>
    <row r="2171" spans="1:2">
      <c r="A2171" s="4">
        <v>34523</v>
      </c>
      <c r="B2171" s="3">
        <v>19.48</v>
      </c>
    </row>
    <row r="2172" spans="1:2">
      <c r="A2172" s="4">
        <v>34526</v>
      </c>
      <c r="B2172" s="3">
        <v>20.170000000000002</v>
      </c>
    </row>
    <row r="2173" spans="1:2">
      <c r="A2173" s="4">
        <v>34527</v>
      </c>
      <c r="B2173" s="3">
        <v>20.399999999999999</v>
      </c>
    </row>
    <row r="2174" spans="1:2">
      <c r="A2174" s="4">
        <v>34528</v>
      </c>
      <c r="B2174" s="3">
        <v>20.14</v>
      </c>
    </row>
    <row r="2175" spans="1:2">
      <c r="A2175" s="4">
        <v>34529</v>
      </c>
      <c r="B2175" s="3">
        <v>20.18</v>
      </c>
    </row>
    <row r="2176" spans="1:2">
      <c r="A2176" s="4">
        <v>34530</v>
      </c>
      <c r="B2176" s="3">
        <v>19.89</v>
      </c>
    </row>
    <row r="2177" spans="1:2">
      <c r="A2177" s="4">
        <v>34533</v>
      </c>
      <c r="B2177" s="3">
        <v>19.38</v>
      </c>
    </row>
    <row r="2178" spans="1:2">
      <c r="A2178" s="4">
        <v>34534</v>
      </c>
      <c r="B2178" s="3">
        <v>19.489999999999998</v>
      </c>
    </row>
    <row r="2179" spans="1:2">
      <c r="A2179" s="4">
        <v>34535</v>
      </c>
      <c r="B2179" s="3">
        <v>19.149999999999999</v>
      </c>
    </row>
    <row r="2180" spans="1:2">
      <c r="A2180" s="4">
        <v>34536</v>
      </c>
      <c r="B2180" s="3">
        <v>19.32</v>
      </c>
    </row>
    <row r="2181" spans="1:2">
      <c r="A2181" s="4">
        <v>34537</v>
      </c>
      <c r="B2181" s="3">
        <v>19.59</v>
      </c>
    </row>
    <row r="2182" spans="1:2">
      <c r="A2182" s="4">
        <v>34540</v>
      </c>
      <c r="B2182" s="3">
        <v>19.420000000000002</v>
      </c>
    </row>
    <row r="2183" spans="1:2">
      <c r="A2183" s="4">
        <v>34541</v>
      </c>
      <c r="B2183" s="3">
        <v>19.260000000000002</v>
      </c>
    </row>
    <row r="2184" spans="1:2">
      <c r="A2184" s="4">
        <v>34542</v>
      </c>
      <c r="B2184" s="3">
        <v>19.46</v>
      </c>
    </row>
    <row r="2185" spans="1:2">
      <c r="A2185" s="4">
        <v>34543</v>
      </c>
      <c r="B2185" s="3">
        <v>19.87</v>
      </c>
    </row>
    <row r="2186" spans="1:2">
      <c r="A2186" s="4">
        <v>34544</v>
      </c>
      <c r="B2186" s="3">
        <v>20.3</v>
      </c>
    </row>
    <row r="2187" spans="1:2">
      <c r="A2187" s="4">
        <v>34547</v>
      </c>
      <c r="B2187" s="3">
        <v>20.65</v>
      </c>
    </row>
    <row r="2188" spans="1:2">
      <c r="A2188" s="4">
        <v>34548</v>
      </c>
      <c r="B2188" s="3">
        <v>20.22</v>
      </c>
    </row>
    <row r="2189" spans="1:2">
      <c r="A2189" s="4">
        <v>34549</v>
      </c>
      <c r="B2189" s="3">
        <v>20.059999999999999</v>
      </c>
    </row>
    <row r="2190" spans="1:2">
      <c r="A2190" s="4">
        <v>34550</v>
      </c>
      <c r="B2190" s="3">
        <v>20.14</v>
      </c>
    </row>
    <row r="2191" spans="1:2">
      <c r="A2191" s="4">
        <v>34551</v>
      </c>
      <c r="B2191" s="3">
        <v>19.37</v>
      </c>
    </row>
    <row r="2192" spans="1:2">
      <c r="A2192" s="4">
        <v>34554</v>
      </c>
      <c r="B2192" s="3">
        <v>19.41</v>
      </c>
    </row>
    <row r="2193" spans="1:2">
      <c r="A2193" s="4">
        <v>34555</v>
      </c>
      <c r="B2193" s="3">
        <v>19.29</v>
      </c>
    </row>
    <row r="2194" spans="1:2">
      <c r="A2194" s="4">
        <v>34556</v>
      </c>
      <c r="B2194" s="3">
        <v>18.96</v>
      </c>
    </row>
    <row r="2195" spans="1:2">
      <c r="A2195" s="4">
        <v>34557</v>
      </c>
      <c r="B2195" s="3">
        <v>18.670000000000002</v>
      </c>
    </row>
    <row r="2196" spans="1:2">
      <c r="A2196" s="4">
        <v>34558</v>
      </c>
      <c r="B2196" s="3">
        <v>18.05</v>
      </c>
    </row>
    <row r="2197" spans="1:2">
      <c r="A2197" s="4">
        <v>34561</v>
      </c>
      <c r="B2197" s="3">
        <v>18.239999999999998</v>
      </c>
    </row>
    <row r="2198" spans="1:2">
      <c r="A2198" s="4">
        <v>34562</v>
      </c>
      <c r="B2198" s="3">
        <v>17.64</v>
      </c>
    </row>
    <row r="2199" spans="1:2">
      <c r="A2199" s="4">
        <v>34563</v>
      </c>
      <c r="B2199" s="3">
        <v>18.079999999999998</v>
      </c>
    </row>
    <row r="2200" spans="1:2">
      <c r="A2200" s="4">
        <v>34564</v>
      </c>
      <c r="B2200" s="3">
        <v>17.73</v>
      </c>
    </row>
    <row r="2201" spans="1:2">
      <c r="A2201" s="4">
        <v>34565</v>
      </c>
      <c r="B2201" s="3">
        <v>17.559999999999999</v>
      </c>
    </row>
    <row r="2202" spans="1:2">
      <c r="A2202" s="4">
        <v>34568</v>
      </c>
      <c r="B2202" s="3">
        <v>16.87</v>
      </c>
    </row>
    <row r="2203" spans="1:2">
      <c r="A2203" s="4">
        <v>34569</v>
      </c>
      <c r="B2203" s="3">
        <v>17.09</v>
      </c>
    </row>
    <row r="2204" spans="1:2">
      <c r="A2204" s="4">
        <v>34570</v>
      </c>
      <c r="B2204" s="3">
        <v>17.54</v>
      </c>
    </row>
    <row r="2205" spans="1:2">
      <c r="A2205" s="4">
        <v>34571</v>
      </c>
      <c r="B2205" s="3">
        <v>17.489999999999998</v>
      </c>
    </row>
    <row r="2206" spans="1:2">
      <c r="A2206" s="4">
        <v>34572</v>
      </c>
      <c r="B2206" s="3">
        <v>17.14</v>
      </c>
    </row>
    <row r="2207" spans="1:2">
      <c r="A2207" s="4">
        <v>34575</v>
      </c>
      <c r="B2207" s="3">
        <v>17.62</v>
      </c>
    </row>
    <row r="2208" spans="1:2">
      <c r="A2208" s="4">
        <v>34576</v>
      </c>
      <c r="B2208" s="3">
        <v>17.399999999999999</v>
      </c>
    </row>
    <row r="2209" spans="1:2">
      <c r="A2209" s="4">
        <v>34577</v>
      </c>
      <c r="B2209" s="3">
        <v>17.600000000000001</v>
      </c>
    </row>
    <row r="2210" spans="1:2">
      <c r="A2210" s="4">
        <v>34578</v>
      </c>
      <c r="B2210" s="3">
        <v>17.47</v>
      </c>
    </row>
    <row r="2211" spans="1:2">
      <c r="A2211" s="4">
        <v>34579</v>
      </c>
      <c r="B2211" s="3">
        <v>17.52</v>
      </c>
    </row>
    <row r="2212" spans="1:2">
      <c r="A2212" s="4">
        <v>34583</v>
      </c>
      <c r="B2212" s="3">
        <v>17.62</v>
      </c>
    </row>
    <row r="2213" spans="1:2">
      <c r="A2213" s="4">
        <v>34584</v>
      </c>
      <c r="B2213" s="3">
        <v>17.84</v>
      </c>
    </row>
    <row r="2214" spans="1:2">
      <c r="A2214" s="4">
        <v>34585</v>
      </c>
      <c r="B2214" s="3">
        <v>17.62</v>
      </c>
    </row>
    <row r="2215" spans="1:2">
      <c r="A2215" s="4">
        <v>34586</v>
      </c>
      <c r="B2215" s="3">
        <v>17.53</v>
      </c>
    </row>
    <row r="2216" spans="1:2">
      <c r="A2216" s="4">
        <v>34589</v>
      </c>
      <c r="B2216" s="3">
        <v>17.39</v>
      </c>
    </row>
    <row r="2217" spans="1:2">
      <c r="A2217" s="4">
        <v>34590</v>
      </c>
      <c r="B2217" s="3">
        <v>17</v>
      </c>
    </row>
    <row r="2218" spans="1:2">
      <c r="A2218" s="4">
        <v>34591</v>
      </c>
      <c r="B2218" s="3">
        <v>16.72</v>
      </c>
    </row>
    <row r="2219" spans="1:2">
      <c r="A2219" s="4">
        <v>34592</v>
      </c>
      <c r="B2219" s="3">
        <v>16.72</v>
      </c>
    </row>
    <row r="2220" spans="1:2">
      <c r="A2220" s="4">
        <v>34593</v>
      </c>
      <c r="B2220" s="3">
        <v>16.84</v>
      </c>
    </row>
    <row r="2221" spans="1:2">
      <c r="A2221" s="4">
        <v>34596</v>
      </c>
      <c r="B2221" s="3">
        <v>17.21</v>
      </c>
    </row>
    <row r="2222" spans="1:2">
      <c r="A2222" s="4">
        <v>34597</v>
      </c>
      <c r="B2222" s="3">
        <v>17.239999999999998</v>
      </c>
    </row>
    <row r="2223" spans="1:2">
      <c r="A2223" s="4">
        <v>34598</v>
      </c>
      <c r="B2223" s="3">
        <v>17.059999999999999</v>
      </c>
    </row>
    <row r="2224" spans="1:2">
      <c r="A2224" s="4">
        <v>34599</v>
      </c>
      <c r="B2224" s="3">
        <v>17.649999999999999</v>
      </c>
    </row>
    <row r="2225" spans="1:2">
      <c r="A2225" s="4">
        <v>34600</v>
      </c>
      <c r="B2225" s="3">
        <v>17.760000000000002</v>
      </c>
    </row>
    <row r="2226" spans="1:2">
      <c r="A2226" s="4">
        <v>34603</v>
      </c>
      <c r="B2226" s="3">
        <v>17.68</v>
      </c>
    </row>
    <row r="2227" spans="1:2">
      <c r="A2227" s="4">
        <v>34604</v>
      </c>
      <c r="B2227" s="3">
        <v>17.48</v>
      </c>
    </row>
    <row r="2228" spans="1:2">
      <c r="A2228" s="4">
        <v>34605</v>
      </c>
      <c r="B2228" s="3">
        <v>17.690000000000001</v>
      </c>
    </row>
    <row r="2229" spans="1:2">
      <c r="A2229" s="4">
        <v>34606</v>
      </c>
      <c r="B2229" s="3">
        <v>17.96</v>
      </c>
    </row>
    <row r="2230" spans="1:2">
      <c r="A2230" s="4">
        <v>34607</v>
      </c>
      <c r="B2230" s="3">
        <v>18.36</v>
      </c>
    </row>
    <row r="2231" spans="1:2">
      <c r="A2231" s="4">
        <v>34610</v>
      </c>
      <c r="B2231" s="3">
        <v>18.16</v>
      </c>
    </row>
    <row r="2232" spans="1:2">
      <c r="A2232" s="4">
        <v>34611</v>
      </c>
      <c r="B2232" s="3">
        <v>17.97</v>
      </c>
    </row>
    <row r="2233" spans="1:2">
      <c r="A2233" s="4">
        <v>34612</v>
      </c>
      <c r="B2233" s="3">
        <v>18.010000000000002</v>
      </c>
    </row>
    <row r="2234" spans="1:2">
      <c r="A2234" s="4">
        <v>34613</v>
      </c>
      <c r="B2234" s="3">
        <v>18.239999999999998</v>
      </c>
    </row>
    <row r="2235" spans="1:2">
      <c r="A2235" s="4">
        <v>34614</v>
      </c>
      <c r="B2235" s="3">
        <v>18.27</v>
      </c>
    </row>
    <row r="2236" spans="1:2">
      <c r="A2236" s="4">
        <v>34617</v>
      </c>
      <c r="B2236" s="3">
        <v>17.95</v>
      </c>
    </row>
    <row r="2237" spans="1:2">
      <c r="A2237" s="4">
        <v>34618</v>
      </c>
      <c r="B2237" s="3">
        <v>17.739999999999998</v>
      </c>
    </row>
    <row r="2238" spans="1:2">
      <c r="A2238" s="4">
        <v>34619</v>
      </c>
      <c r="B2238" s="3">
        <v>17.13</v>
      </c>
    </row>
    <row r="2239" spans="1:2">
      <c r="A2239" s="4">
        <v>34620</v>
      </c>
      <c r="B2239" s="3">
        <v>17.03</v>
      </c>
    </row>
    <row r="2240" spans="1:2">
      <c r="A2240" s="4">
        <v>34621</v>
      </c>
      <c r="B2240" s="3">
        <v>16.98</v>
      </c>
    </row>
    <row r="2241" spans="1:2">
      <c r="A2241" s="4">
        <v>34624</v>
      </c>
      <c r="B2241" s="3">
        <v>17.11</v>
      </c>
    </row>
    <row r="2242" spans="1:2">
      <c r="A2242" s="4">
        <v>34625</v>
      </c>
      <c r="B2242" s="3">
        <v>17.34</v>
      </c>
    </row>
    <row r="2243" spans="1:2">
      <c r="A2243" s="4">
        <v>34626</v>
      </c>
      <c r="B2243" s="3">
        <v>17.43</v>
      </c>
    </row>
    <row r="2244" spans="1:2">
      <c r="A2244" s="4">
        <v>34627</v>
      </c>
      <c r="B2244" s="3">
        <v>17.57</v>
      </c>
    </row>
    <row r="2245" spans="1:2">
      <c r="A2245" s="4">
        <v>34628</v>
      </c>
      <c r="B2245" s="3">
        <v>17.309999999999999</v>
      </c>
    </row>
    <row r="2246" spans="1:2">
      <c r="A2246" s="4">
        <v>34631</v>
      </c>
      <c r="B2246" s="3">
        <v>17.5</v>
      </c>
    </row>
    <row r="2247" spans="1:2">
      <c r="A2247" s="4">
        <v>34632</v>
      </c>
      <c r="B2247" s="3">
        <v>17.71</v>
      </c>
    </row>
    <row r="2248" spans="1:2">
      <c r="A2248" s="4">
        <v>34633</v>
      </c>
      <c r="B2248" s="3">
        <v>18.010000000000002</v>
      </c>
    </row>
    <row r="2249" spans="1:2">
      <c r="A2249" s="4">
        <v>34634</v>
      </c>
      <c r="B2249" s="3">
        <v>18.170000000000002</v>
      </c>
    </row>
    <row r="2250" spans="1:2">
      <c r="A2250" s="4">
        <v>34635</v>
      </c>
      <c r="B2250" s="3">
        <v>18.25</v>
      </c>
    </row>
    <row r="2251" spans="1:2">
      <c r="A2251" s="4">
        <v>34638</v>
      </c>
      <c r="B2251" s="3">
        <v>18.16</v>
      </c>
    </row>
    <row r="2252" spans="1:2">
      <c r="A2252" s="4">
        <v>34639</v>
      </c>
      <c r="B2252" s="3">
        <v>18.66</v>
      </c>
    </row>
    <row r="2253" spans="1:2">
      <c r="A2253" s="4">
        <v>34640</v>
      </c>
      <c r="B2253" s="3">
        <v>18.899999999999999</v>
      </c>
    </row>
    <row r="2254" spans="1:2">
      <c r="A2254" s="4">
        <v>34641</v>
      </c>
      <c r="B2254" s="3">
        <v>18.97</v>
      </c>
    </row>
    <row r="2255" spans="1:2">
      <c r="A2255" s="4">
        <v>34642</v>
      </c>
      <c r="B2255" s="3">
        <v>18.760000000000002</v>
      </c>
    </row>
    <row r="2256" spans="1:2">
      <c r="A2256" s="4">
        <v>34645</v>
      </c>
      <c r="B2256" s="3">
        <v>18.38</v>
      </c>
    </row>
    <row r="2257" spans="1:2">
      <c r="A2257" s="4">
        <v>34646</v>
      </c>
      <c r="B2257" s="3">
        <v>18.46</v>
      </c>
    </row>
    <row r="2258" spans="1:2">
      <c r="A2258" s="4">
        <v>34647</v>
      </c>
      <c r="B2258" s="3">
        <v>18.16</v>
      </c>
    </row>
    <row r="2259" spans="1:2">
      <c r="A2259" s="4">
        <v>34648</v>
      </c>
      <c r="B2259" s="3">
        <v>18.18</v>
      </c>
    </row>
    <row r="2260" spans="1:2">
      <c r="A2260" s="4">
        <v>34649</v>
      </c>
      <c r="B2260" s="3">
        <v>18.07</v>
      </c>
    </row>
    <row r="2261" spans="1:2">
      <c r="A2261" s="4">
        <v>34652</v>
      </c>
      <c r="B2261" s="3">
        <v>17.48</v>
      </c>
    </row>
    <row r="2262" spans="1:2">
      <c r="A2262" s="4">
        <v>34653</v>
      </c>
      <c r="B2262" s="3">
        <v>17.579999999999998</v>
      </c>
    </row>
    <row r="2263" spans="1:2">
      <c r="A2263" s="4">
        <v>34654</v>
      </c>
      <c r="B2263" s="3">
        <v>17.38</v>
      </c>
    </row>
    <row r="2264" spans="1:2">
      <c r="A2264" s="4">
        <v>34655</v>
      </c>
      <c r="B2264" s="3">
        <v>17.63</v>
      </c>
    </row>
    <row r="2265" spans="1:2">
      <c r="A2265" s="4">
        <v>34656</v>
      </c>
      <c r="B2265" s="3">
        <v>17.47</v>
      </c>
    </row>
    <row r="2266" spans="1:2">
      <c r="A2266" s="4">
        <v>34659</v>
      </c>
      <c r="B2266" s="3">
        <v>17.43</v>
      </c>
    </row>
    <row r="2267" spans="1:2">
      <c r="A2267" s="4">
        <v>34660</v>
      </c>
      <c r="B2267" s="3">
        <v>17.7</v>
      </c>
    </row>
    <row r="2268" spans="1:2">
      <c r="A2268" s="4">
        <v>34661</v>
      </c>
      <c r="B2268" s="3">
        <v>18.05</v>
      </c>
    </row>
    <row r="2269" spans="1:2">
      <c r="A2269" s="4">
        <v>34666</v>
      </c>
      <c r="B2269" s="3">
        <v>18.100000000000001</v>
      </c>
    </row>
    <row r="2270" spans="1:2">
      <c r="A2270" s="4">
        <v>34667</v>
      </c>
      <c r="B2270" s="3">
        <v>17.97</v>
      </c>
    </row>
    <row r="2271" spans="1:2">
      <c r="A2271" s="4">
        <v>34668</v>
      </c>
      <c r="B2271" s="3">
        <v>18.059999999999999</v>
      </c>
    </row>
    <row r="2272" spans="1:2">
      <c r="A2272" s="4">
        <v>34669</v>
      </c>
      <c r="B2272" s="3">
        <v>17.77</v>
      </c>
    </row>
    <row r="2273" spans="1:2">
      <c r="A2273" s="4">
        <v>34670</v>
      </c>
      <c r="B2273" s="3">
        <v>17</v>
      </c>
    </row>
    <row r="2274" spans="1:2">
      <c r="A2274" s="4">
        <v>34673</v>
      </c>
      <c r="B2274" s="3">
        <v>16.88</v>
      </c>
    </row>
    <row r="2275" spans="1:2">
      <c r="A2275" s="4">
        <v>34674</v>
      </c>
      <c r="B2275" s="3">
        <v>16.93</v>
      </c>
    </row>
    <row r="2276" spans="1:2">
      <c r="A2276" s="4">
        <v>34675</v>
      </c>
      <c r="B2276" s="3">
        <v>16.86</v>
      </c>
    </row>
    <row r="2277" spans="1:2">
      <c r="A2277" s="4">
        <v>34676</v>
      </c>
      <c r="B2277" s="3">
        <v>17.14</v>
      </c>
    </row>
    <row r="2278" spans="1:2">
      <c r="A2278" s="4">
        <v>34677</v>
      </c>
      <c r="B2278" s="3">
        <v>17.12</v>
      </c>
    </row>
    <row r="2279" spans="1:2">
      <c r="A2279" s="4">
        <v>34680</v>
      </c>
      <c r="B2279" s="3">
        <v>16.920000000000002</v>
      </c>
    </row>
    <row r="2280" spans="1:2">
      <c r="A2280" s="4">
        <v>34681</v>
      </c>
      <c r="B2280" s="3">
        <v>16.98</v>
      </c>
    </row>
    <row r="2281" spans="1:2">
      <c r="A2281" s="4">
        <v>34682</v>
      </c>
      <c r="B2281" s="3">
        <v>16.96</v>
      </c>
    </row>
    <row r="2282" spans="1:2">
      <c r="A2282" s="4">
        <v>34683</v>
      </c>
      <c r="B2282" s="3">
        <v>16.600000000000001</v>
      </c>
    </row>
    <row r="2283" spans="1:2">
      <c r="A2283" s="4">
        <v>34684</v>
      </c>
      <c r="B2283" s="3">
        <v>16.84</v>
      </c>
    </row>
    <row r="2284" spans="1:2">
      <c r="A2284" s="4">
        <v>34687</v>
      </c>
      <c r="B2284" s="3">
        <v>16.91</v>
      </c>
    </row>
    <row r="2285" spans="1:2">
      <c r="A2285" s="4">
        <v>34688</v>
      </c>
      <c r="B2285" s="3">
        <v>16.98</v>
      </c>
    </row>
    <row r="2286" spans="1:2">
      <c r="A2286" s="4">
        <v>34689</v>
      </c>
      <c r="B2286" s="3">
        <v>17.07</v>
      </c>
    </row>
    <row r="2287" spans="1:2">
      <c r="A2287" s="4">
        <v>34690</v>
      </c>
      <c r="B2287" s="3">
        <v>17.149999999999999</v>
      </c>
    </row>
    <row r="2288" spans="1:2">
      <c r="A2288" s="4">
        <v>34691</v>
      </c>
      <c r="B2288" s="3">
        <v>17.41</v>
      </c>
    </row>
    <row r="2289" spans="1:2">
      <c r="A2289" s="4">
        <v>34695</v>
      </c>
      <c r="B2289" s="3">
        <v>17.63</v>
      </c>
    </row>
    <row r="2290" spans="1:2">
      <c r="A2290" s="4">
        <v>34696</v>
      </c>
      <c r="B2290" s="3">
        <v>17.739999999999998</v>
      </c>
    </row>
    <row r="2291" spans="1:2">
      <c r="A2291" s="4">
        <v>34697</v>
      </c>
      <c r="B2291" s="3">
        <v>17.690000000000001</v>
      </c>
    </row>
    <row r="2292" spans="1:2">
      <c r="A2292" s="4">
        <v>34698</v>
      </c>
      <c r="B2292" s="3">
        <v>17.77</v>
      </c>
    </row>
    <row r="2293" spans="1:2">
      <c r="A2293" s="4">
        <v>34702</v>
      </c>
      <c r="B2293" s="3">
        <v>17.45</v>
      </c>
    </row>
    <row r="2294" spans="1:2">
      <c r="A2294" s="4">
        <v>34703</v>
      </c>
      <c r="B2294" s="3">
        <v>17.559999999999999</v>
      </c>
    </row>
    <row r="2295" spans="1:2">
      <c r="A2295" s="4">
        <v>34704</v>
      </c>
      <c r="B2295" s="3">
        <v>17.760000000000002</v>
      </c>
    </row>
    <row r="2296" spans="1:2">
      <c r="A2296" s="4">
        <v>34705</v>
      </c>
      <c r="B2296" s="3">
        <v>17.690000000000001</v>
      </c>
    </row>
    <row r="2297" spans="1:2">
      <c r="A2297" s="4">
        <v>34708</v>
      </c>
      <c r="B2297" s="3">
        <v>17.399999999999999</v>
      </c>
    </row>
    <row r="2298" spans="1:2">
      <c r="A2298" s="4">
        <v>34709</v>
      </c>
      <c r="B2298" s="3">
        <v>17.420000000000002</v>
      </c>
    </row>
    <row r="2299" spans="1:2">
      <c r="A2299" s="4">
        <v>34710</v>
      </c>
      <c r="B2299" s="3">
        <v>17.7</v>
      </c>
    </row>
    <row r="2300" spans="1:2">
      <c r="A2300" s="4">
        <v>34711</v>
      </c>
      <c r="B2300" s="3">
        <v>17.72</v>
      </c>
    </row>
    <row r="2301" spans="1:2">
      <c r="A2301" s="4">
        <v>34712</v>
      </c>
      <c r="B2301" s="3">
        <v>17.52</v>
      </c>
    </row>
    <row r="2302" spans="1:2">
      <c r="A2302" s="4">
        <v>34715</v>
      </c>
      <c r="B2302" s="3">
        <v>17.89</v>
      </c>
    </row>
    <row r="2303" spans="1:2">
      <c r="A2303" s="4">
        <v>34716</v>
      </c>
      <c r="B2303" s="3">
        <v>18.47</v>
      </c>
    </row>
    <row r="2304" spans="1:2">
      <c r="A2304" s="4">
        <v>34717</v>
      </c>
      <c r="B2304" s="3">
        <v>18.72</v>
      </c>
    </row>
    <row r="2305" spans="1:2">
      <c r="A2305" s="4">
        <v>34718</v>
      </c>
      <c r="B2305" s="3">
        <v>18.7</v>
      </c>
    </row>
    <row r="2306" spans="1:2">
      <c r="A2306" s="4">
        <v>34719</v>
      </c>
      <c r="B2306" s="3">
        <v>18.46</v>
      </c>
    </row>
    <row r="2307" spans="1:2">
      <c r="A2307" s="4">
        <v>34722</v>
      </c>
      <c r="B2307" s="3">
        <v>18.16</v>
      </c>
    </row>
    <row r="2308" spans="1:2">
      <c r="A2308" s="4">
        <v>34723</v>
      </c>
      <c r="B2308" s="3">
        <v>18.53</v>
      </c>
    </row>
    <row r="2309" spans="1:2">
      <c r="A2309" s="4">
        <v>34724</v>
      </c>
      <c r="B2309" s="3">
        <v>18.82</v>
      </c>
    </row>
    <row r="2310" spans="1:2">
      <c r="A2310" s="4">
        <v>34725</v>
      </c>
      <c r="B2310" s="3">
        <v>18.23</v>
      </c>
    </row>
    <row r="2311" spans="1:2">
      <c r="A2311" s="4">
        <v>34726</v>
      </c>
      <c r="B2311" s="3">
        <v>17.95</v>
      </c>
    </row>
    <row r="2312" spans="1:2">
      <c r="A2312" s="4">
        <v>34729</v>
      </c>
      <c r="B2312" s="3">
        <v>18.2</v>
      </c>
    </row>
    <row r="2313" spans="1:2">
      <c r="A2313" s="4">
        <v>34730</v>
      </c>
      <c r="B2313" s="3">
        <v>18.48</v>
      </c>
    </row>
    <row r="2314" spans="1:2">
      <c r="A2314" s="4">
        <v>34731</v>
      </c>
      <c r="B2314" s="3">
        <v>18.48</v>
      </c>
    </row>
    <row r="2315" spans="1:2">
      <c r="A2315" s="4">
        <v>34732</v>
      </c>
      <c r="B2315" s="3">
        <v>18.54</v>
      </c>
    </row>
    <row r="2316" spans="1:2">
      <c r="A2316" s="4">
        <v>34733</v>
      </c>
      <c r="B2316" s="3">
        <v>18.78</v>
      </c>
    </row>
    <row r="2317" spans="1:2">
      <c r="A2317" s="4">
        <v>34736</v>
      </c>
      <c r="B2317" s="3">
        <v>18.579999999999998</v>
      </c>
    </row>
    <row r="2318" spans="1:2">
      <c r="A2318" s="4">
        <v>34737</v>
      </c>
      <c r="B2318" s="3">
        <v>18.43</v>
      </c>
    </row>
    <row r="2319" spans="1:2">
      <c r="A2319" s="4">
        <v>34738</v>
      </c>
      <c r="B2319" s="3">
        <v>18.36</v>
      </c>
    </row>
    <row r="2320" spans="1:2">
      <c r="A2320" s="4">
        <v>34739</v>
      </c>
      <c r="B2320" s="3">
        <v>18.28</v>
      </c>
    </row>
    <row r="2321" spans="1:2">
      <c r="A2321" s="4">
        <v>34740</v>
      </c>
      <c r="B2321" s="3">
        <v>18.47</v>
      </c>
    </row>
    <row r="2322" spans="1:2">
      <c r="A2322" s="4">
        <v>34743</v>
      </c>
      <c r="B2322" s="3">
        <v>18.29</v>
      </c>
    </row>
    <row r="2323" spans="1:2">
      <c r="A2323" s="4">
        <v>34744</v>
      </c>
      <c r="B2323" s="3">
        <v>18.440000000000001</v>
      </c>
    </row>
    <row r="2324" spans="1:2">
      <c r="A2324" s="4">
        <v>34745</v>
      </c>
      <c r="B2324" s="3">
        <v>18.46</v>
      </c>
    </row>
    <row r="2325" spans="1:2">
      <c r="A2325" s="4">
        <v>34746</v>
      </c>
      <c r="B2325" s="3">
        <v>18.63</v>
      </c>
    </row>
    <row r="2326" spans="1:2">
      <c r="A2326" s="4">
        <v>34747</v>
      </c>
      <c r="B2326" s="3">
        <v>18.940000000000001</v>
      </c>
    </row>
    <row r="2327" spans="1:2">
      <c r="A2327" s="4">
        <v>34751</v>
      </c>
      <c r="B2327" s="3">
        <v>18.86</v>
      </c>
    </row>
    <row r="2328" spans="1:2">
      <c r="A2328" s="4">
        <v>34752</v>
      </c>
      <c r="B2328" s="3">
        <v>18.84</v>
      </c>
    </row>
    <row r="2329" spans="1:2">
      <c r="A2329" s="4">
        <v>34753</v>
      </c>
      <c r="B2329" s="3">
        <v>18.59</v>
      </c>
    </row>
    <row r="2330" spans="1:2">
      <c r="A2330" s="4">
        <v>34754</v>
      </c>
      <c r="B2330" s="3">
        <v>18.7</v>
      </c>
    </row>
    <row r="2331" spans="1:2">
      <c r="A2331" s="4">
        <v>34757</v>
      </c>
      <c r="B2331" s="3">
        <v>18.64</v>
      </c>
    </row>
    <row r="2332" spans="1:2">
      <c r="A2332" s="4">
        <v>34758</v>
      </c>
      <c r="B2332" s="3">
        <v>18.52</v>
      </c>
    </row>
    <row r="2333" spans="1:2">
      <c r="A2333" s="4">
        <v>34759</v>
      </c>
      <c r="B2333" s="3">
        <v>18.309999999999999</v>
      </c>
    </row>
    <row r="2334" spans="1:2">
      <c r="A2334" s="4">
        <v>34760</v>
      </c>
      <c r="B2334" s="3">
        <v>18.399999999999999</v>
      </c>
    </row>
    <row r="2335" spans="1:2">
      <c r="A2335" s="4">
        <v>34761</v>
      </c>
      <c r="B2335" s="3">
        <v>18.63</v>
      </c>
    </row>
    <row r="2336" spans="1:2">
      <c r="A2336" s="4">
        <v>34764</v>
      </c>
      <c r="B2336" s="3">
        <v>18.559999999999999</v>
      </c>
    </row>
    <row r="2337" spans="1:2">
      <c r="A2337" s="4">
        <v>34765</v>
      </c>
      <c r="B2337" s="3">
        <v>18.59</v>
      </c>
    </row>
    <row r="2338" spans="1:2">
      <c r="A2338" s="4">
        <v>34766</v>
      </c>
      <c r="B2338" s="3">
        <v>18.3</v>
      </c>
    </row>
    <row r="2339" spans="1:2">
      <c r="A2339" s="4">
        <v>34767</v>
      </c>
      <c r="B2339" s="3">
        <v>17.98</v>
      </c>
    </row>
    <row r="2340" spans="1:2">
      <c r="A2340" s="4">
        <v>34768</v>
      </c>
      <c r="B2340" s="3">
        <v>17.920000000000002</v>
      </c>
    </row>
    <row r="2341" spans="1:2">
      <c r="A2341" s="4">
        <v>34771</v>
      </c>
      <c r="B2341" s="3">
        <v>18.190000000000001</v>
      </c>
    </row>
    <row r="2342" spans="1:2">
      <c r="A2342" s="4">
        <v>34772</v>
      </c>
      <c r="B2342" s="3">
        <v>17.899999999999999</v>
      </c>
    </row>
    <row r="2343" spans="1:2">
      <c r="A2343" s="4">
        <v>34773</v>
      </c>
      <c r="B2343" s="3">
        <v>18.12</v>
      </c>
    </row>
    <row r="2344" spans="1:2">
      <c r="A2344" s="4">
        <v>34774</v>
      </c>
      <c r="B2344" s="3">
        <v>18.18</v>
      </c>
    </row>
    <row r="2345" spans="1:2">
      <c r="A2345" s="4">
        <v>34775</v>
      </c>
      <c r="B2345" s="3">
        <v>18.27</v>
      </c>
    </row>
    <row r="2346" spans="1:2">
      <c r="A2346" s="4">
        <v>34778</v>
      </c>
      <c r="B2346" s="3">
        <v>18.579999999999998</v>
      </c>
    </row>
    <row r="2347" spans="1:2">
      <c r="A2347" s="4">
        <v>34779</v>
      </c>
      <c r="B2347" s="3">
        <v>18.440000000000001</v>
      </c>
    </row>
    <row r="2348" spans="1:2">
      <c r="A2348" s="4">
        <v>34780</v>
      </c>
      <c r="B2348" s="3">
        <v>18.91</v>
      </c>
    </row>
    <row r="2349" spans="1:2">
      <c r="A2349" s="4">
        <v>34781</v>
      </c>
      <c r="B2349" s="3">
        <v>18.850000000000001</v>
      </c>
    </row>
    <row r="2350" spans="1:2">
      <c r="A2350" s="4">
        <v>34782</v>
      </c>
      <c r="B2350" s="3">
        <v>18.68</v>
      </c>
    </row>
    <row r="2351" spans="1:2">
      <c r="A2351" s="4">
        <v>34785</v>
      </c>
      <c r="B2351" s="3">
        <v>19.079999999999998</v>
      </c>
    </row>
    <row r="2352" spans="1:2">
      <c r="A2352" s="4">
        <v>34786</v>
      </c>
      <c r="B2352" s="3">
        <v>18.95</v>
      </c>
    </row>
    <row r="2353" spans="1:2">
      <c r="A2353" s="4">
        <v>34787</v>
      </c>
      <c r="B2353" s="3">
        <v>19.21</v>
      </c>
    </row>
    <row r="2354" spans="1:2">
      <c r="A2354" s="4">
        <v>34788</v>
      </c>
      <c r="B2354" s="3">
        <v>19.170000000000002</v>
      </c>
    </row>
    <row r="2355" spans="1:2">
      <c r="A2355" s="4">
        <v>34789</v>
      </c>
      <c r="B2355" s="3">
        <v>19.18</v>
      </c>
    </row>
    <row r="2356" spans="1:2">
      <c r="A2356" s="4">
        <v>34792</v>
      </c>
      <c r="B2356" s="3">
        <v>19.05</v>
      </c>
    </row>
    <row r="2357" spans="1:2">
      <c r="A2357" s="4">
        <v>34793</v>
      </c>
      <c r="B2357" s="3">
        <v>19.11</v>
      </c>
    </row>
    <row r="2358" spans="1:2">
      <c r="A2358" s="4">
        <v>34794</v>
      </c>
      <c r="B2358" s="3">
        <v>19.57</v>
      </c>
    </row>
    <row r="2359" spans="1:2">
      <c r="A2359" s="4">
        <v>34795</v>
      </c>
      <c r="B2359" s="3">
        <v>19.739999999999998</v>
      </c>
    </row>
    <row r="2360" spans="1:2">
      <c r="A2360" s="4">
        <v>34796</v>
      </c>
      <c r="B2360" s="3">
        <v>19.670000000000002</v>
      </c>
    </row>
    <row r="2361" spans="1:2">
      <c r="A2361" s="4">
        <v>34799</v>
      </c>
      <c r="B2361" s="3">
        <v>19.61</v>
      </c>
    </row>
    <row r="2362" spans="1:2">
      <c r="A2362" s="4">
        <v>34800</v>
      </c>
      <c r="B2362" s="3">
        <v>19.84</v>
      </c>
    </row>
    <row r="2363" spans="1:2">
      <c r="A2363" s="4">
        <v>34801</v>
      </c>
      <c r="B2363" s="3">
        <v>19.5</v>
      </c>
    </row>
    <row r="2364" spans="1:2">
      <c r="A2364" s="4">
        <v>34802</v>
      </c>
      <c r="B2364" s="3">
        <v>19.16</v>
      </c>
    </row>
    <row r="2365" spans="1:2">
      <c r="A2365" s="4">
        <v>34806</v>
      </c>
      <c r="B2365" s="3">
        <v>19.8</v>
      </c>
    </row>
    <row r="2366" spans="1:2">
      <c r="A2366" s="4">
        <v>34807</v>
      </c>
      <c r="B2366" s="3">
        <v>20.14</v>
      </c>
    </row>
    <row r="2367" spans="1:2">
      <c r="A2367" s="4">
        <v>34808</v>
      </c>
      <c r="B2367" s="3">
        <v>20.399999999999999</v>
      </c>
    </row>
    <row r="2368" spans="1:2">
      <c r="A2368" s="4">
        <v>34809</v>
      </c>
      <c r="B2368" s="3">
        <v>20.52</v>
      </c>
    </row>
    <row r="2369" spans="1:2">
      <c r="A2369" s="4">
        <v>34810</v>
      </c>
      <c r="B2369" s="3">
        <v>20.46</v>
      </c>
    </row>
    <row r="2370" spans="1:2">
      <c r="A2370" s="4">
        <v>34813</v>
      </c>
      <c r="B2370" s="3">
        <v>20.13</v>
      </c>
    </row>
    <row r="2371" spans="1:2">
      <c r="A2371" s="4">
        <v>34814</v>
      </c>
      <c r="B2371" s="3">
        <v>20.309999999999999</v>
      </c>
    </row>
    <row r="2372" spans="1:2">
      <c r="A2372" s="4">
        <v>34815</v>
      </c>
      <c r="B2372" s="3">
        <v>20.18</v>
      </c>
    </row>
    <row r="2373" spans="1:2">
      <c r="A2373" s="4">
        <v>34816</v>
      </c>
      <c r="B2373" s="3">
        <v>20.48</v>
      </c>
    </row>
    <row r="2374" spans="1:2">
      <c r="A2374" s="4">
        <v>34817</v>
      </c>
      <c r="B2374" s="3">
        <v>20.36</v>
      </c>
    </row>
    <row r="2375" spans="1:2">
      <c r="A2375" s="4">
        <v>34820</v>
      </c>
      <c r="B2375" s="3">
        <v>20.53</v>
      </c>
    </row>
    <row r="2376" spans="1:2">
      <c r="A2376" s="4">
        <v>34821</v>
      </c>
      <c r="B2376" s="3">
        <v>20.18</v>
      </c>
    </row>
    <row r="2377" spans="1:2">
      <c r="A2377" s="4">
        <v>34822</v>
      </c>
      <c r="B2377" s="3">
        <v>19.88</v>
      </c>
    </row>
    <row r="2378" spans="1:2">
      <c r="A2378" s="4">
        <v>34823</v>
      </c>
      <c r="B2378" s="3">
        <v>20.3</v>
      </c>
    </row>
    <row r="2379" spans="1:2">
      <c r="A2379" s="4">
        <v>34824</v>
      </c>
      <c r="B2379" s="3">
        <v>20.329999999999998</v>
      </c>
    </row>
    <row r="2380" spans="1:2">
      <c r="A2380" s="4">
        <v>34827</v>
      </c>
      <c r="B2380" s="3">
        <v>20.32</v>
      </c>
    </row>
    <row r="2381" spans="1:2">
      <c r="A2381" s="4">
        <v>34828</v>
      </c>
      <c r="B2381" s="3">
        <v>19.670000000000002</v>
      </c>
    </row>
    <row r="2382" spans="1:2">
      <c r="A2382" s="4">
        <v>34829</v>
      </c>
      <c r="B2382" s="3">
        <v>19.760000000000002</v>
      </c>
    </row>
    <row r="2383" spans="1:2">
      <c r="A2383" s="4">
        <v>34830</v>
      </c>
      <c r="B2383" s="3">
        <v>19.399999999999999</v>
      </c>
    </row>
    <row r="2384" spans="1:2">
      <c r="A2384" s="4">
        <v>34831</v>
      </c>
      <c r="B2384" s="3">
        <v>19.55</v>
      </c>
    </row>
    <row r="2385" spans="1:2">
      <c r="A2385" s="4">
        <v>34834</v>
      </c>
      <c r="B2385" s="3">
        <v>19.91</v>
      </c>
    </row>
    <row r="2386" spans="1:2">
      <c r="A2386" s="4">
        <v>34835</v>
      </c>
      <c r="B2386" s="3">
        <v>20.010000000000002</v>
      </c>
    </row>
    <row r="2387" spans="1:2">
      <c r="A2387" s="4">
        <v>34836</v>
      </c>
      <c r="B2387" s="3">
        <v>19.940000000000001</v>
      </c>
    </row>
    <row r="2388" spans="1:2">
      <c r="A2388" s="4">
        <v>34837</v>
      </c>
      <c r="B2388" s="3">
        <v>19.989999999999998</v>
      </c>
    </row>
    <row r="2389" spans="1:2">
      <c r="A2389" s="4">
        <v>34838</v>
      </c>
      <c r="B2389" s="3">
        <v>20.059999999999999</v>
      </c>
    </row>
    <row r="2390" spans="1:2">
      <c r="A2390" s="4">
        <v>34841</v>
      </c>
      <c r="B2390" s="3">
        <v>19.86</v>
      </c>
    </row>
    <row r="2391" spans="1:2">
      <c r="A2391" s="4">
        <v>34842</v>
      </c>
      <c r="B2391" s="3">
        <v>19.809999999999999</v>
      </c>
    </row>
    <row r="2392" spans="1:2">
      <c r="A2392" s="4">
        <v>34843</v>
      </c>
      <c r="B2392" s="3">
        <v>19.34</v>
      </c>
    </row>
    <row r="2393" spans="1:2">
      <c r="A2393" s="4">
        <v>34844</v>
      </c>
      <c r="B2393" s="3">
        <v>19.12</v>
      </c>
    </row>
    <row r="2394" spans="1:2">
      <c r="A2394" s="4">
        <v>34845</v>
      </c>
      <c r="B2394" s="3">
        <v>18.7</v>
      </c>
    </row>
    <row r="2395" spans="1:2">
      <c r="A2395" s="4">
        <v>34849</v>
      </c>
      <c r="B2395" s="3">
        <v>18.78</v>
      </c>
    </row>
    <row r="2396" spans="1:2">
      <c r="A2396" s="4">
        <v>34850</v>
      </c>
      <c r="B2396" s="3">
        <v>18.88</v>
      </c>
    </row>
    <row r="2397" spans="1:2">
      <c r="A2397" s="4">
        <v>34851</v>
      </c>
      <c r="B2397" s="3">
        <v>18.89</v>
      </c>
    </row>
    <row r="2398" spans="1:2">
      <c r="A2398" s="4">
        <v>34852</v>
      </c>
      <c r="B2398" s="3">
        <v>19.14</v>
      </c>
    </row>
    <row r="2399" spans="1:2">
      <c r="A2399" s="4">
        <v>34855</v>
      </c>
      <c r="B2399" s="3">
        <v>19.25</v>
      </c>
    </row>
    <row r="2400" spans="1:2">
      <c r="A2400" s="4">
        <v>34856</v>
      </c>
      <c r="B2400" s="3">
        <v>19.16</v>
      </c>
    </row>
    <row r="2401" spans="1:2">
      <c r="A2401" s="4">
        <v>34857</v>
      </c>
      <c r="B2401" s="3">
        <v>19.079999999999998</v>
      </c>
    </row>
    <row r="2402" spans="1:2">
      <c r="A2402" s="4">
        <v>34858</v>
      </c>
      <c r="B2402" s="3">
        <v>18.940000000000001</v>
      </c>
    </row>
    <row r="2403" spans="1:2">
      <c r="A2403" s="4">
        <v>34859</v>
      </c>
      <c r="B2403" s="3">
        <v>18.829999999999998</v>
      </c>
    </row>
    <row r="2404" spans="1:2">
      <c r="A2404" s="4">
        <v>34862</v>
      </c>
      <c r="B2404" s="3">
        <v>18.87</v>
      </c>
    </row>
    <row r="2405" spans="1:2">
      <c r="A2405" s="4">
        <v>34863</v>
      </c>
      <c r="B2405" s="3">
        <v>18.93</v>
      </c>
    </row>
    <row r="2406" spans="1:2">
      <c r="A2406" s="4">
        <v>34864</v>
      </c>
      <c r="B2406" s="3">
        <v>19.05</v>
      </c>
    </row>
    <row r="2407" spans="1:2">
      <c r="A2407" s="4">
        <v>34865</v>
      </c>
      <c r="B2407" s="3">
        <v>18.899999999999999</v>
      </c>
    </row>
    <row r="2408" spans="1:2">
      <c r="A2408" s="4">
        <v>34866</v>
      </c>
      <c r="B2408" s="3">
        <v>18.8</v>
      </c>
    </row>
    <row r="2409" spans="1:2">
      <c r="A2409" s="4">
        <v>34869</v>
      </c>
      <c r="B2409" s="3">
        <v>18.23</v>
      </c>
    </row>
    <row r="2410" spans="1:2">
      <c r="A2410" s="4">
        <v>34870</v>
      </c>
      <c r="B2410" s="3">
        <v>18.010000000000002</v>
      </c>
    </row>
    <row r="2411" spans="1:2">
      <c r="A2411" s="4">
        <v>34871</v>
      </c>
      <c r="B2411" s="3">
        <v>17.59</v>
      </c>
    </row>
    <row r="2412" spans="1:2">
      <c r="A2412" s="4">
        <v>34872</v>
      </c>
      <c r="B2412" s="3">
        <v>17.760000000000002</v>
      </c>
    </row>
    <row r="2413" spans="1:2">
      <c r="A2413" s="4">
        <v>34873</v>
      </c>
      <c r="B2413" s="3">
        <v>17.809999999999999</v>
      </c>
    </row>
    <row r="2414" spans="1:2">
      <c r="A2414" s="4">
        <v>34876</v>
      </c>
      <c r="B2414" s="3">
        <v>17.670000000000002</v>
      </c>
    </row>
    <row r="2415" spans="1:2">
      <c r="A2415" s="4">
        <v>34877</v>
      </c>
      <c r="B2415" s="3">
        <v>17.95</v>
      </c>
    </row>
    <row r="2416" spans="1:2">
      <c r="A2416" s="4">
        <v>34878</v>
      </c>
      <c r="B2416" s="3">
        <v>17.98</v>
      </c>
    </row>
    <row r="2417" spans="1:2">
      <c r="A2417" s="4">
        <v>34879</v>
      </c>
      <c r="B2417" s="3">
        <v>17.59</v>
      </c>
    </row>
    <row r="2418" spans="1:2">
      <c r="A2418" s="4">
        <v>34880</v>
      </c>
      <c r="B2418" s="3">
        <v>17.38</v>
      </c>
    </row>
    <row r="2419" spans="1:2">
      <c r="A2419" s="4">
        <v>34883</v>
      </c>
      <c r="B2419" s="3">
        <v>17.329999999999998</v>
      </c>
    </row>
    <row r="2420" spans="1:2">
      <c r="A2420" s="4">
        <v>34885</v>
      </c>
      <c r="B2420" s="3">
        <v>17.21</v>
      </c>
    </row>
    <row r="2421" spans="1:2">
      <c r="A2421" s="4">
        <v>34886</v>
      </c>
      <c r="B2421" s="3">
        <v>17.420000000000002</v>
      </c>
    </row>
    <row r="2422" spans="1:2">
      <c r="A2422" s="4">
        <v>34887</v>
      </c>
      <c r="B2422" s="3">
        <v>17.14</v>
      </c>
    </row>
    <row r="2423" spans="1:2">
      <c r="A2423" s="4">
        <v>34890</v>
      </c>
      <c r="B2423" s="3">
        <v>17.350000000000001</v>
      </c>
    </row>
    <row r="2424" spans="1:2">
      <c r="A2424" s="4">
        <v>34891</v>
      </c>
      <c r="B2424" s="3">
        <v>17.309999999999999</v>
      </c>
    </row>
    <row r="2425" spans="1:2">
      <c r="A2425" s="4">
        <v>34892</v>
      </c>
      <c r="B2425" s="3">
        <v>17.489999999999998</v>
      </c>
    </row>
    <row r="2426" spans="1:2">
      <c r="A2426" s="4">
        <v>34893</v>
      </c>
      <c r="B2426" s="3">
        <v>17.25</v>
      </c>
    </row>
    <row r="2427" spans="1:2">
      <c r="A2427" s="4">
        <v>34894</v>
      </c>
      <c r="B2427" s="3">
        <v>17.32</v>
      </c>
    </row>
    <row r="2428" spans="1:2">
      <c r="A2428" s="4">
        <v>34897</v>
      </c>
      <c r="B2428" s="3">
        <v>17.28</v>
      </c>
    </row>
    <row r="2429" spans="1:2">
      <c r="A2429" s="4">
        <v>34898</v>
      </c>
      <c r="B2429" s="3">
        <v>17.329999999999998</v>
      </c>
    </row>
    <row r="2430" spans="1:2">
      <c r="A2430" s="4">
        <v>34899</v>
      </c>
      <c r="B2430" s="3">
        <v>17.329999999999998</v>
      </c>
    </row>
    <row r="2431" spans="1:2">
      <c r="A2431" s="4">
        <v>34900</v>
      </c>
      <c r="B2431" s="3">
        <v>17.03</v>
      </c>
    </row>
    <row r="2432" spans="1:2">
      <c r="A2432" s="4">
        <v>34901</v>
      </c>
      <c r="B2432" s="3">
        <v>17.07</v>
      </c>
    </row>
    <row r="2433" spans="1:2">
      <c r="A2433" s="4">
        <v>34904</v>
      </c>
      <c r="B2433" s="3">
        <v>17.170000000000002</v>
      </c>
    </row>
    <row r="2434" spans="1:2">
      <c r="A2434" s="4">
        <v>34905</v>
      </c>
      <c r="B2434" s="3">
        <v>17.45</v>
      </c>
    </row>
    <row r="2435" spans="1:2">
      <c r="A2435" s="4">
        <v>34906</v>
      </c>
      <c r="B2435" s="3">
        <v>17.47</v>
      </c>
    </row>
    <row r="2436" spans="1:2">
      <c r="A2436" s="4">
        <v>34907</v>
      </c>
      <c r="B2436" s="3">
        <v>17.510000000000002</v>
      </c>
    </row>
    <row r="2437" spans="1:2">
      <c r="A2437" s="4">
        <v>34908</v>
      </c>
      <c r="B2437" s="3">
        <v>17.43</v>
      </c>
    </row>
    <row r="2438" spans="1:2">
      <c r="A2438" s="4">
        <v>34911</v>
      </c>
      <c r="B2438" s="3">
        <v>17.62</v>
      </c>
    </row>
    <row r="2439" spans="1:2">
      <c r="A2439" s="4">
        <v>34912</v>
      </c>
      <c r="B2439" s="3">
        <v>17.59</v>
      </c>
    </row>
    <row r="2440" spans="1:2">
      <c r="A2440" s="4">
        <v>34913</v>
      </c>
      <c r="B2440" s="3">
        <v>17.95</v>
      </c>
    </row>
    <row r="2441" spans="1:2">
      <c r="A2441" s="4">
        <v>34914</v>
      </c>
      <c r="B2441" s="3">
        <v>17.72</v>
      </c>
    </row>
    <row r="2442" spans="1:2">
      <c r="A2442" s="4">
        <v>34915</v>
      </c>
      <c r="B2442" s="3">
        <v>17.739999999999998</v>
      </c>
    </row>
    <row r="2443" spans="1:2">
      <c r="A2443" s="4">
        <v>34918</v>
      </c>
      <c r="B2443" s="3">
        <v>17.649999999999999</v>
      </c>
    </row>
    <row r="2444" spans="1:2">
      <c r="A2444" s="4">
        <v>34919</v>
      </c>
      <c r="B2444" s="3">
        <v>17.86</v>
      </c>
    </row>
    <row r="2445" spans="1:2">
      <c r="A2445" s="4">
        <v>34920</v>
      </c>
      <c r="B2445" s="3">
        <v>17.77</v>
      </c>
    </row>
    <row r="2446" spans="1:2">
      <c r="A2446" s="4">
        <v>34921</v>
      </c>
      <c r="B2446" s="3">
        <v>17.91</v>
      </c>
    </row>
    <row r="2447" spans="1:2">
      <c r="A2447" s="4">
        <v>34922</v>
      </c>
      <c r="B2447" s="3">
        <v>17.86</v>
      </c>
    </row>
    <row r="2448" spans="1:2">
      <c r="A2448" s="4">
        <v>34925</v>
      </c>
      <c r="B2448" s="3">
        <v>17.48</v>
      </c>
    </row>
    <row r="2449" spans="1:2">
      <c r="A2449" s="4">
        <v>34926</v>
      </c>
      <c r="B2449" s="3">
        <v>17.399999999999999</v>
      </c>
    </row>
    <row r="2450" spans="1:2">
      <c r="A2450" s="4">
        <v>34927</v>
      </c>
      <c r="B2450" s="3">
        <v>17.59</v>
      </c>
    </row>
    <row r="2451" spans="1:2">
      <c r="A2451" s="4">
        <v>34928</v>
      </c>
      <c r="B2451" s="3">
        <v>17.649999999999999</v>
      </c>
    </row>
    <row r="2452" spans="1:2">
      <c r="A2452" s="4">
        <v>34929</v>
      </c>
      <c r="B2452" s="3">
        <v>17.87</v>
      </c>
    </row>
    <row r="2453" spans="1:2">
      <c r="A2453" s="4">
        <v>34932</v>
      </c>
      <c r="B2453" s="3">
        <v>18.260000000000002</v>
      </c>
    </row>
    <row r="2454" spans="1:2">
      <c r="A2454" s="4">
        <v>34933</v>
      </c>
      <c r="B2454" s="3">
        <v>18.54</v>
      </c>
    </row>
    <row r="2455" spans="1:2">
      <c r="A2455" s="4">
        <v>34934</v>
      </c>
      <c r="B2455" s="3">
        <v>18.79</v>
      </c>
    </row>
    <row r="2456" spans="1:2">
      <c r="A2456" s="4">
        <v>34935</v>
      </c>
      <c r="B2456" s="3">
        <v>19.600000000000001</v>
      </c>
    </row>
    <row r="2457" spans="1:2">
      <c r="A2457" s="4">
        <v>34936</v>
      </c>
      <c r="B2457" s="3">
        <v>19.91</v>
      </c>
    </row>
    <row r="2458" spans="1:2">
      <c r="A2458" s="4">
        <v>34939</v>
      </c>
      <c r="B2458" s="3">
        <v>17.84</v>
      </c>
    </row>
    <row r="2459" spans="1:2">
      <c r="A2459" s="4">
        <v>34940</v>
      </c>
      <c r="B2459" s="3">
        <v>17.87</v>
      </c>
    </row>
    <row r="2460" spans="1:2">
      <c r="A2460" s="4">
        <v>34941</v>
      </c>
      <c r="B2460" s="3">
        <v>17.739999999999998</v>
      </c>
    </row>
    <row r="2461" spans="1:2">
      <c r="A2461" s="4">
        <v>34942</v>
      </c>
      <c r="B2461" s="3">
        <v>17.89</v>
      </c>
    </row>
    <row r="2462" spans="1:2">
      <c r="A2462" s="4">
        <v>34943</v>
      </c>
      <c r="B2462" s="3">
        <v>18.079999999999998</v>
      </c>
    </row>
    <row r="2463" spans="1:2">
      <c r="A2463" s="4">
        <v>34947</v>
      </c>
      <c r="B2463" s="3">
        <v>18.489999999999998</v>
      </c>
    </row>
    <row r="2464" spans="1:2">
      <c r="A2464" s="4">
        <v>34948</v>
      </c>
      <c r="B2464" s="3">
        <v>18.27</v>
      </c>
    </row>
    <row r="2465" spans="1:2">
      <c r="A2465" s="4">
        <v>34949</v>
      </c>
      <c r="B2465" s="3">
        <v>18.27</v>
      </c>
    </row>
    <row r="2466" spans="1:2">
      <c r="A2466" s="4">
        <v>34950</v>
      </c>
      <c r="B2466" s="3">
        <v>18.440000000000001</v>
      </c>
    </row>
    <row r="2467" spans="1:2">
      <c r="A2467" s="4">
        <v>34953</v>
      </c>
      <c r="B2467" s="3">
        <v>18.489999999999998</v>
      </c>
    </row>
    <row r="2468" spans="1:2">
      <c r="A2468" s="4">
        <v>34954</v>
      </c>
      <c r="B2468" s="3">
        <v>18.760000000000002</v>
      </c>
    </row>
    <row r="2469" spans="1:2">
      <c r="A2469" s="4">
        <v>34955</v>
      </c>
      <c r="B2469" s="3">
        <v>18.53</v>
      </c>
    </row>
    <row r="2470" spans="1:2">
      <c r="A2470" s="4">
        <v>34956</v>
      </c>
      <c r="B2470" s="3">
        <v>18.87</v>
      </c>
    </row>
    <row r="2471" spans="1:2">
      <c r="A2471" s="4">
        <v>34957</v>
      </c>
      <c r="B2471" s="3">
        <v>18.940000000000001</v>
      </c>
    </row>
    <row r="2472" spans="1:2">
      <c r="A2472" s="4">
        <v>34960</v>
      </c>
      <c r="B2472" s="3">
        <v>18.920000000000002</v>
      </c>
    </row>
    <row r="2473" spans="1:2">
      <c r="A2473" s="4">
        <v>34961</v>
      </c>
      <c r="B2473" s="3">
        <v>19.010000000000002</v>
      </c>
    </row>
    <row r="2474" spans="1:2">
      <c r="A2474" s="4">
        <v>34962</v>
      </c>
      <c r="B2474" s="3">
        <v>18.53</v>
      </c>
    </row>
    <row r="2475" spans="1:2">
      <c r="A2475" s="4">
        <v>34963</v>
      </c>
      <c r="B2475" s="3">
        <v>17.89</v>
      </c>
    </row>
    <row r="2476" spans="1:2">
      <c r="A2476" s="4">
        <v>34964</v>
      </c>
      <c r="B2476" s="3">
        <v>17.27</v>
      </c>
    </row>
    <row r="2477" spans="1:2">
      <c r="A2477" s="4">
        <v>34967</v>
      </c>
      <c r="B2477" s="3">
        <v>17.38</v>
      </c>
    </row>
    <row r="2478" spans="1:2">
      <c r="A2478" s="4">
        <v>34968</v>
      </c>
      <c r="B2478" s="3">
        <v>17.47</v>
      </c>
    </row>
    <row r="2479" spans="1:2">
      <c r="A2479" s="4">
        <v>34969</v>
      </c>
      <c r="B2479" s="3">
        <v>17.64</v>
      </c>
    </row>
    <row r="2480" spans="1:2">
      <c r="A2480" s="4">
        <v>34970</v>
      </c>
      <c r="B2480" s="3">
        <v>17.72</v>
      </c>
    </row>
    <row r="2481" spans="1:2">
      <c r="A2481" s="4">
        <v>34971</v>
      </c>
      <c r="B2481" s="3">
        <v>17.54</v>
      </c>
    </row>
    <row r="2482" spans="1:2">
      <c r="A2482" s="4">
        <v>34974</v>
      </c>
      <c r="B2482" s="3">
        <v>17.670000000000002</v>
      </c>
    </row>
    <row r="2483" spans="1:2">
      <c r="A2483" s="4">
        <v>34975</v>
      </c>
      <c r="B2483" s="3">
        <v>17.559999999999999</v>
      </c>
    </row>
    <row r="2484" spans="1:2">
      <c r="A2484" s="4">
        <v>34976</v>
      </c>
      <c r="B2484" s="3">
        <v>17.32</v>
      </c>
    </row>
    <row r="2485" spans="1:2">
      <c r="A2485" s="4">
        <v>34977</v>
      </c>
      <c r="B2485" s="3">
        <v>16.86</v>
      </c>
    </row>
    <row r="2486" spans="1:2">
      <c r="A2486" s="4">
        <v>34978</v>
      </c>
      <c r="B2486" s="3">
        <v>17.03</v>
      </c>
    </row>
    <row r="2487" spans="1:2">
      <c r="A2487" s="4">
        <v>34981</v>
      </c>
      <c r="B2487" s="3">
        <v>17.36</v>
      </c>
    </row>
    <row r="2488" spans="1:2">
      <c r="A2488" s="4">
        <v>34982</v>
      </c>
      <c r="B2488" s="3">
        <v>17.29</v>
      </c>
    </row>
    <row r="2489" spans="1:2">
      <c r="A2489" s="4">
        <v>34983</v>
      </c>
      <c r="B2489" s="3">
        <v>17.28</v>
      </c>
    </row>
    <row r="2490" spans="1:2">
      <c r="A2490" s="4">
        <v>34984</v>
      </c>
      <c r="B2490" s="3">
        <v>17.079999999999998</v>
      </c>
    </row>
    <row r="2491" spans="1:2">
      <c r="A2491" s="4">
        <v>34985</v>
      </c>
      <c r="B2491" s="3">
        <v>17.38</v>
      </c>
    </row>
    <row r="2492" spans="1:2">
      <c r="A2492" s="4">
        <v>34988</v>
      </c>
      <c r="B2492" s="3">
        <v>17.600000000000001</v>
      </c>
    </row>
    <row r="2493" spans="1:2">
      <c r="A2493" s="4">
        <v>34989</v>
      </c>
      <c r="B2493" s="3">
        <v>17.59</v>
      </c>
    </row>
    <row r="2494" spans="1:2">
      <c r="A2494" s="4">
        <v>34990</v>
      </c>
      <c r="B2494" s="3">
        <v>17.57</v>
      </c>
    </row>
    <row r="2495" spans="1:2">
      <c r="A2495" s="4">
        <v>34991</v>
      </c>
      <c r="B2495" s="3">
        <v>17.34</v>
      </c>
    </row>
    <row r="2496" spans="1:2">
      <c r="A2496" s="4">
        <v>34992</v>
      </c>
      <c r="B2496" s="3">
        <v>17.440000000000001</v>
      </c>
    </row>
    <row r="2497" spans="1:2">
      <c r="A2497" s="4">
        <v>34995</v>
      </c>
      <c r="B2497" s="3">
        <v>17.48</v>
      </c>
    </row>
    <row r="2498" spans="1:2">
      <c r="A2498" s="4">
        <v>34996</v>
      </c>
      <c r="B2498" s="3">
        <v>17.61</v>
      </c>
    </row>
    <row r="2499" spans="1:2">
      <c r="A2499" s="4">
        <v>34997</v>
      </c>
      <c r="B2499" s="3">
        <v>17.579999999999998</v>
      </c>
    </row>
    <row r="2500" spans="1:2">
      <c r="A2500" s="4">
        <v>34998</v>
      </c>
      <c r="B2500" s="3">
        <v>17.61</v>
      </c>
    </row>
    <row r="2501" spans="1:2">
      <c r="A2501" s="4">
        <v>34999</v>
      </c>
      <c r="B2501" s="3">
        <v>17.54</v>
      </c>
    </row>
    <row r="2502" spans="1:2">
      <c r="A2502" s="4">
        <v>35002</v>
      </c>
      <c r="B2502" s="3">
        <v>17.670000000000002</v>
      </c>
    </row>
    <row r="2503" spans="1:2">
      <c r="A2503" s="4">
        <v>35003</v>
      </c>
      <c r="B2503" s="3">
        <v>17.670000000000002</v>
      </c>
    </row>
    <row r="2504" spans="1:2">
      <c r="A2504" s="4">
        <v>35004</v>
      </c>
      <c r="B2504" s="3">
        <v>17.739999999999998</v>
      </c>
    </row>
    <row r="2505" spans="1:2">
      <c r="A2505" s="4">
        <v>35005</v>
      </c>
      <c r="B2505" s="3">
        <v>17.940000000000001</v>
      </c>
    </row>
    <row r="2506" spans="1:2">
      <c r="A2506" s="4">
        <v>35006</v>
      </c>
      <c r="B2506" s="3">
        <v>17.93</v>
      </c>
    </row>
    <row r="2507" spans="1:2">
      <c r="A2507" s="4">
        <v>35009</v>
      </c>
      <c r="B2507" s="3">
        <v>17.68</v>
      </c>
    </row>
    <row r="2508" spans="1:2">
      <c r="A2508" s="4">
        <v>35010</v>
      </c>
      <c r="B2508" s="3">
        <v>17.62</v>
      </c>
    </row>
    <row r="2509" spans="1:2">
      <c r="A2509" s="4">
        <v>35011</v>
      </c>
      <c r="B2509" s="3">
        <v>17.82</v>
      </c>
    </row>
    <row r="2510" spans="1:2">
      <c r="A2510" s="4">
        <v>35012</v>
      </c>
      <c r="B2510" s="3">
        <v>17.829999999999998</v>
      </c>
    </row>
    <row r="2511" spans="1:2">
      <c r="A2511" s="4">
        <v>35013</v>
      </c>
      <c r="B2511" s="3">
        <v>17.829999999999998</v>
      </c>
    </row>
    <row r="2512" spans="1:2">
      <c r="A2512" s="4">
        <v>35016</v>
      </c>
      <c r="B2512" s="3">
        <v>17.78</v>
      </c>
    </row>
    <row r="2513" spans="1:2">
      <c r="A2513" s="4">
        <v>35017</v>
      </c>
      <c r="B2513" s="3">
        <v>17.89</v>
      </c>
    </row>
    <row r="2514" spans="1:2">
      <c r="A2514" s="4">
        <v>35018</v>
      </c>
      <c r="B2514" s="3">
        <v>17.920000000000002</v>
      </c>
    </row>
    <row r="2515" spans="1:2">
      <c r="A2515" s="4">
        <v>35019</v>
      </c>
      <c r="B2515" s="3">
        <v>18.16</v>
      </c>
    </row>
    <row r="2516" spans="1:2">
      <c r="A2516" s="4">
        <v>35020</v>
      </c>
      <c r="B2516" s="3">
        <v>18.559999999999999</v>
      </c>
    </row>
    <row r="2517" spans="1:2">
      <c r="A2517" s="4">
        <v>35023</v>
      </c>
      <c r="B2517" s="3">
        <v>18.14</v>
      </c>
    </row>
    <row r="2518" spans="1:2">
      <c r="A2518" s="4">
        <v>35024</v>
      </c>
      <c r="B2518" s="3">
        <v>17.89</v>
      </c>
    </row>
    <row r="2519" spans="1:2">
      <c r="A2519" s="4">
        <v>35025</v>
      </c>
      <c r="B2519" s="3">
        <v>17.93</v>
      </c>
    </row>
    <row r="2520" spans="1:2">
      <c r="A2520" s="4">
        <v>35030</v>
      </c>
      <c r="B2520" s="3">
        <v>18.37</v>
      </c>
    </row>
    <row r="2521" spans="1:2">
      <c r="A2521" s="4">
        <v>35031</v>
      </c>
      <c r="B2521" s="3">
        <v>18.28</v>
      </c>
    </row>
    <row r="2522" spans="1:2">
      <c r="A2522" s="4">
        <v>35032</v>
      </c>
      <c r="B2522" s="3">
        <v>18.27</v>
      </c>
    </row>
    <row r="2523" spans="1:2">
      <c r="A2523" s="4">
        <v>35033</v>
      </c>
      <c r="B2523" s="3">
        <v>18.27</v>
      </c>
    </row>
    <row r="2524" spans="1:2">
      <c r="A2524" s="4">
        <v>35034</v>
      </c>
      <c r="B2524" s="3">
        <v>18.43</v>
      </c>
    </row>
    <row r="2525" spans="1:2">
      <c r="A2525" s="4">
        <v>35037</v>
      </c>
      <c r="B2525" s="3">
        <v>18.61</v>
      </c>
    </row>
    <row r="2526" spans="1:2">
      <c r="A2526" s="4">
        <v>35038</v>
      </c>
      <c r="B2526" s="3">
        <v>18.66</v>
      </c>
    </row>
    <row r="2527" spans="1:2">
      <c r="A2527" s="4">
        <v>35039</v>
      </c>
      <c r="B2527" s="3">
        <v>18.760000000000002</v>
      </c>
    </row>
    <row r="2528" spans="1:2">
      <c r="A2528" s="4">
        <v>35040</v>
      </c>
      <c r="B2528" s="3">
        <v>18.690000000000001</v>
      </c>
    </row>
    <row r="2529" spans="1:2">
      <c r="A2529" s="4">
        <v>35041</v>
      </c>
      <c r="B2529" s="3">
        <v>18.97</v>
      </c>
    </row>
    <row r="2530" spans="1:2">
      <c r="A2530" s="4">
        <v>35044</v>
      </c>
      <c r="B2530" s="3">
        <v>18.62</v>
      </c>
    </row>
    <row r="2531" spans="1:2">
      <c r="A2531" s="4">
        <v>35045</v>
      </c>
      <c r="B2531" s="3">
        <v>18.8</v>
      </c>
    </row>
    <row r="2532" spans="1:2">
      <c r="A2532" s="4">
        <v>35046</v>
      </c>
      <c r="B2532" s="3">
        <v>19.010000000000002</v>
      </c>
    </row>
    <row r="2533" spans="1:2">
      <c r="A2533" s="4">
        <v>35047</v>
      </c>
      <c r="B2533" s="3">
        <v>19.14</v>
      </c>
    </row>
    <row r="2534" spans="1:2">
      <c r="A2534" s="4">
        <v>35048</v>
      </c>
      <c r="B2534" s="3">
        <v>19.510000000000002</v>
      </c>
    </row>
    <row r="2535" spans="1:2">
      <c r="A2535" s="4">
        <v>35051</v>
      </c>
      <c r="B2535" s="3">
        <v>19.71</v>
      </c>
    </row>
    <row r="2536" spans="1:2">
      <c r="A2536" s="4">
        <v>35052</v>
      </c>
      <c r="B2536" s="3">
        <v>19.05</v>
      </c>
    </row>
    <row r="2537" spans="1:2">
      <c r="A2537" s="4">
        <v>35053</v>
      </c>
      <c r="B2537" s="3">
        <v>18.87</v>
      </c>
    </row>
    <row r="2538" spans="1:2">
      <c r="A2538" s="4">
        <v>35054</v>
      </c>
      <c r="B2538" s="3">
        <v>18.829999999999998</v>
      </c>
    </row>
    <row r="2539" spans="1:2">
      <c r="A2539" s="4">
        <v>35055</v>
      </c>
      <c r="B2539" s="3">
        <v>19.12</v>
      </c>
    </row>
    <row r="2540" spans="1:2">
      <c r="A2540" s="4">
        <v>35059</v>
      </c>
      <c r="B2540" s="3">
        <v>19.25</v>
      </c>
    </row>
    <row r="2541" spans="1:2">
      <c r="A2541" s="4">
        <v>35060</v>
      </c>
      <c r="B2541" s="3">
        <v>19.489999999999998</v>
      </c>
    </row>
    <row r="2542" spans="1:2">
      <c r="A2542" s="4">
        <v>35061</v>
      </c>
      <c r="B2542" s="3">
        <v>19.47</v>
      </c>
    </row>
    <row r="2543" spans="1:2">
      <c r="A2543" s="4">
        <v>35062</v>
      </c>
      <c r="B2543" s="3">
        <v>19.54</v>
      </c>
    </row>
    <row r="2544" spans="1:2">
      <c r="A2544" s="4">
        <v>35066</v>
      </c>
      <c r="B2544" s="3">
        <v>19.829999999999998</v>
      </c>
    </row>
    <row r="2545" spans="1:2">
      <c r="A2545" s="4">
        <v>35067</v>
      </c>
      <c r="B2545" s="3">
        <v>19.899999999999999</v>
      </c>
    </row>
    <row r="2546" spans="1:2">
      <c r="A2546" s="4">
        <v>35068</v>
      </c>
      <c r="B2546" s="3">
        <v>19.96</v>
      </c>
    </row>
    <row r="2547" spans="1:2">
      <c r="A2547" s="4">
        <v>35069</v>
      </c>
      <c r="B2547" s="3">
        <v>20.260000000000002</v>
      </c>
    </row>
    <row r="2548" spans="1:2">
      <c r="A2548" s="4">
        <v>35072</v>
      </c>
      <c r="B2548" s="3">
        <v>20.5</v>
      </c>
    </row>
    <row r="2549" spans="1:2">
      <c r="A2549" s="4">
        <v>35073</v>
      </c>
      <c r="B2549" s="3">
        <v>19.86</v>
      </c>
    </row>
    <row r="2550" spans="1:2">
      <c r="A2550" s="4">
        <v>35074</v>
      </c>
      <c r="B2550" s="3">
        <v>19.66</v>
      </c>
    </row>
    <row r="2551" spans="1:2">
      <c r="A2551" s="4">
        <v>35075</v>
      </c>
      <c r="B2551" s="3">
        <v>18.87</v>
      </c>
    </row>
    <row r="2552" spans="1:2">
      <c r="A2552" s="4">
        <v>35076</v>
      </c>
      <c r="B2552" s="3">
        <v>18.28</v>
      </c>
    </row>
    <row r="2553" spans="1:2">
      <c r="A2553" s="4">
        <v>35079</v>
      </c>
      <c r="B2553" s="3">
        <v>18.420000000000002</v>
      </c>
    </row>
    <row r="2554" spans="1:2">
      <c r="A2554" s="4">
        <v>35080</v>
      </c>
      <c r="B2554" s="3">
        <v>18.12</v>
      </c>
    </row>
    <row r="2555" spans="1:2">
      <c r="A2555" s="4">
        <v>35081</v>
      </c>
      <c r="B2555" s="3">
        <v>18.579999999999998</v>
      </c>
    </row>
    <row r="2556" spans="1:2">
      <c r="A2556" s="4">
        <v>35082</v>
      </c>
      <c r="B2556" s="3">
        <v>19.12</v>
      </c>
    </row>
    <row r="2557" spans="1:2">
      <c r="A2557" s="4">
        <v>35083</v>
      </c>
      <c r="B2557" s="3">
        <v>18.940000000000001</v>
      </c>
    </row>
    <row r="2558" spans="1:2">
      <c r="A2558" s="4">
        <v>35086</v>
      </c>
      <c r="B2558" s="3">
        <v>18.489999999999998</v>
      </c>
    </row>
    <row r="2559" spans="1:2">
      <c r="A2559" s="4">
        <v>35087</v>
      </c>
      <c r="B2559" s="3">
        <v>18.579999999999998</v>
      </c>
    </row>
    <row r="2560" spans="1:2">
      <c r="A2560" s="4">
        <v>35088</v>
      </c>
      <c r="B2560" s="3">
        <v>18.95</v>
      </c>
    </row>
    <row r="2561" spans="1:2">
      <c r="A2561" s="4">
        <v>35089</v>
      </c>
      <c r="B2561" s="3">
        <v>18.059999999999999</v>
      </c>
    </row>
    <row r="2562" spans="1:2">
      <c r="A2562" s="4">
        <v>35090</v>
      </c>
      <c r="B2562" s="3">
        <v>17.68</v>
      </c>
    </row>
    <row r="2563" spans="1:2">
      <c r="A2563" s="4">
        <v>35093</v>
      </c>
      <c r="B2563" s="3">
        <v>17.329999999999998</v>
      </c>
    </row>
    <row r="2564" spans="1:2">
      <c r="A2564" s="4">
        <v>35094</v>
      </c>
      <c r="B2564" s="3">
        <v>17.649999999999999</v>
      </c>
    </row>
    <row r="2565" spans="1:2">
      <c r="A2565" s="4">
        <v>35095</v>
      </c>
      <c r="B2565" s="3">
        <v>17.760000000000002</v>
      </c>
    </row>
    <row r="2566" spans="1:2">
      <c r="A2566" s="4">
        <v>35096</v>
      </c>
      <c r="B2566" s="3">
        <v>17.63</v>
      </c>
    </row>
    <row r="2567" spans="1:2">
      <c r="A2567" s="4">
        <v>35097</v>
      </c>
      <c r="B2567" s="3">
        <v>17.829999999999998</v>
      </c>
    </row>
    <row r="2568" spans="1:2">
      <c r="A2568" s="4">
        <v>35100</v>
      </c>
      <c r="B2568" s="3">
        <v>17.53</v>
      </c>
    </row>
    <row r="2569" spans="1:2">
      <c r="A2569" s="4">
        <v>35101</v>
      </c>
      <c r="B2569" s="3">
        <v>17.739999999999998</v>
      </c>
    </row>
    <row r="2570" spans="1:2">
      <c r="A2570" s="4">
        <v>35102</v>
      </c>
      <c r="B2570" s="3">
        <v>17.71</v>
      </c>
    </row>
    <row r="2571" spans="1:2">
      <c r="A2571" s="4">
        <v>35103</v>
      </c>
      <c r="B2571" s="3">
        <v>17.79</v>
      </c>
    </row>
    <row r="2572" spans="1:2">
      <c r="A2572" s="4">
        <v>35104</v>
      </c>
      <c r="B2572" s="3">
        <v>17.829999999999998</v>
      </c>
    </row>
    <row r="2573" spans="1:2">
      <c r="A2573" s="4">
        <v>35107</v>
      </c>
      <c r="B2573" s="3">
        <v>18.010000000000002</v>
      </c>
    </row>
    <row r="2574" spans="1:2">
      <c r="A2574" s="4">
        <v>35108</v>
      </c>
      <c r="B2574" s="3">
        <v>18.96</v>
      </c>
    </row>
    <row r="2575" spans="1:2">
      <c r="A2575" s="4">
        <v>35109</v>
      </c>
      <c r="B2575" s="3">
        <v>18.86</v>
      </c>
    </row>
    <row r="2576" spans="1:2">
      <c r="A2576" s="4">
        <v>35110</v>
      </c>
      <c r="B2576" s="3">
        <v>19.02</v>
      </c>
    </row>
    <row r="2577" spans="1:2">
      <c r="A2577" s="4">
        <v>35111</v>
      </c>
      <c r="B2577" s="3">
        <v>19.16</v>
      </c>
    </row>
    <row r="2578" spans="1:2">
      <c r="A2578" s="4">
        <v>35115</v>
      </c>
      <c r="B2578" s="3">
        <v>21.07</v>
      </c>
    </row>
    <row r="2579" spans="1:2">
      <c r="A2579" s="4">
        <v>35116</v>
      </c>
      <c r="B2579" s="3">
        <v>21.63</v>
      </c>
    </row>
    <row r="2580" spans="1:2">
      <c r="A2580" s="4">
        <v>35117</v>
      </c>
      <c r="B2580" s="3">
        <v>22.14</v>
      </c>
    </row>
    <row r="2581" spans="1:2">
      <c r="A2581" s="4">
        <v>35118</v>
      </c>
      <c r="B2581" s="3">
        <v>20.97</v>
      </c>
    </row>
    <row r="2582" spans="1:2">
      <c r="A2582" s="4">
        <v>35121</v>
      </c>
      <c r="B2582" s="3">
        <v>19.45</v>
      </c>
    </row>
    <row r="2583" spans="1:2">
      <c r="A2583" s="4">
        <v>35122</v>
      </c>
      <c r="B2583" s="3">
        <v>19.649999999999999</v>
      </c>
    </row>
    <row r="2584" spans="1:2">
      <c r="A2584" s="4">
        <v>35123</v>
      </c>
      <c r="B2584" s="3">
        <v>19.3</v>
      </c>
    </row>
    <row r="2585" spans="1:2">
      <c r="A2585" s="4">
        <v>35124</v>
      </c>
      <c r="B2585" s="3">
        <v>19.59</v>
      </c>
    </row>
    <row r="2586" spans="1:2">
      <c r="A2586" s="4">
        <v>35125</v>
      </c>
      <c r="B2586" s="3">
        <v>19.45</v>
      </c>
    </row>
    <row r="2587" spans="1:2">
      <c r="A2587" s="4">
        <v>35128</v>
      </c>
      <c r="B2587" s="3">
        <v>19.239999999999998</v>
      </c>
    </row>
    <row r="2588" spans="1:2">
      <c r="A2588" s="4">
        <v>35129</v>
      </c>
      <c r="B2588" s="3">
        <v>19.649999999999999</v>
      </c>
    </row>
    <row r="2589" spans="1:2">
      <c r="A2589" s="4">
        <v>35130</v>
      </c>
      <c r="B2589" s="3">
        <v>20.16</v>
      </c>
    </row>
    <row r="2590" spans="1:2">
      <c r="A2590" s="4">
        <v>35131</v>
      </c>
      <c r="B2590" s="3">
        <v>19.87</v>
      </c>
    </row>
    <row r="2591" spans="1:2">
      <c r="A2591" s="4">
        <v>35132</v>
      </c>
      <c r="B2591" s="3">
        <v>19.66</v>
      </c>
    </row>
    <row r="2592" spans="1:2">
      <c r="A2592" s="4">
        <v>35135</v>
      </c>
      <c r="B2592" s="3">
        <v>19.920000000000002</v>
      </c>
    </row>
    <row r="2593" spans="1:2">
      <c r="A2593" s="4">
        <v>35136</v>
      </c>
      <c r="B2593" s="3">
        <v>20.420000000000002</v>
      </c>
    </row>
    <row r="2594" spans="1:2">
      <c r="A2594" s="4">
        <v>35137</v>
      </c>
      <c r="B2594" s="3">
        <v>20.49</v>
      </c>
    </row>
    <row r="2595" spans="1:2">
      <c r="A2595" s="4">
        <v>35138</v>
      </c>
      <c r="B2595" s="3">
        <v>21.18</v>
      </c>
    </row>
    <row r="2596" spans="1:2">
      <c r="A2596" s="4">
        <v>35139</v>
      </c>
      <c r="B2596" s="3">
        <v>21.99</v>
      </c>
    </row>
    <row r="2597" spans="1:2">
      <c r="A2597" s="4">
        <v>35142</v>
      </c>
      <c r="B2597" s="3">
        <v>23.23</v>
      </c>
    </row>
    <row r="2598" spans="1:2">
      <c r="A2598" s="4">
        <v>35143</v>
      </c>
      <c r="B2598" s="3">
        <v>24.56</v>
      </c>
    </row>
    <row r="2599" spans="1:2">
      <c r="A2599" s="4">
        <v>35144</v>
      </c>
      <c r="B2599" s="3">
        <v>22.74</v>
      </c>
    </row>
    <row r="2600" spans="1:2">
      <c r="A2600" s="4">
        <v>35145</v>
      </c>
      <c r="B2600" s="3">
        <v>22.44</v>
      </c>
    </row>
    <row r="2601" spans="1:2">
      <c r="A2601" s="4">
        <v>35146</v>
      </c>
      <c r="B2601" s="3">
        <v>22.85</v>
      </c>
    </row>
    <row r="2602" spans="1:2">
      <c r="A2602" s="4">
        <v>35149</v>
      </c>
      <c r="B2602" s="3">
        <v>23.23</v>
      </c>
    </row>
    <row r="2603" spans="1:2">
      <c r="A2603" s="4">
        <v>35150</v>
      </c>
      <c r="B2603" s="3">
        <v>22.38</v>
      </c>
    </row>
    <row r="2604" spans="1:2">
      <c r="A2604" s="4">
        <v>35151</v>
      </c>
      <c r="B2604" s="3">
        <v>21.64</v>
      </c>
    </row>
    <row r="2605" spans="1:2">
      <c r="A2605" s="4">
        <v>35152</v>
      </c>
      <c r="B2605" s="3">
        <v>21.45</v>
      </c>
    </row>
    <row r="2606" spans="1:2">
      <c r="A2606" s="4">
        <v>35153</v>
      </c>
      <c r="B2606" s="3">
        <v>21.43</v>
      </c>
    </row>
    <row r="2607" spans="1:2">
      <c r="A2607" s="4">
        <v>35156</v>
      </c>
      <c r="B2607" s="3">
        <v>22.29</v>
      </c>
    </row>
    <row r="2608" spans="1:2">
      <c r="A2608" s="4">
        <v>35157</v>
      </c>
      <c r="B2608" s="3">
        <v>22.68</v>
      </c>
    </row>
    <row r="2609" spans="1:2">
      <c r="A2609" s="4">
        <v>35158</v>
      </c>
      <c r="B2609" s="3">
        <v>22.22</v>
      </c>
    </row>
    <row r="2610" spans="1:2">
      <c r="A2610" s="4">
        <v>35159</v>
      </c>
      <c r="B2610" s="3">
        <v>22.75</v>
      </c>
    </row>
    <row r="2611" spans="1:2">
      <c r="A2611" s="4">
        <v>35163</v>
      </c>
      <c r="B2611" s="3">
        <v>23.01</v>
      </c>
    </row>
    <row r="2612" spans="1:2">
      <c r="A2612" s="4">
        <v>35164</v>
      </c>
      <c r="B2612" s="3">
        <v>23.23</v>
      </c>
    </row>
    <row r="2613" spans="1:2">
      <c r="A2613" s="4">
        <v>35165</v>
      </c>
      <c r="B2613" s="3">
        <v>24.08</v>
      </c>
    </row>
    <row r="2614" spans="1:2">
      <c r="A2614" s="4">
        <v>35166</v>
      </c>
      <c r="B2614" s="3">
        <v>25.15</v>
      </c>
    </row>
    <row r="2615" spans="1:2">
      <c r="A2615" s="4">
        <v>35167</v>
      </c>
      <c r="B2615" s="3">
        <v>24.29</v>
      </c>
    </row>
    <row r="2616" spans="1:2">
      <c r="A2616" s="4">
        <v>35170</v>
      </c>
      <c r="B2616" s="3">
        <v>25.13</v>
      </c>
    </row>
    <row r="2617" spans="1:2">
      <c r="A2617" s="4">
        <v>35171</v>
      </c>
      <c r="B2617" s="3">
        <v>24.48</v>
      </c>
    </row>
    <row r="2618" spans="1:2">
      <c r="A2618" s="4">
        <v>35172</v>
      </c>
      <c r="B2618" s="3">
        <v>24.67</v>
      </c>
    </row>
    <row r="2619" spans="1:2">
      <c r="A2619" s="4">
        <v>35173</v>
      </c>
      <c r="B2619" s="3">
        <v>23.47</v>
      </c>
    </row>
    <row r="2620" spans="1:2">
      <c r="A2620" s="4">
        <v>35174</v>
      </c>
      <c r="B2620" s="3">
        <v>23.96</v>
      </c>
    </row>
    <row r="2621" spans="1:2">
      <c r="A2621" s="4">
        <v>35177</v>
      </c>
      <c r="B2621" s="3">
        <v>23.94</v>
      </c>
    </row>
    <row r="2622" spans="1:2">
      <c r="A2622" s="4">
        <v>35178</v>
      </c>
      <c r="B2622" s="3">
        <v>24.39</v>
      </c>
    </row>
    <row r="2623" spans="1:2">
      <c r="A2623" s="4">
        <v>35179</v>
      </c>
      <c r="B2623" s="3">
        <v>24</v>
      </c>
    </row>
    <row r="2624" spans="1:2">
      <c r="A2624" s="4">
        <v>35180</v>
      </c>
      <c r="B2624" s="3">
        <v>24.35</v>
      </c>
    </row>
    <row r="2625" spans="1:2">
      <c r="A2625" s="4">
        <v>35181</v>
      </c>
      <c r="B2625" s="3">
        <v>22.33</v>
      </c>
    </row>
    <row r="2626" spans="1:2">
      <c r="A2626" s="4">
        <v>35184</v>
      </c>
      <c r="B2626" s="3">
        <v>22.07</v>
      </c>
    </row>
    <row r="2627" spans="1:2">
      <c r="A2627" s="4">
        <v>35185</v>
      </c>
      <c r="B2627" s="3">
        <v>20.95</v>
      </c>
    </row>
    <row r="2628" spans="1:2">
      <c r="A2628" s="4">
        <v>35186</v>
      </c>
      <c r="B2628" s="3">
        <v>20.81</v>
      </c>
    </row>
    <row r="2629" spans="1:2">
      <c r="A2629" s="4">
        <v>35187</v>
      </c>
      <c r="B2629" s="3">
        <v>20.78</v>
      </c>
    </row>
    <row r="2630" spans="1:2">
      <c r="A2630" s="4">
        <v>35188</v>
      </c>
      <c r="B2630" s="3">
        <v>21.19</v>
      </c>
    </row>
    <row r="2631" spans="1:2">
      <c r="A2631" s="4">
        <v>35191</v>
      </c>
      <c r="B2631" s="3">
        <v>21.06</v>
      </c>
    </row>
    <row r="2632" spans="1:2">
      <c r="A2632" s="4">
        <v>35192</v>
      </c>
      <c r="B2632" s="3">
        <v>21.07</v>
      </c>
    </row>
    <row r="2633" spans="1:2">
      <c r="A2633" s="4">
        <v>35193</v>
      </c>
      <c r="B2633" s="3">
        <v>21.13</v>
      </c>
    </row>
    <row r="2634" spans="1:2">
      <c r="A2634" s="4">
        <v>35194</v>
      </c>
      <c r="B2634" s="3">
        <v>20.65</v>
      </c>
    </row>
    <row r="2635" spans="1:2">
      <c r="A2635" s="4">
        <v>35195</v>
      </c>
      <c r="B2635" s="3">
        <v>21.01</v>
      </c>
    </row>
    <row r="2636" spans="1:2">
      <c r="A2636" s="4">
        <v>35198</v>
      </c>
      <c r="B2636" s="3">
        <v>21.23</v>
      </c>
    </row>
    <row r="2637" spans="1:2">
      <c r="A2637" s="4">
        <v>35199</v>
      </c>
      <c r="B2637" s="3">
        <v>21.35</v>
      </c>
    </row>
    <row r="2638" spans="1:2">
      <c r="A2638" s="4">
        <v>35200</v>
      </c>
      <c r="B2638" s="3">
        <v>21.28</v>
      </c>
    </row>
    <row r="2639" spans="1:2">
      <c r="A2639" s="4">
        <v>35201</v>
      </c>
      <c r="B2639" s="3">
        <v>20.79</v>
      </c>
    </row>
    <row r="2640" spans="1:2">
      <c r="A2640" s="4">
        <v>35202</v>
      </c>
      <c r="B2640" s="3">
        <v>20.64</v>
      </c>
    </row>
    <row r="2641" spans="1:2">
      <c r="A2641" s="4">
        <v>35205</v>
      </c>
      <c r="B2641" s="3">
        <v>22.28</v>
      </c>
    </row>
    <row r="2642" spans="1:2">
      <c r="A2642" s="4">
        <v>35206</v>
      </c>
      <c r="B2642" s="3">
        <v>21.95</v>
      </c>
    </row>
    <row r="2643" spans="1:2">
      <c r="A2643" s="4">
        <v>35207</v>
      </c>
      <c r="B2643" s="3">
        <v>23.02</v>
      </c>
    </row>
    <row r="2644" spans="1:2">
      <c r="A2644" s="4">
        <v>35208</v>
      </c>
      <c r="B2644" s="3">
        <v>22.35</v>
      </c>
    </row>
    <row r="2645" spans="1:2">
      <c r="A2645" s="4">
        <v>35209</v>
      </c>
      <c r="B2645" s="3">
        <v>21.58</v>
      </c>
    </row>
    <row r="2646" spans="1:2">
      <c r="A2646" s="4">
        <v>35213</v>
      </c>
      <c r="B2646" s="3">
        <v>21.1</v>
      </c>
    </row>
    <row r="2647" spans="1:2">
      <c r="A2647" s="4">
        <v>35214</v>
      </c>
      <c r="B2647" s="3">
        <v>20.65</v>
      </c>
    </row>
    <row r="2648" spans="1:2">
      <c r="A2648" s="4">
        <v>35215</v>
      </c>
      <c r="B2648" s="3">
        <v>19.95</v>
      </c>
    </row>
    <row r="2649" spans="1:2">
      <c r="A2649" s="4">
        <v>35216</v>
      </c>
      <c r="B2649" s="3">
        <v>19.77</v>
      </c>
    </row>
    <row r="2650" spans="1:2">
      <c r="A2650" s="4">
        <v>35219</v>
      </c>
      <c r="B2650" s="3">
        <v>19.86</v>
      </c>
    </row>
    <row r="2651" spans="1:2">
      <c r="A2651" s="4">
        <v>35220</v>
      </c>
      <c r="B2651" s="3">
        <v>20.28</v>
      </c>
    </row>
    <row r="2652" spans="1:2">
      <c r="A2652" s="4">
        <v>35221</v>
      </c>
      <c r="B2652" s="3">
        <v>19.73</v>
      </c>
    </row>
    <row r="2653" spans="1:2">
      <c r="A2653" s="4">
        <v>35222</v>
      </c>
      <c r="B2653" s="3">
        <v>20.059999999999999</v>
      </c>
    </row>
    <row r="2654" spans="1:2">
      <c r="A2654" s="4">
        <v>35223</v>
      </c>
      <c r="B2654" s="3">
        <v>20.28</v>
      </c>
    </row>
    <row r="2655" spans="1:2">
      <c r="A2655" s="4">
        <v>35226</v>
      </c>
      <c r="B2655" s="3">
        <v>20.18</v>
      </c>
    </row>
    <row r="2656" spans="1:2">
      <c r="A2656" s="4">
        <v>35227</v>
      </c>
      <c r="B2656" s="3">
        <v>20.13</v>
      </c>
    </row>
    <row r="2657" spans="1:2">
      <c r="A2657" s="4">
        <v>35228</v>
      </c>
      <c r="B2657" s="3">
        <v>20.13</v>
      </c>
    </row>
    <row r="2658" spans="1:2">
      <c r="A2658" s="4">
        <v>35229</v>
      </c>
      <c r="B2658" s="3">
        <v>20.03</v>
      </c>
    </row>
    <row r="2659" spans="1:2">
      <c r="A2659" s="4">
        <v>35230</v>
      </c>
      <c r="B2659" s="3">
        <v>20.28</v>
      </c>
    </row>
    <row r="2660" spans="1:2">
      <c r="A2660" s="4">
        <v>35233</v>
      </c>
      <c r="B2660" s="3">
        <v>21.43</v>
      </c>
    </row>
    <row r="2661" spans="1:2">
      <c r="A2661" s="4">
        <v>35234</v>
      </c>
      <c r="B2661" s="3">
        <v>21.53</v>
      </c>
    </row>
    <row r="2662" spans="1:2">
      <c r="A2662" s="4">
        <v>35235</v>
      </c>
      <c r="B2662" s="3">
        <v>20.73</v>
      </c>
    </row>
    <row r="2663" spans="1:2">
      <c r="A2663" s="4">
        <v>35236</v>
      </c>
      <c r="B2663" s="3">
        <v>20.68</v>
      </c>
    </row>
    <row r="2664" spans="1:2">
      <c r="A2664" s="4">
        <v>35237</v>
      </c>
      <c r="B2664" s="3">
        <v>20.38</v>
      </c>
    </row>
    <row r="2665" spans="1:2">
      <c r="A2665" s="4">
        <v>35240</v>
      </c>
      <c r="B2665" s="3">
        <v>20.100000000000001</v>
      </c>
    </row>
    <row r="2666" spans="1:2">
      <c r="A2666" s="4">
        <v>35241</v>
      </c>
      <c r="B2666" s="3">
        <v>20.13</v>
      </c>
    </row>
    <row r="2667" spans="1:2">
      <c r="A2667" s="4">
        <v>35242</v>
      </c>
      <c r="B2667" s="3">
        <v>20.63</v>
      </c>
    </row>
    <row r="2668" spans="1:2">
      <c r="A2668" s="4">
        <v>35243</v>
      </c>
      <c r="B2668" s="3">
        <v>20.98</v>
      </c>
    </row>
    <row r="2669" spans="1:2">
      <c r="A2669" s="4">
        <v>35244</v>
      </c>
      <c r="B2669" s="3">
        <v>20.92</v>
      </c>
    </row>
    <row r="2670" spans="1:2">
      <c r="A2670" s="4">
        <v>35247</v>
      </c>
      <c r="B2670" s="3">
        <v>21.48</v>
      </c>
    </row>
    <row r="2671" spans="1:2">
      <c r="A2671" s="4">
        <v>35248</v>
      </c>
      <c r="B2671" s="3">
        <v>21.08</v>
      </c>
    </row>
    <row r="2672" spans="1:2">
      <c r="A2672" s="4">
        <v>35249</v>
      </c>
      <c r="B2672" s="3">
        <v>21.38</v>
      </c>
    </row>
    <row r="2673" spans="1:2">
      <c r="A2673" s="4">
        <v>35251</v>
      </c>
      <c r="B2673" s="3">
        <v>21.65</v>
      </c>
    </row>
    <row r="2674" spans="1:2">
      <c r="A2674" s="4">
        <v>35254</v>
      </c>
      <c r="B2674" s="3">
        <v>21.33</v>
      </c>
    </row>
    <row r="2675" spans="1:2">
      <c r="A2675" s="4">
        <v>35255</v>
      </c>
      <c r="B2675" s="3">
        <v>21.52</v>
      </c>
    </row>
    <row r="2676" spans="1:2">
      <c r="A2676" s="4">
        <v>35256</v>
      </c>
      <c r="B2676" s="3">
        <v>21.56</v>
      </c>
    </row>
    <row r="2677" spans="1:2">
      <c r="A2677" s="4">
        <v>35257</v>
      </c>
      <c r="B2677" s="3">
        <v>21.96</v>
      </c>
    </row>
    <row r="2678" spans="1:2">
      <c r="A2678" s="4">
        <v>35258</v>
      </c>
      <c r="B2678" s="3">
        <v>21.9</v>
      </c>
    </row>
    <row r="2679" spans="1:2">
      <c r="A2679" s="4">
        <v>35261</v>
      </c>
      <c r="B2679" s="3">
        <v>22.43</v>
      </c>
    </row>
    <row r="2680" spans="1:2">
      <c r="A2680" s="4">
        <v>35262</v>
      </c>
      <c r="B2680" s="3">
        <v>22.28</v>
      </c>
    </row>
    <row r="2681" spans="1:2">
      <c r="A2681" s="4">
        <v>35263</v>
      </c>
      <c r="B2681" s="3">
        <v>21.65</v>
      </c>
    </row>
    <row r="2682" spans="1:2">
      <c r="A2682" s="4">
        <v>35264</v>
      </c>
      <c r="B2682" s="3">
        <v>21.68</v>
      </c>
    </row>
    <row r="2683" spans="1:2">
      <c r="A2683" s="4">
        <v>35265</v>
      </c>
      <c r="B2683" s="3">
        <v>20.95</v>
      </c>
    </row>
    <row r="2684" spans="1:2">
      <c r="A2684" s="4">
        <v>35268</v>
      </c>
      <c r="B2684" s="3">
        <v>21.05</v>
      </c>
    </row>
    <row r="2685" spans="1:2">
      <c r="A2685" s="4">
        <v>35269</v>
      </c>
      <c r="B2685" s="3">
        <v>21.58</v>
      </c>
    </row>
    <row r="2686" spans="1:2">
      <c r="A2686" s="4">
        <v>35270</v>
      </c>
      <c r="B2686" s="3">
        <v>20.97</v>
      </c>
    </row>
    <row r="2687" spans="1:2">
      <c r="A2687" s="4">
        <v>35271</v>
      </c>
      <c r="B2687" s="3">
        <v>21.05</v>
      </c>
    </row>
    <row r="2688" spans="1:2">
      <c r="A2688" s="4">
        <v>35272</v>
      </c>
      <c r="B2688" s="3">
        <v>20.13</v>
      </c>
    </row>
    <row r="2689" spans="1:2">
      <c r="A2689" s="4">
        <v>35275</v>
      </c>
      <c r="B2689" s="3">
        <v>20.28</v>
      </c>
    </row>
    <row r="2690" spans="1:2">
      <c r="A2690" s="4">
        <v>35276</v>
      </c>
      <c r="B2690" s="3">
        <v>20.28</v>
      </c>
    </row>
    <row r="2691" spans="1:2">
      <c r="A2691" s="4">
        <v>35277</v>
      </c>
      <c r="B2691" s="3">
        <v>20.46</v>
      </c>
    </row>
    <row r="2692" spans="1:2">
      <c r="A2692" s="4">
        <v>35278</v>
      </c>
      <c r="B2692" s="3">
        <v>20.95</v>
      </c>
    </row>
    <row r="2693" spans="1:2">
      <c r="A2693" s="4">
        <v>35279</v>
      </c>
      <c r="B2693" s="3">
        <v>21.35</v>
      </c>
    </row>
    <row r="2694" spans="1:2">
      <c r="A2694" s="4">
        <v>35282</v>
      </c>
      <c r="B2694" s="3">
        <v>21.25</v>
      </c>
    </row>
    <row r="2695" spans="1:2">
      <c r="A2695" s="4">
        <v>35283</v>
      </c>
      <c r="B2695" s="3">
        <v>21.08</v>
      </c>
    </row>
    <row r="2696" spans="1:2">
      <c r="A2696" s="4">
        <v>35284</v>
      </c>
      <c r="B2696" s="3">
        <v>21.35</v>
      </c>
    </row>
    <row r="2697" spans="1:2">
      <c r="A2697" s="4">
        <v>35285</v>
      </c>
      <c r="B2697" s="3">
        <v>21.45</v>
      </c>
    </row>
    <row r="2698" spans="1:2">
      <c r="A2698" s="4">
        <v>35286</v>
      </c>
      <c r="B2698" s="3">
        <v>21.6</v>
      </c>
    </row>
    <row r="2699" spans="1:2">
      <c r="A2699" s="4">
        <v>35289</v>
      </c>
      <c r="B2699" s="3">
        <v>22.25</v>
      </c>
    </row>
    <row r="2700" spans="1:2">
      <c r="A2700" s="4">
        <v>35290</v>
      </c>
      <c r="B2700" s="3">
        <v>22.35</v>
      </c>
    </row>
    <row r="2701" spans="1:2">
      <c r="A2701" s="4">
        <v>35291</v>
      </c>
      <c r="B2701" s="3">
        <v>22.1</v>
      </c>
    </row>
    <row r="2702" spans="1:2">
      <c r="A2702" s="4">
        <v>35292</v>
      </c>
      <c r="B2702" s="3">
        <v>21.95</v>
      </c>
    </row>
    <row r="2703" spans="1:2">
      <c r="A2703" s="4">
        <v>35293</v>
      </c>
      <c r="B2703" s="3">
        <v>22.6</v>
      </c>
    </row>
    <row r="2704" spans="1:2">
      <c r="A2704" s="4">
        <v>35296</v>
      </c>
      <c r="B2704" s="3">
        <v>23.1</v>
      </c>
    </row>
    <row r="2705" spans="1:2">
      <c r="A2705" s="4">
        <v>35297</v>
      </c>
      <c r="B2705" s="3">
        <v>22.53</v>
      </c>
    </row>
    <row r="2706" spans="1:2">
      <c r="A2706" s="4">
        <v>35298</v>
      </c>
      <c r="B2706" s="3">
        <v>22.15</v>
      </c>
    </row>
    <row r="2707" spans="1:2">
      <c r="A2707" s="4">
        <v>35299</v>
      </c>
      <c r="B2707" s="3">
        <v>22.48</v>
      </c>
    </row>
    <row r="2708" spans="1:2">
      <c r="A2708" s="4">
        <v>35300</v>
      </c>
      <c r="B2708" s="3">
        <v>22.23</v>
      </c>
    </row>
    <row r="2709" spans="1:2">
      <c r="A2709" s="4">
        <v>35303</v>
      </c>
      <c r="B2709" s="3">
        <v>21.55</v>
      </c>
    </row>
    <row r="2710" spans="1:2">
      <c r="A2710" s="4">
        <v>35304</v>
      </c>
      <c r="B2710" s="3">
        <v>21.35</v>
      </c>
    </row>
    <row r="2711" spans="1:2">
      <c r="A2711" s="4">
        <v>35305</v>
      </c>
      <c r="B2711" s="3">
        <v>21.75</v>
      </c>
    </row>
    <row r="2712" spans="1:2">
      <c r="A2712" s="4">
        <v>35306</v>
      </c>
      <c r="B2712" s="3">
        <v>22.2</v>
      </c>
    </row>
    <row r="2713" spans="1:2">
      <c r="A2713" s="4">
        <v>35307</v>
      </c>
      <c r="B2713" s="3">
        <v>22.25</v>
      </c>
    </row>
    <row r="2714" spans="1:2">
      <c r="A2714" s="4">
        <v>35311</v>
      </c>
      <c r="B2714" s="3">
        <v>23.35</v>
      </c>
    </row>
    <row r="2715" spans="1:2">
      <c r="A2715" s="4">
        <v>35312</v>
      </c>
      <c r="B2715" s="3">
        <v>23.25</v>
      </c>
    </row>
    <row r="2716" spans="1:2">
      <c r="A2716" s="4">
        <v>35313</v>
      </c>
      <c r="B2716" s="3">
        <v>23.45</v>
      </c>
    </row>
    <row r="2717" spans="1:2">
      <c r="A2717" s="4">
        <v>35314</v>
      </c>
      <c r="B2717" s="3">
        <v>23.85</v>
      </c>
    </row>
    <row r="2718" spans="1:2">
      <c r="A2718" s="4">
        <v>35317</v>
      </c>
      <c r="B2718" s="3">
        <v>23.75</v>
      </c>
    </row>
    <row r="2719" spans="1:2">
      <c r="A2719" s="4">
        <v>35318</v>
      </c>
      <c r="B2719" s="3">
        <v>24.15</v>
      </c>
    </row>
    <row r="2720" spans="1:2">
      <c r="A2720" s="4">
        <v>35319</v>
      </c>
      <c r="B2720" s="3">
        <v>24.75</v>
      </c>
    </row>
    <row r="2721" spans="1:2">
      <c r="A2721" s="4">
        <v>35320</v>
      </c>
      <c r="B2721" s="3">
        <v>24.95</v>
      </c>
    </row>
    <row r="2722" spans="1:2">
      <c r="A2722" s="4">
        <v>35321</v>
      </c>
      <c r="B2722" s="3">
        <v>24.5</v>
      </c>
    </row>
    <row r="2723" spans="1:2">
      <c r="A2723" s="4">
        <v>35324</v>
      </c>
      <c r="B2723" s="3">
        <v>23.3</v>
      </c>
    </row>
    <row r="2724" spans="1:2">
      <c r="A2724" s="4">
        <v>35325</v>
      </c>
      <c r="B2724" s="3">
        <v>23.4</v>
      </c>
    </row>
    <row r="2725" spans="1:2">
      <c r="A2725" s="4">
        <v>35326</v>
      </c>
      <c r="B2725" s="3">
        <v>23.85</v>
      </c>
    </row>
    <row r="2726" spans="1:2">
      <c r="A2726" s="4">
        <v>35327</v>
      </c>
      <c r="B2726" s="3">
        <v>23.45</v>
      </c>
    </row>
    <row r="2727" spans="1:2">
      <c r="A2727" s="4">
        <v>35328</v>
      </c>
      <c r="B2727" s="3">
        <v>23.6</v>
      </c>
    </row>
    <row r="2728" spans="1:2">
      <c r="A2728" s="4">
        <v>35331</v>
      </c>
      <c r="B2728" s="3">
        <v>23.83</v>
      </c>
    </row>
    <row r="2729" spans="1:2">
      <c r="A2729" s="4">
        <v>35332</v>
      </c>
      <c r="B2729" s="3">
        <v>24.55</v>
      </c>
    </row>
    <row r="2730" spans="1:2">
      <c r="A2730" s="4">
        <v>35333</v>
      </c>
      <c r="B2730" s="3">
        <v>24.6</v>
      </c>
    </row>
    <row r="2731" spans="1:2">
      <c r="A2731" s="4">
        <v>35334</v>
      </c>
      <c r="B2731" s="3">
        <v>24.05</v>
      </c>
    </row>
    <row r="2732" spans="1:2">
      <c r="A2732" s="4">
        <v>35335</v>
      </c>
      <c r="B2732" s="3">
        <v>24.6</v>
      </c>
    </row>
    <row r="2733" spans="1:2">
      <c r="A2733" s="4">
        <v>35338</v>
      </c>
      <c r="B2733" s="3">
        <v>24.2</v>
      </c>
    </row>
    <row r="2734" spans="1:2">
      <c r="A2734" s="4">
        <v>35339</v>
      </c>
      <c r="B2734" s="3">
        <v>24.35</v>
      </c>
    </row>
    <row r="2735" spans="1:2">
      <c r="A2735" s="4">
        <v>35340</v>
      </c>
      <c r="B2735" s="3">
        <v>24.05</v>
      </c>
    </row>
    <row r="2736" spans="1:2">
      <c r="A2736" s="4">
        <v>35341</v>
      </c>
      <c r="B2736" s="3">
        <v>24.85</v>
      </c>
    </row>
    <row r="2737" spans="1:2">
      <c r="A2737" s="4">
        <v>35342</v>
      </c>
      <c r="B2737" s="3">
        <v>24.75</v>
      </c>
    </row>
    <row r="2738" spans="1:2">
      <c r="A2738" s="4">
        <v>35345</v>
      </c>
      <c r="B2738" s="3">
        <v>25.25</v>
      </c>
    </row>
    <row r="2739" spans="1:2">
      <c r="A2739" s="4">
        <v>35346</v>
      </c>
      <c r="B2739" s="3">
        <v>25.45</v>
      </c>
    </row>
    <row r="2740" spans="1:2">
      <c r="A2740" s="4">
        <v>35347</v>
      </c>
      <c r="B2740" s="3">
        <v>25</v>
      </c>
    </row>
    <row r="2741" spans="1:2">
      <c r="A2741" s="4">
        <v>35348</v>
      </c>
      <c r="B2741" s="3">
        <v>24.3</v>
      </c>
    </row>
    <row r="2742" spans="1:2">
      <c r="A2742" s="4">
        <v>35349</v>
      </c>
      <c r="B2742" s="3">
        <v>24.65</v>
      </c>
    </row>
    <row r="2743" spans="1:2">
      <c r="A2743" s="4">
        <v>35352</v>
      </c>
      <c r="B2743" s="3">
        <v>25.5</v>
      </c>
    </row>
    <row r="2744" spans="1:2">
      <c r="A2744" s="4">
        <v>35353</v>
      </c>
      <c r="B2744" s="3">
        <v>25.45</v>
      </c>
    </row>
    <row r="2745" spans="1:2">
      <c r="A2745" s="4">
        <v>35354</v>
      </c>
      <c r="B2745" s="3">
        <v>25.1</v>
      </c>
    </row>
    <row r="2746" spans="1:2">
      <c r="A2746" s="4">
        <v>35355</v>
      </c>
      <c r="B2746" s="3">
        <v>25.4</v>
      </c>
    </row>
    <row r="2747" spans="1:2">
      <c r="A2747" s="4">
        <v>35356</v>
      </c>
      <c r="B2747" s="3">
        <v>25.8</v>
      </c>
    </row>
    <row r="2748" spans="1:2">
      <c r="A2748" s="4">
        <v>35359</v>
      </c>
      <c r="B2748" s="3">
        <v>25.85</v>
      </c>
    </row>
    <row r="2749" spans="1:2">
      <c r="A2749" s="4">
        <v>35360</v>
      </c>
      <c r="B2749" s="3">
        <v>25.79</v>
      </c>
    </row>
    <row r="2750" spans="1:2">
      <c r="A2750" s="4">
        <v>35361</v>
      </c>
      <c r="B2750" s="3">
        <v>24.78</v>
      </c>
    </row>
    <row r="2751" spans="1:2">
      <c r="A2751" s="4">
        <v>35362</v>
      </c>
      <c r="B2751" s="3">
        <v>24.55</v>
      </c>
    </row>
    <row r="2752" spans="1:2">
      <c r="A2752" s="4">
        <v>35363</v>
      </c>
      <c r="B2752" s="3">
        <v>24.8</v>
      </c>
    </row>
    <row r="2753" spans="1:2">
      <c r="A2753" s="4">
        <v>35366</v>
      </c>
      <c r="B2753" s="3">
        <v>24.75</v>
      </c>
    </row>
    <row r="2754" spans="1:2">
      <c r="A2754" s="4">
        <v>35367</v>
      </c>
      <c r="B2754" s="3">
        <v>24.15</v>
      </c>
    </row>
    <row r="2755" spans="1:2">
      <c r="A2755" s="4">
        <v>35368</v>
      </c>
      <c r="B2755" s="3">
        <v>24.4</v>
      </c>
    </row>
    <row r="2756" spans="1:2">
      <c r="A2756" s="4">
        <v>35369</v>
      </c>
      <c r="B2756" s="3">
        <v>23.25</v>
      </c>
    </row>
    <row r="2757" spans="1:2">
      <c r="A2757" s="4">
        <v>35370</v>
      </c>
      <c r="B2757" s="3">
        <v>23</v>
      </c>
    </row>
    <row r="2758" spans="1:2">
      <c r="A2758" s="4">
        <v>35373</v>
      </c>
      <c r="B2758" s="3">
        <v>22.8</v>
      </c>
    </row>
    <row r="2759" spans="1:2">
      <c r="A2759" s="4">
        <v>35374</v>
      </c>
      <c r="B2759" s="3">
        <v>22.65</v>
      </c>
    </row>
    <row r="2760" spans="1:2">
      <c r="A2760" s="4">
        <v>35375</v>
      </c>
      <c r="B2760" s="3">
        <v>22.75</v>
      </c>
    </row>
    <row r="2761" spans="1:2">
      <c r="A2761" s="4">
        <v>35376</v>
      </c>
      <c r="B2761" s="3">
        <v>22.8</v>
      </c>
    </row>
    <row r="2762" spans="1:2">
      <c r="A2762" s="4">
        <v>35377</v>
      </c>
      <c r="B2762" s="3">
        <v>23.6</v>
      </c>
    </row>
    <row r="2763" spans="1:2">
      <c r="A2763" s="4">
        <v>35380</v>
      </c>
      <c r="B2763" s="3">
        <v>23.35</v>
      </c>
    </row>
    <row r="2764" spans="1:2">
      <c r="A2764" s="4">
        <v>35381</v>
      </c>
      <c r="B2764" s="3">
        <v>23.4</v>
      </c>
    </row>
    <row r="2765" spans="1:2">
      <c r="A2765" s="4">
        <v>35382</v>
      </c>
      <c r="B2765" s="3">
        <v>24.25</v>
      </c>
    </row>
    <row r="2766" spans="1:2">
      <c r="A2766" s="4">
        <v>35383</v>
      </c>
      <c r="B2766" s="3">
        <v>24.35</v>
      </c>
    </row>
    <row r="2767" spans="1:2">
      <c r="A2767" s="4">
        <v>35384</v>
      </c>
      <c r="B2767" s="3">
        <v>24.15</v>
      </c>
    </row>
    <row r="2768" spans="1:2">
      <c r="A2768" s="4">
        <v>35387</v>
      </c>
      <c r="B2768" s="3">
        <v>23.85</v>
      </c>
    </row>
    <row r="2769" spans="1:2">
      <c r="A2769" s="4">
        <v>35388</v>
      </c>
      <c r="B2769" s="3">
        <v>24.5</v>
      </c>
    </row>
    <row r="2770" spans="1:2">
      <c r="A2770" s="4">
        <v>35389</v>
      </c>
      <c r="B2770" s="3">
        <v>23.75</v>
      </c>
    </row>
    <row r="2771" spans="1:2">
      <c r="A2771" s="4">
        <v>35390</v>
      </c>
      <c r="B2771" s="3">
        <v>23.9</v>
      </c>
    </row>
    <row r="2772" spans="1:2">
      <c r="A2772" s="4">
        <v>35391</v>
      </c>
      <c r="B2772" s="3">
        <v>24.15</v>
      </c>
    </row>
    <row r="2773" spans="1:2">
      <c r="A2773" s="4">
        <v>35394</v>
      </c>
      <c r="B2773" s="3">
        <v>25.75</v>
      </c>
    </row>
    <row r="2774" spans="1:2">
      <c r="A2774" s="4">
        <v>35395</v>
      </c>
      <c r="B2774" s="3">
        <v>23.7</v>
      </c>
    </row>
    <row r="2775" spans="1:2">
      <c r="A2775" s="4">
        <v>35396</v>
      </c>
      <c r="B2775" s="3">
        <v>23.7</v>
      </c>
    </row>
    <row r="2776" spans="1:2">
      <c r="A2776" s="4">
        <v>35398</v>
      </c>
      <c r="B2776" s="3">
        <v>23.7</v>
      </c>
    </row>
    <row r="2777" spans="1:2">
      <c r="A2777" s="4">
        <v>35401</v>
      </c>
      <c r="B2777" s="3">
        <v>24.7</v>
      </c>
    </row>
    <row r="2778" spans="1:2">
      <c r="A2778" s="4">
        <v>35402</v>
      </c>
      <c r="B2778" s="3">
        <v>24.8</v>
      </c>
    </row>
    <row r="2779" spans="1:2">
      <c r="A2779" s="4">
        <v>35403</v>
      </c>
      <c r="B2779" s="3">
        <v>25</v>
      </c>
    </row>
    <row r="2780" spans="1:2">
      <c r="A2780" s="4">
        <v>35404</v>
      </c>
      <c r="B2780" s="3">
        <v>25.6</v>
      </c>
    </row>
    <row r="2781" spans="1:2">
      <c r="A2781" s="4">
        <v>35405</v>
      </c>
      <c r="B2781" s="3">
        <v>25.6</v>
      </c>
    </row>
    <row r="2782" spans="1:2">
      <c r="A2782" s="4">
        <v>35408</v>
      </c>
      <c r="B2782" s="3">
        <v>25.15</v>
      </c>
    </row>
    <row r="2783" spans="1:2">
      <c r="A2783" s="4">
        <v>35409</v>
      </c>
      <c r="B2783" s="3">
        <v>24.25</v>
      </c>
    </row>
    <row r="2784" spans="1:2">
      <c r="A2784" s="4">
        <v>35410</v>
      </c>
      <c r="B2784" s="3">
        <v>23.4</v>
      </c>
    </row>
    <row r="2785" spans="1:2">
      <c r="A2785" s="4">
        <v>35411</v>
      </c>
      <c r="B2785" s="3">
        <v>23.75</v>
      </c>
    </row>
    <row r="2786" spans="1:2">
      <c r="A2786" s="4">
        <v>35412</v>
      </c>
      <c r="B2786" s="3">
        <v>24.45</v>
      </c>
    </row>
    <row r="2787" spans="1:2">
      <c r="A2787" s="4">
        <v>35415</v>
      </c>
      <c r="B2787" s="3">
        <v>25.7</v>
      </c>
    </row>
    <row r="2788" spans="1:2">
      <c r="A2788" s="4">
        <v>35416</v>
      </c>
      <c r="B2788" s="3">
        <v>25.7</v>
      </c>
    </row>
    <row r="2789" spans="1:2">
      <c r="A2789" s="4">
        <v>35417</v>
      </c>
      <c r="B2789" s="3">
        <v>26.05</v>
      </c>
    </row>
    <row r="2790" spans="1:2">
      <c r="A2790" s="4">
        <v>35418</v>
      </c>
      <c r="B2790" s="3">
        <v>26.55</v>
      </c>
    </row>
    <row r="2791" spans="1:2">
      <c r="A2791" s="4">
        <v>35419</v>
      </c>
      <c r="B2791" s="3">
        <v>26.1</v>
      </c>
    </row>
    <row r="2792" spans="1:2">
      <c r="A2792" s="4">
        <v>35422</v>
      </c>
      <c r="B2792" s="3">
        <v>26.4</v>
      </c>
    </row>
    <row r="2793" spans="1:2">
      <c r="A2793" s="4">
        <v>35423</v>
      </c>
      <c r="B2793" s="3">
        <v>25.05</v>
      </c>
    </row>
    <row r="2794" spans="1:2">
      <c r="A2794" s="4">
        <v>35425</v>
      </c>
      <c r="B2794" s="3">
        <v>25.1</v>
      </c>
    </row>
    <row r="2795" spans="1:2">
      <c r="A2795" s="4">
        <v>35426</v>
      </c>
      <c r="B2795" s="3">
        <v>25.2</v>
      </c>
    </row>
    <row r="2796" spans="1:2">
      <c r="A2796" s="4">
        <v>35429</v>
      </c>
      <c r="B2796" s="3">
        <v>25.35</v>
      </c>
    </row>
    <row r="2797" spans="1:2">
      <c r="A2797" s="4">
        <v>35430</v>
      </c>
      <c r="B2797" s="3">
        <v>25.9</v>
      </c>
    </row>
    <row r="2798" spans="1:2">
      <c r="A2798" s="4">
        <v>35432</v>
      </c>
      <c r="B2798" s="3">
        <v>25.55</v>
      </c>
    </row>
    <row r="2799" spans="1:2">
      <c r="A2799" s="4">
        <v>35433</v>
      </c>
      <c r="B2799" s="3">
        <v>25.55</v>
      </c>
    </row>
    <row r="2800" spans="1:2">
      <c r="A2800" s="4">
        <v>35436</v>
      </c>
      <c r="B2800" s="3">
        <v>26.25</v>
      </c>
    </row>
    <row r="2801" spans="1:2">
      <c r="A2801" s="4">
        <v>35437</v>
      </c>
      <c r="B2801" s="3">
        <v>26.25</v>
      </c>
    </row>
    <row r="2802" spans="1:2">
      <c r="A2802" s="4">
        <v>35438</v>
      </c>
      <c r="B2802" s="3">
        <v>26.55</v>
      </c>
    </row>
    <row r="2803" spans="1:2">
      <c r="A2803" s="4">
        <v>35439</v>
      </c>
      <c r="B2803" s="3">
        <v>26.3</v>
      </c>
    </row>
    <row r="2804" spans="1:2">
      <c r="A2804" s="4">
        <v>35440</v>
      </c>
      <c r="B2804" s="3">
        <v>26.15</v>
      </c>
    </row>
    <row r="2805" spans="1:2">
      <c r="A2805" s="4">
        <v>35443</v>
      </c>
      <c r="B2805" s="3">
        <v>25.2</v>
      </c>
    </row>
    <row r="2806" spans="1:2">
      <c r="A2806" s="4">
        <v>35444</v>
      </c>
      <c r="B2806" s="3">
        <v>25.1</v>
      </c>
    </row>
    <row r="2807" spans="1:2">
      <c r="A2807" s="4">
        <v>35445</v>
      </c>
      <c r="B2807" s="3">
        <v>25.95</v>
      </c>
    </row>
    <row r="2808" spans="1:2">
      <c r="A2808" s="4">
        <v>35446</v>
      </c>
      <c r="B2808" s="3">
        <v>25.45</v>
      </c>
    </row>
    <row r="2809" spans="1:2">
      <c r="A2809" s="4">
        <v>35447</v>
      </c>
      <c r="B2809" s="3">
        <v>25.4</v>
      </c>
    </row>
    <row r="2810" spans="1:2">
      <c r="A2810" s="4">
        <v>35450</v>
      </c>
      <c r="B2810" s="3">
        <v>25.1</v>
      </c>
    </row>
    <row r="2811" spans="1:2">
      <c r="A2811" s="4">
        <v>35451</v>
      </c>
      <c r="B2811" s="3">
        <v>24.8</v>
      </c>
    </row>
    <row r="2812" spans="1:2">
      <c r="A2812" s="4">
        <v>35452</v>
      </c>
      <c r="B2812" s="3">
        <v>24.4</v>
      </c>
    </row>
    <row r="2813" spans="1:2">
      <c r="A2813" s="4">
        <v>35453</v>
      </c>
      <c r="B2813" s="3">
        <v>23.85</v>
      </c>
    </row>
    <row r="2814" spans="1:2">
      <c r="A2814" s="4">
        <v>35454</v>
      </c>
      <c r="B2814" s="3">
        <v>23.85</v>
      </c>
    </row>
    <row r="2815" spans="1:2">
      <c r="A2815" s="4">
        <v>35457</v>
      </c>
      <c r="B2815" s="3">
        <v>23.85</v>
      </c>
    </row>
    <row r="2816" spans="1:2">
      <c r="A2816" s="4">
        <v>35458</v>
      </c>
      <c r="B2816" s="3">
        <v>23.9</v>
      </c>
    </row>
    <row r="2817" spans="1:2">
      <c r="A2817" s="4">
        <v>35459</v>
      </c>
      <c r="B2817" s="3">
        <v>24.5</v>
      </c>
    </row>
    <row r="2818" spans="1:2">
      <c r="A2818" s="4">
        <v>35460</v>
      </c>
      <c r="B2818" s="3">
        <v>24.8</v>
      </c>
    </row>
    <row r="2819" spans="1:2">
      <c r="A2819" s="4">
        <v>35461</v>
      </c>
      <c r="B2819" s="3">
        <v>24.15</v>
      </c>
    </row>
    <row r="2820" spans="1:2">
      <c r="A2820" s="4">
        <v>35464</v>
      </c>
      <c r="B2820" s="3">
        <v>24.2</v>
      </c>
    </row>
    <row r="2821" spans="1:2">
      <c r="A2821" s="4">
        <v>35465</v>
      </c>
      <c r="B2821" s="3">
        <v>24</v>
      </c>
    </row>
    <row r="2822" spans="1:2">
      <c r="A2822" s="4">
        <v>35466</v>
      </c>
      <c r="B2822" s="3">
        <v>23.9</v>
      </c>
    </row>
    <row r="2823" spans="1:2">
      <c r="A2823" s="4">
        <v>35467</v>
      </c>
      <c r="B2823" s="3">
        <v>23.05</v>
      </c>
    </row>
    <row r="2824" spans="1:2">
      <c r="A2824" s="4">
        <v>35468</v>
      </c>
      <c r="B2824" s="3">
        <v>22.3</v>
      </c>
    </row>
    <row r="2825" spans="1:2">
      <c r="A2825" s="4">
        <v>35471</v>
      </c>
      <c r="B2825" s="3">
        <v>22.45</v>
      </c>
    </row>
    <row r="2826" spans="1:2">
      <c r="A2826" s="4">
        <v>35472</v>
      </c>
      <c r="B2826" s="3">
        <v>22.35</v>
      </c>
    </row>
    <row r="2827" spans="1:2">
      <c r="A2827" s="4">
        <v>35473</v>
      </c>
      <c r="B2827" s="3">
        <v>21.75</v>
      </c>
    </row>
    <row r="2828" spans="1:2">
      <c r="A2828" s="4">
        <v>35474</v>
      </c>
      <c r="B2828" s="3">
        <v>22.1</v>
      </c>
    </row>
    <row r="2829" spans="1:2">
      <c r="A2829" s="4">
        <v>35475</v>
      </c>
      <c r="B2829" s="3">
        <v>22.4</v>
      </c>
    </row>
    <row r="2830" spans="1:2">
      <c r="A2830" s="4">
        <v>35479</v>
      </c>
      <c r="B2830" s="3">
        <v>22.5</v>
      </c>
    </row>
    <row r="2831" spans="1:2">
      <c r="A2831" s="4">
        <v>35480</v>
      </c>
      <c r="B2831" s="3">
        <v>22.65</v>
      </c>
    </row>
    <row r="2832" spans="1:2">
      <c r="A2832" s="4">
        <v>35481</v>
      </c>
      <c r="B2832" s="3">
        <v>21.95</v>
      </c>
    </row>
    <row r="2833" spans="1:2">
      <c r="A2833" s="4">
        <v>35482</v>
      </c>
      <c r="B2833" s="3">
        <v>21.6</v>
      </c>
    </row>
    <row r="2834" spans="1:2">
      <c r="A2834" s="4">
        <v>35485</v>
      </c>
      <c r="B2834" s="3">
        <v>21</v>
      </c>
    </row>
    <row r="2835" spans="1:2">
      <c r="A2835" s="4">
        <v>35486</v>
      </c>
      <c r="B2835" s="3">
        <v>20.95</v>
      </c>
    </row>
    <row r="2836" spans="1:2">
      <c r="A2836" s="4">
        <v>35487</v>
      </c>
      <c r="B2836" s="3">
        <v>21.1</v>
      </c>
    </row>
    <row r="2837" spans="1:2">
      <c r="A2837" s="4">
        <v>35488</v>
      </c>
      <c r="B2837" s="3">
        <v>20.8</v>
      </c>
    </row>
    <row r="2838" spans="1:2">
      <c r="A2838" s="4">
        <v>35489</v>
      </c>
      <c r="B2838" s="3">
        <v>20.3</v>
      </c>
    </row>
    <row r="2839" spans="1:2">
      <c r="A2839" s="4">
        <v>35492</v>
      </c>
      <c r="B2839" s="3">
        <v>20.25</v>
      </c>
    </row>
    <row r="2840" spans="1:2">
      <c r="A2840" s="4">
        <v>35493</v>
      </c>
      <c r="B2840" s="3">
        <v>20.75</v>
      </c>
    </row>
    <row r="2841" spans="1:2">
      <c r="A2841" s="4">
        <v>35494</v>
      </c>
      <c r="B2841" s="3">
        <v>20.5</v>
      </c>
    </row>
    <row r="2842" spans="1:2">
      <c r="A2842" s="4">
        <v>35495</v>
      </c>
      <c r="B2842" s="3">
        <v>21</v>
      </c>
    </row>
    <row r="2843" spans="1:2">
      <c r="A2843" s="4">
        <v>35496</v>
      </c>
      <c r="B2843" s="3">
        <v>21.35</v>
      </c>
    </row>
    <row r="2844" spans="1:2">
      <c r="A2844" s="4">
        <v>35499</v>
      </c>
      <c r="B2844" s="3">
        <v>20.5</v>
      </c>
    </row>
    <row r="2845" spans="1:2">
      <c r="A2845" s="4">
        <v>35500</v>
      </c>
      <c r="B2845" s="3">
        <v>20.149999999999999</v>
      </c>
    </row>
    <row r="2846" spans="1:2">
      <c r="A2846" s="4">
        <v>35501</v>
      </c>
      <c r="B2846" s="3">
        <v>20.6</v>
      </c>
    </row>
    <row r="2847" spans="1:2">
      <c r="A2847" s="4">
        <v>35502</v>
      </c>
      <c r="B2847" s="3">
        <v>20.65</v>
      </c>
    </row>
    <row r="2848" spans="1:2">
      <c r="A2848" s="4">
        <v>35503</v>
      </c>
      <c r="B2848" s="3">
        <v>21.3</v>
      </c>
    </row>
    <row r="2849" spans="1:2">
      <c r="A2849" s="4">
        <v>35506</v>
      </c>
      <c r="B2849" s="3">
        <v>20.9</v>
      </c>
    </row>
    <row r="2850" spans="1:2">
      <c r="A2850" s="4">
        <v>35507</v>
      </c>
      <c r="B2850" s="3">
        <v>22</v>
      </c>
    </row>
    <row r="2851" spans="1:2">
      <c r="A2851" s="4">
        <v>35508</v>
      </c>
      <c r="B2851" s="3">
        <v>22</v>
      </c>
    </row>
    <row r="2852" spans="1:2">
      <c r="A2852" s="4">
        <v>35509</v>
      </c>
      <c r="B2852" s="3">
        <v>22</v>
      </c>
    </row>
    <row r="2853" spans="1:2">
      <c r="A2853" s="4">
        <v>35510</v>
      </c>
      <c r="B2853" s="3">
        <v>21.7</v>
      </c>
    </row>
    <row r="2854" spans="1:2">
      <c r="A2854" s="4">
        <v>35513</v>
      </c>
      <c r="B2854" s="3">
        <v>21</v>
      </c>
    </row>
    <row r="2855" spans="1:2">
      <c r="A2855" s="4">
        <v>35514</v>
      </c>
      <c r="B2855" s="3">
        <v>20.95</v>
      </c>
    </row>
    <row r="2856" spans="1:2">
      <c r="A2856" s="4">
        <v>35515</v>
      </c>
      <c r="B2856" s="3">
        <v>20.65</v>
      </c>
    </row>
    <row r="2857" spans="1:2">
      <c r="A2857" s="4">
        <v>35516</v>
      </c>
      <c r="B2857" s="3">
        <v>20.7</v>
      </c>
    </row>
    <row r="2858" spans="1:2">
      <c r="A2858" s="4">
        <v>35520</v>
      </c>
      <c r="B2858" s="3">
        <v>20.350000000000001</v>
      </c>
    </row>
    <row r="2859" spans="1:2">
      <c r="A2859" s="4">
        <v>35521</v>
      </c>
      <c r="B2859" s="3">
        <v>20.3</v>
      </c>
    </row>
    <row r="2860" spans="1:2">
      <c r="A2860" s="4">
        <v>35522</v>
      </c>
      <c r="B2860" s="3">
        <v>19.55</v>
      </c>
    </row>
    <row r="2861" spans="1:2">
      <c r="A2861" s="4">
        <v>35523</v>
      </c>
      <c r="B2861" s="3">
        <v>19.45</v>
      </c>
    </row>
    <row r="2862" spans="1:2">
      <c r="A2862" s="4">
        <v>35524</v>
      </c>
      <c r="B2862" s="3">
        <v>19.149999999999999</v>
      </c>
    </row>
    <row r="2863" spans="1:2">
      <c r="A2863" s="4">
        <v>35527</v>
      </c>
      <c r="B2863" s="3">
        <v>19.25</v>
      </c>
    </row>
    <row r="2864" spans="1:2">
      <c r="A2864" s="4">
        <v>35528</v>
      </c>
      <c r="B2864" s="3">
        <v>19.350000000000001</v>
      </c>
    </row>
    <row r="2865" spans="1:2">
      <c r="A2865" s="4">
        <v>35529</v>
      </c>
      <c r="B2865" s="3">
        <v>19.25</v>
      </c>
    </row>
    <row r="2866" spans="1:2">
      <c r="A2866" s="4">
        <v>35530</v>
      </c>
      <c r="B2866" s="3">
        <v>19.55</v>
      </c>
    </row>
    <row r="2867" spans="1:2">
      <c r="A2867" s="4">
        <v>35531</v>
      </c>
      <c r="B2867" s="3">
        <v>19.5</v>
      </c>
    </row>
    <row r="2868" spans="1:2">
      <c r="A2868" s="4">
        <v>35534</v>
      </c>
      <c r="B2868" s="3">
        <v>19.899999999999999</v>
      </c>
    </row>
    <row r="2869" spans="1:2">
      <c r="A2869" s="4">
        <v>35535</v>
      </c>
      <c r="B2869" s="3">
        <v>19.600000000000001</v>
      </c>
    </row>
    <row r="2870" spans="1:2">
      <c r="A2870" s="4">
        <v>35536</v>
      </c>
      <c r="B2870" s="3">
        <v>19.350000000000001</v>
      </c>
    </row>
    <row r="2871" spans="1:2">
      <c r="A2871" s="4">
        <v>35537</v>
      </c>
      <c r="B2871" s="3">
        <v>19.5</v>
      </c>
    </row>
    <row r="2872" spans="1:2">
      <c r="A2872" s="4">
        <v>35538</v>
      </c>
      <c r="B2872" s="3">
        <v>19.899999999999999</v>
      </c>
    </row>
    <row r="2873" spans="1:2">
      <c r="A2873" s="4">
        <v>35541</v>
      </c>
      <c r="B2873" s="3">
        <v>20.350000000000001</v>
      </c>
    </row>
    <row r="2874" spans="1:2">
      <c r="A2874" s="4">
        <v>35542</v>
      </c>
      <c r="B2874" s="3">
        <v>19.600000000000001</v>
      </c>
    </row>
    <row r="2875" spans="1:2">
      <c r="A2875" s="4">
        <v>35543</v>
      </c>
      <c r="B2875" s="3">
        <v>19.649999999999999</v>
      </c>
    </row>
    <row r="2876" spans="1:2">
      <c r="A2876" s="4">
        <v>35544</v>
      </c>
      <c r="B2876" s="3">
        <v>19.850000000000001</v>
      </c>
    </row>
    <row r="2877" spans="1:2">
      <c r="A2877" s="4">
        <v>35545</v>
      </c>
      <c r="B2877" s="3">
        <v>19.8</v>
      </c>
    </row>
    <row r="2878" spans="1:2">
      <c r="A2878" s="4">
        <v>35548</v>
      </c>
      <c r="B2878" s="3">
        <v>19.850000000000001</v>
      </c>
    </row>
    <row r="2879" spans="1:2">
      <c r="A2879" s="4">
        <v>35549</v>
      </c>
      <c r="B2879" s="3">
        <v>20.399999999999999</v>
      </c>
    </row>
    <row r="2880" spans="1:2">
      <c r="A2880" s="4">
        <v>35550</v>
      </c>
      <c r="B2880" s="3">
        <v>20.2</v>
      </c>
    </row>
    <row r="2881" spans="1:2">
      <c r="A2881" s="4">
        <v>35551</v>
      </c>
      <c r="B2881" s="3">
        <v>19.899999999999999</v>
      </c>
    </row>
    <row r="2882" spans="1:2">
      <c r="A2882" s="4">
        <v>35552</v>
      </c>
      <c r="B2882" s="3">
        <v>19.600000000000001</v>
      </c>
    </row>
    <row r="2883" spans="1:2">
      <c r="A2883" s="4">
        <v>35555</v>
      </c>
      <c r="B2883" s="3">
        <v>19.600000000000001</v>
      </c>
    </row>
    <row r="2884" spans="1:2">
      <c r="A2884" s="4">
        <v>35556</v>
      </c>
      <c r="B2884" s="3">
        <v>19.7</v>
      </c>
    </row>
    <row r="2885" spans="1:2">
      <c r="A2885" s="4">
        <v>35557</v>
      </c>
      <c r="B2885" s="3">
        <v>19.600000000000001</v>
      </c>
    </row>
    <row r="2886" spans="1:2">
      <c r="A2886" s="4">
        <v>35558</v>
      </c>
      <c r="B2886" s="3">
        <v>20.350000000000001</v>
      </c>
    </row>
    <row r="2887" spans="1:2">
      <c r="A2887" s="4">
        <v>35559</v>
      </c>
      <c r="B2887" s="3">
        <v>20.45</v>
      </c>
    </row>
    <row r="2888" spans="1:2">
      <c r="A2888" s="4">
        <v>35562</v>
      </c>
      <c r="B2888" s="3">
        <v>21.4</v>
      </c>
    </row>
    <row r="2889" spans="1:2">
      <c r="A2889" s="4">
        <v>35563</v>
      </c>
      <c r="B2889" s="3">
        <v>21.1</v>
      </c>
    </row>
    <row r="2890" spans="1:2">
      <c r="A2890" s="4">
        <v>35564</v>
      </c>
      <c r="B2890" s="3">
        <v>21.35</v>
      </c>
    </row>
    <row r="2891" spans="1:2">
      <c r="A2891" s="4">
        <v>35565</v>
      </c>
      <c r="B2891" s="3">
        <v>21.3</v>
      </c>
    </row>
    <row r="2892" spans="1:2">
      <c r="A2892" s="4">
        <v>35566</v>
      </c>
      <c r="B2892" s="3">
        <v>22.1</v>
      </c>
    </row>
    <row r="2893" spans="1:2">
      <c r="A2893" s="4">
        <v>35569</v>
      </c>
      <c r="B2893" s="3">
        <v>21.5</v>
      </c>
    </row>
    <row r="2894" spans="1:2">
      <c r="A2894" s="4">
        <v>35570</v>
      </c>
      <c r="B2894" s="3">
        <v>21.2</v>
      </c>
    </row>
    <row r="2895" spans="1:2">
      <c r="A2895" s="4">
        <v>35571</v>
      </c>
      <c r="B2895" s="3">
        <v>21.6</v>
      </c>
    </row>
    <row r="2896" spans="1:2">
      <c r="A2896" s="4">
        <v>35572</v>
      </c>
      <c r="B2896" s="3">
        <v>21.6</v>
      </c>
    </row>
    <row r="2897" spans="1:2">
      <c r="A2897" s="4">
        <v>35573</v>
      </c>
      <c r="B2897" s="3">
        <v>21.25</v>
      </c>
    </row>
    <row r="2898" spans="1:2">
      <c r="A2898" s="4">
        <v>35577</v>
      </c>
      <c r="B2898" s="3">
        <v>20.75</v>
      </c>
    </row>
    <row r="2899" spans="1:2">
      <c r="A2899" s="4">
        <v>35578</v>
      </c>
      <c r="B2899" s="3">
        <v>20.7</v>
      </c>
    </row>
    <row r="2900" spans="1:2">
      <c r="A2900" s="4">
        <v>35579</v>
      </c>
      <c r="B2900" s="3">
        <v>21.15</v>
      </c>
    </row>
    <row r="2901" spans="1:2">
      <c r="A2901" s="4">
        <v>35580</v>
      </c>
      <c r="B2901" s="3">
        <v>21</v>
      </c>
    </row>
    <row r="2902" spans="1:2">
      <c r="A2902" s="4">
        <v>35583</v>
      </c>
      <c r="B2902" s="3">
        <v>21.15</v>
      </c>
    </row>
    <row r="2903" spans="1:2">
      <c r="A2903" s="4">
        <v>35584</v>
      </c>
      <c r="B2903" s="3">
        <v>20.350000000000001</v>
      </c>
    </row>
    <row r="2904" spans="1:2">
      <c r="A2904" s="4">
        <v>35585</v>
      </c>
      <c r="B2904" s="3">
        <v>20.3</v>
      </c>
    </row>
    <row r="2905" spans="1:2">
      <c r="A2905" s="4">
        <v>35586</v>
      </c>
      <c r="B2905" s="3">
        <v>19.8</v>
      </c>
    </row>
    <row r="2906" spans="1:2">
      <c r="A2906" s="4">
        <v>35587</v>
      </c>
      <c r="B2906" s="3">
        <v>19</v>
      </c>
    </row>
    <row r="2907" spans="1:2">
      <c r="A2907" s="4">
        <v>35590</v>
      </c>
      <c r="B2907" s="3">
        <v>18.850000000000001</v>
      </c>
    </row>
    <row r="2908" spans="1:2">
      <c r="A2908" s="4">
        <v>35591</v>
      </c>
      <c r="B2908" s="3">
        <v>18.850000000000001</v>
      </c>
    </row>
    <row r="2909" spans="1:2">
      <c r="A2909" s="4">
        <v>35592</v>
      </c>
      <c r="B2909" s="3">
        <v>18.75</v>
      </c>
    </row>
    <row r="2910" spans="1:2">
      <c r="A2910" s="4">
        <v>35593</v>
      </c>
      <c r="B2910" s="3">
        <v>19</v>
      </c>
    </row>
    <row r="2911" spans="1:2">
      <c r="A2911" s="4">
        <v>35594</v>
      </c>
      <c r="B2911" s="3">
        <v>18.95</v>
      </c>
    </row>
    <row r="2912" spans="1:2">
      <c r="A2912" s="4">
        <v>35597</v>
      </c>
      <c r="B2912" s="3">
        <v>19.100000000000001</v>
      </c>
    </row>
    <row r="2913" spans="1:2">
      <c r="A2913" s="4">
        <v>35598</v>
      </c>
      <c r="B2913" s="3">
        <v>19.3</v>
      </c>
    </row>
    <row r="2914" spans="1:2">
      <c r="A2914" s="4">
        <v>35599</v>
      </c>
      <c r="B2914" s="3">
        <v>18.899999999999999</v>
      </c>
    </row>
    <row r="2915" spans="1:2">
      <c r="A2915" s="4">
        <v>35600</v>
      </c>
      <c r="B2915" s="3">
        <v>18.75</v>
      </c>
    </row>
    <row r="2916" spans="1:2">
      <c r="A2916" s="4">
        <v>35601</v>
      </c>
      <c r="B2916" s="3">
        <v>18.600000000000001</v>
      </c>
    </row>
    <row r="2917" spans="1:2">
      <c r="A2917" s="4">
        <v>35604</v>
      </c>
      <c r="B2917" s="3">
        <v>18.899999999999999</v>
      </c>
    </row>
    <row r="2918" spans="1:2">
      <c r="A2918" s="4">
        <v>35605</v>
      </c>
      <c r="B2918" s="3">
        <v>18.71</v>
      </c>
    </row>
    <row r="2919" spans="1:2">
      <c r="A2919" s="4">
        <v>35606</v>
      </c>
      <c r="B2919" s="3">
        <v>19.12</v>
      </c>
    </row>
    <row r="2920" spans="1:2">
      <c r="A2920" s="4">
        <v>35607</v>
      </c>
      <c r="B2920" s="3">
        <v>18.84</v>
      </c>
    </row>
    <row r="2921" spans="1:2">
      <c r="A2921" s="4">
        <v>35608</v>
      </c>
      <c r="B2921" s="3">
        <v>19.420000000000002</v>
      </c>
    </row>
    <row r="2922" spans="1:2">
      <c r="A2922" s="4">
        <v>35611</v>
      </c>
      <c r="B2922" s="3">
        <v>19.82</v>
      </c>
    </row>
    <row r="2923" spans="1:2">
      <c r="A2923" s="4">
        <v>35612</v>
      </c>
      <c r="B2923" s="3">
        <v>20.11</v>
      </c>
    </row>
    <row r="2924" spans="1:2">
      <c r="A2924" s="4">
        <v>35613</v>
      </c>
      <c r="B2924" s="3">
        <v>20.39</v>
      </c>
    </row>
    <row r="2925" spans="1:2">
      <c r="A2925" s="4">
        <v>35614</v>
      </c>
      <c r="B2925" s="3">
        <v>19.48</v>
      </c>
    </row>
    <row r="2926" spans="1:2">
      <c r="A2926" s="4">
        <v>35618</v>
      </c>
      <c r="B2926" s="3">
        <v>19.53</v>
      </c>
    </row>
    <row r="2927" spans="1:2">
      <c r="A2927" s="4">
        <v>35619</v>
      </c>
      <c r="B2927" s="3">
        <v>19.670000000000002</v>
      </c>
    </row>
    <row r="2928" spans="1:2">
      <c r="A2928" s="4">
        <v>35620</v>
      </c>
      <c r="B2928" s="3">
        <v>19.399999999999999</v>
      </c>
    </row>
    <row r="2929" spans="1:2">
      <c r="A2929" s="4">
        <v>35621</v>
      </c>
      <c r="B2929" s="3">
        <v>19.22</v>
      </c>
    </row>
    <row r="2930" spans="1:2">
      <c r="A2930" s="4">
        <v>35622</v>
      </c>
      <c r="B2930" s="3">
        <v>19.39</v>
      </c>
    </row>
    <row r="2931" spans="1:2">
      <c r="A2931" s="4">
        <v>35625</v>
      </c>
      <c r="B2931" s="3">
        <v>18.920000000000002</v>
      </c>
    </row>
    <row r="2932" spans="1:2">
      <c r="A2932" s="4">
        <v>35626</v>
      </c>
      <c r="B2932" s="3">
        <v>19.809999999999999</v>
      </c>
    </row>
    <row r="2933" spans="1:2">
      <c r="A2933" s="4">
        <v>35627</v>
      </c>
      <c r="B2933" s="3">
        <v>19.57</v>
      </c>
    </row>
    <row r="2934" spans="1:2">
      <c r="A2934" s="4">
        <v>35628</v>
      </c>
      <c r="B2934" s="3">
        <v>19.920000000000002</v>
      </c>
    </row>
    <row r="2935" spans="1:2">
      <c r="A2935" s="4">
        <v>35629</v>
      </c>
      <c r="B2935" s="3">
        <v>19.22</v>
      </c>
    </row>
    <row r="2936" spans="1:2">
      <c r="A2936" s="4">
        <v>35632</v>
      </c>
      <c r="B2936" s="3">
        <v>19.25</v>
      </c>
    </row>
    <row r="2937" spans="1:2">
      <c r="A2937" s="4">
        <v>35633</v>
      </c>
      <c r="B2937" s="3">
        <v>19.25</v>
      </c>
    </row>
    <row r="2938" spans="1:2">
      <c r="A2938" s="4">
        <v>35634</v>
      </c>
      <c r="B2938" s="3">
        <v>19.68</v>
      </c>
    </row>
    <row r="2939" spans="1:2">
      <c r="A2939" s="4">
        <v>35635</v>
      </c>
      <c r="B2939" s="3">
        <v>19.71</v>
      </c>
    </row>
    <row r="2940" spans="1:2">
      <c r="A2940" s="4">
        <v>35636</v>
      </c>
      <c r="B2940" s="3">
        <v>19.71</v>
      </c>
    </row>
    <row r="2941" spans="1:2">
      <c r="A2941" s="4">
        <v>35639</v>
      </c>
      <c r="B2941" s="3">
        <v>19.670000000000002</v>
      </c>
    </row>
    <row r="2942" spans="1:2">
      <c r="A2942" s="4">
        <v>35640</v>
      </c>
      <c r="B2942" s="3">
        <v>20.079999999999998</v>
      </c>
    </row>
    <row r="2943" spans="1:2">
      <c r="A2943" s="4">
        <v>35641</v>
      </c>
      <c r="B2943" s="3">
        <v>20.43</v>
      </c>
    </row>
    <row r="2944" spans="1:2">
      <c r="A2944" s="4">
        <v>35642</v>
      </c>
      <c r="B2944" s="3">
        <v>20.190000000000001</v>
      </c>
    </row>
    <row r="2945" spans="1:2">
      <c r="A2945" s="4">
        <v>35643</v>
      </c>
      <c r="B2945" s="3">
        <v>20.27</v>
      </c>
    </row>
    <row r="2946" spans="1:2">
      <c r="A2946" s="4">
        <v>35646</v>
      </c>
      <c r="B2946" s="3">
        <v>20.81</v>
      </c>
    </row>
    <row r="2947" spans="1:2">
      <c r="A2947" s="4">
        <v>35647</v>
      </c>
      <c r="B2947" s="3">
        <v>20.79</v>
      </c>
    </row>
    <row r="2948" spans="1:2">
      <c r="A2948" s="4">
        <v>35648</v>
      </c>
      <c r="B2948" s="3">
        <v>20.46</v>
      </c>
    </row>
    <row r="2949" spans="1:2">
      <c r="A2949" s="4">
        <v>35649</v>
      </c>
      <c r="B2949" s="3">
        <v>20.09</v>
      </c>
    </row>
    <row r="2950" spans="1:2">
      <c r="A2950" s="4">
        <v>35650</v>
      </c>
      <c r="B2950" s="3">
        <v>19.579999999999998</v>
      </c>
    </row>
    <row r="2951" spans="1:2">
      <c r="A2951" s="4">
        <v>35653</v>
      </c>
      <c r="B2951" s="3">
        <v>19.73</v>
      </c>
    </row>
    <row r="2952" spans="1:2">
      <c r="A2952" s="4">
        <v>35654</v>
      </c>
      <c r="B2952" s="3">
        <v>19.91</v>
      </c>
    </row>
    <row r="2953" spans="1:2">
      <c r="A2953" s="4">
        <v>35655</v>
      </c>
      <c r="B2953" s="3">
        <v>20.190000000000001</v>
      </c>
    </row>
    <row r="2954" spans="1:2">
      <c r="A2954" s="4">
        <v>35656</v>
      </c>
      <c r="B2954" s="3">
        <v>20.02</v>
      </c>
    </row>
    <row r="2955" spans="1:2">
      <c r="A2955" s="4">
        <v>35657</v>
      </c>
      <c r="B2955" s="3">
        <v>20.079999999999998</v>
      </c>
    </row>
    <row r="2956" spans="1:2">
      <c r="A2956" s="4">
        <v>35660</v>
      </c>
      <c r="B2956" s="3">
        <v>19.940000000000001</v>
      </c>
    </row>
    <row r="2957" spans="1:2">
      <c r="A2957" s="4">
        <v>35661</v>
      </c>
      <c r="B2957" s="3">
        <v>20.04</v>
      </c>
    </row>
    <row r="2958" spans="1:2">
      <c r="A2958" s="4">
        <v>35662</v>
      </c>
      <c r="B2958" s="3">
        <v>20.07</v>
      </c>
    </row>
    <row r="2959" spans="1:2">
      <c r="A2959" s="4">
        <v>35663</v>
      </c>
      <c r="B2959" s="3">
        <v>19.829999999999998</v>
      </c>
    </row>
    <row r="2960" spans="1:2">
      <c r="A2960" s="4">
        <v>35664</v>
      </c>
      <c r="B2960" s="3">
        <v>19.7</v>
      </c>
    </row>
    <row r="2961" spans="1:2">
      <c r="A2961" s="4">
        <v>35667</v>
      </c>
      <c r="B2961" s="3">
        <v>19.29</v>
      </c>
    </row>
    <row r="2962" spans="1:2">
      <c r="A2962" s="4">
        <v>35668</v>
      </c>
      <c r="B2962" s="3">
        <v>19.309999999999999</v>
      </c>
    </row>
    <row r="2963" spans="1:2">
      <c r="A2963" s="4">
        <v>35669</v>
      </c>
      <c r="B2963" s="3">
        <v>19.649999999999999</v>
      </c>
    </row>
    <row r="2964" spans="1:2">
      <c r="A2964" s="4">
        <v>35670</v>
      </c>
      <c r="B2964" s="3">
        <v>19.59</v>
      </c>
    </row>
    <row r="2965" spans="1:2">
      <c r="A2965" s="4">
        <v>35671</v>
      </c>
      <c r="B2965" s="3">
        <v>19.66</v>
      </c>
    </row>
    <row r="2966" spans="1:2">
      <c r="A2966" s="4">
        <v>35675</v>
      </c>
      <c r="B2966" s="3">
        <v>19.73</v>
      </c>
    </row>
    <row r="2967" spans="1:2">
      <c r="A2967" s="4">
        <v>35676</v>
      </c>
      <c r="B2967" s="3">
        <v>19.649999999999999</v>
      </c>
    </row>
    <row r="2968" spans="1:2">
      <c r="A2968" s="4">
        <v>35677</v>
      </c>
      <c r="B2968" s="3">
        <v>19.46</v>
      </c>
    </row>
    <row r="2969" spans="1:2">
      <c r="A2969" s="4">
        <v>35678</v>
      </c>
      <c r="B2969" s="3">
        <v>19.61</v>
      </c>
    </row>
    <row r="2970" spans="1:2">
      <c r="A2970" s="4">
        <v>35681</v>
      </c>
      <c r="B2970" s="3">
        <v>19.43</v>
      </c>
    </row>
    <row r="2971" spans="1:2">
      <c r="A2971" s="4">
        <v>35682</v>
      </c>
      <c r="B2971" s="3">
        <v>19.5</v>
      </c>
    </row>
    <row r="2972" spans="1:2">
      <c r="A2972" s="4">
        <v>35683</v>
      </c>
      <c r="B2972" s="3">
        <v>19.5</v>
      </c>
    </row>
    <row r="2973" spans="1:2">
      <c r="A2973" s="4">
        <v>35684</v>
      </c>
      <c r="B2973" s="3">
        <v>19.41</v>
      </c>
    </row>
    <row r="2974" spans="1:2">
      <c r="A2974" s="4">
        <v>35685</v>
      </c>
      <c r="B2974" s="3">
        <v>19.37</v>
      </c>
    </row>
    <row r="2975" spans="1:2">
      <c r="A2975" s="4">
        <v>35688</v>
      </c>
      <c r="B2975" s="3">
        <v>19.3</v>
      </c>
    </row>
    <row r="2976" spans="1:2">
      <c r="A2976" s="4">
        <v>35689</v>
      </c>
      <c r="B2976" s="3">
        <v>19.670000000000002</v>
      </c>
    </row>
    <row r="2977" spans="1:2">
      <c r="A2977" s="4">
        <v>35690</v>
      </c>
      <c r="B2977" s="3">
        <v>19.440000000000001</v>
      </c>
    </row>
    <row r="2978" spans="1:2">
      <c r="A2978" s="4">
        <v>35691</v>
      </c>
      <c r="B2978" s="3">
        <v>19.41</v>
      </c>
    </row>
    <row r="2979" spans="1:2">
      <c r="A2979" s="4">
        <v>35692</v>
      </c>
      <c r="B2979" s="3">
        <v>19.37</v>
      </c>
    </row>
    <row r="2980" spans="1:2">
      <c r="A2980" s="4">
        <v>35695</v>
      </c>
      <c r="B2980" s="3">
        <v>19.61</v>
      </c>
    </row>
    <row r="2981" spans="1:2">
      <c r="A2981" s="4">
        <v>35696</v>
      </c>
      <c r="B2981" s="3">
        <v>19.71</v>
      </c>
    </row>
    <row r="2982" spans="1:2">
      <c r="A2982" s="4">
        <v>35697</v>
      </c>
      <c r="B2982" s="3">
        <v>20.03</v>
      </c>
    </row>
    <row r="2983" spans="1:2">
      <c r="A2983" s="4">
        <v>35698</v>
      </c>
      <c r="B2983" s="3">
        <v>20.38</v>
      </c>
    </row>
    <row r="2984" spans="1:2">
      <c r="A2984" s="4">
        <v>35699</v>
      </c>
      <c r="B2984" s="3">
        <v>20.87</v>
      </c>
    </row>
    <row r="2985" spans="1:2">
      <c r="A2985" s="4">
        <v>35702</v>
      </c>
      <c r="B2985" s="3">
        <v>21.29</v>
      </c>
    </row>
    <row r="2986" spans="1:2">
      <c r="A2986" s="4">
        <v>35703</v>
      </c>
      <c r="B2986" s="3">
        <v>21.13</v>
      </c>
    </row>
    <row r="2987" spans="1:2">
      <c r="A2987" s="4">
        <v>35704</v>
      </c>
      <c r="B2987" s="3">
        <v>21.02</v>
      </c>
    </row>
    <row r="2988" spans="1:2">
      <c r="A2988" s="4">
        <v>35705</v>
      </c>
      <c r="B2988" s="3">
        <v>21.82</v>
      </c>
    </row>
    <row r="2989" spans="1:2">
      <c r="A2989" s="4">
        <v>35706</v>
      </c>
      <c r="B2989" s="3">
        <v>22.86</v>
      </c>
    </row>
    <row r="2990" spans="1:2">
      <c r="A2990" s="4">
        <v>35709</v>
      </c>
      <c r="B2990" s="3">
        <v>21.97</v>
      </c>
    </row>
    <row r="2991" spans="1:2">
      <c r="A2991" s="4">
        <v>35710</v>
      </c>
      <c r="B2991" s="3">
        <v>21.88</v>
      </c>
    </row>
    <row r="2992" spans="1:2">
      <c r="A2992" s="4">
        <v>35711</v>
      </c>
      <c r="B2992" s="3">
        <v>22.19</v>
      </c>
    </row>
    <row r="2993" spans="1:2">
      <c r="A2993" s="4">
        <v>35712</v>
      </c>
      <c r="B2993" s="3">
        <v>22.01</v>
      </c>
    </row>
    <row r="2994" spans="1:2">
      <c r="A2994" s="4">
        <v>35713</v>
      </c>
      <c r="B2994" s="3">
        <v>22.01</v>
      </c>
    </row>
    <row r="2995" spans="1:2">
      <c r="A2995" s="4">
        <v>35716</v>
      </c>
      <c r="B2995" s="3">
        <v>21.34</v>
      </c>
    </row>
    <row r="2996" spans="1:2">
      <c r="A2996" s="4">
        <v>35717</v>
      </c>
      <c r="B2996" s="3">
        <v>20.75</v>
      </c>
    </row>
    <row r="2997" spans="1:2">
      <c r="A2997" s="4">
        <v>35718</v>
      </c>
      <c r="B2997" s="3">
        <v>20.65</v>
      </c>
    </row>
    <row r="2998" spans="1:2">
      <c r="A2998" s="4">
        <v>35719</v>
      </c>
      <c r="B2998" s="3">
        <v>20.98</v>
      </c>
    </row>
    <row r="2999" spans="1:2">
      <c r="A2999" s="4">
        <v>35720</v>
      </c>
      <c r="B2999" s="3">
        <v>21.41</v>
      </c>
    </row>
    <row r="3000" spans="1:2">
      <c r="A3000" s="4">
        <v>35723</v>
      </c>
      <c r="B3000" s="3">
        <v>20.69</v>
      </c>
    </row>
    <row r="3001" spans="1:2">
      <c r="A3001" s="4">
        <v>35724</v>
      </c>
      <c r="B3001" s="3">
        <v>20.68</v>
      </c>
    </row>
    <row r="3002" spans="1:2">
      <c r="A3002" s="4">
        <v>35725</v>
      </c>
      <c r="B3002" s="3">
        <v>21.44</v>
      </c>
    </row>
    <row r="3003" spans="1:2">
      <c r="A3003" s="4">
        <v>35726</v>
      </c>
      <c r="B3003" s="3">
        <v>21.18</v>
      </c>
    </row>
    <row r="3004" spans="1:2">
      <c r="A3004" s="4">
        <v>35727</v>
      </c>
      <c r="B3004" s="3">
        <v>20.99</v>
      </c>
    </row>
    <row r="3005" spans="1:2">
      <c r="A3005" s="4">
        <v>35730</v>
      </c>
      <c r="B3005" s="3">
        <v>21.03</v>
      </c>
    </row>
    <row r="3006" spans="1:2">
      <c r="A3006" s="4">
        <v>35731</v>
      </c>
      <c r="B3006" s="3">
        <v>20.399999999999999</v>
      </c>
    </row>
    <row r="3007" spans="1:2">
      <c r="A3007" s="4">
        <v>35732</v>
      </c>
      <c r="B3007" s="3">
        <v>20.82</v>
      </c>
    </row>
    <row r="3008" spans="1:2">
      <c r="A3008" s="4">
        <v>35733</v>
      </c>
      <c r="B3008" s="3">
        <v>21.26</v>
      </c>
    </row>
    <row r="3009" spans="1:2">
      <c r="A3009" s="4">
        <v>35734</v>
      </c>
      <c r="B3009" s="3">
        <v>21.1</v>
      </c>
    </row>
    <row r="3010" spans="1:2">
      <c r="A3010" s="4">
        <v>35737</v>
      </c>
      <c r="B3010" s="3">
        <v>20.91</v>
      </c>
    </row>
    <row r="3011" spans="1:2">
      <c r="A3011" s="4">
        <v>35738</v>
      </c>
      <c r="B3011" s="3">
        <v>20.64</v>
      </c>
    </row>
    <row r="3012" spans="1:2">
      <c r="A3012" s="4">
        <v>35739</v>
      </c>
      <c r="B3012" s="3">
        <v>20.440000000000001</v>
      </c>
    </row>
    <row r="3013" spans="1:2">
      <c r="A3013" s="4">
        <v>35740</v>
      </c>
      <c r="B3013" s="3">
        <v>20.46</v>
      </c>
    </row>
    <row r="3014" spans="1:2">
      <c r="A3014" s="4">
        <v>35741</v>
      </c>
      <c r="B3014" s="3">
        <v>20.8</v>
      </c>
    </row>
    <row r="3015" spans="1:2">
      <c r="A3015" s="4">
        <v>35744</v>
      </c>
      <c r="B3015" s="3">
        <v>20.46</v>
      </c>
    </row>
    <row r="3016" spans="1:2">
      <c r="A3016" s="4">
        <v>35745</v>
      </c>
      <c r="B3016" s="3">
        <v>20.54</v>
      </c>
    </row>
    <row r="3017" spans="1:2">
      <c r="A3017" s="4">
        <v>35746</v>
      </c>
      <c r="B3017" s="3">
        <v>20.53</v>
      </c>
    </row>
    <row r="3018" spans="1:2">
      <c r="A3018" s="4">
        <v>35747</v>
      </c>
      <c r="B3018" s="3">
        <v>20.76</v>
      </c>
    </row>
    <row r="3019" spans="1:2">
      <c r="A3019" s="4">
        <v>35748</v>
      </c>
      <c r="B3019" s="3">
        <v>21.01</v>
      </c>
    </row>
    <row r="3020" spans="1:2">
      <c r="A3020" s="4">
        <v>35751</v>
      </c>
      <c r="B3020" s="3">
        <v>20.29</v>
      </c>
    </row>
    <row r="3021" spans="1:2">
      <c r="A3021" s="4">
        <v>35752</v>
      </c>
      <c r="B3021" s="3">
        <v>20.010000000000002</v>
      </c>
    </row>
    <row r="3022" spans="1:2">
      <c r="A3022" s="4">
        <v>35753</v>
      </c>
      <c r="B3022" s="3">
        <v>19.82</v>
      </c>
    </row>
    <row r="3023" spans="1:2">
      <c r="A3023" s="4">
        <v>35754</v>
      </c>
      <c r="B3023" s="3">
        <v>19.170000000000002</v>
      </c>
    </row>
    <row r="3024" spans="1:2">
      <c r="A3024" s="4">
        <v>35755</v>
      </c>
      <c r="B3024" s="3">
        <v>19.760000000000002</v>
      </c>
    </row>
    <row r="3025" spans="1:2">
      <c r="A3025" s="4">
        <v>35758</v>
      </c>
      <c r="B3025" s="3">
        <v>19.41</v>
      </c>
    </row>
    <row r="3026" spans="1:2">
      <c r="A3026" s="4">
        <v>35759</v>
      </c>
      <c r="B3026" s="3">
        <v>19.350000000000001</v>
      </c>
    </row>
    <row r="3027" spans="1:2">
      <c r="A3027" s="4">
        <v>35760</v>
      </c>
      <c r="B3027" s="3">
        <v>19.13</v>
      </c>
    </row>
    <row r="3028" spans="1:2">
      <c r="A3028" s="4">
        <v>35765</v>
      </c>
      <c r="B3028" s="3">
        <v>18.760000000000002</v>
      </c>
    </row>
    <row r="3029" spans="1:2">
      <c r="A3029" s="4">
        <v>35766</v>
      </c>
      <c r="B3029" s="3">
        <v>18.670000000000002</v>
      </c>
    </row>
    <row r="3030" spans="1:2">
      <c r="A3030" s="4">
        <v>35767</v>
      </c>
      <c r="B3030" s="3">
        <v>18.809999999999999</v>
      </c>
    </row>
    <row r="3031" spans="1:2">
      <c r="A3031" s="4">
        <v>35768</v>
      </c>
      <c r="B3031" s="3">
        <v>18.489999999999998</v>
      </c>
    </row>
    <row r="3032" spans="1:2">
      <c r="A3032" s="4">
        <v>35769</v>
      </c>
      <c r="B3032" s="3">
        <v>18.72</v>
      </c>
    </row>
    <row r="3033" spans="1:2">
      <c r="A3033" s="4">
        <v>35772</v>
      </c>
      <c r="B3033" s="3">
        <v>18.86</v>
      </c>
    </row>
    <row r="3034" spans="1:2">
      <c r="A3034" s="4">
        <v>35773</v>
      </c>
      <c r="B3034" s="3">
        <v>18.79</v>
      </c>
    </row>
    <row r="3035" spans="1:2">
      <c r="A3035" s="4">
        <v>35774</v>
      </c>
      <c r="B3035" s="3">
        <v>18.149999999999999</v>
      </c>
    </row>
    <row r="3036" spans="1:2">
      <c r="A3036" s="4">
        <v>35775</v>
      </c>
      <c r="B3036" s="3">
        <v>18.18</v>
      </c>
    </row>
    <row r="3037" spans="1:2">
      <c r="A3037" s="4">
        <v>35776</v>
      </c>
      <c r="B3037" s="3">
        <v>18.21</v>
      </c>
    </row>
    <row r="3038" spans="1:2">
      <c r="A3038" s="4">
        <v>35779</v>
      </c>
      <c r="B3038" s="3">
        <v>18.18</v>
      </c>
    </row>
    <row r="3039" spans="1:2">
      <c r="A3039" s="4">
        <v>35780</v>
      </c>
      <c r="B3039" s="3">
        <v>18.190000000000001</v>
      </c>
    </row>
    <row r="3040" spans="1:2">
      <c r="A3040" s="4">
        <v>35781</v>
      </c>
      <c r="B3040" s="3">
        <v>18.22</v>
      </c>
    </row>
    <row r="3041" spans="1:2">
      <c r="A3041" s="4">
        <v>35782</v>
      </c>
      <c r="B3041" s="3">
        <v>18.510000000000002</v>
      </c>
    </row>
    <row r="3042" spans="1:2">
      <c r="A3042" s="4">
        <v>35783</v>
      </c>
      <c r="B3042" s="3">
        <v>18.46</v>
      </c>
    </row>
    <row r="3043" spans="1:2">
      <c r="A3043" s="4">
        <v>35786</v>
      </c>
      <c r="B3043" s="3">
        <v>18.29</v>
      </c>
    </row>
    <row r="3044" spans="1:2">
      <c r="A3044" s="4">
        <v>35787</v>
      </c>
      <c r="B3044" s="3">
        <v>18.39</v>
      </c>
    </row>
    <row r="3045" spans="1:2">
      <c r="A3045" s="4">
        <v>35788</v>
      </c>
      <c r="B3045" s="3">
        <v>18.36</v>
      </c>
    </row>
    <row r="3046" spans="1:2">
      <c r="A3046" s="4">
        <v>35790</v>
      </c>
      <c r="B3046" s="3">
        <v>18.190000000000001</v>
      </c>
    </row>
    <row r="3047" spans="1:2">
      <c r="A3047" s="4">
        <v>35793</v>
      </c>
      <c r="B3047" s="3">
        <v>17.64</v>
      </c>
    </row>
    <row r="3048" spans="1:2">
      <c r="A3048" s="4">
        <v>35794</v>
      </c>
      <c r="B3048" s="3">
        <v>17.600000000000001</v>
      </c>
    </row>
    <row r="3049" spans="1:2">
      <c r="A3049" s="4">
        <v>35795</v>
      </c>
      <c r="B3049" s="3">
        <v>17.649999999999999</v>
      </c>
    </row>
    <row r="3050" spans="1:2">
      <c r="A3050" s="4">
        <v>35797</v>
      </c>
      <c r="B3050" s="3">
        <v>17.41</v>
      </c>
    </row>
    <row r="3051" spans="1:2">
      <c r="A3051" s="4">
        <v>35800</v>
      </c>
      <c r="B3051" s="3">
        <v>16.95</v>
      </c>
    </row>
    <row r="3052" spans="1:2">
      <c r="A3052" s="4">
        <v>35801</v>
      </c>
      <c r="B3052" s="3">
        <v>16.64</v>
      </c>
    </row>
    <row r="3053" spans="1:2">
      <c r="A3053" s="4">
        <v>35802</v>
      </c>
      <c r="B3053" s="3">
        <v>16.91</v>
      </c>
    </row>
    <row r="3054" spans="1:2">
      <c r="A3054" s="4">
        <v>35803</v>
      </c>
      <c r="B3054" s="3">
        <v>17.010000000000002</v>
      </c>
    </row>
    <row r="3055" spans="1:2">
      <c r="A3055" s="4">
        <v>35804</v>
      </c>
      <c r="B3055" s="3">
        <v>16.649999999999999</v>
      </c>
    </row>
    <row r="3056" spans="1:2">
      <c r="A3056" s="4">
        <v>35807</v>
      </c>
      <c r="B3056" s="3">
        <v>16.53</v>
      </c>
    </row>
    <row r="3057" spans="1:2">
      <c r="A3057" s="4">
        <v>35808</v>
      </c>
      <c r="B3057" s="3">
        <v>16.440000000000001</v>
      </c>
    </row>
    <row r="3058" spans="1:2">
      <c r="A3058" s="4">
        <v>35809</v>
      </c>
      <c r="B3058" s="3">
        <v>16.54</v>
      </c>
    </row>
    <row r="3059" spans="1:2">
      <c r="A3059" s="4">
        <v>35810</v>
      </c>
      <c r="B3059" s="3">
        <v>16.350000000000001</v>
      </c>
    </row>
    <row r="3060" spans="1:2">
      <c r="A3060" s="4">
        <v>35811</v>
      </c>
      <c r="B3060" s="3">
        <v>16.48</v>
      </c>
    </row>
    <row r="3061" spans="1:2">
      <c r="A3061" s="4">
        <v>35815</v>
      </c>
      <c r="B3061" s="3">
        <v>16.43</v>
      </c>
    </row>
    <row r="3062" spans="1:2">
      <c r="A3062" s="4">
        <v>35816</v>
      </c>
      <c r="B3062" s="3">
        <v>16.05</v>
      </c>
    </row>
    <row r="3063" spans="1:2">
      <c r="A3063" s="4">
        <v>35817</v>
      </c>
      <c r="B3063" s="3">
        <v>15.93</v>
      </c>
    </row>
    <row r="3064" spans="1:2">
      <c r="A3064" s="4">
        <v>35818</v>
      </c>
      <c r="B3064" s="3">
        <v>15.65</v>
      </c>
    </row>
    <row r="3065" spans="1:2">
      <c r="A3065" s="4">
        <v>35821</v>
      </c>
      <c r="B3065" s="3">
        <v>16.96</v>
      </c>
    </row>
    <row r="3066" spans="1:2">
      <c r="A3066" s="4">
        <v>35822</v>
      </c>
      <c r="B3066" s="3">
        <v>17.059999999999999</v>
      </c>
    </row>
    <row r="3067" spans="1:2">
      <c r="A3067" s="4">
        <v>35823</v>
      </c>
      <c r="B3067" s="3">
        <v>17.350000000000001</v>
      </c>
    </row>
    <row r="3068" spans="1:2">
      <c r="A3068" s="4">
        <v>35824</v>
      </c>
      <c r="B3068" s="3">
        <v>17.93</v>
      </c>
    </row>
    <row r="3069" spans="1:2">
      <c r="A3069" s="4">
        <v>35825</v>
      </c>
      <c r="B3069" s="3">
        <v>17.21</v>
      </c>
    </row>
    <row r="3070" spans="1:2">
      <c r="A3070" s="4">
        <v>35828</v>
      </c>
      <c r="B3070" s="3">
        <v>17.07</v>
      </c>
    </row>
    <row r="3071" spans="1:2">
      <c r="A3071" s="4">
        <v>35829</v>
      </c>
      <c r="B3071" s="3">
        <v>16.43</v>
      </c>
    </row>
    <row r="3072" spans="1:2">
      <c r="A3072" s="4">
        <v>35830</v>
      </c>
      <c r="B3072" s="3">
        <v>16.420000000000002</v>
      </c>
    </row>
    <row r="3073" spans="1:2">
      <c r="A3073" s="4">
        <v>35831</v>
      </c>
      <c r="B3073" s="3">
        <v>16.63</v>
      </c>
    </row>
    <row r="3074" spans="1:2">
      <c r="A3074" s="4">
        <v>35832</v>
      </c>
      <c r="B3074" s="3">
        <v>16.72</v>
      </c>
    </row>
    <row r="3075" spans="1:2">
      <c r="A3075" s="4">
        <v>35835</v>
      </c>
      <c r="B3075" s="3">
        <v>16.59</v>
      </c>
    </row>
    <row r="3076" spans="1:2">
      <c r="A3076" s="4">
        <v>35836</v>
      </c>
      <c r="B3076" s="3">
        <v>16.48</v>
      </c>
    </row>
    <row r="3077" spans="1:2">
      <c r="A3077" s="4">
        <v>35837</v>
      </c>
      <c r="B3077" s="3">
        <v>16.170000000000002</v>
      </c>
    </row>
    <row r="3078" spans="1:2">
      <c r="A3078" s="4">
        <v>35838</v>
      </c>
      <c r="B3078" s="3">
        <v>15.97</v>
      </c>
    </row>
    <row r="3079" spans="1:2">
      <c r="A3079" s="4">
        <v>35839</v>
      </c>
      <c r="B3079" s="3">
        <v>16.03</v>
      </c>
    </row>
    <row r="3080" spans="1:2">
      <c r="A3080" s="4">
        <v>35843</v>
      </c>
      <c r="B3080" s="3">
        <v>15.64</v>
      </c>
    </row>
    <row r="3081" spans="1:2">
      <c r="A3081" s="4">
        <v>35844</v>
      </c>
      <c r="B3081" s="3">
        <v>16.239999999999998</v>
      </c>
    </row>
    <row r="3082" spans="1:2">
      <c r="A3082" s="4">
        <v>35845</v>
      </c>
      <c r="B3082" s="3">
        <v>16.12</v>
      </c>
    </row>
    <row r="3083" spans="1:2">
      <c r="A3083" s="4">
        <v>35846</v>
      </c>
      <c r="B3083" s="3">
        <v>16.13</v>
      </c>
    </row>
    <row r="3084" spans="1:2">
      <c r="A3084" s="4">
        <v>35849</v>
      </c>
      <c r="B3084" s="3">
        <v>15.23</v>
      </c>
    </row>
    <row r="3085" spans="1:2">
      <c r="A3085" s="4">
        <v>35850</v>
      </c>
      <c r="B3085" s="3">
        <v>15.14</v>
      </c>
    </row>
    <row r="3086" spans="1:2">
      <c r="A3086" s="4">
        <v>35851</v>
      </c>
      <c r="B3086" s="3">
        <v>15.28</v>
      </c>
    </row>
    <row r="3087" spans="1:2">
      <c r="A3087" s="4">
        <v>35852</v>
      </c>
      <c r="B3087" s="3">
        <v>15.41</v>
      </c>
    </row>
    <row r="3088" spans="1:2">
      <c r="A3088" s="4">
        <v>35853</v>
      </c>
      <c r="B3088" s="3">
        <v>15.44</v>
      </c>
    </row>
    <row r="3089" spans="1:2">
      <c r="A3089" s="4">
        <v>35856</v>
      </c>
      <c r="B3089" s="3">
        <v>15.32</v>
      </c>
    </row>
    <row r="3090" spans="1:2">
      <c r="A3090" s="4">
        <v>35857</v>
      </c>
      <c r="B3090" s="3">
        <v>15.28</v>
      </c>
    </row>
    <row r="3091" spans="1:2">
      <c r="A3091" s="4">
        <v>35858</v>
      </c>
      <c r="B3091" s="3">
        <v>15.33</v>
      </c>
    </row>
    <row r="3092" spans="1:2">
      <c r="A3092" s="4">
        <v>35859</v>
      </c>
      <c r="B3092" s="3">
        <v>15.34</v>
      </c>
    </row>
    <row r="3093" spans="1:2">
      <c r="A3093" s="4">
        <v>35860</v>
      </c>
      <c r="B3093" s="3">
        <v>14.9</v>
      </c>
    </row>
    <row r="3094" spans="1:2">
      <c r="A3094" s="4">
        <v>35863</v>
      </c>
      <c r="B3094" s="3">
        <v>14.58</v>
      </c>
    </row>
    <row r="3095" spans="1:2">
      <c r="A3095" s="4">
        <v>35864</v>
      </c>
      <c r="B3095" s="3">
        <v>14.54</v>
      </c>
    </row>
    <row r="3096" spans="1:2">
      <c r="A3096" s="4">
        <v>35865</v>
      </c>
      <c r="B3096" s="3">
        <v>14.3</v>
      </c>
    </row>
    <row r="3097" spans="1:2">
      <c r="A3097" s="4">
        <v>35866</v>
      </c>
      <c r="B3097" s="3">
        <v>14.4</v>
      </c>
    </row>
    <row r="3098" spans="1:2">
      <c r="A3098" s="4">
        <v>35867</v>
      </c>
      <c r="B3098" s="3">
        <v>14.19</v>
      </c>
    </row>
    <row r="3099" spans="1:2">
      <c r="A3099" s="4">
        <v>35870</v>
      </c>
      <c r="B3099" s="3">
        <v>13.41</v>
      </c>
    </row>
    <row r="3100" spans="1:2">
      <c r="A3100" s="4">
        <v>35871</v>
      </c>
      <c r="B3100" s="3">
        <v>13.67</v>
      </c>
    </row>
    <row r="3101" spans="1:2">
      <c r="A3101" s="4">
        <v>35872</v>
      </c>
      <c r="B3101" s="3">
        <v>14.36</v>
      </c>
    </row>
    <row r="3102" spans="1:2">
      <c r="A3102" s="4">
        <v>35873</v>
      </c>
      <c r="B3102" s="3">
        <v>14.43</v>
      </c>
    </row>
    <row r="3103" spans="1:2">
      <c r="A3103" s="4">
        <v>35874</v>
      </c>
      <c r="B3103" s="3">
        <v>14.31</v>
      </c>
    </row>
    <row r="3104" spans="1:2">
      <c r="A3104" s="4">
        <v>35877</v>
      </c>
      <c r="B3104" s="3">
        <v>16.14</v>
      </c>
    </row>
    <row r="3105" spans="1:2">
      <c r="A3105" s="4">
        <v>35878</v>
      </c>
      <c r="B3105" s="3">
        <v>15.52</v>
      </c>
    </row>
    <row r="3106" spans="1:2">
      <c r="A3106" s="4">
        <v>35879</v>
      </c>
      <c r="B3106" s="3">
        <v>16.690000000000001</v>
      </c>
    </row>
    <row r="3107" spans="1:2">
      <c r="A3107" s="4">
        <v>35880</v>
      </c>
      <c r="B3107" s="3">
        <v>16.920000000000002</v>
      </c>
    </row>
    <row r="3108" spans="1:2">
      <c r="A3108" s="4">
        <v>35881</v>
      </c>
      <c r="B3108" s="3">
        <v>16.84</v>
      </c>
    </row>
    <row r="3109" spans="1:2">
      <c r="A3109" s="4">
        <v>35884</v>
      </c>
      <c r="B3109" s="3">
        <v>16.32</v>
      </c>
    </row>
    <row r="3110" spans="1:2">
      <c r="A3110" s="4">
        <v>35885</v>
      </c>
      <c r="B3110" s="3">
        <v>15.75</v>
      </c>
    </row>
    <row r="3111" spans="1:2">
      <c r="A3111" s="4">
        <v>35886</v>
      </c>
      <c r="B3111" s="3">
        <v>15.69</v>
      </c>
    </row>
    <row r="3112" spans="1:2">
      <c r="A3112" s="4">
        <v>35887</v>
      </c>
      <c r="B3112" s="3">
        <v>16.04</v>
      </c>
    </row>
    <row r="3113" spans="1:2">
      <c r="A3113" s="4">
        <v>35888</v>
      </c>
      <c r="B3113" s="3">
        <v>16.079999999999998</v>
      </c>
    </row>
    <row r="3114" spans="1:2">
      <c r="A3114" s="4">
        <v>35891</v>
      </c>
      <c r="B3114" s="3">
        <v>15.48</v>
      </c>
    </row>
    <row r="3115" spans="1:2">
      <c r="A3115" s="4">
        <v>35892</v>
      </c>
      <c r="B3115" s="3">
        <v>15.39</v>
      </c>
    </row>
    <row r="3116" spans="1:2">
      <c r="A3116" s="4">
        <v>35893</v>
      </c>
      <c r="B3116" s="3">
        <v>15.71</v>
      </c>
    </row>
    <row r="3117" spans="1:2">
      <c r="A3117" s="4">
        <v>35894</v>
      </c>
      <c r="B3117" s="3">
        <v>15.61</v>
      </c>
    </row>
    <row r="3118" spans="1:2">
      <c r="A3118" s="4">
        <v>35898</v>
      </c>
      <c r="B3118" s="3">
        <v>15.35</v>
      </c>
    </row>
    <row r="3119" spans="1:2">
      <c r="A3119" s="4">
        <v>35899</v>
      </c>
      <c r="B3119" s="3">
        <v>15.18</v>
      </c>
    </row>
    <row r="3120" spans="1:2">
      <c r="A3120" s="4">
        <v>35900</v>
      </c>
      <c r="B3120" s="3">
        <v>15.64</v>
      </c>
    </row>
    <row r="3121" spans="1:2">
      <c r="A3121" s="4">
        <v>35901</v>
      </c>
      <c r="B3121" s="3">
        <v>15.97</v>
      </c>
    </row>
    <row r="3122" spans="1:2">
      <c r="A3122" s="4">
        <v>35902</v>
      </c>
      <c r="B3122" s="3">
        <v>15.49</v>
      </c>
    </row>
    <row r="3123" spans="1:2">
      <c r="A3123" s="4">
        <v>35905</v>
      </c>
      <c r="B3123" s="3">
        <v>15.52</v>
      </c>
    </row>
    <row r="3124" spans="1:2">
      <c r="A3124" s="4">
        <v>35906</v>
      </c>
      <c r="B3124" s="3">
        <v>15.57</v>
      </c>
    </row>
    <row r="3125" spans="1:2">
      <c r="A3125" s="4">
        <v>35907</v>
      </c>
      <c r="B3125" s="3">
        <v>15.07</v>
      </c>
    </row>
    <row r="3126" spans="1:2">
      <c r="A3126" s="4">
        <v>35908</v>
      </c>
      <c r="B3126" s="3">
        <v>13.09</v>
      </c>
    </row>
    <row r="3127" spans="1:2">
      <c r="A3127" s="4">
        <v>35909</v>
      </c>
      <c r="B3127" s="3">
        <v>13.23</v>
      </c>
    </row>
    <row r="3128" spans="1:2">
      <c r="A3128" s="4">
        <v>35912</v>
      </c>
      <c r="B3128" s="3">
        <v>15.43</v>
      </c>
    </row>
    <row r="3129" spans="1:2">
      <c r="A3129" s="4">
        <v>35913</v>
      </c>
      <c r="B3129" s="3">
        <v>15.9</v>
      </c>
    </row>
    <row r="3130" spans="1:2">
      <c r="A3130" s="4">
        <v>35914</v>
      </c>
      <c r="B3130" s="3">
        <v>15.43</v>
      </c>
    </row>
    <row r="3131" spans="1:2">
      <c r="A3131" s="4">
        <v>35915</v>
      </c>
      <c r="B3131" s="3">
        <v>15.56</v>
      </c>
    </row>
    <row r="3132" spans="1:2">
      <c r="A3132" s="4">
        <v>35916</v>
      </c>
      <c r="B3132" s="3">
        <v>16.25</v>
      </c>
    </row>
    <row r="3133" spans="1:2">
      <c r="A3133" s="4">
        <v>35919</v>
      </c>
      <c r="B3133" s="3">
        <v>15.98</v>
      </c>
    </row>
    <row r="3134" spans="1:2">
      <c r="A3134" s="4">
        <v>35920</v>
      </c>
      <c r="B3134" s="3">
        <v>15.48</v>
      </c>
    </row>
    <row r="3135" spans="1:2">
      <c r="A3135" s="4">
        <v>35921</v>
      </c>
      <c r="B3135" s="3">
        <v>15.45</v>
      </c>
    </row>
    <row r="3136" spans="1:2">
      <c r="A3136" s="4">
        <v>35922</v>
      </c>
      <c r="B3136" s="3">
        <v>15.26</v>
      </c>
    </row>
    <row r="3137" spans="1:2">
      <c r="A3137" s="4">
        <v>35923</v>
      </c>
      <c r="B3137" s="3">
        <v>15.21</v>
      </c>
    </row>
    <row r="3138" spans="1:2">
      <c r="A3138" s="4">
        <v>35926</v>
      </c>
      <c r="B3138" s="3">
        <v>15.26</v>
      </c>
    </row>
    <row r="3139" spans="1:2">
      <c r="A3139" s="4">
        <v>35927</v>
      </c>
      <c r="B3139" s="3">
        <v>15.21</v>
      </c>
    </row>
    <row r="3140" spans="1:2">
      <c r="A3140" s="4">
        <v>35928</v>
      </c>
      <c r="B3140" s="3">
        <v>15.01</v>
      </c>
    </row>
    <row r="3141" spans="1:2">
      <c r="A3141" s="4">
        <v>35929</v>
      </c>
      <c r="B3141" s="3">
        <v>15.15</v>
      </c>
    </row>
    <row r="3142" spans="1:2">
      <c r="A3142" s="4">
        <v>35930</v>
      </c>
      <c r="B3142" s="3">
        <v>14.51</v>
      </c>
    </row>
    <row r="3143" spans="1:2">
      <c r="A3143" s="4">
        <v>35933</v>
      </c>
      <c r="B3143" s="3">
        <v>14.15</v>
      </c>
    </row>
    <row r="3144" spans="1:2">
      <c r="A3144" s="4">
        <v>35934</v>
      </c>
      <c r="B3144" s="3">
        <v>13.01</v>
      </c>
    </row>
    <row r="3145" spans="1:2">
      <c r="A3145" s="4">
        <v>35935</v>
      </c>
      <c r="B3145" s="3">
        <v>13.36</v>
      </c>
    </row>
    <row r="3146" spans="1:2">
      <c r="A3146" s="4">
        <v>35936</v>
      </c>
      <c r="B3146" s="3">
        <v>14.21</v>
      </c>
    </row>
    <row r="3147" spans="1:2">
      <c r="A3147" s="4">
        <v>35937</v>
      </c>
      <c r="B3147" s="3">
        <v>14.81</v>
      </c>
    </row>
    <row r="3148" spans="1:2">
      <c r="A3148" s="4">
        <v>35941</v>
      </c>
      <c r="B3148" s="3">
        <v>14.9</v>
      </c>
    </row>
    <row r="3149" spans="1:2">
      <c r="A3149" s="4">
        <v>35942</v>
      </c>
      <c r="B3149" s="3">
        <v>14.98</v>
      </c>
    </row>
    <row r="3150" spans="1:2">
      <c r="A3150" s="4">
        <v>35943</v>
      </c>
      <c r="B3150" s="3">
        <v>14.88</v>
      </c>
    </row>
    <row r="3151" spans="1:2">
      <c r="A3151" s="4">
        <v>35944</v>
      </c>
      <c r="B3151" s="3">
        <v>15.21</v>
      </c>
    </row>
    <row r="3152" spans="1:2">
      <c r="A3152" s="4">
        <v>35947</v>
      </c>
      <c r="B3152" s="3">
        <v>14.99</v>
      </c>
    </row>
    <row r="3153" spans="1:2">
      <c r="A3153" s="4">
        <v>35948</v>
      </c>
      <c r="B3153" s="3">
        <v>14.81</v>
      </c>
    </row>
    <row r="3154" spans="1:2">
      <c r="A3154" s="4">
        <v>35949</v>
      </c>
      <c r="B3154" s="3">
        <v>14.94</v>
      </c>
    </row>
    <row r="3155" spans="1:2">
      <c r="A3155" s="4">
        <v>35950</v>
      </c>
      <c r="B3155" s="3">
        <v>15.24</v>
      </c>
    </row>
    <row r="3156" spans="1:2">
      <c r="A3156" s="4">
        <v>35951</v>
      </c>
      <c r="B3156" s="3">
        <v>15.13</v>
      </c>
    </row>
    <row r="3157" spans="1:2">
      <c r="A3157" s="4">
        <v>35954</v>
      </c>
      <c r="B3157" s="3">
        <v>14.49</v>
      </c>
    </row>
    <row r="3158" spans="1:2">
      <c r="A3158" s="4">
        <v>35955</v>
      </c>
      <c r="B3158" s="3">
        <v>13.76</v>
      </c>
    </row>
    <row r="3159" spans="1:2">
      <c r="A3159" s="4">
        <v>35956</v>
      </c>
      <c r="B3159" s="3">
        <v>13.54</v>
      </c>
    </row>
    <row r="3160" spans="1:2">
      <c r="A3160" s="4">
        <v>35957</v>
      </c>
      <c r="B3160" s="3">
        <v>12.67</v>
      </c>
    </row>
    <row r="3161" spans="1:2">
      <c r="A3161" s="4">
        <v>35958</v>
      </c>
      <c r="B3161" s="3">
        <v>12.66</v>
      </c>
    </row>
    <row r="3162" spans="1:2">
      <c r="A3162" s="4">
        <v>35961</v>
      </c>
      <c r="B3162" s="3">
        <v>11.69</v>
      </c>
    </row>
    <row r="3163" spans="1:2">
      <c r="A3163" s="4">
        <v>35962</v>
      </c>
      <c r="B3163" s="3">
        <v>12.38</v>
      </c>
    </row>
    <row r="3164" spans="1:2">
      <c r="A3164" s="4">
        <v>35963</v>
      </c>
      <c r="B3164" s="3">
        <v>12.55</v>
      </c>
    </row>
    <row r="3165" spans="1:2">
      <c r="A3165" s="4">
        <v>35964</v>
      </c>
      <c r="B3165" s="3">
        <v>11.8</v>
      </c>
    </row>
    <row r="3166" spans="1:2">
      <c r="A3166" s="4">
        <v>35965</v>
      </c>
      <c r="B3166" s="3">
        <v>11.8</v>
      </c>
    </row>
    <row r="3167" spans="1:2">
      <c r="A3167" s="4">
        <v>35968</v>
      </c>
      <c r="B3167" s="3">
        <v>13.54</v>
      </c>
    </row>
    <row r="3168" spans="1:2">
      <c r="A3168" s="4">
        <v>35969</v>
      </c>
      <c r="B3168" s="3">
        <v>14.65</v>
      </c>
    </row>
    <row r="3169" spans="1:2">
      <c r="A3169" s="4">
        <v>35970</v>
      </c>
      <c r="B3169" s="3">
        <v>14.54</v>
      </c>
    </row>
    <row r="3170" spans="1:2">
      <c r="A3170" s="4">
        <v>35971</v>
      </c>
      <c r="B3170" s="3">
        <v>13.9</v>
      </c>
    </row>
    <row r="3171" spans="1:2">
      <c r="A3171" s="4">
        <v>35972</v>
      </c>
      <c r="B3171" s="3">
        <v>14.21</v>
      </c>
    </row>
    <row r="3172" spans="1:2">
      <c r="A3172" s="4">
        <v>35975</v>
      </c>
      <c r="B3172" s="3">
        <v>14.29</v>
      </c>
    </row>
    <row r="3173" spans="1:2">
      <c r="A3173" s="4">
        <v>35976</v>
      </c>
      <c r="B3173" s="3">
        <v>14.3</v>
      </c>
    </row>
    <row r="3174" spans="1:2">
      <c r="A3174" s="4">
        <v>35977</v>
      </c>
      <c r="B3174" s="3">
        <v>14.47</v>
      </c>
    </row>
    <row r="3175" spans="1:2">
      <c r="A3175" s="4">
        <v>35978</v>
      </c>
      <c r="B3175" s="3">
        <v>14.58</v>
      </c>
    </row>
    <row r="3176" spans="1:2">
      <c r="A3176" s="4">
        <v>35982</v>
      </c>
      <c r="B3176" s="3">
        <v>13.87</v>
      </c>
    </row>
    <row r="3177" spans="1:2">
      <c r="A3177" s="4">
        <v>35983</v>
      </c>
      <c r="B3177" s="3">
        <v>13.83</v>
      </c>
    </row>
    <row r="3178" spans="1:2">
      <c r="A3178" s="4">
        <v>35984</v>
      </c>
      <c r="B3178" s="3">
        <v>14.01</v>
      </c>
    </row>
    <row r="3179" spans="1:2">
      <c r="A3179" s="4">
        <v>35985</v>
      </c>
      <c r="B3179" s="3">
        <v>14.01</v>
      </c>
    </row>
    <row r="3180" spans="1:2">
      <c r="A3180" s="4">
        <v>35986</v>
      </c>
      <c r="B3180" s="3">
        <v>13.96</v>
      </c>
    </row>
    <row r="3181" spans="1:2">
      <c r="A3181" s="4">
        <v>35989</v>
      </c>
      <c r="B3181" s="3">
        <v>14.06</v>
      </c>
    </row>
    <row r="3182" spans="1:2">
      <c r="A3182" s="4">
        <v>35990</v>
      </c>
      <c r="B3182" s="3">
        <v>14.87</v>
      </c>
    </row>
    <row r="3183" spans="1:2">
      <c r="A3183" s="4">
        <v>35991</v>
      </c>
      <c r="B3183" s="3">
        <v>14.9</v>
      </c>
    </row>
    <row r="3184" spans="1:2">
      <c r="A3184" s="4">
        <v>35992</v>
      </c>
      <c r="B3184" s="3">
        <v>14.54</v>
      </c>
    </row>
    <row r="3185" spans="1:2">
      <c r="A3185" s="4">
        <v>35993</v>
      </c>
      <c r="B3185" s="3">
        <v>14.02</v>
      </c>
    </row>
    <row r="3186" spans="1:2">
      <c r="A3186" s="4">
        <v>35996</v>
      </c>
      <c r="B3186" s="3">
        <v>13.44</v>
      </c>
    </row>
    <row r="3187" spans="1:2">
      <c r="A3187" s="4">
        <v>35997</v>
      </c>
      <c r="B3187" s="3">
        <v>13.83</v>
      </c>
    </row>
    <row r="3188" spans="1:2">
      <c r="A3188" s="4">
        <v>35998</v>
      </c>
      <c r="B3188" s="3">
        <v>14.29</v>
      </c>
    </row>
    <row r="3189" spans="1:2">
      <c r="A3189" s="4">
        <v>35999</v>
      </c>
      <c r="B3189" s="3">
        <v>13.97</v>
      </c>
    </row>
    <row r="3190" spans="1:2">
      <c r="A3190" s="4">
        <v>36000</v>
      </c>
      <c r="B3190" s="3">
        <v>13.93</v>
      </c>
    </row>
    <row r="3191" spans="1:2">
      <c r="A3191" s="4">
        <v>36003</v>
      </c>
      <c r="B3191" s="3">
        <v>14.37</v>
      </c>
    </row>
    <row r="3192" spans="1:2">
      <c r="A3192" s="4">
        <v>36004</v>
      </c>
      <c r="B3192" s="3">
        <v>14.2</v>
      </c>
    </row>
    <row r="3193" spans="1:2">
      <c r="A3193" s="4">
        <v>36005</v>
      </c>
      <c r="B3193" s="3">
        <v>14.13</v>
      </c>
    </row>
    <row r="3194" spans="1:2">
      <c r="A3194" s="4">
        <v>36006</v>
      </c>
      <c r="B3194" s="3">
        <v>14.25</v>
      </c>
    </row>
    <row r="3195" spans="1:2">
      <c r="A3195" s="4">
        <v>36007</v>
      </c>
      <c r="B3195" s="3">
        <v>14.27</v>
      </c>
    </row>
    <row r="3196" spans="1:2">
      <c r="A3196" s="4">
        <v>36010</v>
      </c>
      <c r="B3196" s="3">
        <v>13.93</v>
      </c>
    </row>
    <row r="3197" spans="1:2">
      <c r="A3197" s="4">
        <v>36011</v>
      </c>
      <c r="B3197" s="3">
        <v>13.69</v>
      </c>
    </row>
    <row r="3198" spans="1:2">
      <c r="A3198" s="4">
        <v>36012</v>
      </c>
      <c r="B3198" s="3">
        <v>13.8</v>
      </c>
    </row>
    <row r="3199" spans="1:2">
      <c r="A3199" s="4">
        <v>36013</v>
      </c>
      <c r="B3199" s="3">
        <v>13.87</v>
      </c>
    </row>
    <row r="3200" spans="1:2">
      <c r="A3200" s="4">
        <v>36014</v>
      </c>
      <c r="B3200" s="3">
        <v>13.85</v>
      </c>
    </row>
    <row r="3201" spans="1:2">
      <c r="A3201" s="4">
        <v>36017</v>
      </c>
      <c r="B3201" s="3">
        <v>13.11</v>
      </c>
    </row>
    <row r="3202" spans="1:2">
      <c r="A3202" s="4">
        <v>36018</v>
      </c>
      <c r="B3202" s="3">
        <v>12.87</v>
      </c>
    </row>
    <row r="3203" spans="1:2">
      <c r="A3203" s="4">
        <v>36019</v>
      </c>
      <c r="B3203" s="3">
        <v>12.76</v>
      </c>
    </row>
    <row r="3204" spans="1:2">
      <c r="A3204" s="4">
        <v>36020</v>
      </c>
      <c r="B3204" s="3">
        <v>13.44</v>
      </c>
    </row>
    <row r="3205" spans="1:2">
      <c r="A3205" s="4">
        <v>36021</v>
      </c>
      <c r="B3205" s="3">
        <v>13.4</v>
      </c>
    </row>
    <row r="3206" spans="1:2">
      <c r="A3206" s="4">
        <v>36024</v>
      </c>
      <c r="B3206" s="3">
        <v>13.26</v>
      </c>
    </row>
    <row r="3207" spans="1:2">
      <c r="A3207" s="4">
        <v>36025</v>
      </c>
      <c r="B3207" s="3">
        <v>13.13</v>
      </c>
    </row>
    <row r="3208" spans="1:2">
      <c r="A3208" s="4">
        <v>36026</v>
      </c>
      <c r="B3208" s="3">
        <v>13.21</v>
      </c>
    </row>
    <row r="3209" spans="1:2">
      <c r="A3209" s="4">
        <v>36027</v>
      </c>
      <c r="B3209" s="3">
        <v>13.62</v>
      </c>
    </row>
    <row r="3210" spans="1:2">
      <c r="A3210" s="4">
        <v>36028</v>
      </c>
      <c r="B3210" s="3">
        <v>13.44</v>
      </c>
    </row>
    <row r="3211" spans="1:2">
      <c r="A3211" s="4">
        <v>36031</v>
      </c>
      <c r="B3211" s="3">
        <v>13.78</v>
      </c>
    </row>
    <row r="3212" spans="1:2">
      <c r="A3212" s="4">
        <v>36032</v>
      </c>
      <c r="B3212" s="3">
        <v>13.9</v>
      </c>
    </row>
    <row r="3213" spans="1:2">
      <c r="A3213" s="4">
        <v>36033</v>
      </c>
      <c r="B3213" s="3">
        <v>13.67</v>
      </c>
    </row>
    <row r="3214" spans="1:2">
      <c r="A3214" s="4">
        <v>36034</v>
      </c>
      <c r="B3214" s="3">
        <v>13.35</v>
      </c>
    </row>
    <row r="3215" spans="1:2">
      <c r="A3215" s="4">
        <v>36035</v>
      </c>
      <c r="B3215" s="3">
        <v>13.54</v>
      </c>
    </row>
    <row r="3216" spans="1:2">
      <c r="A3216" s="4">
        <v>36038</v>
      </c>
      <c r="B3216" s="3">
        <v>13.29</v>
      </c>
    </row>
    <row r="3217" spans="1:2">
      <c r="A3217" s="4">
        <v>36039</v>
      </c>
      <c r="B3217" s="3">
        <v>13.62</v>
      </c>
    </row>
    <row r="3218" spans="1:2">
      <c r="A3218" s="4">
        <v>36040</v>
      </c>
      <c r="B3218" s="3">
        <v>13.72</v>
      </c>
    </row>
    <row r="3219" spans="1:2">
      <c r="A3219" s="4">
        <v>36041</v>
      </c>
      <c r="B3219" s="3">
        <v>14.7</v>
      </c>
    </row>
    <row r="3220" spans="1:2">
      <c r="A3220" s="4">
        <v>36042</v>
      </c>
      <c r="B3220" s="3">
        <v>14.59</v>
      </c>
    </row>
    <row r="3221" spans="1:2">
      <c r="A3221" s="4">
        <v>36046</v>
      </c>
      <c r="B3221" s="3">
        <v>14.34</v>
      </c>
    </row>
    <row r="3222" spans="1:2">
      <c r="A3222" s="4">
        <v>36047</v>
      </c>
      <c r="B3222" s="3">
        <v>14.37</v>
      </c>
    </row>
    <row r="3223" spans="1:2">
      <c r="A3223" s="4">
        <v>36048</v>
      </c>
      <c r="B3223" s="3">
        <v>14.71</v>
      </c>
    </row>
    <row r="3224" spans="1:2">
      <c r="A3224" s="4">
        <v>36049</v>
      </c>
      <c r="B3224" s="3">
        <v>14.39</v>
      </c>
    </row>
    <row r="3225" spans="1:2">
      <c r="A3225" s="4">
        <v>36052</v>
      </c>
      <c r="B3225" s="3">
        <v>14.46</v>
      </c>
    </row>
    <row r="3226" spans="1:2">
      <c r="A3226" s="4">
        <v>36053</v>
      </c>
      <c r="B3226" s="3">
        <v>14.72</v>
      </c>
    </row>
    <row r="3227" spans="1:2">
      <c r="A3227" s="4">
        <v>36054</v>
      </c>
      <c r="B3227" s="3">
        <v>14.6</v>
      </c>
    </row>
    <row r="3228" spans="1:2">
      <c r="A3228" s="4">
        <v>36055</v>
      </c>
      <c r="B3228" s="3">
        <v>15.07</v>
      </c>
    </row>
    <row r="3229" spans="1:2">
      <c r="A3229" s="4">
        <v>36056</v>
      </c>
      <c r="B3229" s="3">
        <v>15.53</v>
      </c>
    </row>
    <row r="3230" spans="1:2">
      <c r="A3230" s="4">
        <v>36059</v>
      </c>
      <c r="B3230" s="3">
        <v>15.58</v>
      </c>
    </row>
    <row r="3231" spans="1:2">
      <c r="A3231" s="4">
        <v>36060</v>
      </c>
      <c r="B3231" s="3">
        <v>15.73</v>
      </c>
    </row>
    <row r="3232" spans="1:2">
      <c r="A3232" s="4">
        <v>36061</v>
      </c>
      <c r="B3232" s="3">
        <v>15.8</v>
      </c>
    </row>
    <row r="3233" spans="1:2">
      <c r="A3233" s="4">
        <v>36062</v>
      </c>
      <c r="B3233" s="3">
        <v>15.99</v>
      </c>
    </row>
    <row r="3234" spans="1:2">
      <c r="A3234" s="4">
        <v>36063</v>
      </c>
      <c r="B3234" s="3">
        <v>15.8</v>
      </c>
    </row>
    <row r="3235" spans="1:2">
      <c r="A3235" s="4">
        <v>36066</v>
      </c>
      <c r="B3235" s="3">
        <v>15.74</v>
      </c>
    </row>
    <row r="3236" spans="1:2">
      <c r="A3236" s="4">
        <v>36067</v>
      </c>
      <c r="B3236" s="3">
        <v>16.010000000000002</v>
      </c>
    </row>
    <row r="3237" spans="1:2">
      <c r="A3237" s="4">
        <v>36068</v>
      </c>
      <c r="B3237" s="3">
        <v>16.190000000000001</v>
      </c>
    </row>
    <row r="3238" spans="1:2">
      <c r="A3238" s="4">
        <v>36069</v>
      </c>
      <c r="B3238" s="3">
        <v>15.52</v>
      </c>
    </row>
    <row r="3239" spans="1:2">
      <c r="A3239" s="4">
        <v>36070</v>
      </c>
      <c r="B3239" s="3">
        <v>15.71</v>
      </c>
    </row>
    <row r="3240" spans="1:2">
      <c r="A3240" s="4">
        <v>36073</v>
      </c>
      <c r="B3240" s="3">
        <v>15.24</v>
      </c>
    </row>
    <row r="3241" spans="1:2">
      <c r="A3241" s="4">
        <v>36074</v>
      </c>
      <c r="B3241" s="3">
        <v>15.6</v>
      </c>
    </row>
    <row r="3242" spans="1:2">
      <c r="A3242" s="4">
        <v>36075</v>
      </c>
      <c r="B3242" s="3">
        <v>15.03</v>
      </c>
    </row>
    <row r="3243" spans="1:2">
      <c r="A3243" s="4">
        <v>36076</v>
      </c>
      <c r="B3243" s="3">
        <v>14.57</v>
      </c>
    </row>
    <row r="3244" spans="1:2">
      <c r="A3244" s="4">
        <v>36077</v>
      </c>
      <c r="B3244" s="3">
        <v>14.64</v>
      </c>
    </row>
    <row r="3245" spans="1:2">
      <c r="A3245" s="4">
        <v>36080</v>
      </c>
      <c r="B3245" s="3">
        <v>14.47</v>
      </c>
    </row>
    <row r="3246" spans="1:2">
      <c r="A3246" s="4">
        <v>36081</v>
      </c>
      <c r="B3246" s="3">
        <v>14.27</v>
      </c>
    </row>
    <row r="3247" spans="1:2">
      <c r="A3247" s="4">
        <v>36082</v>
      </c>
      <c r="B3247" s="3">
        <v>14.09</v>
      </c>
    </row>
    <row r="3248" spans="1:2">
      <c r="A3248" s="4">
        <v>36083</v>
      </c>
      <c r="B3248" s="3">
        <v>14.08</v>
      </c>
    </row>
    <row r="3249" spans="1:2">
      <c r="A3249" s="4">
        <v>36084</v>
      </c>
      <c r="B3249" s="3">
        <v>14.16</v>
      </c>
    </row>
    <row r="3250" spans="1:2">
      <c r="A3250" s="4">
        <v>36087</v>
      </c>
      <c r="B3250" s="3">
        <v>13.39</v>
      </c>
    </row>
    <row r="3251" spans="1:2">
      <c r="A3251" s="4">
        <v>36088</v>
      </c>
      <c r="B3251" s="3">
        <v>13.45</v>
      </c>
    </row>
    <row r="3252" spans="1:2">
      <c r="A3252" s="4">
        <v>36089</v>
      </c>
      <c r="B3252" s="3">
        <v>14.14</v>
      </c>
    </row>
    <row r="3253" spans="1:2">
      <c r="A3253" s="4">
        <v>36090</v>
      </c>
      <c r="B3253" s="3">
        <v>14</v>
      </c>
    </row>
    <row r="3254" spans="1:2">
      <c r="A3254" s="4">
        <v>36091</v>
      </c>
      <c r="B3254" s="3">
        <v>14.06</v>
      </c>
    </row>
    <row r="3255" spans="1:2">
      <c r="A3255" s="4">
        <v>36094</v>
      </c>
      <c r="B3255" s="3">
        <v>14.39</v>
      </c>
    </row>
    <row r="3256" spans="1:2">
      <c r="A3256" s="4">
        <v>36095</v>
      </c>
      <c r="B3256" s="3">
        <v>14.19</v>
      </c>
    </row>
    <row r="3257" spans="1:2">
      <c r="A3257" s="4">
        <v>36096</v>
      </c>
      <c r="B3257" s="3">
        <v>14.35</v>
      </c>
    </row>
    <row r="3258" spans="1:2">
      <c r="A3258" s="4">
        <v>36097</v>
      </c>
      <c r="B3258" s="3">
        <v>14.31</v>
      </c>
    </row>
    <row r="3259" spans="1:2">
      <c r="A3259" s="4">
        <v>36098</v>
      </c>
      <c r="B3259" s="3">
        <v>14.48</v>
      </c>
    </row>
    <row r="3260" spans="1:2">
      <c r="A3260" s="4">
        <v>36101</v>
      </c>
      <c r="B3260" s="3">
        <v>14.45</v>
      </c>
    </row>
    <row r="3261" spans="1:2">
      <c r="A3261" s="4">
        <v>36102</v>
      </c>
      <c r="B3261" s="3">
        <v>14.24</v>
      </c>
    </row>
    <row r="3262" spans="1:2">
      <c r="A3262" s="4">
        <v>36103</v>
      </c>
      <c r="B3262" s="3">
        <v>14.09</v>
      </c>
    </row>
    <row r="3263" spans="1:2">
      <c r="A3263" s="4">
        <v>36104</v>
      </c>
      <c r="B3263" s="3">
        <v>13.93</v>
      </c>
    </row>
    <row r="3264" spans="1:2">
      <c r="A3264" s="4">
        <v>36105</v>
      </c>
      <c r="B3264" s="3">
        <v>13.93</v>
      </c>
    </row>
    <row r="3265" spans="1:2">
      <c r="A3265" s="4">
        <v>36108</v>
      </c>
      <c r="B3265" s="3">
        <v>13.39</v>
      </c>
    </row>
    <row r="3266" spans="1:2">
      <c r="A3266" s="4">
        <v>36109</v>
      </c>
      <c r="B3266" s="3">
        <v>13.54</v>
      </c>
    </row>
    <row r="3267" spans="1:2">
      <c r="A3267" s="4">
        <v>36110</v>
      </c>
      <c r="B3267" s="3">
        <v>13.63</v>
      </c>
    </row>
    <row r="3268" spans="1:2">
      <c r="A3268" s="4">
        <v>36111</v>
      </c>
      <c r="B3268" s="3">
        <v>14.04</v>
      </c>
    </row>
    <row r="3269" spans="1:2">
      <c r="A3269" s="4">
        <v>36112</v>
      </c>
      <c r="B3269" s="3">
        <v>13.57</v>
      </c>
    </row>
    <row r="3270" spans="1:2">
      <c r="A3270" s="4">
        <v>36115</v>
      </c>
      <c r="B3270" s="3">
        <v>12.81</v>
      </c>
    </row>
    <row r="3271" spans="1:2">
      <c r="A3271" s="4">
        <v>36116</v>
      </c>
      <c r="B3271" s="3">
        <v>12.46</v>
      </c>
    </row>
    <row r="3272" spans="1:2">
      <c r="A3272" s="4">
        <v>36117</v>
      </c>
      <c r="B3272" s="3">
        <v>12.33</v>
      </c>
    </row>
    <row r="3273" spans="1:2">
      <c r="A3273" s="4">
        <v>36118</v>
      </c>
      <c r="B3273" s="3">
        <v>12.21</v>
      </c>
    </row>
    <row r="3274" spans="1:2">
      <c r="A3274" s="4">
        <v>36119</v>
      </c>
      <c r="B3274" s="3">
        <v>12.2</v>
      </c>
    </row>
    <row r="3275" spans="1:2">
      <c r="A3275" s="4">
        <v>36122</v>
      </c>
      <c r="B3275" s="3">
        <v>12.51</v>
      </c>
    </row>
    <row r="3276" spans="1:2">
      <c r="A3276" s="4">
        <v>36123</v>
      </c>
      <c r="B3276" s="3">
        <v>11.48</v>
      </c>
    </row>
    <row r="3277" spans="1:2">
      <c r="A3277" s="4">
        <v>36124</v>
      </c>
      <c r="B3277" s="3">
        <v>10.86</v>
      </c>
    </row>
    <row r="3278" spans="1:2">
      <c r="A3278" s="4">
        <v>36129</v>
      </c>
      <c r="B3278" s="3">
        <v>11.37</v>
      </c>
    </row>
    <row r="3279" spans="1:2">
      <c r="A3279" s="4">
        <v>36130</v>
      </c>
      <c r="B3279" s="3">
        <v>11.27</v>
      </c>
    </row>
    <row r="3280" spans="1:2">
      <c r="A3280" s="4">
        <v>36131</v>
      </c>
      <c r="B3280" s="3">
        <v>11.31</v>
      </c>
    </row>
    <row r="3281" spans="1:2">
      <c r="A3281" s="4">
        <v>36132</v>
      </c>
      <c r="B3281" s="3">
        <v>11.25</v>
      </c>
    </row>
    <row r="3282" spans="1:2">
      <c r="A3282" s="4">
        <v>36133</v>
      </c>
      <c r="B3282" s="3">
        <v>11.2</v>
      </c>
    </row>
    <row r="3283" spans="1:2">
      <c r="A3283" s="4">
        <v>36136</v>
      </c>
      <c r="B3283" s="3">
        <v>11.61</v>
      </c>
    </row>
    <row r="3284" spans="1:2">
      <c r="A3284" s="4">
        <v>36137</v>
      </c>
      <c r="B3284" s="3">
        <v>11.33</v>
      </c>
    </row>
    <row r="3285" spans="1:2">
      <c r="A3285" s="4">
        <v>36138</v>
      </c>
      <c r="B3285" s="3">
        <v>11.2</v>
      </c>
    </row>
    <row r="3286" spans="1:2">
      <c r="A3286" s="4">
        <v>36139</v>
      </c>
      <c r="B3286" s="3">
        <v>10.82</v>
      </c>
    </row>
    <row r="3287" spans="1:2">
      <c r="A3287" s="4">
        <v>36140</v>
      </c>
      <c r="B3287" s="3">
        <v>10.86</v>
      </c>
    </row>
    <row r="3288" spans="1:2">
      <c r="A3288" s="4">
        <v>36143</v>
      </c>
      <c r="B3288" s="3">
        <v>11.3</v>
      </c>
    </row>
    <row r="3289" spans="1:2">
      <c r="A3289" s="4">
        <v>36144</v>
      </c>
      <c r="B3289" s="3">
        <v>11.64</v>
      </c>
    </row>
    <row r="3290" spans="1:2">
      <c r="A3290" s="4">
        <v>36145</v>
      </c>
      <c r="B3290" s="3">
        <v>12.55</v>
      </c>
    </row>
    <row r="3291" spans="1:2">
      <c r="A3291" s="4">
        <v>36146</v>
      </c>
      <c r="B3291" s="3">
        <v>11.05</v>
      </c>
    </row>
    <row r="3292" spans="1:2">
      <c r="A3292" s="4">
        <v>36147</v>
      </c>
      <c r="B3292" s="3">
        <v>10.95</v>
      </c>
    </row>
    <row r="3293" spans="1:2">
      <c r="A3293" s="4">
        <v>36150</v>
      </c>
      <c r="B3293" s="3">
        <v>10.86</v>
      </c>
    </row>
    <row r="3294" spans="1:2">
      <c r="A3294" s="4">
        <v>36151</v>
      </c>
      <c r="B3294" s="3">
        <v>10.99</v>
      </c>
    </row>
    <row r="3295" spans="1:2">
      <c r="A3295" s="4">
        <v>36152</v>
      </c>
      <c r="B3295" s="3">
        <v>11.12</v>
      </c>
    </row>
    <row r="3296" spans="1:2">
      <c r="A3296" s="4">
        <v>36153</v>
      </c>
      <c r="B3296" s="3">
        <v>11.03</v>
      </c>
    </row>
    <row r="3297" spans="1:2">
      <c r="A3297" s="4">
        <v>36157</v>
      </c>
      <c r="B3297" s="3">
        <v>11.59</v>
      </c>
    </row>
    <row r="3298" spans="1:2">
      <c r="A3298" s="4">
        <v>36158</v>
      </c>
      <c r="B3298" s="3">
        <v>11.82</v>
      </c>
    </row>
    <row r="3299" spans="1:2">
      <c r="A3299" s="4">
        <v>36159</v>
      </c>
      <c r="B3299" s="3">
        <v>11.75</v>
      </c>
    </row>
    <row r="3300" spans="1:2">
      <c r="A3300" s="4">
        <v>36160</v>
      </c>
      <c r="B3300" s="3">
        <v>12.14</v>
      </c>
    </row>
    <row r="3301" spans="1:2">
      <c r="A3301" s="4">
        <v>36164</v>
      </c>
      <c r="B3301" s="3">
        <v>12.42</v>
      </c>
    </row>
    <row r="3302" spans="1:2">
      <c r="A3302" s="4">
        <v>36165</v>
      </c>
      <c r="B3302" s="3">
        <v>12.04</v>
      </c>
    </row>
    <row r="3303" spans="1:2">
      <c r="A3303" s="4">
        <v>36166</v>
      </c>
      <c r="B3303" s="3">
        <v>12.84</v>
      </c>
    </row>
    <row r="3304" spans="1:2">
      <c r="A3304" s="4">
        <v>36167</v>
      </c>
      <c r="B3304" s="3">
        <v>12.99</v>
      </c>
    </row>
    <row r="3305" spans="1:2">
      <c r="A3305" s="4">
        <v>36168</v>
      </c>
      <c r="B3305" s="3">
        <v>13.06</v>
      </c>
    </row>
    <row r="3306" spans="1:2">
      <c r="A3306" s="4">
        <v>36171</v>
      </c>
      <c r="B3306" s="3">
        <v>13.43</v>
      </c>
    </row>
    <row r="3307" spans="1:2">
      <c r="A3307" s="4">
        <v>36172</v>
      </c>
      <c r="B3307" s="3">
        <v>12.91</v>
      </c>
    </row>
    <row r="3308" spans="1:2">
      <c r="A3308" s="4">
        <v>36173</v>
      </c>
      <c r="B3308" s="3">
        <v>12.33</v>
      </c>
    </row>
    <row r="3309" spans="1:2">
      <c r="A3309" s="4">
        <v>36174</v>
      </c>
      <c r="B3309" s="3">
        <v>12.23</v>
      </c>
    </row>
    <row r="3310" spans="1:2">
      <c r="A3310" s="4">
        <v>36175</v>
      </c>
      <c r="B3310" s="3">
        <v>12.21</v>
      </c>
    </row>
    <row r="3311" spans="1:2">
      <c r="A3311" s="4">
        <v>36179</v>
      </c>
      <c r="B3311" s="3">
        <v>12.13</v>
      </c>
    </row>
    <row r="3312" spans="1:2">
      <c r="A3312" s="4">
        <v>36180</v>
      </c>
      <c r="B3312" s="3">
        <v>11.82</v>
      </c>
    </row>
    <row r="3313" spans="1:2">
      <c r="A3313" s="4">
        <v>36181</v>
      </c>
      <c r="B3313" s="3">
        <v>12.45</v>
      </c>
    </row>
    <row r="3314" spans="1:2">
      <c r="A3314" s="4">
        <v>36182</v>
      </c>
      <c r="B3314" s="3">
        <v>12.62</v>
      </c>
    </row>
    <row r="3315" spans="1:2">
      <c r="A3315" s="4">
        <v>36185</v>
      </c>
      <c r="B3315" s="3">
        <v>12.41</v>
      </c>
    </row>
    <row r="3316" spans="1:2">
      <c r="A3316" s="4">
        <v>36186</v>
      </c>
      <c r="B3316" s="3">
        <v>12.16</v>
      </c>
    </row>
    <row r="3317" spans="1:2">
      <c r="A3317" s="4">
        <v>36187</v>
      </c>
      <c r="B3317" s="3">
        <v>12.4</v>
      </c>
    </row>
    <row r="3318" spans="1:2">
      <c r="A3318" s="4">
        <v>36188</v>
      </c>
      <c r="B3318" s="3">
        <v>12.52</v>
      </c>
    </row>
    <row r="3319" spans="1:2">
      <c r="A3319" s="4">
        <v>36189</v>
      </c>
      <c r="B3319" s="3">
        <v>12.81</v>
      </c>
    </row>
    <row r="3320" spans="1:2">
      <c r="A3320" s="4">
        <v>36192</v>
      </c>
      <c r="B3320" s="3">
        <v>12.36</v>
      </c>
    </row>
    <row r="3321" spans="1:2">
      <c r="A3321" s="4">
        <v>36193</v>
      </c>
      <c r="B3321" s="3">
        <v>12.21</v>
      </c>
    </row>
    <row r="3322" spans="1:2">
      <c r="A3322" s="4">
        <v>36194</v>
      </c>
      <c r="B3322" s="3">
        <v>12.42</v>
      </c>
    </row>
    <row r="3323" spans="1:2">
      <c r="A3323" s="4">
        <v>36195</v>
      </c>
      <c r="B3323" s="3">
        <v>11.94</v>
      </c>
    </row>
    <row r="3324" spans="1:2">
      <c r="A3324" s="4">
        <v>36196</v>
      </c>
      <c r="B3324" s="3">
        <v>11.85</v>
      </c>
    </row>
    <row r="3325" spans="1:2">
      <c r="A3325" s="4">
        <v>36199</v>
      </c>
      <c r="B3325" s="3">
        <v>11.65</v>
      </c>
    </row>
    <row r="3326" spans="1:2">
      <c r="A3326" s="4">
        <v>36200</v>
      </c>
      <c r="B3326" s="3">
        <v>11.66</v>
      </c>
    </row>
    <row r="3327" spans="1:2">
      <c r="A3327" s="4">
        <v>36201</v>
      </c>
      <c r="B3327" s="3">
        <v>11.88</v>
      </c>
    </row>
    <row r="3328" spans="1:2">
      <c r="A3328" s="4">
        <v>36202</v>
      </c>
      <c r="B3328" s="3">
        <v>11.94</v>
      </c>
    </row>
    <row r="3329" spans="1:2">
      <c r="A3329" s="4">
        <v>36203</v>
      </c>
      <c r="B3329" s="3">
        <v>11.9</v>
      </c>
    </row>
    <row r="3330" spans="1:2">
      <c r="A3330" s="4">
        <v>36207</v>
      </c>
      <c r="B3330" s="3">
        <v>11.38</v>
      </c>
    </row>
    <row r="3331" spans="1:2">
      <c r="A3331" s="4">
        <v>36208</v>
      </c>
      <c r="B3331" s="3">
        <v>11.49</v>
      </c>
    </row>
    <row r="3332" spans="1:2">
      <c r="A3332" s="4">
        <v>36209</v>
      </c>
      <c r="B3332" s="3">
        <v>11.97</v>
      </c>
    </row>
    <row r="3333" spans="1:2">
      <c r="A3333" s="4">
        <v>36210</v>
      </c>
      <c r="B3333" s="3">
        <v>11.79</v>
      </c>
    </row>
    <row r="3334" spans="1:2">
      <c r="A3334" s="4">
        <v>36213</v>
      </c>
      <c r="B3334" s="3">
        <v>11.97</v>
      </c>
    </row>
    <row r="3335" spans="1:2">
      <c r="A3335" s="4">
        <v>36214</v>
      </c>
      <c r="B3335" s="3">
        <v>12.44</v>
      </c>
    </row>
    <row r="3336" spans="1:2">
      <c r="A3336" s="4">
        <v>36215</v>
      </c>
      <c r="B3336" s="3">
        <v>12.49</v>
      </c>
    </row>
    <row r="3337" spans="1:2">
      <c r="A3337" s="4">
        <v>36216</v>
      </c>
      <c r="B3337" s="3">
        <v>12.61</v>
      </c>
    </row>
    <row r="3338" spans="1:2">
      <c r="A3338" s="4">
        <v>36217</v>
      </c>
      <c r="B3338" s="3">
        <v>12.31</v>
      </c>
    </row>
    <row r="3339" spans="1:2">
      <c r="A3339" s="4">
        <v>36220</v>
      </c>
      <c r="B3339" s="3">
        <v>12.28</v>
      </c>
    </row>
    <row r="3340" spans="1:2">
      <c r="A3340" s="4">
        <v>36221</v>
      </c>
      <c r="B3340" s="3">
        <v>12.66</v>
      </c>
    </row>
    <row r="3341" spans="1:2">
      <c r="A3341" s="4">
        <v>36222</v>
      </c>
      <c r="B3341" s="3">
        <v>12.92</v>
      </c>
    </row>
    <row r="3342" spans="1:2">
      <c r="A3342" s="4">
        <v>36223</v>
      </c>
      <c r="B3342" s="3">
        <v>13.32</v>
      </c>
    </row>
    <row r="3343" spans="1:2">
      <c r="A3343" s="4">
        <v>36224</v>
      </c>
      <c r="B3343" s="3">
        <v>13.33</v>
      </c>
    </row>
    <row r="3344" spans="1:2">
      <c r="A3344" s="4">
        <v>36227</v>
      </c>
      <c r="B3344" s="3">
        <v>13.63</v>
      </c>
    </row>
    <row r="3345" spans="1:2">
      <c r="A3345" s="4">
        <v>36228</v>
      </c>
      <c r="B3345" s="3">
        <v>13.78</v>
      </c>
    </row>
    <row r="3346" spans="1:2">
      <c r="A3346" s="4">
        <v>36229</v>
      </c>
      <c r="B3346" s="3">
        <v>14.74</v>
      </c>
    </row>
    <row r="3347" spans="1:2">
      <c r="A3347" s="4">
        <v>36230</v>
      </c>
      <c r="B3347" s="3">
        <v>14.3</v>
      </c>
    </row>
    <row r="3348" spans="1:2">
      <c r="A3348" s="4">
        <v>36231</v>
      </c>
      <c r="B3348" s="3">
        <v>14.51</v>
      </c>
    </row>
    <row r="3349" spans="1:2">
      <c r="A3349" s="4">
        <v>36234</v>
      </c>
      <c r="B3349" s="3">
        <v>14.48</v>
      </c>
    </row>
    <row r="3350" spans="1:2">
      <c r="A3350" s="4">
        <v>36235</v>
      </c>
      <c r="B3350" s="3">
        <v>14.6</v>
      </c>
    </row>
    <row r="3351" spans="1:2">
      <c r="A3351" s="4">
        <v>36236</v>
      </c>
      <c r="B3351" s="3">
        <v>15.11</v>
      </c>
    </row>
    <row r="3352" spans="1:2">
      <c r="A3352" s="4">
        <v>36237</v>
      </c>
      <c r="B3352" s="3">
        <v>15.11</v>
      </c>
    </row>
    <row r="3353" spans="1:2">
      <c r="A3353" s="4">
        <v>36238</v>
      </c>
      <c r="B3353" s="3">
        <v>15.26</v>
      </c>
    </row>
    <row r="3354" spans="1:2">
      <c r="A3354" s="4">
        <v>36241</v>
      </c>
      <c r="B3354" s="3">
        <v>15.39</v>
      </c>
    </row>
    <row r="3355" spans="1:2">
      <c r="A3355" s="4">
        <v>36242</v>
      </c>
      <c r="B3355" s="3">
        <v>15.36</v>
      </c>
    </row>
    <row r="3356" spans="1:2">
      <c r="A3356" s="4">
        <v>36243</v>
      </c>
      <c r="B3356" s="3">
        <v>15.18</v>
      </c>
    </row>
    <row r="3357" spans="1:2">
      <c r="A3357" s="4">
        <v>36244</v>
      </c>
      <c r="B3357" s="3">
        <v>15.66</v>
      </c>
    </row>
    <row r="3358" spans="1:2">
      <c r="A3358" s="4">
        <v>36245</v>
      </c>
      <c r="B3358" s="3">
        <v>16.16</v>
      </c>
    </row>
    <row r="3359" spans="1:2">
      <c r="A3359" s="4">
        <v>36248</v>
      </c>
      <c r="B3359" s="3">
        <v>16.46</v>
      </c>
    </row>
    <row r="3360" spans="1:2">
      <c r="A3360" s="4">
        <v>36249</v>
      </c>
      <c r="B3360" s="3">
        <v>16.66</v>
      </c>
    </row>
    <row r="3361" spans="1:2">
      <c r="A3361" s="4">
        <v>36250</v>
      </c>
      <c r="B3361" s="3">
        <v>16.66</v>
      </c>
    </row>
    <row r="3362" spans="1:2">
      <c r="A3362" s="4">
        <v>36251</v>
      </c>
      <c r="B3362" s="3">
        <v>16.649999999999999</v>
      </c>
    </row>
    <row r="3363" spans="1:2">
      <c r="A3363" s="4">
        <v>36255</v>
      </c>
      <c r="B3363" s="3">
        <v>16.940000000000001</v>
      </c>
    </row>
    <row r="3364" spans="1:2">
      <c r="A3364" s="4">
        <v>36256</v>
      </c>
      <c r="B3364" s="3">
        <v>16.79</v>
      </c>
    </row>
    <row r="3365" spans="1:2">
      <c r="A3365" s="4">
        <v>36257</v>
      </c>
      <c r="B3365" s="3">
        <v>16.02</v>
      </c>
    </row>
    <row r="3366" spans="1:2">
      <c r="A3366" s="4">
        <v>36258</v>
      </c>
      <c r="B3366" s="3">
        <v>15.92</v>
      </c>
    </row>
    <row r="3367" spans="1:2">
      <c r="A3367" s="4">
        <v>36259</v>
      </c>
      <c r="B3367" s="3">
        <v>16.59</v>
      </c>
    </row>
    <row r="3368" spans="1:2">
      <c r="A3368" s="4">
        <v>36262</v>
      </c>
      <c r="B3368" s="3">
        <v>16.440000000000001</v>
      </c>
    </row>
    <row r="3369" spans="1:2">
      <c r="A3369" s="4">
        <v>36263</v>
      </c>
      <c r="B3369" s="3">
        <v>16.73</v>
      </c>
    </row>
    <row r="3370" spans="1:2">
      <c r="A3370" s="4">
        <v>36264</v>
      </c>
      <c r="B3370" s="3">
        <v>16.510000000000002</v>
      </c>
    </row>
    <row r="3371" spans="1:2">
      <c r="A3371" s="4">
        <v>36265</v>
      </c>
      <c r="B3371" s="3">
        <v>16.850000000000001</v>
      </c>
    </row>
    <row r="3372" spans="1:2">
      <c r="A3372" s="4">
        <v>36266</v>
      </c>
      <c r="B3372" s="3">
        <v>17.34</v>
      </c>
    </row>
    <row r="3373" spans="1:2">
      <c r="A3373" s="4">
        <v>36269</v>
      </c>
      <c r="B3373" s="3">
        <v>17.82</v>
      </c>
    </row>
    <row r="3374" spans="1:2">
      <c r="A3374" s="4">
        <v>36270</v>
      </c>
      <c r="B3374" s="3">
        <v>17.79</v>
      </c>
    </row>
    <row r="3375" spans="1:2">
      <c r="A3375" s="4">
        <v>36271</v>
      </c>
      <c r="B3375" s="3">
        <v>18.05</v>
      </c>
    </row>
    <row r="3376" spans="1:2">
      <c r="A3376" s="4">
        <v>36272</v>
      </c>
      <c r="B3376" s="3">
        <v>18.02</v>
      </c>
    </row>
    <row r="3377" spans="1:2">
      <c r="A3377" s="4">
        <v>36273</v>
      </c>
      <c r="B3377" s="3">
        <v>17.96</v>
      </c>
    </row>
    <row r="3378" spans="1:2">
      <c r="A3378" s="4">
        <v>36276</v>
      </c>
      <c r="B3378" s="3">
        <v>17.670000000000002</v>
      </c>
    </row>
    <row r="3379" spans="1:2">
      <c r="A3379" s="4">
        <v>36277</v>
      </c>
      <c r="B3379" s="3">
        <v>17.82</v>
      </c>
    </row>
    <row r="3380" spans="1:2">
      <c r="A3380" s="4">
        <v>36278</v>
      </c>
      <c r="B3380" s="3">
        <v>18.43</v>
      </c>
    </row>
    <row r="3381" spans="1:2">
      <c r="A3381" s="4">
        <v>36279</v>
      </c>
      <c r="B3381" s="3">
        <v>18.53</v>
      </c>
    </row>
    <row r="3382" spans="1:2">
      <c r="A3382" s="4">
        <v>36280</v>
      </c>
      <c r="B3382" s="3">
        <v>18.690000000000001</v>
      </c>
    </row>
    <row r="3383" spans="1:2">
      <c r="A3383" s="4">
        <v>36283</v>
      </c>
      <c r="B3383" s="3">
        <v>18.829999999999998</v>
      </c>
    </row>
    <row r="3384" spans="1:2">
      <c r="A3384" s="4">
        <v>36284</v>
      </c>
      <c r="B3384" s="3">
        <v>18.940000000000001</v>
      </c>
    </row>
    <row r="3385" spans="1:2">
      <c r="A3385" s="4">
        <v>36285</v>
      </c>
      <c r="B3385" s="3">
        <v>18.89</v>
      </c>
    </row>
    <row r="3386" spans="1:2">
      <c r="A3386" s="4">
        <v>36286</v>
      </c>
      <c r="B3386" s="3">
        <v>18.23</v>
      </c>
    </row>
    <row r="3387" spans="1:2">
      <c r="A3387" s="4">
        <v>36287</v>
      </c>
      <c r="B3387" s="3">
        <v>18.23</v>
      </c>
    </row>
    <row r="3388" spans="1:2">
      <c r="A3388" s="4">
        <v>36290</v>
      </c>
      <c r="B3388" s="3">
        <v>18.57</v>
      </c>
    </row>
    <row r="3389" spans="1:2">
      <c r="A3389" s="4">
        <v>36291</v>
      </c>
      <c r="B3389" s="3">
        <v>17.84</v>
      </c>
    </row>
    <row r="3390" spans="1:2">
      <c r="A3390" s="4">
        <v>36292</v>
      </c>
      <c r="B3390" s="3">
        <v>17.440000000000001</v>
      </c>
    </row>
    <row r="3391" spans="1:2">
      <c r="A3391" s="4">
        <v>36293</v>
      </c>
      <c r="B3391" s="3">
        <v>18.11</v>
      </c>
    </row>
    <row r="3392" spans="1:2">
      <c r="A3392" s="4">
        <v>36294</v>
      </c>
      <c r="B3392" s="3">
        <v>18.04</v>
      </c>
    </row>
    <row r="3393" spans="1:2">
      <c r="A3393" s="4">
        <v>36297</v>
      </c>
      <c r="B3393" s="3">
        <v>17.760000000000002</v>
      </c>
    </row>
    <row r="3394" spans="1:2">
      <c r="A3394" s="4">
        <v>36298</v>
      </c>
      <c r="B3394" s="3">
        <v>17.09</v>
      </c>
    </row>
    <row r="3395" spans="1:2">
      <c r="A3395" s="4">
        <v>36299</v>
      </c>
      <c r="B3395" s="3">
        <v>16.77</v>
      </c>
    </row>
    <row r="3396" spans="1:2">
      <c r="A3396" s="4">
        <v>36300</v>
      </c>
      <c r="B3396" s="3">
        <v>17.04</v>
      </c>
    </row>
    <row r="3397" spans="1:2">
      <c r="A3397" s="4">
        <v>36301</v>
      </c>
      <c r="B3397" s="3">
        <v>17.22</v>
      </c>
    </row>
    <row r="3398" spans="1:2">
      <c r="A3398" s="4">
        <v>36304</v>
      </c>
      <c r="B3398" s="3">
        <v>16.77</v>
      </c>
    </row>
    <row r="3399" spans="1:2">
      <c r="A3399" s="4">
        <v>36305</v>
      </c>
      <c r="B3399" s="3">
        <v>17.25</v>
      </c>
    </row>
    <row r="3400" spans="1:2">
      <c r="A3400" s="4">
        <v>36306</v>
      </c>
      <c r="B3400" s="3">
        <v>17.32</v>
      </c>
    </row>
    <row r="3401" spans="1:2">
      <c r="A3401" s="4">
        <v>36307</v>
      </c>
      <c r="B3401" s="3">
        <v>17.18</v>
      </c>
    </row>
    <row r="3402" spans="1:2">
      <c r="A3402" s="4">
        <v>36308</v>
      </c>
      <c r="B3402" s="3">
        <v>16.850000000000001</v>
      </c>
    </row>
    <row r="3403" spans="1:2">
      <c r="A3403" s="4">
        <v>36312</v>
      </c>
      <c r="B3403" s="3">
        <v>16.309999999999999</v>
      </c>
    </row>
    <row r="3404" spans="1:2">
      <c r="A3404" s="4">
        <v>36313</v>
      </c>
      <c r="B3404" s="3">
        <v>16.61</v>
      </c>
    </row>
    <row r="3405" spans="1:2">
      <c r="A3405" s="4">
        <v>36314</v>
      </c>
      <c r="B3405" s="3">
        <v>16.809999999999999</v>
      </c>
    </row>
    <row r="3406" spans="1:2">
      <c r="A3406" s="4">
        <v>36315</v>
      </c>
      <c r="B3406" s="3">
        <v>17.36</v>
      </c>
    </row>
    <row r="3407" spans="1:2">
      <c r="A3407" s="4">
        <v>36318</v>
      </c>
      <c r="B3407" s="3">
        <v>17.91</v>
      </c>
    </row>
    <row r="3408" spans="1:2">
      <c r="A3408" s="4">
        <v>36319</v>
      </c>
      <c r="B3408" s="3">
        <v>17.66</v>
      </c>
    </row>
    <row r="3409" spans="1:2">
      <c r="A3409" s="4">
        <v>36320</v>
      </c>
      <c r="B3409" s="3">
        <v>17.98</v>
      </c>
    </row>
    <row r="3410" spans="1:2">
      <c r="A3410" s="4">
        <v>36321</v>
      </c>
      <c r="B3410" s="3">
        <v>17.82</v>
      </c>
    </row>
    <row r="3411" spans="1:2">
      <c r="A3411" s="4">
        <v>36322</v>
      </c>
      <c r="B3411" s="3">
        <v>18.45</v>
      </c>
    </row>
    <row r="3412" spans="1:2">
      <c r="A3412" s="4">
        <v>36325</v>
      </c>
      <c r="B3412" s="3">
        <v>18.239999999999998</v>
      </c>
    </row>
    <row r="3413" spans="1:2">
      <c r="A3413" s="4">
        <v>36326</v>
      </c>
      <c r="B3413" s="3">
        <v>18.61</v>
      </c>
    </row>
    <row r="3414" spans="1:2">
      <c r="A3414" s="4">
        <v>36327</v>
      </c>
      <c r="B3414" s="3">
        <v>17.920000000000002</v>
      </c>
    </row>
    <row r="3415" spans="1:2">
      <c r="A3415" s="4">
        <v>36328</v>
      </c>
      <c r="B3415" s="3">
        <v>18.25</v>
      </c>
    </row>
    <row r="3416" spans="1:2">
      <c r="A3416" s="4">
        <v>36329</v>
      </c>
      <c r="B3416" s="3">
        <v>18.010000000000002</v>
      </c>
    </row>
    <row r="3417" spans="1:2">
      <c r="A3417" s="4">
        <v>36332</v>
      </c>
      <c r="B3417" s="3">
        <v>17.79</v>
      </c>
    </row>
    <row r="3418" spans="1:2">
      <c r="A3418" s="4">
        <v>36333</v>
      </c>
      <c r="B3418" s="3">
        <v>17.62</v>
      </c>
    </row>
    <row r="3419" spans="1:2">
      <c r="A3419" s="4">
        <v>36334</v>
      </c>
      <c r="B3419" s="3">
        <v>18.420000000000002</v>
      </c>
    </row>
    <row r="3420" spans="1:2">
      <c r="A3420" s="4">
        <v>36335</v>
      </c>
      <c r="B3420" s="3">
        <v>18.260000000000002</v>
      </c>
    </row>
    <row r="3421" spans="1:2">
      <c r="A3421" s="4">
        <v>36336</v>
      </c>
      <c r="B3421" s="3">
        <v>18.170000000000002</v>
      </c>
    </row>
    <row r="3422" spans="1:2">
      <c r="A3422" s="4">
        <v>36339</v>
      </c>
      <c r="B3422" s="3">
        <v>18.22</v>
      </c>
    </row>
    <row r="3423" spans="1:2">
      <c r="A3423" s="4">
        <v>36340</v>
      </c>
      <c r="B3423" s="3">
        <v>18.559999999999999</v>
      </c>
    </row>
    <row r="3424" spans="1:2">
      <c r="A3424" s="4">
        <v>36341</v>
      </c>
      <c r="B3424" s="3">
        <v>19.329999999999998</v>
      </c>
    </row>
    <row r="3425" spans="1:2">
      <c r="A3425" s="4">
        <v>36342</v>
      </c>
      <c r="B3425" s="3">
        <v>19.39</v>
      </c>
    </row>
    <row r="3426" spans="1:2">
      <c r="A3426" s="4">
        <v>36343</v>
      </c>
      <c r="B3426" s="3">
        <v>19.7</v>
      </c>
    </row>
    <row r="3427" spans="1:2">
      <c r="A3427" s="4">
        <v>36347</v>
      </c>
      <c r="B3427" s="3">
        <v>19.78</v>
      </c>
    </row>
    <row r="3428" spans="1:2">
      <c r="A3428" s="4">
        <v>36348</v>
      </c>
      <c r="B3428" s="3">
        <v>19.98</v>
      </c>
    </row>
    <row r="3429" spans="1:2">
      <c r="A3429" s="4">
        <v>36349</v>
      </c>
      <c r="B3429" s="3">
        <v>19.760000000000002</v>
      </c>
    </row>
    <row r="3430" spans="1:2">
      <c r="A3430" s="4">
        <v>36350</v>
      </c>
      <c r="B3430" s="3">
        <v>19.940000000000001</v>
      </c>
    </row>
    <row r="3431" spans="1:2">
      <c r="A3431" s="4">
        <v>36353</v>
      </c>
      <c r="B3431" s="3">
        <v>19.920000000000002</v>
      </c>
    </row>
    <row r="3432" spans="1:2">
      <c r="A3432" s="4">
        <v>36354</v>
      </c>
      <c r="B3432" s="3">
        <v>20.329999999999998</v>
      </c>
    </row>
    <row r="3433" spans="1:2">
      <c r="A3433" s="4">
        <v>36355</v>
      </c>
      <c r="B3433" s="3">
        <v>19.89</v>
      </c>
    </row>
    <row r="3434" spans="1:2">
      <c r="A3434" s="4">
        <v>36356</v>
      </c>
      <c r="B3434" s="3">
        <v>20.260000000000002</v>
      </c>
    </row>
    <row r="3435" spans="1:2">
      <c r="A3435" s="4">
        <v>36357</v>
      </c>
      <c r="B3435" s="3">
        <v>20.66</v>
      </c>
    </row>
    <row r="3436" spans="1:2">
      <c r="A3436" s="4">
        <v>36360</v>
      </c>
      <c r="B3436" s="3">
        <v>20.28</v>
      </c>
    </row>
    <row r="3437" spans="1:2">
      <c r="A3437" s="4">
        <v>36361</v>
      </c>
      <c r="B3437" s="3">
        <v>19.38</v>
      </c>
    </row>
    <row r="3438" spans="1:2">
      <c r="A3438" s="4">
        <v>36362</v>
      </c>
      <c r="B3438" s="3">
        <v>19.54</v>
      </c>
    </row>
    <row r="3439" spans="1:2">
      <c r="A3439" s="4">
        <v>36363</v>
      </c>
      <c r="B3439" s="3">
        <v>19.84</v>
      </c>
    </row>
    <row r="3440" spans="1:2">
      <c r="A3440" s="4">
        <v>36364</v>
      </c>
      <c r="B3440" s="3">
        <v>20.41</v>
      </c>
    </row>
    <row r="3441" spans="1:2">
      <c r="A3441" s="4">
        <v>36367</v>
      </c>
      <c r="B3441" s="3">
        <v>20.49</v>
      </c>
    </row>
    <row r="3442" spans="1:2">
      <c r="A3442" s="4">
        <v>36368</v>
      </c>
      <c r="B3442" s="3">
        <v>20.399999999999999</v>
      </c>
    </row>
    <row r="3443" spans="1:2">
      <c r="A3443" s="4">
        <v>36369</v>
      </c>
      <c r="B3443" s="3">
        <v>20.61</v>
      </c>
    </row>
    <row r="3444" spans="1:2">
      <c r="A3444" s="4">
        <v>36370</v>
      </c>
      <c r="B3444" s="3">
        <v>21.09</v>
      </c>
    </row>
    <row r="3445" spans="1:2">
      <c r="A3445" s="4">
        <v>36371</v>
      </c>
      <c r="B3445" s="3">
        <v>20.52</v>
      </c>
    </row>
    <row r="3446" spans="1:2">
      <c r="A3446" s="4">
        <v>36374</v>
      </c>
      <c r="B3446" s="3">
        <v>20.46</v>
      </c>
    </row>
    <row r="3447" spans="1:2">
      <c r="A3447" s="4">
        <v>36375</v>
      </c>
      <c r="B3447" s="3">
        <v>20.21</v>
      </c>
    </row>
    <row r="3448" spans="1:2">
      <c r="A3448" s="4">
        <v>36376</v>
      </c>
      <c r="B3448" s="3">
        <v>20.49</v>
      </c>
    </row>
    <row r="3449" spans="1:2">
      <c r="A3449" s="4">
        <v>36377</v>
      </c>
      <c r="B3449" s="3">
        <v>20.67</v>
      </c>
    </row>
    <row r="3450" spans="1:2">
      <c r="A3450" s="4">
        <v>36378</v>
      </c>
      <c r="B3450" s="3">
        <v>20.89</v>
      </c>
    </row>
    <row r="3451" spans="1:2">
      <c r="A3451" s="4">
        <v>36381</v>
      </c>
      <c r="B3451" s="3">
        <v>21.26</v>
      </c>
    </row>
    <row r="3452" spans="1:2">
      <c r="A3452" s="4">
        <v>36382</v>
      </c>
      <c r="B3452" s="3">
        <v>21.31</v>
      </c>
    </row>
    <row r="3453" spans="1:2">
      <c r="A3453" s="4">
        <v>36383</v>
      </c>
      <c r="B3453" s="3">
        <v>21.54</v>
      </c>
    </row>
    <row r="3454" spans="1:2">
      <c r="A3454" s="4">
        <v>36384</v>
      </c>
      <c r="B3454" s="3">
        <v>21.42</v>
      </c>
    </row>
    <row r="3455" spans="1:2">
      <c r="A3455" s="4">
        <v>36385</v>
      </c>
      <c r="B3455" s="3">
        <v>21.67</v>
      </c>
    </row>
    <row r="3456" spans="1:2">
      <c r="A3456" s="4">
        <v>36388</v>
      </c>
      <c r="B3456" s="3">
        <v>21.34</v>
      </c>
    </row>
    <row r="3457" spans="1:2">
      <c r="A3457" s="4">
        <v>36389</v>
      </c>
      <c r="B3457" s="3">
        <v>21.7</v>
      </c>
    </row>
    <row r="3458" spans="1:2">
      <c r="A3458" s="4">
        <v>36390</v>
      </c>
      <c r="B3458" s="3">
        <v>21.54</v>
      </c>
    </row>
    <row r="3459" spans="1:2">
      <c r="A3459" s="4">
        <v>36391</v>
      </c>
      <c r="B3459" s="3">
        <v>21.86</v>
      </c>
    </row>
    <row r="3460" spans="1:2">
      <c r="A3460" s="4">
        <v>36392</v>
      </c>
      <c r="B3460" s="3">
        <v>21.66</v>
      </c>
    </row>
    <row r="3461" spans="1:2">
      <c r="A3461" s="4">
        <v>36395</v>
      </c>
      <c r="B3461" s="3">
        <v>21.61</v>
      </c>
    </row>
    <row r="3462" spans="1:2">
      <c r="A3462" s="4">
        <v>36396</v>
      </c>
      <c r="B3462" s="3">
        <v>21.36</v>
      </c>
    </row>
    <row r="3463" spans="1:2">
      <c r="A3463" s="4">
        <v>36397</v>
      </c>
      <c r="B3463" s="3">
        <v>20.66</v>
      </c>
    </row>
    <row r="3464" spans="1:2">
      <c r="A3464" s="4">
        <v>36398</v>
      </c>
      <c r="B3464" s="3">
        <v>21.09</v>
      </c>
    </row>
    <row r="3465" spans="1:2">
      <c r="A3465" s="4">
        <v>36399</v>
      </c>
      <c r="B3465" s="3">
        <v>21.31</v>
      </c>
    </row>
    <row r="3466" spans="1:2">
      <c r="A3466" s="4">
        <v>36402</v>
      </c>
      <c r="B3466" s="3">
        <v>21.93</v>
      </c>
    </row>
    <row r="3467" spans="1:2">
      <c r="A3467" s="4">
        <v>36403</v>
      </c>
      <c r="B3467" s="3">
        <v>22.15</v>
      </c>
    </row>
    <row r="3468" spans="1:2">
      <c r="A3468" s="4">
        <v>36404</v>
      </c>
      <c r="B3468" s="3">
        <v>21.79</v>
      </c>
    </row>
    <row r="3469" spans="1:2">
      <c r="A3469" s="4">
        <v>36405</v>
      </c>
      <c r="B3469" s="3">
        <v>21.54</v>
      </c>
    </row>
    <row r="3470" spans="1:2">
      <c r="A3470" s="4">
        <v>36406</v>
      </c>
      <c r="B3470" s="3">
        <v>22</v>
      </c>
    </row>
    <row r="3471" spans="1:2">
      <c r="A3471" s="4">
        <v>36410</v>
      </c>
      <c r="B3471" s="3">
        <v>22.58</v>
      </c>
    </row>
    <row r="3472" spans="1:2">
      <c r="A3472" s="4">
        <v>36411</v>
      </c>
      <c r="B3472" s="3">
        <v>22.64</v>
      </c>
    </row>
    <row r="3473" spans="1:2">
      <c r="A3473" s="4">
        <v>36412</v>
      </c>
      <c r="B3473" s="3">
        <v>23.24</v>
      </c>
    </row>
    <row r="3474" spans="1:2">
      <c r="A3474" s="4">
        <v>36413</v>
      </c>
      <c r="B3474" s="3">
        <v>23.55</v>
      </c>
    </row>
    <row r="3475" spans="1:2">
      <c r="A3475" s="4">
        <v>36416</v>
      </c>
      <c r="B3475" s="3">
        <v>24.18</v>
      </c>
    </row>
    <row r="3476" spans="1:2">
      <c r="A3476" s="4">
        <v>36417</v>
      </c>
      <c r="B3476" s="3">
        <v>23.86</v>
      </c>
    </row>
    <row r="3477" spans="1:2">
      <c r="A3477" s="4">
        <v>36418</v>
      </c>
      <c r="B3477" s="3">
        <v>24.1</v>
      </c>
    </row>
    <row r="3478" spans="1:2">
      <c r="A3478" s="4">
        <v>36419</v>
      </c>
      <c r="B3478" s="3">
        <v>24.52</v>
      </c>
    </row>
    <row r="3479" spans="1:2">
      <c r="A3479" s="4">
        <v>36420</v>
      </c>
      <c r="B3479" s="3">
        <v>24.72</v>
      </c>
    </row>
    <row r="3480" spans="1:2">
      <c r="A3480" s="4">
        <v>36423</v>
      </c>
      <c r="B3480" s="3">
        <v>24.32</v>
      </c>
    </row>
    <row r="3481" spans="1:2">
      <c r="A3481" s="4">
        <v>36424</v>
      </c>
      <c r="B3481" s="3">
        <v>24.48</v>
      </c>
    </row>
    <row r="3482" spans="1:2">
      <c r="A3482" s="4">
        <v>36425</v>
      </c>
      <c r="B3482" s="3">
        <v>24.26</v>
      </c>
    </row>
    <row r="3483" spans="1:2">
      <c r="A3483" s="4">
        <v>36426</v>
      </c>
      <c r="B3483" s="3">
        <v>24.76</v>
      </c>
    </row>
    <row r="3484" spans="1:2">
      <c r="A3484" s="4">
        <v>36427</v>
      </c>
      <c r="B3484" s="3">
        <v>24.81</v>
      </c>
    </row>
    <row r="3485" spans="1:2">
      <c r="A3485" s="4">
        <v>36430</v>
      </c>
      <c r="B3485" s="3">
        <v>24.63</v>
      </c>
    </row>
    <row r="3486" spans="1:2">
      <c r="A3486" s="4">
        <v>36431</v>
      </c>
      <c r="B3486" s="3">
        <v>24.52</v>
      </c>
    </row>
    <row r="3487" spans="1:2">
      <c r="A3487" s="4">
        <v>36432</v>
      </c>
      <c r="B3487" s="3">
        <v>24.69</v>
      </c>
    </row>
    <row r="3488" spans="1:2">
      <c r="A3488" s="4">
        <v>36433</v>
      </c>
      <c r="B3488" s="3">
        <v>24.54</v>
      </c>
    </row>
    <row r="3489" spans="1:2">
      <c r="A3489" s="4">
        <v>36434</v>
      </c>
      <c r="B3489" s="3">
        <v>24.51</v>
      </c>
    </row>
    <row r="3490" spans="1:2">
      <c r="A3490" s="4">
        <v>36437</v>
      </c>
      <c r="B3490" s="3">
        <v>23.71</v>
      </c>
    </row>
    <row r="3491" spans="1:2">
      <c r="A3491" s="4">
        <v>36438</v>
      </c>
      <c r="B3491" s="3">
        <v>23.37</v>
      </c>
    </row>
    <row r="3492" spans="1:2">
      <c r="A3492" s="4">
        <v>36439</v>
      </c>
      <c r="B3492" s="3">
        <v>23.24</v>
      </c>
    </row>
    <row r="3493" spans="1:2">
      <c r="A3493" s="4">
        <v>36440</v>
      </c>
      <c r="B3493" s="3">
        <v>22.46</v>
      </c>
    </row>
    <row r="3494" spans="1:2">
      <c r="A3494" s="4">
        <v>36441</v>
      </c>
      <c r="B3494" s="3">
        <v>20.81</v>
      </c>
    </row>
    <row r="3495" spans="1:2">
      <c r="A3495" s="4">
        <v>36444</v>
      </c>
      <c r="B3495" s="3">
        <v>21.58</v>
      </c>
    </row>
    <row r="3496" spans="1:2">
      <c r="A3496" s="4">
        <v>36445</v>
      </c>
      <c r="B3496" s="3">
        <v>22.93</v>
      </c>
    </row>
    <row r="3497" spans="1:2">
      <c r="A3497" s="4">
        <v>36446</v>
      </c>
      <c r="B3497" s="3">
        <v>22.93</v>
      </c>
    </row>
    <row r="3498" spans="1:2">
      <c r="A3498" s="4">
        <v>36447</v>
      </c>
      <c r="B3498" s="3">
        <v>22.46</v>
      </c>
    </row>
    <row r="3499" spans="1:2">
      <c r="A3499" s="4">
        <v>36448</v>
      </c>
      <c r="B3499" s="3">
        <v>22.81</v>
      </c>
    </row>
    <row r="3500" spans="1:2">
      <c r="A3500" s="4">
        <v>36451</v>
      </c>
      <c r="B3500" s="3">
        <v>22.44</v>
      </c>
    </row>
    <row r="3501" spans="1:2">
      <c r="A3501" s="4">
        <v>36452</v>
      </c>
      <c r="B3501" s="3">
        <v>22.36</v>
      </c>
    </row>
    <row r="3502" spans="1:2">
      <c r="A3502" s="4">
        <v>36453</v>
      </c>
      <c r="B3502" s="3">
        <v>22.21</v>
      </c>
    </row>
    <row r="3503" spans="1:2">
      <c r="A3503" s="4">
        <v>36454</v>
      </c>
      <c r="B3503" s="3">
        <v>22.74</v>
      </c>
    </row>
    <row r="3504" spans="1:2">
      <c r="A3504" s="4">
        <v>36455</v>
      </c>
      <c r="B3504" s="3">
        <v>23.48</v>
      </c>
    </row>
    <row r="3505" spans="1:2">
      <c r="A3505" s="4">
        <v>36458</v>
      </c>
      <c r="B3505" s="3">
        <v>23.22</v>
      </c>
    </row>
    <row r="3506" spans="1:2">
      <c r="A3506" s="4">
        <v>36459</v>
      </c>
      <c r="B3506" s="3">
        <v>23.17</v>
      </c>
    </row>
    <row r="3507" spans="1:2">
      <c r="A3507" s="4">
        <v>36460</v>
      </c>
      <c r="B3507" s="3">
        <v>22.71</v>
      </c>
    </row>
    <row r="3508" spans="1:2">
      <c r="A3508" s="4">
        <v>36461</v>
      </c>
      <c r="B3508" s="3">
        <v>21.59</v>
      </c>
    </row>
    <row r="3509" spans="1:2">
      <c r="A3509" s="4">
        <v>36462</v>
      </c>
      <c r="B3509" s="3">
        <v>21.79</v>
      </c>
    </row>
    <row r="3510" spans="1:2">
      <c r="A3510" s="4">
        <v>36465</v>
      </c>
      <c r="B3510" s="3">
        <v>22.44</v>
      </c>
    </row>
    <row r="3511" spans="1:2">
      <c r="A3511" s="4">
        <v>36466</v>
      </c>
      <c r="B3511" s="3">
        <v>22.49</v>
      </c>
    </row>
    <row r="3512" spans="1:2">
      <c r="A3512" s="4">
        <v>36467</v>
      </c>
      <c r="B3512" s="3">
        <v>22.59</v>
      </c>
    </row>
    <row r="3513" spans="1:2">
      <c r="A3513" s="4">
        <v>36468</v>
      </c>
      <c r="B3513" s="3">
        <v>23.17</v>
      </c>
    </row>
    <row r="3514" spans="1:2">
      <c r="A3514" s="4">
        <v>36469</v>
      </c>
      <c r="B3514" s="3">
        <v>22.93</v>
      </c>
    </row>
    <row r="3515" spans="1:2">
      <c r="A3515" s="4">
        <v>36472</v>
      </c>
      <c r="B3515" s="3">
        <v>23.28</v>
      </c>
    </row>
    <row r="3516" spans="1:2">
      <c r="A3516" s="4">
        <v>36473</v>
      </c>
      <c r="B3516" s="3">
        <v>24.21</v>
      </c>
    </row>
    <row r="3517" spans="1:2">
      <c r="A3517" s="4">
        <v>36474</v>
      </c>
      <c r="B3517" s="3">
        <v>24.37</v>
      </c>
    </row>
    <row r="3518" spans="1:2">
      <c r="A3518" s="4">
        <v>36475</v>
      </c>
      <c r="B3518" s="3">
        <v>24.33</v>
      </c>
    </row>
    <row r="3519" spans="1:2">
      <c r="A3519" s="4">
        <v>36476</v>
      </c>
      <c r="B3519" s="3">
        <v>24.91</v>
      </c>
    </row>
    <row r="3520" spans="1:2">
      <c r="A3520" s="4">
        <v>36479</v>
      </c>
      <c r="B3520" s="3">
        <v>25.31</v>
      </c>
    </row>
    <row r="3521" spans="1:2">
      <c r="A3521" s="4">
        <v>36480</v>
      </c>
      <c r="B3521" s="3">
        <v>26.04</v>
      </c>
    </row>
    <row r="3522" spans="1:2">
      <c r="A3522" s="4">
        <v>36481</v>
      </c>
      <c r="B3522" s="3">
        <v>26.57</v>
      </c>
    </row>
    <row r="3523" spans="1:2">
      <c r="A3523" s="4">
        <v>36482</v>
      </c>
      <c r="B3523" s="3">
        <v>25.71</v>
      </c>
    </row>
    <row r="3524" spans="1:2">
      <c r="A3524" s="4">
        <v>36483</v>
      </c>
      <c r="B3524" s="3">
        <v>26.61</v>
      </c>
    </row>
    <row r="3525" spans="1:2">
      <c r="A3525" s="4">
        <v>36486</v>
      </c>
      <c r="B3525" s="3">
        <v>28.03</v>
      </c>
    </row>
    <row r="3526" spans="1:2">
      <c r="A3526" s="4">
        <v>36487</v>
      </c>
      <c r="B3526" s="3">
        <v>26.91</v>
      </c>
    </row>
    <row r="3527" spans="1:2">
      <c r="A3527" s="4">
        <v>36488</v>
      </c>
      <c r="B3527" s="3">
        <v>27.22</v>
      </c>
    </row>
    <row r="3528" spans="1:2">
      <c r="A3528" s="4">
        <v>36490</v>
      </c>
      <c r="B3528" s="3">
        <v>27.22</v>
      </c>
    </row>
    <row r="3529" spans="1:2">
      <c r="A3529" s="4">
        <v>36493</v>
      </c>
      <c r="B3529" s="3">
        <v>25.84</v>
      </c>
    </row>
    <row r="3530" spans="1:2">
      <c r="A3530" s="4">
        <v>36494</v>
      </c>
      <c r="B3530" s="3">
        <v>24.87</v>
      </c>
    </row>
    <row r="3531" spans="1:2">
      <c r="A3531" s="4">
        <v>36495</v>
      </c>
      <c r="B3531" s="3">
        <v>25.01</v>
      </c>
    </row>
    <row r="3532" spans="1:2">
      <c r="A3532" s="4">
        <v>36496</v>
      </c>
      <c r="B3532" s="3">
        <v>25.88</v>
      </c>
    </row>
    <row r="3533" spans="1:2">
      <c r="A3533" s="4">
        <v>36497</v>
      </c>
      <c r="B3533" s="3">
        <v>25.71</v>
      </c>
    </row>
    <row r="3534" spans="1:2">
      <c r="A3534" s="4">
        <v>36500</v>
      </c>
      <c r="B3534" s="3">
        <v>26.67</v>
      </c>
    </row>
    <row r="3535" spans="1:2">
      <c r="A3535" s="4">
        <v>36501</v>
      </c>
      <c r="B3535" s="3">
        <v>26.36</v>
      </c>
    </row>
    <row r="3536" spans="1:2">
      <c r="A3536" s="4">
        <v>36502</v>
      </c>
      <c r="B3536" s="3">
        <v>26.69</v>
      </c>
    </row>
    <row r="3537" spans="1:2">
      <c r="A3537" s="4">
        <v>36503</v>
      </c>
      <c r="B3537" s="3">
        <v>26</v>
      </c>
    </row>
    <row r="3538" spans="1:2">
      <c r="A3538" s="4">
        <v>36504</v>
      </c>
      <c r="B3538" s="3">
        <v>25.21</v>
      </c>
    </row>
    <row r="3539" spans="1:2">
      <c r="A3539" s="4">
        <v>36507</v>
      </c>
      <c r="B3539" s="3">
        <v>25.37</v>
      </c>
    </row>
    <row r="3540" spans="1:2">
      <c r="A3540" s="4">
        <v>36508</v>
      </c>
      <c r="B3540" s="3">
        <v>25.87</v>
      </c>
    </row>
    <row r="3541" spans="1:2">
      <c r="A3541" s="4">
        <v>36509</v>
      </c>
      <c r="B3541" s="3">
        <v>26.28</v>
      </c>
    </row>
    <row r="3542" spans="1:2">
      <c r="A3542" s="4">
        <v>36510</v>
      </c>
      <c r="B3542" s="3">
        <v>26.74</v>
      </c>
    </row>
    <row r="3543" spans="1:2">
      <c r="A3543" s="4">
        <v>36511</v>
      </c>
      <c r="B3543" s="3">
        <v>26.76</v>
      </c>
    </row>
    <row r="3544" spans="1:2">
      <c r="A3544" s="4">
        <v>36514</v>
      </c>
      <c r="B3544" s="3">
        <v>26.55</v>
      </c>
    </row>
    <row r="3545" spans="1:2">
      <c r="A3545" s="4">
        <v>36515</v>
      </c>
      <c r="B3545" s="3">
        <v>26.34</v>
      </c>
    </row>
    <row r="3546" spans="1:2">
      <c r="A3546" s="4">
        <v>36516</v>
      </c>
      <c r="B3546" s="3">
        <v>25.51</v>
      </c>
    </row>
    <row r="3547" spans="1:2">
      <c r="A3547" s="4">
        <v>36517</v>
      </c>
      <c r="B3547" s="3">
        <v>25.86</v>
      </c>
    </row>
    <row r="3548" spans="1:2">
      <c r="A3548" s="4">
        <v>36521</v>
      </c>
      <c r="B3548" s="3">
        <v>26.36</v>
      </c>
    </row>
    <row r="3549" spans="1:2">
      <c r="A3549" s="4">
        <v>36522</v>
      </c>
      <c r="B3549" s="3">
        <v>26.81</v>
      </c>
    </row>
    <row r="3550" spans="1:2">
      <c r="A3550" s="4">
        <v>36523</v>
      </c>
      <c r="B3550" s="3">
        <v>26.41</v>
      </c>
    </row>
    <row r="3551" spans="1:2">
      <c r="A3551" s="4">
        <v>36524</v>
      </c>
      <c r="B3551" s="3">
        <v>25.76</v>
      </c>
    </row>
    <row r="3552" spans="1:2">
      <c r="A3552" s="4">
        <v>36529</v>
      </c>
      <c r="B3552" s="3">
        <v>25.56</v>
      </c>
    </row>
    <row r="3553" spans="1:2">
      <c r="A3553" s="4">
        <v>36530</v>
      </c>
      <c r="B3553" s="3">
        <v>24.65</v>
      </c>
    </row>
    <row r="3554" spans="1:2">
      <c r="A3554" s="4">
        <v>36531</v>
      </c>
      <c r="B3554" s="3">
        <v>24.79</v>
      </c>
    </row>
    <row r="3555" spans="1:2">
      <c r="A3555" s="4">
        <v>36532</v>
      </c>
      <c r="B3555" s="3">
        <v>24.79</v>
      </c>
    </row>
    <row r="3556" spans="1:2">
      <c r="A3556" s="4">
        <v>36535</v>
      </c>
      <c r="B3556" s="3">
        <v>24.71</v>
      </c>
    </row>
    <row r="3557" spans="1:2">
      <c r="A3557" s="4">
        <v>36536</v>
      </c>
      <c r="B3557" s="3">
        <v>25.69</v>
      </c>
    </row>
    <row r="3558" spans="1:2">
      <c r="A3558" s="4">
        <v>36537</v>
      </c>
      <c r="B3558" s="3">
        <v>26.3</v>
      </c>
    </row>
    <row r="3559" spans="1:2">
      <c r="A3559" s="4">
        <v>36538</v>
      </c>
      <c r="B3559" s="3">
        <v>26.63</v>
      </c>
    </row>
    <row r="3560" spans="1:2">
      <c r="A3560" s="4">
        <v>36539</v>
      </c>
      <c r="B3560" s="3">
        <v>28.01</v>
      </c>
    </row>
    <row r="3561" spans="1:2">
      <c r="A3561" s="4">
        <v>36543</v>
      </c>
      <c r="B3561" s="3">
        <v>28.98</v>
      </c>
    </row>
    <row r="3562" spans="1:2">
      <c r="A3562" s="4">
        <v>36544</v>
      </c>
      <c r="B3562" s="3">
        <v>29.11</v>
      </c>
    </row>
    <row r="3563" spans="1:2">
      <c r="A3563" s="4">
        <v>36545</v>
      </c>
      <c r="B3563" s="3">
        <v>29.67</v>
      </c>
    </row>
    <row r="3564" spans="1:2">
      <c r="A3564" s="4">
        <v>36546</v>
      </c>
      <c r="B3564" s="3">
        <v>29.71</v>
      </c>
    </row>
    <row r="3565" spans="1:2">
      <c r="A3565" s="4">
        <v>36549</v>
      </c>
      <c r="B3565" s="3">
        <v>29.25</v>
      </c>
    </row>
    <row r="3566" spans="1:2">
      <c r="A3566" s="4">
        <v>36550</v>
      </c>
      <c r="B3566" s="3">
        <v>30.28</v>
      </c>
    </row>
    <row r="3567" spans="1:2">
      <c r="A3567" s="4">
        <v>36551</v>
      </c>
      <c r="B3567" s="3">
        <v>27.66</v>
      </c>
    </row>
    <row r="3568" spans="1:2">
      <c r="A3568" s="4">
        <v>36552</v>
      </c>
      <c r="B3568" s="3">
        <v>27.22</v>
      </c>
    </row>
    <row r="3569" spans="1:2">
      <c r="A3569" s="4">
        <v>36553</v>
      </c>
      <c r="B3569" s="3">
        <v>27.27</v>
      </c>
    </row>
    <row r="3570" spans="1:2">
      <c r="A3570" s="4">
        <v>36556</v>
      </c>
      <c r="B3570" s="3">
        <v>27.65</v>
      </c>
    </row>
    <row r="3571" spans="1:2">
      <c r="A3571" s="4">
        <v>36557</v>
      </c>
      <c r="B3571" s="3">
        <v>28.28</v>
      </c>
    </row>
    <row r="3572" spans="1:2">
      <c r="A3572" s="4">
        <v>36558</v>
      </c>
      <c r="B3572" s="3">
        <v>27.52</v>
      </c>
    </row>
    <row r="3573" spans="1:2">
      <c r="A3573" s="4">
        <v>36559</v>
      </c>
      <c r="B3573" s="3">
        <v>28.26</v>
      </c>
    </row>
    <row r="3574" spans="1:2">
      <c r="A3574" s="4">
        <v>36560</v>
      </c>
      <c r="B3574" s="3">
        <v>28.67</v>
      </c>
    </row>
    <row r="3575" spans="1:2">
      <c r="A3575" s="4">
        <v>36563</v>
      </c>
      <c r="B3575" s="3">
        <v>28.4</v>
      </c>
    </row>
    <row r="3576" spans="1:2">
      <c r="A3576" s="4">
        <v>36564</v>
      </c>
      <c r="B3576" s="3">
        <v>28.05</v>
      </c>
    </row>
    <row r="3577" spans="1:2">
      <c r="A3577" s="4">
        <v>36565</v>
      </c>
      <c r="B3577" s="3">
        <v>28.71</v>
      </c>
    </row>
    <row r="3578" spans="1:2">
      <c r="A3578" s="4">
        <v>36566</v>
      </c>
      <c r="B3578" s="3">
        <v>29.49</v>
      </c>
    </row>
    <row r="3579" spans="1:2">
      <c r="A3579" s="4">
        <v>36567</v>
      </c>
      <c r="B3579" s="3">
        <v>29.51</v>
      </c>
    </row>
    <row r="3580" spans="1:2">
      <c r="A3580" s="4">
        <v>36570</v>
      </c>
      <c r="B3580" s="3">
        <v>30.3</v>
      </c>
    </row>
    <row r="3581" spans="1:2">
      <c r="A3581" s="4">
        <v>36571</v>
      </c>
      <c r="B3581" s="3">
        <v>30.17</v>
      </c>
    </row>
    <row r="3582" spans="1:2">
      <c r="A3582" s="4">
        <v>36572</v>
      </c>
      <c r="B3582" s="3">
        <v>30.01</v>
      </c>
    </row>
    <row r="3583" spans="1:2">
      <c r="A3583" s="4">
        <v>36573</v>
      </c>
      <c r="B3583" s="3">
        <v>29.37</v>
      </c>
    </row>
    <row r="3584" spans="1:2">
      <c r="A3584" s="4">
        <v>36574</v>
      </c>
      <c r="B3584" s="3">
        <v>29.51</v>
      </c>
    </row>
    <row r="3585" spans="1:2">
      <c r="A3585" s="4">
        <v>36578</v>
      </c>
      <c r="B3585" s="3">
        <v>29.63</v>
      </c>
    </row>
    <row r="3586" spans="1:2">
      <c r="A3586" s="4">
        <v>36579</v>
      </c>
      <c r="B3586" s="3">
        <v>30.19</v>
      </c>
    </row>
    <row r="3587" spans="1:2">
      <c r="A3587" s="4">
        <v>36580</v>
      </c>
      <c r="B3587" s="3">
        <v>30.23</v>
      </c>
    </row>
    <row r="3588" spans="1:2">
      <c r="A3588" s="4">
        <v>36581</v>
      </c>
      <c r="B3588" s="3">
        <v>30.34</v>
      </c>
    </row>
    <row r="3589" spans="1:2">
      <c r="A3589" s="4">
        <v>36584</v>
      </c>
      <c r="B3589" s="3">
        <v>30.11</v>
      </c>
    </row>
    <row r="3590" spans="1:2">
      <c r="A3590" s="4">
        <v>36585</v>
      </c>
      <c r="B3590" s="3">
        <v>30.57</v>
      </c>
    </row>
    <row r="3591" spans="1:2">
      <c r="A3591" s="4">
        <v>36586</v>
      </c>
      <c r="B3591" s="3">
        <v>31.71</v>
      </c>
    </row>
    <row r="3592" spans="1:2">
      <c r="A3592" s="4">
        <v>36587</v>
      </c>
      <c r="B3592" s="3">
        <v>31.51</v>
      </c>
    </row>
    <row r="3593" spans="1:2">
      <c r="A3593" s="4">
        <v>36588</v>
      </c>
      <c r="B3593" s="3">
        <v>31.46</v>
      </c>
    </row>
    <row r="3594" spans="1:2">
      <c r="A3594" s="4">
        <v>36591</v>
      </c>
      <c r="B3594" s="3">
        <v>32.19</v>
      </c>
    </row>
    <row r="3595" spans="1:2">
      <c r="A3595" s="4">
        <v>36592</v>
      </c>
      <c r="B3595" s="3">
        <v>33.9</v>
      </c>
    </row>
    <row r="3596" spans="1:2">
      <c r="A3596" s="4">
        <v>36593</v>
      </c>
      <c r="B3596" s="3">
        <v>31.22</v>
      </c>
    </row>
    <row r="3597" spans="1:2">
      <c r="A3597" s="4">
        <v>36594</v>
      </c>
      <c r="B3597" s="3">
        <v>31.61</v>
      </c>
    </row>
    <row r="3598" spans="1:2">
      <c r="A3598" s="4">
        <v>36595</v>
      </c>
      <c r="B3598" s="3">
        <v>31.76</v>
      </c>
    </row>
    <row r="3599" spans="1:2">
      <c r="A3599" s="4">
        <v>36598</v>
      </c>
      <c r="B3599" s="3">
        <v>32.11</v>
      </c>
    </row>
    <row r="3600" spans="1:2">
      <c r="A3600" s="4">
        <v>36599</v>
      </c>
      <c r="B3600" s="3">
        <v>31.93</v>
      </c>
    </row>
    <row r="3601" spans="1:2">
      <c r="A3601" s="4">
        <v>36600</v>
      </c>
      <c r="B3601" s="3">
        <v>30.47</v>
      </c>
    </row>
    <row r="3602" spans="1:2">
      <c r="A3602" s="4">
        <v>36601</v>
      </c>
      <c r="B3602" s="3">
        <v>31.1</v>
      </c>
    </row>
    <row r="3603" spans="1:2">
      <c r="A3603" s="4">
        <v>36602</v>
      </c>
      <c r="B3603" s="3">
        <v>30.86</v>
      </c>
    </row>
    <row r="3604" spans="1:2">
      <c r="A3604" s="4">
        <v>36605</v>
      </c>
      <c r="B3604" s="3">
        <v>29.33</v>
      </c>
    </row>
    <row r="3605" spans="1:2">
      <c r="A3605" s="4">
        <v>36606</v>
      </c>
      <c r="B3605" s="3">
        <v>28.01</v>
      </c>
    </row>
    <row r="3606" spans="1:2">
      <c r="A3606" s="4">
        <v>36607</v>
      </c>
      <c r="B3606" s="3">
        <v>27.28</v>
      </c>
    </row>
    <row r="3607" spans="1:2">
      <c r="A3607" s="4">
        <v>36608</v>
      </c>
      <c r="B3607" s="3">
        <v>27.47</v>
      </c>
    </row>
    <row r="3608" spans="1:2">
      <c r="A3608" s="4">
        <v>36609</v>
      </c>
      <c r="B3608" s="3">
        <v>27.86</v>
      </c>
    </row>
    <row r="3609" spans="1:2">
      <c r="A3609" s="4">
        <v>36612</v>
      </c>
      <c r="B3609" s="3">
        <v>27.59</v>
      </c>
    </row>
    <row r="3610" spans="1:2">
      <c r="A3610" s="4">
        <v>36613</v>
      </c>
      <c r="B3610" s="3">
        <v>27.1</v>
      </c>
    </row>
    <row r="3611" spans="1:2">
      <c r="A3611" s="4">
        <v>36614</v>
      </c>
      <c r="B3611" s="3">
        <v>26.36</v>
      </c>
    </row>
    <row r="3612" spans="1:2">
      <c r="A3612" s="4">
        <v>36615</v>
      </c>
      <c r="B3612" s="3">
        <v>26.67</v>
      </c>
    </row>
    <row r="3613" spans="1:2">
      <c r="A3613" s="4">
        <v>36616</v>
      </c>
      <c r="B3613" s="3">
        <v>26.86</v>
      </c>
    </row>
    <row r="3614" spans="1:2">
      <c r="A3614" s="4">
        <v>36619</v>
      </c>
      <c r="B3614" s="3">
        <v>26.28</v>
      </c>
    </row>
    <row r="3615" spans="1:2">
      <c r="A3615" s="4">
        <v>36620</v>
      </c>
      <c r="B3615" s="3">
        <v>25.46</v>
      </c>
    </row>
    <row r="3616" spans="1:2">
      <c r="A3616" s="4">
        <v>36621</v>
      </c>
      <c r="B3616" s="3">
        <v>25.76</v>
      </c>
    </row>
    <row r="3617" spans="1:2">
      <c r="A3617" s="4">
        <v>36622</v>
      </c>
      <c r="B3617" s="3">
        <v>25.51</v>
      </c>
    </row>
    <row r="3618" spans="1:2">
      <c r="A3618" s="4">
        <v>36623</v>
      </c>
      <c r="B3618" s="3">
        <v>24.97</v>
      </c>
    </row>
    <row r="3619" spans="1:2">
      <c r="A3619" s="4">
        <v>36626</v>
      </c>
      <c r="B3619" s="3">
        <v>23.91</v>
      </c>
    </row>
    <row r="3620" spans="1:2">
      <c r="A3620" s="4">
        <v>36627</v>
      </c>
      <c r="B3620" s="3">
        <v>24.17</v>
      </c>
    </row>
    <row r="3621" spans="1:2">
      <c r="A3621" s="4">
        <v>36628</v>
      </c>
      <c r="B3621" s="3">
        <v>25.49</v>
      </c>
    </row>
    <row r="3622" spans="1:2">
      <c r="A3622" s="4">
        <v>36629</v>
      </c>
      <c r="B3622" s="3">
        <v>25.29</v>
      </c>
    </row>
    <row r="3623" spans="1:2">
      <c r="A3623" s="4">
        <v>36630</v>
      </c>
      <c r="B3623" s="3">
        <v>25.48</v>
      </c>
    </row>
    <row r="3624" spans="1:2">
      <c r="A3624" s="4">
        <v>36633</v>
      </c>
      <c r="B3624" s="3">
        <v>26.06</v>
      </c>
    </row>
    <row r="3625" spans="1:2">
      <c r="A3625" s="4">
        <v>36634</v>
      </c>
      <c r="B3625" s="3">
        <v>25.92</v>
      </c>
    </row>
    <row r="3626" spans="1:2">
      <c r="A3626" s="4">
        <v>36635</v>
      </c>
      <c r="B3626" s="3">
        <v>27.38</v>
      </c>
    </row>
    <row r="3627" spans="1:2">
      <c r="A3627" s="4">
        <v>36636</v>
      </c>
      <c r="B3627" s="3">
        <v>27.29</v>
      </c>
    </row>
    <row r="3628" spans="1:2">
      <c r="A3628" s="4">
        <v>36640</v>
      </c>
      <c r="B3628" s="3">
        <v>27.41</v>
      </c>
    </row>
    <row r="3629" spans="1:2">
      <c r="A3629" s="4">
        <v>36641</v>
      </c>
      <c r="B3629" s="3">
        <v>26.41</v>
      </c>
    </row>
    <row r="3630" spans="1:2">
      <c r="A3630" s="4">
        <v>36642</v>
      </c>
      <c r="B3630" s="3">
        <v>24.69</v>
      </c>
    </row>
    <row r="3631" spans="1:2">
      <c r="A3631" s="4">
        <v>36643</v>
      </c>
      <c r="B3631" s="3">
        <v>25.53</v>
      </c>
    </row>
    <row r="3632" spans="1:2">
      <c r="A3632" s="4">
        <v>36644</v>
      </c>
      <c r="B3632" s="3">
        <v>25.71</v>
      </c>
    </row>
    <row r="3633" spans="1:2">
      <c r="A3633" s="4">
        <v>36647</v>
      </c>
      <c r="B3633" s="3">
        <v>25.84</v>
      </c>
    </row>
    <row r="3634" spans="1:2">
      <c r="A3634" s="4">
        <v>36648</v>
      </c>
      <c r="B3634" s="3">
        <v>26.86</v>
      </c>
    </row>
    <row r="3635" spans="1:2">
      <c r="A3635" s="4">
        <v>36649</v>
      </c>
      <c r="B3635" s="3">
        <v>26.6</v>
      </c>
    </row>
    <row r="3636" spans="1:2">
      <c r="A3636" s="4">
        <v>36650</v>
      </c>
      <c r="B3636" s="3">
        <v>27.08</v>
      </c>
    </row>
    <row r="3637" spans="1:2">
      <c r="A3637" s="4">
        <v>36651</v>
      </c>
      <c r="B3637" s="3">
        <v>27.37</v>
      </c>
    </row>
    <row r="3638" spans="1:2">
      <c r="A3638" s="4">
        <v>36654</v>
      </c>
      <c r="B3638" s="3">
        <v>28.05</v>
      </c>
    </row>
    <row r="3639" spans="1:2">
      <c r="A3639" s="4">
        <v>36655</v>
      </c>
      <c r="B3639" s="3">
        <v>28.46</v>
      </c>
    </row>
    <row r="3640" spans="1:2">
      <c r="A3640" s="4">
        <v>36656</v>
      </c>
      <c r="B3640" s="3">
        <v>28.1</v>
      </c>
    </row>
    <row r="3641" spans="1:2">
      <c r="A3641" s="4">
        <v>36657</v>
      </c>
      <c r="B3641" s="3">
        <v>29.25</v>
      </c>
    </row>
    <row r="3642" spans="1:2">
      <c r="A3642" s="4">
        <v>36658</v>
      </c>
      <c r="B3642" s="3">
        <v>29.64</v>
      </c>
    </row>
    <row r="3643" spans="1:2">
      <c r="A3643" s="4">
        <v>36661</v>
      </c>
      <c r="B3643" s="3">
        <v>29.95</v>
      </c>
    </row>
    <row r="3644" spans="1:2">
      <c r="A3644" s="4">
        <v>36662</v>
      </c>
      <c r="B3644" s="3">
        <v>29.76</v>
      </c>
    </row>
    <row r="3645" spans="1:2">
      <c r="A3645" s="4">
        <v>36663</v>
      </c>
      <c r="B3645" s="3">
        <v>29.38</v>
      </c>
    </row>
    <row r="3646" spans="1:2">
      <c r="A3646" s="4">
        <v>36664</v>
      </c>
      <c r="B3646" s="3">
        <v>30.28</v>
      </c>
    </row>
    <row r="3647" spans="1:2">
      <c r="A3647" s="4">
        <v>36665</v>
      </c>
      <c r="B3647" s="3">
        <v>30.02</v>
      </c>
    </row>
    <row r="3648" spans="1:2">
      <c r="A3648" s="4">
        <v>36668</v>
      </c>
      <c r="B3648" s="3">
        <v>28.62</v>
      </c>
    </row>
    <row r="3649" spans="1:2">
      <c r="A3649" s="4">
        <v>36669</v>
      </c>
      <c r="B3649" s="3">
        <v>28.61</v>
      </c>
    </row>
    <row r="3650" spans="1:2">
      <c r="A3650" s="4">
        <v>36670</v>
      </c>
      <c r="B3650" s="3">
        <v>29.89</v>
      </c>
    </row>
    <row r="3651" spans="1:2">
      <c r="A3651" s="4">
        <v>36671</v>
      </c>
      <c r="B3651" s="3">
        <v>30.43</v>
      </c>
    </row>
    <row r="3652" spans="1:2">
      <c r="A3652" s="4">
        <v>36672</v>
      </c>
      <c r="B3652" s="3">
        <v>29.76</v>
      </c>
    </row>
    <row r="3653" spans="1:2">
      <c r="A3653" s="4">
        <v>36676</v>
      </c>
      <c r="B3653" s="3">
        <v>30.36</v>
      </c>
    </row>
    <row r="3654" spans="1:2">
      <c r="A3654" s="4">
        <v>36677</v>
      </c>
      <c r="B3654" s="3">
        <v>29.03</v>
      </c>
    </row>
    <row r="3655" spans="1:2">
      <c r="A3655" s="4">
        <v>36678</v>
      </c>
      <c r="B3655" s="3">
        <v>30.19</v>
      </c>
    </row>
    <row r="3656" spans="1:2">
      <c r="A3656" s="4">
        <v>36679</v>
      </c>
      <c r="B3656" s="3">
        <v>30.34</v>
      </c>
    </row>
    <row r="3657" spans="1:2">
      <c r="A3657" s="4">
        <v>36682</v>
      </c>
      <c r="B3657" s="3">
        <v>29.87</v>
      </c>
    </row>
    <row r="3658" spans="1:2">
      <c r="A3658" s="4">
        <v>36683</v>
      </c>
      <c r="B3658" s="3">
        <v>29.78</v>
      </c>
    </row>
    <row r="3659" spans="1:2">
      <c r="A3659" s="4">
        <v>36684</v>
      </c>
      <c r="B3659" s="3">
        <v>29.29</v>
      </c>
    </row>
    <row r="3660" spans="1:2">
      <c r="A3660" s="4">
        <v>36685</v>
      </c>
      <c r="B3660" s="3">
        <v>29.78</v>
      </c>
    </row>
    <row r="3661" spans="1:2">
      <c r="A3661" s="4">
        <v>36686</v>
      </c>
      <c r="B3661" s="3">
        <v>30.22</v>
      </c>
    </row>
    <row r="3662" spans="1:2">
      <c r="A3662" s="4">
        <v>36689</v>
      </c>
      <c r="B3662" s="3">
        <v>31.76</v>
      </c>
    </row>
    <row r="3663" spans="1:2">
      <c r="A3663" s="4">
        <v>36690</v>
      </c>
      <c r="B3663" s="3">
        <v>32.729999999999997</v>
      </c>
    </row>
    <row r="3664" spans="1:2">
      <c r="A3664" s="4">
        <v>36691</v>
      </c>
      <c r="B3664" s="3">
        <v>32.72</v>
      </c>
    </row>
    <row r="3665" spans="1:2">
      <c r="A3665" s="4">
        <v>36692</v>
      </c>
      <c r="B3665" s="3">
        <v>32.700000000000003</v>
      </c>
    </row>
    <row r="3666" spans="1:2">
      <c r="A3666" s="4">
        <v>36693</v>
      </c>
      <c r="B3666" s="3">
        <v>32.35</v>
      </c>
    </row>
    <row r="3667" spans="1:2">
      <c r="A3667" s="4">
        <v>36696</v>
      </c>
      <c r="B3667" s="3">
        <v>31.57</v>
      </c>
    </row>
    <row r="3668" spans="1:2">
      <c r="A3668" s="4">
        <v>36697</v>
      </c>
      <c r="B3668" s="3">
        <v>33.07</v>
      </c>
    </row>
    <row r="3669" spans="1:2">
      <c r="A3669" s="4">
        <v>36698</v>
      </c>
      <c r="B3669" s="3">
        <v>33.64</v>
      </c>
    </row>
    <row r="3670" spans="1:2">
      <c r="A3670" s="4">
        <v>36699</v>
      </c>
      <c r="B3670" s="3">
        <v>34.72</v>
      </c>
    </row>
    <row r="3671" spans="1:2">
      <c r="A3671" s="4">
        <v>36700</v>
      </c>
      <c r="B3671" s="3">
        <v>34.76</v>
      </c>
    </row>
    <row r="3672" spans="1:2">
      <c r="A3672" s="4">
        <v>36703</v>
      </c>
      <c r="B3672" s="3">
        <v>31.56</v>
      </c>
    </row>
    <row r="3673" spans="1:2">
      <c r="A3673" s="4">
        <v>36704</v>
      </c>
      <c r="B3673" s="3">
        <v>32.01</v>
      </c>
    </row>
    <row r="3674" spans="1:2">
      <c r="A3674" s="4">
        <v>36705</v>
      </c>
      <c r="B3674" s="3">
        <v>31.86</v>
      </c>
    </row>
    <row r="3675" spans="1:2">
      <c r="A3675" s="4">
        <v>36706</v>
      </c>
      <c r="B3675" s="3">
        <v>32.729999999999997</v>
      </c>
    </row>
    <row r="3676" spans="1:2">
      <c r="A3676" s="4">
        <v>36707</v>
      </c>
      <c r="B3676" s="3">
        <v>32.44</v>
      </c>
    </row>
    <row r="3677" spans="1:2">
      <c r="A3677" s="4">
        <v>36712</v>
      </c>
      <c r="B3677" s="3">
        <v>30.76</v>
      </c>
    </row>
    <row r="3678" spans="1:2">
      <c r="A3678" s="4">
        <v>36713</v>
      </c>
      <c r="B3678" s="3">
        <v>30.19</v>
      </c>
    </row>
    <row r="3679" spans="1:2">
      <c r="A3679" s="4">
        <v>36714</v>
      </c>
      <c r="B3679" s="3">
        <v>30.26</v>
      </c>
    </row>
    <row r="3680" spans="1:2">
      <c r="A3680" s="4">
        <v>36717</v>
      </c>
      <c r="B3680" s="3">
        <v>29.51</v>
      </c>
    </row>
    <row r="3681" spans="1:2">
      <c r="A3681" s="4">
        <v>36718</v>
      </c>
      <c r="B3681" s="3">
        <v>29.61</v>
      </c>
    </row>
    <row r="3682" spans="1:2">
      <c r="A3682" s="4">
        <v>36719</v>
      </c>
      <c r="B3682" s="3">
        <v>30.34</v>
      </c>
    </row>
    <row r="3683" spans="1:2">
      <c r="A3683" s="4">
        <v>36720</v>
      </c>
      <c r="B3683" s="3">
        <v>31.41</v>
      </c>
    </row>
    <row r="3684" spans="1:2">
      <c r="A3684" s="4">
        <v>36721</v>
      </c>
      <c r="B3684" s="3">
        <v>31.31</v>
      </c>
    </row>
    <row r="3685" spans="1:2">
      <c r="A3685" s="4">
        <v>36724</v>
      </c>
      <c r="B3685" s="3">
        <v>30.71</v>
      </c>
    </row>
    <row r="3686" spans="1:2">
      <c r="A3686" s="4">
        <v>36725</v>
      </c>
      <c r="B3686" s="3">
        <v>31.94</v>
      </c>
    </row>
    <row r="3687" spans="1:2">
      <c r="A3687" s="4">
        <v>36726</v>
      </c>
      <c r="B3687" s="3">
        <v>31.1</v>
      </c>
    </row>
    <row r="3688" spans="1:2">
      <c r="A3688" s="4">
        <v>36727</v>
      </c>
      <c r="B3688" s="3">
        <v>30.94</v>
      </c>
    </row>
    <row r="3689" spans="1:2">
      <c r="A3689" s="4">
        <v>36728</v>
      </c>
      <c r="B3689" s="3">
        <v>28.56</v>
      </c>
    </row>
    <row r="3690" spans="1:2">
      <c r="A3690" s="4">
        <v>36731</v>
      </c>
      <c r="B3690" s="3">
        <v>27.97</v>
      </c>
    </row>
    <row r="3691" spans="1:2">
      <c r="A3691" s="4">
        <v>36732</v>
      </c>
      <c r="B3691" s="3">
        <v>27.89</v>
      </c>
    </row>
    <row r="3692" spans="1:2">
      <c r="A3692" s="4">
        <v>36733</v>
      </c>
      <c r="B3692" s="3">
        <v>27.81</v>
      </c>
    </row>
    <row r="3693" spans="1:2">
      <c r="A3693" s="4">
        <v>36734</v>
      </c>
      <c r="B3693" s="3">
        <v>28.21</v>
      </c>
    </row>
    <row r="3694" spans="1:2">
      <c r="A3694" s="4">
        <v>36735</v>
      </c>
      <c r="B3694" s="3">
        <v>28.22</v>
      </c>
    </row>
    <row r="3695" spans="1:2">
      <c r="A3695" s="4">
        <v>36738</v>
      </c>
      <c r="B3695" s="3">
        <v>27.5</v>
      </c>
    </row>
    <row r="3696" spans="1:2">
      <c r="A3696" s="4">
        <v>36739</v>
      </c>
      <c r="B3696" s="3">
        <v>27.85</v>
      </c>
    </row>
    <row r="3697" spans="1:2">
      <c r="A3697" s="4">
        <v>36740</v>
      </c>
      <c r="B3697" s="3">
        <v>28.27</v>
      </c>
    </row>
    <row r="3698" spans="1:2">
      <c r="A3698" s="4">
        <v>36741</v>
      </c>
      <c r="B3698" s="3">
        <v>28.92</v>
      </c>
    </row>
    <row r="3699" spans="1:2">
      <c r="A3699" s="4">
        <v>36742</v>
      </c>
      <c r="B3699" s="3">
        <v>29.94</v>
      </c>
    </row>
    <row r="3700" spans="1:2">
      <c r="A3700" s="4">
        <v>36745</v>
      </c>
      <c r="B3700" s="3">
        <v>28.93</v>
      </c>
    </row>
    <row r="3701" spans="1:2">
      <c r="A3701" s="4">
        <v>36746</v>
      </c>
      <c r="B3701" s="3">
        <v>29.26</v>
      </c>
    </row>
    <row r="3702" spans="1:2">
      <c r="A3702" s="4">
        <v>36747</v>
      </c>
      <c r="B3702" s="3">
        <v>30.38</v>
      </c>
    </row>
    <row r="3703" spans="1:2">
      <c r="A3703" s="4">
        <v>36748</v>
      </c>
      <c r="B3703" s="3">
        <v>31.09</v>
      </c>
    </row>
    <row r="3704" spans="1:2">
      <c r="A3704" s="4">
        <v>36749</v>
      </c>
      <c r="B3704" s="3">
        <v>31.02</v>
      </c>
    </row>
    <row r="3705" spans="1:2">
      <c r="A3705" s="4">
        <v>36752</v>
      </c>
      <c r="B3705" s="3">
        <v>31.92</v>
      </c>
    </row>
    <row r="3706" spans="1:2">
      <c r="A3706" s="4">
        <v>36753</v>
      </c>
      <c r="B3706" s="3">
        <v>31.43</v>
      </c>
    </row>
    <row r="3707" spans="1:2">
      <c r="A3707" s="4">
        <v>36754</v>
      </c>
      <c r="B3707" s="3">
        <v>31.91</v>
      </c>
    </row>
    <row r="3708" spans="1:2">
      <c r="A3708" s="4">
        <v>36755</v>
      </c>
      <c r="B3708" s="3">
        <v>31.88</v>
      </c>
    </row>
    <row r="3709" spans="1:2">
      <c r="A3709" s="4">
        <v>36756</v>
      </c>
      <c r="B3709" s="3">
        <v>31.97</v>
      </c>
    </row>
    <row r="3710" spans="1:2">
      <c r="A3710" s="4">
        <v>36759</v>
      </c>
      <c r="B3710" s="3">
        <v>32.42</v>
      </c>
    </row>
    <row r="3711" spans="1:2">
      <c r="A3711" s="4">
        <v>36760</v>
      </c>
      <c r="B3711" s="3">
        <v>31.24</v>
      </c>
    </row>
    <row r="3712" spans="1:2">
      <c r="A3712" s="4">
        <v>36761</v>
      </c>
      <c r="B3712" s="3">
        <v>31.23</v>
      </c>
    </row>
    <row r="3713" spans="1:2">
      <c r="A3713" s="4">
        <v>36762</v>
      </c>
      <c r="B3713" s="3">
        <v>33.409999999999997</v>
      </c>
    </row>
    <row r="3714" spans="1:2">
      <c r="A3714" s="4">
        <v>36763</v>
      </c>
      <c r="B3714" s="3">
        <v>34.01</v>
      </c>
    </row>
    <row r="3715" spans="1:2">
      <c r="A3715" s="4">
        <v>36766</v>
      </c>
      <c r="B3715" s="3">
        <v>32.92</v>
      </c>
    </row>
    <row r="3716" spans="1:2">
      <c r="A3716" s="4">
        <v>36767</v>
      </c>
      <c r="B3716" s="3">
        <v>32.729999999999997</v>
      </c>
    </row>
    <row r="3717" spans="1:2">
      <c r="A3717" s="4">
        <v>36768</v>
      </c>
      <c r="B3717" s="3">
        <v>33.25</v>
      </c>
    </row>
    <row r="3718" spans="1:2">
      <c r="A3718" s="4">
        <v>36769</v>
      </c>
      <c r="B3718" s="3">
        <v>33.090000000000003</v>
      </c>
    </row>
    <row r="3719" spans="1:2">
      <c r="A3719" s="4">
        <v>36770</v>
      </c>
      <c r="B3719" s="3">
        <v>33.42</v>
      </c>
    </row>
    <row r="3720" spans="1:2">
      <c r="A3720" s="4">
        <v>36774</v>
      </c>
      <c r="B3720" s="3">
        <v>33.92</v>
      </c>
    </row>
    <row r="3721" spans="1:2">
      <c r="A3721" s="4">
        <v>36775</v>
      </c>
      <c r="B3721" s="3">
        <v>34.97</v>
      </c>
    </row>
    <row r="3722" spans="1:2">
      <c r="A3722" s="4">
        <v>36776</v>
      </c>
      <c r="B3722" s="3">
        <v>35.18</v>
      </c>
    </row>
    <row r="3723" spans="1:2">
      <c r="A3723" s="4">
        <v>36777</v>
      </c>
      <c r="B3723" s="3">
        <v>33.619999999999997</v>
      </c>
    </row>
    <row r="3724" spans="1:2">
      <c r="A3724" s="4">
        <v>36780</v>
      </c>
      <c r="B3724" s="3">
        <v>35.14</v>
      </c>
    </row>
    <row r="3725" spans="1:2">
      <c r="A3725" s="4">
        <v>36781</v>
      </c>
      <c r="B3725" s="3">
        <v>34.25</v>
      </c>
    </row>
    <row r="3726" spans="1:2">
      <c r="A3726" s="4">
        <v>36782</v>
      </c>
      <c r="B3726" s="3">
        <v>33.869999999999997</v>
      </c>
    </row>
    <row r="3727" spans="1:2">
      <c r="A3727" s="4">
        <v>36783</v>
      </c>
      <c r="B3727" s="3">
        <v>34.369999999999997</v>
      </c>
    </row>
    <row r="3728" spans="1:2">
      <c r="A3728" s="4">
        <v>36784</v>
      </c>
      <c r="B3728" s="3">
        <v>35.869999999999997</v>
      </c>
    </row>
    <row r="3729" spans="1:2">
      <c r="A3729" s="4">
        <v>36787</v>
      </c>
      <c r="B3729" s="3">
        <v>36.75</v>
      </c>
    </row>
    <row r="3730" spans="1:2">
      <c r="A3730" s="4">
        <v>36788</v>
      </c>
      <c r="B3730" s="3">
        <v>36.96</v>
      </c>
    </row>
    <row r="3731" spans="1:2">
      <c r="A3731" s="4">
        <v>36789</v>
      </c>
      <c r="B3731" s="3">
        <v>37.22</v>
      </c>
    </row>
    <row r="3732" spans="1:2">
      <c r="A3732" s="4">
        <v>36790</v>
      </c>
      <c r="B3732" s="3">
        <v>33.840000000000003</v>
      </c>
    </row>
    <row r="3733" spans="1:2">
      <c r="A3733" s="4">
        <v>36791</v>
      </c>
      <c r="B3733" s="3">
        <v>32.659999999999997</v>
      </c>
    </row>
    <row r="3734" spans="1:2">
      <c r="A3734" s="4">
        <v>36794</v>
      </c>
      <c r="B3734" s="3">
        <v>31.5</v>
      </c>
    </row>
    <row r="3735" spans="1:2">
      <c r="A3735" s="4">
        <v>36795</v>
      </c>
      <c r="B3735" s="3">
        <v>31.78</v>
      </c>
    </row>
    <row r="3736" spans="1:2">
      <c r="A3736" s="4">
        <v>36796</v>
      </c>
      <c r="B3736" s="3">
        <v>31.23</v>
      </c>
    </row>
    <row r="3737" spans="1:2">
      <c r="A3737" s="4">
        <v>36797</v>
      </c>
      <c r="B3737" s="3">
        <v>30.26</v>
      </c>
    </row>
    <row r="3738" spans="1:2">
      <c r="A3738" s="4">
        <v>36798</v>
      </c>
      <c r="B3738" s="3">
        <v>30.87</v>
      </c>
    </row>
    <row r="3739" spans="1:2">
      <c r="A3739" s="4">
        <v>36801</v>
      </c>
      <c r="B3739" s="3">
        <v>32.049999999999997</v>
      </c>
    </row>
    <row r="3740" spans="1:2">
      <c r="A3740" s="4">
        <v>36802</v>
      </c>
      <c r="B3740" s="3">
        <v>31.86</v>
      </c>
    </row>
    <row r="3741" spans="1:2">
      <c r="A3741" s="4">
        <v>36803</v>
      </c>
      <c r="B3741" s="3">
        <v>30.91</v>
      </c>
    </row>
    <row r="3742" spans="1:2">
      <c r="A3742" s="4">
        <v>36804</v>
      </c>
      <c r="B3742" s="3">
        <v>30.66</v>
      </c>
    </row>
    <row r="3743" spans="1:2">
      <c r="A3743" s="4">
        <v>36805</v>
      </c>
      <c r="B3743" s="3">
        <v>30.86</v>
      </c>
    </row>
    <row r="3744" spans="1:2">
      <c r="A3744" s="4">
        <v>36808</v>
      </c>
      <c r="B3744" s="3">
        <v>31.98</v>
      </c>
    </row>
    <row r="3745" spans="1:2">
      <c r="A3745" s="4">
        <v>36809</v>
      </c>
      <c r="B3745" s="3">
        <v>33.29</v>
      </c>
    </row>
    <row r="3746" spans="1:2">
      <c r="A3746" s="4">
        <v>36810</v>
      </c>
      <c r="B3746" s="3">
        <v>33.200000000000003</v>
      </c>
    </row>
    <row r="3747" spans="1:2">
      <c r="A3747" s="4">
        <v>36811</v>
      </c>
      <c r="B3747" s="3">
        <v>36.06</v>
      </c>
    </row>
    <row r="3748" spans="1:2">
      <c r="A3748" s="4">
        <v>36812</v>
      </c>
      <c r="B3748" s="3">
        <v>34.96</v>
      </c>
    </row>
    <row r="3749" spans="1:2">
      <c r="A3749" s="4">
        <v>36815</v>
      </c>
      <c r="B3749" s="3">
        <v>33.18</v>
      </c>
    </row>
    <row r="3750" spans="1:2">
      <c r="A3750" s="4">
        <v>36816</v>
      </c>
      <c r="B3750" s="3">
        <v>33.36</v>
      </c>
    </row>
    <row r="3751" spans="1:2">
      <c r="A3751" s="4">
        <v>36817</v>
      </c>
      <c r="B3751" s="3">
        <v>33.51</v>
      </c>
    </row>
    <row r="3752" spans="1:2">
      <c r="A3752" s="4">
        <v>36818</v>
      </c>
      <c r="B3752" s="3">
        <v>33.06</v>
      </c>
    </row>
    <row r="3753" spans="1:2">
      <c r="A3753" s="4">
        <v>36819</v>
      </c>
      <c r="B3753" s="3">
        <v>34.31</v>
      </c>
    </row>
    <row r="3754" spans="1:2">
      <c r="A3754" s="4">
        <v>36822</v>
      </c>
      <c r="B3754" s="3">
        <v>34.9</v>
      </c>
    </row>
    <row r="3755" spans="1:2">
      <c r="A3755" s="4">
        <v>36823</v>
      </c>
      <c r="B3755" s="3">
        <v>34.53</v>
      </c>
    </row>
    <row r="3756" spans="1:2">
      <c r="A3756" s="4">
        <v>36824</v>
      </c>
      <c r="B3756" s="3">
        <v>33.619999999999997</v>
      </c>
    </row>
    <row r="3757" spans="1:2">
      <c r="A3757" s="4">
        <v>36825</v>
      </c>
      <c r="B3757" s="3">
        <v>33.75</v>
      </c>
    </row>
    <row r="3758" spans="1:2">
      <c r="A3758" s="4">
        <v>36826</v>
      </c>
      <c r="B3758" s="3">
        <v>32.78</v>
      </c>
    </row>
    <row r="3759" spans="1:2">
      <c r="A3759" s="4">
        <v>36829</v>
      </c>
      <c r="B3759" s="3">
        <v>32.86</v>
      </c>
    </row>
    <row r="3760" spans="1:2">
      <c r="A3760" s="4">
        <v>36830</v>
      </c>
      <c r="B3760" s="3">
        <v>32.700000000000003</v>
      </c>
    </row>
    <row r="3761" spans="1:2">
      <c r="A3761" s="4">
        <v>36831</v>
      </c>
      <c r="B3761" s="3">
        <v>33.14</v>
      </c>
    </row>
    <row r="3762" spans="1:2">
      <c r="A3762" s="4">
        <v>36832</v>
      </c>
      <c r="B3762" s="3">
        <v>32.590000000000003</v>
      </c>
    </row>
    <row r="3763" spans="1:2">
      <c r="A3763" s="4">
        <v>36833</v>
      </c>
      <c r="B3763" s="3">
        <v>32.619999999999997</v>
      </c>
    </row>
    <row r="3764" spans="1:2">
      <c r="A3764" s="4">
        <v>36836</v>
      </c>
      <c r="B3764" s="3">
        <v>33.020000000000003</v>
      </c>
    </row>
    <row r="3765" spans="1:2">
      <c r="A3765" s="4">
        <v>36837</v>
      </c>
      <c r="B3765" s="3">
        <v>33.44</v>
      </c>
    </row>
    <row r="3766" spans="1:2">
      <c r="A3766" s="4">
        <v>36838</v>
      </c>
      <c r="B3766" s="3">
        <v>32.92</v>
      </c>
    </row>
    <row r="3767" spans="1:2">
      <c r="A3767" s="4">
        <v>36839</v>
      </c>
      <c r="B3767" s="3">
        <v>33.869999999999997</v>
      </c>
    </row>
    <row r="3768" spans="1:2">
      <c r="A3768" s="4">
        <v>36840</v>
      </c>
      <c r="B3768" s="3">
        <v>34.049999999999997</v>
      </c>
    </row>
    <row r="3769" spans="1:2">
      <c r="A3769" s="4">
        <v>36843</v>
      </c>
      <c r="B3769" s="3">
        <v>34.299999999999997</v>
      </c>
    </row>
    <row r="3770" spans="1:2">
      <c r="A3770" s="4">
        <v>36844</v>
      </c>
      <c r="B3770" s="3">
        <v>34.72</v>
      </c>
    </row>
    <row r="3771" spans="1:2">
      <c r="A3771" s="4">
        <v>36845</v>
      </c>
      <c r="B3771" s="3">
        <v>35.54</v>
      </c>
    </row>
    <row r="3772" spans="1:2">
      <c r="A3772" s="4">
        <v>36846</v>
      </c>
      <c r="B3772" s="3">
        <v>34.840000000000003</v>
      </c>
    </row>
    <row r="3773" spans="1:2">
      <c r="A3773" s="4">
        <v>36847</v>
      </c>
      <c r="B3773" s="3">
        <v>35.619999999999997</v>
      </c>
    </row>
    <row r="3774" spans="1:2">
      <c r="A3774" s="4">
        <v>36850</v>
      </c>
      <c r="B3774" s="3">
        <v>35.979999999999997</v>
      </c>
    </row>
    <row r="3775" spans="1:2">
      <c r="A3775" s="4">
        <v>36851</v>
      </c>
      <c r="B3775" s="3">
        <v>35.54</v>
      </c>
    </row>
    <row r="3776" spans="1:2">
      <c r="A3776" s="4">
        <v>36852</v>
      </c>
      <c r="B3776" s="3">
        <v>36.06</v>
      </c>
    </row>
    <row r="3777" spans="1:2">
      <c r="A3777" s="4">
        <v>36854</v>
      </c>
      <c r="B3777" s="3">
        <v>36.06</v>
      </c>
    </row>
    <row r="3778" spans="1:2">
      <c r="A3778" s="4">
        <v>36857</v>
      </c>
      <c r="B3778" s="3">
        <v>36.24</v>
      </c>
    </row>
    <row r="3779" spans="1:2">
      <c r="A3779" s="4">
        <v>36858</v>
      </c>
      <c r="B3779" s="3">
        <v>34.020000000000003</v>
      </c>
    </row>
    <row r="3780" spans="1:2">
      <c r="A3780" s="4">
        <v>36859</v>
      </c>
      <c r="B3780" s="3">
        <v>34.58</v>
      </c>
    </row>
    <row r="3781" spans="1:2">
      <c r="A3781" s="4">
        <v>36860</v>
      </c>
      <c r="B3781" s="3">
        <v>33.61</v>
      </c>
    </row>
    <row r="3782" spans="1:2">
      <c r="A3782" s="4">
        <v>36861</v>
      </c>
      <c r="B3782" s="3">
        <v>32.06</v>
      </c>
    </row>
    <row r="3783" spans="1:2">
      <c r="A3783" s="4">
        <v>36864</v>
      </c>
      <c r="B3783" s="3">
        <v>31.28</v>
      </c>
    </row>
    <row r="3784" spans="1:2">
      <c r="A3784" s="4">
        <v>36865</v>
      </c>
      <c r="B3784" s="3">
        <v>29.25</v>
      </c>
    </row>
    <row r="3785" spans="1:2">
      <c r="A3785" s="4">
        <v>36866</v>
      </c>
      <c r="B3785" s="3">
        <v>30.24</v>
      </c>
    </row>
    <row r="3786" spans="1:2">
      <c r="A3786" s="4">
        <v>36867</v>
      </c>
      <c r="B3786" s="3">
        <v>29.36</v>
      </c>
    </row>
    <row r="3787" spans="1:2">
      <c r="A3787" s="4">
        <v>36868</v>
      </c>
      <c r="B3787" s="3">
        <v>28.31</v>
      </c>
    </row>
    <row r="3788" spans="1:2">
      <c r="A3788" s="4">
        <v>36871</v>
      </c>
      <c r="B3788" s="3">
        <v>29.75</v>
      </c>
    </row>
    <row r="3789" spans="1:2">
      <c r="A3789" s="4">
        <v>36872</v>
      </c>
      <c r="B3789" s="3">
        <v>29.81</v>
      </c>
    </row>
    <row r="3790" spans="1:2">
      <c r="A3790" s="4">
        <v>36873</v>
      </c>
      <c r="B3790" s="3">
        <v>28.75</v>
      </c>
    </row>
    <row r="3791" spans="1:2">
      <c r="A3791" s="4">
        <v>36874</v>
      </c>
      <c r="B3791" s="3">
        <v>28.06</v>
      </c>
    </row>
    <row r="3792" spans="1:2">
      <c r="A3792" s="4">
        <v>36875</v>
      </c>
      <c r="B3792" s="3">
        <v>28.86</v>
      </c>
    </row>
    <row r="3793" spans="1:2">
      <c r="A3793" s="4">
        <v>36878</v>
      </c>
      <c r="B3793" s="3">
        <v>29.52</v>
      </c>
    </row>
    <row r="3794" spans="1:2">
      <c r="A3794" s="4">
        <v>36879</v>
      </c>
      <c r="B3794" s="3">
        <v>29.34</v>
      </c>
    </row>
    <row r="3795" spans="1:2">
      <c r="A3795" s="4">
        <v>36880</v>
      </c>
      <c r="B3795" s="3">
        <v>25.83</v>
      </c>
    </row>
    <row r="3796" spans="1:2">
      <c r="A3796" s="4">
        <v>36881</v>
      </c>
      <c r="B3796" s="3">
        <v>26.06</v>
      </c>
    </row>
    <row r="3797" spans="1:2">
      <c r="A3797" s="4">
        <v>36882</v>
      </c>
      <c r="B3797" s="3">
        <v>26.16</v>
      </c>
    </row>
    <row r="3798" spans="1:2">
      <c r="A3798" s="4">
        <v>36886</v>
      </c>
      <c r="B3798" s="3">
        <v>27</v>
      </c>
    </row>
    <row r="3799" spans="1:2">
      <c r="A3799" s="4">
        <v>36887</v>
      </c>
      <c r="B3799" s="3">
        <v>26.55</v>
      </c>
    </row>
    <row r="3800" spans="1:2">
      <c r="A3800" s="4">
        <v>36888</v>
      </c>
      <c r="B3800" s="3">
        <v>25.82</v>
      </c>
    </row>
    <row r="3801" spans="1:2">
      <c r="A3801" s="4">
        <v>36889</v>
      </c>
      <c r="B3801" s="3">
        <v>26.72</v>
      </c>
    </row>
    <row r="3802" spans="1:2">
      <c r="A3802" s="4">
        <v>36893</v>
      </c>
      <c r="B3802" s="3">
        <v>27.29</v>
      </c>
    </row>
    <row r="3803" spans="1:2">
      <c r="A3803" s="4">
        <v>36894</v>
      </c>
      <c r="B3803" s="3">
        <v>27.93</v>
      </c>
    </row>
    <row r="3804" spans="1:2">
      <c r="A3804" s="4">
        <v>36895</v>
      </c>
      <c r="B3804" s="3">
        <v>27.95</v>
      </c>
    </row>
    <row r="3805" spans="1:2">
      <c r="A3805" s="4">
        <v>36896</v>
      </c>
      <c r="B3805" s="3">
        <v>28.02</v>
      </c>
    </row>
    <row r="3806" spans="1:2">
      <c r="A3806" s="4">
        <v>36899</v>
      </c>
      <c r="B3806" s="3">
        <v>27.44</v>
      </c>
    </row>
    <row r="3807" spans="1:2">
      <c r="A3807" s="4">
        <v>36900</v>
      </c>
      <c r="B3807" s="3">
        <v>27.72</v>
      </c>
    </row>
    <row r="3808" spans="1:2">
      <c r="A3808" s="4">
        <v>36901</v>
      </c>
      <c r="B3808" s="3">
        <v>29.42</v>
      </c>
    </row>
    <row r="3809" spans="1:2">
      <c r="A3809" s="4">
        <v>36902</v>
      </c>
      <c r="B3809" s="3">
        <v>29.42</v>
      </c>
    </row>
    <row r="3810" spans="1:2">
      <c r="A3810" s="4">
        <v>36903</v>
      </c>
      <c r="B3810" s="3">
        <v>30.07</v>
      </c>
    </row>
    <row r="3811" spans="1:2">
      <c r="A3811" s="4">
        <v>36907</v>
      </c>
      <c r="B3811" s="3">
        <v>30.19</v>
      </c>
    </row>
    <row r="3812" spans="1:2">
      <c r="A3812" s="4">
        <v>36908</v>
      </c>
      <c r="B3812" s="3">
        <v>29.77</v>
      </c>
    </row>
    <row r="3813" spans="1:2">
      <c r="A3813" s="4">
        <v>36909</v>
      </c>
      <c r="B3813" s="3">
        <v>30.42</v>
      </c>
    </row>
    <row r="3814" spans="1:2">
      <c r="A3814" s="4">
        <v>36910</v>
      </c>
      <c r="B3814" s="3">
        <v>32.119999999999997</v>
      </c>
    </row>
    <row r="3815" spans="1:2">
      <c r="A3815" s="4">
        <v>36913</v>
      </c>
      <c r="B3815" s="3">
        <v>32.21</v>
      </c>
    </row>
    <row r="3816" spans="1:2">
      <c r="A3816" s="4">
        <v>36914</v>
      </c>
      <c r="B3816" s="3">
        <v>31.66</v>
      </c>
    </row>
    <row r="3817" spans="1:2">
      <c r="A3817" s="4">
        <v>36915</v>
      </c>
      <c r="B3817" s="3">
        <v>31.46</v>
      </c>
    </row>
    <row r="3818" spans="1:2">
      <c r="A3818" s="4">
        <v>36916</v>
      </c>
      <c r="B3818" s="3">
        <v>31.61</v>
      </c>
    </row>
    <row r="3819" spans="1:2">
      <c r="A3819" s="4">
        <v>36917</v>
      </c>
      <c r="B3819" s="3">
        <v>29.79</v>
      </c>
    </row>
    <row r="3820" spans="1:2">
      <c r="A3820" s="4">
        <v>36920</v>
      </c>
      <c r="B3820" s="3">
        <v>29.07</v>
      </c>
    </row>
    <row r="3821" spans="1:2">
      <c r="A3821" s="4">
        <v>36921</v>
      </c>
      <c r="B3821" s="3">
        <v>29.12</v>
      </c>
    </row>
    <row r="3822" spans="1:2">
      <c r="A3822" s="4">
        <v>36922</v>
      </c>
      <c r="B3822" s="3">
        <v>28.62</v>
      </c>
    </row>
    <row r="3823" spans="1:2">
      <c r="A3823" s="4">
        <v>36923</v>
      </c>
      <c r="B3823" s="3">
        <v>29.88</v>
      </c>
    </row>
    <row r="3824" spans="1:2">
      <c r="A3824" s="4">
        <v>36924</v>
      </c>
      <c r="B3824" s="3">
        <v>31.27</v>
      </c>
    </row>
    <row r="3825" spans="1:2">
      <c r="A3825" s="4">
        <v>36927</v>
      </c>
      <c r="B3825" s="3">
        <v>30.55</v>
      </c>
    </row>
    <row r="3826" spans="1:2">
      <c r="A3826" s="4">
        <v>36928</v>
      </c>
      <c r="B3826" s="3">
        <v>30.27</v>
      </c>
    </row>
    <row r="3827" spans="1:2">
      <c r="A3827" s="4">
        <v>36929</v>
      </c>
      <c r="B3827" s="3">
        <v>31.27</v>
      </c>
    </row>
    <row r="3828" spans="1:2">
      <c r="A3828" s="4">
        <v>36930</v>
      </c>
      <c r="B3828" s="3">
        <v>31.57</v>
      </c>
    </row>
    <row r="3829" spans="1:2">
      <c r="A3829" s="4">
        <v>36931</v>
      </c>
      <c r="B3829" s="3">
        <v>30.93</v>
      </c>
    </row>
    <row r="3830" spans="1:2">
      <c r="A3830" s="4">
        <v>36934</v>
      </c>
      <c r="B3830" s="3">
        <v>30.52</v>
      </c>
    </row>
    <row r="3831" spans="1:2">
      <c r="A3831" s="4">
        <v>36935</v>
      </c>
      <c r="B3831" s="3">
        <v>30.12</v>
      </c>
    </row>
    <row r="3832" spans="1:2">
      <c r="A3832" s="4">
        <v>36936</v>
      </c>
      <c r="B3832" s="3">
        <v>29.55</v>
      </c>
    </row>
    <row r="3833" spans="1:2">
      <c r="A3833" s="4">
        <v>36937</v>
      </c>
      <c r="B3833" s="3">
        <v>28.96</v>
      </c>
    </row>
    <row r="3834" spans="1:2">
      <c r="A3834" s="4">
        <v>36938</v>
      </c>
      <c r="B3834" s="3">
        <v>29.22</v>
      </c>
    </row>
    <row r="3835" spans="1:2">
      <c r="A3835" s="4">
        <v>36942</v>
      </c>
      <c r="B3835" s="3">
        <v>28.6</v>
      </c>
    </row>
    <row r="3836" spans="1:2">
      <c r="A3836" s="4">
        <v>36943</v>
      </c>
      <c r="B3836" s="3">
        <v>28.64</v>
      </c>
    </row>
    <row r="3837" spans="1:2">
      <c r="A3837" s="4">
        <v>36944</v>
      </c>
      <c r="B3837" s="3">
        <v>28.52</v>
      </c>
    </row>
    <row r="3838" spans="1:2">
      <c r="A3838" s="4">
        <v>36945</v>
      </c>
      <c r="B3838" s="3">
        <v>28.83</v>
      </c>
    </row>
    <row r="3839" spans="1:2">
      <c r="A3839" s="4">
        <v>36948</v>
      </c>
      <c r="B3839" s="3">
        <v>28.27</v>
      </c>
    </row>
    <row r="3840" spans="1:2">
      <c r="A3840" s="4">
        <v>36949</v>
      </c>
      <c r="B3840" s="3">
        <v>28.26</v>
      </c>
    </row>
    <row r="3841" spans="1:2">
      <c r="A3841" s="4">
        <v>36950</v>
      </c>
      <c r="B3841" s="3">
        <v>27.35</v>
      </c>
    </row>
    <row r="3842" spans="1:2">
      <c r="A3842" s="4">
        <v>36951</v>
      </c>
      <c r="B3842" s="3">
        <v>27.78</v>
      </c>
    </row>
    <row r="3843" spans="1:2">
      <c r="A3843" s="4">
        <v>36952</v>
      </c>
      <c r="B3843" s="3">
        <v>27.89</v>
      </c>
    </row>
    <row r="3844" spans="1:2">
      <c r="A3844" s="4">
        <v>36955</v>
      </c>
      <c r="B3844" s="3">
        <v>28.61</v>
      </c>
    </row>
    <row r="3845" spans="1:2">
      <c r="A3845" s="4">
        <v>36956</v>
      </c>
      <c r="B3845" s="3">
        <v>28.4</v>
      </c>
    </row>
    <row r="3846" spans="1:2">
      <c r="A3846" s="4">
        <v>36957</v>
      </c>
      <c r="B3846" s="3">
        <v>28.95</v>
      </c>
    </row>
    <row r="3847" spans="1:2">
      <c r="A3847" s="4">
        <v>36958</v>
      </c>
      <c r="B3847" s="3">
        <v>28.31</v>
      </c>
    </row>
    <row r="3848" spans="1:2">
      <c r="A3848" s="4">
        <v>36959</v>
      </c>
      <c r="B3848" s="3">
        <v>27.97</v>
      </c>
    </row>
    <row r="3849" spans="1:2">
      <c r="A3849" s="4">
        <v>36962</v>
      </c>
      <c r="B3849" s="3">
        <v>27.91</v>
      </c>
    </row>
    <row r="3850" spans="1:2">
      <c r="A3850" s="4">
        <v>36963</v>
      </c>
      <c r="B3850" s="3">
        <v>27.45</v>
      </c>
    </row>
    <row r="3851" spans="1:2">
      <c r="A3851" s="4">
        <v>36964</v>
      </c>
      <c r="B3851" s="3">
        <v>26.49</v>
      </c>
    </row>
    <row r="3852" spans="1:2">
      <c r="A3852" s="4">
        <v>36965</v>
      </c>
      <c r="B3852" s="3">
        <v>26.56</v>
      </c>
    </row>
    <row r="3853" spans="1:2">
      <c r="A3853" s="4">
        <v>36966</v>
      </c>
      <c r="B3853" s="3">
        <v>26.68</v>
      </c>
    </row>
    <row r="3854" spans="1:2">
      <c r="A3854" s="4">
        <v>36969</v>
      </c>
      <c r="B3854" s="3">
        <v>26.17</v>
      </c>
    </row>
    <row r="3855" spans="1:2">
      <c r="A3855" s="4">
        <v>36970</v>
      </c>
      <c r="B3855" s="3">
        <v>25.99</v>
      </c>
    </row>
    <row r="3856" spans="1:2">
      <c r="A3856" s="4">
        <v>36971</v>
      </c>
      <c r="B3856" s="3">
        <v>26.43</v>
      </c>
    </row>
    <row r="3857" spans="1:2">
      <c r="A3857" s="4">
        <v>36972</v>
      </c>
      <c r="B3857" s="3">
        <v>26.19</v>
      </c>
    </row>
    <row r="3858" spans="1:2">
      <c r="A3858" s="4">
        <v>36973</v>
      </c>
      <c r="B3858" s="3">
        <v>27.31</v>
      </c>
    </row>
    <row r="3859" spans="1:2">
      <c r="A3859" s="4">
        <v>36976</v>
      </c>
      <c r="B3859" s="3">
        <v>27.4</v>
      </c>
    </row>
    <row r="3860" spans="1:2">
      <c r="A3860" s="4">
        <v>36977</v>
      </c>
      <c r="B3860" s="3">
        <v>27.62</v>
      </c>
    </row>
    <row r="3861" spans="1:2">
      <c r="A3861" s="4">
        <v>36978</v>
      </c>
      <c r="B3861" s="3">
        <v>26.43</v>
      </c>
    </row>
    <row r="3862" spans="1:2">
      <c r="A3862" s="4">
        <v>36979</v>
      </c>
      <c r="B3862" s="3">
        <v>26.47</v>
      </c>
    </row>
    <row r="3863" spans="1:2">
      <c r="A3863" s="4">
        <v>36980</v>
      </c>
      <c r="B3863" s="3">
        <v>26.37</v>
      </c>
    </row>
    <row r="3864" spans="1:2">
      <c r="A3864" s="4">
        <v>36983</v>
      </c>
      <c r="B3864" s="3">
        <v>25.7</v>
      </c>
    </row>
    <row r="3865" spans="1:2">
      <c r="A3865" s="4">
        <v>36984</v>
      </c>
      <c r="B3865" s="3">
        <v>26.65</v>
      </c>
    </row>
    <row r="3866" spans="1:2">
      <c r="A3866" s="4">
        <v>36985</v>
      </c>
      <c r="B3866" s="3">
        <v>27.16</v>
      </c>
    </row>
    <row r="3867" spans="1:2">
      <c r="A3867" s="4">
        <v>36986</v>
      </c>
      <c r="B3867" s="3">
        <v>27.24</v>
      </c>
    </row>
    <row r="3868" spans="1:2">
      <c r="A3868" s="4">
        <v>36987</v>
      </c>
      <c r="B3868" s="3">
        <v>27.07</v>
      </c>
    </row>
    <row r="3869" spans="1:2">
      <c r="A3869" s="4">
        <v>36990</v>
      </c>
      <c r="B3869" s="3">
        <v>27.45</v>
      </c>
    </row>
    <row r="3870" spans="1:2">
      <c r="A3870" s="4">
        <v>36991</v>
      </c>
      <c r="B3870" s="3">
        <v>28.47</v>
      </c>
    </row>
    <row r="3871" spans="1:2">
      <c r="A3871" s="4">
        <v>36992</v>
      </c>
      <c r="B3871" s="3">
        <v>28.42</v>
      </c>
    </row>
    <row r="3872" spans="1:2">
      <c r="A3872" s="4">
        <v>36993</v>
      </c>
      <c r="B3872" s="3">
        <v>28.75</v>
      </c>
    </row>
    <row r="3873" spans="1:2">
      <c r="A3873" s="4">
        <v>36997</v>
      </c>
      <c r="B3873" s="3">
        <v>28.81</v>
      </c>
    </row>
    <row r="3874" spans="1:2">
      <c r="A3874" s="4">
        <v>36998</v>
      </c>
      <c r="B3874" s="3">
        <v>27.89</v>
      </c>
    </row>
    <row r="3875" spans="1:2">
      <c r="A3875" s="4">
        <v>36999</v>
      </c>
      <c r="B3875" s="3">
        <v>27.83</v>
      </c>
    </row>
    <row r="3876" spans="1:2">
      <c r="A3876" s="4">
        <v>37000</v>
      </c>
      <c r="B3876" s="3">
        <v>27.92</v>
      </c>
    </row>
    <row r="3877" spans="1:2">
      <c r="A3877" s="4">
        <v>37001</v>
      </c>
      <c r="B3877" s="3">
        <v>27</v>
      </c>
    </row>
    <row r="3878" spans="1:2">
      <c r="A3878" s="4">
        <v>37004</v>
      </c>
      <c r="B3878" s="3">
        <v>26.97</v>
      </c>
    </row>
    <row r="3879" spans="1:2">
      <c r="A3879" s="4">
        <v>37005</v>
      </c>
      <c r="B3879" s="3">
        <v>25.24</v>
      </c>
    </row>
    <row r="3880" spans="1:2">
      <c r="A3880" s="4">
        <v>37006</v>
      </c>
      <c r="B3880" s="3">
        <v>25.93</v>
      </c>
    </row>
    <row r="3881" spans="1:2">
      <c r="A3881" s="4">
        <v>37007</v>
      </c>
      <c r="B3881" s="3">
        <v>28.47</v>
      </c>
    </row>
    <row r="3882" spans="1:2">
      <c r="A3882" s="4">
        <v>37008</v>
      </c>
      <c r="B3882" s="3">
        <v>28.35</v>
      </c>
    </row>
    <row r="3883" spans="1:2">
      <c r="A3883" s="4">
        <v>37011</v>
      </c>
      <c r="B3883" s="3">
        <v>28.48</v>
      </c>
    </row>
    <row r="3884" spans="1:2">
      <c r="A3884" s="4">
        <v>37012</v>
      </c>
      <c r="B3884" s="3">
        <v>28.37</v>
      </c>
    </row>
    <row r="3885" spans="1:2">
      <c r="A3885" s="4">
        <v>37013</v>
      </c>
      <c r="B3885" s="3">
        <v>27.89</v>
      </c>
    </row>
    <row r="3886" spans="1:2">
      <c r="A3886" s="4">
        <v>37014</v>
      </c>
      <c r="B3886" s="3">
        <v>28.66</v>
      </c>
    </row>
    <row r="3887" spans="1:2">
      <c r="A3887" s="4">
        <v>37015</v>
      </c>
      <c r="B3887" s="3">
        <v>28.41</v>
      </c>
    </row>
    <row r="3888" spans="1:2">
      <c r="A3888" s="4">
        <v>37018</v>
      </c>
      <c r="B3888" s="3">
        <v>27.79</v>
      </c>
    </row>
    <row r="3889" spans="1:2">
      <c r="A3889" s="4">
        <v>37019</v>
      </c>
      <c r="B3889" s="3">
        <v>27.35</v>
      </c>
    </row>
    <row r="3890" spans="1:2">
      <c r="A3890" s="4">
        <v>37020</v>
      </c>
      <c r="B3890" s="3">
        <v>28.39</v>
      </c>
    </row>
    <row r="3891" spans="1:2">
      <c r="A3891" s="4">
        <v>37021</v>
      </c>
      <c r="B3891" s="3">
        <v>28.5</v>
      </c>
    </row>
    <row r="3892" spans="1:2">
      <c r="A3892" s="4">
        <v>37022</v>
      </c>
      <c r="B3892" s="3">
        <v>28.59</v>
      </c>
    </row>
    <row r="3893" spans="1:2">
      <c r="A3893" s="4">
        <v>37025</v>
      </c>
      <c r="B3893" s="3">
        <v>28.83</v>
      </c>
    </row>
    <row r="3894" spans="1:2">
      <c r="A3894" s="4">
        <v>37026</v>
      </c>
      <c r="B3894" s="3">
        <v>28.9</v>
      </c>
    </row>
    <row r="3895" spans="1:2">
      <c r="A3895" s="4">
        <v>37027</v>
      </c>
      <c r="B3895" s="3">
        <v>28.77</v>
      </c>
    </row>
    <row r="3896" spans="1:2">
      <c r="A3896" s="4">
        <v>37028</v>
      </c>
      <c r="B3896" s="3">
        <v>29.02</v>
      </c>
    </row>
    <row r="3897" spans="1:2">
      <c r="A3897" s="4">
        <v>37029</v>
      </c>
      <c r="B3897" s="3">
        <v>29.9</v>
      </c>
    </row>
    <row r="3898" spans="1:2">
      <c r="A3898" s="4">
        <v>37032</v>
      </c>
      <c r="B3898" s="3">
        <v>29.96</v>
      </c>
    </row>
    <row r="3899" spans="1:2">
      <c r="A3899" s="4">
        <v>37033</v>
      </c>
      <c r="B3899" s="3">
        <v>29.75</v>
      </c>
    </row>
    <row r="3900" spans="1:2">
      <c r="A3900" s="4">
        <v>37034</v>
      </c>
      <c r="B3900" s="3">
        <v>28.85</v>
      </c>
    </row>
    <row r="3901" spans="1:2">
      <c r="A3901" s="4">
        <v>37035</v>
      </c>
      <c r="B3901" s="3">
        <v>27.97</v>
      </c>
    </row>
    <row r="3902" spans="1:2">
      <c r="A3902" s="4">
        <v>37036</v>
      </c>
      <c r="B3902" s="3">
        <v>28.08</v>
      </c>
    </row>
    <row r="3903" spans="1:2">
      <c r="A3903" s="4">
        <v>37040</v>
      </c>
      <c r="B3903" s="3">
        <v>28.76</v>
      </c>
    </row>
    <row r="3904" spans="1:2">
      <c r="A3904" s="4">
        <v>37041</v>
      </c>
      <c r="B3904" s="3">
        <v>28.71</v>
      </c>
    </row>
    <row r="3905" spans="1:2">
      <c r="A3905" s="4">
        <v>37042</v>
      </c>
      <c r="B3905" s="3">
        <v>28.39</v>
      </c>
    </row>
    <row r="3906" spans="1:2">
      <c r="A3906" s="4">
        <v>37043</v>
      </c>
      <c r="B3906" s="3">
        <v>27.88</v>
      </c>
    </row>
    <row r="3907" spans="1:2">
      <c r="A3907" s="4">
        <v>37046</v>
      </c>
      <c r="B3907" s="3">
        <v>28.14</v>
      </c>
    </row>
    <row r="3908" spans="1:2">
      <c r="A3908" s="4">
        <v>37047</v>
      </c>
      <c r="B3908" s="3">
        <v>27.84</v>
      </c>
    </row>
    <row r="3909" spans="1:2">
      <c r="A3909" s="4">
        <v>37048</v>
      </c>
      <c r="B3909" s="3">
        <v>27.56</v>
      </c>
    </row>
    <row r="3910" spans="1:2">
      <c r="A3910" s="4">
        <v>37049</v>
      </c>
      <c r="B3910" s="3">
        <v>27.91</v>
      </c>
    </row>
    <row r="3911" spans="1:2">
      <c r="A3911" s="4">
        <v>37050</v>
      </c>
      <c r="B3911" s="3">
        <v>28.43</v>
      </c>
    </row>
    <row r="3912" spans="1:2">
      <c r="A3912" s="4">
        <v>37053</v>
      </c>
      <c r="B3912" s="3">
        <v>28.94</v>
      </c>
    </row>
    <row r="3913" spans="1:2">
      <c r="A3913" s="4">
        <v>37054</v>
      </c>
      <c r="B3913" s="3">
        <v>29.13</v>
      </c>
    </row>
    <row r="3914" spans="1:2">
      <c r="A3914" s="4">
        <v>37055</v>
      </c>
      <c r="B3914" s="3">
        <v>28.81</v>
      </c>
    </row>
    <row r="3915" spans="1:2">
      <c r="A3915" s="4">
        <v>37056</v>
      </c>
      <c r="B3915" s="3">
        <v>29.12</v>
      </c>
    </row>
    <row r="3916" spans="1:2">
      <c r="A3916" s="4">
        <v>37057</v>
      </c>
      <c r="B3916" s="3">
        <v>28.52</v>
      </c>
    </row>
    <row r="3917" spans="1:2">
      <c r="A3917" s="4">
        <v>37060</v>
      </c>
      <c r="B3917" s="3">
        <v>27.55</v>
      </c>
    </row>
    <row r="3918" spans="1:2">
      <c r="A3918" s="4">
        <v>37061</v>
      </c>
      <c r="B3918" s="3">
        <v>27.49</v>
      </c>
    </row>
    <row r="3919" spans="1:2">
      <c r="A3919" s="4">
        <v>37062</v>
      </c>
      <c r="B3919" s="3">
        <v>26.52</v>
      </c>
    </row>
    <row r="3920" spans="1:2">
      <c r="A3920" s="4">
        <v>37063</v>
      </c>
      <c r="B3920" s="3">
        <v>26.85</v>
      </c>
    </row>
    <row r="3921" spans="1:2">
      <c r="A3921" s="4">
        <v>37064</v>
      </c>
      <c r="B3921" s="3">
        <v>27.02</v>
      </c>
    </row>
    <row r="3922" spans="1:2">
      <c r="A3922" s="4">
        <v>37067</v>
      </c>
      <c r="B3922" s="3">
        <v>27.11</v>
      </c>
    </row>
    <row r="3923" spans="1:2">
      <c r="A3923" s="4">
        <v>37068</v>
      </c>
      <c r="B3923" s="3">
        <v>26.97</v>
      </c>
    </row>
    <row r="3924" spans="1:2">
      <c r="A3924" s="4">
        <v>37069</v>
      </c>
      <c r="B3924" s="3">
        <v>25.67</v>
      </c>
    </row>
    <row r="3925" spans="1:2">
      <c r="A3925" s="4">
        <v>37070</v>
      </c>
      <c r="B3925" s="3">
        <v>25.75</v>
      </c>
    </row>
    <row r="3926" spans="1:2">
      <c r="A3926" s="4">
        <v>37071</v>
      </c>
      <c r="B3926" s="3">
        <v>26.37</v>
      </c>
    </row>
    <row r="3927" spans="1:2">
      <c r="A3927" s="4">
        <v>37074</v>
      </c>
      <c r="B3927" s="3">
        <v>26.02</v>
      </c>
    </row>
    <row r="3928" spans="1:2">
      <c r="A3928" s="4">
        <v>37075</v>
      </c>
      <c r="B3928" s="3">
        <v>26.28</v>
      </c>
    </row>
    <row r="3929" spans="1:2">
      <c r="A3929" s="4">
        <v>37077</v>
      </c>
      <c r="B3929" s="3">
        <v>27.07</v>
      </c>
    </row>
    <row r="3930" spans="1:2">
      <c r="A3930" s="4">
        <v>37078</v>
      </c>
      <c r="B3930" s="3">
        <v>28.1</v>
      </c>
    </row>
    <row r="3931" spans="1:2">
      <c r="A3931" s="4">
        <v>37081</v>
      </c>
      <c r="B3931" s="3">
        <v>27.63</v>
      </c>
    </row>
    <row r="3932" spans="1:2">
      <c r="A3932" s="4">
        <v>37082</v>
      </c>
      <c r="B3932" s="3">
        <v>27.22</v>
      </c>
    </row>
    <row r="3933" spans="1:2">
      <c r="A3933" s="4">
        <v>37083</v>
      </c>
      <c r="B3933" s="3">
        <v>27.07</v>
      </c>
    </row>
    <row r="3934" spans="1:2">
      <c r="A3934" s="4">
        <v>37084</v>
      </c>
      <c r="B3934" s="3">
        <v>26.85</v>
      </c>
    </row>
    <row r="3935" spans="1:2">
      <c r="A3935" s="4">
        <v>37085</v>
      </c>
      <c r="B3935" s="3">
        <v>26.57</v>
      </c>
    </row>
    <row r="3936" spans="1:2">
      <c r="A3936" s="4">
        <v>37088</v>
      </c>
      <c r="B3936" s="3">
        <v>26.02</v>
      </c>
    </row>
    <row r="3937" spans="1:2">
      <c r="A3937" s="4">
        <v>37089</v>
      </c>
      <c r="B3937" s="3">
        <v>25.33</v>
      </c>
    </row>
    <row r="3938" spans="1:2">
      <c r="A3938" s="4">
        <v>37090</v>
      </c>
      <c r="B3938" s="3">
        <v>24.65</v>
      </c>
    </row>
    <row r="3939" spans="1:2">
      <c r="A3939" s="4">
        <v>37091</v>
      </c>
      <c r="B3939" s="3">
        <v>24.65</v>
      </c>
    </row>
    <row r="3940" spans="1:2">
      <c r="A3940" s="4">
        <v>37092</v>
      </c>
      <c r="B3940" s="3">
        <v>25.67</v>
      </c>
    </row>
    <row r="3941" spans="1:2">
      <c r="A3941" s="4">
        <v>37095</v>
      </c>
      <c r="B3941" s="3">
        <v>25.88</v>
      </c>
    </row>
    <row r="3942" spans="1:2">
      <c r="A3942" s="4">
        <v>37096</v>
      </c>
      <c r="B3942" s="3">
        <v>26.18</v>
      </c>
    </row>
    <row r="3943" spans="1:2">
      <c r="A3943" s="4">
        <v>37097</v>
      </c>
      <c r="B3943" s="3">
        <v>26.71</v>
      </c>
    </row>
    <row r="3944" spans="1:2">
      <c r="A3944" s="4">
        <v>37098</v>
      </c>
      <c r="B3944" s="3">
        <v>26.74</v>
      </c>
    </row>
    <row r="3945" spans="1:2">
      <c r="A3945" s="4">
        <v>37099</v>
      </c>
      <c r="B3945" s="3">
        <v>26.98</v>
      </c>
    </row>
    <row r="3946" spans="1:2">
      <c r="A3946" s="4">
        <v>37102</v>
      </c>
      <c r="B3946" s="3">
        <v>26.6</v>
      </c>
    </row>
    <row r="3947" spans="1:2">
      <c r="A3947" s="4">
        <v>37103</v>
      </c>
      <c r="B3947" s="3">
        <v>26.7</v>
      </c>
    </row>
    <row r="3948" spans="1:2">
      <c r="A3948" s="4">
        <v>37104</v>
      </c>
      <c r="B3948" s="3">
        <v>26.83</v>
      </c>
    </row>
    <row r="3949" spans="1:2">
      <c r="A3949" s="4">
        <v>37105</v>
      </c>
      <c r="B3949" s="3">
        <v>27.86</v>
      </c>
    </row>
    <row r="3950" spans="1:2">
      <c r="A3950" s="4">
        <v>37106</v>
      </c>
      <c r="B3950" s="3">
        <v>27.51</v>
      </c>
    </row>
    <row r="3951" spans="1:2">
      <c r="A3951" s="4">
        <v>37109</v>
      </c>
      <c r="B3951" s="3">
        <v>27.7</v>
      </c>
    </row>
    <row r="3952" spans="1:2">
      <c r="A3952" s="4">
        <v>37110</v>
      </c>
      <c r="B3952" s="3">
        <v>28.17</v>
      </c>
    </row>
    <row r="3953" spans="1:2">
      <c r="A3953" s="4">
        <v>37111</v>
      </c>
      <c r="B3953" s="3">
        <v>27.62</v>
      </c>
    </row>
    <row r="3954" spans="1:2">
      <c r="A3954" s="4">
        <v>37112</v>
      </c>
      <c r="B3954" s="3">
        <v>27.72</v>
      </c>
    </row>
    <row r="3955" spans="1:2">
      <c r="A3955" s="4">
        <v>37113</v>
      </c>
      <c r="B3955" s="3">
        <v>28.12</v>
      </c>
    </row>
    <row r="3956" spans="1:2">
      <c r="A3956" s="4">
        <v>37116</v>
      </c>
      <c r="B3956" s="3">
        <v>27.85</v>
      </c>
    </row>
    <row r="3957" spans="1:2">
      <c r="A3957" s="4">
        <v>37117</v>
      </c>
      <c r="B3957" s="3">
        <v>28.1</v>
      </c>
    </row>
    <row r="3958" spans="1:2">
      <c r="A3958" s="4">
        <v>37118</v>
      </c>
      <c r="B3958" s="3">
        <v>27.51</v>
      </c>
    </row>
    <row r="3959" spans="1:2">
      <c r="A3959" s="4">
        <v>37119</v>
      </c>
      <c r="B3959" s="3">
        <v>27.47</v>
      </c>
    </row>
    <row r="3960" spans="1:2">
      <c r="A3960" s="4">
        <v>37120</v>
      </c>
      <c r="B3960" s="3">
        <v>26.65</v>
      </c>
    </row>
    <row r="3961" spans="1:2">
      <c r="A3961" s="4">
        <v>37123</v>
      </c>
      <c r="B3961" s="3">
        <v>27.2</v>
      </c>
    </row>
    <row r="3962" spans="1:2">
      <c r="A3962" s="4">
        <v>37124</v>
      </c>
      <c r="B3962" s="3">
        <v>27.93</v>
      </c>
    </row>
    <row r="3963" spans="1:2">
      <c r="A3963" s="4">
        <v>37125</v>
      </c>
      <c r="B3963" s="3">
        <v>27.17</v>
      </c>
    </row>
    <row r="3964" spans="1:2">
      <c r="A3964" s="4">
        <v>37126</v>
      </c>
      <c r="B3964" s="3">
        <v>25.63</v>
      </c>
    </row>
    <row r="3965" spans="1:2">
      <c r="A3965" s="4">
        <v>37127</v>
      </c>
      <c r="B3965" s="3">
        <v>28.34</v>
      </c>
    </row>
    <row r="3966" spans="1:2">
      <c r="A3966" s="4">
        <v>37130</v>
      </c>
      <c r="B3966" s="3">
        <v>26.69</v>
      </c>
    </row>
    <row r="3967" spans="1:2">
      <c r="A3967" s="4">
        <v>37131</v>
      </c>
      <c r="B3967" s="3">
        <v>27.16</v>
      </c>
    </row>
    <row r="3968" spans="1:2">
      <c r="A3968" s="4">
        <v>37132</v>
      </c>
      <c r="B3968" s="3">
        <v>27.07</v>
      </c>
    </row>
    <row r="3969" spans="1:2">
      <c r="A3969" s="4">
        <v>37133</v>
      </c>
      <c r="B3969" s="3">
        <v>26.65</v>
      </c>
    </row>
    <row r="3970" spans="1:2">
      <c r="A3970" s="4">
        <v>37134</v>
      </c>
      <c r="B3970" s="3">
        <v>26.65</v>
      </c>
    </row>
    <row r="3971" spans="1:2">
      <c r="A3971" s="4">
        <v>37138</v>
      </c>
      <c r="B3971" s="3">
        <v>26.94</v>
      </c>
    </row>
    <row r="3972" spans="1:2">
      <c r="A3972" s="4">
        <v>37139</v>
      </c>
      <c r="B3972" s="3">
        <v>27.03</v>
      </c>
    </row>
    <row r="3973" spans="1:2">
      <c r="A3973" s="4">
        <v>37140</v>
      </c>
      <c r="B3973" s="3">
        <v>27.54</v>
      </c>
    </row>
    <row r="3974" spans="1:2">
      <c r="A3974" s="4">
        <v>37141</v>
      </c>
      <c r="B3974" s="3">
        <v>27.99</v>
      </c>
    </row>
    <row r="3975" spans="1:2">
      <c r="A3975" s="4">
        <v>37144</v>
      </c>
      <c r="B3975" s="3">
        <v>27.66</v>
      </c>
    </row>
    <row r="3976" spans="1:2">
      <c r="A3976" s="4">
        <v>37145</v>
      </c>
      <c r="B3976" s="3">
        <v>27.65</v>
      </c>
    </row>
    <row r="3977" spans="1:2">
      <c r="A3977" s="4">
        <v>37146</v>
      </c>
      <c r="B3977" s="3">
        <v>27.64</v>
      </c>
    </row>
    <row r="3978" spans="1:2">
      <c r="A3978" s="4">
        <v>37147</v>
      </c>
      <c r="B3978" s="3">
        <v>28.58</v>
      </c>
    </row>
    <row r="3979" spans="1:2">
      <c r="A3979" s="4">
        <v>37148</v>
      </c>
      <c r="B3979" s="3">
        <v>29.59</v>
      </c>
    </row>
    <row r="3980" spans="1:2">
      <c r="A3980" s="4">
        <v>37151</v>
      </c>
      <c r="B3980" s="3">
        <v>28.84</v>
      </c>
    </row>
    <row r="3981" spans="1:2">
      <c r="A3981" s="4">
        <v>37152</v>
      </c>
      <c r="B3981" s="3">
        <v>27.81</v>
      </c>
    </row>
    <row r="3982" spans="1:2">
      <c r="A3982" s="4">
        <v>37153</v>
      </c>
      <c r="B3982" s="3">
        <v>26.73</v>
      </c>
    </row>
    <row r="3983" spans="1:2">
      <c r="A3983" s="4">
        <v>37154</v>
      </c>
      <c r="B3983" s="3">
        <v>26.6</v>
      </c>
    </row>
    <row r="3984" spans="1:2">
      <c r="A3984" s="4">
        <v>37155</v>
      </c>
      <c r="B3984" s="3">
        <v>25.46</v>
      </c>
    </row>
    <row r="3985" spans="1:2">
      <c r="A3985" s="4">
        <v>37158</v>
      </c>
      <c r="B3985" s="3">
        <v>21.46</v>
      </c>
    </row>
    <row r="3986" spans="1:2">
      <c r="A3986" s="4">
        <v>37159</v>
      </c>
      <c r="B3986" s="3">
        <v>21.63</v>
      </c>
    </row>
    <row r="3987" spans="1:2">
      <c r="A3987" s="4">
        <v>37160</v>
      </c>
      <c r="B3987" s="3">
        <v>22.4</v>
      </c>
    </row>
    <row r="3988" spans="1:2">
      <c r="A3988" s="4">
        <v>37161</v>
      </c>
      <c r="B3988" s="3">
        <v>22.8</v>
      </c>
    </row>
    <row r="3989" spans="1:2">
      <c r="A3989" s="4">
        <v>37162</v>
      </c>
      <c r="B3989" s="3">
        <v>23.44</v>
      </c>
    </row>
    <row r="3990" spans="1:2">
      <c r="A3990" s="4">
        <v>37165</v>
      </c>
      <c r="B3990" s="3">
        <v>23.12</v>
      </c>
    </row>
    <row r="3991" spans="1:2">
      <c r="A3991" s="4">
        <v>37166</v>
      </c>
      <c r="B3991" s="3">
        <v>22.7</v>
      </c>
    </row>
    <row r="3992" spans="1:2">
      <c r="A3992" s="4">
        <v>37167</v>
      </c>
      <c r="B3992" s="3">
        <v>22.17</v>
      </c>
    </row>
    <row r="3993" spans="1:2">
      <c r="A3993" s="4">
        <v>37168</v>
      </c>
      <c r="B3993" s="3">
        <v>22.7</v>
      </c>
    </row>
    <row r="3994" spans="1:2">
      <c r="A3994" s="4">
        <v>37169</v>
      </c>
      <c r="B3994" s="3">
        <v>22.32</v>
      </c>
    </row>
    <row r="3995" spans="1:2">
      <c r="A3995" s="4">
        <v>37172</v>
      </c>
      <c r="B3995" s="3">
        <v>22.25</v>
      </c>
    </row>
    <row r="3996" spans="1:2">
      <c r="A3996" s="4">
        <v>37173</v>
      </c>
      <c r="B3996" s="3">
        <v>22.55</v>
      </c>
    </row>
    <row r="3997" spans="1:2">
      <c r="A3997" s="4">
        <v>37174</v>
      </c>
      <c r="B3997" s="3">
        <v>22.51</v>
      </c>
    </row>
    <row r="3998" spans="1:2">
      <c r="A3998" s="4">
        <v>37175</v>
      </c>
      <c r="B3998" s="3">
        <v>23.49</v>
      </c>
    </row>
    <row r="3999" spans="1:2">
      <c r="A3999" s="4">
        <v>37176</v>
      </c>
      <c r="B3999" s="3">
        <v>22.49</v>
      </c>
    </row>
    <row r="4000" spans="1:2">
      <c r="A4000" s="4">
        <v>37179</v>
      </c>
      <c r="B4000" s="3">
        <v>22.37</v>
      </c>
    </row>
    <row r="4001" spans="1:2">
      <c r="A4001" s="4">
        <v>37180</v>
      </c>
      <c r="B4001" s="3">
        <v>22.01</v>
      </c>
    </row>
    <row r="4002" spans="1:2">
      <c r="A4002" s="4">
        <v>37181</v>
      </c>
      <c r="B4002" s="3">
        <v>21.89</v>
      </c>
    </row>
    <row r="4003" spans="1:2">
      <c r="A4003" s="4">
        <v>37182</v>
      </c>
      <c r="B4003" s="3">
        <v>21.33</v>
      </c>
    </row>
    <row r="4004" spans="1:2">
      <c r="A4004" s="4">
        <v>37183</v>
      </c>
      <c r="B4004" s="3">
        <v>21.99</v>
      </c>
    </row>
    <row r="4005" spans="1:2">
      <c r="A4005" s="4">
        <v>37186</v>
      </c>
      <c r="B4005" s="3">
        <v>21.78</v>
      </c>
    </row>
    <row r="4006" spans="1:2">
      <c r="A4006" s="4">
        <v>37187</v>
      </c>
      <c r="B4006" s="3">
        <v>21.28</v>
      </c>
    </row>
    <row r="4007" spans="1:2">
      <c r="A4007" s="4">
        <v>37188</v>
      </c>
      <c r="B4007" s="3">
        <v>22</v>
      </c>
    </row>
    <row r="4008" spans="1:2">
      <c r="A4008" s="4">
        <v>37189</v>
      </c>
      <c r="B4008" s="3">
        <v>21.75</v>
      </c>
    </row>
    <row r="4009" spans="1:2">
      <c r="A4009" s="4">
        <v>37190</v>
      </c>
      <c r="B4009" s="3">
        <v>22.07</v>
      </c>
    </row>
    <row r="4010" spans="1:2">
      <c r="A4010" s="4">
        <v>37193</v>
      </c>
      <c r="B4010" s="3">
        <v>22.1</v>
      </c>
    </row>
    <row r="4011" spans="1:2">
      <c r="A4011" s="4">
        <v>37194</v>
      </c>
      <c r="B4011" s="3">
        <v>21.83</v>
      </c>
    </row>
    <row r="4012" spans="1:2">
      <c r="A4012" s="4">
        <v>37195</v>
      </c>
      <c r="B4012" s="3">
        <v>21.2</v>
      </c>
    </row>
    <row r="4013" spans="1:2">
      <c r="A4013" s="4">
        <v>37196</v>
      </c>
      <c r="B4013" s="3">
        <v>20.47</v>
      </c>
    </row>
    <row r="4014" spans="1:2">
      <c r="A4014" s="4">
        <v>37197</v>
      </c>
      <c r="B4014" s="3">
        <v>20.239999999999998</v>
      </c>
    </row>
    <row r="4015" spans="1:2">
      <c r="A4015" s="4">
        <v>37200</v>
      </c>
      <c r="B4015" s="3">
        <v>20</v>
      </c>
    </row>
    <row r="4016" spans="1:2">
      <c r="A4016" s="4">
        <v>37201</v>
      </c>
      <c r="B4016" s="3">
        <v>19.93</v>
      </c>
    </row>
    <row r="4017" spans="1:2">
      <c r="A4017" s="4">
        <v>37202</v>
      </c>
      <c r="B4017" s="3">
        <v>20.11</v>
      </c>
    </row>
    <row r="4018" spans="1:2">
      <c r="A4018" s="4">
        <v>37203</v>
      </c>
      <c r="B4018" s="3">
        <v>21.21</v>
      </c>
    </row>
    <row r="4019" spans="1:2">
      <c r="A4019" s="4">
        <v>37204</v>
      </c>
      <c r="B4019" s="3">
        <v>22.23</v>
      </c>
    </row>
    <row r="4020" spans="1:2">
      <c r="A4020" s="4">
        <v>37207</v>
      </c>
      <c r="B4020" s="3">
        <v>21.26</v>
      </c>
    </row>
    <row r="4021" spans="1:2">
      <c r="A4021" s="4">
        <v>37208</v>
      </c>
      <c r="B4021" s="3">
        <v>21.56</v>
      </c>
    </row>
    <row r="4022" spans="1:2">
      <c r="A4022" s="4">
        <v>37209</v>
      </c>
      <c r="B4022" s="3">
        <v>19.63</v>
      </c>
    </row>
    <row r="4023" spans="1:2">
      <c r="A4023" s="4">
        <v>37210</v>
      </c>
      <c r="B4023" s="3">
        <v>17.5</v>
      </c>
    </row>
    <row r="4024" spans="1:2">
      <c r="A4024" s="4">
        <v>37211</v>
      </c>
      <c r="B4024" s="3">
        <v>18.09</v>
      </c>
    </row>
    <row r="4025" spans="1:2">
      <c r="A4025" s="4">
        <v>37214</v>
      </c>
      <c r="B4025" s="3">
        <v>17.739999999999998</v>
      </c>
    </row>
    <row r="4026" spans="1:2">
      <c r="A4026" s="4">
        <v>37215</v>
      </c>
      <c r="B4026" s="3">
        <v>18.71</v>
      </c>
    </row>
    <row r="4027" spans="1:2">
      <c r="A4027" s="4">
        <v>37216</v>
      </c>
      <c r="B4027" s="3">
        <v>18.38</v>
      </c>
    </row>
    <row r="4028" spans="1:2">
      <c r="A4028" s="4">
        <v>37221</v>
      </c>
      <c r="B4028" s="3">
        <v>18.690000000000001</v>
      </c>
    </row>
    <row r="4029" spans="1:2">
      <c r="A4029" s="4">
        <v>37222</v>
      </c>
      <c r="B4029" s="3">
        <v>19.57</v>
      </c>
    </row>
    <row r="4030" spans="1:2">
      <c r="A4030" s="4">
        <v>37223</v>
      </c>
      <c r="B4030" s="3">
        <v>19.37</v>
      </c>
    </row>
    <row r="4031" spans="1:2">
      <c r="A4031" s="4">
        <v>37224</v>
      </c>
      <c r="B4031" s="3">
        <v>18.55</v>
      </c>
    </row>
    <row r="4032" spans="1:2">
      <c r="A4032" s="4">
        <v>37225</v>
      </c>
      <c r="B4032" s="3">
        <v>19.46</v>
      </c>
    </row>
    <row r="4033" spans="1:2">
      <c r="A4033" s="4">
        <v>37228</v>
      </c>
      <c r="B4033" s="3">
        <v>20.27</v>
      </c>
    </row>
    <row r="4034" spans="1:2">
      <c r="A4034" s="4">
        <v>37229</v>
      </c>
      <c r="B4034" s="3">
        <v>19.71</v>
      </c>
    </row>
    <row r="4035" spans="1:2">
      <c r="A4035" s="4">
        <v>37230</v>
      </c>
      <c r="B4035" s="3">
        <v>19.62</v>
      </c>
    </row>
    <row r="4036" spans="1:2">
      <c r="A4036" s="4">
        <v>37231</v>
      </c>
      <c r="B4036" s="3">
        <v>18.690000000000001</v>
      </c>
    </row>
    <row r="4037" spans="1:2">
      <c r="A4037" s="4">
        <v>37232</v>
      </c>
      <c r="B4037" s="3">
        <v>19.079999999999998</v>
      </c>
    </row>
    <row r="4038" spans="1:2">
      <c r="A4038" s="4">
        <v>37235</v>
      </c>
      <c r="B4038" s="3">
        <v>18.32</v>
      </c>
    </row>
    <row r="4039" spans="1:2">
      <c r="A4039" s="4">
        <v>37236</v>
      </c>
      <c r="B4039" s="3">
        <v>18.04</v>
      </c>
    </row>
    <row r="4040" spans="1:2">
      <c r="A4040" s="4">
        <v>37237</v>
      </c>
      <c r="B4040" s="3">
        <v>18.38</v>
      </c>
    </row>
    <row r="4041" spans="1:2">
      <c r="A4041" s="4">
        <v>37238</v>
      </c>
      <c r="B4041" s="3">
        <v>18.2</v>
      </c>
    </row>
    <row r="4042" spans="1:2">
      <c r="A4042" s="4">
        <v>37239</v>
      </c>
      <c r="B4042" s="3">
        <v>19.309999999999999</v>
      </c>
    </row>
    <row r="4043" spans="1:2">
      <c r="A4043" s="4">
        <v>37242</v>
      </c>
      <c r="B4043" s="3">
        <v>19.28</v>
      </c>
    </row>
    <row r="4044" spans="1:2">
      <c r="A4044" s="4">
        <v>37243</v>
      </c>
      <c r="B4044" s="3">
        <v>19.38</v>
      </c>
    </row>
    <row r="4045" spans="1:2">
      <c r="A4045" s="4">
        <v>37244</v>
      </c>
      <c r="B4045" s="3">
        <v>19.37</v>
      </c>
    </row>
    <row r="4046" spans="1:2">
      <c r="A4046" s="4">
        <v>37245</v>
      </c>
      <c r="B4046" s="3">
        <v>18.670000000000002</v>
      </c>
    </row>
    <row r="4047" spans="1:2">
      <c r="A4047" s="4">
        <v>37246</v>
      </c>
      <c r="B4047" s="3">
        <v>19.3</v>
      </c>
    </row>
    <row r="4048" spans="1:2">
      <c r="A4048" s="4">
        <v>37251</v>
      </c>
      <c r="B4048" s="3">
        <v>21.32</v>
      </c>
    </row>
    <row r="4049" spans="1:2">
      <c r="A4049" s="4">
        <v>37252</v>
      </c>
      <c r="B4049" s="3">
        <v>21.07</v>
      </c>
    </row>
    <row r="4050" spans="1:2">
      <c r="A4050" s="4">
        <v>37253</v>
      </c>
      <c r="B4050" s="3">
        <v>20.420000000000002</v>
      </c>
    </row>
    <row r="4051" spans="1:2">
      <c r="A4051" s="4">
        <v>37256</v>
      </c>
      <c r="B4051" s="3">
        <v>19.96</v>
      </c>
    </row>
    <row r="4052" spans="1:2">
      <c r="A4052" s="4">
        <v>37258</v>
      </c>
      <c r="B4052" s="3">
        <v>21.13</v>
      </c>
    </row>
    <row r="4053" spans="1:2">
      <c r="A4053" s="4">
        <v>37259</v>
      </c>
      <c r="B4053" s="3">
        <v>20.65</v>
      </c>
    </row>
    <row r="4054" spans="1:2">
      <c r="A4054" s="4">
        <v>37260</v>
      </c>
      <c r="B4054" s="3">
        <v>21.47</v>
      </c>
    </row>
    <row r="4055" spans="1:2">
      <c r="A4055" s="4">
        <v>37263</v>
      </c>
      <c r="B4055" s="3">
        <v>21.42</v>
      </c>
    </row>
    <row r="4056" spans="1:2">
      <c r="A4056" s="4">
        <v>37264</v>
      </c>
      <c r="B4056" s="3">
        <v>20.82</v>
      </c>
    </row>
    <row r="4057" spans="1:2">
      <c r="A4057" s="4">
        <v>37265</v>
      </c>
      <c r="B4057" s="3">
        <v>20.32</v>
      </c>
    </row>
    <row r="4058" spans="1:2">
      <c r="A4058" s="4">
        <v>37266</v>
      </c>
      <c r="B4058" s="3">
        <v>20.48</v>
      </c>
    </row>
    <row r="4059" spans="1:2">
      <c r="A4059" s="4">
        <v>37267</v>
      </c>
      <c r="B4059" s="3">
        <v>19.670000000000002</v>
      </c>
    </row>
    <row r="4060" spans="1:2">
      <c r="A4060" s="4">
        <v>37270</v>
      </c>
      <c r="B4060" s="3">
        <v>18.88</v>
      </c>
    </row>
    <row r="4061" spans="1:2">
      <c r="A4061" s="4">
        <v>37271</v>
      </c>
      <c r="B4061" s="3">
        <v>18.989999999999998</v>
      </c>
    </row>
    <row r="4062" spans="1:2">
      <c r="A4062" s="4">
        <v>37272</v>
      </c>
      <c r="B4062" s="3">
        <v>18.96</v>
      </c>
    </row>
    <row r="4063" spans="1:2">
      <c r="A4063" s="4">
        <v>37273</v>
      </c>
      <c r="B4063" s="3">
        <v>18.2</v>
      </c>
    </row>
    <row r="4064" spans="1:2">
      <c r="A4064" s="4">
        <v>37274</v>
      </c>
      <c r="B4064" s="3">
        <v>18.02</v>
      </c>
    </row>
    <row r="4065" spans="1:2">
      <c r="A4065" s="4">
        <v>37278</v>
      </c>
      <c r="B4065" s="3">
        <v>18.36</v>
      </c>
    </row>
    <row r="4066" spans="1:2">
      <c r="A4066" s="4">
        <v>37279</v>
      </c>
      <c r="B4066" s="3">
        <v>19.100000000000001</v>
      </c>
    </row>
    <row r="4067" spans="1:2">
      <c r="A4067" s="4">
        <v>37280</v>
      </c>
      <c r="B4067" s="3">
        <v>19.57</v>
      </c>
    </row>
    <row r="4068" spans="1:2">
      <c r="A4068" s="4">
        <v>37281</v>
      </c>
      <c r="B4068" s="3">
        <v>19.8</v>
      </c>
    </row>
    <row r="4069" spans="1:2">
      <c r="A4069" s="4">
        <v>37284</v>
      </c>
      <c r="B4069" s="3">
        <v>20.05</v>
      </c>
    </row>
    <row r="4070" spans="1:2">
      <c r="A4070" s="4">
        <v>37285</v>
      </c>
      <c r="B4070" s="3">
        <v>19.3</v>
      </c>
    </row>
    <row r="4071" spans="1:2">
      <c r="A4071" s="4">
        <v>37286</v>
      </c>
      <c r="B4071" s="3">
        <v>19.11</v>
      </c>
    </row>
    <row r="4072" spans="1:2">
      <c r="A4072" s="4">
        <v>37287</v>
      </c>
      <c r="B4072" s="3">
        <v>19.71</v>
      </c>
    </row>
    <row r="4073" spans="1:2">
      <c r="A4073" s="4">
        <v>37288</v>
      </c>
      <c r="B4073" s="3">
        <v>20.399999999999999</v>
      </c>
    </row>
    <row r="4074" spans="1:2">
      <c r="A4074" s="4">
        <v>37291</v>
      </c>
      <c r="B4074" s="3">
        <v>20.02</v>
      </c>
    </row>
    <row r="4075" spans="1:2">
      <c r="A4075" s="4">
        <v>37292</v>
      </c>
      <c r="B4075" s="3">
        <v>20.059999999999999</v>
      </c>
    </row>
    <row r="4076" spans="1:2">
      <c r="A4076" s="4">
        <v>37293</v>
      </c>
      <c r="B4076" s="3">
        <v>19.77</v>
      </c>
    </row>
    <row r="4077" spans="1:2">
      <c r="A4077" s="4">
        <v>37294</v>
      </c>
      <c r="B4077" s="3">
        <v>19.75</v>
      </c>
    </row>
    <row r="4078" spans="1:2">
      <c r="A4078" s="4">
        <v>37295</v>
      </c>
      <c r="B4078" s="3">
        <v>20.25</v>
      </c>
    </row>
    <row r="4079" spans="1:2">
      <c r="A4079" s="4">
        <v>37298</v>
      </c>
      <c r="B4079" s="3">
        <v>21.29</v>
      </c>
    </row>
    <row r="4080" spans="1:2">
      <c r="A4080" s="4">
        <v>37299</v>
      </c>
      <c r="B4080" s="3">
        <v>20.76</v>
      </c>
    </row>
    <row r="4081" spans="1:2">
      <c r="A4081" s="4">
        <v>37300</v>
      </c>
      <c r="B4081" s="3">
        <v>21.19</v>
      </c>
    </row>
    <row r="4082" spans="1:2">
      <c r="A4082" s="4">
        <v>37301</v>
      </c>
      <c r="B4082" s="3">
        <v>21.19</v>
      </c>
    </row>
    <row r="4083" spans="1:2">
      <c r="A4083" s="4">
        <v>37302</v>
      </c>
      <c r="B4083" s="3">
        <v>21.47</v>
      </c>
    </row>
    <row r="4084" spans="1:2">
      <c r="A4084" s="4">
        <v>37306</v>
      </c>
      <c r="B4084" s="3">
        <v>20.77</v>
      </c>
    </row>
    <row r="4085" spans="1:2">
      <c r="A4085" s="4">
        <v>37307</v>
      </c>
      <c r="B4085" s="3">
        <v>20.309999999999999</v>
      </c>
    </row>
    <row r="4086" spans="1:2">
      <c r="A4086" s="4">
        <v>37308</v>
      </c>
      <c r="B4086" s="3">
        <v>20.81</v>
      </c>
    </row>
    <row r="4087" spans="1:2">
      <c r="A4087" s="4">
        <v>37309</v>
      </c>
      <c r="B4087" s="3">
        <v>20.92</v>
      </c>
    </row>
    <row r="4088" spans="1:2">
      <c r="A4088" s="4">
        <v>37312</v>
      </c>
      <c r="B4088" s="3">
        <v>20.239999999999998</v>
      </c>
    </row>
    <row r="4089" spans="1:2">
      <c r="A4089" s="4">
        <v>37313</v>
      </c>
      <c r="B4089" s="3">
        <v>21.37</v>
      </c>
    </row>
    <row r="4090" spans="1:2">
      <c r="A4090" s="4">
        <v>37314</v>
      </c>
      <c r="B4090" s="3">
        <v>21.4</v>
      </c>
    </row>
    <row r="4091" spans="1:2">
      <c r="A4091" s="4">
        <v>37315</v>
      </c>
      <c r="B4091" s="3">
        <v>21.78</v>
      </c>
    </row>
    <row r="4092" spans="1:2">
      <c r="A4092" s="4">
        <v>37316</v>
      </c>
      <c r="B4092" s="3">
        <v>22.37</v>
      </c>
    </row>
    <row r="4093" spans="1:2">
      <c r="A4093" s="4">
        <v>37319</v>
      </c>
      <c r="B4093" s="3">
        <v>22.55</v>
      </c>
    </row>
    <row r="4094" spans="1:2">
      <c r="A4094" s="4">
        <v>37320</v>
      </c>
      <c r="B4094" s="3">
        <v>23.18</v>
      </c>
    </row>
    <row r="4095" spans="1:2">
      <c r="A4095" s="4">
        <v>37321</v>
      </c>
      <c r="B4095" s="3">
        <v>23.32</v>
      </c>
    </row>
    <row r="4096" spans="1:2">
      <c r="A4096" s="4">
        <v>37322</v>
      </c>
      <c r="B4096" s="3">
        <v>23.62</v>
      </c>
    </row>
    <row r="4097" spans="1:2">
      <c r="A4097" s="4">
        <v>37323</v>
      </c>
      <c r="B4097" s="3">
        <v>23.87</v>
      </c>
    </row>
    <row r="4098" spans="1:2">
      <c r="A4098" s="4">
        <v>37326</v>
      </c>
      <c r="B4098" s="3">
        <v>24.36</v>
      </c>
    </row>
    <row r="4099" spans="1:2">
      <c r="A4099" s="4">
        <v>37327</v>
      </c>
      <c r="B4099" s="3">
        <v>24.55</v>
      </c>
    </row>
    <row r="4100" spans="1:2">
      <c r="A4100" s="4">
        <v>37328</v>
      </c>
      <c r="B4100" s="3">
        <v>24.14</v>
      </c>
    </row>
    <row r="4101" spans="1:2">
      <c r="A4101" s="4">
        <v>37329</v>
      </c>
      <c r="B4101" s="3">
        <v>24.48</v>
      </c>
    </row>
    <row r="4102" spans="1:2">
      <c r="A4102" s="4">
        <v>37330</v>
      </c>
      <c r="B4102" s="3">
        <v>24.47</v>
      </c>
    </row>
    <row r="4103" spans="1:2">
      <c r="A4103" s="4">
        <v>37333</v>
      </c>
      <c r="B4103" s="3">
        <v>25.03</v>
      </c>
    </row>
    <row r="4104" spans="1:2">
      <c r="A4104" s="4">
        <v>37334</v>
      </c>
      <c r="B4104" s="3">
        <v>25.02</v>
      </c>
    </row>
    <row r="4105" spans="1:2">
      <c r="A4105" s="4">
        <v>37335</v>
      </c>
      <c r="B4105" s="3">
        <v>24.92</v>
      </c>
    </row>
    <row r="4106" spans="1:2">
      <c r="A4106" s="4">
        <v>37336</v>
      </c>
      <c r="B4106" s="3">
        <v>25.74</v>
      </c>
    </row>
    <row r="4107" spans="1:2">
      <c r="A4107" s="4">
        <v>37337</v>
      </c>
      <c r="B4107" s="3">
        <v>25.56</v>
      </c>
    </row>
    <row r="4108" spans="1:2">
      <c r="A4108" s="4">
        <v>37340</v>
      </c>
      <c r="B4108" s="3">
        <v>25.69</v>
      </c>
    </row>
    <row r="4109" spans="1:2">
      <c r="A4109" s="4">
        <v>37341</v>
      </c>
      <c r="B4109" s="3">
        <v>25.75</v>
      </c>
    </row>
    <row r="4110" spans="1:2">
      <c r="A4110" s="4">
        <v>37342</v>
      </c>
      <c r="B4110" s="3">
        <v>25.79</v>
      </c>
    </row>
    <row r="4111" spans="1:2">
      <c r="A4111" s="4">
        <v>37343</v>
      </c>
      <c r="B4111" s="3">
        <v>26.21</v>
      </c>
    </row>
    <row r="4112" spans="1:2">
      <c r="A4112" s="4">
        <v>37347</v>
      </c>
      <c r="B4112" s="3">
        <v>26.82</v>
      </c>
    </row>
    <row r="4113" spans="1:2">
      <c r="A4113" s="4">
        <v>37348</v>
      </c>
      <c r="B4113" s="3">
        <v>27.75</v>
      </c>
    </row>
    <row r="4114" spans="1:2">
      <c r="A4114" s="4">
        <v>37349</v>
      </c>
      <c r="B4114" s="3">
        <v>27.55</v>
      </c>
    </row>
    <row r="4115" spans="1:2">
      <c r="A4115" s="4">
        <v>37350</v>
      </c>
      <c r="B4115" s="3">
        <v>26.64</v>
      </c>
    </row>
    <row r="4116" spans="1:2">
      <c r="A4116" s="4">
        <v>37351</v>
      </c>
      <c r="B4116" s="3">
        <v>26.21</v>
      </c>
    </row>
    <row r="4117" spans="1:2">
      <c r="A4117" s="4">
        <v>37354</v>
      </c>
      <c r="B4117" s="3">
        <v>26.16</v>
      </c>
    </row>
    <row r="4118" spans="1:2">
      <c r="A4118" s="4">
        <v>37355</v>
      </c>
      <c r="B4118" s="3">
        <v>25.45</v>
      </c>
    </row>
    <row r="4119" spans="1:2">
      <c r="A4119" s="4">
        <v>37356</v>
      </c>
      <c r="B4119" s="3">
        <v>26.15</v>
      </c>
    </row>
    <row r="4120" spans="1:2">
      <c r="A4120" s="4">
        <v>37357</v>
      </c>
      <c r="B4120" s="3">
        <v>24.93</v>
      </c>
    </row>
    <row r="4121" spans="1:2">
      <c r="A4121" s="4">
        <v>37358</v>
      </c>
      <c r="B4121" s="3">
        <v>23.51</v>
      </c>
    </row>
    <row r="4122" spans="1:2">
      <c r="A4122" s="4">
        <v>37361</v>
      </c>
      <c r="B4122" s="3">
        <v>24.53</v>
      </c>
    </row>
    <row r="4123" spans="1:2">
      <c r="A4123" s="4">
        <v>37362</v>
      </c>
      <c r="B4123" s="3">
        <v>24.92</v>
      </c>
    </row>
    <row r="4124" spans="1:2">
      <c r="A4124" s="4">
        <v>37363</v>
      </c>
      <c r="B4124" s="3">
        <v>25.94</v>
      </c>
    </row>
    <row r="4125" spans="1:2">
      <c r="A4125" s="4">
        <v>37364</v>
      </c>
      <c r="B4125" s="3">
        <v>25.86</v>
      </c>
    </row>
    <row r="4126" spans="1:2">
      <c r="A4126" s="4">
        <v>37365</v>
      </c>
      <c r="B4126" s="3">
        <v>26.43</v>
      </c>
    </row>
    <row r="4127" spans="1:2">
      <c r="A4127" s="4">
        <v>37368</v>
      </c>
      <c r="B4127" s="3">
        <v>26.28</v>
      </c>
    </row>
    <row r="4128" spans="1:2">
      <c r="A4128" s="4">
        <v>37369</v>
      </c>
      <c r="B4128" s="3">
        <v>26.28</v>
      </c>
    </row>
    <row r="4129" spans="1:2">
      <c r="A4129" s="4">
        <v>37370</v>
      </c>
      <c r="B4129" s="3">
        <v>26.28</v>
      </c>
    </row>
    <row r="4130" spans="1:2">
      <c r="A4130" s="4">
        <v>37371</v>
      </c>
      <c r="B4130" s="3">
        <v>26.36</v>
      </c>
    </row>
    <row r="4131" spans="1:2">
      <c r="A4131" s="4">
        <v>37372</v>
      </c>
      <c r="B4131" s="3">
        <v>27.12</v>
      </c>
    </row>
    <row r="4132" spans="1:2">
      <c r="A4132" s="4">
        <v>37375</v>
      </c>
      <c r="B4132" s="3">
        <v>27.45</v>
      </c>
    </row>
    <row r="4133" spans="1:2">
      <c r="A4133" s="4">
        <v>37376</v>
      </c>
      <c r="B4133" s="3">
        <v>27.32</v>
      </c>
    </row>
    <row r="4134" spans="1:2">
      <c r="A4134" s="4">
        <v>37377</v>
      </c>
      <c r="B4134" s="3">
        <v>26.58</v>
      </c>
    </row>
    <row r="4135" spans="1:2">
      <c r="A4135" s="4">
        <v>37378</v>
      </c>
      <c r="B4135" s="3">
        <v>26.31</v>
      </c>
    </row>
    <row r="4136" spans="1:2">
      <c r="A4136" s="4">
        <v>37379</v>
      </c>
      <c r="B4136" s="3">
        <v>26.75</v>
      </c>
    </row>
    <row r="4137" spans="1:2">
      <c r="A4137" s="4">
        <v>37382</v>
      </c>
      <c r="B4137" s="3">
        <v>26.11</v>
      </c>
    </row>
    <row r="4138" spans="1:2">
      <c r="A4138" s="4">
        <v>37383</v>
      </c>
      <c r="B4138" s="3">
        <v>26.79</v>
      </c>
    </row>
    <row r="4139" spans="1:2">
      <c r="A4139" s="4">
        <v>37384</v>
      </c>
      <c r="B4139" s="3">
        <v>27.76</v>
      </c>
    </row>
    <row r="4140" spans="1:2">
      <c r="A4140" s="4">
        <v>37385</v>
      </c>
      <c r="B4140" s="3">
        <v>27.78</v>
      </c>
    </row>
    <row r="4141" spans="1:2">
      <c r="A4141" s="4">
        <v>37386</v>
      </c>
      <c r="B4141" s="3">
        <v>27.92</v>
      </c>
    </row>
    <row r="4142" spans="1:2">
      <c r="A4142" s="4">
        <v>37389</v>
      </c>
      <c r="B4142" s="3">
        <v>28.62</v>
      </c>
    </row>
    <row r="4143" spans="1:2">
      <c r="A4143" s="4">
        <v>37390</v>
      </c>
      <c r="B4143" s="3">
        <v>29.17</v>
      </c>
    </row>
    <row r="4144" spans="1:2">
      <c r="A4144" s="4">
        <v>37391</v>
      </c>
      <c r="B4144" s="3">
        <v>28.17</v>
      </c>
    </row>
    <row r="4145" spans="1:2">
      <c r="A4145" s="4">
        <v>37392</v>
      </c>
      <c r="B4145" s="3">
        <v>28</v>
      </c>
    </row>
    <row r="4146" spans="1:2">
      <c r="A4146" s="4">
        <v>37393</v>
      </c>
      <c r="B4146" s="3">
        <v>28.19</v>
      </c>
    </row>
    <row r="4147" spans="1:2">
      <c r="A4147" s="4">
        <v>37396</v>
      </c>
      <c r="B4147" s="3">
        <v>28.24</v>
      </c>
    </row>
    <row r="4148" spans="1:2">
      <c r="A4148" s="4">
        <v>37397</v>
      </c>
      <c r="B4148" s="3">
        <v>27.35</v>
      </c>
    </row>
    <row r="4149" spans="1:2">
      <c r="A4149" s="4">
        <v>37398</v>
      </c>
      <c r="B4149" s="3">
        <v>27.01</v>
      </c>
    </row>
    <row r="4150" spans="1:2">
      <c r="A4150" s="4">
        <v>37399</v>
      </c>
      <c r="B4150" s="3">
        <v>26.6</v>
      </c>
    </row>
    <row r="4151" spans="1:2">
      <c r="A4151" s="4">
        <v>37400</v>
      </c>
      <c r="B4151" s="3">
        <v>26.69</v>
      </c>
    </row>
    <row r="4152" spans="1:2">
      <c r="A4152" s="4">
        <v>37404</v>
      </c>
      <c r="B4152" s="3">
        <v>25.08</v>
      </c>
    </row>
    <row r="4153" spans="1:2">
      <c r="A4153" s="4">
        <v>37405</v>
      </c>
      <c r="B4153" s="3">
        <v>25.64</v>
      </c>
    </row>
    <row r="4154" spans="1:2">
      <c r="A4154" s="4">
        <v>37406</v>
      </c>
      <c r="B4154" s="3">
        <v>24.78</v>
      </c>
    </row>
    <row r="4155" spans="1:2">
      <c r="A4155" s="4">
        <v>37407</v>
      </c>
      <c r="B4155" s="3">
        <v>25.37</v>
      </c>
    </row>
    <row r="4156" spans="1:2">
      <c r="A4156" s="4">
        <v>37410</v>
      </c>
      <c r="B4156" s="3">
        <v>25.1</v>
      </c>
    </row>
    <row r="4157" spans="1:2">
      <c r="A4157" s="4">
        <v>37411</v>
      </c>
      <c r="B4157" s="3">
        <v>25.32</v>
      </c>
    </row>
    <row r="4158" spans="1:2">
      <c r="A4158" s="4">
        <v>37412</v>
      </c>
      <c r="B4158" s="3">
        <v>25.02</v>
      </c>
    </row>
    <row r="4159" spans="1:2">
      <c r="A4159" s="4">
        <v>37413</v>
      </c>
      <c r="B4159" s="3">
        <v>24.89</v>
      </c>
    </row>
    <row r="4160" spans="1:2">
      <c r="A4160" s="4">
        <v>37414</v>
      </c>
      <c r="B4160" s="3">
        <v>24.72</v>
      </c>
    </row>
    <row r="4161" spans="1:2">
      <c r="A4161" s="4">
        <v>37417</v>
      </c>
      <c r="B4161" s="3">
        <v>24.24</v>
      </c>
    </row>
    <row r="4162" spans="1:2">
      <c r="A4162" s="4">
        <v>37418</v>
      </c>
      <c r="B4162" s="3">
        <v>24.21</v>
      </c>
    </row>
    <row r="4163" spans="1:2">
      <c r="A4163" s="4">
        <v>37419</v>
      </c>
      <c r="B4163" s="3">
        <v>24.79</v>
      </c>
    </row>
    <row r="4164" spans="1:2">
      <c r="A4164" s="4">
        <v>37420</v>
      </c>
      <c r="B4164" s="3">
        <v>25.54</v>
      </c>
    </row>
    <row r="4165" spans="1:2">
      <c r="A4165" s="4">
        <v>37421</v>
      </c>
      <c r="B4165" s="3">
        <v>25.9</v>
      </c>
    </row>
    <row r="4166" spans="1:2">
      <c r="A4166" s="4">
        <v>37424</v>
      </c>
      <c r="B4166" s="3">
        <v>25.98</v>
      </c>
    </row>
    <row r="4167" spans="1:2">
      <c r="A4167" s="4">
        <v>37425</v>
      </c>
      <c r="B4167" s="3">
        <v>25.36</v>
      </c>
    </row>
    <row r="4168" spans="1:2">
      <c r="A4168" s="4">
        <v>37426</v>
      </c>
      <c r="B4168" s="3">
        <v>25.57</v>
      </c>
    </row>
    <row r="4169" spans="1:2">
      <c r="A4169" s="4">
        <v>37427</v>
      </c>
      <c r="B4169" s="3">
        <v>25.62</v>
      </c>
    </row>
    <row r="4170" spans="1:2">
      <c r="A4170" s="4">
        <v>37428</v>
      </c>
      <c r="B4170" s="3">
        <v>25.51</v>
      </c>
    </row>
    <row r="4171" spans="1:2">
      <c r="A4171" s="4">
        <v>37431</v>
      </c>
      <c r="B4171" s="3">
        <v>26.31</v>
      </c>
    </row>
    <row r="4172" spans="1:2">
      <c r="A4172" s="4">
        <v>37432</v>
      </c>
      <c r="B4172" s="3">
        <v>26.06</v>
      </c>
    </row>
    <row r="4173" spans="1:2">
      <c r="A4173" s="4">
        <v>37433</v>
      </c>
      <c r="B4173" s="3">
        <v>26.67</v>
      </c>
    </row>
    <row r="4174" spans="1:2">
      <c r="A4174" s="4">
        <v>37434</v>
      </c>
      <c r="B4174" s="3">
        <v>26.77</v>
      </c>
    </row>
    <row r="4175" spans="1:2">
      <c r="A4175" s="4">
        <v>37435</v>
      </c>
      <c r="B4175" s="3">
        <v>26.79</v>
      </c>
    </row>
    <row r="4176" spans="1:2">
      <c r="A4176" s="4">
        <v>37438</v>
      </c>
      <c r="B4176" s="3">
        <v>26.79</v>
      </c>
    </row>
    <row r="4177" spans="1:2">
      <c r="A4177" s="4">
        <v>37439</v>
      </c>
      <c r="B4177" s="3">
        <v>26.83</v>
      </c>
    </row>
    <row r="4178" spans="1:2">
      <c r="A4178" s="4">
        <v>37440</v>
      </c>
      <c r="B4178" s="3">
        <v>26.82</v>
      </c>
    </row>
    <row r="4179" spans="1:2">
      <c r="A4179" s="4">
        <v>37445</v>
      </c>
      <c r="B4179" s="3">
        <v>26.14</v>
      </c>
    </row>
    <row r="4180" spans="1:2">
      <c r="A4180" s="4">
        <v>37446</v>
      </c>
      <c r="B4180" s="3">
        <v>26.16</v>
      </c>
    </row>
    <row r="4181" spans="1:2">
      <c r="A4181" s="4">
        <v>37447</v>
      </c>
      <c r="B4181" s="3">
        <v>26.73</v>
      </c>
    </row>
    <row r="4182" spans="1:2">
      <c r="A4182" s="4">
        <v>37448</v>
      </c>
      <c r="B4182" s="3">
        <v>27.01</v>
      </c>
    </row>
    <row r="4183" spans="1:2">
      <c r="A4183" s="4">
        <v>37449</v>
      </c>
      <c r="B4183" s="3">
        <v>27.48</v>
      </c>
    </row>
    <row r="4184" spans="1:2">
      <c r="A4184" s="4">
        <v>37452</v>
      </c>
      <c r="B4184" s="3">
        <v>27.23</v>
      </c>
    </row>
    <row r="4185" spans="1:2">
      <c r="A4185" s="4">
        <v>37453</v>
      </c>
      <c r="B4185" s="3">
        <v>27.68</v>
      </c>
    </row>
    <row r="4186" spans="1:2">
      <c r="A4186" s="4">
        <v>37454</v>
      </c>
      <c r="B4186" s="3">
        <v>27.88</v>
      </c>
    </row>
    <row r="4187" spans="1:2">
      <c r="A4187" s="4">
        <v>37455</v>
      </c>
      <c r="B4187" s="3">
        <v>27.5</v>
      </c>
    </row>
    <row r="4188" spans="1:2">
      <c r="A4188" s="4">
        <v>37456</v>
      </c>
      <c r="B4188" s="3">
        <v>27.83</v>
      </c>
    </row>
    <row r="4189" spans="1:2">
      <c r="A4189" s="4">
        <v>37459</v>
      </c>
      <c r="B4189" s="3">
        <v>26.61</v>
      </c>
    </row>
    <row r="4190" spans="1:2">
      <c r="A4190" s="4">
        <v>37460</v>
      </c>
      <c r="B4190" s="3">
        <v>26.61</v>
      </c>
    </row>
    <row r="4191" spans="1:2">
      <c r="A4191" s="4">
        <v>37461</v>
      </c>
      <c r="B4191" s="3">
        <v>26.78</v>
      </c>
    </row>
    <row r="4192" spans="1:2">
      <c r="A4192" s="4">
        <v>37462</v>
      </c>
      <c r="B4192" s="3">
        <v>26.67</v>
      </c>
    </row>
    <row r="4193" spans="1:2">
      <c r="A4193" s="4">
        <v>37463</v>
      </c>
      <c r="B4193" s="3">
        <v>26.55</v>
      </c>
    </row>
    <row r="4194" spans="1:2">
      <c r="A4194" s="4">
        <v>37466</v>
      </c>
      <c r="B4194" s="3">
        <v>26.54</v>
      </c>
    </row>
    <row r="4195" spans="1:2">
      <c r="A4195" s="4">
        <v>37467</v>
      </c>
      <c r="B4195" s="3">
        <v>27.43</v>
      </c>
    </row>
    <row r="4196" spans="1:2">
      <c r="A4196" s="4">
        <v>37468</v>
      </c>
      <c r="B4196" s="3">
        <v>27.02</v>
      </c>
    </row>
    <row r="4197" spans="1:2">
      <c r="A4197" s="4">
        <v>37469</v>
      </c>
      <c r="B4197" s="3">
        <v>26.51</v>
      </c>
    </row>
    <row r="4198" spans="1:2">
      <c r="A4198" s="4">
        <v>37470</v>
      </c>
      <c r="B4198" s="3">
        <v>26.87</v>
      </c>
    </row>
    <row r="4199" spans="1:2">
      <c r="A4199" s="4">
        <v>37473</v>
      </c>
      <c r="B4199" s="3">
        <v>26.55</v>
      </c>
    </row>
    <row r="4200" spans="1:2">
      <c r="A4200" s="4">
        <v>37474</v>
      </c>
      <c r="B4200" s="3">
        <v>27.18</v>
      </c>
    </row>
    <row r="4201" spans="1:2">
      <c r="A4201" s="4">
        <v>37475</v>
      </c>
      <c r="B4201" s="3">
        <v>26.58</v>
      </c>
    </row>
    <row r="4202" spans="1:2">
      <c r="A4202" s="4">
        <v>37476</v>
      </c>
      <c r="B4202" s="3">
        <v>26.67</v>
      </c>
    </row>
    <row r="4203" spans="1:2">
      <c r="A4203" s="4">
        <v>37477</v>
      </c>
      <c r="B4203" s="3">
        <v>26.87</v>
      </c>
    </row>
    <row r="4204" spans="1:2">
      <c r="A4204" s="4">
        <v>37480</v>
      </c>
      <c r="B4204" s="3">
        <v>27.84</v>
      </c>
    </row>
    <row r="4205" spans="1:2">
      <c r="A4205" s="4">
        <v>37481</v>
      </c>
      <c r="B4205" s="3">
        <v>28.35</v>
      </c>
    </row>
    <row r="4206" spans="1:2">
      <c r="A4206" s="4">
        <v>37482</v>
      </c>
      <c r="B4206" s="3">
        <v>28.19</v>
      </c>
    </row>
    <row r="4207" spans="1:2">
      <c r="A4207" s="4">
        <v>37483</v>
      </c>
      <c r="B4207" s="3">
        <v>28.99</v>
      </c>
    </row>
    <row r="4208" spans="1:2">
      <c r="A4208" s="4">
        <v>37484</v>
      </c>
      <c r="B4208" s="3">
        <v>29.24</v>
      </c>
    </row>
    <row r="4209" spans="1:2">
      <c r="A4209" s="4">
        <v>37487</v>
      </c>
      <c r="B4209" s="3">
        <v>29.86</v>
      </c>
    </row>
    <row r="4210" spans="1:2">
      <c r="A4210" s="4">
        <v>37488</v>
      </c>
      <c r="B4210" s="3">
        <v>30.12</v>
      </c>
    </row>
    <row r="4211" spans="1:2">
      <c r="A4211" s="4">
        <v>37489</v>
      </c>
      <c r="B4211" s="3">
        <v>30.37</v>
      </c>
    </row>
    <row r="4212" spans="1:2">
      <c r="A4212" s="4">
        <v>37490</v>
      </c>
      <c r="B4212" s="3">
        <v>30.11</v>
      </c>
    </row>
    <row r="4213" spans="1:2">
      <c r="A4213" s="4">
        <v>37491</v>
      </c>
      <c r="B4213" s="3">
        <v>29.99</v>
      </c>
    </row>
    <row r="4214" spans="1:2">
      <c r="A4214" s="4">
        <v>37494</v>
      </c>
      <c r="B4214" s="3">
        <v>29.23</v>
      </c>
    </row>
    <row r="4215" spans="1:2">
      <c r="A4215" s="4">
        <v>37495</v>
      </c>
      <c r="B4215" s="3">
        <v>28.84</v>
      </c>
    </row>
    <row r="4216" spans="1:2">
      <c r="A4216" s="4">
        <v>37496</v>
      </c>
      <c r="B4216" s="3">
        <v>28.31</v>
      </c>
    </row>
    <row r="4217" spans="1:2">
      <c r="A4217" s="4">
        <v>37497</v>
      </c>
      <c r="B4217" s="3">
        <v>28.83</v>
      </c>
    </row>
    <row r="4218" spans="1:2">
      <c r="A4218" s="4">
        <v>37498</v>
      </c>
      <c r="B4218" s="3">
        <v>28.97</v>
      </c>
    </row>
    <row r="4219" spans="1:2">
      <c r="A4219" s="4">
        <v>37502</v>
      </c>
      <c r="B4219" s="3">
        <v>27.76</v>
      </c>
    </row>
    <row r="4220" spans="1:2">
      <c r="A4220" s="4">
        <v>37503</v>
      </c>
      <c r="B4220" s="3">
        <v>28.28</v>
      </c>
    </row>
    <row r="4221" spans="1:2">
      <c r="A4221" s="4">
        <v>37504</v>
      </c>
      <c r="B4221" s="3">
        <v>29.06</v>
      </c>
    </row>
    <row r="4222" spans="1:2">
      <c r="A4222" s="4">
        <v>37505</v>
      </c>
      <c r="B4222" s="3">
        <v>29.51</v>
      </c>
    </row>
    <row r="4223" spans="1:2">
      <c r="A4223" s="4">
        <v>37508</v>
      </c>
      <c r="B4223" s="3">
        <v>29.8</v>
      </c>
    </row>
    <row r="4224" spans="1:2">
      <c r="A4224" s="4">
        <v>37509</v>
      </c>
      <c r="B4224" s="3">
        <v>29.62</v>
      </c>
    </row>
    <row r="4225" spans="1:2">
      <c r="A4225" s="4">
        <v>37510</v>
      </c>
      <c r="B4225" s="3">
        <v>29.77</v>
      </c>
    </row>
    <row r="4226" spans="1:2">
      <c r="A4226" s="4">
        <v>37511</v>
      </c>
      <c r="B4226" s="3">
        <v>28.95</v>
      </c>
    </row>
    <row r="4227" spans="1:2">
      <c r="A4227" s="4">
        <v>37512</v>
      </c>
      <c r="B4227" s="3">
        <v>29.83</v>
      </c>
    </row>
    <row r="4228" spans="1:2">
      <c r="A4228" s="4">
        <v>37515</v>
      </c>
      <c r="B4228" s="3">
        <v>29.14</v>
      </c>
    </row>
    <row r="4229" spans="1:2">
      <c r="A4229" s="4">
        <v>37516</v>
      </c>
      <c r="B4229" s="3">
        <v>29.08</v>
      </c>
    </row>
    <row r="4230" spans="1:2">
      <c r="A4230" s="4">
        <v>37517</v>
      </c>
      <c r="B4230" s="3">
        <v>29.57</v>
      </c>
    </row>
    <row r="4231" spans="1:2">
      <c r="A4231" s="4">
        <v>37518</v>
      </c>
      <c r="B4231" s="3">
        <v>29.49</v>
      </c>
    </row>
    <row r="4232" spans="1:2">
      <c r="A4232" s="4">
        <v>37519</v>
      </c>
      <c r="B4232" s="3">
        <v>29.65</v>
      </c>
    </row>
    <row r="4233" spans="1:2">
      <c r="A4233" s="4">
        <v>37522</v>
      </c>
      <c r="B4233" s="3">
        <v>30.85</v>
      </c>
    </row>
    <row r="4234" spans="1:2">
      <c r="A4234" s="4">
        <v>37523</v>
      </c>
      <c r="B4234" s="3">
        <v>30.79</v>
      </c>
    </row>
    <row r="4235" spans="1:2">
      <c r="A4235" s="4">
        <v>37524</v>
      </c>
      <c r="B4235" s="3">
        <v>30.69</v>
      </c>
    </row>
    <row r="4236" spans="1:2">
      <c r="A4236" s="4">
        <v>37525</v>
      </c>
      <c r="B4236" s="3">
        <v>30.31</v>
      </c>
    </row>
    <row r="4237" spans="1:2">
      <c r="A4237" s="4">
        <v>37526</v>
      </c>
      <c r="B4237" s="3">
        <v>30.53</v>
      </c>
    </row>
    <row r="4238" spans="1:2">
      <c r="A4238" s="4">
        <v>37529</v>
      </c>
      <c r="B4238" s="3">
        <v>30.59</v>
      </c>
    </row>
    <row r="4239" spans="1:2">
      <c r="A4239" s="4">
        <v>37530</v>
      </c>
      <c r="B4239" s="3">
        <v>30.71</v>
      </c>
    </row>
    <row r="4240" spans="1:2">
      <c r="A4240" s="4">
        <v>37531</v>
      </c>
      <c r="B4240" s="3">
        <v>30.59</v>
      </c>
    </row>
    <row r="4241" spans="1:2">
      <c r="A4241" s="4">
        <v>37532</v>
      </c>
      <c r="B4241" s="3">
        <v>29.73</v>
      </c>
    </row>
    <row r="4242" spans="1:2">
      <c r="A4242" s="4">
        <v>37533</v>
      </c>
      <c r="B4242" s="3">
        <v>29.65</v>
      </c>
    </row>
    <row r="4243" spans="1:2">
      <c r="A4243" s="4">
        <v>37536</v>
      </c>
      <c r="B4243" s="3">
        <v>29.65</v>
      </c>
    </row>
    <row r="4244" spans="1:2">
      <c r="A4244" s="4">
        <v>37537</v>
      </c>
      <c r="B4244" s="3">
        <v>29.56</v>
      </c>
    </row>
    <row r="4245" spans="1:2">
      <c r="A4245" s="4">
        <v>37538</v>
      </c>
      <c r="B4245" s="3">
        <v>29.31</v>
      </c>
    </row>
    <row r="4246" spans="1:2">
      <c r="A4246" s="4">
        <v>37539</v>
      </c>
      <c r="B4246" s="3">
        <v>28.96</v>
      </c>
    </row>
    <row r="4247" spans="1:2">
      <c r="A4247" s="4">
        <v>37540</v>
      </c>
      <c r="B4247" s="3">
        <v>29.36</v>
      </c>
    </row>
    <row r="4248" spans="1:2">
      <c r="A4248" s="4">
        <v>37543</v>
      </c>
      <c r="B4248" s="3">
        <v>30.06</v>
      </c>
    </row>
    <row r="4249" spans="1:2">
      <c r="A4249" s="4">
        <v>37544</v>
      </c>
      <c r="B4249" s="3">
        <v>29.73</v>
      </c>
    </row>
    <row r="4250" spans="1:2">
      <c r="A4250" s="4">
        <v>37545</v>
      </c>
      <c r="B4250" s="3">
        <v>29.28</v>
      </c>
    </row>
    <row r="4251" spans="1:2">
      <c r="A4251" s="4">
        <v>37546</v>
      </c>
      <c r="B4251" s="3">
        <v>29.61</v>
      </c>
    </row>
    <row r="4252" spans="1:2">
      <c r="A4252" s="4">
        <v>37547</v>
      </c>
      <c r="B4252" s="3">
        <v>29.56</v>
      </c>
    </row>
    <row r="4253" spans="1:2">
      <c r="A4253" s="4">
        <v>37550</v>
      </c>
      <c r="B4253" s="3">
        <v>28.31</v>
      </c>
    </row>
    <row r="4254" spans="1:2">
      <c r="A4254" s="4">
        <v>37551</v>
      </c>
      <c r="B4254" s="3">
        <v>27.93</v>
      </c>
    </row>
    <row r="4255" spans="1:2">
      <c r="A4255" s="4">
        <v>37552</v>
      </c>
      <c r="B4255" s="3">
        <v>28.19</v>
      </c>
    </row>
    <row r="4256" spans="1:2">
      <c r="A4256" s="4">
        <v>37553</v>
      </c>
      <c r="B4256" s="3">
        <v>27.87</v>
      </c>
    </row>
    <row r="4257" spans="1:2">
      <c r="A4257" s="4">
        <v>37554</v>
      </c>
      <c r="B4257" s="3">
        <v>27.09</v>
      </c>
    </row>
    <row r="4258" spans="1:2">
      <c r="A4258" s="4">
        <v>37557</v>
      </c>
      <c r="B4258" s="3">
        <v>27.25</v>
      </c>
    </row>
    <row r="4259" spans="1:2">
      <c r="A4259" s="4">
        <v>37558</v>
      </c>
      <c r="B4259" s="3">
        <v>26.81</v>
      </c>
    </row>
    <row r="4260" spans="1:2">
      <c r="A4260" s="4">
        <v>37559</v>
      </c>
      <c r="B4260" s="3">
        <v>26.85</v>
      </c>
    </row>
    <row r="4261" spans="1:2">
      <c r="A4261" s="4">
        <v>37560</v>
      </c>
      <c r="B4261" s="3">
        <v>27.18</v>
      </c>
    </row>
    <row r="4262" spans="1:2">
      <c r="A4262" s="4">
        <v>37561</v>
      </c>
      <c r="B4262" s="3">
        <v>27.04</v>
      </c>
    </row>
    <row r="4263" spans="1:2">
      <c r="A4263" s="4">
        <v>37564</v>
      </c>
      <c r="B4263" s="3">
        <v>26.89</v>
      </c>
    </row>
    <row r="4264" spans="1:2">
      <c r="A4264" s="4">
        <v>37565</v>
      </c>
      <c r="B4264" s="3">
        <v>26.06</v>
      </c>
    </row>
    <row r="4265" spans="1:2">
      <c r="A4265" s="4">
        <v>37566</v>
      </c>
      <c r="B4265" s="3">
        <v>25.72</v>
      </c>
    </row>
    <row r="4266" spans="1:2">
      <c r="A4266" s="4">
        <v>37567</v>
      </c>
      <c r="B4266" s="3">
        <v>25.36</v>
      </c>
    </row>
    <row r="4267" spans="1:2">
      <c r="A4267" s="4">
        <v>37568</v>
      </c>
      <c r="B4267" s="3">
        <v>25.83</v>
      </c>
    </row>
    <row r="4268" spans="1:2">
      <c r="A4268" s="4">
        <v>37571</v>
      </c>
      <c r="B4268" s="3">
        <v>26.02</v>
      </c>
    </row>
    <row r="4269" spans="1:2">
      <c r="A4269" s="4">
        <v>37572</v>
      </c>
      <c r="B4269" s="3">
        <v>26.19</v>
      </c>
    </row>
    <row r="4270" spans="1:2">
      <c r="A4270" s="4">
        <v>37573</v>
      </c>
      <c r="B4270" s="3">
        <v>25.28</v>
      </c>
    </row>
    <row r="4271" spans="1:2">
      <c r="A4271" s="4">
        <v>37574</v>
      </c>
      <c r="B4271" s="3">
        <v>25.4</v>
      </c>
    </row>
    <row r="4272" spans="1:2">
      <c r="A4272" s="4">
        <v>37575</v>
      </c>
      <c r="B4272" s="3">
        <v>25.5</v>
      </c>
    </row>
    <row r="4273" spans="1:2">
      <c r="A4273" s="4">
        <v>37578</v>
      </c>
      <c r="B4273" s="3">
        <v>26.71</v>
      </c>
    </row>
    <row r="4274" spans="1:2">
      <c r="A4274" s="4">
        <v>37579</v>
      </c>
      <c r="B4274" s="3">
        <v>26.41</v>
      </c>
    </row>
    <row r="4275" spans="1:2">
      <c r="A4275" s="4">
        <v>37580</v>
      </c>
      <c r="B4275" s="3">
        <v>27</v>
      </c>
    </row>
    <row r="4276" spans="1:2">
      <c r="A4276" s="4">
        <v>37581</v>
      </c>
      <c r="B4276" s="3">
        <v>27.07</v>
      </c>
    </row>
    <row r="4277" spans="1:2">
      <c r="A4277" s="4">
        <v>37582</v>
      </c>
      <c r="B4277" s="3">
        <v>27.73</v>
      </c>
    </row>
    <row r="4278" spans="1:2">
      <c r="A4278" s="4">
        <v>37585</v>
      </c>
      <c r="B4278" s="3">
        <v>27.01</v>
      </c>
    </row>
    <row r="4279" spans="1:2">
      <c r="A4279" s="4">
        <v>37586</v>
      </c>
      <c r="B4279" s="3">
        <v>26.6</v>
      </c>
    </row>
    <row r="4280" spans="1:2">
      <c r="A4280" s="4">
        <v>37587</v>
      </c>
      <c r="B4280" s="3">
        <v>26.87</v>
      </c>
    </row>
    <row r="4281" spans="1:2">
      <c r="A4281" s="4">
        <v>37592</v>
      </c>
      <c r="B4281" s="3">
        <v>27.27</v>
      </c>
    </row>
    <row r="4282" spans="1:2">
      <c r="A4282" s="4">
        <v>37593</v>
      </c>
      <c r="B4282" s="3">
        <v>27.34</v>
      </c>
    </row>
    <row r="4283" spans="1:2">
      <c r="A4283" s="4">
        <v>37594</v>
      </c>
      <c r="B4283" s="3">
        <v>26.8</v>
      </c>
    </row>
    <row r="4284" spans="1:2">
      <c r="A4284" s="4">
        <v>37595</v>
      </c>
      <c r="B4284" s="3">
        <v>27.27</v>
      </c>
    </row>
    <row r="4285" spans="1:2">
      <c r="A4285" s="4">
        <v>37596</v>
      </c>
      <c r="B4285" s="3">
        <v>27.03</v>
      </c>
    </row>
    <row r="4286" spans="1:2">
      <c r="A4286" s="4">
        <v>37599</v>
      </c>
      <c r="B4286" s="3">
        <v>27.29</v>
      </c>
    </row>
    <row r="4287" spans="1:2">
      <c r="A4287" s="4">
        <v>37600</v>
      </c>
      <c r="B4287" s="3">
        <v>27.73</v>
      </c>
    </row>
    <row r="4288" spans="1:2">
      <c r="A4288" s="4">
        <v>37601</v>
      </c>
      <c r="B4288" s="3">
        <v>27.49</v>
      </c>
    </row>
    <row r="4289" spans="1:2">
      <c r="A4289" s="4">
        <v>37602</v>
      </c>
      <c r="B4289" s="3">
        <v>28.2</v>
      </c>
    </row>
    <row r="4290" spans="1:2">
      <c r="A4290" s="4">
        <v>37603</v>
      </c>
      <c r="B4290" s="3">
        <v>28.39</v>
      </c>
    </row>
    <row r="4291" spans="1:2">
      <c r="A4291" s="4">
        <v>37606</v>
      </c>
      <c r="B4291" s="3">
        <v>30.15</v>
      </c>
    </row>
    <row r="4292" spans="1:2">
      <c r="A4292" s="4">
        <v>37607</v>
      </c>
      <c r="B4292" s="3">
        <v>30.04</v>
      </c>
    </row>
    <row r="4293" spans="1:2">
      <c r="A4293" s="4">
        <v>37608</v>
      </c>
      <c r="B4293" s="3">
        <v>30.41</v>
      </c>
    </row>
    <row r="4294" spans="1:2">
      <c r="A4294" s="4">
        <v>37609</v>
      </c>
      <c r="B4294" s="3">
        <v>30.57</v>
      </c>
    </row>
    <row r="4295" spans="1:2">
      <c r="A4295" s="4">
        <v>37610</v>
      </c>
      <c r="B4295" s="3">
        <v>30.57</v>
      </c>
    </row>
    <row r="4296" spans="1:2">
      <c r="A4296" s="4">
        <v>37613</v>
      </c>
      <c r="B4296" s="3">
        <v>32.090000000000003</v>
      </c>
    </row>
    <row r="4297" spans="1:2">
      <c r="A4297" s="4">
        <v>37614</v>
      </c>
      <c r="B4297" s="3">
        <v>32.130000000000003</v>
      </c>
    </row>
    <row r="4298" spans="1:2">
      <c r="A4298" s="4">
        <v>37616</v>
      </c>
      <c r="B4298" s="3">
        <v>32.61</v>
      </c>
    </row>
    <row r="4299" spans="1:2">
      <c r="A4299" s="4">
        <v>37617</v>
      </c>
      <c r="B4299" s="3">
        <v>32.68</v>
      </c>
    </row>
    <row r="4300" spans="1:2">
      <c r="A4300" s="4">
        <v>37620</v>
      </c>
      <c r="B4300" s="3">
        <v>31.41</v>
      </c>
    </row>
    <row r="4301" spans="1:2">
      <c r="A4301" s="4">
        <v>37621</v>
      </c>
      <c r="B4301" s="3">
        <v>31.21</v>
      </c>
    </row>
    <row r="4302" spans="1:2">
      <c r="A4302" s="4">
        <v>37623</v>
      </c>
      <c r="B4302" s="3">
        <v>31.97</v>
      </c>
    </row>
    <row r="4303" spans="1:2">
      <c r="A4303" s="4">
        <v>37624</v>
      </c>
      <c r="B4303" s="3">
        <v>33.26</v>
      </c>
    </row>
    <row r="4304" spans="1:2">
      <c r="A4304" s="4">
        <v>37627</v>
      </c>
      <c r="B4304" s="3">
        <v>32.29</v>
      </c>
    </row>
    <row r="4305" spans="1:2">
      <c r="A4305" s="4">
        <v>37628</v>
      </c>
      <c r="B4305" s="3">
        <v>31.2</v>
      </c>
    </row>
    <row r="4306" spans="1:2">
      <c r="A4306" s="4">
        <v>37629</v>
      </c>
      <c r="B4306" s="3">
        <v>30.66</v>
      </c>
    </row>
    <row r="4307" spans="1:2">
      <c r="A4307" s="4">
        <v>37630</v>
      </c>
      <c r="B4307" s="3">
        <v>31.95</v>
      </c>
    </row>
    <row r="4308" spans="1:2">
      <c r="A4308" s="4">
        <v>37631</v>
      </c>
      <c r="B4308" s="3">
        <v>31.59</v>
      </c>
    </row>
    <row r="4309" spans="1:2">
      <c r="A4309" s="4">
        <v>37634</v>
      </c>
      <c r="B4309" s="3">
        <v>32.08</v>
      </c>
    </row>
    <row r="4310" spans="1:2">
      <c r="A4310" s="4">
        <v>37635</v>
      </c>
      <c r="B4310" s="3">
        <v>32.42</v>
      </c>
    </row>
    <row r="4311" spans="1:2">
      <c r="A4311" s="4">
        <v>37636</v>
      </c>
      <c r="B4311" s="3">
        <v>33.229999999999997</v>
      </c>
    </row>
    <row r="4312" spans="1:2">
      <c r="A4312" s="4">
        <v>37637</v>
      </c>
      <c r="B4312" s="3">
        <v>33.58</v>
      </c>
    </row>
    <row r="4313" spans="1:2">
      <c r="A4313" s="4">
        <v>37638</v>
      </c>
      <c r="B4313" s="3">
        <v>33.880000000000003</v>
      </c>
    </row>
    <row r="4314" spans="1:2">
      <c r="A4314" s="4">
        <v>37642</v>
      </c>
      <c r="B4314" s="3">
        <v>34.619999999999997</v>
      </c>
    </row>
    <row r="4315" spans="1:2">
      <c r="A4315" s="4">
        <v>37643</v>
      </c>
      <c r="B4315" s="3">
        <v>34.32</v>
      </c>
    </row>
    <row r="4316" spans="1:2">
      <c r="A4316" s="4">
        <v>37644</v>
      </c>
      <c r="B4316" s="3">
        <v>33.9</v>
      </c>
    </row>
    <row r="4317" spans="1:2">
      <c r="A4317" s="4">
        <v>37645</v>
      </c>
      <c r="B4317" s="3">
        <v>34.979999999999997</v>
      </c>
    </row>
    <row r="4318" spans="1:2">
      <c r="A4318" s="4">
        <v>37648</v>
      </c>
      <c r="B4318" s="3">
        <v>32.43</v>
      </c>
    </row>
    <row r="4319" spans="1:2">
      <c r="A4319" s="4">
        <v>37649</v>
      </c>
      <c r="B4319" s="3">
        <v>32.700000000000003</v>
      </c>
    </row>
    <row r="4320" spans="1:2">
      <c r="A4320" s="4">
        <v>37650</v>
      </c>
      <c r="B4320" s="3">
        <v>33.54</v>
      </c>
    </row>
    <row r="4321" spans="1:2">
      <c r="A4321" s="4">
        <v>37651</v>
      </c>
      <c r="B4321" s="3">
        <v>33.78</v>
      </c>
    </row>
    <row r="4322" spans="1:2">
      <c r="A4322" s="4">
        <v>37652</v>
      </c>
      <c r="B4322" s="3">
        <v>33.51</v>
      </c>
    </row>
    <row r="4323" spans="1:2">
      <c r="A4323" s="4">
        <v>37655</v>
      </c>
      <c r="B4323" s="3">
        <v>32.840000000000003</v>
      </c>
    </row>
    <row r="4324" spans="1:2">
      <c r="A4324" s="4">
        <v>37656</v>
      </c>
      <c r="B4324" s="3">
        <v>33.61</v>
      </c>
    </row>
    <row r="4325" spans="1:2">
      <c r="A4325" s="4">
        <v>37657</v>
      </c>
      <c r="B4325" s="3">
        <v>33.909999999999997</v>
      </c>
    </row>
    <row r="4326" spans="1:2">
      <c r="A4326" s="4">
        <v>37658</v>
      </c>
      <c r="B4326" s="3">
        <v>34.36</v>
      </c>
    </row>
    <row r="4327" spans="1:2">
      <c r="A4327" s="4">
        <v>37659</v>
      </c>
      <c r="B4327" s="3">
        <v>35.049999999999997</v>
      </c>
    </row>
    <row r="4328" spans="1:2">
      <c r="A4328" s="4">
        <v>37662</v>
      </c>
      <c r="B4328" s="3">
        <v>34.46</v>
      </c>
    </row>
    <row r="4329" spans="1:2">
      <c r="A4329" s="4">
        <v>37663</v>
      </c>
      <c r="B4329" s="3">
        <v>35.43</v>
      </c>
    </row>
    <row r="4330" spans="1:2">
      <c r="A4330" s="4">
        <v>37664</v>
      </c>
      <c r="B4330" s="3">
        <v>35.83</v>
      </c>
    </row>
    <row r="4331" spans="1:2">
      <c r="A4331" s="4">
        <v>37665</v>
      </c>
      <c r="B4331" s="3">
        <v>36.630000000000003</v>
      </c>
    </row>
    <row r="4332" spans="1:2">
      <c r="A4332" s="4">
        <v>37666</v>
      </c>
      <c r="B4332" s="3">
        <v>36.61</v>
      </c>
    </row>
    <row r="4333" spans="1:2">
      <c r="A4333" s="4">
        <v>37670</v>
      </c>
      <c r="B4333" s="3">
        <v>36.880000000000003</v>
      </c>
    </row>
    <row r="4334" spans="1:2">
      <c r="A4334" s="4">
        <v>37671</v>
      </c>
      <c r="B4334" s="3">
        <v>37.020000000000003</v>
      </c>
    </row>
    <row r="4335" spans="1:2">
      <c r="A4335" s="4">
        <v>37672</v>
      </c>
      <c r="B4335" s="3">
        <v>36.450000000000003</v>
      </c>
    </row>
    <row r="4336" spans="1:2">
      <c r="A4336" s="4">
        <v>37673</v>
      </c>
      <c r="B4336" s="3">
        <v>36.76</v>
      </c>
    </row>
    <row r="4337" spans="1:2">
      <c r="A4337" s="4">
        <v>37676</v>
      </c>
      <c r="B4337" s="3">
        <v>37.29</v>
      </c>
    </row>
    <row r="4338" spans="1:2">
      <c r="A4338" s="4">
        <v>37677</v>
      </c>
      <c r="B4338" s="3">
        <v>36.06</v>
      </c>
    </row>
    <row r="4339" spans="1:2">
      <c r="A4339" s="4">
        <v>37678</v>
      </c>
      <c r="B4339" s="3">
        <v>37.96</v>
      </c>
    </row>
    <row r="4340" spans="1:2">
      <c r="A4340" s="4">
        <v>37679</v>
      </c>
      <c r="B4340" s="3">
        <v>36.83</v>
      </c>
    </row>
    <row r="4341" spans="1:2">
      <c r="A4341" s="4">
        <v>37680</v>
      </c>
      <c r="B4341" s="3">
        <v>36.76</v>
      </c>
    </row>
    <row r="4342" spans="1:2">
      <c r="A4342" s="4">
        <v>37683</v>
      </c>
      <c r="B4342" s="3">
        <v>36.1</v>
      </c>
    </row>
    <row r="4343" spans="1:2">
      <c r="A4343" s="4">
        <v>37684</v>
      </c>
      <c r="B4343" s="3">
        <v>36.950000000000003</v>
      </c>
    </row>
    <row r="4344" spans="1:2">
      <c r="A4344" s="4">
        <v>37685</v>
      </c>
      <c r="B4344" s="3">
        <v>36.86</v>
      </c>
    </row>
    <row r="4345" spans="1:2">
      <c r="A4345" s="4">
        <v>37686</v>
      </c>
      <c r="B4345" s="3">
        <v>37.21</v>
      </c>
    </row>
    <row r="4346" spans="1:2">
      <c r="A4346" s="4">
        <v>37687</v>
      </c>
      <c r="B4346" s="3">
        <v>37.76</v>
      </c>
    </row>
    <row r="4347" spans="1:2">
      <c r="A4347" s="4">
        <v>37690</v>
      </c>
      <c r="B4347" s="3">
        <v>37.18</v>
      </c>
    </row>
    <row r="4348" spans="1:2">
      <c r="A4348" s="4">
        <v>37691</v>
      </c>
      <c r="B4348" s="3">
        <v>36.81</v>
      </c>
    </row>
    <row r="4349" spans="1:2">
      <c r="A4349" s="4">
        <v>37692</v>
      </c>
      <c r="B4349" s="3">
        <v>37.869999999999997</v>
      </c>
    </row>
    <row r="4350" spans="1:2">
      <c r="A4350" s="4">
        <v>37693</v>
      </c>
      <c r="B4350" s="3">
        <v>36.049999999999997</v>
      </c>
    </row>
    <row r="4351" spans="1:2">
      <c r="A4351" s="4">
        <v>37694</v>
      </c>
      <c r="B4351" s="3">
        <v>35.409999999999997</v>
      </c>
    </row>
    <row r="4352" spans="1:2">
      <c r="A4352" s="4">
        <v>37697</v>
      </c>
      <c r="B4352" s="3">
        <v>34.92</v>
      </c>
    </row>
    <row r="4353" spans="1:2">
      <c r="A4353" s="4">
        <v>37698</v>
      </c>
      <c r="B4353" s="3">
        <v>31.55</v>
      </c>
    </row>
    <row r="4354" spans="1:2">
      <c r="A4354" s="4">
        <v>37699</v>
      </c>
      <c r="B4354" s="3">
        <v>30.01</v>
      </c>
    </row>
    <row r="4355" spans="1:2">
      <c r="A4355" s="4">
        <v>37700</v>
      </c>
      <c r="B4355" s="3">
        <v>28.62</v>
      </c>
    </row>
    <row r="4356" spans="1:2">
      <c r="A4356" s="4">
        <v>37701</v>
      </c>
      <c r="B4356" s="3">
        <v>27.18</v>
      </c>
    </row>
    <row r="4357" spans="1:2">
      <c r="A4357" s="4">
        <v>37704</v>
      </c>
      <c r="B4357" s="3">
        <v>29.51</v>
      </c>
    </row>
    <row r="4358" spans="1:2">
      <c r="A4358" s="4">
        <v>37705</v>
      </c>
      <c r="B4358" s="3">
        <v>33.42</v>
      </c>
    </row>
    <row r="4359" spans="1:2">
      <c r="A4359" s="4">
        <v>37706</v>
      </c>
      <c r="B4359" s="3">
        <v>28.71</v>
      </c>
    </row>
    <row r="4360" spans="1:2">
      <c r="A4360" s="4">
        <v>37707</v>
      </c>
      <c r="B4360" s="3">
        <v>30.31</v>
      </c>
    </row>
    <row r="4361" spans="1:2">
      <c r="A4361" s="4">
        <v>37708</v>
      </c>
      <c r="B4361" s="3">
        <v>30.21</v>
      </c>
    </row>
    <row r="4362" spans="1:2">
      <c r="A4362" s="4">
        <v>37711</v>
      </c>
      <c r="B4362" s="3">
        <v>31.14</v>
      </c>
    </row>
    <row r="4363" spans="1:2">
      <c r="A4363" s="4">
        <v>37712</v>
      </c>
      <c r="B4363" s="3">
        <v>29.48</v>
      </c>
    </row>
    <row r="4364" spans="1:2">
      <c r="A4364" s="4">
        <v>37713</v>
      </c>
      <c r="B4364" s="3">
        <v>28.55</v>
      </c>
    </row>
    <row r="4365" spans="1:2">
      <c r="A4365" s="4">
        <v>37714</v>
      </c>
      <c r="B4365" s="3">
        <v>29.05</v>
      </c>
    </row>
    <row r="4366" spans="1:2">
      <c r="A4366" s="4">
        <v>37715</v>
      </c>
      <c r="B4366" s="3">
        <v>28.41</v>
      </c>
    </row>
    <row r="4367" spans="1:2">
      <c r="A4367" s="4">
        <v>37718</v>
      </c>
      <c r="B4367" s="3">
        <v>27.76</v>
      </c>
    </row>
    <row r="4368" spans="1:2">
      <c r="A4368" s="4">
        <v>37719</v>
      </c>
      <c r="B4368" s="3">
        <v>27.97</v>
      </c>
    </row>
    <row r="4369" spans="1:2">
      <c r="A4369" s="4">
        <v>37720</v>
      </c>
      <c r="B4369" s="3">
        <v>28.93</v>
      </c>
    </row>
    <row r="4370" spans="1:2">
      <c r="A4370" s="4">
        <v>37721</v>
      </c>
      <c r="B4370" s="3">
        <v>27.2</v>
      </c>
    </row>
    <row r="4371" spans="1:2">
      <c r="A4371" s="4">
        <v>37722</v>
      </c>
      <c r="B4371" s="3">
        <v>28.28</v>
      </c>
    </row>
    <row r="4372" spans="1:2">
      <c r="A4372" s="4">
        <v>37725</v>
      </c>
      <c r="B4372" s="3">
        <v>28.41</v>
      </c>
    </row>
    <row r="4373" spans="1:2">
      <c r="A4373" s="4">
        <v>37726</v>
      </c>
      <c r="B4373" s="3">
        <v>29.46</v>
      </c>
    </row>
    <row r="4374" spans="1:2">
      <c r="A4374" s="4">
        <v>37727</v>
      </c>
      <c r="B4374" s="3">
        <v>29.16</v>
      </c>
    </row>
    <row r="4375" spans="1:2">
      <c r="A4375" s="4">
        <v>37728</v>
      </c>
      <c r="B4375" s="3">
        <v>30.1</v>
      </c>
    </row>
    <row r="4376" spans="1:2">
      <c r="A4376" s="4">
        <v>37732</v>
      </c>
      <c r="B4376" s="3">
        <v>30.76</v>
      </c>
    </row>
    <row r="4377" spans="1:2">
      <c r="A4377" s="4">
        <v>37733</v>
      </c>
      <c r="B4377" s="3">
        <v>29.92</v>
      </c>
    </row>
    <row r="4378" spans="1:2">
      <c r="A4378" s="4">
        <v>37734</v>
      </c>
      <c r="B4378" s="3">
        <v>28.04</v>
      </c>
    </row>
    <row r="4379" spans="1:2">
      <c r="A4379" s="4">
        <v>37735</v>
      </c>
      <c r="B4379" s="3">
        <v>27.52</v>
      </c>
    </row>
    <row r="4380" spans="1:2">
      <c r="A4380" s="4">
        <v>37736</v>
      </c>
      <c r="B4380" s="3">
        <v>25.92</v>
      </c>
    </row>
    <row r="4381" spans="1:2">
      <c r="A4381" s="4">
        <v>37739</v>
      </c>
      <c r="B4381" s="3">
        <v>25.25</v>
      </c>
    </row>
    <row r="4382" spans="1:2">
      <c r="A4382" s="4">
        <v>37740</v>
      </c>
      <c r="B4382" s="3">
        <v>25.32</v>
      </c>
    </row>
    <row r="4383" spans="1:2">
      <c r="A4383" s="4">
        <v>37741</v>
      </c>
      <c r="B4383" s="3">
        <v>26.09</v>
      </c>
    </row>
    <row r="4384" spans="1:2">
      <c r="A4384" s="4">
        <v>37742</v>
      </c>
      <c r="B4384" s="3">
        <v>26.05</v>
      </c>
    </row>
    <row r="4385" spans="1:2">
      <c r="A4385" s="4">
        <v>37743</v>
      </c>
      <c r="B4385" s="3">
        <v>25.74</v>
      </c>
    </row>
    <row r="4386" spans="1:2">
      <c r="A4386" s="4">
        <v>37746</v>
      </c>
      <c r="B4386" s="3">
        <v>26.43</v>
      </c>
    </row>
    <row r="4387" spans="1:2">
      <c r="A4387" s="4">
        <v>37747</v>
      </c>
      <c r="B4387" s="3">
        <v>25.65</v>
      </c>
    </row>
    <row r="4388" spans="1:2">
      <c r="A4388" s="4">
        <v>37748</v>
      </c>
      <c r="B4388" s="3">
        <v>26.24</v>
      </c>
    </row>
    <row r="4389" spans="1:2">
      <c r="A4389" s="4">
        <v>37749</v>
      </c>
      <c r="B4389" s="3">
        <v>26.94</v>
      </c>
    </row>
    <row r="4390" spans="1:2">
      <c r="A4390" s="4">
        <v>37750</v>
      </c>
      <c r="B4390" s="3">
        <v>27.65</v>
      </c>
    </row>
    <row r="4391" spans="1:2">
      <c r="A4391" s="4">
        <v>37753</v>
      </c>
      <c r="B4391" s="3">
        <v>27.34</v>
      </c>
    </row>
    <row r="4392" spans="1:2">
      <c r="A4392" s="4">
        <v>37754</v>
      </c>
      <c r="B4392" s="3">
        <v>28.51</v>
      </c>
    </row>
    <row r="4393" spans="1:2">
      <c r="A4393" s="4">
        <v>37755</v>
      </c>
      <c r="B4393" s="3">
        <v>29.21</v>
      </c>
    </row>
    <row r="4394" spans="1:2">
      <c r="A4394" s="4">
        <v>37756</v>
      </c>
      <c r="B4394" s="3">
        <v>28.57</v>
      </c>
    </row>
    <row r="4395" spans="1:2">
      <c r="A4395" s="4">
        <v>37757</v>
      </c>
      <c r="B4395" s="3">
        <v>29.07</v>
      </c>
    </row>
    <row r="4396" spans="1:2">
      <c r="A4396" s="4">
        <v>37760</v>
      </c>
      <c r="B4396" s="3">
        <v>28.84</v>
      </c>
    </row>
    <row r="4397" spans="1:2">
      <c r="A4397" s="4">
        <v>37761</v>
      </c>
      <c r="B4397" s="3">
        <v>29.29</v>
      </c>
    </row>
    <row r="4398" spans="1:2">
      <c r="A4398" s="4">
        <v>37762</v>
      </c>
      <c r="B4398" s="3">
        <v>29.51</v>
      </c>
    </row>
    <row r="4399" spans="1:2">
      <c r="A4399" s="4">
        <v>37763</v>
      </c>
      <c r="B4399" s="3">
        <v>29.09</v>
      </c>
    </row>
    <row r="4400" spans="1:2">
      <c r="A4400" s="4">
        <v>37764</v>
      </c>
      <c r="B4400" s="3">
        <v>29.74</v>
      </c>
    </row>
    <row r="4401" spans="1:2">
      <c r="A4401" s="4">
        <v>37768</v>
      </c>
      <c r="B4401" s="3">
        <v>29.24</v>
      </c>
    </row>
    <row r="4402" spans="1:2">
      <c r="A4402" s="4">
        <v>37769</v>
      </c>
      <c r="B4402" s="3">
        <v>28.46</v>
      </c>
    </row>
    <row r="4403" spans="1:2">
      <c r="A4403" s="4">
        <v>37770</v>
      </c>
      <c r="B4403" s="3">
        <v>29.15</v>
      </c>
    </row>
    <row r="4404" spans="1:2">
      <c r="A4404" s="4">
        <v>37771</v>
      </c>
      <c r="B4404" s="3">
        <v>29.56</v>
      </c>
    </row>
    <row r="4405" spans="1:2">
      <c r="A4405" s="4">
        <v>37774</v>
      </c>
      <c r="B4405" s="3">
        <v>30.72</v>
      </c>
    </row>
    <row r="4406" spans="1:2">
      <c r="A4406" s="4">
        <v>37775</v>
      </c>
      <c r="B4406" s="3">
        <v>30.78</v>
      </c>
    </row>
    <row r="4407" spans="1:2">
      <c r="A4407" s="4">
        <v>37776</v>
      </c>
      <c r="B4407" s="3">
        <v>29.81</v>
      </c>
    </row>
    <row r="4408" spans="1:2">
      <c r="A4408" s="4">
        <v>37777</v>
      </c>
      <c r="B4408" s="3">
        <v>30.84</v>
      </c>
    </row>
    <row r="4409" spans="1:2">
      <c r="A4409" s="4">
        <v>37778</v>
      </c>
      <c r="B4409" s="3">
        <v>31.26</v>
      </c>
    </row>
    <row r="4410" spans="1:2">
      <c r="A4410" s="4">
        <v>37781</v>
      </c>
      <c r="B4410" s="3">
        <v>31.36</v>
      </c>
    </row>
    <row r="4411" spans="1:2">
      <c r="A4411" s="4">
        <v>37782</v>
      </c>
      <c r="B4411" s="3">
        <v>31.72</v>
      </c>
    </row>
    <row r="4412" spans="1:2">
      <c r="A4412" s="4">
        <v>37783</v>
      </c>
      <c r="B4412" s="3">
        <v>32.17</v>
      </c>
    </row>
    <row r="4413" spans="1:2">
      <c r="A4413" s="4">
        <v>37784</v>
      </c>
      <c r="B4413" s="3">
        <v>31.41</v>
      </c>
    </row>
    <row r="4414" spans="1:2">
      <c r="A4414" s="4">
        <v>37785</v>
      </c>
      <c r="B4414" s="3">
        <v>30.63</v>
      </c>
    </row>
    <row r="4415" spans="1:2">
      <c r="A4415" s="4">
        <v>37788</v>
      </c>
      <c r="B4415" s="3">
        <v>31.14</v>
      </c>
    </row>
    <row r="4416" spans="1:2">
      <c r="A4416" s="4">
        <v>37789</v>
      </c>
      <c r="B4416" s="3">
        <v>31.08</v>
      </c>
    </row>
    <row r="4417" spans="1:2">
      <c r="A4417" s="4">
        <v>37790</v>
      </c>
      <c r="B4417" s="3">
        <v>30.28</v>
      </c>
    </row>
    <row r="4418" spans="1:2">
      <c r="A4418" s="4">
        <v>37791</v>
      </c>
      <c r="B4418" s="3">
        <v>29.86</v>
      </c>
    </row>
    <row r="4419" spans="1:2">
      <c r="A4419" s="4">
        <v>37792</v>
      </c>
      <c r="B4419" s="3">
        <v>30.63</v>
      </c>
    </row>
    <row r="4420" spans="1:2">
      <c r="A4420" s="4">
        <v>37795</v>
      </c>
      <c r="B4420" s="3">
        <v>30.22</v>
      </c>
    </row>
    <row r="4421" spans="1:2">
      <c r="A4421" s="4">
        <v>37796</v>
      </c>
      <c r="B4421" s="3">
        <v>30.05</v>
      </c>
    </row>
    <row r="4422" spans="1:2">
      <c r="A4422" s="4">
        <v>37797</v>
      </c>
      <c r="B4422" s="3">
        <v>31.65</v>
      </c>
    </row>
    <row r="4423" spans="1:2">
      <c r="A4423" s="4">
        <v>37798</v>
      </c>
      <c r="B4423" s="3">
        <v>28.97</v>
      </c>
    </row>
    <row r="4424" spans="1:2">
      <c r="A4424" s="4">
        <v>37799</v>
      </c>
      <c r="B4424" s="3">
        <v>29.18</v>
      </c>
    </row>
    <row r="4425" spans="1:2">
      <c r="A4425" s="4">
        <v>37802</v>
      </c>
      <c r="B4425" s="3">
        <v>30.15</v>
      </c>
    </row>
    <row r="4426" spans="1:2">
      <c r="A4426" s="4">
        <v>37803</v>
      </c>
      <c r="B4426" s="3">
        <v>30.41</v>
      </c>
    </row>
    <row r="4427" spans="1:2">
      <c r="A4427" s="4">
        <v>37804</v>
      </c>
      <c r="B4427" s="3">
        <v>30.29</v>
      </c>
    </row>
    <row r="4428" spans="1:2">
      <c r="A4428" s="4">
        <v>37805</v>
      </c>
      <c r="B4428" s="3">
        <v>30.39</v>
      </c>
    </row>
    <row r="4429" spans="1:2">
      <c r="A4429" s="4">
        <v>37809</v>
      </c>
      <c r="B4429" s="3">
        <v>30.08</v>
      </c>
    </row>
    <row r="4430" spans="1:2">
      <c r="A4430" s="4">
        <v>37810</v>
      </c>
      <c r="B4430" s="3">
        <v>30.32</v>
      </c>
    </row>
    <row r="4431" spans="1:2">
      <c r="A4431" s="4">
        <v>37811</v>
      </c>
      <c r="B4431" s="3">
        <v>30.87</v>
      </c>
    </row>
    <row r="4432" spans="1:2">
      <c r="A4432" s="4">
        <v>37812</v>
      </c>
      <c r="B4432" s="3">
        <v>31.04</v>
      </c>
    </row>
    <row r="4433" spans="1:2">
      <c r="A4433" s="4">
        <v>37813</v>
      </c>
      <c r="B4433" s="3">
        <v>31.33</v>
      </c>
    </row>
    <row r="4434" spans="1:2">
      <c r="A4434" s="4">
        <v>37816</v>
      </c>
      <c r="B4434" s="3">
        <v>31.2</v>
      </c>
    </row>
    <row r="4435" spans="1:2">
      <c r="A4435" s="4">
        <v>37817</v>
      </c>
      <c r="B4435" s="3">
        <v>31.6</v>
      </c>
    </row>
    <row r="4436" spans="1:2">
      <c r="A4436" s="4">
        <v>37818</v>
      </c>
      <c r="B4436" s="3">
        <v>31.2</v>
      </c>
    </row>
    <row r="4437" spans="1:2">
      <c r="A4437" s="4">
        <v>37819</v>
      </c>
      <c r="B4437" s="3">
        <v>31.44</v>
      </c>
    </row>
    <row r="4438" spans="1:2">
      <c r="A4438" s="4">
        <v>37820</v>
      </c>
      <c r="B4438" s="3">
        <v>31.96</v>
      </c>
    </row>
    <row r="4439" spans="1:2">
      <c r="A4439" s="4">
        <v>37823</v>
      </c>
      <c r="B4439" s="3">
        <v>31.67</v>
      </c>
    </row>
    <row r="4440" spans="1:2">
      <c r="A4440" s="4">
        <v>37824</v>
      </c>
      <c r="B4440" s="3">
        <v>30.2</v>
      </c>
    </row>
    <row r="4441" spans="1:2">
      <c r="A4441" s="4">
        <v>37825</v>
      </c>
      <c r="B4441" s="3">
        <v>30.13</v>
      </c>
    </row>
    <row r="4442" spans="1:2">
      <c r="A4442" s="4">
        <v>37826</v>
      </c>
      <c r="B4442" s="3">
        <v>30.72</v>
      </c>
    </row>
    <row r="4443" spans="1:2">
      <c r="A4443" s="4">
        <v>37827</v>
      </c>
      <c r="B4443" s="3">
        <v>30.31</v>
      </c>
    </row>
    <row r="4444" spans="1:2">
      <c r="A4444" s="4">
        <v>37830</v>
      </c>
      <c r="B4444" s="3">
        <v>29.98</v>
      </c>
    </row>
    <row r="4445" spans="1:2">
      <c r="A4445" s="4">
        <v>37831</v>
      </c>
      <c r="B4445" s="3">
        <v>30.21</v>
      </c>
    </row>
    <row r="4446" spans="1:2">
      <c r="A4446" s="4">
        <v>37832</v>
      </c>
      <c r="B4446" s="3">
        <v>30.69</v>
      </c>
    </row>
    <row r="4447" spans="1:2">
      <c r="A4447" s="4">
        <v>37833</v>
      </c>
      <c r="B4447" s="3">
        <v>30.56</v>
      </c>
    </row>
    <row r="4448" spans="1:2">
      <c r="A4448" s="4">
        <v>37834</v>
      </c>
      <c r="B4448" s="3">
        <v>32.229999999999997</v>
      </c>
    </row>
    <row r="4449" spans="1:2">
      <c r="A4449" s="4">
        <v>37837</v>
      </c>
      <c r="B4449" s="3">
        <v>31.8</v>
      </c>
    </row>
    <row r="4450" spans="1:2">
      <c r="A4450" s="4">
        <v>37838</v>
      </c>
      <c r="B4450" s="3">
        <v>32.340000000000003</v>
      </c>
    </row>
    <row r="4451" spans="1:2">
      <c r="A4451" s="4">
        <v>37839</v>
      </c>
      <c r="B4451" s="3">
        <v>31.77</v>
      </c>
    </row>
    <row r="4452" spans="1:2">
      <c r="A4452" s="4">
        <v>37840</v>
      </c>
      <c r="B4452" s="3">
        <v>32.409999999999997</v>
      </c>
    </row>
    <row r="4453" spans="1:2">
      <c r="A4453" s="4">
        <v>37841</v>
      </c>
      <c r="B4453" s="3">
        <v>32.229999999999997</v>
      </c>
    </row>
    <row r="4454" spans="1:2">
      <c r="A4454" s="4">
        <v>37844</v>
      </c>
      <c r="B4454" s="3">
        <v>31.91</v>
      </c>
    </row>
    <row r="4455" spans="1:2">
      <c r="A4455" s="4">
        <v>37845</v>
      </c>
      <c r="B4455" s="3">
        <v>31.91</v>
      </c>
    </row>
    <row r="4456" spans="1:2">
      <c r="A4456" s="4">
        <v>37846</v>
      </c>
      <c r="B4456" s="3">
        <v>30.85</v>
      </c>
    </row>
    <row r="4457" spans="1:2">
      <c r="A4457" s="4">
        <v>37847</v>
      </c>
      <c r="B4457" s="3">
        <v>30.85</v>
      </c>
    </row>
    <row r="4458" spans="1:2">
      <c r="A4458" s="4">
        <v>37848</v>
      </c>
      <c r="B4458" s="3">
        <v>31.01</v>
      </c>
    </row>
    <row r="4459" spans="1:2">
      <c r="A4459" s="4">
        <v>37851</v>
      </c>
      <c r="B4459" s="3">
        <v>30.81</v>
      </c>
    </row>
    <row r="4460" spans="1:2">
      <c r="A4460" s="4">
        <v>37852</v>
      </c>
      <c r="B4460" s="3">
        <v>30.76</v>
      </c>
    </row>
    <row r="4461" spans="1:2">
      <c r="A4461" s="4">
        <v>37853</v>
      </c>
      <c r="B4461" s="3">
        <v>30.96</v>
      </c>
    </row>
    <row r="4462" spans="1:2">
      <c r="A4462" s="4">
        <v>37854</v>
      </c>
      <c r="B4462" s="3">
        <v>31.78</v>
      </c>
    </row>
    <row r="4463" spans="1:2">
      <c r="A4463" s="4">
        <v>37855</v>
      </c>
      <c r="B4463" s="3">
        <v>31.64</v>
      </c>
    </row>
    <row r="4464" spans="1:2">
      <c r="A4464" s="4">
        <v>37858</v>
      </c>
      <c r="B4464" s="3">
        <v>31.43</v>
      </c>
    </row>
    <row r="4465" spans="1:2">
      <c r="A4465" s="4">
        <v>37859</v>
      </c>
      <c r="B4465" s="3">
        <v>32.01</v>
      </c>
    </row>
    <row r="4466" spans="1:2">
      <c r="A4466" s="4">
        <v>37860</v>
      </c>
      <c r="B4466" s="3">
        <v>31.18</v>
      </c>
    </row>
    <row r="4467" spans="1:2">
      <c r="A4467" s="4">
        <v>37861</v>
      </c>
      <c r="B4467" s="3">
        <v>31.41</v>
      </c>
    </row>
    <row r="4468" spans="1:2">
      <c r="A4468" s="4">
        <v>37862</v>
      </c>
      <c r="B4468" s="3">
        <v>31.76</v>
      </c>
    </row>
    <row r="4469" spans="1:2">
      <c r="A4469" s="4">
        <v>37866</v>
      </c>
      <c r="B4469" s="3">
        <v>29.57</v>
      </c>
    </row>
    <row r="4470" spans="1:2">
      <c r="A4470" s="4">
        <v>37867</v>
      </c>
      <c r="B4470" s="3">
        <v>29.43</v>
      </c>
    </row>
    <row r="4471" spans="1:2">
      <c r="A4471" s="4">
        <v>37868</v>
      </c>
      <c r="B4471" s="3">
        <v>28.87</v>
      </c>
    </row>
    <row r="4472" spans="1:2">
      <c r="A4472" s="4">
        <v>37869</v>
      </c>
      <c r="B4472" s="3">
        <v>28.93</v>
      </c>
    </row>
    <row r="4473" spans="1:2">
      <c r="A4473" s="4">
        <v>37872</v>
      </c>
      <c r="B4473" s="3">
        <v>28.85</v>
      </c>
    </row>
    <row r="4474" spans="1:2">
      <c r="A4474" s="4">
        <v>37873</v>
      </c>
      <c r="B4474" s="3">
        <v>29.22</v>
      </c>
    </row>
    <row r="4475" spans="1:2">
      <c r="A4475" s="4">
        <v>37874</v>
      </c>
      <c r="B4475" s="3">
        <v>29.41</v>
      </c>
    </row>
    <row r="4476" spans="1:2">
      <c r="A4476" s="4">
        <v>37875</v>
      </c>
      <c r="B4476" s="3">
        <v>28.86</v>
      </c>
    </row>
    <row r="4477" spans="1:2">
      <c r="A4477" s="4">
        <v>37876</v>
      </c>
      <c r="B4477" s="3">
        <v>28.26</v>
      </c>
    </row>
    <row r="4478" spans="1:2">
      <c r="A4478" s="4">
        <v>37879</v>
      </c>
      <c r="B4478" s="3">
        <v>28.15</v>
      </c>
    </row>
    <row r="4479" spans="1:2">
      <c r="A4479" s="4">
        <v>37880</v>
      </c>
      <c r="B4479" s="3">
        <v>27.6</v>
      </c>
    </row>
    <row r="4480" spans="1:2">
      <c r="A4480" s="4">
        <v>37881</v>
      </c>
      <c r="B4480" s="3">
        <v>27</v>
      </c>
    </row>
    <row r="4481" spans="1:2">
      <c r="A4481" s="4">
        <v>37882</v>
      </c>
      <c r="B4481" s="3">
        <v>27.26</v>
      </c>
    </row>
    <row r="4482" spans="1:2">
      <c r="A4482" s="4">
        <v>37883</v>
      </c>
      <c r="B4482" s="3">
        <v>26.93</v>
      </c>
    </row>
    <row r="4483" spans="1:2">
      <c r="A4483" s="4">
        <v>37886</v>
      </c>
      <c r="B4483" s="3">
        <v>26.97</v>
      </c>
    </row>
    <row r="4484" spans="1:2">
      <c r="A4484" s="4">
        <v>37887</v>
      </c>
      <c r="B4484" s="3">
        <v>27</v>
      </c>
    </row>
    <row r="4485" spans="1:2">
      <c r="A4485" s="4">
        <v>37888</v>
      </c>
      <c r="B4485" s="3">
        <v>28.19</v>
      </c>
    </row>
    <row r="4486" spans="1:2">
      <c r="A4486" s="4">
        <v>37889</v>
      </c>
      <c r="B4486" s="3">
        <v>28.29</v>
      </c>
    </row>
    <row r="4487" spans="1:2">
      <c r="A4487" s="4">
        <v>37890</v>
      </c>
      <c r="B4487" s="3">
        <v>28.21</v>
      </c>
    </row>
    <row r="4488" spans="1:2">
      <c r="A4488" s="4">
        <v>37893</v>
      </c>
      <c r="B4488" s="3">
        <v>28.35</v>
      </c>
    </row>
    <row r="4489" spans="1:2">
      <c r="A4489" s="4">
        <v>37894</v>
      </c>
      <c r="B4489" s="3">
        <v>29.19</v>
      </c>
    </row>
    <row r="4490" spans="1:2">
      <c r="A4490" s="4">
        <v>37895</v>
      </c>
      <c r="B4490" s="3">
        <v>29.43</v>
      </c>
    </row>
    <row r="4491" spans="1:2">
      <c r="A4491" s="4">
        <v>37896</v>
      </c>
      <c r="B4491" s="3">
        <v>29.83</v>
      </c>
    </row>
    <row r="4492" spans="1:2">
      <c r="A4492" s="4">
        <v>37897</v>
      </c>
      <c r="B4492" s="3">
        <v>30.37</v>
      </c>
    </row>
    <row r="4493" spans="1:2">
      <c r="A4493" s="4">
        <v>37900</v>
      </c>
      <c r="B4493" s="3">
        <v>30.4</v>
      </c>
    </row>
    <row r="4494" spans="1:2">
      <c r="A4494" s="4">
        <v>37901</v>
      </c>
      <c r="B4494" s="3">
        <v>30.48</v>
      </c>
    </row>
    <row r="4495" spans="1:2">
      <c r="A4495" s="4">
        <v>37902</v>
      </c>
      <c r="B4495" s="3">
        <v>29.6</v>
      </c>
    </row>
    <row r="4496" spans="1:2">
      <c r="A4496" s="4">
        <v>37903</v>
      </c>
      <c r="B4496" s="3">
        <v>30.97</v>
      </c>
    </row>
    <row r="4497" spans="1:2">
      <c r="A4497" s="4">
        <v>37904</v>
      </c>
      <c r="B4497" s="3">
        <v>32.01</v>
      </c>
    </row>
    <row r="4498" spans="1:2">
      <c r="A4498" s="4">
        <v>37907</v>
      </c>
      <c r="B4498" s="3">
        <v>31.91</v>
      </c>
    </row>
    <row r="4499" spans="1:2">
      <c r="A4499" s="4">
        <v>37908</v>
      </c>
      <c r="B4499" s="3">
        <v>31.68</v>
      </c>
    </row>
    <row r="4500" spans="1:2">
      <c r="A4500" s="4">
        <v>37909</v>
      </c>
      <c r="B4500" s="3">
        <v>31.74</v>
      </c>
    </row>
    <row r="4501" spans="1:2">
      <c r="A4501" s="4">
        <v>37910</v>
      </c>
      <c r="B4501" s="3">
        <v>31.51</v>
      </c>
    </row>
    <row r="4502" spans="1:2">
      <c r="A4502" s="4">
        <v>37911</v>
      </c>
      <c r="B4502" s="3">
        <v>30.61</v>
      </c>
    </row>
    <row r="4503" spans="1:2">
      <c r="A4503" s="4">
        <v>37914</v>
      </c>
      <c r="B4503" s="3">
        <v>30.37</v>
      </c>
    </row>
    <row r="4504" spans="1:2">
      <c r="A4504" s="4">
        <v>37915</v>
      </c>
      <c r="B4504" s="3">
        <v>30.19</v>
      </c>
    </row>
    <row r="4505" spans="1:2">
      <c r="A4505" s="4">
        <v>37916</v>
      </c>
      <c r="B4505" s="3">
        <v>30</v>
      </c>
    </row>
    <row r="4506" spans="1:2">
      <c r="A4506" s="4">
        <v>37917</v>
      </c>
      <c r="B4506" s="3">
        <v>30.31</v>
      </c>
    </row>
    <row r="4507" spans="1:2">
      <c r="A4507" s="4">
        <v>37918</v>
      </c>
      <c r="B4507" s="3">
        <v>29.99</v>
      </c>
    </row>
    <row r="4508" spans="1:2">
      <c r="A4508" s="4">
        <v>37921</v>
      </c>
      <c r="B4508" s="3">
        <v>29.95</v>
      </c>
    </row>
    <row r="4509" spans="1:2">
      <c r="A4509" s="4">
        <v>37922</v>
      </c>
      <c r="B4509" s="3">
        <v>29.57</v>
      </c>
    </row>
    <row r="4510" spans="1:2">
      <c r="A4510" s="4">
        <v>37923</v>
      </c>
      <c r="B4510" s="3">
        <v>28.95</v>
      </c>
    </row>
    <row r="4511" spans="1:2">
      <c r="A4511" s="4">
        <v>37924</v>
      </c>
      <c r="B4511" s="3">
        <v>28.67</v>
      </c>
    </row>
    <row r="4512" spans="1:2">
      <c r="A4512" s="4">
        <v>37925</v>
      </c>
      <c r="B4512" s="3">
        <v>29.24</v>
      </c>
    </row>
    <row r="4513" spans="1:2">
      <c r="A4513" s="4">
        <v>37928</v>
      </c>
      <c r="B4513" s="3">
        <v>28.81</v>
      </c>
    </row>
    <row r="4514" spans="1:2">
      <c r="A4514" s="4">
        <v>37929</v>
      </c>
      <c r="B4514" s="3">
        <v>28.86</v>
      </c>
    </row>
    <row r="4515" spans="1:2">
      <c r="A4515" s="4">
        <v>37930</v>
      </c>
      <c r="B4515" s="3">
        <v>30.29</v>
      </c>
    </row>
    <row r="4516" spans="1:2">
      <c r="A4516" s="4">
        <v>37931</v>
      </c>
      <c r="B4516" s="3">
        <v>30.25</v>
      </c>
    </row>
    <row r="4517" spans="1:2">
      <c r="A4517" s="4">
        <v>37932</v>
      </c>
      <c r="B4517" s="3">
        <v>30.73</v>
      </c>
    </row>
    <row r="4518" spans="1:2">
      <c r="A4518" s="4">
        <v>37935</v>
      </c>
      <c r="B4518" s="3">
        <v>31.01</v>
      </c>
    </row>
    <row r="4519" spans="1:2">
      <c r="A4519" s="4">
        <v>37936</v>
      </c>
      <c r="B4519" s="3">
        <v>31.21</v>
      </c>
    </row>
    <row r="4520" spans="1:2">
      <c r="A4520" s="4">
        <v>37937</v>
      </c>
      <c r="B4520" s="3">
        <v>31.37</v>
      </c>
    </row>
    <row r="4521" spans="1:2">
      <c r="A4521" s="4">
        <v>37938</v>
      </c>
      <c r="B4521" s="3">
        <v>31.89</v>
      </c>
    </row>
    <row r="4522" spans="1:2">
      <c r="A4522" s="4">
        <v>37939</v>
      </c>
      <c r="B4522" s="3">
        <v>32.31</v>
      </c>
    </row>
    <row r="4523" spans="1:2">
      <c r="A4523" s="4">
        <v>37942</v>
      </c>
      <c r="B4523" s="3">
        <v>31.75</v>
      </c>
    </row>
    <row r="4524" spans="1:2">
      <c r="A4524" s="4">
        <v>37943</v>
      </c>
      <c r="B4524" s="3">
        <v>33.159999999999997</v>
      </c>
    </row>
    <row r="4525" spans="1:2">
      <c r="A4525" s="4">
        <v>37944</v>
      </c>
      <c r="B4525" s="3">
        <v>32.840000000000003</v>
      </c>
    </row>
    <row r="4526" spans="1:2">
      <c r="A4526" s="4">
        <v>37945</v>
      </c>
      <c r="B4526" s="3">
        <v>32.869999999999997</v>
      </c>
    </row>
    <row r="4527" spans="1:2">
      <c r="A4527" s="4">
        <v>37946</v>
      </c>
      <c r="B4527" s="3">
        <v>32.26</v>
      </c>
    </row>
    <row r="4528" spans="1:2">
      <c r="A4528" s="4">
        <v>37949</v>
      </c>
      <c r="B4528" s="3">
        <v>29.99</v>
      </c>
    </row>
    <row r="4529" spans="1:2">
      <c r="A4529" s="4">
        <v>37950</v>
      </c>
      <c r="B4529" s="3">
        <v>30.02</v>
      </c>
    </row>
    <row r="4530" spans="1:2">
      <c r="A4530" s="4">
        <v>37951</v>
      </c>
      <c r="B4530" s="3">
        <v>30.33</v>
      </c>
    </row>
    <row r="4531" spans="1:2">
      <c r="A4531" s="4">
        <v>37956</v>
      </c>
      <c r="B4531" s="3">
        <v>29.89</v>
      </c>
    </row>
    <row r="4532" spans="1:2">
      <c r="A4532" s="4">
        <v>37957</v>
      </c>
      <c r="B4532" s="3">
        <v>30.74</v>
      </c>
    </row>
    <row r="4533" spans="1:2">
      <c r="A4533" s="4">
        <v>37958</v>
      </c>
      <c r="B4533" s="3">
        <v>30.61</v>
      </c>
    </row>
    <row r="4534" spans="1:2">
      <c r="A4534" s="4">
        <v>37959</v>
      </c>
      <c r="B4534" s="3">
        <v>31.24</v>
      </c>
    </row>
    <row r="4535" spans="1:2">
      <c r="A4535" s="4">
        <v>37960</v>
      </c>
      <c r="B4535" s="3">
        <v>30.68</v>
      </c>
    </row>
    <row r="4536" spans="1:2">
      <c r="A4536" s="4">
        <v>37963</v>
      </c>
      <c r="B4536" s="3">
        <v>32.08</v>
      </c>
    </row>
    <row r="4537" spans="1:2">
      <c r="A4537" s="4">
        <v>37964</v>
      </c>
      <c r="B4537" s="3">
        <v>31.72</v>
      </c>
    </row>
    <row r="4538" spans="1:2">
      <c r="A4538" s="4">
        <v>37965</v>
      </c>
      <c r="B4538" s="3">
        <v>31.92</v>
      </c>
    </row>
    <row r="4539" spans="1:2">
      <c r="A4539" s="4">
        <v>37966</v>
      </c>
      <c r="B4539" s="3">
        <v>32.01</v>
      </c>
    </row>
    <row r="4540" spans="1:2">
      <c r="A4540" s="4">
        <v>37967</v>
      </c>
      <c r="B4540" s="3">
        <v>33.06</v>
      </c>
    </row>
    <row r="4541" spans="1:2">
      <c r="A4541" s="4">
        <v>37970</v>
      </c>
      <c r="B4541" s="3">
        <v>33.17</v>
      </c>
    </row>
    <row r="4542" spans="1:2">
      <c r="A4542" s="4">
        <v>37971</v>
      </c>
      <c r="B4542" s="3">
        <v>32.94</v>
      </c>
    </row>
    <row r="4543" spans="1:2">
      <c r="A4543" s="4">
        <v>37972</v>
      </c>
      <c r="B4543" s="3">
        <v>33.36</v>
      </c>
    </row>
    <row r="4544" spans="1:2">
      <c r="A4544" s="4">
        <v>37973</v>
      </c>
      <c r="B4544" s="3">
        <v>33.72</v>
      </c>
    </row>
    <row r="4545" spans="1:2">
      <c r="A4545" s="4">
        <v>37974</v>
      </c>
      <c r="B4545" s="3">
        <v>32.81</v>
      </c>
    </row>
    <row r="4546" spans="1:2">
      <c r="A4546" s="4">
        <v>37977</v>
      </c>
      <c r="B4546" s="3">
        <v>31.71</v>
      </c>
    </row>
    <row r="4547" spans="1:2">
      <c r="A4547" s="4">
        <v>37978</v>
      </c>
      <c r="B4547" s="3">
        <v>32.03</v>
      </c>
    </row>
    <row r="4548" spans="1:2">
      <c r="A4548" s="4">
        <v>37979</v>
      </c>
      <c r="B4548" s="3">
        <v>32.99</v>
      </c>
    </row>
    <row r="4549" spans="1:2">
      <c r="A4549" s="4">
        <v>37984</v>
      </c>
      <c r="B4549" s="3">
        <v>32.51</v>
      </c>
    </row>
    <row r="4550" spans="1:2">
      <c r="A4550" s="4">
        <v>37985</v>
      </c>
      <c r="B4550" s="3">
        <v>33.01</v>
      </c>
    </row>
    <row r="4551" spans="1:2">
      <c r="A4551" s="4">
        <v>37986</v>
      </c>
      <c r="B4551" s="3">
        <v>32.51</v>
      </c>
    </row>
    <row r="4552" spans="1:2">
      <c r="A4552" s="4">
        <v>37991</v>
      </c>
      <c r="B4552" s="3">
        <v>33.71</v>
      </c>
    </row>
    <row r="4553" spans="1:2">
      <c r="A4553" s="4">
        <v>37992</v>
      </c>
      <c r="B4553" s="3">
        <v>33.54</v>
      </c>
    </row>
    <row r="4554" spans="1:2">
      <c r="A4554" s="4">
        <v>37993</v>
      </c>
      <c r="B4554" s="3">
        <v>33.57</v>
      </c>
    </row>
    <row r="4555" spans="1:2">
      <c r="A4555" s="4">
        <v>37994</v>
      </c>
      <c r="B4555" s="3">
        <v>34.270000000000003</v>
      </c>
    </row>
    <row r="4556" spans="1:2">
      <c r="A4556" s="4">
        <v>37995</v>
      </c>
      <c r="B4556" s="3">
        <v>34.380000000000003</v>
      </c>
    </row>
    <row r="4557" spans="1:2">
      <c r="A4557" s="4">
        <v>37998</v>
      </c>
      <c r="B4557" s="3">
        <v>34.92</v>
      </c>
    </row>
    <row r="4558" spans="1:2">
      <c r="A4558" s="4">
        <v>37999</v>
      </c>
      <c r="B4558" s="3">
        <v>34.26</v>
      </c>
    </row>
    <row r="4559" spans="1:2">
      <c r="A4559" s="4">
        <v>38000</v>
      </c>
      <c r="B4559" s="3">
        <v>34.619999999999997</v>
      </c>
    </row>
    <row r="4560" spans="1:2">
      <c r="A4560" s="4">
        <v>38001</v>
      </c>
      <c r="B4560" s="3">
        <v>33.61</v>
      </c>
    </row>
    <row r="4561" spans="1:2">
      <c r="A4561" s="4">
        <v>38002</v>
      </c>
      <c r="B4561" s="3">
        <v>35.159999999999997</v>
      </c>
    </row>
    <row r="4562" spans="1:2">
      <c r="A4562" s="4">
        <v>38006</v>
      </c>
      <c r="B4562" s="3">
        <v>36.21</v>
      </c>
    </row>
    <row r="4563" spans="1:2">
      <c r="A4563" s="4">
        <v>38007</v>
      </c>
      <c r="B4563" s="3">
        <v>35.53</v>
      </c>
    </row>
    <row r="4564" spans="1:2">
      <c r="A4564" s="4">
        <v>38008</v>
      </c>
      <c r="B4564" s="3">
        <v>35.119999999999997</v>
      </c>
    </row>
    <row r="4565" spans="1:2">
      <c r="A4565" s="4">
        <v>38009</v>
      </c>
      <c r="B4565" s="3">
        <v>34.94</v>
      </c>
    </row>
    <row r="4566" spans="1:2">
      <c r="A4566" s="4">
        <v>38012</v>
      </c>
      <c r="B4566" s="3">
        <v>34.409999999999997</v>
      </c>
    </row>
    <row r="4567" spans="1:2">
      <c r="A4567" s="4">
        <v>38013</v>
      </c>
      <c r="B4567" s="3">
        <v>33.99</v>
      </c>
    </row>
    <row r="4568" spans="1:2">
      <c r="A4568" s="4">
        <v>38014</v>
      </c>
      <c r="B4568" s="3">
        <v>33.630000000000003</v>
      </c>
    </row>
    <row r="4569" spans="1:2">
      <c r="A4569" s="4">
        <v>38015</v>
      </c>
      <c r="B4569" s="3">
        <v>32.86</v>
      </c>
    </row>
    <row r="4570" spans="1:2">
      <c r="A4570" s="4">
        <v>38016</v>
      </c>
      <c r="B4570" s="3">
        <v>33.159999999999997</v>
      </c>
    </row>
    <row r="4571" spans="1:2">
      <c r="A4571" s="4">
        <v>38019</v>
      </c>
      <c r="B4571" s="3">
        <v>34.020000000000003</v>
      </c>
    </row>
    <row r="4572" spans="1:2">
      <c r="A4572" s="4">
        <v>38020</v>
      </c>
      <c r="B4572" s="3">
        <v>34.200000000000003</v>
      </c>
    </row>
    <row r="4573" spans="1:2">
      <c r="A4573" s="4">
        <v>38021</v>
      </c>
      <c r="B4573" s="3">
        <v>33.06</v>
      </c>
    </row>
    <row r="4574" spans="1:2">
      <c r="A4574" s="4">
        <v>38022</v>
      </c>
      <c r="B4574" s="3">
        <v>33.26</v>
      </c>
    </row>
    <row r="4575" spans="1:2">
      <c r="A4575" s="4">
        <v>38023</v>
      </c>
      <c r="B4575" s="3">
        <v>32.49</v>
      </c>
    </row>
    <row r="4576" spans="1:2">
      <c r="A4576" s="4">
        <v>38026</v>
      </c>
      <c r="B4576" s="3">
        <v>32.909999999999997</v>
      </c>
    </row>
    <row r="4577" spans="1:2">
      <c r="A4577" s="4">
        <v>38027</v>
      </c>
      <c r="B4577" s="3">
        <v>34.03</v>
      </c>
    </row>
    <row r="4578" spans="1:2">
      <c r="A4578" s="4">
        <v>38028</v>
      </c>
      <c r="B4578" s="3">
        <v>33.93</v>
      </c>
    </row>
    <row r="4579" spans="1:2">
      <c r="A4579" s="4">
        <v>38029</v>
      </c>
      <c r="B4579" s="3">
        <v>34.03</v>
      </c>
    </row>
    <row r="4580" spans="1:2">
      <c r="A4580" s="4">
        <v>38030</v>
      </c>
      <c r="B4580" s="3">
        <v>34.51</v>
      </c>
    </row>
    <row r="4581" spans="1:2">
      <c r="A4581" s="4">
        <v>38034</v>
      </c>
      <c r="B4581" s="3">
        <v>35.130000000000003</v>
      </c>
    </row>
    <row r="4582" spans="1:2">
      <c r="A4582" s="4">
        <v>38035</v>
      </c>
      <c r="B4582" s="3">
        <v>35.42</v>
      </c>
    </row>
    <row r="4583" spans="1:2">
      <c r="A4583" s="4">
        <v>38036</v>
      </c>
      <c r="B4583" s="3">
        <v>35.81</v>
      </c>
    </row>
    <row r="4584" spans="1:2">
      <c r="A4584" s="4">
        <v>38037</v>
      </c>
      <c r="B4584" s="3">
        <v>35.799999999999997</v>
      </c>
    </row>
    <row r="4585" spans="1:2">
      <c r="A4585" s="4">
        <v>38040</v>
      </c>
      <c r="B4585" s="3">
        <v>35.75</v>
      </c>
    </row>
    <row r="4586" spans="1:2">
      <c r="A4586" s="4">
        <v>38041</v>
      </c>
      <c r="B4586" s="3">
        <v>35.85</v>
      </c>
    </row>
    <row r="4587" spans="1:2">
      <c r="A4587" s="4">
        <v>38042</v>
      </c>
      <c r="B4587" s="3">
        <v>37.28</v>
      </c>
    </row>
    <row r="4588" spans="1:2">
      <c r="A4588" s="4">
        <v>38043</v>
      </c>
      <c r="B4588" s="3">
        <v>35.450000000000003</v>
      </c>
    </row>
    <row r="4589" spans="1:2">
      <c r="A4589" s="4">
        <v>38044</v>
      </c>
      <c r="B4589" s="3">
        <v>36.08</v>
      </c>
    </row>
    <row r="4590" spans="1:2">
      <c r="A4590" s="4">
        <v>38047</v>
      </c>
      <c r="B4590" s="3">
        <v>36.85</v>
      </c>
    </row>
    <row r="4591" spans="1:2">
      <c r="A4591" s="4">
        <v>38048</v>
      </c>
      <c r="B4591" s="3">
        <v>36.6</v>
      </c>
    </row>
    <row r="4592" spans="1:2">
      <c r="A4592" s="4">
        <v>38049</v>
      </c>
      <c r="B4592" s="3">
        <v>35.799999999999997</v>
      </c>
    </row>
    <row r="4593" spans="1:2">
      <c r="A4593" s="4">
        <v>38050</v>
      </c>
      <c r="B4593" s="3">
        <v>36.81</v>
      </c>
    </row>
    <row r="4594" spans="1:2">
      <c r="A4594" s="4">
        <v>38051</v>
      </c>
      <c r="B4594" s="3">
        <v>37.31</v>
      </c>
    </row>
    <row r="4595" spans="1:2">
      <c r="A4595" s="4">
        <v>38054</v>
      </c>
      <c r="B4595" s="3">
        <v>36.53</v>
      </c>
    </row>
    <row r="4596" spans="1:2">
      <c r="A4596" s="4">
        <v>38055</v>
      </c>
      <c r="B4596" s="3">
        <v>36.29</v>
      </c>
    </row>
    <row r="4597" spans="1:2">
      <c r="A4597" s="4">
        <v>38056</v>
      </c>
      <c r="B4597" s="3">
        <v>36.21</v>
      </c>
    </row>
    <row r="4598" spans="1:2">
      <c r="A4598" s="4">
        <v>38057</v>
      </c>
      <c r="B4598" s="3">
        <v>36.950000000000003</v>
      </c>
    </row>
    <row r="4599" spans="1:2">
      <c r="A4599" s="4">
        <v>38058</v>
      </c>
      <c r="B4599" s="3">
        <v>36.21</v>
      </c>
    </row>
    <row r="4600" spans="1:2">
      <c r="A4600" s="4">
        <v>38061</v>
      </c>
      <c r="B4600" s="3">
        <v>37.44</v>
      </c>
    </row>
    <row r="4601" spans="1:2">
      <c r="A4601" s="4">
        <v>38062</v>
      </c>
      <c r="B4601" s="3">
        <v>37.36</v>
      </c>
    </row>
    <row r="4602" spans="1:2">
      <c r="A4602" s="4">
        <v>38063</v>
      </c>
      <c r="B4602" s="3">
        <v>38.21</v>
      </c>
    </row>
    <row r="4603" spans="1:2">
      <c r="A4603" s="4">
        <v>38064</v>
      </c>
      <c r="B4603" s="3">
        <v>37.81</v>
      </c>
    </row>
    <row r="4604" spans="1:2">
      <c r="A4604" s="4">
        <v>38065</v>
      </c>
      <c r="B4604" s="3">
        <v>38.090000000000003</v>
      </c>
    </row>
    <row r="4605" spans="1:2">
      <c r="A4605" s="4">
        <v>38068</v>
      </c>
      <c r="B4605" s="3">
        <v>37.119999999999997</v>
      </c>
    </row>
    <row r="4606" spans="1:2">
      <c r="A4606" s="4">
        <v>38069</v>
      </c>
      <c r="B4606" s="3">
        <v>37.81</v>
      </c>
    </row>
    <row r="4607" spans="1:2">
      <c r="A4607" s="4">
        <v>38070</v>
      </c>
      <c r="B4607" s="3">
        <v>37.06</v>
      </c>
    </row>
    <row r="4608" spans="1:2">
      <c r="A4608" s="4">
        <v>38071</v>
      </c>
      <c r="B4608" s="3">
        <v>35.67</v>
      </c>
    </row>
    <row r="4609" spans="1:2">
      <c r="A4609" s="4">
        <v>38072</v>
      </c>
      <c r="B4609" s="3">
        <v>35.61</v>
      </c>
    </row>
    <row r="4610" spans="1:2">
      <c r="A4610" s="4">
        <v>38075</v>
      </c>
      <c r="B4610" s="3">
        <v>35.409999999999997</v>
      </c>
    </row>
    <row r="4611" spans="1:2">
      <c r="A4611" s="4">
        <v>38076</v>
      </c>
      <c r="B4611" s="3">
        <v>36.15</v>
      </c>
    </row>
    <row r="4612" spans="1:2">
      <c r="A4612" s="4">
        <v>38077</v>
      </c>
      <c r="B4612" s="3">
        <v>35.75</v>
      </c>
    </row>
    <row r="4613" spans="1:2">
      <c r="A4613" s="4">
        <v>38078</v>
      </c>
      <c r="B4613" s="3">
        <v>34.47</v>
      </c>
    </row>
    <row r="4614" spans="1:2">
      <c r="A4614" s="4">
        <v>38079</v>
      </c>
      <c r="B4614" s="3">
        <v>34.39</v>
      </c>
    </row>
    <row r="4615" spans="1:2">
      <c r="A4615" s="4">
        <v>38082</v>
      </c>
      <c r="B4615" s="3">
        <v>34.29</v>
      </c>
    </row>
    <row r="4616" spans="1:2">
      <c r="A4616" s="4">
        <v>38083</v>
      </c>
      <c r="B4616" s="3">
        <v>35.090000000000003</v>
      </c>
    </row>
    <row r="4617" spans="1:2">
      <c r="A4617" s="4">
        <v>38084</v>
      </c>
      <c r="B4617" s="3">
        <v>36.28</v>
      </c>
    </row>
    <row r="4618" spans="1:2">
      <c r="A4618" s="4">
        <v>38085</v>
      </c>
      <c r="B4618" s="3">
        <v>37.14</v>
      </c>
    </row>
    <row r="4619" spans="1:2">
      <c r="A4619" s="4">
        <v>38089</v>
      </c>
      <c r="B4619" s="3">
        <v>37.79</v>
      </c>
    </row>
    <row r="4620" spans="1:2">
      <c r="A4620" s="4">
        <v>38090</v>
      </c>
      <c r="B4620" s="3">
        <v>37.090000000000003</v>
      </c>
    </row>
    <row r="4621" spans="1:2">
      <c r="A4621" s="4">
        <v>38091</v>
      </c>
      <c r="B4621" s="3">
        <v>36.619999999999997</v>
      </c>
    </row>
    <row r="4622" spans="1:2">
      <c r="A4622" s="4">
        <v>38092</v>
      </c>
      <c r="B4622" s="3">
        <v>37.74</v>
      </c>
    </row>
    <row r="4623" spans="1:2">
      <c r="A4623" s="4">
        <v>38093</v>
      </c>
      <c r="B4623" s="3">
        <v>37.700000000000003</v>
      </c>
    </row>
    <row r="4624" spans="1:2">
      <c r="A4624" s="4">
        <v>38096</v>
      </c>
      <c r="B4624" s="3">
        <v>37.46</v>
      </c>
    </row>
    <row r="4625" spans="1:2">
      <c r="A4625" s="4">
        <v>38097</v>
      </c>
      <c r="B4625" s="3">
        <v>37.61</v>
      </c>
    </row>
    <row r="4626" spans="1:2">
      <c r="A4626" s="4">
        <v>38098</v>
      </c>
      <c r="B4626" s="3">
        <v>36.61</v>
      </c>
    </row>
    <row r="4627" spans="1:2">
      <c r="A4627" s="4">
        <v>38099</v>
      </c>
      <c r="B4627" s="3">
        <v>37.700000000000003</v>
      </c>
    </row>
    <row r="4628" spans="1:2">
      <c r="A4628" s="4">
        <v>38100</v>
      </c>
      <c r="B4628" s="3">
        <v>37.22</v>
      </c>
    </row>
    <row r="4629" spans="1:2">
      <c r="A4629" s="4">
        <v>38103</v>
      </c>
      <c r="B4629" s="3">
        <v>37.020000000000003</v>
      </c>
    </row>
    <row r="4630" spans="1:2">
      <c r="A4630" s="4">
        <v>38104</v>
      </c>
      <c r="B4630" s="3">
        <v>37.49</v>
      </c>
    </row>
    <row r="4631" spans="1:2">
      <c r="A4631" s="4">
        <v>38105</v>
      </c>
      <c r="B4631" s="3">
        <v>37.229999999999997</v>
      </c>
    </row>
    <row r="4632" spans="1:2">
      <c r="A4632" s="4">
        <v>38106</v>
      </c>
      <c r="B4632" s="3">
        <v>37.5</v>
      </c>
    </row>
    <row r="4633" spans="1:2">
      <c r="A4633" s="4">
        <v>38107</v>
      </c>
      <c r="B4633" s="3">
        <v>37.31</v>
      </c>
    </row>
    <row r="4634" spans="1:2">
      <c r="A4634" s="4">
        <v>38110</v>
      </c>
      <c r="B4634" s="3">
        <v>38.26</v>
      </c>
    </row>
    <row r="4635" spans="1:2">
      <c r="A4635" s="4">
        <v>38111</v>
      </c>
      <c r="B4635" s="3">
        <v>38.86</v>
      </c>
    </row>
    <row r="4636" spans="1:2">
      <c r="A4636" s="4">
        <v>38112</v>
      </c>
      <c r="B4636" s="3">
        <v>39.69</v>
      </c>
    </row>
    <row r="4637" spans="1:2">
      <c r="A4637" s="4">
        <v>38113</v>
      </c>
      <c r="B4637" s="3">
        <v>39.409999999999997</v>
      </c>
    </row>
    <row r="4638" spans="1:2">
      <c r="A4638" s="4">
        <v>38114</v>
      </c>
      <c r="B4638" s="3">
        <v>39.979999999999997</v>
      </c>
    </row>
    <row r="4639" spans="1:2">
      <c r="A4639" s="4">
        <v>38117</v>
      </c>
      <c r="B4639" s="3">
        <v>38.9</v>
      </c>
    </row>
    <row r="4640" spans="1:2">
      <c r="A4640" s="4">
        <v>38118</v>
      </c>
      <c r="B4640" s="3">
        <v>40.299999999999997</v>
      </c>
    </row>
    <row r="4641" spans="1:2">
      <c r="A4641" s="4">
        <v>38119</v>
      </c>
      <c r="B4641" s="3">
        <v>40.299999999999997</v>
      </c>
    </row>
    <row r="4642" spans="1:2">
      <c r="A4642" s="4">
        <v>38120</v>
      </c>
      <c r="B4642" s="3">
        <v>40.94</v>
      </c>
    </row>
    <row r="4643" spans="1:2">
      <c r="A4643" s="4">
        <v>38121</v>
      </c>
      <c r="B4643" s="3">
        <v>41.42</v>
      </c>
    </row>
    <row r="4644" spans="1:2">
      <c r="A4644" s="4">
        <v>38124</v>
      </c>
      <c r="B4644" s="3">
        <v>41.53</v>
      </c>
    </row>
    <row r="4645" spans="1:2">
      <c r="A4645" s="4">
        <v>38125</v>
      </c>
      <c r="B4645" s="3">
        <v>40.32</v>
      </c>
    </row>
    <row r="4646" spans="1:2">
      <c r="A4646" s="4">
        <v>38126</v>
      </c>
      <c r="B4646" s="3">
        <v>41.61</v>
      </c>
    </row>
    <row r="4647" spans="1:2">
      <c r="A4647" s="4">
        <v>38127</v>
      </c>
      <c r="B4647" s="3">
        <v>40.92</v>
      </c>
    </row>
    <row r="4648" spans="1:2">
      <c r="A4648" s="4">
        <v>38128</v>
      </c>
      <c r="B4648" s="3">
        <v>39.83</v>
      </c>
    </row>
    <row r="4649" spans="1:2">
      <c r="A4649" s="4">
        <v>38131</v>
      </c>
      <c r="B4649" s="3">
        <v>42.03</v>
      </c>
    </row>
    <row r="4650" spans="1:2">
      <c r="A4650" s="4">
        <v>38132</v>
      </c>
      <c r="B4650" s="3">
        <v>41.45</v>
      </c>
    </row>
    <row r="4651" spans="1:2">
      <c r="A4651" s="4">
        <v>38133</v>
      </c>
      <c r="B4651" s="3">
        <v>40.6</v>
      </c>
    </row>
    <row r="4652" spans="1:2">
      <c r="A4652" s="4">
        <v>38134</v>
      </c>
      <c r="B4652" s="3">
        <v>39.25</v>
      </c>
    </row>
    <row r="4653" spans="1:2">
      <c r="A4653" s="4">
        <v>38135</v>
      </c>
      <c r="B4653" s="3">
        <v>39.9</v>
      </c>
    </row>
    <row r="4654" spans="1:2">
      <c r="A4654" s="4">
        <v>38139</v>
      </c>
      <c r="B4654" s="3">
        <v>42.33</v>
      </c>
    </row>
    <row r="4655" spans="1:2">
      <c r="A4655" s="4">
        <v>38140</v>
      </c>
      <c r="B4655" s="3">
        <v>39.96</v>
      </c>
    </row>
    <row r="4656" spans="1:2">
      <c r="A4656" s="4">
        <v>38141</v>
      </c>
      <c r="B4656" s="3">
        <v>39.29</v>
      </c>
    </row>
    <row r="4657" spans="1:2">
      <c r="A4657" s="4">
        <v>38142</v>
      </c>
      <c r="B4657" s="3">
        <v>38.44</v>
      </c>
    </row>
    <row r="4658" spans="1:2">
      <c r="A4658" s="4">
        <v>38145</v>
      </c>
      <c r="B4658" s="3">
        <v>38.72</v>
      </c>
    </row>
    <row r="4659" spans="1:2">
      <c r="A4659" s="4">
        <v>38146</v>
      </c>
      <c r="B4659" s="3">
        <v>37.18</v>
      </c>
    </row>
    <row r="4660" spans="1:2">
      <c r="A4660" s="4">
        <v>38147</v>
      </c>
      <c r="B4660" s="3">
        <v>37.6</v>
      </c>
    </row>
    <row r="4661" spans="1:2">
      <c r="A4661" s="4">
        <v>38148</v>
      </c>
      <c r="B4661" s="3">
        <v>38.450000000000003</v>
      </c>
    </row>
    <row r="4662" spans="1:2">
      <c r="A4662" s="4">
        <v>38152</v>
      </c>
      <c r="B4662" s="3">
        <v>37.58</v>
      </c>
    </row>
    <row r="4663" spans="1:2">
      <c r="A4663" s="4">
        <v>38153</v>
      </c>
      <c r="B4663" s="3">
        <v>37.18</v>
      </c>
    </row>
    <row r="4664" spans="1:2">
      <c r="A4664" s="4">
        <v>38154</v>
      </c>
      <c r="B4664" s="3">
        <v>37.33</v>
      </c>
    </row>
    <row r="4665" spans="1:2">
      <c r="A4665" s="4">
        <v>38155</v>
      </c>
      <c r="B4665" s="3">
        <v>38.51</v>
      </c>
    </row>
    <row r="4666" spans="1:2">
      <c r="A4666" s="4">
        <v>38156</v>
      </c>
      <c r="B4666" s="3">
        <v>38.68</v>
      </c>
    </row>
    <row r="4667" spans="1:2">
      <c r="A4667" s="4">
        <v>38159</v>
      </c>
      <c r="B4667" s="3">
        <v>37.69</v>
      </c>
    </row>
    <row r="4668" spans="1:2">
      <c r="A4668" s="4">
        <v>38160</v>
      </c>
      <c r="B4668" s="3">
        <v>38.11</v>
      </c>
    </row>
    <row r="4669" spans="1:2">
      <c r="A4669" s="4">
        <v>38161</v>
      </c>
      <c r="B4669" s="3">
        <v>37.56</v>
      </c>
    </row>
    <row r="4670" spans="1:2">
      <c r="A4670" s="4">
        <v>38162</v>
      </c>
      <c r="B4670" s="3">
        <v>37.81</v>
      </c>
    </row>
    <row r="4671" spans="1:2">
      <c r="A4671" s="4">
        <v>38163</v>
      </c>
      <c r="B4671" s="3">
        <v>37.340000000000003</v>
      </c>
    </row>
    <row r="4672" spans="1:2">
      <c r="A4672" s="4">
        <v>38166</v>
      </c>
      <c r="B4672" s="3">
        <v>36.25</v>
      </c>
    </row>
    <row r="4673" spans="1:2">
      <c r="A4673" s="4">
        <v>38167</v>
      </c>
      <c r="B4673" s="3">
        <v>35.6</v>
      </c>
    </row>
    <row r="4674" spans="1:2">
      <c r="A4674" s="4">
        <v>38168</v>
      </c>
      <c r="B4674" s="3">
        <v>36.92</v>
      </c>
    </row>
    <row r="4675" spans="1:2">
      <c r="A4675" s="4">
        <v>38169</v>
      </c>
      <c r="B4675" s="3">
        <v>38.56</v>
      </c>
    </row>
    <row r="4676" spans="1:2">
      <c r="A4676" s="4">
        <v>38170</v>
      </c>
      <c r="B4676" s="3">
        <v>38.369999999999997</v>
      </c>
    </row>
    <row r="4677" spans="1:2">
      <c r="A4677" s="4">
        <v>38174</v>
      </c>
      <c r="B4677" s="3">
        <v>39.56</v>
      </c>
    </row>
    <row r="4678" spans="1:2">
      <c r="A4678" s="4">
        <v>38175</v>
      </c>
      <c r="B4678" s="3">
        <v>39.18</v>
      </c>
    </row>
    <row r="4679" spans="1:2">
      <c r="A4679" s="4">
        <v>38176</v>
      </c>
      <c r="B4679" s="3">
        <v>40.270000000000003</v>
      </c>
    </row>
    <row r="4680" spans="1:2">
      <c r="A4680" s="4">
        <v>38177</v>
      </c>
      <c r="B4680" s="3">
        <v>39.9</v>
      </c>
    </row>
    <row r="4681" spans="1:2">
      <c r="A4681" s="4">
        <v>38180</v>
      </c>
      <c r="B4681" s="3">
        <v>39.299999999999997</v>
      </c>
    </row>
    <row r="4682" spans="1:2">
      <c r="A4682" s="4">
        <v>38181</v>
      </c>
      <c r="B4682" s="3">
        <v>39.549999999999997</v>
      </c>
    </row>
    <row r="4683" spans="1:2">
      <c r="A4683" s="4">
        <v>38182</v>
      </c>
      <c r="B4683" s="3">
        <v>40.98</v>
      </c>
    </row>
    <row r="4684" spans="1:2">
      <c r="A4684" s="4">
        <v>38183</v>
      </c>
      <c r="B4684" s="3">
        <v>40.700000000000003</v>
      </c>
    </row>
    <row r="4685" spans="1:2">
      <c r="A4685" s="4">
        <v>38184</v>
      </c>
      <c r="B4685" s="3">
        <v>41.1</v>
      </c>
    </row>
    <row r="4686" spans="1:2">
      <c r="A4686" s="4">
        <v>38187</v>
      </c>
      <c r="B4686" s="3">
        <v>41.55</v>
      </c>
    </row>
    <row r="4687" spans="1:2">
      <c r="A4687" s="4">
        <v>38188</v>
      </c>
      <c r="B4687" s="3">
        <v>40.86</v>
      </c>
    </row>
    <row r="4688" spans="1:2">
      <c r="A4688" s="4">
        <v>38189</v>
      </c>
      <c r="B4688" s="3">
        <v>40.630000000000003</v>
      </c>
    </row>
    <row r="4689" spans="1:2">
      <c r="A4689" s="4">
        <v>38190</v>
      </c>
      <c r="B4689" s="3">
        <v>41.51</v>
      </c>
    </row>
    <row r="4690" spans="1:2">
      <c r="A4690" s="4">
        <v>38191</v>
      </c>
      <c r="B4690" s="3">
        <v>41.82</v>
      </c>
    </row>
    <row r="4691" spans="1:2">
      <c r="A4691" s="4">
        <v>38194</v>
      </c>
      <c r="B4691" s="3">
        <v>41.45</v>
      </c>
    </row>
    <row r="4692" spans="1:2">
      <c r="A4692" s="4">
        <v>38195</v>
      </c>
      <c r="B4692" s="3">
        <v>41.83</v>
      </c>
    </row>
    <row r="4693" spans="1:2">
      <c r="A4693" s="4">
        <v>38196</v>
      </c>
      <c r="B4693" s="3">
        <v>42.81</v>
      </c>
    </row>
    <row r="4694" spans="1:2">
      <c r="A4694" s="4">
        <v>38197</v>
      </c>
      <c r="B4694" s="3">
        <v>42.69</v>
      </c>
    </row>
    <row r="4695" spans="1:2">
      <c r="A4695" s="4">
        <v>38198</v>
      </c>
      <c r="B4695" s="3">
        <v>43.72</v>
      </c>
    </row>
    <row r="4696" spans="1:2">
      <c r="A4696" s="4">
        <v>38201</v>
      </c>
      <c r="B4696" s="3">
        <v>43.83</v>
      </c>
    </row>
    <row r="4697" spans="1:2">
      <c r="A4697" s="4">
        <v>38202</v>
      </c>
      <c r="B4697" s="3">
        <v>44.13</v>
      </c>
    </row>
    <row r="4698" spans="1:2">
      <c r="A4698" s="4">
        <v>38203</v>
      </c>
      <c r="B4698" s="3">
        <v>42.73</v>
      </c>
    </row>
    <row r="4699" spans="1:2">
      <c r="A4699" s="4">
        <v>38204</v>
      </c>
      <c r="B4699" s="3">
        <v>44.39</v>
      </c>
    </row>
    <row r="4700" spans="1:2">
      <c r="A4700" s="4">
        <v>38205</v>
      </c>
      <c r="B4700" s="3">
        <v>43.95</v>
      </c>
    </row>
    <row r="4701" spans="1:2">
      <c r="A4701" s="4">
        <v>38208</v>
      </c>
      <c r="B4701" s="3">
        <v>44.86</v>
      </c>
    </row>
    <row r="4702" spans="1:2">
      <c r="A4702" s="4">
        <v>38209</v>
      </c>
      <c r="B4702" s="3">
        <v>44.51</v>
      </c>
    </row>
    <row r="4703" spans="1:2">
      <c r="A4703" s="4">
        <v>38210</v>
      </c>
      <c r="B4703" s="3">
        <v>44.72</v>
      </c>
    </row>
    <row r="4704" spans="1:2">
      <c r="A4704" s="4">
        <v>38211</v>
      </c>
      <c r="B4704" s="3">
        <v>45.52</v>
      </c>
    </row>
    <row r="4705" spans="1:2">
      <c r="A4705" s="4">
        <v>38212</v>
      </c>
      <c r="B4705" s="3">
        <v>46.61</v>
      </c>
    </row>
    <row r="4706" spans="1:2">
      <c r="A4706" s="4">
        <v>38215</v>
      </c>
      <c r="B4706" s="3">
        <v>46.02</v>
      </c>
    </row>
    <row r="4707" spans="1:2">
      <c r="A4707" s="4">
        <v>38216</v>
      </c>
      <c r="B4707" s="3">
        <v>46.75</v>
      </c>
    </row>
    <row r="4708" spans="1:2">
      <c r="A4708" s="4">
        <v>38217</v>
      </c>
      <c r="B4708" s="3">
        <v>47.36</v>
      </c>
    </row>
    <row r="4709" spans="1:2">
      <c r="A4709" s="4">
        <v>38218</v>
      </c>
      <c r="B4709" s="3">
        <v>48.66</v>
      </c>
    </row>
    <row r="4710" spans="1:2">
      <c r="A4710" s="4">
        <v>38219</v>
      </c>
      <c r="B4710" s="3">
        <v>47.6</v>
      </c>
    </row>
    <row r="4711" spans="1:2">
      <c r="A4711" s="4">
        <v>38222</v>
      </c>
      <c r="B4711" s="3">
        <v>46</v>
      </c>
    </row>
    <row r="4712" spans="1:2">
      <c r="A4712" s="4">
        <v>38223</v>
      </c>
      <c r="B4712" s="3">
        <v>45.68</v>
      </c>
    </row>
    <row r="4713" spans="1:2">
      <c r="A4713" s="4">
        <v>38224</v>
      </c>
      <c r="B4713" s="3">
        <v>43.83</v>
      </c>
    </row>
    <row r="4714" spans="1:2">
      <c r="A4714" s="4">
        <v>38225</v>
      </c>
      <c r="B4714" s="3">
        <v>43.06</v>
      </c>
    </row>
    <row r="4715" spans="1:2">
      <c r="A4715" s="4">
        <v>38226</v>
      </c>
      <c r="B4715" s="3">
        <v>43.11</v>
      </c>
    </row>
    <row r="4716" spans="1:2">
      <c r="A4716" s="4">
        <v>38229</v>
      </c>
      <c r="B4716" s="3">
        <v>42.32</v>
      </c>
    </row>
    <row r="4717" spans="1:2">
      <c r="A4717" s="4">
        <v>38230</v>
      </c>
      <c r="B4717" s="3">
        <v>42.23</v>
      </c>
    </row>
    <row r="4718" spans="1:2">
      <c r="A4718" s="4">
        <v>38231</v>
      </c>
      <c r="B4718" s="3">
        <v>43.89</v>
      </c>
    </row>
    <row r="4719" spans="1:2">
      <c r="A4719" s="4">
        <v>38232</v>
      </c>
      <c r="B4719" s="3">
        <v>44.04</v>
      </c>
    </row>
    <row r="4720" spans="1:2">
      <c r="A4720" s="4">
        <v>38233</v>
      </c>
      <c r="B4720" s="3">
        <v>43.94</v>
      </c>
    </row>
    <row r="4721" spans="1:2">
      <c r="A4721" s="4">
        <v>38237</v>
      </c>
      <c r="B4721" s="3">
        <v>43.18</v>
      </c>
    </row>
    <row r="4722" spans="1:2">
      <c r="A4722" s="4">
        <v>38238</v>
      </c>
      <c r="B4722" s="3">
        <v>42.77</v>
      </c>
    </row>
    <row r="4723" spans="1:2">
      <c r="A4723" s="4">
        <v>38239</v>
      </c>
      <c r="B4723" s="3">
        <v>44.53</v>
      </c>
    </row>
    <row r="4724" spans="1:2">
      <c r="A4724" s="4">
        <v>38240</v>
      </c>
      <c r="B4724" s="3">
        <v>42.84</v>
      </c>
    </row>
    <row r="4725" spans="1:2">
      <c r="A4725" s="4">
        <v>38243</v>
      </c>
      <c r="B4725" s="3">
        <v>43.86</v>
      </c>
    </row>
    <row r="4726" spans="1:2">
      <c r="A4726" s="4">
        <v>38244</v>
      </c>
      <c r="B4726" s="3">
        <v>44.62</v>
      </c>
    </row>
    <row r="4727" spans="1:2">
      <c r="A4727" s="4">
        <v>38245</v>
      </c>
      <c r="B4727" s="3">
        <v>43.83</v>
      </c>
    </row>
    <row r="4728" spans="1:2">
      <c r="A4728" s="4">
        <v>38246</v>
      </c>
      <c r="B4728" s="3">
        <v>44.03</v>
      </c>
    </row>
    <row r="4729" spans="1:2">
      <c r="A4729" s="4">
        <v>38247</v>
      </c>
      <c r="B4729" s="3">
        <v>45.63</v>
      </c>
    </row>
    <row r="4730" spans="1:2">
      <c r="A4730" s="4">
        <v>38250</v>
      </c>
      <c r="B4730" s="3">
        <v>46.33</v>
      </c>
    </row>
    <row r="4731" spans="1:2">
      <c r="A4731" s="4">
        <v>38251</v>
      </c>
      <c r="B4731" s="3">
        <v>47.11</v>
      </c>
    </row>
    <row r="4732" spans="1:2">
      <c r="A4732" s="4">
        <v>38252</v>
      </c>
      <c r="B4732" s="3">
        <v>48.41</v>
      </c>
    </row>
    <row r="4733" spans="1:2">
      <c r="A4733" s="4">
        <v>38253</v>
      </c>
      <c r="B4733" s="3">
        <v>48.37</v>
      </c>
    </row>
    <row r="4734" spans="1:2">
      <c r="A4734" s="4">
        <v>38254</v>
      </c>
      <c r="B4734" s="3">
        <v>48.86</v>
      </c>
    </row>
    <row r="4735" spans="1:2">
      <c r="A4735" s="4">
        <v>38257</v>
      </c>
      <c r="B4735" s="3">
        <v>49.56</v>
      </c>
    </row>
    <row r="4736" spans="1:2">
      <c r="A4736" s="4">
        <v>38258</v>
      </c>
      <c r="B4736" s="3">
        <v>49.76</v>
      </c>
    </row>
    <row r="4737" spans="1:2">
      <c r="A4737" s="4">
        <v>38259</v>
      </c>
      <c r="B4737" s="3">
        <v>49.53</v>
      </c>
    </row>
    <row r="4738" spans="1:2">
      <c r="A4738" s="4">
        <v>38260</v>
      </c>
      <c r="B4738" s="3">
        <v>49.56</v>
      </c>
    </row>
    <row r="4739" spans="1:2">
      <c r="A4739" s="4">
        <v>38261</v>
      </c>
      <c r="B4739" s="3">
        <v>50.16</v>
      </c>
    </row>
    <row r="4740" spans="1:2">
      <c r="A4740" s="4">
        <v>38264</v>
      </c>
      <c r="B4740" s="3">
        <v>49.85</v>
      </c>
    </row>
    <row r="4741" spans="1:2">
      <c r="A4741" s="4">
        <v>38265</v>
      </c>
      <c r="B4741" s="3">
        <v>51.08</v>
      </c>
    </row>
    <row r="4742" spans="1:2">
      <c r="A4742" s="4">
        <v>38266</v>
      </c>
      <c r="B4742" s="3">
        <v>51.98</v>
      </c>
    </row>
    <row r="4743" spans="1:2">
      <c r="A4743" s="4">
        <v>38267</v>
      </c>
      <c r="B4743" s="3">
        <v>52.56</v>
      </c>
    </row>
    <row r="4744" spans="1:2">
      <c r="A4744" s="4">
        <v>38268</v>
      </c>
      <c r="B4744" s="3">
        <v>53.4</v>
      </c>
    </row>
    <row r="4745" spans="1:2">
      <c r="A4745" s="4">
        <v>38271</v>
      </c>
      <c r="B4745" s="3">
        <v>53.65</v>
      </c>
    </row>
    <row r="4746" spans="1:2">
      <c r="A4746" s="4">
        <v>38272</v>
      </c>
      <c r="B4746" s="3">
        <v>53.49</v>
      </c>
    </row>
    <row r="4747" spans="1:2">
      <c r="A4747" s="4">
        <v>38273</v>
      </c>
      <c r="B4747" s="3">
        <v>53.86</v>
      </c>
    </row>
    <row r="4748" spans="1:2">
      <c r="A4748" s="4">
        <v>38274</v>
      </c>
      <c r="B4748" s="3">
        <v>54.69</v>
      </c>
    </row>
    <row r="4749" spans="1:2">
      <c r="A4749" s="4">
        <v>38275</v>
      </c>
      <c r="B4749" s="3">
        <v>54.89</v>
      </c>
    </row>
    <row r="4750" spans="1:2">
      <c r="A4750" s="4">
        <v>38278</v>
      </c>
      <c r="B4750" s="3">
        <v>53.59</v>
      </c>
    </row>
    <row r="4751" spans="1:2">
      <c r="A4751" s="4">
        <v>38279</v>
      </c>
      <c r="B4751" s="3">
        <v>53.28</v>
      </c>
    </row>
    <row r="4752" spans="1:2">
      <c r="A4752" s="4">
        <v>38280</v>
      </c>
      <c r="B4752" s="3">
        <v>54.93</v>
      </c>
    </row>
    <row r="4753" spans="1:2">
      <c r="A4753" s="4">
        <v>38281</v>
      </c>
      <c r="B4753" s="3">
        <v>54.51</v>
      </c>
    </row>
    <row r="4754" spans="1:2">
      <c r="A4754" s="4">
        <v>38282</v>
      </c>
      <c r="B4754" s="3">
        <v>55.83</v>
      </c>
    </row>
    <row r="4755" spans="1:2">
      <c r="A4755" s="4">
        <v>38285</v>
      </c>
      <c r="B4755" s="3">
        <v>55.52</v>
      </c>
    </row>
    <row r="4756" spans="1:2">
      <c r="A4756" s="4">
        <v>38286</v>
      </c>
      <c r="B4756" s="3">
        <v>56.37</v>
      </c>
    </row>
    <row r="4757" spans="1:2">
      <c r="A4757" s="4">
        <v>38287</v>
      </c>
      <c r="B4757" s="3">
        <v>52.52</v>
      </c>
    </row>
    <row r="4758" spans="1:2">
      <c r="A4758" s="4">
        <v>38288</v>
      </c>
      <c r="B4758" s="3">
        <v>50.95</v>
      </c>
    </row>
    <row r="4759" spans="1:2">
      <c r="A4759" s="4">
        <v>38289</v>
      </c>
      <c r="B4759" s="3">
        <v>51.78</v>
      </c>
    </row>
    <row r="4760" spans="1:2">
      <c r="A4760" s="4">
        <v>38292</v>
      </c>
      <c r="B4760" s="3">
        <v>50.1</v>
      </c>
    </row>
    <row r="4761" spans="1:2">
      <c r="A4761" s="4">
        <v>38293</v>
      </c>
      <c r="B4761" s="3">
        <v>49.6</v>
      </c>
    </row>
    <row r="4762" spans="1:2">
      <c r="A4762" s="4">
        <v>38294</v>
      </c>
      <c r="B4762" s="3">
        <v>50.9</v>
      </c>
    </row>
    <row r="4763" spans="1:2">
      <c r="A4763" s="4">
        <v>38295</v>
      </c>
      <c r="B4763" s="3">
        <v>48.8</v>
      </c>
    </row>
    <row r="4764" spans="1:2">
      <c r="A4764" s="4">
        <v>38296</v>
      </c>
      <c r="B4764" s="3">
        <v>49.65</v>
      </c>
    </row>
    <row r="4765" spans="1:2">
      <c r="A4765" s="4">
        <v>38299</v>
      </c>
      <c r="B4765" s="3">
        <v>49.1</v>
      </c>
    </row>
    <row r="4766" spans="1:2">
      <c r="A4766" s="4">
        <v>38300</v>
      </c>
      <c r="B4766" s="3">
        <v>47.4</v>
      </c>
    </row>
    <row r="4767" spans="1:2">
      <c r="A4767" s="4">
        <v>38301</v>
      </c>
      <c r="B4767" s="3">
        <v>48.7</v>
      </c>
    </row>
    <row r="4768" spans="1:2">
      <c r="A4768" s="4">
        <v>38302</v>
      </c>
      <c r="B4768" s="3">
        <v>47.5</v>
      </c>
    </row>
    <row r="4769" spans="1:2">
      <c r="A4769" s="4">
        <v>38303</v>
      </c>
      <c r="B4769" s="3">
        <v>47.3</v>
      </c>
    </row>
    <row r="4770" spans="1:2">
      <c r="A4770" s="4">
        <v>38306</v>
      </c>
      <c r="B4770" s="3">
        <v>46.95</v>
      </c>
    </row>
    <row r="4771" spans="1:2">
      <c r="A4771" s="4">
        <v>38307</v>
      </c>
      <c r="B4771" s="3">
        <v>46.1</v>
      </c>
    </row>
    <row r="4772" spans="1:2">
      <c r="A4772" s="4">
        <v>38308</v>
      </c>
      <c r="B4772" s="3">
        <v>46.85</v>
      </c>
    </row>
    <row r="4773" spans="1:2">
      <c r="A4773" s="4">
        <v>38309</v>
      </c>
      <c r="B4773" s="3">
        <v>46.3</v>
      </c>
    </row>
    <row r="4774" spans="1:2">
      <c r="A4774" s="4">
        <v>38310</v>
      </c>
      <c r="B4774" s="3">
        <v>48.9</v>
      </c>
    </row>
    <row r="4775" spans="1:2">
      <c r="A4775" s="4">
        <v>38313</v>
      </c>
      <c r="B4775" s="3">
        <v>48.48</v>
      </c>
    </row>
    <row r="4776" spans="1:2">
      <c r="A4776" s="4">
        <v>38314</v>
      </c>
      <c r="B4776" s="3">
        <v>48.74</v>
      </c>
    </row>
    <row r="4777" spans="1:2">
      <c r="A4777" s="4">
        <v>38315</v>
      </c>
      <c r="B4777" s="3">
        <v>49.14</v>
      </c>
    </row>
    <row r="4778" spans="1:2">
      <c r="A4778" s="4">
        <v>38320</v>
      </c>
      <c r="B4778" s="3">
        <v>49.71</v>
      </c>
    </row>
    <row r="4779" spans="1:2">
      <c r="A4779" s="4">
        <v>38321</v>
      </c>
      <c r="B4779" s="3">
        <v>49.16</v>
      </c>
    </row>
    <row r="4780" spans="1:2">
      <c r="A4780" s="4">
        <v>38322</v>
      </c>
      <c r="B4780" s="3">
        <v>45.56</v>
      </c>
    </row>
    <row r="4781" spans="1:2">
      <c r="A4781" s="4">
        <v>38323</v>
      </c>
      <c r="B4781" s="3">
        <v>43.31</v>
      </c>
    </row>
    <row r="4782" spans="1:2">
      <c r="A4782" s="4">
        <v>38324</v>
      </c>
      <c r="B4782" s="3">
        <v>42.56</v>
      </c>
    </row>
    <row r="4783" spans="1:2">
      <c r="A4783" s="4">
        <v>38327</v>
      </c>
      <c r="B4783" s="3">
        <v>42.96</v>
      </c>
    </row>
    <row r="4784" spans="1:2">
      <c r="A4784" s="4">
        <v>38328</v>
      </c>
      <c r="B4784" s="3">
        <v>41.51</v>
      </c>
    </row>
    <row r="4785" spans="1:2">
      <c r="A4785" s="4">
        <v>38329</v>
      </c>
      <c r="B4785" s="3">
        <v>41.96</v>
      </c>
    </row>
    <row r="4786" spans="1:2">
      <c r="A4786" s="4">
        <v>38330</v>
      </c>
      <c r="B4786" s="3">
        <v>42.41</v>
      </c>
    </row>
    <row r="4787" spans="1:2">
      <c r="A4787" s="4">
        <v>38331</v>
      </c>
      <c r="B4787" s="3">
        <v>40.71</v>
      </c>
    </row>
    <row r="4788" spans="1:2">
      <c r="A4788" s="4">
        <v>38334</v>
      </c>
      <c r="B4788" s="3">
        <v>41.06</v>
      </c>
    </row>
    <row r="4789" spans="1:2">
      <c r="A4789" s="4">
        <v>38335</v>
      </c>
      <c r="B4789" s="3">
        <v>41.76</v>
      </c>
    </row>
    <row r="4790" spans="1:2">
      <c r="A4790" s="4">
        <v>38336</v>
      </c>
      <c r="B4790" s="3">
        <v>44.21</v>
      </c>
    </row>
    <row r="4791" spans="1:2">
      <c r="A4791" s="4">
        <v>38337</v>
      </c>
      <c r="B4791" s="3">
        <v>44.16</v>
      </c>
    </row>
    <row r="4792" spans="1:2">
      <c r="A4792" s="4">
        <v>38338</v>
      </c>
      <c r="B4792" s="3">
        <v>46.31</v>
      </c>
    </row>
    <row r="4793" spans="1:2">
      <c r="A4793" s="4">
        <v>38341</v>
      </c>
      <c r="B4793" s="3">
        <v>45.57</v>
      </c>
    </row>
    <row r="4794" spans="1:2">
      <c r="A4794" s="4">
        <v>38342</v>
      </c>
      <c r="B4794" s="3">
        <v>45.76</v>
      </c>
    </row>
    <row r="4795" spans="1:2">
      <c r="A4795" s="4">
        <v>38343</v>
      </c>
      <c r="B4795" s="3">
        <v>44.05</v>
      </c>
    </row>
    <row r="4796" spans="1:2">
      <c r="A4796" s="4">
        <v>38344</v>
      </c>
      <c r="B4796" s="3">
        <v>42.19</v>
      </c>
    </row>
    <row r="4797" spans="1:2">
      <c r="A4797" s="4">
        <v>38348</v>
      </c>
      <c r="B4797" s="3">
        <v>41.26</v>
      </c>
    </row>
    <row r="4798" spans="1:2">
      <c r="A4798" s="4">
        <v>38349</v>
      </c>
      <c r="B4798" s="3">
        <v>41.78</v>
      </c>
    </row>
    <row r="4799" spans="1:2">
      <c r="A4799" s="4">
        <v>38350</v>
      </c>
      <c r="B4799" s="3">
        <v>43.69</v>
      </c>
    </row>
    <row r="4800" spans="1:2">
      <c r="A4800" s="4">
        <v>38351</v>
      </c>
      <c r="B4800" s="3">
        <v>43.36</v>
      </c>
    </row>
    <row r="4801" spans="1:2">
      <c r="A4801" s="4">
        <v>38355</v>
      </c>
      <c r="B4801" s="3">
        <v>42.16</v>
      </c>
    </row>
    <row r="4802" spans="1:2">
      <c r="A4802" s="4">
        <v>38356</v>
      </c>
      <c r="B4802" s="3">
        <v>43.96</v>
      </c>
    </row>
    <row r="4803" spans="1:2">
      <c r="A4803" s="4">
        <v>38357</v>
      </c>
      <c r="B4803" s="3">
        <v>43.41</v>
      </c>
    </row>
    <row r="4804" spans="1:2">
      <c r="A4804" s="4">
        <v>38358</v>
      </c>
      <c r="B4804" s="3">
        <v>45.51</v>
      </c>
    </row>
    <row r="4805" spans="1:2">
      <c r="A4805" s="4">
        <v>38359</v>
      </c>
      <c r="B4805" s="3">
        <v>45.32</v>
      </c>
    </row>
    <row r="4806" spans="1:2">
      <c r="A4806" s="4">
        <v>38362</v>
      </c>
      <c r="B4806" s="3">
        <v>45.31</v>
      </c>
    </row>
    <row r="4807" spans="1:2">
      <c r="A4807" s="4">
        <v>38363</v>
      </c>
      <c r="B4807" s="3">
        <v>45.66</v>
      </c>
    </row>
    <row r="4808" spans="1:2">
      <c r="A4808" s="4">
        <v>38364</v>
      </c>
      <c r="B4808" s="3">
        <v>46.46</v>
      </c>
    </row>
    <row r="4809" spans="1:2">
      <c r="A4809" s="4">
        <v>38365</v>
      </c>
      <c r="B4809" s="3">
        <v>48.11</v>
      </c>
    </row>
    <row r="4810" spans="1:2">
      <c r="A4810" s="4">
        <v>38366</v>
      </c>
      <c r="B4810" s="3">
        <v>48.41</v>
      </c>
    </row>
    <row r="4811" spans="1:2">
      <c r="A4811" s="4">
        <v>38370</v>
      </c>
      <c r="B4811" s="3">
        <v>48.46</v>
      </c>
    </row>
    <row r="4812" spans="1:2">
      <c r="A4812" s="4">
        <v>38371</v>
      </c>
      <c r="B4812" s="3">
        <v>47.61</v>
      </c>
    </row>
    <row r="4813" spans="1:2">
      <c r="A4813" s="4">
        <v>38372</v>
      </c>
      <c r="B4813" s="3">
        <v>47.01</v>
      </c>
    </row>
    <row r="4814" spans="1:2">
      <c r="A4814" s="4">
        <v>38373</v>
      </c>
      <c r="B4814" s="3">
        <v>48.31</v>
      </c>
    </row>
    <row r="4815" spans="1:2">
      <c r="A4815" s="4">
        <v>38376</v>
      </c>
      <c r="B4815" s="3">
        <v>48.61</v>
      </c>
    </row>
    <row r="4816" spans="1:2">
      <c r="A4816" s="4">
        <v>38377</v>
      </c>
      <c r="B4816" s="3">
        <v>49.43</v>
      </c>
    </row>
    <row r="4817" spans="1:2">
      <c r="A4817" s="4">
        <v>38378</v>
      </c>
      <c r="B4817" s="3">
        <v>48.8</v>
      </c>
    </row>
    <row r="4818" spans="1:2">
      <c r="A4818" s="4">
        <v>38379</v>
      </c>
      <c r="B4818" s="3">
        <v>48.8</v>
      </c>
    </row>
    <row r="4819" spans="1:2">
      <c r="A4819" s="4">
        <v>38380</v>
      </c>
      <c r="B4819" s="3">
        <v>47.15</v>
      </c>
    </row>
    <row r="4820" spans="1:2">
      <c r="A4820" s="4">
        <v>38383</v>
      </c>
      <c r="B4820" s="3">
        <v>48.25</v>
      </c>
    </row>
    <row r="4821" spans="1:2">
      <c r="A4821" s="4">
        <v>38384</v>
      </c>
      <c r="B4821" s="3">
        <v>47.1</v>
      </c>
    </row>
    <row r="4822" spans="1:2">
      <c r="A4822" s="4">
        <v>38385</v>
      </c>
      <c r="B4822" s="3">
        <v>46.65</v>
      </c>
    </row>
    <row r="4823" spans="1:2">
      <c r="A4823" s="4">
        <v>38386</v>
      </c>
      <c r="B4823" s="3">
        <v>46.4</v>
      </c>
    </row>
    <row r="4824" spans="1:2">
      <c r="A4824" s="4">
        <v>38387</v>
      </c>
      <c r="B4824" s="3">
        <v>46.45</v>
      </c>
    </row>
    <row r="4825" spans="1:2">
      <c r="A4825" s="4">
        <v>38390</v>
      </c>
      <c r="B4825" s="3">
        <v>45.35</v>
      </c>
    </row>
    <row r="4826" spans="1:2">
      <c r="A4826" s="4">
        <v>38391</v>
      </c>
      <c r="B4826" s="3">
        <v>45.4</v>
      </c>
    </row>
    <row r="4827" spans="1:2">
      <c r="A4827" s="4">
        <v>38392</v>
      </c>
      <c r="B4827" s="3">
        <v>45.45</v>
      </c>
    </row>
    <row r="4828" spans="1:2">
      <c r="A4828" s="4">
        <v>38393</v>
      </c>
      <c r="B4828" s="3">
        <v>47.05</v>
      </c>
    </row>
    <row r="4829" spans="1:2">
      <c r="A4829" s="4">
        <v>38394</v>
      </c>
      <c r="B4829" s="3">
        <v>47.15</v>
      </c>
    </row>
    <row r="4830" spans="1:2">
      <c r="A4830" s="4">
        <v>38397</v>
      </c>
      <c r="B4830" s="3">
        <v>47.5</v>
      </c>
    </row>
    <row r="4831" spans="1:2">
      <c r="A4831" s="4">
        <v>38398</v>
      </c>
      <c r="B4831" s="3">
        <v>47.3</v>
      </c>
    </row>
    <row r="4832" spans="1:2">
      <c r="A4832" s="4">
        <v>38399</v>
      </c>
      <c r="B4832" s="3">
        <v>48.35</v>
      </c>
    </row>
    <row r="4833" spans="1:2">
      <c r="A4833" s="4">
        <v>38400</v>
      </c>
      <c r="B4833" s="3">
        <v>47.5</v>
      </c>
    </row>
    <row r="4834" spans="1:2">
      <c r="A4834" s="4">
        <v>38401</v>
      </c>
      <c r="B4834" s="3">
        <v>48.45</v>
      </c>
    </row>
    <row r="4835" spans="1:2">
      <c r="A4835" s="4">
        <v>38405</v>
      </c>
      <c r="B4835" s="3">
        <v>51</v>
      </c>
    </row>
    <row r="4836" spans="1:2">
      <c r="A4836" s="4">
        <v>38406</v>
      </c>
      <c r="B4836" s="3">
        <v>51.73</v>
      </c>
    </row>
    <row r="4837" spans="1:2">
      <c r="A4837" s="4">
        <v>38407</v>
      </c>
      <c r="B4837" s="3">
        <v>52.05</v>
      </c>
    </row>
    <row r="4838" spans="1:2">
      <c r="A4838" s="4">
        <v>38408</v>
      </c>
      <c r="B4838" s="3">
        <v>52.2</v>
      </c>
    </row>
    <row r="4839" spans="1:2">
      <c r="A4839" s="4">
        <v>38411</v>
      </c>
      <c r="B4839" s="3">
        <v>51.75</v>
      </c>
    </row>
    <row r="4840" spans="1:2">
      <c r="A4840" s="4">
        <v>38412</v>
      </c>
      <c r="B4840" s="3">
        <v>51.67</v>
      </c>
    </row>
    <row r="4841" spans="1:2">
      <c r="A4841" s="4">
        <v>38413</v>
      </c>
      <c r="B4841" s="3">
        <v>53</v>
      </c>
    </row>
    <row r="4842" spans="1:2">
      <c r="A4842" s="4">
        <v>38414</v>
      </c>
      <c r="B4842" s="3">
        <v>53.6</v>
      </c>
    </row>
    <row r="4843" spans="1:2">
      <c r="A4843" s="4">
        <v>38415</v>
      </c>
      <c r="B4843" s="3">
        <v>53.7</v>
      </c>
    </row>
    <row r="4844" spans="1:2">
      <c r="A4844" s="4">
        <v>38418</v>
      </c>
      <c r="B4844" s="3">
        <v>53.9</v>
      </c>
    </row>
    <row r="4845" spans="1:2">
      <c r="A4845" s="4">
        <v>38419</v>
      </c>
      <c r="B4845" s="3">
        <v>54.55</v>
      </c>
    </row>
    <row r="4846" spans="1:2">
      <c r="A4846" s="4">
        <v>38420</v>
      </c>
      <c r="B4846" s="3">
        <v>54.75</v>
      </c>
    </row>
    <row r="4847" spans="1:2">
      <c r="A4847" s="4">
        <v>38421</v>
      </c>
      <c r="B4847" s="3">
        <v>53.52</v>
      </c>
    </row>
    <row r="4848" spans="1:2">
      <c r="A4848" s="4">
        <v>38422</v>
      </c>
      <c r="B4848" s="3">
        <v>54.4</v>
      </c>
    </row>
    <row r="4849" spans="1:2">
      <c r="A4849" s="4">
        <v>38425</v>
      </c>
      <c r="B4849" s="3">
        <v>54.9</v>
      </c>
    </row>
    <row r="4850" spans="1:2">
      <c r="A4850" s="4">
        <v>38426</v>
      </c>
      <c r="B4850" s="3">
        <v>55.05</v>
      </c>
    </row>
    <row r="4851" spans="1:2">
      <c r="A4851" s="4">
        <v>38427</v>
      </c>
      <c r="B4851" s="3">
        <v>56.5</v>
      </c>
    </row>
    <row r="4852" spans="1:2">
      <c r="A4852" s="4">
        <v>38428</v>
      </c>
      <c r="B4852" s="3">
        <v>56.4</v>
      </c>
    </row>
    <row r="4853" spans="1:2">
      <c r="A4853" s="4">
        <v>38429</v>
      </c>
      <c r="B4853" s="3">
        <v>56.8</v>
      </c>
    </row>
    <row r="4854" spans="1:2">
      <c r="A4854" s="4">
        <v>38432</v>
      </c>
      <c r="B4854" s="3">
        <v>56.7</v>
      </c>
    </row>
    <row r="4855" spans="1:2">
      <c r="A4855" s="4">
        <v>38433</v>
      </c>
      <c r="B4855" s="3">
        <v>55.95</v>
      </c>
    </row>
    <row r="4856" spans="1:2">
      <c r="A4856" s="4">
        <v>38434</v>
      </c>
      <c r="B4856" s="3">
        <v>49.43</v>
      </c>
    </row>
    <row r="4857" spans="1:2">
      <c r="A4857" s="4">
        <v>38435</v>
      </c>
      <c r="B4857" s="3">
        <v>49.7</v>
      </c>
    </row>
    <row r="4858" spans="1:2">
      <c r="A4858" s="4">
        <v>38439</v>
      </c>
      <c r="B4858" s="3">
        <v>54.06</v>
      </c>
    </row>
    <row r="4859" spans="1:2">
      <c r="A4859" s="4">
        <v>38440</v>
      </c>
      <c r="B4859" s="3">
        <v>54.26</v>
      </c>
    </row>
    <row r="4860" spans="1:2">
      <c r="A4860" s="4">
        <v>38441</v>
      </c>
      <c r="B4860" s="3">
        <v>53.96</v>
      </c>
    </row>
    <row r="4861" spans="1:2">
      <c r="A4861" s="4">
        <v>38442</v>
      </c>
      <c r="B4861" s="3">
        <v>55.31</v>
      </c>
    </row>
    <row r="4862" spans="1:2">
      <c r="A4862" s="4">
        <v>38443</v>
      </c>
      <c r="B4862" s="3">
        <v>57.26</v>
      </c>
    </row>
    <row r="4863" spans="1:2">
      <c r="A4863" s="4">
        <v>38446</v>
      </c>
      <c r="B4863" s="3">
        <v>56.86</v>
      </c>
    </row>
    <row r="4864" spans="1:2">
      <c r="A4864" s="4">
        <v>38447</v>
      </c>
      <c r="B4864" s="3">
        <v>55.83</v>
      </c>
    </row>
    <row r="4865" spans="1:2">
      <c r="A4865" s="4">
        <v>38448</v>
      </c>
      <c r="B4865" s="3">
        <v>55.88</v>
      </c>
    </row>
    <row r="4866" spans="1:2">
      <c r="A4866" s="4">
        <v>38449</v>
      </c>
      <c r="B4866" s="3">
        <v>54.16</v>
      </c>
    </row>
    <row r="4867" spans="1:2">
      <c r="A4867" s="4">
        <v>38450</v>
      </c>
      <c r="B4867" s="3">
        <v>53.46</v>
      </c>
    </row>
    <row r="4868" spans="1:2">
      <c r="A4868" s="4">
        <v>38453</v>
      </c>
      <c r="B4868" s="3">
        <v>53.71</v>
      </c>
    </row>
    <row r="4869" spans="1:2">
      <c r="A4869" s="4">
        <v>38454</v>
      </c>
      <c r="B4869" s="3">
        <v>51.54</v>
      </c>
    </row>
    <row r="4870" spans="1:2">
      <c r="A4870" s="4">
        <v>38455</v>
      </c>
      <c r="B4870" s="3">
        <v>50.21</v>
      </c>
    </row>
    <row r="4871" spans="1:2">
      <c r="A4871" s="4">
        <v>38456</v>
      </c>
      <c r="B4871" s="3">
        <v>51.11</v>
      </c>
    </row>
    <row r="4872" spans="1:2">
      <c r="A4872" s="4">
        <v>38457</v>
      </c>
      <c r="B4872" s="3">
        <v>50.61</v>
      </c>
    </row>
    <row r="4873" spans="1:2">
      <c r="A4873" s="4">
        <v>38460</v>
      </c>
      <c r="B4873" s="3">
        <v>50.52</v>
      </c>
    </row>
    <row r="4874" spans="1:2">
      <c r="A4874" s="4">
        <v>38461</v>
      </c>
      <c r="B4874" s="3">
        <v>52.33</v>
      </c>
    </row>
    <row r="4875" spans="1:2">
      <c r="A4875" s="4">
        <v>38462</v>
      </c>
      <c r="B4875" s="3">
        <v>52.45</v>
      </c>
    </row>
    <row r="4876" spans="1:2">
      <c r="A4876" s="4">
        <v>38463</v>
      </c>
      <c r="B4876" s="3">
        <v>52.49</v>
      </c>
    </row>
    <row r="4877" spans="1:2">
      <c r="A4877" s="4">
        <v>38464</v>
      </c>
      <c r="B4877" s="3">
        <v>54.16</v>
      </c>
    </row>
    <row r="4878" spans="1:2">
      <c r="A4878" s="4">
        <v>38467</v>
      </c>
      <c r="B4878" s="3">
        <v>53.16</v>
      </c>
    </row>
    <row r="4879" spans="1:2">
      <c r="A4879" s="4">
        <v>38468</v>
      </c>
      <c r="B4879" s="3">
        <v>54.33</v>
      </c>
    </row>
    <row r="4880" spans="1:2">
      <c r="A4880" s="4">
        <v>38469</v>
      </c>
      <c r="B4880" s="3">
        <v>51.37</v>
      </c>
    </row>
    <row r="4881" spans="1:2">
      <c r="A4881" s="4">
        <v>38470</v>
      </c>
      <c r="B4881" s="3">
        <v>51.92</v>
      </c>
    </row>
    <row r="4882" spans="1:2">
      <c r="A4882" s="4">
        <v>38471</v>
      </c>
      <c r="B4882" s="3">
        <v>49.2</v>
      </c>
    </row>
    <row r="4883" spans="1:2">
      <c r="A4883" s="4">
        <v>38474</v>
      </c>
      <c r="B4883" s="3">
        <v>50.94</v>
      </c>
    </row>
    <row r="4884" spans="1:2">
      <c r="A4884" s="4">
        <v>38475</v>
      </c>
      <c r="B4884" s="3">
        <v>49.6</v>
      </c>
    </row>
    <row r="4885" spans="1:2">
      <c r="A4885" s="4">
        <v>38476</v>
      </c>
      <c r="B4885" s="3">
        <v>50.22</v>
      </c>
    </row>
    <row r="4886" spans="1:2">
      <c r="A4886" s="4">
        <v>38477</v>
      </c>
      <c r="B4886" s="3">
        <v>51.12</v>
      </c>
    </row>
    <row r="4887" spans="1:2">
      <c r="A4887" s="4">
        <v>38478</v>
      </c>
      <c r="B4887" s="3">
        <v>51.3</v>
      </c>
    </row>
    <row r="4888" spans="1:2">
      <c r="A4888" s="4">
        <v>38481</v>
      </c>
      <c r="B4888" s="3">
        <v>52.04</v>
      </c>
    </row>
    <row r="4889" spans="1:2">
      <c r="A4889" s="4">
        <v>38482</v>
      </c>
      <c r="B4889" s="3">
        <v>51.76</v>
      </c>
    </row>
    <row r="4890" spans="1:2">
      <c r="A4890" s="4">
        <v>38483</v>
      </c>
      <c r="B4890" s="3">
        <v>50.39</v>
      </c>
    </row>
    <row r="4891" spans="1:2">
      <c r="A4891" s="4">
        <v>38484</v>
      </c>
      <c r="B4891" s="3">
        <v>48.83</v>
      </c>
    </row>
    <row r="4892" spans="1:2">
      <c r="A4892" s="4">
        <v>38485</v>
      </c>
      <c r="B4892" s="3">
        <v>48.65</v>
      </c>
    </row>
    <row r="4893" spans="1:2">
      <c r="A4893" s="4">
        <v>38488</v>
      </c>
      <c r="B4893" s="3">
        <v>48.64</v>
      </c>
    </row>
    <row r="4894" spans="1:2">
      <c r="A4894" s="4">
        <v>38489</v>
      </c>
      <c r="B4894" s="3">
        <v>48.97</v>
      </c>
    </row>
    <row r="4895" spans="1:2">
      <c r="A4895" s="4">
        <v>38490</v>
      </c>
      <c r="B4895" s="3">
        <v>46.99</v>
      </c>
    </row>
    <row r="4896" spans="1:2">
      <c r="A4896" s="4">
        <v>38491</v>
      </c>
      <c r="B4896" s="3">
        <v>47</v>
      </c>
    </row>
    <row r="4897" spans="1:2">
      <c r="A4897" s="4">
        <v>38492</v>
      </c>
      <c r="B4897" s="3">
        <v>47.25</v>
      </c>
    </row>
    <row r="4898" spans="1:2">
      <c r="A4898" s="4">
        <v>38495</v>
      </c>
      <c r="B4898" s="3">
        <v>48.68</v>
      </c>
    </row>
    <row r="4899" spans="1:2">
      <c r="A4899" s="4">
        <v>38496</v>
      </c>
      <c r="B4899" s="3">
        <v>49.14</v>
      </c>
    </row>
    <row r="4900" spans="1:2">
      <c r="A4900" s="4">
        <v>38497</v>
      </c>
      <c r="B4900" s="3">
        <v>50.37</v>
      </c>
    </row>
    <row r="4901" spans="1:2">
      <c r="A4901" s="4">
        <v>38498</v>
      </c>
      <c r="B4901" s="3">
        <v>50.89</v>
      </c>
    </row>
    <row r="4902" spans="1:2">
      <c r="A4902" s="4">
        <v>38499</v>
      </c>
      <c r="B4902" s="3">
        <v>51.65</v>
      </c>
    </row>
    <row r="4903" spans="1:2">
      <c r="A4903" s="4">
        <v>38503</v>
      </c>
      <c r="B4903" s="3">
        <v>52.08</v>
      </c>
    </row>
    <row r="4904" spans="1:2">
      <c r="A4904" s="4">
        <v>38504</v>
      </c>
      <c r="B4904" s="3">
        <v>54.4</v>
      </c>
    </row>
    <row r="4905" spans="1:2">
      <c r="A4905" s="4">
        <v>38505</v>
      </c>
      <c r="B4905" s="3">
        <v>53.46</v>
      </c>
    </row>
    <row r="4906" spans="1:2">
      <c r="A4906" s="4">
        <v>38506</v>
      </c>
      <c r="B4906" s="3">
        <v>55.08</v>
      </c>
    </row>
    <row r="4907" spans="1:2">
      <c r="A4907" s="4">
        <v>38509</v>
      </c>
      <c r="B4907" s="3">
        <v>54.46</v>
      </c>
    </row>
    <row r="4908" spans="1:2">
      <c r="A4908" s="4">
        <v>38510</v>
      </c>
      <c r="B4908" s="3">
        <v>53.84</v>
      </c>
    </row>
    <row r="4909" spans="1:2">
      <c r="A4909" s="4">
        <v>38511</v>
      </c>
      <c r="B4909" s="3">
        <v>52.51</v>
      </c>
    </row>
    <row r="4910" spans="1:2">
      <c r="A4910" s="4">
        <v>38512</v>
      </c>
      <c r="B4910" s="3">
        <v>54.36</v>
      </c>
    </row>
    <row r="4911" spans="1:2">
      <c r="A4911" s="4">
        <v>38513</v>
      </c>
      <c r="B4911" s="3">
        <v>53.55</v>
      </c>
    </row>
    <row r="4912" spans="1:2">
      <c r="A4912" s="4">
        <v>38516</v>
      </c>
      <c r="B4912" s="3">
        <v>55.47</v>
      </c>
    </row>
    <row r="4913" spans="1:2">
      <c r="A4913" s="4">
        <v>38517</v>
      </c>
      <c r="B4913" s="3">
        <v>55.03</v>
      </c>
    </row>
    <row r="4914" spans="1:2">
      <c r="A4914" s="4">
        <v>38518</v>
      </c>
      <c r="B4914" s="3">
        <v>55.53</v>
      </c>
    </row>
    <row r="4915" spans="1:2">
      <c r="A4915" s="4">
        <v>38519</v>
      </c>
      <c r="B4915" s="3">
        <v>56.48</v>
      </c>
    </row>
    <row r="4916" spans="1:2">
      <c r="A4916" s="4">
        <v>38520</v>
      </c>
      <c r="B4916" s="3">
        <v>58.4</v>
      </c>
    </row>
    <row r="4917" spans="1:2">
      <c r="A4917" s="4">
        <v>38523</v>
      </c>
      <c r="B4917" s="3">
        <v>59.19</v>
      </c>
    </row>
    <row r="4918" spans="1:2">
      <c r="A4918" s="4">
        <v>38524</v>
      </c>
      <c r="B4918" s="3">
        <v>58.9</v>
      </c>
    </row>
    <row r="4919" spans="1:2">
      <c r="A4919" s="4">
        <v>38525</v>
      </c>
      <c r="B4919" s="3">
        <v>58.27</v>
      </c>
    </row>
    <row r="4920" spans="1:2">
      <c r="A4920" s="4">
        <v>38526</v>
      </c>
      <c r="B4920" s="3">
        <v>59.23</v>
      </c>
    </row>
    <row r="4921" spans="1:2">
      <c r="A4921" s="4">
        <v>38527</v>
      </c>
      <c r="B4921" s="3">
        <v>59.63</v>
      </c>
    </row>
    <row r="4922" spans="1:2">
      <c r="A4922" s="4">
        <v>38530</v>
      </c>
      <c r="B4922" s="3">
        <v>59.78</v>
      </c>
    </row>
    <row r="4923" spans="1:2">
      <c r="A4923" s="4">
        <v>38531</v>
      </c>
      <c r="B4923" s="3">
        <v>58.32</v>
      </c>
    </row>
    <row r="4924" spans="1:2">
      <c r="A4924" s="4">
        <v>38532</v>
      </c>
      <c r="B4924" s="3">
        <v>57.23</v>
      </c>
    </row>
    <row r="4925" spans="1:2">
      <c r="A4925" s="4">
        <v>38533</v>
      </c>
      <c r="B4925" s="3">
        <v>56.63</v>
      </c>
    </row>
    <row r="4926" spans="1:2">
      <c r="A4926" s="4">
        <v>38534</v>
      </c>
      <c r="B4926" s="3">
        <v>59.11</v>
      </c>
    </row>
    <row r="4927" spans="1:2">
      <c r="A4927" s="4">
        <v>38538</v>
      </c>
      <c r="B4927" s="3">
        <v>59.71</v>
      </c>
    </row>
    <row r="4928" spans="1:2">
      <c r="A4928" s="4">
        <v>38539</v>
      </c>
      <c r="B4928" s="3">
        <v>61.24</v>
      </c>
    </row>
    <row r="4929" spans="1:2">
      <c r="A4929" s="4">
        <v>38540</v>
      </c>
      <c r="B4929" s="3">
        <v>60.76</v>
      </c>
    </row>
    <row r="4930" spans="1:2">
      <c r="A4930" s="4">
        <v>38541</v>
      </c>
      <c r="B4930" s="3">
        <v>59.71</v>
      </c>
    </row>
    <row r="4931" spans="1:2">
      <c r="A4931" s="4">
        <v>38544</v>
      </c>
      <c r="B4931" s="3">
        <v>59.23</v>
      </c>
    </row>
    <row r="4932" spans="1:2">
      <c r="A4932" s="4">
        <v>38545</v>
      </c>
      <c r="B4932" s="3">
        <v>60.49</v>
      </c>
    </row>
    <row r="4933" spans="1:2">
      <c r="A4933" s="4">
        <v>38546</v>
      </c>
      <c r="B4933" s="3">
        <v>60</v>
      </c>
    </row>
    <row r="4934" spans="1:2">
      <c r="A4934" s="4">
        <v>38547</v>
      </c>
      <c r="B4934" s="3">
        <v>57.83</v>
      </c>
    </row>
    <row r="4935" spans="1:2">
      <c r="A4935" s="4">
        <v>38548</v>
      </c>
      <c r="B4935" s="3">
        <v>58.36</v>
      </c>
    </row>
    <row r="4936" spans="1:2">
      <c r="A4936" s="4">
        <v>38551</v>
      </c>
      <c r="B4936" s="3">
        <v>57.12</v>
      </c>
    </row>
    <row r="4937" spans="1:2">
      <c r="A4937" s="4">
        <v>38552</v>
      </c>
      <c r="B4937" s="3">
        <v>57.61</v>
      </c>
    </row>
    <row r="4938" spans="1:2">
      <c r="A4938" s="4">
        <v>38553</v>
      </c>
      <c r="B4938" s="3">
        <v>56.73</v>
      </c>
    </row>
    <row r="4939" spans="1:2">
      <c r="A4939" s="4">
        <v>38554</v>
      </c>
      <c r="B4939" s="3">
        <v>57.31</v>
      </c>
    </row>
    <row r="4940" spans="1:2">
      <c r="A4940" s="4">
        <v>38555</v>
      </c>
      <c r="B4940" s="3">
        <v>57.75</v>
      </c>
    </row>
    <row r="4941" spans="1:2">
      <c r="A4941" s="4">
        <v>38558</v>
      </c>
      <c r="B4941" s="3">
        <v>58.16</v>
      </c>
    </row>
    <row r="4942" spans="1:2">
      <c r="A4942" s="4">
        <v>38559</v>
      </c>
      <c r="B4942" s="3">
        <v>59.05</v>
      </c>
    </row>
    <row r="4943" spans="1:2">
      <c r="A4943" s="4">
        <v>38560</v>
      </c>
      <c r="B4943" s="3">
        <v>59.12</v>
      </c>
    </row>
    <row r="4944" spans="1:2">
      <c r="A4944" s="4">
        <v>38561</v>
      </c>
      <c r="B4944" s="3">
        <v>59.91</v>
      </c>
    </row>
    <row r="4945" spans="1:2">
      <c r="A4945" s="4">
        <v>38562</v>
      </c>
      <c r="B4945" s="3">
        <v>60.71</v>
      </c>
    </row>
    <row r="4946" spans="1:2">
      <c r="A4946" s="4">
        <v>38565</v>
      </c>
      <c r="B4946" s="3">
        <v>61.51</v>
      </c>
    </row>
    <row r="4947" spans="1:2">
      <c r="A4947" s="4">
        <v>38566</v>
      </c>
      <c r="B4947" s="3">
        <v>61.87</v>
      </c>
    </row>
    <row r="4948" spans="1:2">
      <c r="A4948" s="4">
        <v>38567</v>
      </c>
      <c r="B4948" s="3">
        <v>60.76</v>
      </c>
    </row>
    <row r="4949" spans="1:2">
      <c r="A4949" s="4">
        <v>38568</v>
      </c>
      <c r="B4949" s="3">
        <v>61.6</v>
      </c>
    </row>
    <row r="4950" spans="1:2">
      <c r="A4950" s="4">
        <v>38569</v>
      </c>
      <c r="B4950" s="3">
        <v>62.44</v>
      </c>
    </row>
    <row r="4951" spans="1:2">
      <c r="A4951" s="4">
        <v>38572</v>
      </c>
      <c r="B4951" s="3">
        <v>63.92</v>
      </c>
    </row>
    <row r="4952" spans="1:2">
      <c r="A4952" s="4">
        <v>38573</v>
      </c>
      <c r="B4952" s="3">
        <v>63.13</v>
      </c>
    </row>
    <row r="4953" spans="1:2">
      <c r="A4953" s="4">
        <v>38574</v>
      </c>
      <c r="B4953" s="3">
        <v>64.8</v>
      </c>
    </row>
    <row r="4954" spans="1:2">
      <c r="A4954" s="4">
        <v>38575</v>
      </c>
      <c r="B4954" s="3">
        <v>65.67</v>
      </c>
    </row>
    <row r="4955" spans="1:2">
      <c r="A4955" s="4">
        <v>38576</v>
      </c>
      <c r="B4955" s="3">
        <v>66.709999999999994</v>
      </c>
    </row>
    <row r="4956" spans="1:2">
      <c r="A4956" s="4">
        <v>38579</v>
      </c>
      <c r="B4956" s="3">
        <v>66.209999999999994</v>
      </c>
    </row>
    <row r="4957" spans="1:2">
      <c r="A4957" s="4">
        <v>38580</v>
      </c>
      <c r="B4957" s="3">
        <v>66.11</v>
      </c>
    </row>
    <row r="4958" spans="1:2">
      <c r="A4958" s="4">
        <v>38581</v>
      </c>
      <c r="B4958" s="3">
        <v>63.29</v>
      </c>
    </row>
    <row r="4959" spans="1:2">
      <c r="A4959" s="4">
        <v>38582</v>
      </c>
      <c r="B4959" s="3">
        <v>63.47</v>
      </c>
    </row>
    <row r="4960" spans="1:2">
      <c r="A4960" s="4">
        <v>38583</v>
      </c>
      <c r="B4960" s="3">
        <v>65.510000000000005</v>
      </c>
    </row>
    <row r="4961" spans="1:2">
      <c r="A4961" s="4">
        <v>38586</v>
      </c>
      <c r="B4961" s="3">
        <v>65.459999999999994</v>
      </c>
    </row>
    <row r="4962" spans="1:2">
      <c r="A4962" s="4">
        <v>38587</v>
      </c>
      <c r="B4962" s="3">
        <v>65.81</v>
      </c>
    </row>
    <row r="4963" spans="1:2">
      <c r="A4963" s="4">
        <v>38588</v>
      </c>
      <c r="B4963" s="3">
        <v>67.099999999999994</v>
      </c>
    </row>
    <row r="4964" spans="1:2">
      <c r="A4964" s="4">
        <v>38589</v>
      </c>
      <c r="B4964" s="3">
        <v>67.290000000000006</v>
      </c>
    </row>
    <row r="4965" spans="1:2">
      <c r="A4965" s="4">
        <v>38590</v>
      </c>
      <c r="B4965" s="3">
        <v>66.05</v>
      </c>
    </row>
    <row r="4966" spans="1:2">
      <c r="A4966" s="4">
        <v>38593</v>
      </c>
      <c r="B4966" s="3">
        <v>67.41</v>
      </c>
    </row>
    <row r="4967" spans="1:2">
      <c r="A4967" s="4">
        <v>38594</v>
      </c>
      <c r="B4967" s="3">
        <v>69.91</v>
      </c>
    </row>
    <row r="4968" spans="1:2">
      <c r="A4968" s="4">
        <v>38595</v>
      </c>
      <c r="B4968" s="3">
        <v>68.63</v>
      </c>
    </row>
    <row r="4969" spans="1:2">
      <c r="A4969" s="4">
        <v>38596</v>
      </c>
      <c r="B4969" s="3">
        <v>69.5</v>
      </c>
    </row>
    <row r="4970" spans="1:2">
      <c r="A4970" s="4">
        <v>38597</v>
      </c>
      <c r="B4970" s="3">
        <v>66.91</v>
      </c>
    </row>
    <row r="4971" spans="1:2">
      <c r="A4971" s="4">
        <v>38601</v>
      </c>
      <c r="B4971" s="3">
        <v>65.83</v>
      </c>
    </row>
    <row r="4972" spans="1:2">
      <c r="A4972" s="4">
        <v>38602</v>
      </c>
      <c r="B4972" s="3">
        <v>64.38</v>
      </c>
    </row>
    <row r="4973" spans="1:2">
      <c r="A4973" s="4">
        <v>38603</v>
      </c>
      <c r="B4973" s="3">
        <v>64.8</v>
      </c>
    </row>
    <row r="4974" spans="1:2">
      <c r="A4974" s="4">
        <v>38604</v>
      </c>
      <c r="B4974" s="3">
        <v>64.209999999999994</v>
      </c>
    </row>
    <row r="4975" spans="1:2">
      <c r="A4975" s="4">
        <v>38607</v>
      </c>
      <c r="B4975" s="3">
        <v>63.29</v>
      </c>
    </row>
    <row r="4976" spans="1:2">
      <c r="A4976" s="4">
        <v>38608</v>
      </c>
      <c r="B4976" s="3">
        <v>63.18</v>
      </c>
    </row>
    <row r="4977" spans="1:2">
      <c r="A4977" s="4">
        <v>38609</v>
      </c>
      <c r="B4977" s="3">
        <v>65.2</v>
      </c>
    </row>
    <row r="4978" spans="1:2">
      <c r="A4978" s="4">
        <v>38610</v>
      </c>
      <c r="B4978" s="3">
        <v>64.64</v>
      </c>
    </row>
    <row r="4979" spans="1:2">
      <c r="A4979" s="4">
        <v>38611</v>
      </c>
      <c r="B4979" s="3">
        <v>62.91</v>
      </c>
    </row>
    <row r="4980" spans="1:2">
      <c r="A4980" s="4">
        <v>38614</v>
      </c>
      <c r="B4980" s="3">
        <v>67.209999999999994</v>
      </c>
    </row>
    <row r="4981" spans="1:2">
      <c r="A4981" s="4">
        <v>38615</v>
      </c>
      <c r="B4981" s="3">
        <v>66.239999999999995</v>
      </c>
    </row>
    <row r="4982" spans="1:2">
      <c r="A4982" s="4">
        <v>38616</v>
      </c>
      <c r="B4982" s="3">
        <v>66.959999999999994</v>
      </c>
    </row>
    <row r="4983" spans="1:2">
      <c r="A4983" s="4">
        <v>38617</v>
      </c>
      <c r="B4983" s="3">
        <v>67.069999999999993</v>
      </c>
    </row>
    <row r="4984" spans="1:2">
      <c r="A4984" s="4">
        <v>38618</v>
      </c>
      <c r="B4984" s="3">
        <v>64.67</v>
      </c>
    </row>
    <row r="4985" spans="1:2">
      <c r="A4985" s="4">
        <v>38621</v>
      </c>
      <c r="B4985" s="3">
        <v>65.98</v>
      </c>
    </row>
    <row r="4986" spans="1:2">
      <c r="A4986" s="4">
        <v>38622</v>
      </c>
      <c r="B4986" s="3">
        <v>64.94</v>
      </c>
    </row>
    <row r="4987" spans="1:2">
      <c r="A4987" s="4">
        <v>38623</v>
      </c>
      <c r="B4987" s="3">
        <v>66.36</v>
      </c>
    </row>
    <row r="4988" spans="1:2">
      <c r="A4988" s="4">
        <v>38624</v>
      </c>
      <c r="B4988" s="3">
        <v>66.83</v>
      </c>
    </row>
    <row r="4989" spans="1:2">
      <c r="A4989" s="4">
        <v>38625</v>
      </c>
      <c r="B4989" s="3">
        <v>66.209999999999994</v>
      </c>
    </row>
    <row r="4990" spans="1:2">
      <c r="A4990" s="4">
        <v>38628</v>
      </c>
      <c r="B4990" s="3">
        <v>65.36</v>
      </c>
    </row>
    <row r="4991" spans="1:2">
      <c r="A4991" s="4">
        <v>38629</v>
      </c>
      <c r="B4991" s="3">
        <v>63.74</v>
      </c>
    </row>
    <row r="4992" spans="1:2">
      <c r="A4992" s="4">
        <v>38630</v>
      </c>
      <c r="B4992" s="3">
        <v>62.56</v>
      </c>
    </row>
    <row r="4993" spans="1:2">
      <c r="A4993" s="4">
        <v>38631</v>
      </c>
      <c r="B4993" s="3">
        <v>61.81</v>
      </c>
    </row>
    <row r="4994" spans="1:2">
      <c r="A4994" s="4">
        <v>38632</v>
      </c>
      <c r="B4994" s="3">
        <v>61.81</v>
      </c>
    </row>
    <row r="4995" spans="1:2">
      <c r="A4995" s="4">
        <v>38635</v>
      </c>
      <c r="B4995" s="3">
        <v>60.71</v>
      </c>
    </row>
    <row r="4996" spans="1:2">
      <c r="A4996" s="4">
        <v>38636</v>
      </c>
      <c r="B4996" s="3">
        <v>63.84</v>
      </c>
    </row>
    <row r="4997" spans="1:2">
      <c r="A4997" s="4">
        <v>38637</v>
      </c>
      <c r="B4997" s="3">
        <v>64.13</v>
      </c>
    </row>
    <row r="4998" spans="1:2">
      <c r="A4998" s="4">
        <v>38638</v>
      </c>
      <c r="B4998" s="3">
        <v>63.05</v>
      </c>
    </row>
    <row r="4999" spans="1:2">
      <c r="A4999" s="4">
        <v>38639</v>
      </c>
      <c r="B4999" s="3">
        <v>62.61</v>
      </c>
    </row>
    <row r="5000" spans="1:2">
      <c r="A5000" s="4">
        <v>38642</v>
      </c>
      <c r="B5000" s="3">
        <v>64.260000000000005</v>
      </c>
    </row>
    <row r="5001" spans="1:2">
      <c r="A5001" s="4">
        <v>38643</v>
      </c>
      <c r="B5001" s="3">
        <v>62.94</v>
      </c>
    </row>
    <row r="5002" spans="1:2">
      <c r="A5002" s="4">
        <v>38644</v>
      </c>
      <c r="B5002" s="3">
        <v>62.11</v>
      </c>
    </row>
    <row r="5003" spans="1:2">
      <c r="A5003" s="4">
        <v>38645</v>
      </c>
      <c r="B5003" s="3">
        <v>61.04</v>
      </c>
    </row>
    <row r="5004" spans="1:2">
      <c r="A5004" s="4">
        <v>38646</v>
      </c>
      <c r="B5004" s="3">
        <v>61.05</v>
      </c>
    </row>
    <row r="5005" spans="1:2">
      <c r="A5005" s="4">
        <v>38649</v>
      </c>
      <c r="B5005" s="3">
        <v>60.63</v>
      </c>
    </row>
    <row r="5006" spans="1:2">
      <c r="A5006" s="4">
        <v>38650</v>
      </c>
      <c r="B5006" s="3">
        <v>62.83</v>
      </c>
    </row>
    <row r="5007" spans="1:2">
      <c r="A5007" s="4">
        <v>38651</v>
      </c>
      <c r="B5007" s="3">
        <v>60.85</v>
      </c>
    </row>
    <row r="5008" spans="1:2">
      <c r="A5008" s="4">
        <v>38652</v>
      </c>
      <c r="B5008" s="3">
        <v>61.03</v>
      </c>
    </row>
    <row r="5009" spans="1:2">
      <c r="A5009" s="4">
        <v>38653</v>
      </c>
      <c r="B5009" s="3">
        <v>61.3</v>
      </c>
    </row>
    <row r="5010" spans="1:2">
      <c r="A5010" s="4">
        <v>38656</v>
      </c>
      <c r="B5010" s="3">
        <v>59.8</v>
      </c>
    </row>
    <row r="5011" spans="1:2">
      <c r="A5011" s="4">
        <v>38657</v>
      </c>
      <c r="B5011" s="3">
        <v>59.85</v>
      </c>
    </row>
    <row r="5012" spans="1:2">
      <c r="A5012" s="4">
        <v>38658</v>
      </c>
      <c r="B5012" s="3">
        <v>59.75</v>
      </c>
    </row>
    <row r="5013" spans="1:2">
      <c r="A5013" s="4">
        <v>38659</v>
      </c>
      <c r="B5013" s="3">
        <v>61.7</v>
      </c>
    </row>
    <row r="5014" spans="1:2">
      <c r="A5014" s="4">
        <v>38660</v>
      </c>
      <c r="B5014" s="3">
        <v>60.6</v>
      </c>
    </row>
    <row r="5015" spans="1:2">
      <c r="A5015" s="4">
        <v>38663</v>
      </c>
      <c r="B5015" s="3">
        <v>59.4</v>
      </c>
    </row>
    <row r="5016" spans="1:2">
      <c r="A5016" s="4">
        <v>38664</v>
      </c>
      <c r="B5016" s="3">
        <v>59.7</v>
      </c>
    </row>
    <row r="5017" spans="1:2">
      <c r="A5017" s="4">
        <v>38665</v>
      </c>
      <c r="B5017" s="3">
        <v>59.65</v>
      </c>
    </row>
    <row r="5018" spans="1:2">
      <c r="A5018" s="4">
        <v>38666</v>
      </c>
      <c r="B5018" s="3">
        <v>57.8</v>
      </c>
    </row>
    <row r="5019" spans="1:2">
      <c r="A5019" s="4">
        <v>38667</v>
      </c>
      <c r="B5019" s="3">
        <v>57.45</v>
      </c>
    </row>
    <row r="5020" spans="1:2">
      <c r="A5020" s="4">
        <v>38670</v>
      </c>
      <c r="B5020" s="3">
        <v>57.6</v>
      </c>
    </row>
    <row r="5021" spans="1:2">
      <c r="A5021" s="4">
        <v>38671</v>
      </c>
      <c r="B5021" s="3">
        <v>57.05</v>
      </c>
    </row>
    <row r="5022" spans="1:2">
      <c r="A5022" s="4">
        <v>38672</v>
      </c>
      <c r="B5022" s="3">
        <v>57.85</v>
      </c>
    </row>
    <row r="5023" spans="1:2">
      <c r="A5023" s="4">
        <v>38673</v>
      </c>
      <c r="B5023" s="3">
        <v>56.2</v>
      </c>
    </row>
    <row r="5024" spans="1:2">
      <c r="A5024" s="4">
        <v>38674</v>
      </c>
      <c r="B5024" s="3">
        <v>56.3</v>
      </c>
    </row>
    <row r="5025" spans="1:2">
      <c r="A5025" s="4">
        <v>38677</v>
      </c>
      <c r="B5025" s="3">
        <v>57.75</v>
      </c>
    </row>
    <row r="5026" spans="1:2">
      <c r="A5026" s="4">
        <v>38678</v>
      </c>
      <c r="B5026" s="3">
        <v>58.3</v>
      </c>
    </row>
    <row r="5027" spans="1:2">
      <c r="A5027" s="4">
        <v>38679</v>
      </c>
      <c r="B5027" s="3">
        <v>58.35</v>
      </c>
    </row>
    <row r="5028" spans="1:2">
      <c r="A5028" s="4">
        <v>38684</v>
      </c>
      <c r="B5028" s="3">
        <v>57.36</v>
      </c>
    </row>
    <row r="5029" spans="1:2">
      <c r="A5029" s="4">
        <v>38685</v>
      </c>
      <c r="B5029" s="3">
        <v>56.46</v>
      </c>
    </row>
    <row r="5030" spans="1:2">
      <c r="A5030" s="4">
        <v>38686</v>
      </c>
      <c r="B5030" s="3">
        <v>57.33</v>
      </c>
    </row>
    <row r="5031" spans="1:2">
      <c r="A5031" s="4">
        <v>38687</v>
      </c>
      <c r="B5031" s="3">
        <v>58.46</v>
      </c>
    </row>
    <row r="5032" spans="1:2">
      <c r="A5032" s="4">
        <v>38688</v>
      </c>
      <c r="B5032" s="3">
        <v>59.31</v>
      </c>
    </row>
    <row r="5033" spans="1:2">
      <c r="A5033" s="4">
        <v>38691</v>
      </c>
      <c r="B5033" s="3">
        <v>59.91</v>
      </c>
    </row>
    <row r="5034" spans="1:2">
      <c r="A5034" s="4">
        <v>38692</v>
      </c>
      <c r="B5034" s="3">
        <v>59.96</v>
      </c>
    </row>
    <row r="5035" spans="1:2">
      <c r="A5035" s="4">
        <v>38693</v>
      </c>
      <c r="B5035" s="3">
        <v>59.21</v>
      </c>
    </row>
    <row r="5036" spans="1:2">
      <c r="A5036" s="4">
        <v>38694</v>
      </c>
      <c r="B5036" s="3">
        <v>60.66</v>
      </c>
    </row>
    <row r="5037" spans="1:2">
      <c r="A5037" s="4">
        <v>38695</v>
      </c>
      <c r="B5037" s="3">
        <v>59.41</v>
      </c>
    </row>
    <row r="5038" spans="1:2">
      <c r="A5038" s="4">
        <v>38698</v>
      </c>
      <c r="B5038" s="3">
        <v>61.36</v>
      </c>
    </row>
    <row r="5039" spans="1:2">
      <c r="A5039" s="4">
        <v>38699</v>
      </c>
      <c r="B5039" s="3">
        <v>61.36</v>
      </c>
    </row>
    <row r="5040" spans="1:2">
      <c r="A5040" s="4">
        <v>38700</v>
      </c>
      <c r="B5040" s="3">
        <v>60.86</v>
      </c>
    </row>
    <row r="5041" spans="1:2">
      <c r="A5041" s="4">
        <v>38701</v>
      </c>
      <c r="B5041" s="3">
        <v>60.01</v>
      </c>
    </row>
    <row r="5042" spans="1:2">
      <c r="A5042" s="4">
        <v>38702</v>
      </c>
      <c r="B5042" s="3">
        <v>58.01</v>
      </c>
    </row>
    <row r="5043" spans="1:2">
      <c r="A5043" s="4">
        <v>38705</v>
      </c>
      <c r="B5043" s="3">
        <v>57.31</v>
      </c>
    </row>
    <row r="5044" spans="1:2">
      <c r="A5044" s="4">
        <v>38706</v>
      </c>
      <c r="B5044" s="3">
        <v>57.81</v>
      </c>
    </row>
    <row r="5045" spans="1:2">
      <c r="A5045" s="4">
        <v>38707</v>
      </c>
      <c r="B5045" s="3">
        <v>58.56</v>
      </c>
    </row>
    <row r="5046" spans="1:2">
      <c r="A5046" s="4">
        <v>38708</v>
      </c>
      <c r="B5046" s="3">
        <v>58.08</v>
      </c>
    </row>
    <row r="5047" spans="1:2">
      <c r="A5047" s="4">
        <v>38709</v>
      </c>
      <c r="B5047" s="3">
        <v>58.08</v>
      </c>
    </row>
    <row r="5048" spans="1:2">
      <c r="A5048" s="4">
        <v>38713</v>
      </c>
      <c r="B5048" s="3">
        <v>58.16</v>
      </c>
    </row>
    <row r="5049" spans="1:2">
      <c r="A5049" s="4">
        <v>38714</v>
      </c>
      <c r="B5049" s="3">
        <v>59.81</v>
      </c>
    </row>
    <row r="5050" spans="1:2">
      <c r="A5050" s="4">
        <v>38715</v>
      </c>
      <c r="B5050" s="3">
        <v>60.26</v>
      </c>
    </row>
    <row r="5051" spans="1:2">
      <c r="A5051" s="4">
        <v>38716</v>
      </c>
      <c r="B5051" s="3">
        <v>61.06</v>
      </c>
    </row>
    <row r="5052" spans="1:2">
      <c r="A5052" s="4">
        <v>38720</v>
      </c>
      <c r="B5052" s="3">
        <v>63.11</v>
      </c>
    </row>
    <row r="5053" spans="1:2">
      <c r="A5053" s="4">
        <v>38721</v>
      </c>
      <c r="B5053" s="3">
        <v>63.41</v>
      </c>
    </row>
    <row r="5054" spans="1:2">
      <c r="A5054" s="4">
        <v>38722</v>
      </c>
      <c r="B5054" s="3">
        <v>62.81</v>
      </c>
    </row>
    <row r="5055" spans="1:2">
      <c r="A5055" s="4">
        <v>38723</v>
      </c>
      <c r="B5055" s="3">
        <v>64.209999999999994</v>
      </c>
    </row>
    <row r="5056" spans="1:2">
      <c r="A5056" s="4">
        <v>38726</v>
      </c>
      <c r="B5056" s="3">
        <v>63.56</v>
      </c>
    </row>
    <row r="5057" spans="1:2">
      <c r="A5057" s="4">
        <v>38727</v>
      </c>
      <c r="B5057" s="3">
        <v>63.41</v>
      </c>
    </row>
    <row r="5058" spans="1:2">
      <c r="A5058" s="4">
        <v>38728</v>
      </c>
      <c r="B5058" s="3">
        <v>63.91</v>
      </c>
    </row>
    <row r="5059" spans="1:2">
      <c r="A5059" s="4">
        <v>38729</v>
      </c>
      <c r="B5059" s="3">
        <v>63.96</v>
      </c>
    </row>
    <row r="5060" spans="1:2">
      <c r="A5060" s="4">
        <v>38730</v>
      </c>
      <c r="B5060" s="3">
        <v>63.86</v>
      </c>
    </row>
    <row r="5061" spans="1:2">
      <c r="A5061" s="4">
        <v>38734</v>
      </c>
      <c r="B5061" s="3">
        <v>66.36</v>
      </c>
    </row>
    <row r="5062" spans="1:2">
      <c r="A5062" s="4">
        <v>38735</v>
      </c>
      <c r="B5062" s="3">
        <v>65.760000000000005</v>
      </c>
    </row>
    <row r="5063" spans="1:2">
      <c r="A5063" s="4">
        <v>38736</v>
      </c>
      <c r="B5063" s="3">
        <v>66.86</v>
      </c>
    </row>
    <row r="5064" spans="1:2">
      <c r="A5064" s="4">
        <v>38737</v>
      </c>
      <c r="B5064" s="3">
        <v>68.16</v>
      </c>
    </row>
    <row r="5065" spans="1:2">
      <c r="A5065" s="4">
        <v>38740</v>
      </c>
      <c r="B5065" s="3">
        <v>68.06</v>
      </c>
    </row>
    <row r="5066" spans="1:2">
      <c r="A5066" s="4">
        <v>38741</v>
      </c>
      <c r="B5066" s="3">
        <v>66.83</v>
      </c>
    </row>
    <row r="5067" spans="1:2">
      <c r="A5067" s="4">
        <v>38742</v>
      </c>
      <c r="B5067" s="3">
        <v>65.599999999999994</v>
      </c>
    </row>
    <row r="5068" spans="1:2">
      <c r="A5068" s="4">
        <v>38743</v>
      </c>
      <c r="B5068" s="3">
        <v>65.8</v>
      </c>
    </row>
    <row r="5069" spans="1:2">
      <c r="A5069" s="4">
        <v>38744</v>
      </c>
      <c r="B5069" s="3">
        <v>67.81</v>
      </c>
    </row>
    <row r="5070" spans="1:2">
      <c r="A5070" s="4">
        <v>38747</v>
      </c>
      <c r="B5070" s="3">
        <v>68.36</v>
      </c>
    </row>
    <row r="5071" spans="1:2">
      <c r="A5071" s="4">
        <v>38748</v>
      </c>
      <c r="B5071" s="3">
        <v>67.86</v>
      </c>
    </row>
    <row r="5072" spans="1:2">
      <c r="A5072" s="4">
        <v>38749</v>
      </c>
      <c r="B5072" s="3">
        <v>66.61</v>
      </c>
    </row>
    <row r="5073" spans="1:2">
      <c r="A5073" s="4">
        <v>38750</v>
      </c>
      <c r="B5073" s="3">
        <v>64.709999999999994</v>
      </c>
    </row>
    <row r="5074" spans="1:2">
      <c r="A5074" s="4">
        <v>38751</v>
      </c>
      <c r="B5074" s="3">
        <v>65.41</v>
      </c>
    </row>
    <row r="5075" spans="1:2">
      <c r="A5075" s="4">
        <v>38754</v>
      </c>
      <c r="B5075" s="3">
        <v>65.11</v>
      </c>
    </row>
    <row r="5076" spans="1:2">
      <c r="A5076" s="4">
        <v>38755</v>
      </c>
      <c r="B5076" s="3">
        <v>63.01</v>
      </c>
    </row>
    <row r="5077" spans="1:2">
      <c r="A5077" s="4">
        <v>38756</v>
      </c>
      <c r="B5077" s="3">
        <v>62.51</v>
      </c>
    </row>
    <row r="5078" spans="1:2">
      <c r="A5078" s="4">
        <v>38757</v>
      </c>
      <c r="B5078" s="3">
        <v>62.66</v>
      </c>
    </row>
    <row r="5079" spans="1:2">
      <c r="A5079" s="4">
        <v>38758</v>
      </c>
      <c r="B5079" s="3">
        <v>62.01</v>
      </c>
    </row>
    <row r="5080" spans="1:2">
      <c r="A5080" s="4">
        <v>38761</v>
      </c>
      <c r="B5080" s="3">
        <v>61.26</v>
      </c>
    </row>
    <row r="5081" spans="1:2">
      <c r="A5081" s="4">
        <v>38762</v>
      </c>
      <c r="B5081" s="3">
        <v>59.61</v>
      </c>
    </row>
    <row r="5082" spans="1:2">
      <c r="A5082" s="4">
        <v>38763</v>
      </c>
      <c r="B5082" s="3">
        <v>57.61</v>
      </c>
    </row>
    <row r="5083" spans="1:2">
      <c r="A5083" s="4">
        <v>38764</v>
      </c>
      <c r="B5083" s="3">
        <v>58.61</v>
      </c>
    </row>
    <row r="5084" spans="1:2">
      <c r="A5084" s="4">
        <v>38765</v>
      </c>
      <c r="B5084" s="3">
        <v>59.76</v>
      </c>
    </row>
    <row r="5085" spans="1:2">
      <c r="A5085" s="4">
        <v>38769</v>
      </c>
      <c r="B5085" s="3">
        <v>61.21</v>
      </c>
    </row>
    <row r="5086" spans="1:2">
      <c r="A5086" s="4">
        <v>38770</v>
      </c>
      <c r="B5086" s="3">
        <v>59.03</v>
      </c>
    </row>
    <row r="5087" spans="1:2">
      <c r="A5087" s="4">
        <v>38771</v>
      </c>
      <c r="B5087" s="3">
        <v>58.03</v>
      </c>
    </row>
    <row r="5088" spans="1:2">
      <c r="A5088" s="4">
        <v>38772</v>
      </c>
      <c r="B5088" s="3">
        <v>61.46</v>
      </c>
    </row>
    <row r="5089" spans="1:2">
      <c r="A5089" s="4">
        <v>38775</v>
      </c>
      <c r="B5089" s="3">
        <v>61.01</v>
      </c>
    </row>
    <row r="5090" spans="1:2">
      <c r="A5090" s="4">
        <v>38776</v>
      </c>
      <c r="B5090" s="3">
        <v>61.37</v>
      </c>
    </row>
    <row r="5091" spans="1:2">
      <c r="A5091" s="4">
        <v>38777</v>
      </c>
      <c r="B5091" s="3">
        <v>62.01</v>
      </c>
    </row>
    <row r="5092" spans="1:2">
      <c r="A5092" s="4">
        <v>38778</v>
      </c>
      <c r="B5092" s="3">
        <v>63.36</v>
      </c>
    </row>
    <row r="5093" spans="1:2">
      <c r="A5093" s="4">
        <v>38779</v>
      </c>
      <c r="B5093" s="3">
        <v>63.61</v>
      </c>
    </row>
    <row r="5094" spans="1:2">
      <c r="A5094" s="4">
        <v>38782</v>
      </c>
      <c r="B5094" s="3">
        <v>62.46</v>
      </c>
    </row>
    <row r="5095" spans="1:2">
      <c r="A5095" s="4">
        <v>38783</v>
      </c>
      <c r="B5095" s="3">
        <v>61.51</v>
      </c>
    </row>
    <row r="5096" spans="1:2">
      <c r="A5096" s="4">
        <v>38784</v>
      </c>
      <c r="B5096" s="3">
        <v>60.06</v>
      </c>
    </row>
    <row r="5097" spans="1:2">
      <c r="A5097" s="4">
        <v>38785</v>
      </c>
      <c r="B5097" s="3">
        <v>60.51</v>
      </c>
    </row>
    <row r="5098" spans="1:2">
      <c r="A5098" s="4">
        <v>38786</v>
      </c>
      <c r="B5098" s="3">
        <v>59.91</v>
      </c>
    </row>
    <row r="5099" spans="1:2">
      <c r="A5099" s="4">
        <v>38789</v>
      </c>
      <c r="B5099" s="3">
        <v>61.81</v>
      </c>
    </row>
    <row r="5100" spans="1:2">
      <c r="A5100" s="4">
        <v>38790</v>
      </c>
      <c r="B5100" s="3">
        <v>63.01</v>
      </c>
    </row>
    <row r="5101" spans="1:2">
      <c r="A5101" s="4">
        <v>38791</v>
      </c>
      <c r="B5101" s="3">
        <v>62.11</v>
      </c>
    </row>
    <row r="5102" spans="1:2">
      <c r="A5102" s="4">
        <v>38792</v>
      </c>
      <c r="B5102" s="3">
        <v>63.46</v>
      </c>
    </row>
    <row r="5103" spans="1:2">
      <c r="A5103" s="4">
        <v>38793</v>
      </c>
      <c r="B5103" s="3">
        <v>62.81</v>
      </c>
    </row>
    <row r="5104" spans="1:2">
      <c r="A5104" s="4">
        <v>38796</v>
      </c>
      <c r="B5104" s="3">
        <v>60.31</v>
      </c>
    </row>
    <row r="5105" spans="1:2">
      <c r="A5105" s="4">
        <v>38797</v>
      </c>
      <c r="B5105" s="3">
        <v>60.41</v>
      </c>
    </row>
    <row r="5106" spans="1:2">
      <c r="A5106" s="4">
        <v>38798</v>
      </c>
      <c r="B5106" s="3">
        <v>60.03</v>
      </c>
    </row>
    <row r="5107" spans="1:2">
      <c r="A5107" s="4">
        <v>38799</v>
      </c>
      <c r="B5107" s="3">
        <v>62.13</v>
      </c>
    </row>
    <row r="5108" spans="1:2">
      <c r="A5108" s="4">
        <v>38800</v>
      </c>
      <c r="B5108" s="3">
        <v>63.9</v>
      </c>
    </row>
    <row r="5109" spans="1:2">
      <c r="A5109" s="4">
        <v>38803</v>
      </c>
      <c r="B5109" s="3">
        <v>63.75</v>
      </c>
    </row>
    <row r="5110" spans="1:2">
      <c r="A5110" s="4">
        <v>38804</v>
      </c>
      <c r="B5110" s="3">
        <v>65.650000000000006</v>
      </c>
    </row>
    <row r="5111" spans="1:2">
      <c r="A5111" s="4">
        <v>38805</v>
      </c>
      <c r="B5111" s="3">
        <v>66</v>
      </c>
    </row>
    <row r="5112" spans="1:2">
      <c r="A5112" s="4">
        <v>38806</v>
      </c>
      <c r="B5112" s="3">
        <v>66.7</v>
      </c>
    </row>
    <row r="5113" spans="1:2">
      <c r="A5113" s="4">
        <v>38807</v>
      </c>
      <c r="B5113" s="3">
        <v>66.25</v>
      </c>
    </row>
    <row r="5114" spans="1:2">
      <c r="A5114" s="4">
        <v>38810</v>
      </c>
      <c r="B5114" s="3">
        <v>66.069999999999993</v>
      </c>
    </row>
    <row r="5115" spans="1:2">
      <c r="A5115" s="4">
        <v>38811</v>
      </c>
      <c r="B5115" s="3">
        <v>65.75</v>
      </c>
    </row>
    <row r="5116" spans="1:2">
      <c r="A5116" s="4">
        <v>38812</v>
      </c>
      <c r="B5116" s="3">
        <v>66.760000000000005</v>
      </c>
    </row>
    <row r="5117" spans="1:2">
      <c r="A5117" s="4">
        <v>38813</v>
      </c>
      <c r="B5117" s="3">
        <v>67.22</v>
      </c>
    </row>
    <row r="5118" spans="1:2">
      <c r="A5118" s="4">
        <v>38814</v>
      </c>
      <c r="B5118" s="3">
        <v>67.02</v>
      </c>
    </row>
    <row r="5119" spans="1:2">
      <c r="A5119" s="4">
        <v>38817</v>
      </c>
      <c r="B5119" s="3">
        <v>68.290000000000006</v>
      </c>
    </row>
    <row r="5120" spans="1:2">
      <c r="A5120" s="4">
        <v>38818</v>
      </c>
      <c r="B5120" s="3">
        <v>69.03</v>
      </c>
    </row>
    <row r="5121" spans="1:2">
      <c r="A5121" s="4">
        <v>38819</v>
      </c>
      <c r="B5121" s="3">
        <v>68.53</v>
      </c>
    </row>
    <row r="5122" spans="1:2">
      <c r="A5122" s="4">
        <v>38820</v>
      </c>
      <c r="B5122" s="3">
        <v>69.53</v>
      </c>
    </row>
    <row r="5123" spans="1:2">
      <c r="A5123" s="4">
        <v>38824</v>
      </c>
      <c r="B5123" s="3">
        <v>70.3</v>
      </c>
    </row>
    <row r="5124" spans="1:2">
      <c r="A5124" s="4">
        <v>38825</v>
      </c>
      <c r="B5124" s="3">
        <v>71.28</v>
      </c>
    </row>
    <row r="5125" spans="1:2">
      <c r="A5125" s="4">
        <v>38826</v>
      </c>
      <c r="B5125" s="3">
        <v>72.069999999999993</v>
      </c>
    </row>
    <row r="5126" spans="1:2">
      <c r="A5126" s="4">
        <v>38827</v>
      </c>
      <c r="B5126" s="3">
        <v>71.959999999999994</v>
      </c>
    </row>
    <row r="5127" spans="1:2">
      <c r="A5127" s="4">
        <v>38828</v>
      </c>
      <c r="B5127" s="3">
        <v>73.73</v>
      </c>
    </row>
    <row r="5128" spans="1:2">
      <c r="A5128" s="4">
        <v>38831</v>
      </c>
      <c r="B5128" s="3">
        <v>70.19</v>
      </c>
    </row>
    <row r="5129" spans="1:2">
      <c r="A5129" s="4">
        <v>38832</v>
      </c>
      <c r="B5129" s="3">
        <v>67.430000000000007</v>
      </c>
    </row>
    <row r="5130" spans="1:2">
      <c r="A5130" s="4">
        <v>38833</v>
      </c>
      <c r="B5130" s="3">
        <v>71.709999999999994</v>
      </c>
    </row>
    <row r="5131" spans="1:2">
      <c r="A5131" s="4">
        <v>38834</v>
      </c>
      <c r="B5131" s="3">
        <v>70.760000000000005</v>
      </c>
    </row>
    <row r="5132" spans="1:2">
      <c r="A5132" s="4">
        <v>38835</v>
      </c>
      <c r="B5132" s="3">
        <v>71.8</v>
      </c>
    </row>
    <row r="5133" spans="1:2">
      <c r="A5133" s="4">
        <v>38838</v>
      </c>
      <c r="B5133" s="3">
        <v>73.75</v>
      </c>
    </row>
    <row r="5134" spans="1:2">
      <c r="A5134" s="4">
        <v>38839</v>
      </c>
      <c r="B5134" s="3">
        <v>74.62</v>
      </c>
    </row>
    <row r="5135" spans="1:2">
      <c r="A5135" s="4">
        <v>38840</v>
      </c>
      <c r="B5135" s="3">
        <v>72.260000000000005</v>
      </c>
    </row>
    <row r="5136" spans="1:2">
      <c r="A5136" s="4">
        <v>38841</v>
      </c>
      <c r="B5136" s="3">
        <v>69.98</v>
      </c>
    </row>
    <row r="5137" spans="1:2">
      <c r="A5137" s="4">
        <v>38842</v>
      </c>
      <c r="B5137" s="3">
        <v>70.09</v>
      </c>
    </row>
    <row r="5138" spans="1:2">
      <c r="A5138" s="4">
        <v>38845</v>
      </c>
      <c r="B5138" s="3">
        <v>69.75</v>
      </c>
    </row>
    <row r="5139" spans="1:2">
      <c r="A5139" s="4">
        <v>38846</v>
      </c>
      <c r="B5139" s="3">
        <v>70.709999999999994</v>
      </c>
    </row>
    <row r="5140" spans="1:2">
      <c r="A5140" s="4">
        <v>38847</v>
      </c>
      <c r="B5140" s="3">
        <v>72.150000000000006</v>
      </c>
    </row>
    <row r="5141" spans="1:2">
      <c r="A5141" s="4">
        <v>38848</v>
      </c>
      <c r="B5141" s="3">
        <v>73</v>
      </c>
    </row>
    <row r="5142" spans="1:2">
      <c r="A5142" s="4">
        <v>38849</v>
      </c>
      <c r="B5142" s="3">
        <v>71.87</v>
      </c>
    </row>
    <row r="5143" spans="1:2">
      <c r="A5143" s="4">
        <v>38852</v>
      </c>
      <c r="B5143" s="3">
        <v>69.25</v>
      </c>
    </row>
    <row r="5144" spans="1:2">
      <c r="A5144" s="4">
        <v>38853</v>
      </c>
      <c r="B5144" s="3">
        <v>69.400000000000006</v>
      </c>
    </row>
    <row r="5145" spans="1:2">
      <c r="A5145" s="4">
        <v>38854</v>
      </c>
      <c r="B5145" s="3">
        <v>68.650000000000006</v>
      </c>
    </row>
    <row r="5146" spans="1:2">
      <c r="A5146" s="4">
        <v>38855</v>
      </c>
      <c r="B5146" s="3">
        <v>69.63</v>
      </c>
    </row>
    <row r="5147" spans="1:2">
      <c r="A5147" s="4">
        <v>38856</v>
      </c>
      <c r="B5147" s="3">
        <v>68.44</v>
      </c>
    </row>
    <row r="5148" spans="1:2">
      <c r="A5148" s="4">
        <v>38859</v>
      </c>
      <c r="B5148" s="3">
        <v>69.23</v>
      </c>
    </row>
    <row r="5149" spans="1:2">
      <c r="A5149" s="4">
        <v>38860</v>
      </c>
      <c r="B5149" s="3">
        <v>70.78</v>
      </c>
    </row>
    <row r="5150" spans="1:2">
      <c r="A5150" s="4">
        <v>38861</v>
      </c>
      <c r="B5150" s="3">
        <v>69.47</v>
      </c>
    </row>
    <row r="5151" spans="1:2">
      <c r="A5151" s="4">
        <v>38862</v>
      </c>
      <c r="B5151" s="3">
        <v>70.92</v>
      </c>
    </row>
    <row r="5152" spans="1:2">
      <c r="A5152" s="4">
        <v>38863</v>
      </c>
      <c r="B5152" s="3">
        <v>71.349999999999994</v>
      </c>
    </row>
    <row r="5153" spans="1:2">
      <c r="A5153" s="4">
        <v>38867</v>
      </c>
      <c r="B5153" s="3">
        <v>71.849999999999994</v>
      </c>
    </row>
    <row r="5154" spans="1:2">
      <c r="A5154" s="4">
        <v>38868</v>
      </c>
      <c r="B5154" s="3">
        <v>71.42</v>
      </c>
    </row>
    <row r="5155" spans="1:2">
      <c r="A5155" s="4">
        <v>38869</v>
      </c>
      <c r="B5155" s="3">
        <v>70.11</v>
      </c>
    </row>
    <row r="5156" spans="1:2">
      <c r="A5156" s="4">
        <v>38870</v>
      </c>
      <c r="B5156" s="3">
        <v>72.73</v>
      </c>
    </row>
    <row r="5157" spans="1:2">
      <c r="A5157" s="4">
        <v>38873</v>
      </c>
      <c r="B5157" s="3">
        <v>72.5</v>
      </c>
    </row>
    <row r="5158" spans="1:2">
      <c r="A5158" s="4">
        <v>38874</v>
      </c>
      <c r="B5158" s="3">
        <v>72.430000000000007</v>
      </c>
    </row>
    <row r="5159" spans="1:2">
      <c r="A5159" s="4">
        <v>38875</v>
      </c>
      <c r="B5159" s="3">
        <v>70.900000000000006</v>
      </c>
    </row>
    <row r="5160" spans="1:2">
      <c r="A5160" s="4">
        <v>38876</v>
      </c>
      <c r="B5160" s="3">
        <v>70.25</v>
      </c>
    </row>
    <row r="5161" spans="1:2">
      <c r="A5161" s="4">
        <v>38877</v>
      </c>
      <c r="B5161" s="3">
        <v>71.62</v>
      </c>
    </row>
    <row r="5162" spans="1:2">
      <c r="A5162" s="4">
        <v>38880</v>
      </c>
      <c r="B5162" s="3">
        <v>70.28</v>
      </c>
    </row>
    <row r="5163" spans="1:2">
      <c r="A5163" s="4">
        <v>38881</v>
      </c>
      <c r="B5163" s="3">
        <v>68.48</v>
      </c>
    </row>
    <row r="5164" spans="1:2">
      <c r="A5164" s="4">
        <v>38882</v>
      </c>
      <c r="B5164" s="3">
        <v>69.12</v>
      </c>
    </row>
    <row r="5165" spans="1:2">
      <c r="A5165" s="4">
        <v>38883</v>
      </c>
      <c r="B5165" s="3">
        <v>69.78</v>
      </c>
    </row>
    <row r="5166" spans="1:2">
      <c r="A5166" s="4">
        <v>38884</v>
      </c>
      <c r="B5166" s="3">
        <v>69.75</v>
      </c>
    </row>
    <row r="5167" spans="1:2">
      <c r="A5167" s="4">
        <v>38887</v>
      </c>
      <c r="B5167" s="3">
        <v>69.209999999999994</v>
      </c>
    </row>
    <row r="5168" spans="1:2">
      <c r="A5168" s="4">
        <v>38888</v>
      </c>
      <c r="B5168" s="3">
        <v>69.3</v>
      </c>
    </row>
    <row r="5169" spans="1:2">
      <c r="A5169" s="4">
        <v>38889</v>
      </c>
      <c r="B5169" s="3">
        <v>70.069999999999993</v>
      </c>
    </row>
    <row r="5170" spans="1:2">
      <c r="A5170" s="4">
        <v>38890</v>
      </c>
      <c r="B5170" s="3">
        <v>70.62</v>
      </c>
    </row>
    <row r="5171" spans="1:2">
      <c r="A5171" s="4">
        <v>38891</v>
      </c>
      <c r="B5171" s="3">
        <v>70.5</v>
      </c>
    </row>
    <row r="5172" spans="1:2">
      <c r="A5172" s="4">
        <v>38894</v>
      </c>
      <c r="B5172" s="3">
        <v>71.63</v>
      </c>
    </row>
    <row r="5173" spans="1:2">
      <c r="A5173" s="4">
        <v>38895</v>
      </c>
      <c r="B5173" s="3">
        <v>72.05</v>
      </c>
    </row>
    <row r="5174" spans="1:2">
      <c r="A5174" s="4">
        <v>38896</v>
      </c>
      <c r="B5174" s="3">
        <v>72.150000000000006</v>
      </c>
    </row>
    <row r="5175" spans="1:2">
      <c r="A5175" s="4">
        <v>38897</v>
      </c>
      <c r="B5175" s="3">
        <v>73.5</v>
      </c>
    </row>
    <row r="5176" spans="1:2">
      <c r="A5176" s="4">
        <v>38898</v>
      </c>
      <c r="B5176" s="3">
        <v>73.94</v>
      </c>
    </row>
    <row r="5177" spans="1:2">
      <c r="A5177" s="4">
        <v>38903</v>
      </c>
      <c r="B5177" s="3">
        <v>75.2</v>
      </c>
    </row>
    <row r="5178" spans="1:2">
      <c r="A5178" s="4">
        <v>38904</v>
      </c>
      <c r="B5178" s="3">
        <v>75</v>
      </c>
    </row>
    <row r="5179" spans="1:2">
      <c r="A5179" s="4">
        <v>38905</v>
      </c>
      <c r="B5179" s="3">
        <v>73.760000000000005</v>
      </c>
    </row>
    <row r="5180" spans="1:2">
      <c r="A5180" s="4">
        <v>38908</v>
      </c>
      <c r="B5180" s="3">
        <v>73.5</v>
      </c>
    </row>
    <row r="5181" spans="1:2">
      <c r="A5181" s="4">
        <v>38909</v>
      </c>
      <c r="B5181" s="3">
        <v>74.05</v>
      </c>
    </row>
    <row r="5182" spans="1:2">
      <c r="A5182" s="4">
        <v>38910</v>
      </c>
      <c r="B5182" s="3">
        <v>74.989999999999995</v>
      </c>
    </row>
    <row r="5183" spans="1:2">
      <c r="A5183" s="4">
        <v>38911</v>
      </c>
      <c r="B5183" s="3">
        <v>76.7</v>
      </c>
    </row>
    <row r="5184" spans="1:2">
      <c r="A5184" s="4">
        <v>38912</v>
      </c>
      <c r="B5184" s="3">
        <v>76.8</v>
      </c>
    </row>
    <row r="5185" spans="1:2">
      <c r="A5185" s="4">
        <v>38915</v>
      </c>
      <c r="B5185" s="3">
        <v>75.7</v>
      </c>
    </row>
    <row r="5186" spans="1:2">
      <c r="A5186" s="4">
        <v>38916</v>
      </c>
      <c r="B5186" s="3">
        <v>73.87</v>
      </c>
    </row>
    <row r="5187" spans="1:2">
      <c r="A5187" s="4">
        <v>38917</v>
      </c>
      <c r="B5187" s="3">
        <v>72.790000000000006</v>
      </c>
    </row>
    <row r="5188" spans="1:2">
      <c r="A5188" s="4">
        <v>38918</v>
      </c>
      <c r="B5188" s="3">
        <v>74</v>
      </c>
    </row>
    <row r="5189" spans="1:2">
      <c r="A5189" s="4">
        <v>38919</v>
      </c>
      <c r="B5189" s="3">
        <v>73.52</v>
      </c>
    </row>
    <row r="5190" spans="1:2">
      <c r="A5190" s="4">
        <v>38922</v>
      </c>
      <c r="B5190" s="3">
        <v>74.290000000000006</v>
      </c>
    </row>
    <row r="5191" spans="1:2">
      <c r="A5191" s="4">
        <v>38923</v>
      </c>
      <c r="B5191" s="3">
        <v>73.459999999999994</v>
      </c>
    </row>
    <row r="5192" spans="1:2">
      <c r="A5192" s="4">
        <v>38924</v>
      </c>
      <c r="B5192" s="3">
        <v>73.819999999999993</v>
      </c>
    </row>
    <row r="5193" spans="1:2">
      <c r="A5193" s="4">
        <v>38925</v>
      </c>
      <c r="B5193" s="3">
        <v>74.5</v>
      </c>
    </row>
    <row r="5194" spans="1:2">
      <c r="A5194" s="4">
        <v>38926</v>
      </c>
      <c r="B5194" s="3">
        <v>73.3</v>
      </c>
    </row>
    <row r="5195" spans="1:2">
      <c r="A5195" s="4">
        <v>38929</v>
      </c>
      <c r="B5195" s="3">
        <v>74.56</v>
      </c>
    </row>
    <row r="5196" spans="1:2">
      <c r="A5196" s="4">
        <v>38930</v>
      </c>
      <c r="B5196" s="3">
        <v>74.930000000000007</v>
      </c>
    </row>
    <row r="5197" spans="1:2">
      <c r="A5197" s="4">
        <v>38931</v>
      </c>
      <c r="B5197" s="3">
        <v>76.16</v>
      </c>
    </row>
    <row r="5198" spans="1:2">
      <c r="A5198" s="4">
        <v>38932</v>
      </c>
      <c r="B5198" s="3">
        <v>75.59</v>
      </c>
    </row>
    <row r="5199" spans="1:2">
      <c r="A5199" s="4">
        <v>38933</v>
      </c>
      <c r="B5199" s="3">
        <v>74.78</v>
      </c>
    </row>
    <row r="5200" spans="1:2">
      <c r="A5200" s="4">
        <v>38936</v>
      </c>
      <c r="B5200" s="3">
        <v>77.05</v>
      </c>
    </row>
    <row r="5201" spans="1:2">
      <c r="A5201" s="4">
        <v>38937</v>
      </c>
      <c r="B5201" s="3">
        <v>76.290000000000006</v>
      </c>
    </row>
    <row r="5202" spans="1:2">
      <c r="A5202" s="4">
        <v>38938</v>
      </c>
      <c r="B5202" s="3">
        <v>76.28</v>
      </c>
    </row>
    <row r="5203" spans="1:2">
      <c r="A5203" s="4">
        <v>38939</v>
      </c>
      <c r="B5203" s="3">
        <v>74.17</v>
      </c>
    </row>
    <row r="5204" spans="1:2">
      <c r="A5204" s="4">
        <v>38940</v>
      </c>
      <c r="B5204" s="3">
        <v>74.38</v>
      </c>
    </row>
    <row r="5205" spans="1:2">
      <c r="A5205" s="4">
        <v>38943</v>
      </c>
      <c r="B5205" s="3">
        <v>73.33</v>
      </c>
    </row>
    <row r="5206" spans="1:2">
      <c r="A5206" s="4">
        <v>38944</v>
      </c>
      <c r="B5206" s="3">
        <v>72.95</v>
      </c>
    </row>
    <row r="5207" spans="1:2">
      <c r="A5207" s="4">
        <v>38945</v>
      </c>
      <c r="B5207" s="3">
        <v>71.64</v>
      </c>
    </row>
    <row r="5208" spans="1:2">
      <c r="A5208" s="4">
        <v>38946</v>
      </c>
      <c r="B5208" s="3">
        <v>70.12</v>
      </c>
    </row>
    <row r="5209" spans="1:2">
      <c r="A5209" s="4">
        <v>38947</v>
      </c>
      <c r="B5209" s="3">
        <v>70.930000000000007</v>
      </c>
    </row>
    <row r="5210" spans="1:2">
      <c r="A5210" s="4">
        <v>38950</v>
      </c>
      <c r="B5210" s="3">
        <v>72.45</v>
      </c>
    </row>
    <row r="5211" spans="1:2">
      <c r="A5211" s="4">
        <v>38951</v>
      </c>
      <c r="B5211" s="3">
        <v>72.55</v>
      </c>
    </row>
    <row r="5212" spans="1:2">
      <c r="A5212" s="4">
        <v>38952</v>
      </c>
      <c r="B5212" s="3">
        <v>71.45</v>
      </c>
    </row>
    <row r="5213" spans="1:2">
      <c r="A5213" s="4">
        <v>38953</v>
      </c>
      <c r="B5213" s="3">
        <v>72.02</v>
      </c>
    </row>
    <row r="5214" spans="1:2">
      <c r="A5214" s="4">
        <v>38954</v>
      </c>
      <c r="B5214" s="3">
        <v>72.13</v>
      </c>
    </row>
    <row r="5215" spans="1:2">
      <c r="A5215" s="4">
        <v>38957</v>
      </c>
      <c r="B5215" s="3">
        <v>70.47</v>
      </c>
    </row>
    <row r="5216" spans="1:2">
      <c r="A5216" s="4">
        <v>38958</v>
      </c>
      <c r="B5216" s="3">
        <v>69.739999999999995</v>
      </c>
    </row>
    <row r="5217" spans="1:2">
      <c r="A5217" s="4">
        <v>38959</v>
      </c>
      <c r="B5217" s="3">
        <v>70.2</v>
      </c>
    </row>
    <row r="5218" spans="1:2">
      <c r="A5218" s="4">
        <v>38960</v>
      </c>
      <c r="B5218" s="3">
        <v>70.38</v>
      </c>
    </row>
    <row r="5219" spans="1:2">
      <c r="A5219" s="4">
        <v>38961</v>
      </c>
      <c r="B5219" s="3">
        <v>69.239999999999995</v>
      </c>
    </row>
    <row r="5220" spans="1:2">
      <c r="A5220" s="4">
        <v>38965</v>
      </c>
      <c r="B5220" s="3">
        <v>68.7</v>
      </c>
    </row>
    <row r="5221" spans="1:2">
      <c r="A5221" s="4">
        <v>38966</v>
      </c>
      <c r="B5221" s="3">
        <v>67.75</v>
      </c>
    </row>
    <row r="5222" spans="1:2">
      <c r="A5222" s="4">
        <v>38967</v>
      </c>
      <c r="B5222" s="3">
        <v>67.37</v>
      </c>
    </row>
    <row r="5223" spans="1:2">
      <c r="A5223" s="4">
        <v>38968</v>
      </c>
      <c r="B5223" s="3">
        <v>66.3</v>
      </c>
    </row>
    <row r="5224" spans="1:2">
      <c r="A5224" s="4">
        <v>38971</v>
      </c>
      <c r="B5224" s="3">
        <v>65.42</v>
      </c>
    </row>
    <row r="5225" spans="1:2">
      <c r="A5225" s="4">
        <v>38972</v>
      </c>
      <c r="B5225" s="3">
        <v>63.81</v>
      </c>
    </row>
    <row r="5226" spans="1:2">
      <c r="A5226" s="4">
        <v>38973</v>
      </c>
      <c r="B5226" s="3">
        <v>64.09</v>
      </c>
    </row>
    <row r="5227" spans="1:2">
      <c r="A5227" s="4">
        <v>38974</v>
      </c>
      <c r="B5227" s="3">
        <v>63.27</v>
      </c>
    </row>
    <row r="5228" spans="1:2">
      <c r="A5228" s="4">
        <v>38975</v>
      </c>
      <c r="B5228" s="3">
        <v>63.3</v>
      </c>
    </row>
    <row r="5229" spans="1:2">
      <c r="A5229" s="4">
        <v>38978</v>
      </c>
      <c r="B5229" s="3">
        <v>63.84</v>
      </c>
    </row>
    <row r="5230" spans="1:2">
      <c r="A5230" s="4">
        <v>38979</v>
      </c>
      <c r="B5230" s="3">
        <v>61.77</v>
      </c>
    </row>
    <row r="5231" spans="1:2">
      <c r="A5231" s="4">
        <v>38980</v>
      </c>
      <c r="B5231" s="3">
        <v>60</v>
      </c>
    </row>
    <row r="5232" spans="1:2">
      <c r="A5232" s="4">
        <v>38981</v>
      </c>
      <c r="B5232" s="3">
        <v>61.62</v>
      </c>
    </row>
    <row r="5233" spans="1:2">
      <c r="A5233" s="4">
        <v>38982</v>
      </c>
      <c r="B5233" s="3">
        <v>59.79</v>
      </c>
    </row>
    <row r="5234" spans="1:2">
      <c r="A5234" s="4">
        <v>38985</v>
      </c>
      <c r="B5234" s="3">
        <v>60.74</v>
      </c>
    </row>
    <row r="5235" spans="1:2">
      <c r="A5235" s="4">
        <v>38986</v>
      </c>
      <c r="B5235" s="3">
        <v>60.63</v>
      </c>
    </row>
    <row r="5236" spans="1:2">
      <c r="A5236" s="4">
        <v>38987</v>
      </c>
      <c r="B5236" s="3">
        <v>62.96</v>
      </c>
    </row>
    <row r="5237" spans="1:2">
      <c r="A5237" s="4">
        <v>38988</v>
      </c>
      <c r="B5237" s="3">
        <v>62.46</v>
      </c>
    </row>
    <row r="5238" spans="1:2">
      <c r="A5238" s="4">
        <v>38989</v>
      </c>
      <c r="B5238" s="3">
        <v>62.9</v>
      </c>
    </row>
    <row r="5239" spans="1:2">
      <c r="A5239" s="4">
        <v>38992</v>
      </c>
      <c r="B5239" s="3">
        <v>60.96</v>
      </c>
    </row>
    <row r="5240" spans="1:2">
      <c r="A5240" s="4">
        <v>38993</v>
      </c>
      <c r="B5240" s="3">
        <v>58.64</v>
      </c>
    </row>
    <row r="5241" spans="1:2">
      <c r="A5241" s="4">
        <v>38994</v>
      </c>
      <c r="B5241" s="3">
        <v>59.53</v>
      </c>
    </row>
    <row r="5242" spans="1:2">
      <c r="A5242" s="4">
        <v>38995</v>
      </c>
      <c r="B5242" s="3">
        <v>60.02</v>
      </c>
    </row>
    <row r="5243" spans="1:2">
      <c r="A5243" s="4">
        <v>38996</v>
      </c>
      <c r="B5243" s="3">
        <v>59.68</v>
      </c>
    </row>
    <row r="5244" spans="1:2">
      <c r="A5244" s="4">
        <v>38999</v>
      </c>
      <c r="B5244" s="3">
        <v>59.93</v>
      </c>
    </row>
    <row r="5245" spans="1:2">
      <c r="A5245" s="4">
        <v>39000</v>
      </c>
      <c r="B5245" s="3">
        <v>58.5</v>
      </c>
    </row>
    <row r="5246" spans="1:2">
      <c r="A5246" s="4">
        <v>39001</v>
      </c>
      <c r="B5246" s="3">
        <v>57.56</v>
      </c>
    </row>
    <row r="5247" spans="1:2">
      <c r="A5247" s="4">
        <v>39002</v>
      </c>
      <c r="B5247" s="3">
        <v>58.23</v>
      </c>
    </row>
    <row r="5248" spans="1:2">
      <c r="A5248" s="4">
        <v>39003</v>
      </c>
      <c r="B5248" s="3">
        <v>58.69</v>
      </c>
    </row>
    <row r="5249" spans="1:2">
      <c r="A5249" s="4">
        <v>39006</v>
      </c>
      <c r="B5249" s="3">
        <v>59.91</v>
      </c>
    </row>
    <row r="5250" spans="1:2">
      <c r="A5250" s="4">
        <v>39007</v>
      </c>
      <c r="B5250" s="3">
        <v>58.91</v>
      </c>
    </row>
    <row r="5251" spans="1:2">
      <c r="A5251" s="4">
        <v>39008</v>
      </c>
      <c r="B5251" s="3">
        <v>57.66</v>
      </c>
    </row>
    <row r="5252" spans="1:2">
      <c r="A5252" s="4">
        <v>39009</v>
      </c>
      <c r="B5252" s="3">
        <v>58.55</v>
      </c>
    </row>
    <row r="5253" spans="1:2">
      <c r="A5253" s="4">
        <v>39010</v>
      </c>
      <c r="B5253" s="3">
        <v>57.35</v>
      </c>
    </row>
    <row r="5254" spans="1:2">
      <c r="A5254" s="4">
        <v>39013</v>
      </c>
      <c r="B5254" s="3">
        <v>56.74</v>
      </c>
    </row>
    <row r="5255" spans="1:2">
      <c r="A5255" s="4">
        <v>39014</v>
      </c>
      <c r="B5255" s="3">
        <v>57.55</v>
      </c>
    </row>
    <row r="5256" spans="1:2">
      <c r="A5256" s="4">
        <v>39015</v>
      </c>
      <c r="B5256" s="3">
        <v>59.09</v>
      </c>
    </row>
    <row r="5257" spans="1:2">
      <c r="A5257" s="4">
        <v>39016</v>
      </c>
      <c r="B5257" s="3">
        <v>60.27</v>
      </c>
    </row>
    <row r="5258" spans="1:2">
      <c r="A5258" s="4">
        <v>39017</v>
      </c>
      <c r="B5258" s="3">
        <v>60.75</v>
      </c>
    </row>
    <row r="5259" spans="1:2">
      <c r="A5259" s="4">
        <v>39020</v>
      </c>
      <c r="B5259" s="3">
        <v>58.41</v>
      </c>
    </row>
    <row r="5260" spans="1:2">
      <c r="A5260" s="4">
        <v>39021</v>
      </c>
      <c r="B5260" s="3">
        <v>58.72</v>
      </c>
    </row>
    <row r="5261" spans="1:2">
      <c r="A5261" s="4">
        <v>39022</v>
      </c>
      <c r="B5261" s="3">
        <v>58.64</v>
      </c>
    </row>
    <row r="5262" spans="1:2">
      <c r="A5262" s="4">
        <v>39023</v>
      </c>
      <c r="B5262" s="3">
        <v>57.87</v>
      </c>
    </row>
    <row r="5263" spans="1:2">
      <c r="A5263" s="4">
        <v>39024</v>
      </c>
      <c r="B5263" s="3">
        <v>59.13</v>
      </c>
    </row>
    <row r="5264" spans="1:2">
      <c r="A5264" s="4">
        <v>39027</v>
      </c>
      <c r="B5264" s="3">
        <v>60.11</v>
      </c>
    </row>
    <row r="5265" spans="1:2">
      <c r="A5265" s="4">
        <v>39028</v>
      </c>
      <c r="B5265" s="3">
        <v>58.94</v>
      </c>
    </row>
    <row r="5266" spans="1:2">
      <c r="A5266" s="4">
        <v>39029</v>
      </c>
      <c r="B5266" s="3">
        <v>59.93</v>
      </c>
    </row>
    <row r="5267" spans="1:2">
      <c r="A5267" s="4">
        <v>39030</v>
      </c>
      <c r="B5267" s="3">
        <v>61.18</v>
      </c>
    </row>
    <row r="5268" spans="1:2">
      <c r="A5268" s="4">
        <v>39031</v>
      </c>
      <c r="B5268" s="3">
        <v>59.66</v>
      </c>
    </row>
    <row r="5269" spans="1:2">
      <c r="A5269" s="4">
        <v>39034</v>
      </c>
      <c r="B5269" s="3">
        <v>58.59</v>
      </c>
    </row>
    <row r="5270" spans="1:2">
      <c r="A5270" s="4">
        <v>39035</v>
      </c>
      <c r="B5270" s="3">
        <v>58.28</v>
      </c>
    </row>
    <row r="5271" spans="1:2">
      <c r="A5271" s="4">
        <v>39036</v>
      </c>
      <c r="B5271" s="3">
        <v>58.79</v>
      </c>
    </row>
    <row r="5272" spans="1:2">
      <c r="A5272" s="4">
        <v>39037</v>
      </c>
      <c r="B5272" s="3">
        <v>56.23</v>
      </c>
    </row>
    <row r="5273" spans="1:2">
      <c r="A5273" s="4">
        <v>39038</v>
      </c>
      <c r="B5273" s="3">
        <v>55.9</v>
      </c>
    </row>
    <row r="5274" spans="1:2">
      <c r="A5274" s="4">
        <v>39041</v>
      </c>
      <c r="B5274" s="3">
        <v>56.42</v>
      </c>
    </row>
    <row r="5275" spans="1:2">
      <c r="A5275" s="4">
        <v>39042</v>
      </c>
      <c r="B5275" s="3">
        <v>58.01</v>
      </c>
    </row>
    <row r="5276" spans="1:2">
      <c r="A5276" s="4">
        <v>39043</v>
      </c>
      <c r="B5276" s="3">
        <v>57.28</v>
      </c>
    </row>
    <row r="5277" spans="1:2">
      <c r="A5277" s="4">
        <v>39048</v>
      </c>
      <c r="B5277" s="3">
        <v>60.3</v>
      </c>
    </row>
    <row r="5278" spans="1:2">
      <c r="A5278" s="4">
        <v>39049</v>
      </c>
      <c r="B5278" s="3">
        <v>60.97</v>
      </c>
    </row>
    <row r="5279" spans="1:2">
      <c r="A5279" s="4">
        <v>39050</v>
      </c>
      <c r="B5279" s="3">
        <v>62.45</v>
      </c>
    </row>
    <row r="5280" spans="1:2">
      <c r="A5280" s="4">
        <v>39051</v>
      </c>
      <c r="B5280" s="3">
        <v>62.97</v>
      </c>
    </row>
    <row r="5281" spans="1:2">
      <c r="A5281" s="4">
        <v>39052</v>
      </c>
      <c r="B5281" s="3">
        <v>63.43</v>
      </c>
    </row>
    <row r="5282" spans="1:2">
      <c r="A5282" s="4">
        <v>39055</v>
      </c>
      <c r="B5282" s="3">
        <v>62.39</v>
      </c>
    </row>
    <row r="5283" spans="1:2">
      <c r="A5283" s="4">
        <v>39056</v>
      </c>
      <c r="B5283" s="3">
        <v>62.4</v>
      </c>
    </row>
    <row r="5284" spans="1:2">
      <c r="A5284" s="4">
        <v>39057</v>
      </c>
      <c r="B5284" s="3">
        <v>62.2</v>
      </c>
    </row>
    <row r="5285" spans="1:2">
      <c r="A5285" s="4">
        <v>39058</v>
      </c>
      <c r="B5285" s="3">
        <v>62.54</v>
      </c>
    </row>
    <row r="5286" spans="1:2">
      <c r="A5286" s="4">
        <v>39059</v>
      </c>
      <c r="B5286" s="3">
        <v>62.06</v>
      </c>
    </row>
    <row r="5287" spans="1:2">
      <c r="A5287" s="4">
        <v>39062</v>
      </c>
      <c r="B5287" s="3">
        <v>61.26</v>
      </c>
    </row>
    <row r="5288" spans="1:2">
      <c r="A5288" s="4">
        <v>39063</v>
      </c>
      <c r="B5288" s="3">
        <v>61.06</v>
      </c>
    </row>
    <row r="5289" spans="1:2">
      <c r="A5289" s="4">
        <v>39064</v>
      </c>
      <c r="B5289" s="3">
        <v>61.34</v>
      </c>
    </row>
    <row r="5290" spans="1:2">
      <c r="A5290" s="4">
        <v>39065</v>
      </c>
      <c r="B5290" s="3">
        <v>62.48</v>
      </c>
    </row>
    <row r="5291" spans="1:2">
      <c r="A5291" s="4">
        <v>39066</v>
      </c>
      <c r="B5291" s="3">
        <v>63.4</v>
      </c>
    </row>
    <row r="5292" spans="1:2">
      <c r="A5292" s="4">
        <v>39069</v>
      </c>
      <c r="B5292" s="3">
        <v>62.19</v>
      </c>
    </row>
    <row r="5293" spans="1:2">
      <c r="A5293" s="4">
        <v>39070</v>
      </c>
      <c r="B5293" s="3">
        <v>62.87</v>
      </c>
    </row>
    <row r="5294" spans="1:2">
      <c r="A5294" s="4">
        <v>39071</v>
      </c>
      <c r="B5294" s="3">
        <v>63.08</v>
      </c>
    </row>
    <row r="5295" spans="1:2">
      <c r="A5295" s="4">
        <v>39072</v>
      </c>
      <c r="B5295" s="3">
        <v>62.05</v>
      </c>
    </row>
    <row r="5296" spans="1:2">
      <c r="A5296" s="4">
        <v>39073</v>
      </c>
      <c r="B5296" s="3">
        <v>61.81</v>
      </c>
    </row>
    <row r="5297" spans="1:2">
      <c r="A5297" s="4">
        <v>39077</v>
      </c>
      <c r="B5297" s="3">
        <v>61.07</v>
      </c>
    </row>
    <row r="5298" spans="1:2">
      <c r="A5298" s="4">
        <v>39078</v>
      </c>
      <c r="B5298" s="3">
        <v>60.31</v>
      </c>
    </row>
    <row r="5299" spans="1:2">
      <c r="A5299" s="4">
        <v>39079</v>
      </c>
      <c r="B5299" s="3">
        <v>60.39</v>
      </c>
    </row>
    <row r="5300" spans="1:2">
      <c r="A5300" s="4">
        <v>39080</v>
      </c>
      <c r="B5300" s="3">
        <v>60.85</v>
      </c>
    </row>
    <row r="5301" spans="1:2">
      <c r="A5301" s="4">
        <v>39084</v>
      </c>
      <c r="B5301" s="3">
        <v>60.77</v>
      </c>
    </row>
    <row r="5302" spans="1:2">
      <c r="A5302" s="4">
        <v>39085</v>
      </c>
      <c r="B5302" s="3">
        <v>58.31</v>
      </c>
    </row>
    <row r="5303" spans="1:2">
      <c r="A5303" s="4">
        <v>39086</v>
      </c>
      <c r="B5303" s="3">
        <v>55.65</v>
      </c>
    </row>
    <row r="5304" spans="1:2">
      <c r="A5304" s="4">
        <v>39087</v>
      </c>
      <c r="B5304" s="3">
        <v>56.29</v>
      </c>
    </row>
    <row r="5305" spans="1:2">
      <c r="A5305" s="4">
        <v>39090</v>
      </c>
      <c r="B5305" s="3">
        <v>56.08</v>
      </c>
    </row>
    <row r="5306" spans="1:2">
      <c r="A5306" s="4">
        <v>39091</v>
      </c>
      <c r="B5306" s="3">
        <v>55.65</v>
      </c>
    </row>
    <row r="5307" spans="1:2">
      <c r="A5307" s="4">
        <v>39092</v>
      </c>
      <c r="B5307" s="3">
        <v>53.95</v>
      </c>
    </row>
    <row r="5308" spans="1:2">
      <c r="A5308" s="4">
        <v>39093</v>
      </c>
      <c r="B5308" s="3">
        <v>51.91</v>
      </c>
    </row>
    <row r="5309" spans="1:2">
      <c r="A5309" s="4">
        <v>39094</v>
      </c>
      <c r="B5309" s="3">
        <v>52.96</v>
      </c>
    </row>
    <row r="5310" spans="1:2">
      <c r="A5310" s="4">
        <v>39098</v>
      </c>
      <c r="B5310" s="3">
        <v>51.23</v>
      </c>
    </row>
    <row r="5311" spans="1:2">
      <c r="A5311" s="4">
        <v>39099</v>
      </c>
      <c r="B5311" s="3">
        <v>52.3</v>
      </c>
    </row>
    <row r="5312" spans="1:2">
      <c r="A5312" s="4">
        <v>39100</v>
      </c>
      <c r="B5312" s="3">
        <v>50.51</v>
      </c>
    </row>
    <row r="5313" spans="1:2">
      <c r="A5313" s="4">
        <v>39101</v>
      </c>
      <c r="B5313" s="3">
        <v>51.98</v>
      </c>
    </row>
    <row r="5314" spans="1:2">
      <c r="A5314" s="4">
        <v>39104</v>
      </c>
      <c r="B5314" s="3">
        <v>51.11</v>
      </c>
    </row>
    <row r="5315" spans="1:2">
      <c r="A5315" s="4">
        <v>39105</v>
      </c>
      <c r="B5315" s="3">
        <v>53.61</v>
      </c>
    </row>
    <row r="5316" spans="1:2">
      <c r="A5316" s="4">
        <v>39106</v>
      </c>
      <c r="B5316" s="3">
        <v>54.24</v>
      </c>
    </row>
    <row r="5317" spans="1:2">
      <c r="A5317" s="4">
        <v>39107</v>
      </c>
      <c r="B5317" s="3">
        <v>53.49</v>
      </c>
    </row>
    <row r="5318" spans="1:2">
      <c r="A5318" s="4">
        <v>39108</v>
      </c>
      <c r="B5318" s="3">
        <v>55.38</v>
      </c>
    </row>
    <row r="5319" spans="1:2">
      <c r="A5319" s="4">
        <v>39111</v>
      </c>
      <c r="B5319" s="3">
        <v>54.01</v>
      </c>
    </row>
    <row r="5320" spans="1:2">
      <c r="A5320" s="4">
        <v>39112</v>
      </c>
      <c r="B5320" s="3">
        <v>57.03</v>
      </c>
    </row>
    <row r="5321" spans="1:2">
      <c r="A5321" s="4">
        <v>39113</v>
      </c>
      <c r="B5321" s="3">
        <v>58.17</v>
      </c>
    </row>
    <row r="5322" spans="1:2">
      <c r="A5322" s="4">
        <v>39114</v>
      </c>
      <c r="B5322" s="3">
        <v>57.35</v>
      </c>
    </row>
    <row r="5323" spans="1:2">
      <c r="A5323" s="4">
        <v>39115</v>
      </c>
      <c r="B5323" s="3">
        <v>59.01</v>
      </c>
    </row>
    <row r="5324" spans="1:2">
      <c r="A5324" s="4">
        <v>39118</v>
      </c>
      <c r="B5324" s="3">
        <v>58.69</v>
      </c>
    </row>
    <row r="5325" spans="1:2">
      <c r="A5325" s="4">
        <v>39119</v>
      </c>
      <c r="B5325" s="3">
        <v>58.91</v>
      </c>
    </row>
    <row r="5326" spans="1:2">
      <c r="A5326" s="4">
        <v>39120</v>
      </c>
      <c r="B5326" s="3">
        <v>57.75</v>
      </c>
    </row>
    <row r="5327" spans="1:2">
      <c r="A5327" s="4">
        <v>39121</v>
      </c>
      <c r="B5327" s="3">
        <v>59.76</v>
      </c>
    </row>
    <row r="5328" spans="1:2">
      <c r="A5328" s="4">
        <v>39122</v>
      </c>
      <c r="B5328" s="3">
        <v>59.86</v>
      </c>
    </row>
    <row r="5329" spans="1:2">
      <c r="A5329" s="4">
        <v>39125</v>
      </c>
      <c r="B5329" s="3">
        <v>57.76</v>
      </c>
    </row>
    <row r="5330" spans="1:2">
      <c r="A5330" s="4">
        <v>39126</v>
      </c>
      <c r="B5330" s="3">
        <v>58.98</v>
      </c>
    </row>
    <row r="5331" spans="1:2">
      <c r="A5331" s="4">
        <v>39127</v>
      </c>
      <c r="B5331" s="3">
        <v>58</v>
      </c>
    </row>
    <row r="5332" spans="1:2">
      <c r="A5332" s="4">
        <v>39128</v>
      </c>
      <c r="B5332" s="3">
        <v>57.92</v>
      </c>
    </row>
    <row r="5333" spans="1:2">
      <c r="A5333" s="4">
        <v>39129</v>
      </c>
      <c r="B5333" s="3">
        <v>59.38</v>
      </c>
    </row>
    <row r="5334" spans="1:2">
      <c r="A5334" s="4">
        <v>39133</v>
      </c>
      <c r="B5334" s="3">
        <v>58.32</v>
      </c>
    </row>
    <row r="5335" spans="1:2">
      <c r="A5335" s="4">
        <v>39134</v>
      </c>
      <c r="B5335" s="3">
        <v>59.4</v>
      </c>
    </row>
    <row r="5336" spans="1:2">
      <c r="A5336" s="4">
        <v>39135</v>
      </c>
      <c r="B5336" s="3">
        <v>60.28</v>
      </c>
    </row>
    <row r="5337" spans="1:2">
      <c r="A5337" s="4">
        <v>39136</v>
      </c>
      <c r="B5337" s="3">
        <v>60.28</v>
      </c>
    </row>
    <row r="5338" spans="1:2">
      <c r="A5338" s="4">
        <v>39139</v>
      </c>
      <c r="B5338" s="3">
        <v>61.41</v>
      </c>
    </row>
    <row r="5339" spans="1:2">
      <c r="A5339" s="4">
        <v>39140</v>
      </c>
      <c r="B5339" s="3">
        <v>61.46</v>
      </c>
    </row>
    <row r="5340" spans="1:2">
      <c r="A5340" s="4">
        <v>39141</v>
      </c>
      <c r="B5340" s="3">
        <v>61.78</v>
      </c>
    </row>
    <row r="5341" spans="1:2">
      <c r="A5341" s="4">
        <v>39142</v>
      </c>
      <c r="B5341" s="3">
        <v>61.97</v>
      </c>
    </row>
    <row r="5342" spans="1:2">
      <c r="A5342" s="4">
        <v>39143</v>
      </c>
      <c r="B5342" s="3">
        <v>61.58</v>
      </c>
    </row>
    <row r="5343" spans="1:2">
      <c r="A5343" s="4">
        <v>39146</v>
      </c>
      <c r="B5343" s="3">
        <v>60.05</v>
      </c>
    </row>
    <row r="5344" spans="1:2">
      <c r="A5344" s="4">
        <v>39147</v>
      </c>
      <c r="B5344" s="3">
        <v>60.66</v>
      </c>
    </row>
    <row r="5345" spans="1:2">
      <c r="A5345" s="4">
        <v>39148</v>
      </c>
      <c r="B5345" s="3">
        <v>61.85</v>
      </c>
    </row>
    <row r="5346" spans="1:2">
      <c r="A5346" s="4">
        <v>39149</v>
      </c>
      <c r="B5346" s="3">
        <v>61.63</v>
      </c>
    </row>
    <row r="5347" spans="1:2">
      <c r="A5347" s="4">
        <v>39150</v>
      </c>
      <c r="B5347" s="3">
        <v>60.06</v>
      </c>
    </row>
    <row r="5348" spans="1:2">
      <c r="A5348" s="4">
        <v>39153</v>
      </c>
      <c r="B5348" s="3">
        <v>58.94</v>
      </c>
    </row>
    <row r="5349" spans="1:2">
      <c r="A5349" s="4">
        <v>39154</v>
      </c>
      <c r="B5349" s="3">
        <v>58.03</v>
      </c>
    </row>
    <row r="5350" spans="1:2">
      <c r="A5350" s="4">
        <v>39155</v>
      </c>
      <c r="B5350" s="3">
        <v>58.15</v>
      </c>
    </row>
    <row r="5351" spans="1:2">
      <c r="A5351" s="4">
        <v>39156</v>
      </c>
      <c r="B5351" s="3">
        <v>57.52</v>
      </c>
    </row>
    <row r="5352" spans="1:2">
      <c r="A5352" s="4">
        <v>39157</v>
      </c>
      <c r="B5352" s="3">
        <v>57.06</v>
      </c>
    </row>
    <row r="5353" spans="1:2">
      <c r="A5353" s="4">
        <v>39160</v>
      </c>
      <c r="B5353" s="3">
        <v>56.65</v>
      </c>
    </row>
    <row r="5354" spans="1:2">
      <c r="A5354" s="4">
        <v>39161</v>
      </c>
      <c r="B5354" s="3">
        <v>56.41</v>
      </c>
    </row>
    <row r="5355" spans="1:2">
      <c r="A5355" s="4">
        <v>39162</v>
      </c>
      <c r="B5355" s="3">
        <v>56.98</v>
      </c>
    </row>
    <row r="5356" spans="1:2">
      <c r="A5356" s="4">
        <v>39163</v>
      </c>
      <c r="B5356" s="3">
        <v>60.21</v>
      </c>
    </row>
    <row r="5357" spans="1:2">
      <c r="A5357" s="4">
        <v>39164</v>
      </c>
      <c r="B5357" s="3">
        <v>61.07</v>
      </c>
    </row>
    <row r="5358" spans="1:2">
      <c r="A5358" s="4">
        <v>39167</v>
      </c>
      <c r="B5358" s="3">
        <v>61.77</v>
      </c>
    </row>
    <row r="5359" spans="1:2">
      <c r="A5359" s="4">
        <v>39168</v>
      </c>
      <c r="B5359" s="3">
        <v>62.98</v>
      </c>
    </row>
    <row r="5360" spans="1:2">
      <c r="A5360" s="4">
        <v>39169</v>
      </c>
      <c r="B5360" s="3">
        <v>64.11</v>
      </c>
    </row>
    <row r="5361" spans="1:2">
      <c r="A5361" s="4">
        <v>39170</v>
      </c>
      <c r="B5361" s="3">
        <v>66.099999999999994</v>
      </c>
    </row>
    <row r="5362" spans="1:2">
      <c r="A5362" s="4">
        <v>39171</v>
      </c>
      <c r="B5362" s="3">
        <v>65.94</v>
      </c>
    </row>
    <row r="5363" spans="1:2">
      <c r="A5363" s="4">
        <v>39174</v>
      </c>
      <c r="B5363" s="3">
        <v>66.03</v>
      </c>
    </row>
    <row r="5364" spans="1:2">
      <c r="A5364" s="4">
        <v>39175</v>
      </c>
      <c r="B5364" s="3">
        <v>64.59</v>
      </c>
    </row>
    <row r="5365" spans="1:2">
      <c r="A5365" s="4">
        <v>39176</v>
      </c>
      <c r="B5365" s="3">
        <v>64.400000000000006</v>
      </c>
    </row>
    <row r="5366" spans="1:2">
      <c r="A5366" s="4">
        <v>39177</v>
      </c>
      <c r="B5366" s="3">
        <v>64.260000000000005</v>
      </c>
    </row>
    <row r="5367" spans="1:2">
      <c r="A5367" s="4">
        <v>39181</v>
      </c>
      <c r="B5367" s="3">
        <v>61.51</v>
      </c>
    </row>
    <row r="5368" spans="1:2">
      <c r="A5368" s="4">
        <v>39182</v>
      </c>
      <c r="B5368" s="3">
        <v>61.92</v>
      </c>
    </row>
    <row r="5369" spans="1:2">
      <c r="A5369" s="4">
        <v>39183</v>
      </c>
      <c r="B5369" s="3">
        <v>61.98</v>
      </c>
    </row>
    <row r="5370" spans="1:2">
      <c r="A5370" s="4">
        <v>39184</v>
      </c>
      <c r="B5370" s="3">
        <v>63.87</v>
      </c>
    </row>
    <row r="5371" spans="1:2">
      <c r="A5371" s="4">
        <v>39185</v>
      </c>
      <c r="B5371" s="3">
        <v>63.63</v>
      </c>
    </row>
    <row r="5372" spans="1:2">
      <c r="A5372" s="4">
        <v>39188</v>
      </c>
      <c r="B5372" s="3">
        <v>63.63</v>
      </c>
    </row>
    <row r="5373" spans="1:2">
      <c r="A5373" s="4">
        <v>39189</v>
      </c>
      <c r="B5373" s="3">
        <v>63.14</v>
      </c>
    </row>
    <row r="5374" spans="1:2">
      <c r="A5374" s="4">
        <v>39190</v>
      </c>
      <c r="B5374" s="3">
        <v>63.14</v>
      </c>
    </row>
    <row r="5375" spans="1:2">
      <c r="A5375" s="4">
        <v>39191</v>
      </c>
      <c r="B5375" s="3">
        <v>61.81</v>
      </c>
    </row>
    <row r="5376" spans="1:2">
      <c r="A5376" s="4">
        <v>39192</v>
      </c>
      <c r="B5376" s="3">
        <v>63.56</v>
      </c>
    </row>
    <row r="5377" spans="1:2">
      <c r="A5377" s="4">
        <v>39195</v>
      </c>
      <c r="B5377" s="3">
        <v>65.33</v>
      </c>
    </row>
    <row r="5378" spans="1:2">
      <c r="A5378" s="4">
        <v>39196</v>
      </c>
      <c r="B5378" s="3">
        <v>64.099999999999994</v>
      </c>
    </row>
    <row r="5379" spans="1:2">
      <c r="A5379" s="4">
        <v>39197</v>
      </c>
      <c r="B5379" s="3">
        <v>65.33</v>
      </c>
    </row>
    <row r="5380" spans="1:2">
      <c r="A5380" s="4">
        <v>39198</v>
      </c>
      <c r="B5380" s="3">
        <v>65.08</v>
      </c>
    </row>
    <row r="5381" spans="1:2">
      <c r="A5381" s="4">
        <v>39199</v>
      </c>
      <c r="B5381" s="3">
        <v>66.45</v>
      </c>
    </row>
    <row r="5382" spans="1:2">
      <c r="A5382" s="4">
        <v>39202</v>
      </c>
      <c r="B5382" s="3">
        <v>65.78</v>
      </c>
    </row>
    <row r="5383" spans="1:2">
      <c r="A5383" s="4">
        <v>39203</v>
      </c>
      <c r="B5383" s="3">
        <v>64.430000000000007</v>
      </c>
    </row>
    <row r="5384" spans="1:2">
      <c r="A5384" s="4">
        <v>39204</v>
      </c>
      <c r="B5384" s="3">
        <v>63.78</v>
      </c>
    </row>
    <row r="5385" spans="1:2">
      <c r="A5385" s="4">
        <v>39205</v>
      </c>
      <c r="B5385" s="3">
        <v>63.23</v>
      </c>
    </row>
    <row r="5386" spans="1:2">
      <c r="A5386" s="4">
        <v>39206</v>
      </c>
      <c r="B5386" s="3">
        <v>61.89</v>
      </c>
    </row>
    <row r="5387" spans="1:2">
      <c r="A5387" s="4">
        <v>39209</v>
      </c>
      <c r="B5387" s="3">
        <v>61.48</v>
      </c>
    </row>
    <row r="5388" spans="1:2">
      <c r="A5388" s="4">
        <v>39210</v>
      </c>
      <c r="B5388" s="3">
        <v>62.26</v>
      </c>
    </row>
    <row r="5389" spans="1:2">
      <c r="A5389" s="4">
        <v>39211</v>
      </c>
      <c r="B5389" s="3">
        <v>61.54</v>
      </c>
    </row>
    <row r="5390" spans="1:2">
      <c r="A5390" s="4">
        <v>39212</v>
      </c>
      <c r="B5390" s="3">
        <v>61.85</v>
      </c>
    </row>
    <row r="5391" spans="1:2">
      <c r="A5391" s="4">
        <v>39213</v>
      </c>
      <c r="B5391" s="3">
        <v>62.35</v>
      </c>
    </row>
    <row r="5392" spans="1:2">
      <c r="A5392" s="4">
        <v>39216</v>
      </c>
      <c r="B5392" s="3">
        <v>62.55</v>
      </c>
    </row>
    <row r="5393" spans="1:2">
      <c r="A5393" s="4">
        <v>39217</v>
      </c>
      <c r="B5393" s="3">
        <v>63.16</v>
      </c>
    </row>
    <row r="5394" spans="1:2">
      <c r="A5394" s="4">
        <v>39218</v>
      </c>
      <c r="B5394" s="3">
        <v>62.57</v>
      </c>
    </row>
    <row r="5395" spans="1:2">
      <c r="A5395" s="4">
        <v>39219</v>
      </c>
      <c r="B5395" s="3">
        <v>64.83</v>
      </c>
    </row>
    <row r="5396" spans="1:2">
      <c r="A5396" s="4">
        <v>39220</v>
      </c>
      <c r="B5396" s="3">
        <v>64.930000000000007</v>
      </c>
    </row>
    <row r="5397" spans="1:2">
      <c r="A5397" s="4">
        <v>39223</v>
      </c>
      <c r="B5397" s="3">
        <v>66.25</v>
      </c>
    </row>
    <row r="5398" spans="1:2">
      <c r="A5398" s="4">
        <v>39224</v>
      </c>
      <c r="B5398" s="3">
        <v>64.91</v>
      </c>
    </row>
    <row r="5399" spans="1:2">
      <c r="A5399" s="4">
        <v>39225</v>
      </c>
      <c r="B5399" s="3">
        <v>65.099999999999994</v>
      </c>
    </row>
    <row r="5400" spans="1:2">
      <c r="A5400" s="4">
        <v>39226</v>
      </c>
      <c r="B5400" s="3">
        <v>63.62</v>
      </c>
    </row>
    <row r="5401" spans="1:2">
      <c r="A5401" s="4">
        <v>39227</v>
      </c>
      <c r="B5401" s="3">
        <v>64.59</v>
      </c>
    </row>
    <row r="5402" spans="1:2">
      <c r="A5402" s="4">
        <v>39231</v>
      </c>
      <c r="B5402" s="3">
        <v>63.19</v>
      </c>
    </row>
    <row r="5403" spans="1:2">
      <c r="A5403" s="4">
        <v>39232</v>
      </c>
      <c r="B5403" s="3">
        <v>63.47</v>
      </c>
    </row>
    <row r="5404" spans="1:2">
      <c r="A5404" s="4">
        <v>39233</v>
      </c>
      <c r="B5404" s="3">
        <v>64.02</v>
      </c>
    </row>
    <row r="5405" spans="1:2">
      <c r="A5405" s="4">
        <v>39234</v>
      </c>
      <c r="B5405" s="3">
        <v>65.09</v>
      </c>
    </row>
    <row r="5406" spans="1:2">
      <c r="A5406" s="4">
        <v>39237</v>
      </c>
      <c r="B5406" s="3">
        <v>66.17</v>
      </c>
    </row>
    <row r="5407" spans="1:2">
      <c r="A5407" s="4">
        <v>39238</v>
      </c>
      <c r="B5407" s="3">
        <v>65.63</v>
      </c>
    </row>
    <row r="5408" spans="1:2">
      <c r="A5408" s="4">
        <v>39239</v>
      </c>
      <c r="B5408" s="3">
        <v>65.97</v>
      </c>
    </row>
    <row r="5409" spans="1:2">
      <c r="A5409" s="4">
        <v>39240</v>
      </c>
      <c r="B5409" s="3">
        <v>66.930000000000007</v>
      </c>
    </row>
    <row r="5410" spans="1:2">
      <c r="A5410" s="4">
        <v>39241</v>
      </c>
      <c r="B5410" s="3">
        <v>64.78</v>
      </c>
    </row>
    <row r="5411" spans="1:2">
      <c r="A5411" s="4">
        <v>39244</v>
      </c>
      <c r="B5411" s="3">
        <v>65.930000000000007</v>
      </c>
    </row>
    <row r="5412" spans="1:2">
      <c r="A5412" s="4">
        <v>39245</v>
      </c>
      <c r="B5412" s="3">
        <v>65.36</v>
      </c>
    </row>
    <row r="5413" spans="1:2">
      <c r="A5413" s="4">
        <v>39246</v>
      </c>
      <c r="B5413" s="3">
        <v>66.17</v>
      </c>
    </row>
    <row r="5414" spans="1:2">
      <c r="A5414" s="4">
        <v>39247</v>
      </c>
      <c r="B5414" s="3">
        <v>67.62</v>
      </c>
    </row>
    <row r="5415" spans="1:2">
      <c r="A5415" s="4">
        <v>39248</v>
      </c>
      <c r="B5415" s="3">
        <v>68.040000000000006</v>
      </c>
    </row>
    <row r="5416" spans="1:2">
      <c r="A5416" s="4">
        <v>39251</v>
      </c>
      <c r="B5416" s="3">
        <v>69.06</v>
      </c>
    </row>
    <row r="5417" spans="1:2">
      <c r="A5417" s="4">
        <v>39252</v>
      </c>
      <c r="B5417" s="3">
        <v>69.150000000000006</v>
      </c>
    </row>
    <row r="5418" spans="1:2">
      <c r="A5418" s="4">
        <v>39253</v>
      </c>
      <c r="B5418" s="3">
        <v>68.5</v>
      </c>
    </row>
    <row r="5419" spans="1:2">
      <c r="A5419" s="4">
        <v>39254</v>
      </c>
      <c r="B5419" s="3">
        <v>68.349999999999994</v>
      </c>
    </row>
    <row r="5420" spans="1:2">
      <c r="A5420" s="4">
        <v>39255</v>
      </c>
      <c r="B5420" s="3">
        <v>68.849999999999994</v>
      </c>
    </row>
    <row r="5421" spans="1:2">
      <c r="A5421" s="4">
        <v>39258</v>
      </c>
      <c r="B5421" s="3">
        <v>68.83</v>
      </c>
    </row>
    <row r="5422" spans="1:2">
      <c r="A5422" s="4">
        <v>39259</v>
      </c>
      <c r="B5422" s="3">
        <v>67.78</v>
      </c>
    </row>
    <row r="5423" spans="1:2">
      <c r="A5423" s="4">
        <v>39260</v>
      </c>
      <c r="B5423" s="3">
        <v>68.98</v>
      </c>
    </row>
    <row r="5424" spans="1:2">
      <c r="A5424" s="4">
        <v>39261</v>
      </c>
      <c r="B5424" s="3">
        <v>69.61</v>
      </c>
    </row>
    <row r="5425" spans="1:2">
      <c r="A5425" s="4">
        <v>39262</v>
      </c>
      <c r="B5425" s="3">
        <v>70.47</v>
      </c>
    </row>
    <row r="5426" spans="1:2">
      <c r="A5426" s="4">
        <v>39265</v>
      </c>
      <c r="B5426" s="3">
        <v>71.11</v>
      </c>
    </row>
    <row r="5427" spans="1:2">
      <c r="A5427" s="4">
        <v>39266</v>
      </c>
      <c r="B5427" s="3">
        <v>71.41</v>
      </c>
    </row>
    <row r="5428" spans="1:2">
      <c r="A5428" s="4">
        <v>39268</v>
      </c>
      <c r="B5428" s="3">
        <v>71.81</v>
      </c>
    </row>
    <row r="5429" spans="1:2">
      <c r="A5429" s="4">
        <v>39269</v>
      </c>
      <c r="B5429" s="3">
        <v>72.8</v>
      </c>
    </row>
    <row r="5430" spans="1:2">
      <c r="A5430" s="4">
        <v>39272</v>
      </c>
      <c r="B5430" s="3">
        <v>72.14</v>
      </c>
    </row>
    <row r="5431" spans="1:2">
      <c r="A5431" s="4">
        <v>39273</v>
      </c>
      <c r="B5431" s="3">
        <v>72.8</v>
      </c>
    </row>
    <row r="5432" spans="1:2">
      <c r="A5432" s="4">
        <v>39274</v>
      </c>
      <c r="B5432" s="3">
        <v>72.58</v>
      </c>
    </row>
    <row r="5433" spans="1:2">
      <c r="A5433" s="4">
        <v>39275</v>
      </c>
      <c r="B5433" s="3">
        <v>72.55</v>
      </c>
    </row>
    <row r="5434" spans="1:2">
      <c r="A5434" s="4">
        <v>39276</v>
      </c>
      <c r="B5434" s="3">
        <v>73.89</v>
      </c>
    </row>
    <row r="5435" spans="1:2">
      <c r="A5435" s="4">
        <v>39279</v>
      </c>
      <c r="B5435" s="3">
        <v>74.11</v>
      </c>
    </row>
    <row r="5436" spans="1:2">
      <c r="A5436" s="4">
        <v>39280</v>
      </c>
      <c r="B5436" s="3">
        <v>74.03</v>
      </c>
    </row>
    <row r="5437" spans="1:2">
      <c r="A5437" s="4">
        <v>39281</v>
      </c>
      <c r="B5437" s="3">
        <v>75.03</v>
      </c>
    </row>
    <row r="5438" spans="1:2">
      <c r="A5438" s="4">
        <v>39282</v>
      </c>
      <c r="B5438" s="3">
        <v>75.900000000000006</v>
      </c>
    </row>
    <row r="5439" spans="1:2">
      <c r="A5439" s="4">
        <v>39283</v>
      </c>
      <c r="B5439" s="3">
        <v>75.53</v>
      </c>
    </row>
    <row r="5440" spans="1:2">
      <c r="A5440" s="4">
        <v>39286</v>
      </c>
      <c r="B5440" s="3">
        <v>74.650000000000006</v>
      </c>
    </row>
    <row r="5441" spans="1:2">
      <c r="A5441" s="4">
        <v>39287</v>
      </c>
      <c r="B5441" s="3">
        <v>73.38</v>
      </c>
    </row>
    <row r="5442" spans="1:2">
      <c r="A5442" s="4">
        <v>39288</v>
      </c>
      <c r="B5442" s="3">
        <v>75.739999999999995</v>
      </c>
    </row>
    <row r="5443" spans="1:2">
      <c r="A5443" s="4">
        <v>39289</v>
      </c>
      <c r="B5443" s="3">
        <v>74.959999999999994</v>
      </c>
    </row>
    <row r="5444" spans="1:2">
      <c r="A5444" s="4">
        <v>39290</v>
      </c>
      <c r="B5444" s="3">
        <v>77.03</v>
      </c>
    </row>
    <row r="5445" spans="1:2">
      <c r="A5445" s="4">
        <v>39293</v>
      </c>
      <c r="B5445" s="3">
        <v>76.819999999999993</v>
      </c>
    </row>
    <row r="5446" spans="1:2">
      <c r="A5446" s="4">
        <v>39294</v>
      </c>
      <c r="B5446" s="3">
        <v>78.2</v>
      </c>
    </row>
    <row r="5447" spans="1:2">
      <c r="A5447" s="4">
        <v>39295</v>
      </c>
      <c r="B5447" s="3">
        <v>76.489999999999995</v>
      </c>
    </row>
    <row r="5448" spans="1:2">
      <c r="A5448" s="4">
        <v>39296</v>
      </c>
      <c r="B5448" s="3">
        <v>76.84</v>
      </c>
    </row>
    <row r="5449" spans="1:2">
      <c r="A5449" s="4">
        <v>39297</v>
      </c>
      <c r="B5449" s="3">
        <v>75.41</v>
      </c>
    </row>
    <row r="5450" spans="1:2">
      <c r="A5450" s="4">
        <v>39300</v>
      </c>
      <c r="B5450" s="3">
        <v>72.03</v>
      </c>
    </row>
    <row r="5451" spans="1:2">
      <c r="A5451" s="4">
        <v>39301</v>
      </c>
      <c r="B5451" s="3">
        <v>72.25</v>
      </c>
    </row>
    <row r="5452" spans="1:2">
      <c r="A5452" s="4">
        <v>39302</v>
      </c>
      <c r="B5452" s="3">
        <v>72.23</v>
      </c>
    </row>
    <row r="5453" spans="1:2">
      <c r="A5453" s="4">
        <v>39303</v>
      </c>
      <c r="B5453" s="3">
        <v>71.62</v>
      </c>
    </row>
    <row r="5454" spans="1:2">
      <c r="A5454" s="4">
        <v>39304</v>
      </c>
      <c r="B5454" s="3">
        <v>71.489999999999995</v>
      </c>
    </row>
    <row r="5455" spans="1:2">
      <c r="A5455" s="4">
        <v>39307</v>
      </c>
      <c r="B5455" s="3">
        <v>71.599999999999994</v>
      </c>
    </row>
    <row r="5456" spans="1:2">
      <c r="A5456" s="4">
        <v>39308</v>
      </c>
      <c r="B5456" s="3">
        <v>72.400000000000006</v>
      </c>
    </row>
    <row r="5457" spans="1:2">
      <c r="A5457" s="4">
        <v>39309</v>
      </c>
      <c r="B5457" s="3">
        <v>73.36</v>
      </c>
    </row>
    <row r="5458" spans="1:2">
      <c r="A5458" s="4">
        <v>39310</v>
      </c>
      <c r="B5458" s="3">
        <v>70.989999999999995</v>
      </c>
    </row>
    <row r="5459" spans="1:2">
      <c r="A5459" s="4">
        <v>39311</v>
      </c>
      <c r="B5459" s="3">
        <v>71.900000000000006</v>
      </c>
    </row>
    <row r="5460" spans="1:2">
      <c r="A5460" s="4">
        <v>39314</v>
      </c>
      <c r="B5460" s="3">
        <v>71.12</v>
      </c>
    </row>
    <row r="5461" spans="1:2">
      <c r="A5461" s="4">
        <v>39315</v>
      </c>
      <c r="B5461" s="3">
        <v>69.489999999999995</v>
      </c>
    </row>
    <row r="5462" spans="1:2">
      <c r="A5462" s="4">
        <v>39316</v>
      </c>
      <c r="B5462" s="3">
        <v>69.3</v>
      </c>
    </row>
    <row r="5463" spans="1:2">
      <c r="A5463" s="4">
        <v>39317</v>
      </c>
      <c r="B5463" s="3">
        <v>69.86</v>
      </c>
    </row>
    <row r="5464" spans="1:2">
      <c r="A5464" s="4">
        <v>39318</v>
      </c>
      <c r="B5464" s="3">
        <v>71.17</v>
      </c>
    </row>
    <row r="5465" spans="1:2">
      <c r="A5465" s="4">
        <v>39321</v>
      </c>
      <c r="B5465" s="3">
        <v>71.98</v>
      </c>
    </row>
    <row r="5466" spans="1:2">
      <c r="A5466" s="4">
        <v>39322</v>
      </c>
      <c r="B5466" s="3">
        <v>71.790000000000006</v>
      </c>
    </row>
    <row r="5467" spans="1:2">
      <c r="A5467" s="4">
        <v>39323</v>
      </c>
      <c r="B5467" s="3">
        <v>73.52</v>
      </c>
    </row>
    <row r="5468" spans="1:2">
      <c r="A5468" s="4">
        <v>39324</v>
      </c>
      <c r="B5468" s="3">
        <v>73.37</v>
      </c>
    </row>
    <row r="5469" spans="1:2">
      <c r="A5469" s="4">
        <v>39325</v>
      </c>
      <c r="B5469" s="3">
        <v>73.98</v>
      </c>
    </row>
    <row r="5470" spans="1:2">
      <c r="A5470" s="4">
        <v>39329</v>
      </c>
      <c r="B5470" s="3">
        <v>75.069999999999993</v>
      </c>
    </row>
    <row r="5471" spans="1:2">
      <c r="A5471" s="4">
        <v>39330</v>
      </c>
      <c r="B5471" s="3">
        <v>75.739999999999995</v>
      </c>
    </row>
    <row r="5472" spans="1:2">
      <c r="A5472" s="4">
        <v>39331</v>
      </c>
      <c r="B5472" s="3">
        <v>76.34</v>
      </c>
    </row>
    <row r="5473" spans="1:2">
      <c r="A5473" s="4">
        <v>39332</v>
      </c>
      <c r="B5473" s="3">
        <v>76.7</v>
      </c>
    </row>
    <row r="5474" spans="1:2">
      <c r="A5474" s="4">
        <v>39335</v>
      </c>
      <c r="B5474" s="3">
        <v>77.53</v>
      </c>
    </row>
    <row r="5475" spans="1:2">
      <c r="A5475" s="4">
        <v>39336</v>
      </c>
      <c r="B5475" s="3">
        <v>78.16</v>
      </c>
    </row>
    <row r="5476" spans="1:2">
      <c r="A5476" s="4">
        <v>39337</v>
      </c>
      <c r="B5476" s="3">
        <v>79.849999999999994</v>
      </c>
    </row>
    <row r="5477" spans="1:2">
      <c r="A5477" s="4">
        <v>39338</v>
      </c>
      <c r="B5477" s="3">
        <v>80.05</v>
      </c>
    </row>
    <row r="5478" spans="1:2">
      <c r="A5478" s="4">
        <v>39339</v>
      </c>
      <c r="B5478" s="3">
        <v>79.14</v>
      </c>
    </row>
    <row r="5479" spans="1:2">
      <c r="A5479" s="4">
        <v>39342</v>
      </c>
      <c r="B5479" s="3">
        <v>80.55</v>
      </c>
    </row>
    <row r="5480" spans="1:2">
      <c r="A5480" s="4">
        <v>39343</v>
      </c>
      <c r="B5480" s="3">
        <v>81.510000000000005</v>
      </c>
    </row>
    <row r="5481" spans="1:2">
      <c r="A5481" s="4">
        <v>39344</v>
      </c>
      <c r="B5481" s="3">
        <v>81.99</v>
      </c>
    </row>
    <row r="5482" spans="1:2">
      <c r="A5482" s="4">
        <v>39345</v>
      </c>
      <c r="B5482" s="3">
        <v>83.85</v>
      </c>
    </row>
    <row r="5483" spans="1:2">
      <c r="A5483" s="4">
        <v>39346</v>
      </c>
      <c r="B5483" s="3">
        <v>83.38</v>
      </c>
    </row>
    <row r="5484" spans="1:2">
      <c r="A5484" s="4">
        <v>39349</v>
      </c>
      <c r="B5484" s="3">
        <v>82.51</v>
      </c>
    </row>
    <row r="5485" spans="1:2">
      <c r="A5485" s="4">
        <v>39350</v>
      </c>
      <c r="B5485" s="3">
        <v>81.2</v>
      </c>
    </row>
    <row r="5486" spans="1:2">
      <c r="A5486" s="4">
        <v>39351</v>
      </c>
      <c r="B5486" s="3">
        <v>80.31</v>
      </c>
    </row>
    <row r="5487" spans="1:2">
      <c r="A5487" s="4">
        <v>39352</v>
      </c>
      <c r="B5487" s="3">
        <v>82.86</v>
      </c>
    </row>
    <row r="5488" spans="1:2">
      <c r="A5488" s="4">
        <v>39353</v>
      </c>
      <c r="B5488" s="3">
        <v>81.64</v>
      </c>
    </row>
    <row r="5489" spans="1:2">
      <c r="A5489" s="4">
        <v>39356</v>
      </c>
      <c r="B5489" s="3">
        <v>80.31</v>
      </c>
    </row>
    <row r="5490" spans="1:2">
      <c r="A5490" s="4">
        <v>39357</v>
      </c>
      <c r="B5490" s="3">
        <v>80</v>
      </c>
    </row>
    <row r="5491" spans="1:2">
      <c r="A5491" s="4">
        <v>39358</v>
      </c>
      <c r="B5491" s="3">
        <v>79.97</v>
      </c>
    </row>
    <row r="5492" spans="1:2">
      <c r="A5492" s="4">
        <v>39359</v>
      </c>
      <c r="B5492" s="3">
        <v>81.48</v>
      </c>
    </row>
    <row r="5493" spans="1:2">
      <c r="A5493" s="4">
        <v>39360</v>
      </c>
      <c r="B5493" s="3">
        <v>81.2</v>
      </c>
    </row>
    <row r="5494" spans="1:2">
      <c r="A5494" s="4">
        <v>39363</v>
      </c>
      <c r="B5494" s="3">
        <v>78.97</v>
      </c>
    </row>
    <row r="5495" spans="1:2">
      <c r="A5495" s="4">
        <v>39364</v>
      </c>
      <c r="B5495" s="3">
        <v>80.23</v>
      </c>
    </row>
    <row r="5496" spans="1:2">
      <c r="A5496" s="4">
        <v>39365</v>
      </c>
      <c r="B5496" s="3">
        <v>81.3</v>
      </c>
    </row>
    <row r="5497" spans="1:2">
      <c r="A5497" s="4">
        <v>39366</v>
      </c>
      <c r="B5497" s="3">
        <v>83.05</v>
      </c>
    </row>
    <row r="5498" spans="1:2">
      <c r="A5498" s="4">
        <v>39367</v>
      </c>
      <c r="B5498" s="3">
        <v>83.73</v>
      </c>
    </row>
    <row r="5499" spans="1:2">
      <c r="A5499" s="4">
        <v>39370</v>
      </c>
      <c r="B5499" s="3">
        <v>86.19</v>
      </c>
    </row>
    <row r="5500" spans="1:2">
      <c r="A5500" s="4">
        <v>39371</v>
      </c>
      <c r="B5500" s="3">
        <v>87.58</v>
      </c>
    </row>
    <row r="5501" spans="1:2">
      <c r="A5501" s="4">
        <v>39372</v>
      </c>
      <c r="B5501" s="3">
        <v>87.19</v>
      </c>
    </row>
    <row r="5502" spans="1:2">
      <c r="A5502" s="4">
        <v>39373</v>
      </c>
      <c r="B5502" s="3">
        <v>89.48</v>
      </c>
    </row>
    <row r="5503" spans="1:2">
      <c r="A5503" s="4">
        <v>39374</v>
      </c>
      <c r="B5503" s="3">
        <v>88.58</v>
      </c>
    </row>
    <row r="5504" spans="1:2">
      <c r="A5504" s="4">
        <v>39377</v>
      </c>
      <c r="B5504" s="3">
        <v>87.6</v>
      </c>
    </row>
    <row r="5505" spans="1:2">
      <c r="A5505" s="4">
        <v>39378</v>
      </c>
      <c r="B5505" s="3">
        <v>86.45</v>
      </c>
    </row>
    <row r="5506" spans="1:2">
      <c r="A5506" s="4">
        <v>39379</v>
      </c>
      <c r="B5506" s="3">
        <v>88.3</v>
      </c>
    </row>
    <row r="5507" spans="1:2">
      <c r="A5507" s="4">
        <v>39380</v>
      </c>
      <c r="B5507" s="3">
        <v>92.09</v>
      </c>
    </row>
    <row r="5508" spans="1:2">
      <c r="A5508" s="4">
        <v>39381</v>
      </c>
      <c r="B5508" s="3">
        <v>91.73</v>
      </c>
    </row>
    <row r="5509" spans="1:2">
      <c r="A5509" s="4">
        <v>39384</v>
      </c>
      <c r="B5509" s="3">
        <v>93.45</v>
      </c>
    </row>
    <row r="5510" spans="1:2">
      <c r="A5510" s="4">
        <v>39385</v>
      </c>
      <c r="B5510" s="3">
        <v>90.33</v>
      </c>
    </row>
    <row r="5511" spans="1:2">
      <c r="A5511" s="4">
        <v>39386</v>
      </c>
      <c r="B5511" s="3">
        <v>94.16</v>
      </c>
    </row>
    <row r="5512" spans="1:2">
      <c r="A5512" s="4">
        <v>39387</v>
      </c>
      <c r="B5512" s="3">
        <v>93.53</v>
      </c>
    </row>
    <row r="5513" spans="1:2">
      <c r="A5513" s="4">
        <v>39388</v>
      </c>
      <c r="B5513" s="3">
        <v>95.81</v>
      </c>
    </row>
    <row r="5514" spans="1:2">
      <c r="A5514" s="4">
        <v>39391</v>
      </c>
      <c r="B5514" s="3">
        <v>94.06</v>
      </c>
    </row>
    <row r="5515" spans="1:2">
      <c r="A5515" s="4">
        <v>39392</v>
      </c>
      <c r="B5515" s="3">
        <v>96.65</v>
      </c>
    </row>
    <row r="5516" spans="1:2">
      <c r="A5516" s="4">
        <v>39393</v>
      </c>
      <c r="B5516" s="3">
        <v>96.46</v>
      </c>
    </row>
    <row r="5517" spans="1:2">
      <c r="A5517" s="4">
        <v>39394</v>
      </c>
      <c r="B5517" s="3">
        <v>95.51</v>
      </c>
    </row>
    <row r="5518" spans="1:2">
      <c r="A5518" s="4">
        <v>39395</v>
      </c>
      <c r="B5518" s="3">
        <v>96.36</v>
      </c>
    </row>
    <row r="5519" spans="1:2">
      <c r="A5519" s="4">
        <v>39398</v>
      </c>
      <c r="B5519" s="3">
        <v>94.4</v>
      </c>
    </row>
    <row r="5520" spans="1:2">
      <c r="A5520" s="4">
        <v>39399</v>
      </c>
      <c r="B5520" s="3">
        <v>91.18</v>
      </c>
    </row>
    <row r="5521" spans="1:2">
      <c r="A5521" s="4">
        <v>39400</v>
      </c>
      <c r="B5521" s="3">
        <v>94.02</v>
      </c>
    </row>
    <row r="5522" spans="1:2">
      <c r="A5522" s="4">
        <v>39401</v>
      </c>
      <c r="B5522" s="3">
        <v>93.37</v>
      </c>
    </row>
    <row r="5523" spans="1:2">
      <c r="A5523" s="4">
        <v>39402</v>
      </c>
      <c r="B5523" s="3">
        <v>94.81</v>
      </c>
    </row>
    <row r="5524" spans="1:2">
      <c r="A5524" s="4">
        <v>39405</v>
      </c>
      <c r="B5524" s="3">
        <v>95.75</v>
      </c>
    </row>
    <row r="5525" spans="1:2">
      <c r="A5525" s="4">
        <v>39406</v>
      </c>
      <c r="B5525" s="3">
        <v>99.16</v>
      </c>
    </row>
    <row r="5526" spans="1:2">
      <c r="A5526" s="4">
        <v>39407</v>
      </c>
      <c r="B5526" s="3">
        <v>98.57</v>
      </c>
    </row>
    <row r="5527" spans="1:2">
      <c r="A5527" s="4">
        <v>39409</v>
      </c>
      <c r="B5527" s="3">
        <v>98.24</v>
      </c>
    </row>
    <row r="5528" spans="1:2">
      <c r="A5528" s="4">
        <v>39412</v>
      </c>
      <c r="B5528" s="3">
        <v>97.66</v>
      </c>
    </row>
    <row r="5529" spans="1:2">
      <c r="A5529" s="4">
        <v>39413</v>
      </c>
      <c r="B5529" s="3">
        <v>94.39</v>
      </c>
    </row>
    <row r="5530" spans="1:2">
      <c r="A5530" s="4">
        <v>39414</v>
      </c>
      <c r="B5530" s="3">
        <v>90.71</v>
      </c>
    </row>
    <row r="5531" spans="1:2">
      <c r="A5531" s="4">
        <v>39415</v>
      </c>
      <c r="B5531" s="3">
        <v>90.98</v>
      </c>
    </row>
    <row r="5532" spans="1:2">
      <c r="A5532" s="4">
        <v>39416</v>
      </c>
      <c r="B5532" s="3">
        <v>88.6</v>
      </c>
    </row>
    <row r="5533" spans="1:2">
      <c r="A5533" s="4">
        <v>39419</v>
      </c>
      <c r="B5533" s="3">
        <v>89.29</v>
      </c>
    </row>
    <row r="5534" spans="1:2">
      <c r="A5534" s="4">
        <v>39420</v>
      </c>
      <c r="B5534" s="3">
        <v>88.31</v>
      </c>
    </row>
    <row r="5535" spans="1:2">
      <c r="A5535" s="4">
        <v>39421</v>
      </c>
      <c r="B5535" s="3">
        <v>87.45</v>
      </c>
    </row>
    <row r="5536" spans="1:2">
      <c r="A5536" s="4">
        <v>39422</v>
      </c>
      <c r="B5536" s="3">
        <v>90.25</v>
      </c>
    </row>
    <row r="5537" spans="1:2">
      <c r="A5537" s="4">
        <v>39423</v>
      </c>
      <c r="B5537" s="3">
        <v>88.23</v>
      </c>
    </row>
    <row r="5538" spans="1:2">
      <c r="A5538" s="4">
        <v>39426</v>
      </c>
      <c r="B5538" s="3">
        <v>87.72</v>
      </c>
    </row>
    <row r="5539" spans="1:2">
      <c r="A5539" s="4">
        <v>39427</v>
      </c>
      <c r="B5539" s="3">
        <v>90.12</v>
      </c>
    </row>
    <row r="5540" spans="1:2">
      <c r="A5540" s="4">
        <v>39428</v>
      </c>
      <c r="B5540" s="3">
        <v>94.41</v>
      </c>
    </row>
    <row r="5541" spans="1:2">
      <c r="A5541" s="4">
        <v>39429</v>
      </c>
      <c r="B5541" s="3">
        <v>92.35</v>
      </c>
    </row>
    <row r="5542" spans="1:2">
      <c r="A5542" s="4">
        <v>39430</v>
      </c>
      <c r="B5542" s="3">
        <v>91.31</v>
      </c>
    </row>
    <row r="5543" spans="1:2">
      <c r="A5543" s="4">
        <v>39433</v>
      </c>
      <c r="B5543" s="3">
        <v>90.69</v>
      </c>
    </row>
    <row r="5544" spans="1:2">
      <c r="A5544" s="4">
        <v>39434</v>
      </c>
      <c r="B5544" s="3">
        <v>89.93</v>
      </c>
    </row>
    <row r="5545" spans="1:2">
      <c r="A5545" s="4">
        <v>39435</v>
      </c>
      <c r="B5545" s="3">
        <v>91.11</v>
      </c>
    </row>
    <row r="5546" spans="1:2">
      <c r="A5546" s="4">
        <v>39436</v>
      </c>
      <c r="B5546" s="3">
        <v>90.88</v>
      </c>
    </row>
    <row r="5547" spans="1:2">
      <c r="A5547" s="4">
        <v>39437</v>
      </c>
      <c r="B5547" s="3">
        <v>93.19</v>
      </c>
    </row>
    <row r="5548" spans="1:2">
      <c r="A5548" s="4">
        <v>39440</v>
      </c>
      <c r="B5548" s="3">
        <v>94</v>
      </c>
    </row>
    <row r="5549" spans="1:2">
      <c r="A5549" s="4">
        <v>39442</v>
      </c>
      <c r="B5549" s="3">
        <v>95.89</v>
      </c>
    </row>
    <row r="5550" spans="1:2">
      <c r="A5550" s="4">
        <v>39443</v>
      </c>
      <c r="B5550" s="3">
        <v>96.63</v>
      </c>
    </row>
    <row r="5551" spans="1:2">
      <c r="A5551" s="4">
        <v>39444</v>
      </c>
      <c r="B5551" s="3">
        <v>96.03</v>
      </c>
    </row>
    <row r="5552" spans="1:2">
      <c r="A5552" s="4">
        <v>39447</v>
      </c>
      <c r="B5552" s="3">
        <v>95.95</v>
      </c>
    </row>
    <row r="5553" spans="1:2">
      <c r="A5553" s="4">
        <v>39449</v>
      </c>
      <c r="B5553" s="3">
        <v>99.64</v>
      </c>
    </row>
    <row r="5554" spans="1:2">
      <c r="A5554" s="4">
        <v>39450</v>
      </c>
      <c r="B5554" s="3">
        <v>99.17</v>
      </c>
    </row>
    <row r="5555" spans="1:2">
      <c r="A5555" s="4">
        <v>39451</v>
      </c>
      <c r="B5555" s="3">
        <v>97.9</v>
      </c>
    </row>
    <row r="5556" spans="1:2">
      <c r="A5556" s="4">
        <v>39454</v>
      </c>
      <c r="B5556" s="3">
        <v>95.08</v>
      </c>
    </row>
    <row r="5557" spans="1:2">
      <c r="A5557" s="4">
        <v>39455</v>
      </c>
      <c r="B5557" s="3">
        <v>96.43</v>
      </c>
    </row>
    <row r="5558" spans="1:2">
      <c r="A5558" s="4">
        <v>39456</v>
      </c>
      <c r="B5558" s="3">
        <v>95.64</v>
      </c>
    </row>
    <row r="5559" spans="1:2">
      <c r="A5559" s="4">
        <v>39457</v>
      </c>
      <c r="B5559" s="3">
        <v>93.92</v>
      </c>
    </row>
    <row r="5560" spans="1:2">
      <c r="A5560" s="4">
        <v>39458</v>
      </c>
      <c r="B5560" s="3">
        <v>92.74</v>
      </c>
    </row>
    <row r="5561" spans="1:2">
      <c r="A5561" s="4">
        <v>39461</v>
      </c>
      <c r="B5561" s="3">
        <v>94.23</v>
      </c>
    </row>
    <row r="5562" spans="1:2">
      <c r="A5562" s="4">
        <v>39462</v>
      </c>
      <c r="B5562" s="3">
        <v>91.87</v>
      </c>
    </row>
    <row r="5563" spans="1:2">
      <c r="A5563" s="4">
        <v>39463</v>
      </c>
      <c r="B5563" s="3">
        <v>90.8</v>
      </c>
    </row>
    <row r="5564" spans="1:2">
      <c r="A5564" s="4">
        <v>39464</v>
      </c>
      <c r="B5564" s="3">
        <v>90.11</v>
      </c>
    </row>
    <row r="5565" spans="1:2">
      <c r="A5565" s="4">
        <v>39465</v>
      </c>
      <c r="B5565" s="3">
        <v>90.55</v>
      </c>
    </row>
    <row r="5566" spans="1:2">
      <c r="A5566" s="4">
        <v>39469</v>
      </c>
      <c r="B5566" s="3">
        <v>89.64</v>
      </c>
    </row>
    <row r="5567" spans="1:2">
      <c r="A5567" s="4">
        <v>39470</v>
      </c>
      <c r="B5567" s="3">
        <v>87.65</v>
      </c>
    </row>
    <row r="5568" spans="1:2">
      <c r="A5568" s="4">
        <v>39471</v>
      </c>
      <c r="B5568" s="3">
        <v>89.98</v>
      </c>
    </row>
    <row r="5569" spans="1:2">
      <c r="A5569" s="4">
        <v>39472</v>
      </c>
      <c r="B5569" s="3">
        <v>90.37</v>
      </c>
    </row>
    <row r="5570" spans="1:2">
      <c r="A5570" s="4">
        <v>39475</v>
      </c>
      <c r="B5570" s="3">
        <v>90.99</v>
      </c>
    </row>
    <row r="5571" spans="1:2">
      <c r="A5571" s="4">
        <v>39476</v>
      </c>
      <c r="B5571" s="3">
        <v>91.66</v>
      </c>
    </row>
    <row r="5572" spans="1:2">
      <c r="A5572" s="4">
        <v>39477</v>
      </c>
      <c r="B5572" s="3">
        <v>92.34</v>
      </c>
    </row>
    <row r="5573" spans="1:2">
      <c r="A5573" s="4">
        <v>39478</v>
      </c>
      <c r="B5573" s="3">
        <v>91.67</v>
      </c>
    </row>
    <row r="5574" spans="1:2">
      <c r="A5574" s="4">
        <v>39479</v>
      </c>
      <c r="B5574" s="3">
        <v>89.03</v>
      </c>
    </row>
    <row r="5575" spans="1:2">
      <c r="A5575" s="4">
        <v>39482</v>
      </c>
      <c r="B5575" s="3">
        <v>90.07</v>
      </c>
    </row>
    <row r="5576" spans="1:2">
      <c r="A5576" s="4">
        <v>39483</v>
      </c>
      <c r="B5576" s="3">
        <v>88.32</v>
      </c>
    </row>
    <row r="5577" spans="1:2">
      <c r="A5577" s="4">
        <v>39484</v>
      </c>
      <c r="B5577" s="3">
        <v>87.16</v>
      </c>
    </row>
    <row r="5578" spans="1:2">
      <c r="A5578" s="4">
        <v>39485</v>
      </c>
      <c r="B5578" s="3">
        <v>88.07</v>
      </c>
    </row>
    <row r="5579" spans="1:2">
      <c r="A5579" s="4">
        <v>39486</v>
      </c>
      <c r="B5579" s="3">
        <v>91.77</v>
      </c>
    </row>
    <row r="5580" spans="1:2">
      <c r="A5580" s="4">
        <v>39489</v>
      </c>
      <c r="B5580" s="3">
        <v>93.56</v>
      </c>
    </row>
    <row r="5581" spans="1:2">
      <c r="A5581" s="4">
        <v>39490</v>
      </c>
      <c r="B5581" s="3">
        <v>92.82</v>
      </c>
    </row>
    <row r="5582" spans="1:2">
      <c r="A5582" s="4">
        <v>39491</v>
      </c>
      <c r="B5582" s="3">
        <v>93.28</v>
      </c>
    </row>
    <row r="5583" spans="1:2">
      <c r="A5583" s="4">
        <v>39492</v>
      </c>
      <c r="B5583" s="3">
        <v>95.42</v>
      </c>
    </row>
    <row r="5584" spans="1:2">
      <c r="A5584" s="4">
        <v>39493</v>
      </c>
      <c r="B5584" s="3">
        <v>95.57</v>
      </c>
    </row>
    <row r="5585" spans="1:2">
      <c r="A5585" s="4">
        <v>39497</v>
      </c>
      <c r="B5585" s="3">
        <v>99.99</v>
      </c>
    </row>
    <row r="5586" spans="1:2">
      <c r="A5586" s="4">
        <v>39498</v>
      </c>
      <c r="B5586" s="3">
        <v>100.86</v>
      </c>
    </row>
    <row r="5587" spans="1:2">
      <c r="A5587" s="4">
        <v>39499</v>
      </c>
      <c r="B5587" s="3">
        <v>98.57</v>
      </c>
    </row>
    <row r="5588" spans="1:2">
      <c r="A5588" s="4">
        <v>39500</v>
      </c>
      <c r="B5588" s="3">
        <v>99.03</v>
      </c>
    </row>
    <row r="5589" spans="1:2">
      <c r="A5589" s="4">
        <v>39503</v>
      </c>
      <c r="B5589" s="3">
        <v>99.4</v>
      </c>
    </row>
    <row r="5590" spans="1:2">
      <c r="A5590" s="4">
        <v>39504</v>
      </c>
      <c r="B5590" s="3">
        <v>100.83</v>
      </c>
    </row>
    <row r="5591" spans="1:2">
      <c r="A5591" s="4">
        <v>39505</v>
      </c>
      <c r="B5591" s="3">
        <v>99.59</v>
      </c>
    </row>
    <row r="5592" spans="1:2">
      <c r="A5592" s="4">
        <v>39506</v>
      </c>
      <c r="B5592" s="3">
        <v>102.6</v>
      </c>
    </row>
    <row r="5593" spans="1:2">
      <c r="A5593" s="4">
        <v>39507</v>
      </c>
      <c r="B5593" s="3">
        <v>101.78</v>
      </c>
    </row>
    <row r="5594" spans="1:2">
      <c r="A5594" s="4">
        <v>39510</v>
      </c>
      <c r="B5594" s="3">
        <v>102.42</v>
      </c>
    </row>
    <row r="5595" spans="1:2">
      <c r="A5595" s="4">
        <v>39511</v>
      </c>
      <c r="B5595" s="3">
        <v>99.72</v>
      </c>
    </row>
    <row r="5596" spans="1:2">
      <c r="A5596" s="4">
        <v>39512</v>
      </c>
      <c r="B5596" s="3">
        <v>104.45</v>
      </c>
    </row>
    <row r="5597" spans="1:2">
      <c r="A5597" s="4">
        <v>39513</v>
      </c>
      <c r="B5597" s="3">
        <v>105.51</v>
      </c>
    </row>
    <row r="5598" spans="1:2">
      <c r="A5598" s="4">
        <v>39514</v>
      </c>
      <c r="B5598" s="3">
        <v>105.12</v>
      </c>
    </row>
    <row r="5599" spans="1:2">
      <c r="A5599" s="4">
        <v>39517</v>
      </c>
      <c r="B5599" s="3">
        <v>107.9</v>
      </c>
    </row>
    <row r="5600" spans="1:2">
      <c r="A5600" s="4">
        <v>39518</v>
      </c>
      <c r="B5600" s="3">
        <v>108.73</v>
      </c>
    </row>
    <row r="5601" spans="1:2">
      <c r="A5601" s="4">
        <v>39519</v>
      </c>
      <c r="B5601" s="3">
        <v>109.86</v>
      </c>
    </row>
    <row r="5602" spans="1:2">
      <c r="A5602" s="4">
        <v>39520</v>
      </c>
      <c r="B5602" s="3">
        <v>110.21</v>
      </c>
    </row>
    <row r="5603" spans="1:2">
      <c r="A5603" s="4">
        <v>39521</v>
      </c>
      <c r="B5603" s="3">
        <v>110.03</v>
      </c>
    </row>
    <row r="5604" spans="1:2">
      <c r="A5604" s="4">
        <v>39524</v>
      </c>
      <c r="B5604" s="3">
        <v>105.74</v>
      </c>
    </row>
    <row r="5605" spans="1:2">
      <c r="A5605" s="4">
        <v>39525</v>
      </c>
      <c r="B5605" s="3">
        <v>109.57</v>
      </c>
    </row>
    <row r="5606" spans="1:2">
      <c r="A5606" s="4">
        <v>39526</v>
      </c>
      <c r="B5606" s="3">
        <v>103.25</v>
      </c>
    </row>
    <row r="5607" spans="1:2">
      <c r="A5607" s="4">
        <v>39527</v>
      </c>
      <c r="B5607" s="3">
        <v>102.57</v>
      </c>
    </row>
    <row r="5608" spans="1:2">
      <c r="A5608" s="4">
        <v>39531</v>
      </c>
      <c r="B5608" s="3">
        <v>101.7</v>
      </c>
    </row>
    <row r="5609" spans="1:2">
      <c r="A5609" s="4">
        <v>39532</v>
      </c>
      <c r="B5609" s="3">
        <v>101.78</v>
      </c>
    </row>
    <row r="5610" spans="1:2">
      <c r="A5610" s="4">
        <v>39533</v>
      </c>
      <c r="B5610" s="3">
        <v>105.83</v>
      </c>
    </row>
    <row r="5611" spans="1:2">
      <c r="A5611" s="4">
        <v>39534</v>
      </c>
      <c r="B5611" s="3">
        <v>107.56</v>
      </c>
    </row>
    <row r="5612" spans="1:2">
      <c r="A5612" s="4">
        <v>39535</v>
      </c>
      <c r="B5612" s="3">
        <v>105.59</v>
      </c>
    </row>
    <row r="5613" spans="1:2">
      <c r="A5613" s="4">
        <v>39538</v>
      </c>
      <c r="B5613" s="3">
        <v>101.54</v>
      </c>
    </row>
    <row r="5614" spans="1:2">
      <c r="A5614" s="4">
        <v>39539</v>
      </c>
      <c r="B5614" s="3">
        <v>100.92</v>
      </c>
    </row>
    <row r="5615" spans="1:2">
      <c r="A5615" s="4">
        <v>39540</v>
      </c>
      <c r="B5615" s="3">
        <v>104.83</v>
      </c>
    </row>
    <row r="5616" spans="1:2">
      <c r="A5616" s="4">
        <v>39541</v>
      </c>
      <c r="B5616" s="3">
        <v>103.92</v>
      </c>
    </row>
    <row r="5617" spans="1:2">
      <c r="A5617" s="4">
        <v>39542</v>
      </c>
      <c r="B5617" s="3">
        <v>106.09</v>
      </c>
    </row>
    <row r="5618" spans="1:2">
      <c r="A5618" s="4">
        <v>39545</v>
      </c>
      <c r="B5618" s="3">
        <v>108.91</v>
      </c>
    </row>
    <row r="5619" spans="1:2">
      <c r="A5619" s="4">
        <v>39546</v>
      </c>
      <c r="B5619" s="3">
        <v>108.54</v>
      </c>
    </row>
    <row r="5620" spans="1:2">
      <c r="A5620" s="4">
        <v>39547</v>
      </c>
      <c r="B5620" s="3">
        <v>110.89</v>
      </c>
    </row>
    <row r="5621" spans="1:2">
      <c r="A5621" s="4">
        <v>39548</v>
      </c>
      <c r="B5621" s="3">
        <v>110.07</v>
      </c>
    </row>
    <row r="5622" spans="1:2">
      <c r="A5622" s="4">
        <v>39549</v>
      </c>
      <c r="B5622" s="3">
        <v>110.14</v>
      </c>
    </row>
    <row r="5623" spans="1:2">
      <c r="A5623" s="4">
        <v>39552</v>
      </c>
      <c r="B5623" s="3">
        <v>111.71</v>
      </c>
    </row>
    <row r="5624" spans="1:2">
      <c r="A5624" s="4">
        <v>39553</v>
      </c>
      <c r="B5624" s="3">
        <v>113.77</v>
      </c>
    </row>
    <row r="5625" spans="1:2">
      <c r="A5625" s="4">
        <v>39554</v>
      </c>
      <c r="B5625" s="3">
        <v>114.8</v>
      </c>
    </row>
    <row r="5626" spans="1:2">
      <c r="A5626" s="4">
        <v>39555</v>
      </c>
      <c r="B5626" s="3">
        <v>114.8</v>
      </c>
    </row>
    <row r="5627" spans="1:2">
      <c r="A5627" s="4">
        <v>39556</v>
      </c>
      <c r="B5627" s="3">
        <v>116.56</v>
      </c>
    </row>
    <row r="5628" spans="1:2">
      <c r="A5628" s="4">
        <v>39559</v>
      </c>
      <c r="B5628" s="3">
        <v>117.48</v>
      </c>
    </row>
    <row r="5629" spans="1:2">
      <c r="A5629" s="4">
        <v>39560</v>
      </c>
      <c r="B5629" s="3">
        <v>119.17</v>
      </c>
    </row>
    <row r="5630" spans="1:2">
      <c r="A5630" s="4">
        <v>39561</v>
      </c>
      <c r="B5630" s="3">
        <v>119.28</v>
      </c>
    </row>
    <row r="5631" spans="1:2">
      <c r="A5631" s="4">
        <v>39562</v>
      </c>
      <c r="B5631" s="3">
        <v>117.1</v>
      </c>
    </row>
    <row r="5632" spans="1:2">
      <c r="A5632" s="4">
        <v>39563</v>
      </c>
      <c r="B5632" s="3">
        <v>119.64</v>
      </c>
    </row>
    <row r="5633" spans="1:2">
      <c r="A5633" s="4">
        <v>39566</v>
      </c>
      <c r="B5633" s="3">
        <v>118.78</v>
      </c>
    </row>
    <row r="5634" spans="1:2">
      <c r="A5634" s="4">
        <v>39567</v>
      </c>
      <c r="B5634" s="3">
        <v>115.67</v>
      </c>
    </row>
    <row r="5635" spans="1:2">
      <c r="A5635" s="4">
        <v>39568</v>
      </c>
      <c r="B5635" s="3">
        <v>113.7</v>
      </c>
    </row>
    <row r="5636" spans="1:2">
      <c r="A5636" s="4">
        <v>39569</v>
      </c>
      <c r="B5636" s="3">
        <v>112.6</v>
      </c>
    </row>
    <row r="5637" spans="1:2">
      <c r="A5637" s="4">
        <v>39570</v>
      </c>
      <c r="B5637" s="3">
        <v>116.36</v>
      </c>
    </row>
    <row r="5638" spans="1:2">
      <c r="A5638" s="4">
        <v>39573</v>
      </c>
      <c r="B5638" s="3">
        <v>119.94</v>
      </c>
    </row>
    <row r="5639" spans="1:2">
      <c r="A5639" s="4">
        <v>39574</v>
      </c>
      <c r="B5639" s="3">
        <v>121.82</v>
      </c>
    </row>
    <row r="5640" spans="1:2">
      <c r="A5640" s="4">
        <v>39575</v>
      </c>
      <c r="B5640" s="3">
        <v>123.56</v>
      </c>
    </row>
    <row r="5641" spans="1:2">
      <c r="A5641" s="4">
        <v>39576</v>
      </c>
      <c r="B5641" s="3">
        <v>123.77</v>
      </c>
    </row>
    <row r="5642" spans="1:2">
      <c r="A5642" s="4">
        <v>39577</v>
      </c>
      <c r="B5642" s="3">
        <v>125.94</v>
      </c>
    </row>
    <row r="5643" spans="1:2">
      <c r="A5643" s="4">
        <v>39580</v>
      </c>
      <c r="B5643" s="3">
        <v>124.02</v>
      </c>
    </row>
    <row r="5644" spans="1:2">
      <c r="A5644" s="4">
        <v>39581</v>
      </c>
      <c r="B5644" s="3">
        <v>125.83</v>
      </c>
    </row>
    <row r="5645" spans="1:2">
      <c r="A5645" s="4">
        <v>39582</v>
      </c>
      <c r="B5645" s="3">
        <v>124.21</v>
      </c>
    </row>
    <row r="5646" spans="1:2">
      <c r="A5646" s="4">
        <v>39583</v>
      </c>
      <c r="B5646" s="3">
        <v>124.25</v>
      </c>
    </row>
    <row r="5647" spans="1:2">
      <c r="A5647" s="4">
        <v>39584</v>
      </c>
      <c r="B5647" s="3">
        <v>126.5</v>
      </c>
    </row>
    <row r="5648" spans="1:2">
      <c r="A5648" s="4">
        <v>39587</v>
      </c>
      <c r="B5648" s="3">
        <v>127.15</v>
      </c>
    </row>
    <row r="5649" spans="1:2">
      <c r="A5649" s="4">
        <v>39588</v>
      </c>
      <c r="B5649" s="3">
        <v>128.93</v>
      </c>
    </row>
    <row r="5650" spans="1:2">
      <c r="A5650" s="4">
        <v>39589</v>
      </c>
      <c r="B5650" s="3">
        <v>132.99</v>
      </c>
    </row>
    <row r="5651" spans="1:2">
      <c r="A5651" s="4">
        <v>39590</v>
      </c>
      <c r="B5651" s="3">
        <v>130.04</v>
      </c>
    </row>
    <row r="5652" spans="1:2">
      <c r="A5652" s="4">
        <v>39591</v>
      </c>
      <c r="B5652" s="3">
        <v>131.58000000000001</v>
      </c>
    </row>
    <row r="5653" spans="1:2">
      <c r="A5653" s="4">
        <v>39595</v>
      </c>
      <c r="B5653" s="3">
        <v>128.81</v>
      </c>
    </row>
    <row r="5654" spans="1:2">
      <c r="A5654" s="4">
        <v>39596</v>
      </c>
      <c r="B5654" s="3">
        <v>131</v>
      </c>
    </row>
    <row r="5655" spans="1:2">
      <c r="A5655" s="4">
        <v>39597</v>
      </c>
      <c r="B5655" s="3">
        <v>126.7</v>
      </c>
    </row>
    <row r="5656" spans="1:2">
      <c r="A5656" s="4">
        <v>39598</v>
      </c>
      <c r="B5656" s="3">
        <v>127.35</v>
      </c>
    </row>
    <row r="5657" spans="1:2">
      <c r="A5657" s="4">
        <v>39601</v>
      </c>
      <c r="B5657" s="3">
        <v>127.75</v>
      </c>
    </row>
    <row r="5658" spans="1:2">
      <c r="A5658" s="4">
        <v>39602</v>
      </c>
      <c r="B5658" s="3">
        <v>124.33</v>
      </c>
    </row>
    <row r="5659" spans="1:2">
      <c r="A5659" s="4">
        <v>39603</v>
      </c>
      <c r="B5659" s="3">
        <v>122.3</v>
      </c>
    </row>
    <row r="5660" spans="1:2">
      <c r="A5660" s="4">
        <v>39604</v>
      </c>
      <c r="B5660" s="3">
        <v>127.93</v>
      </c>
    </row>
    <row r="5661" spans="1:2">
      <c r="A5661" s="4">
        <v>39605</v>
      </c>
      <c r="B5661" s="3">
        <v>138.51</v>
      </c>
    </row>
    <row r="5662" spans="1:2">
      <c r="A5662" s="4">
        <v>39608</v>
      </c>
      <c r="B5662" s="3">
        <v>134.44</v>
      </c>
    </row>
    <row r="5663" spans="1:2">
      <c r="A5663" s="4">
        <v>39609</v>
      </c>
      <c r="B5663" s="3">
        <v>131.38</v>
      </c>
    </row>
    <row r="5664" spans="1:2">
      <c r="A5664" s="4">
        <v>39610</v>
      </c>
      <c r="B5664" s="3">
        <v>136.43</v>
      </c>
    </row>
    <row r="5665" spans="1:2">
      <c r="A5665" s="4">
        <v>39611</v>
      </c>
      <c r="B5665" s="3">
        <v>136.91</v>
      </c>
    </row>
    <row r="5666" spans="1:2">
      <c r="A5666" s="4">
        <v>39612</v>
      </c>
      <c r="B5666" s="3">
        <v>134.84</v>
      </c>
    </row>
    <row r="5667" spans="1:2">
      <c r="A5667" s="4">
        <v>39615</v>
      </c>
      <c r="B5667" s="3">
        <v>134.52000000000001</v>
      </c>
    </row>
    <row r="5668" spans="1:2">
      <c r="A5668" s="4">
        <v>39616</v>
      </c>
      <c r="B5668" s="3">
        <v>133.99</v>
      </c>
    </row>
    <row r="5669" spans="1:2">
      <c r="A5669" s="4">
        <v>39617</v>
      </c>
      <c r="B5669" s="3">
        <v>136.54</v>
      </c>
    </row>
    <row r="5670" spans="1:2">
      <c r="A5670" s="4">
        <v>39618</v>
      </c>
      <c r="B5670" s="3">
        <v>131.88</v>
      </c>
    </row>
    <row r="5671" spans="1:2">
      <c r="A5671" s="4">
        <v>39619</v>
      </c>
      <c r="B5671" s="3">
        <v>134.78</v>
      </c>
    </row>
    <row r="5672" spans="1:2">
      <c r="A5672" s="4">
        <v>39622</v>
      </c>
      <c r="B5672" s="3">
        <v>135.97999999999999</v>
      </c>
    </row>
    <row r="5673" spans="1:2">
      <c r="A5673" s="4">
        <v>39623</v>
      </c>
      <c r="B5673" s="3">
        <v>136.49</v>
      </c>
    </row>
    <row r="5674" spans="1:2">
      <c r="A5674" s="4">
        <v>39624</v>
      </c>
      <c r="B5674" s="3">
        <v>133.91999999999999</v>
      </c>
    </row>
    <row r="5675" spans="1:2">
      <c r="A5675" s="4">
        <v>39625</v>
      </c>
      <c r="B5675" s="3">
        <v>138.91</v>
      </c>
    </row>
    <row r="5676" spans="1:2">
      <c r="A5676" s="4">
        <v>39626</v>
      </c>
      <c r="B5676" s="3">
        <v>139.69</v>
      </c>
    </row>
    <row r="5677" spans="1:2">
      <c r="A5677" s="4">
        <v>39629</v>
      </c>
      <c r="B5677" s="3">
        <v>139.96</v>
      </c>
    </row>
    <row r="5678" spans="1:2">
      <c r="A5678" s="4">
        <v>39630</v>
      </c>
      <c r="B5678" s="3">
        <v>141.06</v>
      </c>
    </row>
    <row r="5679" spans="1:2">
      <c r="A5679" s="4">
        <v>39631</v>
      </c>
      <c r="B5679" s="3">
        <v>143.74</v>
      </c>
    </row>
    <row r="5680" spans="1:2">
      <c r="A5680" s="4">
        <v>39632</v>
      </c>
      <c r="B5680" s="3">
        <v>145.31</v>
      </c>
    </row>
    <row r="5681" spans="1:2">
      <c r="A5681" s="4">
        <v>39636</v>
      </c>
      <c r="B5681" s="3">
        <v>141.38</v>
      </c>
    </row>
    <row r="5682" spans="1:2">
      <c r="A5682" s="4">
        <v>39637</v>
      </c>
      <c r="B5682" s="3">
        <v>136.06</v>
      </c>
    </row>
    <row r="5683" spans="1:2">
      <c r="A5683" s="4">
        <v>39638</v>
      </c>
      <c r="B5683" s="3">
        <v>135.88</v>
      </c>
    </row>
    <row r="5684" spans="1:2">
      <c r="A5684" s="4">
        <v>39639</v>
      </c>
      <c r="B5684" s="3">
        <v>141.47</v>
      </c>
    </row>
    <row r="5685" spans="1:2">
      <c r="A5685" s="4">
        <v>39640</v>
      </c>
      <c r="B5685" s="3">
        <v>144.96</v>
      </c>
    </row>
    <row r="5686" spans="1:2">
      <c r="A5686" s="4">
        <v>39643</v>
      </c>
      <c r="B5686" s="3">
        <v>145.16</v>
      </c>
    </row>
    <row r="5687" spans="1:2">
      <c r="A5687" s="4">
        <v>39644</v>
      </c>
      <c r="B5687" s="3">
        <v>138.68</v>
      </c>
    </row>
    <row r="5688" spans="1:2">
      <c r="A5688" s="4">
        <v>39645</v>
      </c>
      <c r="B5688" s="3">
        <v>134.63</v>
      </c>
    </row>
    <row r="5689" spans="1:2">
      <c r="A5689" s="4">
        <v>39646</v>
      </c>
      <c r="B5689" s="3">
        <v>129.43</v>
      </c>
    </row>
    <row r="5690" spans="1:2">
      <c r="A5690" s="4">
        <v>39647</v>
      </c>
      <c r="B5690" s="3">
        <v>128.94</v>
      </c>
    </row>
    <row r="5691" spans="1:2">
      <c r="A5691" s="4">
        <v>39650</v>
      </c>
      <c r="B5691" s="3">
        <v>131.43</v>
      </c>
    </row>
    <row r="5692" spans="1:2">
      <c r="A5692" s="4">
        <v>39651</v>
      </c>
      <c r="B5692" s="3">
        <v>127.25</v>
      </c>
    </row>
    <row r="5693" spans="1:2">
      <c r="A5693" s="4">
        <v>39652</v>
      </c>
      <c r="B5693" s="3">
        <v>123.73</v>
      </c>
    </row>
    <row r="5694" spans="1:2">
      <c r="A5694" s="4">
        <v>39653</v>
      </c>
      <c r="B5694" s="3">
        <v>124.62</v>
      </c>
    </row>
    <row r="5695" spans="1:2">
      <c r="A5695" s="4">
        <v>39654</v>
      </c>
      <c r="B5695" s="3">
        <v>122.59</v>
      </c>
    </row>
    <row r="5696" spans="1:2">
      <c r="A5696" s="4">
        <v>39657</v>
      </c>
      <c r="B5696" s="3">
        <v>124.72</v>
      </c>
    </row>
    <row r="5697" spans="1:2">
      <c r="A5697" s="4">
        <v>39658</v>
      </c>
      <c r="B5697" s="3">
        <v>122.21</v>
      </c>
    </row>
    <row r="5698" spans="1:2">
      <c r="A5698" s="4">
        <v>39659</v>
      </c>
      <c r="B5698" s="3">
        <v>126.74</v>
      </c>
    </row>
    <row r="5699" spans="1:2">
      <c r="A5699" s="4">
        <v>39660</v>
      </c>
      <c r="B5699" s="3">
        <v>124.17</v>
      </c>
    </row>
    <row r="5700" spans="1:2">
      <c r="A5700" s="4">
        <v>39661</v>
      </c>
      <c r="B5700" s="3">
        <v>125.03</v>
      </c>
    </row>
    <row r="5701" spans="1:2">
      <c r="A5701" s="4">
        <v>39664</v>
      </c>
      <c r="B5701" s="3">
        <v>121.45</v>
      </c>
    </row>
    <row r="5702" spans="1:2">
      <c r="A5702" s="4">
        <v>39665</v>
      </c>
      <c r="B5702" s="3">
        <v>118.71</v>
      </c>
    </row>
    <row r="5703" spans="1:2">
      <c r="A5703" s="4">
        <v>39666</v>
      </c>
      <c r="B5703" s="3">
        <v>118.57</v>
      </c>
    </row>
    <row r="5704" spans="1:2">
      <c r="A5704" s="4">
        <v>39667</v>
      </c>
      <c r="B5704" s="3">
        <v>119.84</v>
      </c>
    </row>
    <row r="5705" spans="1:2">
      <c r="A5705" s="4">
        <v>39668</v>
      </c>
      <c r="B5705" s="3">
        <v>115.42</v>
      </c>
    </row>
    <row r="5706" spans="1:2">
      <c r="A5706" s="4">
        <v>39671</v>
      </c>
      <c r="B5706" s="3">
        <v>114.44</v>
      </c>
    </row>
    <row r="5707" spans="1:2">
      <c r="A5707" s="4">
        <v>39672</v>
      </c>
      <c r="B5707" s="3">
        <v>113.1</v>
      </c>
    </row>
    <row r="5708" spans="1:2">
      <c r="A5708" s="4">
        <v>39673</v>
      </c>
      <c r="B5708" s="3">
        <v>115.96</v>
      </c>
    </row>
    <row r="5709" spans="1:2">
      <c r="A5709" s="4">
        <v>39674</v>
      </c>
      <c r="B5709" s="3">
        <v>115.05</v>
      </c>
    </row>
    <row r="5710" spans="1:2">
      <c r="A5710" s="4">
        <v>39675</v>
      </c>
      <c r="B5710" s="3">
        <v>113.46</v>
      </c>
    </row>
    <row r="5711" spans="1:2">
      <c r="A5711" s="4">
        <v>39678</v>
      </c>
      <c r="B5711" s="3">
        <v>112.92</v>
      </c>
    </row>
    <row r="5712" spans="1:2">
      <c r="A5712" s="4">
        <v>39679</v>
      </c>
      <c r="B5712" s="3">
        <v>114.39</v>
      </c>
    </row>
    <row r="5713" spans="1:2">
      <c r="A5713" s="4">
        <v>39680</v>
      </c>
      <c r="B5713" s="3">
        <v>115.48</v>
      </c>
    </row>
    <row r="5714" spans="1:2">
      <c r="A5714" s="4">
        <v>39681</v>
      </c>
      <c r="B5714" s="3">
        <v>121.23</v>
      </c>
    </row>
    <row r="5715" spans="1:2">
      <c r="A5715" s="4">
        <v>39682</v>
      </c>
      <c r="B5715" s="3">
        <v>114.48</v>
      </c>
    </row>
    <row r="5716" spans="1:2">
      <c r="A5716" s="4">
        <v>39685</v>
      </c>
      <c r="B5716" s="3">
        <v>114.85</v>
      </c>
    </row>
    <row r="5717" spans="1:2">
      <c r="A5717" s="4">
        <v>39686</v>
      </c>
      <c r="B5717" s="3">
        <v>116.31</v>
      </c>
    </row>
    <row r="5718" spans="1:2">
      <c r="A5718" s="4">
        <v>39687</v>
      </c>
      <c r="B5718" s="3">
        <v>118.17</v>
      </c>
    </row>
    <row r="5719" spans="1:2">
      <c r="A5719" s="4">
        <v>39688</v>
      </c>
      <c r="B5719" s="3">
        <v>115.58</v>
      </c>
    </row>
    <row r="5720" spans="1:2">
      <c r="A5720" s="4">
        <v>39689</v>
      </c>
      <c r="B5720" s="3">
        <v>115.55</v>
      </c>
    </row>
    <row r="5721" spans="1:2">
      <c r="A5721" s="4">
        <v>39693</v>
      </c>
      <c r="B5721" s="3">
        <v>109.63</v>
      </c>
    </row>
    <row r="5722" spans="1:2">
      <c r="A5722" s="4">
        <v>39694</v>
      </c>
      <c r="B5722" s="3">
        <v>109.38</v>
      </c>
    </row>
    <row r="5723" spans="1:2">
      <c r="A5723" s="4">
        <v>39695</v>
      </c>
      <c r="B5723" s="3">
        <v>107.99</v>
      </c>
    </row>
    <row r="5724" spans="1:2">
      <c r="A5724" s="4">
        <v>39696</v>
      </c>
      <c r="B5724" s="3">
        <v>106.47</v>
      </c>
    </row>
    <row r="5725" spans="1:2">
      <c r="A5725" s="4">
        <v>39699</v>
      </c>
      <c r="B5725" s="3">
        <v>106.35</v>
      </c>
    </row>
    <row r="5726" spans="1:2">
      <c r="A5726" s="4">
        <v>39700</v>
      </c>
      <c r="B5726" s="3">
        <v>103.23</v>
      </c>
    </row>
    <row r="5727" spans="1:2">
      <c r="A5727" s="4">
        <v>39701</v>
      </c>
      <c r="B5727" s="3">
        <v>102.66</v>
      </c>
    </row>
    <row r="5728" spans="1:2">
      <c r="A5728" s="4">
        <v>39702</v>
      </c>
      <c r="B5728" s="3">
        <v>100.95</v>
      </c>
    </row>
    <row r="5729" spans="1:2">
      <c r="A5729" s="4">
        <v>39703</v>
      </c>
      <c r="B5729" s="3">
        <v>101.19</v>
      </c>
    </row>
    <row r="5730" spans="1:2">
      <c r="A5730" s="4">
        <v>39706</v>
      </c>
      <c r="B5730" s="3">
        <v>95.52</v>
      </c>
    </row>
    <row r="5731" spans="1:2">
      <c r="A5731" s="4">
        <v>39707</v>
      </c>
      <c r="B5731" s="3">
        <v>91.49</v>
      </c>
    </row>
    <row r="5732" spans="1:2">
      <c r="A5732" s="4">
        <v>39708</v>
      </c>
      <c r="B5732" s="3">
        <v>97.39</v>
      </c>
    </row>
    <row r="5733" spans="1:2">
      <c r="A5733" s="4">
        <v>39709</v>
      </c>
      <c r="B5733" s="3">
        <v>97.5</v>
      </c>
    </row>
    <row r="5734" spans="1:2">
      <c r="A5734" s="4">
        <v>39710</v>
      </c>
      <c r="B5734" s="3">
        <v>104.05</v>
      </c>
    </row>
    <row r="5735" spans="1:2">
      <c r="A5735" s="4">
        <v>39713</v>
      </c>
      <c r="B5735" s="3">
        <v>122.61</v>
      </c>
    </row>
    <row r="5736" spans="1:2">
      <c r="A5736" s="4">
        <v>39714</v>
      </c>
      <c r="B5736" s="3">
        <v>107.85</v>
      </c>
    </row>
    <row r="5737" spans="1:2">
      <c r="A5737" s="4">
        <v>39715</v>
      </c>
      <c r="B5737" s="3">
        <v>106.84</v>
      </c>
    </row>
    <row r="5738" spans="1:2">
      <c r="A5738" s="4">
        <v>39716</v>
      </c>
      <c r="B5738" s="3">
        <v>111.54</v>
      </c>
    </row>
    <row r="5739" spans="1:2">
      <c r="A5739" s="4">
        <v>39717</v>
      </c>
      <c r="B5739" s="3">
        <v>106.77</v>
      </c>
    </row>
    <row r="5740" spans="1:2">
      <c r="A5740" s="4">
        <v>39720</v>
      </c>
      <c r="B5740" s="3">
        <v>96.29</v>
      </c>
    </row>
    <row r="5741" spans="1:2">
      <c r="A5741" s="4">
        <v>39721</v>
      </c>
      <c r="B5741" s="3">
        <v>100.7</v>
      </c>
    </row>
    <row r="5742" spans="1:2">
      <c r="A5742" s="4">
        <v>39722</v>
      </c>
      <c r="B5742" s="3">
        <v>98.23</v>
      </c>
    </row>
    <row r="5743" spans="1:2">
      <c r="A5743" s="4">
        <v>39723</v>
      </c>
      <c r="B5743" s="3">
        <v>93.84</v>
      </c>
    </row>
    <row r="5744" spans="1:2">
      <c r="A5744" s="4">
        <v>39724</v>
      </c>
      <c r="B5744" s="3">
        <v>93.91</v>
      </c>
    </row>
    <row r="5745" spans="1:2">
      <c r="A5745" s="4">
        <v>39727</v>
      </c>
      <c r="B5745" s="3">
        <v>88.15</v>
      </c>
    </row>
    <row r="5746" spans="1:2">
      <c r="A5746" s="4">
        <v>39728</v>
      </c>
      <c r="B5746" s="3">
        <v>90.18</v>
      </c>
    </row>
    <row r="5747" spans="1:2">
      <c r="A5747" s="4">
        <v>39729</v>
      </c>
      <c r="B5747" s="3">
        <v>88.94</v>
      </c>
    </row>
    <row r="5748" spans="1:2">
      <c r="A5748" s="4">
        <v>39730</v>
      </c>
      <c r="B5748" s="3">
        <v>86.5</v>
      </c>
    </row>
    <row r="5749" spans="1:2">
      <c r="A5749" s="4">
        <v>39731</v>
      </c>
      <c r="B5749" s="3">
        <v>77.44</v>
      </c>
    </row>
    <row r="5750" spans="1:2">
      <c r="A5750" s="4">
        <v>39734</v>
      </c>
      <c r="B5750" s="3">
        <v>81.17</v>
      </c>
    </row>
    <row r="5751" spans="1:2">
      <c r="A5751" s="4">
        <v>39735</v>
      </c>
      <c r="B5751" s="3">
        <v>78.69</v>
      </c>
    </row>
    <row r="5752" spans="1:2">
      <c r="A5752" s="4">
        <v>39736</v>
      </c>
      <c r="B5752" s="3">
        <v>74.38</v>
      </c>
    </row>
    <row r="5753" spans="1:2">
      <c r="A5753" s="4">
        <v>39737</v>
      </c>
      <c r="B5753" s="3">
        <v>69.81</v>
      </c>
    </row>
    <row r="5754" spans="1:2">
      <c r="A5754" s="4">
        <v>39738</v>
      </c>
      <c r="B5754" s="3">
        <v>71.900000000000006</v>
      </c>
    </row>
    <row r="5755" spans="1:2">
      <c r="A5755" s="4">
        <v>39741</v>
      </c>
      <c r="B5755" s="3">
        <v>74.08</v>
      </c>
    </row>
    <row r="5756" spans="1:2">
      <c r="A5756" s="4">
        <v>39742</v>
      </c>
      <c r="B5756" s="3">
        <v>71.290000000000006</v>
      </c>
    </row>
    <row r="5757" spans="1:2">
      <c r="A5757" s="4">
        <v>39743</v>
      </c>
      <c r="B5757" s="3">
        <v>66.92</v>
      </c>
    </row>
    <row r="5758" spans="1:2">
      <c r="A5758" s="4">
        <v>39744</v>
      </c>
      <c r="B5758" s="3">
        <v>67.17</v>
      </c>
    </row>
    <row r="5759" spans="1:2">
      <c r="A5759" s="4">
        <v>39745</v>
      </c>
      <c r="B5759" s="3">
        <v>63.34</v>
      </c>
    </row>
    <row r="5760" spans="1:2">
      <c r="A5760" s="4">
        <v>39748</v>
      </c>
      <c r="B5760" s="3">
        <v>61.92</v>
      </c>
    </row>
    <row r="5761" spans="1:2">
      <c r="A5761" s="4">
        <v>39749</v>
      </c>
      <c r="B5761" s="3">
        <v>62.8</v>
      </c>
    </row>
    <row r="5762" spans="1:2">
      <c r="A5762" s="4">
        <v>39750</v>
      </c>
      <c r="B5762" s="3">
        <v>67.45</v>
      </c>
    </row>
    <row r="5763" spans="1:2">
      <c r="A5763" s="4">
        <v>39751</v>
      </c>
      <c r="B5763" s="3">
        <v>65.790000000000006</v>
      </c>
    </row>
    <row r="5764" spans="1:2">
      <c r="A5764" s="4">
        <v>39752</v>
      </c>
      <c r="B5764" s="3">
        <v>68.099999999999994</v>
      </c>
    </row>
    <row r="5765" spans="1:2">
      <c r="A5765" s="4">
        <v>39755</v>
      </c>
      <c r="B5765" s="3">
        <v>63.93</v>
      </c>
    </row>
    <row r="5766" spans="1:2">
      <c r="A5766" s="4">
        <v>39756</v>
      </c>
      <c r="B5766" s="3">
        <v>70.41</v>
      </c>
    </row>
    <row r="5767" spans="1:2">
      <c r="A5767" s="4">
        <v>39757</v>
      </c>
      <c r="B5767" s="3">
        <v>65.41</v>
      </c>
    </row>
    <row r="5768" spans="1:2">
      <c r="A5768" s="4">
        <v>39758</v>
      </c>
      <c r="B5768" s="3">
        <v>60.72</v>
      </c>
    </row>
    <row r="5769" spans="1:2">
      <c r="A5769" s="4">
        <v>39759</v>
      </c>
      <c r="B5769" s="3">
        <v>61.06</v>
      </c>
    </row>
    <row r="5770" spans="1:2">
      <c r="A5770" s="4">
        <v>39762</v>
      </c>
      <c r="B5770" s="3">
        <v>62.19</v>
      </c>
    </row>
    <row r="5771" spans="1:2">
      <c r="A5771" s="4">
        <v>39763</v>
      </c>
      <c r="B5771" s="3">
        <v>59.38</v>
      </c>
    </row>
    <row r="5772" spans="1:2">
      <c r="A5772" s="4">
        <v>39764</v>
      </c>
      <c r="B5772" s="3">
        <v>55.95</v>
      </c>
    </row>
    <row r="5773" spans="1:2">
      <c r="A5773" s="4">
        <v>39765</v>
      </c>
      <c r="B5773" s="3">
        <v>58.31</v>
      </c>
    </row>
    <row r="5774" spans="1:2">
      <c r="A5774" s="4">
        <v>39766</v>
      </c>
      <c r="B5774" s="3">
        <v>57.18</v>
      </c>
    </row>
    <row r="5775" spans="1:2">
      <c r="A5775" s="4">
        <v>39769</v>
      </c>
      <c r="B5775" s="3">
        <v>55.14</v>
      </c>
    </row>
    <row r="5776" spans="1:2">
      <c r="A5776" s="4">
        <v>39770</v>
      </c>
      <c r="B5776" s="3">
        <v>54.42</v>
      </c>
    </row>
    <row r="5777" spans="1:2">
      <c r="A5777" s="4">
        <v>39771</v>
      </c>
      <c r="B5777" s="3">
        <v>53.64</v>
      </c>
    </row>
    <row r="5778" spans="1:2">
      <c r="A5778" s="4">
        <v>39772</v>
      </c>
      <c r="B5778" s="3">
        <v>48.86</v>
      </c>
    </row>
    <row r="5779" spans="1:2">
      <c r="A5779" s="4">
        <v>39773</v>
      </c>
      <c r="B5779" s="3">
        <v>49.22</v>
      </c>
    </row>
    <row r="5780" spans="1:2">
      <c r="A5780" s="4">
        <v>39776</v>
      </c>
      <c r="B5780" s="3">
        <v>53.63</v>
      </c>
    </row>
    <row r="5781" spans="1:2">
      <c r="A5781" s="4">
        <v>39777</v>
      </c>
      <c r="B5781" s="3">
        <v>50.02</v>
      </c>
    </row>
    <row r="5782" spans="1:2">
      <c r="A5782" s="4">
        <v>39778</v>
      </c>
      <c r="B5782" s="3">
        <v>54.2</v>
      </c>
    </row>
    <row r="5783" spans="1:2">
      <c r="A5783" s="4">
        <v>39780</v>
      </c>
      <c r="B5783" s="3">
        <v>55.21</v>
      </c>
    </row>
    <row r="5784" spans="1:2">
      <c r="A5784" s="4">
        <v>39783</v>
      </c>
      <c r="B5784" s="3">
        <v>49.34</v>
      </c>
    </row>
    <row r="5785" spans="1:2">
      <c r="A5785" s="4">
        <v>39784</v>
      </c>
      <c r="B5785" s="3">
        <v>47.05</v>
      </c>
    </row>
    <row r="5786" spans="1:2">
      <c r="A5786" s="4">
        <v>39785</v>
      </c>
      <c r="B5786" s="3">
        <v>46.79</v>
      </c>
    </row>
    <row r="5787" spans="1:2">
      <c r="A5787" s="4">
        <v>39786</v>
      </c>
      <c r="B5787" s="3">
        <v>43.8</v>
      </c>
    </row>
    <row r="5788" spans="1:2">
      <c r="A5788" s="4">
        <v>39787</v>
      </c>
      <c r="B5788" s="3">
        <v>41.01</v>
      </c>
    </row>
    <row r="5789" spans="1:2">
      <c r="A5789" s="4">
        <v>39790</v>
      </c>
      <c r="B5789" s="3">
        <v>43.69</v>
      </c>
    </row>
    <row r="5790" spans="1:2">
      <c r="A5790" s="4">
        <v>39791</v>
      </c>
      <c r="B5790" s="3">
        <v>42</v>
      </c>
    </row>
    <row r="5791" spans="1:2">
      <c r="A5791" s="4">
        <v>39792</v>
      </c>
      <c r="B5791" s="3">
        <v>43.1</v>
      </c>
    </row>
    <row r="5792" spans="1:2">
      <c r="A5792" s="4">
        <v>39793</v>
      </c>
      <c r="B5792" s="3">
        <v>47.77</v>
      </c>
    </row>
    <row r="5793" spans="1:2">
      <c r="A5793" s="4">
        <v>39794</v>
      </c>
      <c r="B5793" s="3">
        <v>46.27</v>
      </c>
    </row>
    <row r="5794" spans="1:2">
      <c r="A5794" s="4">
        <v>39797</v>
      </c>
      <c r="B5794" s="3">
        <v>44.61</v>
      </c>
    </row>
    <row r="5795" spans="1:2">
      <c r="A5795" s="4">
        <v>39798</v>
      </c>
      <c r="B5795" s="3">
        <v>43.84</v>
      </c>
    </row>
    <row r="5796" spans="1:2">
      <c r="A5796" s="4">
        <v>39799</v>
      </c>
      <c r="B5796" s="3">
        <v>40.17</v>
      </c>
    </row>
    <row r="5797" spans="1:2">
      <c r="A5797" s="4">
        <v>39800</v>
      </c>
      <c r="B5797" s="3">
        <v>36.729999999999997</v>
      </c>
    </row>
    <row r="5798" spans="1:2">
      <c r="A5798" s="4">
        <v>39801</v>
      </c>
      <c r="B5798" s="3">
        <v>33.17</v>
      </c>
    </row>
    <row r="5799" spans="1:2">
      <c r="A5799" s="4">
        <v>39804</v>
      </c>
      <c r="B5799" s="3">
        <v>31.1</v>
      </c>
    </row>
    <row r="5800" spans="1:2">
      <c r="A5800" s="4">
        <v>39805</v>
      </c>
      <c r="B5800" s="3">
        <v>30.28</v>
      </c>
    </row>
    <row r="5801" spans="1:2">
      <c r="A5801" s="4">
        <v>39806</v>
      </c>
      <c r="B5801" s="3">
        <v>32.94</v>
      </c>
    </row>
    <row r="5802" spans="1:2">
      <c r="A5802" s="4">
        <v>39808</v>
      </c>
      <c r="B5802" s="3">
        <v>37.58</v>
      </c>
    </row>
    <row r="5803" spans="1:2">
      <c r="A5803" s="4">
        <v>39811</v>
      </c>
      <c r="B5803" s="3">
        <v>39.89</v>
      </c>
    </row>
    <row r="5804" spans="1:2">
      <c r="A5804" s="4">
        <v>39812</v>
      </c>
      <c r="B5804" s="3">
        <v>38.950000000000003</v>
      </c>
    </row>
    <row r="5805" spans="1:2">
      <c r="A5805" s="4">
        <v>39813</v>
      </c>
      <c r="B5805" s="3">
        <v>44.6</v>
      </c>
    </row>
    <row r="5806" spans="1:2">
      <c r="A5806" s="4">
        <v>39815</v>
      </c>
      <c r="B5806" s="3">
        <v>46.17</v>
      </c>
    </row>
    <row r="5807" spans="1:2">
      <c r="A5807" s="4">
        <v>39818</v>
      </c>
      <c r="B5807" s="3">
        <v>48.61</v>
      </c>
    </row>
    <row r="5808" spans="1:2">
      <c r="A5808" s="4">
        <v>39819</v>
      </c>
      <c r="B5808" s="3">
        <v>48.56</v>
      </c>
    </row>
    <row r="5809" spans="1:2">
      <c r="A5809" s="4">
        <v>39820</v>
      </c>
      <c r="B5809" s="3">
        <v>42.75</v>
      </c>
    </row>
    <row r="5810" spans="1:2">
      <c r="A5810" s="4">
        <v>39821</v>
      </c>
      <c r="B5810" s="3">
        <v>41.68</v>
      </c>
    </row>
    <row r="5811" spans="1:2">
      <c r="A5811" s="4">
        <v>39822</v>
      </c>
      <c r="B5811" s="3">
        <v>40.69</v>
      </c>
    </row>
    <row r="5812" spans="1:2">
      <c r="A5812" s="4">
        <v>39825</v>
      </c>
      <c r="B5812" s="3">
        <v>37.65</v>
      </c>
    </row>
    <row r="5813" spans="1:2">
      <c r="A5813" s="4">
        <v>39826</v>
      </c>
      <c r="B5813" s="3">
        <v>37.770000000000003</v>
      </c>
    </row>
    <row r="5814" spans="1:2">
      <c r="A5814" s="4">
        <v>39827</v>
      </c>
      <c r="B5814" s="3">
        <v>37.43</v>
      </c>
    </row>
    <row r="5815" spans="1:2">
      <c r="A5815" s="4">
        <v>39828</v>
      </c>
      <c r="B5815" s="3">
        <v>35.409999999999997</v>
      </c>
    </row>
    <row r="5816" spans="1:2">
      <c r="A5816" s="4">
        <v>39829</v>
      </c>
      <c r="B5816" s="3">
        <v>35.380000000000003</v>
      </c>
    </row>
    <row r="5817" spans="1:2">
      <c r="A5817" s="4">
        <v>39833</v>
      </c>
      <c r="B5817" s="3">
        <v>38.57</v>
      </c>
    </row>
    <row r="5818" spans="1:2">
      <c r="A5818" s="4">
        <v>39834</v>
      </c>
      <c r="B5818" s="3">
        <v>42.56</v>
      </c>
    </row>
    <row r="5819" spans="1:2">
      <c r="A5819" s="4">
        <v>39835</v>
      </c>
      <c r="B5819" s="3">
        <v>42.33</v>
      </c>
    </row>
    <row r="5820" spans="1:2">
      <c r="A5820" s="4">
        <v>39836</v>
      </c>
      <c r="B5820" s="3">
        <v>45.12</v>
      </c>
    </row>
    <row r="5821" spans="1:2">
      <c r="A5821" s="4">
        <v>39839</v>
      </c>
      <c r="B5821" s="3">
        <v>46.5</v>
      </c>
    </row>
    <row r="5822" spans="1:2">
      <c r="A5822" s="4">
        <v>39840</v>
      </c>
      <c r="B5822" s="3">
        <v>41.67</v>
      </c>
    </row>
    <row r="5823" spans="1:2">
      <c r="A5823" s="4">
        <v>39841</v>
      </c>
      <c r="B5823" s="3">
        <v>42.04</v>
      </c>
    </row>
    <row r="5824" spans="1:2">
      <c r="A5824" s="4">
        <v>39842</v>
      </c>
      <c r="B5824" s="3">
        <v>41.58</v>
      </c>
    </row>
    <row r="5825" spans="1:2">
      <c r="A5825" s="4">
        <v>39843</v>
      </c>
      <c r="B5825" s="3">
        <v>41.73</v>
      </c>
    </row>
    <row r="5826" spans="1:2">
      <c r="A5826" s="4">
        <v>39846</v>
      </c>
      <c r="B5826" s="3">
        <v>41.35</v>
      </c>
    </row>
    <row r="5827" spans="1:2">
      <c r="A5827" s="4">
        <v>39847</v>
      </c>
      <c r="B5827" s="3">
        <v>40.869999999999997</v>
      </c>
    </row>
    <row r="5828" spans="1:2">
      <c r="A5828" s="4">
        <v>39848</v>
      </c>
      <c r="B5828" s="3">
        <v>40.270000000000003</v>
      </c>
    </row>
    <row r="5829" spans="1:2">
      <c r="A5829" s="4">
        <v>39849</v>
      </c>
      <c r="B5829" s="3">
        <v>41.15</v>
      </c>
    </row>
    <row r="5830" spans="1:2">
      <c r="A5830" s="4">
        <v>39850</v>
      </c>
      <c r="B5830" s="3">
        <v>40.24</v>
      </c>
    </row>
    <row r="5831" spans="1:2">
      <c r="A5831" s="4">
        <v>39853</v>
      </c>
      <c r="B5831" s="3">
        <v>39.58</v>
      </c>
    </row>
    <row r="5832" spans="1:2">
      <c r="A5832" s="4">
        <v>39854</v>
      </c>
      <c r="B5832" s="3">
        <v>37.54</v>
      </c>
    </row>
    <row r="5833" spans="1:2">
      <c r="A5833" s="4">
        <v>39855</v>
      </c>
      <c r="B5833" s="3">
        <v>35.93</v>
      </c>
    </row>
    <row r="5834" spans="1:2">
      <c r="A5834" s="4">
        <v>39856</v>
      </c>
      <c r="B5834" s="3">
        <v>34.03</v>
      </c>
    </row>
    <row r="5835" spans="1:2">
      <c r="A5835" s="4">
        <v>39857</v>
      </c>
      <c r="B5835" s="3">
        <v>37.630000000000003</v>
      </c>
    </row>
    <row r="5836" spans="1:2">
      <c r="A5836" s="4">
        <v>39861</v>
      </c>
      <c r="B5836" s="3">
        <v>34.96</v>
      </c>
    </row>
    <row r="5837" spans="1:2">
      <c r="A5837" s="4">
        <v>39862</v>
      </c>
      <c r="B5837" s="3">
        <v>34.67</v>
      </c>
    </row>
    <row r="5838" spans="1:2">
      <c r="A5838" s="4">
        <v>39863</v>
      </c>
      <c r="B5838" s="3">
        <v>39.6</v>
      </c>
    </row>
    <row r="5839" spans="1:2">
      <c r="A5839" s="4">
        <v>39864</v>
      </c>
      <c r="B5839" s="3">
        <v>39.35</v>
      </c>
    </row>
    <row r="5840" spans="1:2">
      <c r="A5840" s="4">
        <v>39867</v>
      </c>
      <c r="B5840" s="3">
        <v>37.659999999999997</v>
      </c>
    </row>
    <row r="5841" spans="1:2">
      <c r="A5841" s="4">
        <v>39868</v>
      </c>
      <c r="B5841" s="3">
        <v>38.86</v>
      </c>
    </row>
    <row r="5842" spans="1:2">
      <c r="A5842" s="4">
        <v>39869</v>
      </c>
      <c r="B5842" s="3">
        <v>41.64</v>
      </c>
    </row>
    <row r="5843" spans="1:2">
      <c r="A5843" s="4">
        <v>39870</v>
      </c>
      <c r="B5843" s="3">
        <v>43.18</v>
      </c>
    </row>
    <row r="5844" spans="1:2">
      <c r="A5844" s="4">
        <v>39871</v>
      </c>
      <c r="B5844" s="3">
        <v>44.15</v>
      </c>
    </row>
    <row r="5845" spans="1:2">
      <c r="A5845" s="4">
        <v>39874</v>
      </c>
      <c r="B5845" s="3">
        <v>40.07</v>
      </c>
    </row>
    <row r="5846" spans="1:2">
      <c r="A5846" s="4">
        <v>39875</v>
      </c>
      <c r="B5846" s="3">
        <v>41.57</v>
      </c>
    </row>
    <row r="5847" spans="1:2">
      <c r="A5847" s="4">
        <v>39876</v>
      </c>
      <c r="B5847" s="3">
        <v>45.28</v>
      </c>
    </row>
    <row r="5848" spans="1:2">
      <c r="A5848" s="4">
        <v>39877</v>
      </c>
      <c r="B5848" s="3">
        <v>43.54</v>
      </c>
    </row>
    <row r="5849" spans="1:2">
      <c r="A5849" s="4">
        <v>39878</v>
      </c>
      <c r="B5849" s="3">
        <v>45.43</v>
      </c>
    </row>
    <row r="5850" spans="1:2">
      <c r="A5850" s="4">
        <v>39881</v>
      </c>
      <c r="B5850" s="3">
        <v>47.01</v>
      </c>
    </row>
    <row r="5851" spans="1:2">
      <c r="A5851" s="4">
        <v>39882</v>
      </c>
      <c r="B5851" s="3">
        <v>45.68</v>
      </c>
    </row>
    <row r="5852" spans="1:2">
      <c r="A5852" s="4">
        <v>39883</v>
      </c>
      <c r="B5852" s="3">
        <v>42.46</v>
      </c>
    </row>
    <row r="5853" spans="1:2">
      <c r="A5853" s="4">
        <v>39884</v>
      </c>
      <c r="B5853" s="3">
        <v>46.91</v>
      </c>
    </row>
    <row r="5854" spans="1:2">
      <c r="A5854" s="4">
        <v>39885</v>
      </c>
      <c r="B5854" s="3">
        <v>46.22</v>
      </c>
    </row>
    <row r="5855" spans="1:2">
      <c r="A5855" s="4">
        <v>39888</v>
      </c>
      <c r="B5855" s="3">
        <v>47.33</v>
      </c>
    </row>
    <row r="5856" spans="1:2">
      <c r="A5856" s="4">
        <v>39889</v>
      </c>
      <c r="B5856" s="3">
        <v>48.97</v>
      </c>
    </row>
    <row r="5857" spans="1:2">
      <c r="A5857" s="4">
        <v>39890</v>
      </c>
      <c r="B5857" s="3">
        <v>48.12</v>
      </c>
    </row>
    <row r="5858" spans="1:2">
      <c r="A5858" s="4">
        <v>39891</v>
      </c>
      <c r="B5858" s="3">
        <v>51.46</v>
      </c>
    </row>
    <row r="5859" spans="1:2">
      <c r="A5859" s="4">
        <v>39892</v>
      </c>
      <c r="B5859" s="3">
        <v>51.55</v>
      </c>
    </row>
    <row r="5860" spans="1:2">
      <c r="A5860" s="4">
        <v>39895</v>
      </c>
      <c r="B5860" s="3">
        <v>53.05</v>
      </c>
    </row>
    <row r="5861" spans="1:2">
      <c r="A5861" s="4">
        <v>39896</v>
      </c>
      <c r="B5861" s="3">
        <v>53.36</v>
      </c>
    </row>
    <row r="5862" spans="1:2">
      <c r="A5862" s="4">
        <v>39897</v>
      </c>
      <c r="B5862" s="3">
        <v>52.24</v>
      </c>
    </row>
    <row r="5863" spans="1:2">
      <c r="A5863" s="4">
        <v>39898</v>
      </c>
      <c r="B5863" s="3">
        <v>53.87</v>
      </c>
    </row>
    <row r="5864" spans="1:2">
      <c r="A5864" s="4">
        <v>39899</v>
      </c>
      <c r="B5864" s="3">
        <v>52.41</v>
      </c>
    </row>
    <row r="5865" spans="1:2">
      <c r="A5865" s="4">
        <v>39902</v>
      </c>
      <c r="B5865" s="3">
        <v>48.49</v>
      </c>
    </row>
    <row r="5866" spans="1:2">
      <c r="A5866" s="4">
        <v>39903</v>
      </c>
      <c r="B5866" s="3">
        <v>49.64</v>
      </c>
    </row>
    <row r="5867" spans="1:2">
      <c r="A5867" s="4">
        <v>39904</v>
      </c>
      <c r="B5867" s="3">
        <v>48.46</v>
      </c>
    </row>
    <row r="5868" spans="1:2">
      <c r="A5868" s="4">
        <v>39905</v>
      </c>
      <c r="B5868" s="3">
        <v>52.61</v>
      </c>
    </row>
    <row r="5869" spans="1:2">
      <c r="A5869" s="4">
        <v>39906</v>
      </c>
      <c r="B5869" s="3">
        <v>52.52</v>
      </c>
    </row>
    <row r="5870" spans="1:2">
      <c r="A5870" s="4">
        <v>39909</v>
      </c>
      <c r="B5870" s="3">
        <v>51.1</v>
      </c>
    </row>
    <row r="5871" spans="1:2">
      <c r="A5871" s="4">
        <v>39910</v>
      </c>
      <c r="B5871" s="3">
        <v>49.13</v>
      </c>
    </row>
    <row r="5872" spans="1:2">
      <c r="A5872" s="4">
        <v>39911</v>
      </c>
      <c r="B5872" s="3">
        <v>49.37</v>
      </c>
    </row>
    <row r="5873" spans="1:2">
      <c r="A5873" s="4">
        <v>39912</v>
      </c>
      <c r="B5873" s="3">
        <v>52.24</v>
      </c>
    </row>
    <row r="5874" spans="1:2">
      <c r="A5874" s="4">
        <v>39916</v>
      </c>
      <c r="B5874" s="3">
        <v>50.22</v>
      </c>
    </row>
    <row r="5875" spans="1:2">
      <c r="A5875" s="4">
        <v>39917</v>
      </c>
      <c r="B5875" s="3">
        <v>49.51</v>
      </c>
    </row>
    <row r="5876" spans="1:2">
      <c r="A5876" s="4">
        <v>39918</v>
      </c>
      <c r="B5876" s="3">
        <v>49.26</v>
      </c>
    </row>
    <row r="5877" spans="1:2">
      <c r="A5877" s="4">
        <v>39919</v>
      </c>
      <c r="B5877" s="3">
        <v>49.97</v>
      </c>
    </row>
    <row r="5878" spans="1:2">
      <c r="A5878" s="4">
        <v>39920</v>
      </c>
      <c r="B5878" s="3">
        <v>50.36</v>
      </c>
    </row>
    <row r="5879" spans="1:2">
      <c r="A5879" s="4">
        <v>39923</v>
      </c>
      <c r="B5879" s="3">
        <v>45.82</v>
      </c>
    </row>
    <row r="5880" spans="1:2">
      <c r="A5880" s="4">
        <v>39924</v>
      </c>
      <c r="B5880" s="3">
        <v>46.65</v>
      </c>
    </row>
    <row r="5881" spans="1:2">
      <c r="A5881" s="4">
        <v>39925</v>
      </c>
      <c r="B5881" s="3">
        <v>47.41</v>
      </c>
    </row>
    <row r="5882" spans="1:2">
      <c r="A5882" s="4">
        <v>39926</v>
      </c>
      <c r="B5882" s="3">
        <v>48.46</v>
      </c>
    </row>
    <row r="5883" spans="1:2">
      <c r="A5883" s="4">
        <v>39927</v>
      </c>
      <c r="B5883" s="3">
        <v>50.65</v>
      </c>
    </row>
    <row r="5884" spans="1:2">
      <c r="A5884" s="4">
        <v>39930</v>
      </c>
      <c r="B5884" s="3">
        <v>49.29</v>
      </c>
    </row>
    <row r="5885" spans="1:2">
      <c r="A5885" s="4">
        <v>39931</v>
      </c>
      <c r="B5885" s="3">
        <v>49.01</v>
      </c>
    </row>
    <row r="5886" spans="1:2">
      <c r="A5886" s="4">
        <v>39932</v>
      </c>
      <c r="B5886" s="3">
        <v>50.19</v>
      </c>
    </row>
    <row r="5887" spans="1:2">
      <c r="A5887" s="4">
        <v>39933</v>
      </c>
      <c r="B5887" s="3">
        <v>50.35</v>
      </c>
    </row>
    <row r="5888" spans="1:2">
      <c r="A5888" s="4">
        <v>39934</v>
      </c>
      <c r="B5888" s="3">
        <v>52.18</v>
      </c>
    </row>
    <row r="5889" spans="1:2">
      <c r="A5889" s="4">
        <v>39937</v>
      </c>
      <c r="B5889" s="3">
        <v>54.45</v>
      </c>
    </row>
    <row r="5890" spans="1:2">
      <c r="A5890" s="4">
        <v>39938</v>
      </c>
      <c r="B5890" s="3">
        <v>53.81</v>
      </c>
    </row>
    <row r="5891" spans="1:2">
      <c r="A5891" s="4">
        <v>39939</v>
      </c>
      <c r="B5891" s="3">
        <v>56.29</v>
      </c>
    </row>
    <row r="5892" spans="1:2">
      <c r="A5892" s="4">
        <v>39940</v>
      </c>
      <c r="B5892" s="3">
        <v>56.67</v>
      </c>
    </row>
    <row r="5893" spans="1:2">
      <c r="A5893" s="4">
        <v>39941</v>
      </c>
      <c r="B5893" s="3">
        <v>58.58</v>
      </c>
    </row>
    <row r="5894" spans="1:2">
      <c r="A5894" s="4">
        <v>39944</v>
      </c>
      <c r="B5894" s="3">
        <v>57.79</v>
      </c>
    </row>
    <row r="5895" spans="1:2">
      <c r="A5895" s="4">
        <v>39945</v>
      </c>
      <c r="B5895" s="3">
        <v>58.81</v>
      </c>
    </row>
    <row r="5896" spans="1:2">
      <c r="A5896" s="4">
        <v>39946</v>
      </c>
      <c r="B5896" s="3">
        <v>58</v>
      </c>
    </row>
    <row r="5897" spans="1:2">
      <c r="A5897" s="4">
        <v>39947</v>
      </c>
      <c r="B5897" s="3">
        <v>58.58</v>
      </c>
    </row>
    <row r="5898" spans="1:2">
      <c r="A5898" s="4">
        <v>39948</v>
      </c>
      <c r="B5898" s="3">
        <v>56.52</v>
      </c>
    </row>
    <row r="5899" spans="1:2">
      <c r="A5899" s="4">
        <v>39951</v>
      </c>
      <c r="B5899" s="3">
        <v>58.99</v>
      </c>
    </row>
    <row r="5900" spans="1:2">
      <c r="A5900" s="4">
        <v>39952</v>
      </c>
      <c r="B5900" s="3">
        <v>59.52</v>
      </c>
    </row>
    <row r="5901" spans="1:2">
      <c r="A5901" s="4">
        <v>39953</v>
      </c>
      <c r="B5901" s="3">
        <v>61.45</v>
      </c>
    </row>
    <row r="5902" spans="1:2">
      <c r="A5902" s="4">
        <v>39954</v>
      </c>
      <c r="B5902" s="3">
        <v>60.49</v>
      </c>
    </row>
    <row r="5903" spans="1:2">
      <c r="A5903" s="4">
        <v>39955</v>
      </c>
      <c r="B5903" s="3">
        <v>61.15</v>
      </c>
    </row>
    <row r="5904" spans="1:2">
      <c r="A5904" s="4">
        <v>39959</v>
      </c>
      <c r="B5904" s="3">
        <v>62.48</v>
      </c>
    </row>
    <row r="5905" spans="1:2">
      <c r="A5905" s="4">
        <v>39960</v>
      </c>
      <c r="B5905" s="3">
        <v>63.41</v>
      </c>
    </row>
    <row r="5906" spans="1:2">
      <c r="A5906" s="4">
        <v>39961</v>
      </c>
      <c r="B5906" s="3">
        <v>65.09</v>
      </c>
    </row>
    <row r="5907" spans="1:2">
      <c r="A5907" s="4">
        <v>39962</v>
      </c>
      <c r="B5907" s="3">
        <v>66.31</v>
      </c>
    </row>
    <row r="5908" spans="1:2">
      <c r="A5908" s="4">
        <v>39965</v>
      </c>
      <c r="B5908" s="3">
        <v>68.59</v>
      </c>
    </row>
    <row r="5909" spans="1:2">
      <c r="A5909" s="4">
        <v>39966</v>
      </c>
      <c r="B5909" s="3">
        <v>68.58</v>
      </c>
    </row>
    <row r="5910" spans="1:2">
      <c r="A5910" s="4">
        <v>39967</v>
      </c>
      <c r="B5910" s="3">
        <v>66.14</v>
      </c>
    </row>
    <row r="5911" spans="1:2">
      <c r="A5911" s="4">
        <v>39968</v>
      </c>
      <c r="B5911" s="3">
        <v>68.8</v>
      </c>
    </row>
    <row r="5912" spans="1:2">
      <c r="A5912" s="4">
        <v>39969</v>
      </c>
      <c r="B5912" s="3">
        <v>68.430000000000007</v>
      </c>
    </row>
    <row r="5913" spans="1:2">
      <c r="A5913" s="4">
        <v>39972</v>
      </c>
      <c r="B5913" s="3">
        <v>68.05</v>
      </c>
    </row>
    <row r="5914" spans="1:2">
      <c r="A5914" s="4">
        <v>39973</v>
      </c>
      <c r="B5914" s="3">
        <v>70.02</v>
      </c>
    </row>
    <row r="5915" spans="1:2">
      <c r="A5915" s="4">
        <v>39974</v>
      </c>
      <c r="B5915" s="3">
        <v>71.38</v>
      </c>
    </row>
    <row r="5916" spans="1:2">
      <c r="A5916" s="4">
        <v>39975</v>
      </c>
      <c r="B5916" s="3">
        <v>72.69</v>
      </c>
    </row>
    <row r="5917" spans="1:2">
      <c r="A5917" s="4">
        <v>39976</v>
      </c>
      <c r="B5917" s="3">
        <v>72.13</v>
      </c>
    </row>
    <row r="5918" spans="1:2">
      <c r="A5918" s="4">
        <v>39979</v>
      </c>
      <c r="B5918" s="3">
        <v>70.540000000000006</v>
      </c>
    </row>
    <row r="5919" spans="1:2">
      <c r="A5919" s="4">
        <v>39980</v>
      </c>
      <c r="B5919" s="3">
        <v>70.47</v>
      </c>
    </row>
    <row r="5920" spans="1:2">
      <c r="A5920" s="4">
        <v>39981</v>
      </c>
      <c r="B5920" s="3">
        <v>71.069999999999993</v>
      </c>
    </row>
    <row r="5921" spans="1:2">
      <c r="A5921" s="4">
        <v>39982</v>
      </c>
      <c r="B5921" s="3">
        <v>71.42</v>
      </c>
    </row>
    <row r="5922" spans="1:2">
      <c r="A5922" s="4">
        <v>39983</v>
      </c>
      <c r="B5922" s="3">
        <v>69.599999999999994</v>
      </c>
    </row>
    <row r="5923" spans="1:2">
      <c r="A5923" s="4">
        <v>39986</v>
      </c>
      <c r="B5923" s="3">
        <v>67.09</v>
      </c>
    </row>
    <row r="5924" spans="1:2">
      <c r="A5924" s="4">
        <v>39987</v>
      </c>
      <c r="B5924" s="3">
        <v>68.81</v>
      </c>
    </row>
    <row r="5925" spans="1:2">
      <c r="A5925" s="4">
        <v>39988</v>
      </c>
      <c r="B5925" s="3">
        <v>68.14</v>
      </c>
    </row>
    <row r="5926" spans="1:2">
      <c r="A5926" s="4">
        <v>39989</v>
      </c>
      <c r="B5926" s="3">
        <v>69.7</v>
      </c>
    </row>
    <row r="5927" spans="1:2">
      <c r="A5927" s="4">
        <v>39990</v>
      </c>
      <c r="B5927" s="3">
        <v>69.16</v>
      </c>
    </row>
    <row r="5928" spans="1:2">
      <c r="A5928" s="4">
        <v>39993</v>
      </c>
      <c r="B5928" s="3">
        <v>71.47</v>
      </c>
    </row>
    <row r="5929" spans="1:2">
      <c r="A5929" s="4">
        <v>39994</v>
      </c>
      <c r="B5929" s="3">
        <v>69.819999999999993</v>
      </c>
    </row>
    <row r="5930" spans="1:2">
      <c r="A5930" s="4">
        <v>39995</v>
      </c>
      <c r="B5930" s="3">
        <v>69.319999999999993</v>
      </c>
    </row>
    <row r="5931" spans="1:2">
      <c r="A5931" s="4">
        <v>39996</v>
      </c>
      <c r="B5931" s="3">
        <v>66.680000000000007</v>
      </c>
    </row>
    <row r="5932" spans="1:2">
      <c r="A5932" s="4">
        <v>40000</v>
      </c>
      <c r="B5932" s="3">
        <v>64.06</v>
      </c>
    </row>
    <row r="5933" spans="1:2">
      <c r="A5933" s="4">
        <v>40001</v>
      </c>
      <c r="B5933" s="3">
        <v>62.88</v>
      </c>
    </row>
    <row r="5934" spans="1:2">
      <c r="A5934" s="4">
        <v>40002</v>
      </c>
      <c r="B5934" s="3">
        <v>60.15</v>
      </c>
    </row>
    <row r="5935" spans="1:2">
      <c r="A5935" s="4">
        <v>40003</v>
      </c>
      <c r="B5935" s="3">
        <v>60.36</v>
      </c>
    </row>
    <row r="5936" spans="1:2">
      <c r="A5936" s="4">
        <v>40004</v>
      </c>
      <c r="B5936" s="3">
        <v>59.93</v>
      </c>
    </row>
    <row r="5937" spans="1:2">
      <c r="A5937" s="4">
        <v>40007</v>
      </c>
      <c r="B5937" s="3">
        <v>59.69</v>
      </c>
    </row>
    <row r="5938" spans="1:2">
      <c r="A5938" s="4">
        <v>40008</v>
      </c>
      <c r="B5938" s="3">
        <v>59.62</v>
      </c>
    </row>
    <row r="5939" spans="1:2">
      <c r="A5939" s="4">
        <v>40009</v>
      </c>
      <c r="B5939" s="3">
        <v>61.49</v>
      </c>
    </row>
    <row r="5940" spans="1:2">
      <c r="A5940" s="4">
        <v>40010</v>
      </c>
      <c r="B5940" s="3">
        <v>62.07</v>
      </c>
    </row>
    <row r="5941" spans="1:2">
      <c r="A5941" s="4">
        <v>40011</v>
      </c>
      <c r="B5941" s="3">
        <v>63.56</v>
      </c>
    </row>
    <row r="5942" spans="1:2">
      <c r="A5942" s="4">
        <v>40014</v>
      </c>
      <c r="B5942" s="3">
        <v>63.93</v>
      </c>
    </row>
    <row r="5943" spans="1:2">
      <c r="A5943" s="4">
        <v>40015</v>
      </c>
      <c r="B5943" s="3">
        <v>64.81</v>
      </c>
    </row>
    <row r="5944" spans="1:2">
      <c r="A5944" s="4">
        <v>40016</v>
      </c>
      <c r="B5944" s="3">
        <v>64.58</v>
      </c>
    </row>
    <row r="5945" spans="1:2">
      <c r="A5945" s="4">
        <v>40017</v>
      </c>
      <c r="B5945" s="3">
        <v>66.099999999999994</v>
      </c>
    </row>
    <row r="5946" spans="1:2">
      <c r="A5946" s="4">
        <v>40018</v>
      </c>
      <c r="B5946" s="3">
        <v>66.959999999999994</v>
      </c>
    </row>
    <row r="5947" spans="1:2">
      <c r="A5947" s="4">
        <v>40021</v>
      </c>
      <c r="B5947" s="3">
        <v>68.34</v>
      </c>
    </row>
    <row r="5948" spans="1:2">
      <c r="A5948" s="4">
        <v>40022</v>
      </c>
      <c r="B5948" s="3">
        <v>67.239999999999995</v>
      </c>
    </row>
    <row r="5949" spans="1:2">
      <c r="A5949" s="4">
        <v>40023</v>
      </c>
      <c r="B5949" s="3">
        <v>63.42</v>
      </c>
    </row>
    <row r="5950" spans="1:2">
      <c r="A5950" s="4">
        <v>40024</v>
      </c>
      <c r="B5950" s="3">
        <v>66.900000000000006</v>
      </c>
    </row>
    <row r="5951" spans="1:2">
      <c r="A5951" s="4">
        <v>40025</v>
      </c>
      <c r="B5951" s="3">
        <v>69.260000000000005</v>
      </c>
    </row>
    <row r="5952" spans="1:2">
      <c r="A5952" s="4">
        <v>40028</v>
      </c>
      <c r="B5952" s="3">
        <v>71.59</v>
      </c>
    </row>
    <row r="5953" spans="1:2">
      <c r="A5953" s="4">
        <v>40029</v>
      </c>
      <c r="B5953" s="3">
        <v>71.400000000000006</v>
      </c>
    </row>
    <row r="5954" spans="1:2">
      <c r="A5954" s="4">
        <v>40030</v>
      </c>
      <c r="B5954" s="3">
        <v>71.97</v>
      </c>
    </row>
    <row r="5955" spans="1:2">
      <c r="A5955" s="4">
        <v>40031</v>
      </c>
      <c r="B5955" s="3">
        <v>71.959999999999994</v>
      </c>
    </row>
    <row r="5956" spans="1:2">
      <c r="A5956" s="4">
        <v>40032</v>
      </c>
      <c r="B5956" s="3">
        <v>70.97</v>
      </c>
    </row>
    <row r="5957" spans="1:2">
      <c r="A5957" s="4">
        <v>40035</v>
      </c>
      <c r="B5957" s="3">
        <v>70.59</v>
      </c>
    </row>
    <row r="5958" spans="1:2">
      <c r="A5958" s="4">
        <v>40036</v>
      </c>
      <c r="B5958" s="3">
        <v>69.459999999999994</v>
      </c>
    </row>
    <row r="5959" spans="1:2">
      <c r="A5959" s="4">
        <v>40037</v>
      </c>
      <c r="B5959" s="3">
        <v>70.08</v>
      </c>
    </row>
    <row r="5960" spans="1:2">
      <c r="A5960" s="4">
        <v>40038</v>
      </c>
      <c r="B5960" s="3">
        <v>70.569999999999993</v>
      </c>
    </row>
    <row r="5961" spans="1:2">
      <c r="A5961" s="4">
        <v>40039</v>
      </c>
      <c r="B5961" s="3">
        <v>67.510000000000005</v>
      </c>
    </row>
    <row r="5962" spans="1:2">
      <c r="A5962" s="4">
        <v>40042</v>
      </c>
      <c r="B5962" s="3">
        <v>66.72</v>
      </c>
    </row>
    <row r="5963" spans="1:2">
      <c r="A5963" s="4">
        <v>40043</v>
      </c>
      <c r="B5963" s="3">
        <v>69.22</v>
      </c>
    </row>
    <row r="5964" spans="1:2">
      <c r="A5964" s="4">
        <v>40044</v>
      </c>
      <c r="B5964" s="3">
        <v>72.540000000000006</v>
      </c>
    </row>
    <row r="5965" spans="1:2">
      <c r="A5965" s="4">
        <v>40045</v>
      </c>
      <c r="B5965" s="3">
        <v>72.400000000000006</v>
      </c>
    </row>
    <row r="5966" spans="1:2">
      <c r="A5966" s="4">
        <v>40046</v>
      </c>
      <c r="B5966" s="3">
        <v>73.12</v>
      </c>
    </row>
    <row r="5967" spans="1:2">
      <c r="A5967" s="4">
        <v>40049</v>
      </c>
      <c r="B5967" s="3">
        <v>73.680000000000007</v>
      </c>
    </row>
    <row r="5968" spans="1:2">
      <c r="A5968" s="4">
        <v>40050</v>
      </c>
      <c r="B5968" s="3">
        <v>71.599999999999994</v>
      </c>
    </row>
    <row r="5969" spans="1:2">
      <c r="A5969" s="4">
        <v>40051</v>
      </c>
      <c r="B5969" s="3">
        <v>71.38</v>
      </c>
    </row>
    <row r="5970" spans="1:2">
      <c r="A5970" s="4">
        <v>40052</v>
      </c>
      <c r="B5970" s="3">
        <v>72.489999999999995</v>
      </c>
    </row>
    <row r="5971" spans="1:2">
      <c r="A5971" s="4">
        <v>40053</v>
      </c>
      <c r="B5971" s="3">
        <v>72.72</v>
      </c>
    </row>
    <row r="5972" spans="1:2">
      <c r="A5972" s="4">
        <v>40056</v>
      </c>
      <c r="B5972" s="3">
        <v>69.97</v>
      </c>
    </row>
    <row r="5973" spans="1:2">
      <c r="A5973" s="4">
        <v>40057</v>
      </c>
      <c r="B5973" s="3">
        <v>68.11</v>
      </c>
    </row>
    <row r="5974" spans="1:2">
      <c r="A5974" s="4">
        <v>40058</v>
      </c>
      <c r="B5974" s="3">
        <v>68.03</v>
      </c>
    </row>
    <row r="5975" spans="1:2">
      <c r="A5975" s="4">
        <v>40059</v>
      </c>
      <c r="B5975" s="3">
        <v>67.900000000000006</v>
      </c>
    </row>
    <row r="5976" spans="1:2">
      <c r="A5976" s="4">
        <v>40060</v>
      </c>
      <c r="B5976" s="3">
        <v>67.95</v>
      </c>
    </row>
    <row r="5977" spans="1:2">
      <c r="A5977" s="4">
        <v>40064</v>
      </c>
      <c r="B5977" s="3">
        <v>71.08</v>
      </c>
    </row>
    <row r="5978" spans="1:2">
      <c r="A5978" s="4">
        <v>40065</v>
      </c>
      <c r="B5978" s="3">
        <v>71.27</v>
      </c>
    </row>
    <row r="5979" spans="1:2">
      <c r="A5979" s="4">
        <v>40066</v>
      </c>
      <c r="B5979" s="3">
        <v>71.95</v>
      </c>
    </row>
    <row r="5980" spans="1:2">
      <c r="A5980" s="4">
        <v>40067</v>
      </c>
      <c r="B5980" s="3">
        <v>69.34</v>
      </c>
    </row>
    <row r="5981" spans="1:2">
      <c r="A5981" s="4">
        <v>40070</v>
      </c>
      <c r="B5981" s="3">
        <v>68.86</v>
      </c>
    </row>
    <row r="5982" spans="1:2">
      <c r="A5982" s="4">
        <v>40071</v>
      </c>
      <c r="B5982" s="3">
        <v>70.81</v>
      </c>
    </row>
    <row r="5983" spans="1:2">
      <c r="A5983" s="4">
        <v>40072</v>
      </c>
      <c r="B5983" s="3">
        <v>72.5</v>
      </c>
    </row>
    <row r="5984" spans="1:2">
      <c r="A5984" s="4">
        <v>40073</v>
      </c>
      <c r="B5984" s="3">
        <v>72.48</v>
      </c>
    </row>
    <row r="5985" spans="1:2">
      <c r="A5985" s="4">
        <v>40074</v>
      </c>
      <c r="B5985" s="3">
        <v>71.95</v>
      </c>
    </row>
    <row r="5986" spans="1:2">
      <c r="A5986" s="4">
        <v>40077</v>
      </c>
      <c r="B5986" s="3">
        <v>69.739999999999995</v>
      </c>
    </row>
    <row r="5987" spans="1:2">
      <c r="A5987" s="4">
        <v>40078</v>
      </c>
      <c r="B5987" s="3">
        <v>71.5</v>
      </c>
    </row>
    <row r="5988" spans="1:2">
      <c r="A5988" s="4">
        <v>40079</v>
      </c>
      <c r="B5988" s="3">
        <v>68.739999999999995</v>
      </c>
    </row>
    <row r="5989" spans="1:2">
      <c r="A5989" s="4">
        <v>40080</v>
      </c>
      <c r="B5989" s="3">
        <v>65.739999999999995</v>
      </c>
    </row>
    <row r="5990" spans="1:2">
      <c r="A5990" s="4">
        <v>40081</v>
      </c>
      <c r="B5990" s="3">
        <v>65.91</v>
      </c>
    </row>
    <row r="5991" spans="1:2">
      <c r="A5991" s="4">
        <v>40084</v>
      </c>
      <c r="B5991" s="3">
        <v>66.69</v>
      </c>
    </row>
    <row r="5992" spans="1:2">
      <c r="A5992" s="4">
        <v>40085</v>
      </c>
      <c r="B5992" s="3">
        <v>66.56</v>
      </c>
    </row>
    <row r="5993" spans="1:2">
      <c r="A5993" s="4">
        <v>40086</v>
      </c>
      <c r="B5993" s="3">
        <v>70.459999999999994</v>
      </c>
    </row>
    <row r="5994" spans="1:2">
      <c r="A5994" s="4">
        <v>40087</v>
      </c>
      <c r="B5994" s="3">
        <v>70.67</v>
      </c>
    </row>
    <row r="5995" spans="1:2">
      <c r="A5995" s="4">
        <v>40088</v>
      </c>
      <c r="B5995" s="3">
        <v>69.8</v>
      </c>
    </row>
    <row r="5996" spans="1:2">
      <c r="A5996" s="4">
        <v>40091</v>
      </c>
      <c r="B5996" s="3">
        <v>70.260000000000005</v>
      </c>
    </row>
    <row r="5997" spans="1:2">
      <c r="A5997" s="4">
        <v>40092</v>
      </c>
      <c r="B5997" s="3">
        <v>70.709999999999994</v>
      </c>
    </row>
    <row r="5998" spans="1:2">
      <c r="A5998" s="4">
        <v>40093</v>
      </c>
      <c r="B5998" s="3">
        <v>69.599999999999994</v>
      </c>
    </row>
    <row r="5999" spans="1:2">
      <c r="A5999" s="4">
        <v>40094</v>
      </c>
      <c r="B5999" s="3">
        <v>71.69</v>
      </c>
    </row>
    <row r="6000" spans="1:2">
      <c r="A6000" s="4">
        <v>40095</v>
      </c>
      <c r="B6000" s="3">
        <v>71.75</v>
      </c>
    </row>
    <row r="6001" spans="1:2">
      <c r="A6001" s="4">
        <v>40098</v>
      </c>
      <c r="B6001" s="3">
        <v>73.239999999999995</v>
      </c>
    </row>
    <row r="6002" spans="1:2">
      <c r="A6002" s="4">
        <v>40099</v>
      </c>
      <c r="B6002" s="3">
        <v>74.099999999999994</v>
      </c>
    </row>
    <row r="6003" spans="1:2">
      <c r="A6003" s="4">
        <v>40100</v>
      </c>
      <c r="B6003" s="3">
        <v>75.2</v>
      </c>
    </row>
    <row r="6004" spans="1:2">
      <c r="A6004" s="4">
        <v>40101</v>
      </c>
      <c r="B6004" s="3">
        <v>77.55</v>
      </c>
    </row>
    <row r="6005" spans="1:2">
      <c r="A6005" s="4">
        <v>40102</v>
      </c>
      <c r="B6005" s="3">
        <v>78.540000000000006</v>
      </c>
    </row>
    <row r="6006" spans="1:2">
      <c r="A6006" s="4">
        <v>40105</v>
      </c>
      <c r="B6006" s="3">
        <v>79.47</v>
      </c>
    </row>
    <row r="6007" spans="1:2">
      <c r="A6007" s="4">
        <v>40106</v>
      </c>
      <c r="B6007" s="3">
        <v>78.87</v>
      </c>
    </row>
    <row r="6008" spans="1:2">
      <c r="A6008" s="4">
        <v>40107</v>
      </c>
      <c r="B6008" s="3">
        <v>81.03</v>
      </c>
    </row>
    <row r="6009" spans="1:2">
      <c r="A6009" s="4">
        <v>40108</v>
      </c>
      <c r="B6009" s="3">
        <v>80.819999999999993</v>
      </c>
    </row>
    <row r="6010" spans="1:2">
      <c r="A6010" s="4">
        <v>40109</v>
      </c>
      <c r="B6010" s="3">
        <v>80.11</v>
      </c>
    </row>
    <row r="6011" spans="1:2">
      <c r="A6011" s="4">
        <v>40112</v>
      </c>
      <c r="B6011" s="3">
        <v>78.61</v>
      </c>
    </row>
    <row r="6012" spans="1:2">
      <c r="A6012" s="4">
        <v>40113</v>
      </c>
      <c r="B6012" s="3">
        <v>79.45</v>
      </c>
    </row>
    <row r="6013" spans="1:2">
      <c r="A6013" s="4">
        <v>40114</v>
      </c>
      <c r="B6013" s="3">
        <v>77.39</v>
      </c>
    </row>
    <row r="6014" spans="1:2">
      <c r="A6014" s="4">
        <v>40115</v>
      </c>
      <c r="B6014" s="3">
        <v>79.84</v>
      </c>
    </row>
    <row r="6015" spans="1:2">
      <c r="A6015" s="4">
        <v>40116</v>
      </c>
      <c r="B6015" s="3">
        <v>77.040000000000006</v>
      </c>
    </row>
    <row r="6016" spans="1:2">
      <c r="A6016" s="4">
        <v>40119</v>
      </c>
      <c r="B6016" s="3">
        <v>78.08</v>
      </c>
    </row>
    <row r="6017" spans="1:2">
      <c r="A6017" s="4">
        <v>40120</v>
      </c>
      <c r="B6017" s="3">
        <v>79.58</v>
      </c>
    </row>
    <row r="6018" spans="1:2">
      <c r="A6018" s="4">
        <v>40121</v>
      </c>
      <c r="B6018" s="3">
        <v>80.3</v>
      </c>
    </row>
    <row r="6019" spans="1:2">
      <c r="A6019" s="4">
        <v>40122</v>
      </c>
      <c r="B6019" s="3">
        <v>79.64</v>
      </c>
    </row>
    <row r="6020" spans="1:2">
      <c r="A6020" s="4">
        <v>40123</v>
      </c>
      <c r="B6020" s="3">
        <v>77.400000000000006</v>
      </c>
    </row>
    <row r="6021" spans="1:2">
      <c r="A6021" s="4">
        <v>40126</v>
      </c>
      <c r="B6021" s="3">
        <v>79.44</v>
      </c>
    </row>
    <row r="6022" spans="1:2">
      <c r="A6022" s="4">
        <v>40127</v>
      </c>
      <c r="B6022" s="3">
        <v>79.010000000000005</v>
      </c>
    </row>
    <row r="6023" spans="1:2">
      <c r="A6023" s="4">
        <v>40128</v>
      </c>
      <c r="B6023" s="3">
        <v>79.16</v>
      </c>
    </row>
    <row r="6024" spans="1:2">
      <c r="A6024" s="4">
        <v>40129</v>
      </c>
      <c r="B6024" s="3">
        <v>77.25</v>
      </c>
    </row>
    <row r="6025" spans="1:2">
      <c r="A6025" s="4">
        <v>40130</v>
      </c>
      <c r="B6025" s="3">
        <v>76.34</v>
      </c>
    </row>
    <row r="6026" spans="1:2">
      <c r="A6026" s="4">
        <v>40133</v>
      </c>
      <c r="B6026" s="3">
        <v>78.91</v>
      </c>
    </row>
    <row r="6027" spans="1:2">
      <c r="A6027" s="4">
        <v>40134</v>
      </c>
      <c r="B6027" s="3">
        <v>79.08</v>
      </c>
    </row>
    <row r="6028" spans="1:2">
      <c r="A6028" s="4">
        <v>40135</v>
      </c>
      <c r="B6028" s="3">
        <v>79.55</v>
      </c>
    </row>
    <row r="6029" spans="1:2">
      <c r="A6029" s="4">
        <v>40136</v>
      </c>
      <c r="B6029" s="3">
        <v>77.47</v>
      </c>
    </row>
    <row r="6030" spans="1:2">
      <c r="A6030" s="4">
        <v>40137</v>
      </c>
      <c r="B6030" s="3">
        <v>76.83</v>
      </c>
    </row>
    <row r="6031" spans="1:2">
      <c r="A6031" s="4">
        <v>40140</v>
      </c>
      <c r="B6031" s="3">
        <v>76.489999999999995</v>
      </c>
    </row>
    <row r="6032" spans="1:2">
      <c r="A6032" s="4">
        <v>40141</v>
      </c>
      <c r="B6032" s="3">
        <v>74.88</v>
      </c>
    </row>
    <row r="6033" spans="1:2">
      <c r="A6033" s="4">
        <v>40142</v>
      </c>
      <c r="B6033" s="3">
        <v>77.25</v>
      </c>
    </row>
    <row r="6034" spans="1:2">
      <c r="A6034" s="4">
        <v>40144</v>
      </c>
      <c r="B6034" s="3">
        <v>75.95</v>
      </c>
    </row>
    <row r="6035" spans="1:2">
      <c r="A6035" s="4">
        <v>40147</v>
      </c>
      <c r="B6035" s="3">
        <v>77.19</v>
      </c>
    </row>
    <row r="6036" spans="1:2">
      <c r="A6036" s="4">
        <v>40148</v>
      </c>
      <c r="B6036" s="3">
        <v>78.39</v>
      </c>
    </row>
    <row r="6037" spans="1:2">
      <c r="A6037" s="4">
        <v>40149</v>
      </c>
      <c r="B6037" s="3">
        <v>76.62</v>
      </c>
    </row>
    <row r="6038" spans="1:2">
      <c r="A6038" s="4">
        <v>40150</v>
      </c>
      <c r="B6038" s="3">
        <v>76.42</v>
      </c>
    </row>
    <row r="6039" spans="1:2">
      <c r="A6039" s="4">
        <v>40151</v>
      </c>
      <c r="B6039" s="3">
        <v>75.41</v>
      </c>
    </row>
    <row r="6040" spans="1:2">
      <c r="A6040" s="4">
        <v>40154</v>
      </c>
      <c r="B6040" s="3">
        <v>73.89</v>
      </c>
    </row>
    <row r="6041" spans="1:2">
      <c r="A6041" s="4">
        <v>40155</v>
      </c>
      <c r="B6041" s="3">
        <v>72.59</v>
      </c>
    </row>
    <row r="6042" spans="1:2">
      <c r="A6042" s="4">
        <v>40156</v>
      </c>
      <c r="B6042" s="3">
        <v>70.67</v>
      </c>
    </row>
    <row r="6043" spans="1:2">
      <c r="A6043" s="4">
        <v>40157</v>
      </c>
      <c r="B6043" s="3">
        <v>70.540000000000006</v>
      </c>
    </row>
    <row r="6044" spans="1:2">
      <c r="A6044" s="4">
        <v>40158</v>
      </c>
      <c r="B6044" s="3">
        <v>69.86</v>
      </c>
    </row>
    <row r="6045" spans="1:2">
      <c r="A6045" s="4">
        <v>40161</v>
      </c>
      <c r="B6045" s="3">
        <v>69.48</v>
      </c>
    </row>
    <row r="6046" spans="1:2">
      <c r="A6046" s="4">
        <v>40162</v>
      </c>
      <c r="B6046" s="3">
        <v>70.62</v>
      </c>
    </row>
    <row r="6047" spans="1:2">
      <c r="A6047" s="4">
        <v>40163</v>
      </c>
      <c r="B6047" s="3">
        <v>72.64</v>
      </c>
    </row>
    <row r="6048" spans="1:2">
      <c r="A6048" s="4">
        <v>40164</v>
      </c>
      <c r="B6048" s="3">
        <v>72.58</v>
      </c>
    </row>
    <row r="6049" spans="1:2">
      <c r="A6049" s="4">
        <v>40165</v>
      </c>
      <c r="B6049" s="3">
        <v>73.3</v>
      </c>
    </row>
    <row r="6050" spans="1:2">
      <c r="A6050" s="4">
        <v>40168</v>
      </c>
      <c r="B6050" s="3">
        <v>72.709999999999994</v>
      </c>
    </row>
    <row r="6051" spans="1:2">
      <c r="A6051" s="4">
        <v>40169</v>
      </c>
      <c r="B6051" s="3">
        <v>73.48</v>
      </c>
    </row>
    <row r="6052" spans="1:2">
      <c r="A6052" s="4">
        <v>40170</v>
      </c>
      <c r="B6052" s="3">
        <v>76.03</v>
      </c>
    </row>
    <row r="6053" spans="1:2">
      <c r="A6053" s="4">
        <v>40171</v>
      </c>
      <c r="B6053" s="3">
        <v>76.83</v>
      </c>
    </row>
    <row r="6054" spans="1:2">
      <c r="A6054" s="4">
        <v>40175</v>
      </c>
      <c r="B6054" s="3">
        <v>78.67</v>
      </c>
    </row>
    <row r="6055" spans="1:2">
      <c r="A6055" s="4">
        <v>40176</v>
      </c>
      <c r="B6055" s="3">
        <v>78.87</v>
      </c>
    </row>
    <row r="6056" spans="1:2">
      <c r="A6056" s="4">
        <v>40177</v>
      </c>
      <c r="B6056" s="3">
        <v>79.349999999999994</v>
      </c>
    </row>
    <row r="6057" spans="1:2">
      <c r="A6057" s="4">
        <v>40178</v>
      </c>
      <c r="B6057" s="3">
        <v>79.39</v>
      </c>
    </row>
    <row r="6058" spans="1:2">
      <c r="A6058" s="4">
        <v>40182</v>
      </c>
      <c r="B6058" s="3">
        <v>81.52</v>
      </c>
    </row>
    <row r="6059" spans="1:2">
      <c r="A6059" s="4">
        <v>40183</v>
      </c>
      <c r="B6059" s="3">
        <v>81.739999999999995</v>
      </c>
    </row>
    <row r="6060" spans="1:2">
      <c r="A6060" s="4">
        <v>40184</v>
      </c>
      <c r="B6060" s="3">
        <v>83.12</v>
      </c>
    </row>
    <row r="6061" spans="1:2">
      <c r="A6061" s="4">
        <v>40185</v>
      </c>
      <c r="B6061" s="3">
        <v>82.6</v>
      </c>
    </row>
    <row r="6062" spans="1:2">
      <c r="A6062" s="4">
        <v>40186</v>
      </c>
      <c r="B6062" s="3">
        <v>82.74</v>
      </c>
    </row>
    <row r="6063" spans="1:2">
      <c r="A6063" s="4">
        <v>40189</v>
      </c>
      <c r="B6063" s="3">
        <v>82.54</v>
      </c>
    </row>
    <row r="6064" spans="1:2">
      <c r="A6064" s="4">
        <v>40190</v>
      </c>
      <c r="B6064" s="3">
        <v>80.790000000000006</v>
      </c>
    </row>
    <row r="6065" spans="1:2">
      <c r="A6065" s="4">
        <v>40191</v>
      </c>
      <c r="B6065" s="3">
        <v>79.66</v>
      </c>
    </row>
    <row r="6066" spans="1:2">
      <c r="A6066" s="4">
        <v>40192</v>
      </c>
      <c r="B6066" s="3">
        <v>79.349999999999994</v>
      </c>
    </row>
    <row r="6067" spans="1:2">
      <c r="A6067" s="4">
        <v>40193</v>
      </c>
      <c r="B6067" s="3">
        <v>77.959999999999994</v>
      </c>
    </row>
    <row r="6068" spans="1:2">
      <c r="A6068" s="4">
        <v>40197</v>
      </c>
      <c r="B6068" s="3">
        <v>78.98</v>
      </c>
    </row>
    <row r="6069" spans="1:2">
      <c r="A6069" s="4">
        <v>40198</v>
      </c>
      <c r="B6069" s="3">
        <v>77.42</v>
      </c>
    </row>
    <row r="6070" spans="1:2">
      <c r="A6070" s="4">
        <v>40199</v>
      </c>
      <c r="B6070" s="3">
        <v>75.84</v>
      </c>
    </row>
    <row r="6071" spans="1:2">
      <c r="A6071" s="4">
        <v>40200</v>
      </c>
      <c r="B6071" s="3">
        <v>74.25</v>
      </c>
    </row>
    <row r="6072" spans="1:2">
      <c r="A6072" s="4">
        <v>40203</v>
      </c>
      <c r="B6072" s="3">
        <v>74.900000000000006</v>
      </c>
    </row>
    <row r="6073" spans="1:2">
      <c r="A6073" s="4">
        <v>40204</v>
      </c>
      <c r="B6073" s="3">
        <v>74.67</v>
      </c>
    </row>
    <row r="6074" spans="1:2">
      <c r="A6074" s="4">
        <v>40205</v>
      </c>
      <c r="B6074" s="3">
        <v>73.64</v>
      </c>
    </row>
    <row r="6075" spans="1:2">
      <c r="A6075" s="4">
        <v>40206</v>
      </c>
      <c r="B6075" s="3">
        <v>73.62</v>
      </c>
    </row>
    <row r="6076" spans="1:2">
      <c r="A6076" s="4">
        <v>40207</v>
      </c>
      <c r="B6076" s="3">
        <v>72.849999999999994</v>
      </c>
    </row>
    <row r="6077" spans="1:2">
      <c r="A6077" s="4">
        <v>40210</v>
      </c>
      <c r="B6077" s="3">
        <v>74.41</v>
      </c>
    </row>
    <row r="6078" spans="1:2">
      <c r="A6078" s="4">
        <v>40211</v>
      </c>
      <c r="B6078" s="3">
        <v>77.209999999999994</v>
      </c>
    </row>
    <row r="6079" spans="1:2">
      <c r="A6079" s="4">
        <v>40212</v>
      </c>
      <c r="B6079" s="3">
        <v>76.959999999999994</v>
      </c>
    </row>
    <row r="6080" spans="1:2">
      <c r="A6080" s="4">
        <v>40213</v>
      </c>
      <c r="B6080" s="3">
        <v>73.13</v>
      </c>
    </row>
    <row r="6081" spans="1:2">
      <c r="A6081" s="4">
        <v>40214</v>
      </c>
      <c r="B6081" s="3">
        <v>71.150000000000006</v>
      </c>
    </row>
    <row r="6082" spans="1:2">
      <c r="A6082" s="4">
        <v>40217</v>
      </c>
      <c r="B6082" s="3">
        <v>71.87</v>
      </c>
    </row>
    <row r="6083" spans="1:2">
      <c r="A6083" s="4">
        <v>40218</v>
      </c>
      <c r="B6083" s="3">
        <v>73.709999999999994</v>
      </c>
    </row>
    <row r="6084" spans="1:2">
      <c r="A6084" s="4">
        <v>40219</v>
      </c>
      <c r="B6084" s="3">
        <v>74.48</v>
      </c>
    </row>
    <row r="6085" spans="1:2">
      <c r="A6085" s="4">
        <v>40220</v>
      </c>
      <c r="B6085" s="3">
        <v>75.23</v>
      </c>
    </row>
    <row r="6086" spans="1:2">
      <c r="A6086" s="4">
        <v>40221</v>
      </c>
      <c r="B6086" s="3">
        <v>74.11</v>
      </c>
    </row>
    <row r="6087" spans="1:2">
      <c r="A6087" s="4">
        <v>40225</v>
      </c>
      <c r="B6087" s="3">
        <v>76.98</v>
      </c>
    </row>
    <row r="6088" spans="1:2">
      <c r="A6088" s="4">
        <v>40226</v>
      </c>
      <c r="B6088" s="3">
        <v>77.27</v>
      </c>
    </row>
    <row r="6089" spans="1:2">
      <c r="A6089" s="4">
        <v>40227</v>
      </c>
      <c r="B6089" s="3">
        <v>78.97</v>
      </c>
    </row>
    <row r="6090" spans="1:2">
      <c r="A6090" s="4">
        <v>40228</v>
      </c>
      <c r="B6090" s="3">
        <v>79.77</v>
      </c>
    </row>
    <row r="6091" spans="1:2">
      <c r="A6091" s="4">
        <v>40231</v>
      </c>
      <c r="B6091" s="3">
        <v>80.040000000000006</v>
      </c>
    </row>
    <row r="6092" spans="1:2">
      <c r="A6092" s="4">
        <v>40232</v>
      </c>
      <c r="B6092" s="3">
        <v>78.61</v>
      </c>
    </row>
    <row r="6093" spans="1:2">
      <c r="A6093" s="4">
        <v>40233</v>
      </c>
      <c r="B6093" s="3">
        <v>79.75</v>
      </c>
    </row>
    <row r="6094" spans="1:2">
      <c r="A6094" s="4">
        <v>40234</v>
      </c>
      <c r="B6094" s="3">
        <v>77.989999999999995</v>
      </c>
    </row>
    <row r="6095" spans="1:2">
      <c r="A6095" s="4">
        <v>40235</v>
      </c>
      <c r="B6095" s="3">
        <v>79.72</v>
      </c>
    </row>
    <row r="6096" spans="1:2">
      <c r="A6096" s="4">
        <v>40238</v>
      </c>
      <c r="B6096" s="3">
        <v>78.709999999999994</v>
      </c>
    </row>
    <row r="6097" spans="1:2">
      <c r="A6097" s="4">
        <v>40239</v>
      </c>
      <c r="B6097" s="3">
        <v>79.62</v>
      </c>
    </row>
    <row r="6098" spans="1:2">
      <c r="A6098" s="4">
        <v>40240</v>
      </c>
      <c r="B6098" s="3">
        <v>80.91</v>
      </c>
    </row>
    <row r="6099" spans="1:2">
      <c r="A6099" s="4">
        <v>40241</v>
      </c>
      <c r="B6099" s="3">
        <v>80.209999999999994</v>
      </c>
    </row>
    <row r="6100" spans="1:2">
      <c r="A6100" s="4">
        <v>40242</v>
      </c>
      <c r="B6100" s="3">
        <v>81.5</v>
      </c>
    </row>
    <row r="6101" spans="1:2">
      <c r="A6101" s="4">
        <v>40245</v>
      </c>
      <c r="B6101" s="3">
        <v>81.849999999999994</v>
      </c>
    </row>
    <row r="6102" spans="1:2">
      <c r="A6102" s="4">
        <v>40246</v>
      </c>
      <c r="B6102" s="3">
        <v>81.5</v>
      </c>
    </row>
    <row r="6103" spans="1:2">
      <c r="A6103" s="4">
        <v>40247</v>
      </c>
      <c r="B6103" s="3">
        <v>82.07</v>
      </c>
    </row>
    <row r="6104" spans="1:2">
      <c r="A6104" s="4">
        <v>40248</v>
      </c>
      <c r="B6104" s="3">
        <v>82.1</v>
      </c>
    </row>
    <row r="6105" spans="1:2">
      <c r="A6105" s="4">
        <v>40249</v>
      </c>
      <c r="B6105" s="3">
        <v>81.260000000000005</v>
      </c>
    </row>
    <row r="6106" spans="1:2">
      <c r="A6106" s="4">
        <v>40252</v>
      </c>
      <c r="B6106" s="3">
        <v>79.790000000000006</v>
      </c>
    </row>
    <row r="6107" spans="1:2">
      <c r="A6107" s="4">
        <v>40253</v>
      </c>
      <c r="B6107" s="3">
        <v>81.75</v>
      </c>
    </row>
    <row r="6108" spans="1:2">
      <c r="A6108" s="4">
        <v>40254</v>
      </c>
      <c r="B6108" s="3">
        <v>82.93</v>
      </c>
    </row>
    <row r="6109" spans="1:2">
      <c r="A6109" s="4">
        <v>40255</v>
      </c>
      <c r="B6109" s="3">
        <v>82.16</v>
      </c>
    </row>
    <row r="6110" spans="1:2">
      <c r="A6110" s="4">
        <v>40256</v>
      </c>
      <c r="B6110" s="3">
        <v>80.58</v>
      </c>
    </row>
    <row r="6111" spans="1:2">
      <c r="A6111" s="4">
        <v>40259</v>
      </c>
      <c r="B6111" s="3">
        <v>81.260000000000005</v>
      </c>
    </row>
    <row r="6112" spans="1:2">
      <c r="A6112" s="4">
        <v>40260</v>
      </c>
      <c r="B6112" s="3">
        <v>81.680000000000007</v>
      </c>
    </row>
    <row r="6113" spans="1:2">
      <c r="A6113" s="4">
        <v>40261</v>
      </c>
      <c r="B6113" s="3">
        <v>80.290000000000006</v>
      </c>
    </row>
    <row r="6114" spans="1:2">
      <c r="A6114" s="4">
        <v>40262</v>
      </c>
      <c r="B6114" s="3">
        <v>80.25</v>
      </c>
    </row>
    <row r="6115" spans="1:2">
      <c r="A6115" s="4">
        <v>40263</v>
      </c>
      <c r="B6115" s="3">
        <v>79.75</v>
      </c>
    </row>
    <row r="6116" spans="1:2">
      <c r="A6116" s="4">
        <v>40266</v>
      </c>
      <c r="B6116" s="3">
        <v>81.92</v>
      </c>
    </row>
    <row r="6117" spans="1:2">
      <c r="A6117" s="4">
        <v>40267</v>
      </c>
      <c r="B6117" s="3">
        <v>82.14</v>
      </c>
    </row>
    <row r="6118" spans="1:2">
      <c r="A6118" s="4">
        <v>40268</v>
      </c>
      <c r="B6118" s="3">
        <v>83.45</v>
      </c>
    </row>
    <row r="6119" spans="1:2">
      <c r="A6119" s="4">
        <v>40269</v>
      </c>
      <c r="B6119" s="3">
        <v>84.53</v>
      </c>
    </row>
    <row r="6120" spans="1:2">
      <c r="A6120" s="4">
        <v>40273</v>
      </c>
      <c r="B6120" s="3">
        <v>86.36</v>
      </c>
    </row>
    <row r="6121" spans="1:2">
      <c r="A6121" s="4">
        <v>40274</v>
      </c>
      <c r="B6121" s="3">
        <v>86.54</v>
      </c>
    </row>
    <row r="6122" spans="1:2">
      <c r="A6122" s="4">
        <v>40275</v>
      </c>
      <c r="B6122" s="3">
        <v>85.64</v>
      </c>
    </row>
    <row r="6123" spans="1:2">
      <c r="A6123" s="4">
        <v>40276</v>
      </c>
      <c r="B6123" s="3">
        <v>85.17</v>
      </c>
    </row>
    <row r="6124" spans="1:2">
      <c r="A6124" s="4">
        <v>40277</v>
      </c>
      <c r="B6124" s="3">
        <v>84.6</v>
      </c>
    </row>
    <row r="6125" spans="1:2">
      <c r="A6125" s="4">
        <v>40280</v>
      </c>
      <c r="B6125" s="3">
        <v>84.07</v>
      </c>
    </row>
    <row r="6126" spans="1:2">
      <c r="A6126" s="4">
        <v>40281</v>
      </c>
      <c r="B6126" s="3">
        <v>83.8</v>
      </c>
    </row>
    <row r="6127" spans="1:2">
      <c r="A6127" s="4">
        <v>40282</v>
      </c>
      <c r="B6127" s="3">
        <v>85.62</v>
      </c>
    </row>
    <row r="6128" spans="1:2">
      <c r="A6128" s="4">
        <v>40283</v>
      </c>
      <c r="B6128" s="3">
        <v>85.25</v>
      </c>
    </row>
    <row r="6129" spans="1:2">
      <c r="A6129" s="4">
        <v>40284</v>
      </c>
      <c r="B6129" s="3">
        <v>82.97</v>
      </c>
    </row>
    <row r="6130" spans="1:2">
      <c r="A6130" s="4">
        <v>40287</v>
      </c>
      <c r="B6130" s="3">
        <v>81.52</v>
      </c>
    </row>
    <row r="6131" spans="1:2">
      <c r="A6131" s="4">
        <v>40288</v>
      </c>
      <c r="B6131" s="3">
        <v>82.98</v>
      </c>
    </row>
    <row r="6132" spans="1:2">
      <c r="A6132" s="4">
        <v>40289</v>
      </c>
      <c r="B6132" s="3">
        <v>82.78</v>
      </c>
    </row>
    <row r="6133" spans="1:2">
      <c r="A6133" s="4">
        <v>40290</v>
      </c>
      <c r="B6133" s="3">
        <v>82.89</v>
      </c>
    </row>
    <row r="6134" spans="1:2">
      <c r="A6134" s="4">
        <v>40291</v>
      </c>
      <c r="B6134" s="3">
        <v>84.34</v>
      </c>
    </row>
    <row r="6135" spans="1:2">
      <c r="A6135" s="4">
        <v>40294</v>
      </c>
      <c r="B6135" s="3">
        <v>84.2</v>
      </c>
    </row>
    <row r="6136" spans="1:2">
      <c r="A6136" s="4">
        <v>40295</v>
      </c>
      <c r="B6136" s="3">
        <v>82.43</v>
      </c>
    </row>
    <row r="6137" spans="1:2">
      <c r="A6137" s="4">
        <v>40296</v>
      </c>
      <c r="B6137" s="3">
        <v>83.22</v>
      </c>
    </row>
    <row r="6138" spans="1:2">
      <c r="A6138" s="4">
        <v>40297</v>
      </c>
      <c r="B6138" s="3">
        <v>85.17</v>
      </c>
    </row>
    <row r="6139" spans="1:2">
      <c r="A6139" s="4">
        <v>40298</v>
      </c>
      <c r="B6139" s="3">
        <v>86.07</v>
      </c>
    </row>
    <row r="6140" spans="1:2">
      <c r="A6140" s="4">
        <v>40301</v>
      </c>
      <c r="B6140" s="3">
        <v>86.19</v>
      </c>
    </row>
    <row r="6141" spans="1:2">
      <c r="A6141" s="4">
        <v>40302</v>
      </c>
      <c r="B6141" s="3">
        <v>82.73</v>
      </c>
    </row>
    <row r="6142" spans="1:2">
      <c r="A6142" s="4">
        <v>40303</v>
      </c>
      <c r="B6142" s="3">
        <v>80</v>
      </c>
    </row>
    <row r="6143" spans="1:2">
      <c r="A6143" s="4">
        <v>40304</v>
      </c>
      <c r="B6143" s="3">
        <v>77.180000000000007</v>
      </c>
    </row>
    <row r="6144" spans="1:2">
      <c r="A6144" s="4">
        <v>40305</v>
      </c>
      <c r="B6144" s="3">
        <v>75.099999999999994</v>
      </c>
    </row>
    <row r="6145" spans="1:2">
      <c r="A6145" s="4">
        <v>40308</v>
      </c>
      <c r="B6145" s="3">
        <v>76.89</v>
      </c>
    </row>
    <row r="6146" spans="1:2">
      <c r="A6146" s="4">
        <v>40309</v>
      </c>
      <c r="B6146" s="3">
        <v>76.37</v>
      </c>
    </row>
    <row r="6147" spans="1:2">
      <c r="A6147" s="4">
        <v>40310</v>
      </c>
      <c r="B6147" s="3">
        <v>75.650000000000006</v>
      </c>
    </row>
    <row r="6148" spans="1:2">
      <c r="A6148" s="4">
        <v>40311</v>
      </c>
      <c r="B6148" s="3">
        <v>74.38</v>
      </c>
    </row>
    <row r="6149" spans="1:2">
      <c r="A6149" s="4">
        <v>40312</v>
      </c>
      <c r="B6149" s="3">
        <v>71.61</v>
      </c>
    </row>
    <row r="6150" spans="1:2">
      <c r="A6150" s="4">
        <v>40315</v>
      </c>
      <c r="B6150" s="3">
        <v>70.08</v>
      </c>
    </row>
    <row r="6151" spans="1:2">
      <c r="A6151" s="4">
        <v>40316</v>
      </c>
      <c r="B6151" s="3">
        <v>69.38</v>
      </c>
    </row>
    <row r="6152" spans="1:2">
      <c r="A6152" s="4">
        <v>40317</v>
      </c>
      <c r="B6152" s="3">
        <v>69.91</v>
      </c>
    </row>
    <row r="6153" spans="1:2">
      <c r="A6153" s="4">
        <v>40318</v>
      </c>
      <c r="B6153" s="3">
        <v>68.28</v>
      </c>
    </row>
    <row r="6154" spans="1:2">
      <c r="A6154" s="4">
        <v>40319</v>
      </c>
      <c r="B6154" s="3">
        <v>68.03</v>
      </c>
    </row>
    <row r="6155" spans="1:2">
      <c r="A6155" s="4">
        <v>40322</v>
      </c>
      <c r="B6155" s="3">
        <v>68.23</v>
      </c>
    </row>
    <row r="6156" spans="1:2">
      <c r="A6156" s="4">
        <v>40323</v>
      </c>
      <c r="B6156" s="3">
        <v>64.78</v>
      </c>
    </row>
    <row r="6157" spans="1:2">
      <c r="A6157" s="4">
        <v>40324</v>
      </c>
      <c r="B6157" s="3">
        <v>71.52</v>
      </c>
    </row>
    <row r="6158" spans="1:2">
      <c r="A6158" s="4">
        <v>40325</v>
      </c>
      <c r="B6158" s="3">
        <v>74.56</v>
      </c>
    </row>
    <row r="6159" spans="1:2">
      <c r="A6159" s="4">
        <v>40326</v>
      </c>
      <c r="B6159" s="3">
        <v>74</v>
      </c>
    </row>
    <row r="6160" spans="1:2">
      <c r="A6160" s="4">
        <v>40330</v>
      </c>
      <c r="B6160" s="3">
        <v>72.7</v>
      </c>
    </row>
    <row r="6161" spans="1:2">
      <c r="A6161" s="4">
        <v>40331</v>
      </c>
      <c r="B6161" s="3">
        <v>72.88</v>
      </c>
    </row>
    <row r="6162" spans="1:2">
      <c r="A6162" s="4">
        <v>40332</v>
      </c>
      <c r="B6162" s="3">
        <v>74.62</v>
      </c>
    </row>
    <row r="6163" spans="1:2">
      <c r="A6163" s="4">
        <v>40333</v>
      </c>
      <c r="B6163" s="3">
        <v>71.430000000000007</v>
      </c>
    </row>
    <row r="6164" spans="1:2">
      <c r="A6164" s="4">
        <v>40336</v>
      </c>
      <c r="B6164" s="3">
        <v>71.55</v>
      </c>
    </row>
    <row r="6165" spans="1:2">
      <c r="A6165" s="4">
        <v>40337</v>
      </c>
      <c r="B6165" s="3">
        <v>71.88</v>
      </c>
    </row>
    <row r="6166" spans="1:2">
      <c r="A6166" s="4">
        <v>40338</v>
      </c>
      <c r="B6166" s="3">
        <v>74.38</v>
      </c>
    </row>
    <row r="6167" spans="1:2">
      <c r="A6167" s="4">
        <v>40339</v>
      </c>
      <c r="B6167" s="3">
        <v>75.48</v>
      </c>
    </row>
    <row r="6168" spans="1:2">
      <c r="A6168" s="4">
        <v>40340</v>
      </c>
      <c r="B6168" s="3">
        <v>73.89</v>
      </c>
    </row>
    <row r="6169" spans="1:2">
      <c r="A6169" s="4">
        <v>40343</v>
      </c>
      <c r="B6169" s="3">
        <v>74.989999999999995</v>
      </c>
    </row>
    <row r="6170" spans="1:2">
      <c r="A6170" s="4">
        <v>40344</v>
      </c>
      <c r="B6170" s="3">
        <v>76.84</v>
      </c>
    </row>
    <row r="6171" spans="1:2">
      <c r="A6171" s="4">
        <v>40345</v>
      </c>
      <c r="B6171" s="3">
        <v>77.67</v>
      </c>
    </row>
    <row r="6172" spans="1:2">
      <c r="A6172" s="4">
        <v>40346</v>
      </c>
      <c r="B6172" s="3">
        <v>76.819999999999993</v>
      </c>
    </row>
    <row r="6173" spans="1:2">
      <c r="A6173" s="4">
        <v>40347</v>
      </c>
      <c r="B6173" s="3">
        <v>77.180000000000007</v>
      </c>
    </row>
    <row r="6174" spans="1:2">
      <c r="A6174" s="4">
        <v>40350</v>
      </c>
      <c r="B6174" s="3">
        <v>77.84</v>
      </c>
    </row>
    <row r="6175" spans="1:2">
      <c r="A6175" s="4">
        <v>40351</v>
      </c>
      <c r="B6175" s="3">
        <v>77.150000000000006</v>
      </c>
    </row>
    <row r="6176" spans="1:2">
      <c r="A6176" s="4">
        <v>40352</v>
      </c>
      <c r="B6176" s="3">
        <v>75.900000000000006</v>
      </c>
    </row>
    <row r="6177" spans="1:2">
      <c r="A6177" s="4">
        <v>40353</v>
      </c>
      <c r="B6177" s="3">
        <v>75.959999999999994</v>
      </c>
    </row>
    <row r="6178" spans="1:2">
      <c r="A6178" s="4">
        <v>40354</v>
      </c>
      <c r="B6178" s="3">
        <v>78.45</v>
      </c>
    </row>
    <row r="6179" spans="1:2">
      <c r="A6179" s="4">
        <v>40357</v>
      </c>
      <c r="B6179" s="3">
        <v>78.260000000000005</v>
      </c>
    </row>
    <row r="6180" spans="1:2">
      <c r="A6180" s="4">
        <v>40358</v>
      </c>
      <c r="B6180" s="3">
        <v>75.930000000000007</v>
      </c>
    </row>
    <row r="6181" spans="1:2">
      <c r="A6181" s="4">
        <v>40359</v>
      </c>
      <c r="B6181" s="3">
        <v>75.59</v>
      </c>
    </row>
    <row r="6182" spans="1:2">
      <c r="A6182" s="4">
        <v>40360</v>
      </c>
      <c r="B6182" s="3">
        <v>72.95</v>
      </c>
    </row>
    <row r="6183" spans="1:2">
      <c r="A6183" s="4">
        <v>40361</v>
      </c>
      <c r="B6183" s="3">
        <v>72.06</v>
      </c>
    </row>
    <row r="6184" spans="1:2">
      <c r="A6184" s="4">
        <v>40365</v>
      </c>
      <c r="B6184" s="3">
        <v>71.959999999999994</v>
      </c>
    </row>
    <row r="6185" spans="1:2">
      <c r="A6185" s="4">
        <v>40366</v>
      </c>
      <c r="B6185" s="3">
        <v>74.05</v>
      </c>
    </row>
    <row r="6186" spans="1:2">
      <c r="A6186" s="4">
        <v>40367</v>
      </c>
      <c r="B6186" s="3">
        <v>75.459999999999994</v>
      </c>
    </row>
    <row r="6187" spans="1:2">
      <c r="A6187" s="4">
        <v>40368</v>
      </c>
      <c r="B6187" s="3">
        <v>76.08</v>
      </c>
    </row>
    <row r="6188" spans="1:2">
      <c r="A6188" s="4">
        <v>40371</v>
      </c>
      <c r="B6188" s="3">
        <v>74.930000000000007</v>
      </c>
    </row>
    <row r="6189" spans="1:2">
      <c r="A6189" s="4">
        <v>40372</v>
      </c>
      <c r="B6189" s="3">
        <v>77.16</v>
      </c>
    </row>
    <row r="6190" spans="1:2">
      <c r="A6190" s="4">
        <v>40373</v>
      </c>
      <c r="B6190" s="3">
        <v>77.02</v>
      </c>
    </row>
    <row r="6191" spans="1:2">
      <c r="A6191" s="4">
        <v>40374</v>
      </c>
      <c r="B6191" s="3">
        <v>76.67</v>
      </c>
    </row>
    <row r="6192" spans="1:2">
      <c r="A6192" s="4">
        <v>40375</v>
      </c>
      <c r="B6192" s="3">
        <v>75.959999999999994</v>
      </c>
    </row>
    <row r="6193" spans="1:2">
      <c r="A6193" s="4">
        <v>40378</v>
      </c>
      <c r="B6193" s="3">
        <v>76.53</v>
      </c>
    </row>
    <row r="6194" spans="1:2">
      <c r="A6194" s="4">
        <v>40379</v>
      </c>
      <c r="B6194" s="3">
        <v>77.319999999999993</v>
      </c>
    </row>
    <row r="6195" spans="1:2">
      <c r="A6195" s="4">
        <v>40380</v>
      </c>
      <c r="B6195" s="3">
        <v>76.27</v>
      </c>
    </row>
    <row r="6196" spans="1:2">
      <c r="A6196" s="4">
        <v>40381</v>
      </c>
      <c r="B6196" s="3">
        <v>79.010000000000005</v>
      </c>
    </row>
    <row r="6197" spans="1:2">
      <c r="A6197" s="4">
        <v>40382</v>
      </c>
      <c r="B6197" s="3">
        <v>78.680000000000007</v>
      </c>
    </row>
    <row r="6198" spans="1:2">
      <c r="A6198" s="4">
        <v>40385</v>
      </c>
      <c r="B6198" s="3">
        <v>78.930000000000007</v>
      </c>
    </row>
    <row r="6199" spans="1:2">
      <c r="A6199" s="4">
        <v>40386</v>
      </c>
      <c r="B6199" s="3">
        <v>77.459999999999994</v>
      </c>
    </row>
    <row r="6200" spans="1:2">
      <c r="A6200" s="4">
        <v>40387</v>
      </c>
      <c r="B6200" s="3">
        <v>77.06</v>
      </c>
    </row>
    <row r="6201" spans="1:2">
      <c r="A6201" s="4">
        <v>40388</v>
      </c>
      <c r="B6201" s="3">
        <v>78.3</v>
      </c>
    </row>
    <row r="6202" spans="1:2">
      <c r="A6202" s="4">
        <v>40389</v>
      </c>
      <c r="B6202" s="3">
        <v>78.849999999999994</v>
      </c>
    </row>
    <row r="6203" spans="1:2">
      <c r="A6203" s="4">
        <v>40392</v>
      </c>
      <c r="B6203" s="3">
        <v>81.25</v>
      </c>
    </row>
    <row r="6204" spans="1:2">
      <c r="A6204" s="4">
        <v>40393</v>
      </c>
      <c r="B6204" s="3">
        <v>82.52</v>
      </c>
    </row>
    <row r="6205" spans="1:2">
      <c r="A6205" s="4">
        <v>40394</v>
      </c>
      <c r="B6205" s="3">
        <v>82.49</v>
      </c>
    </row>
    <row r="6206" spans="1:2">
      <c r="A6206" s="4">
        <v>40395</v>
      </c>
      <c r="B6206" s="3">
        <v>82</v>
      </c>
    </row>
    <row r="6207" spans="1:2">
      <c r="A6207" s="4">
        <v>40396</v>
      </c>
      <c r="B6207" s="3">
        <v>80.67</v>
      </c>
    </row>
    <row r="6208" spans="1:2">
      <c r="A6208" s="4">
        <v>40399</v>
      </c>
      <c r="B6208" s="3">
        <v>81.459999999999994</v>
      </c>
    </row>
    <row r="6209" spans="1:2">
      <c r="A6209" s="4">
        <v>40400</v>
      </c>
      <c r="B6209" s="3">
        <v>80.239999999999995</v>
      </c>
    </row>
    <row r="6210" spans="1:2">
      <c r="A6210" s="4">
        <v>40401</v>
      </c>
      <c r="B6210" s="3">
        <v>78.09</v>
      </c>
    </row>
    <row r="6211" spans="1:2">
      <c r="A6211" s="4">
        <v>40402</v>
      </c>
      <c r="B6211" s="3">
        <v>75.680000000000007</v>
      </c>
    </row>
    <row r="6212" spans="1:2">
      <c r="A6212" s="4">
        <v>40403</v>
      </c>
      <c r="B6212" s="3">
        <v>75.39</v>
      </c>
    </row>
    <row r="6213" spans="1:2">
      <c r="A6213" s="4">
        <v>40406</v>
      </c>
      <c r="B6213" s="3">
        <v>75.17</v>
      </c>
    </row>
    <row r="6214" spans="1:2">
      <c r="A6214" s="4">
        <v>40407</v>
      </c>
      <c r="B6214" s="3">
        <v>75.760000000000005</v>
      </c>
    </row>
    <row r="6215" spans="1:2">
      <c r="A6215" s="4">
        <v>40408</v>
      </c>
      <c r="B6215" s="3">
        <v>75.39</v>
      </c>
    </row>
    <row r="6216" spans="1:2">
      <c r="A6216" s="4">
        <v>40409</v>
      </c>
      <c r="B6216" s="3">
        <v>74.45</v>
      </c>
    </row>
    <row r="6217" spans="1:2">
      <c r="A6217" s="4">
        <v>40410</v>
      </c>
      <c r="B6217" s="3">
        <v>73.45</v>
      </c>
    </row>
    <row r="6218" spans="1:2">
      <c r="A6218" s="4">
        <v>40413</v>
      </c>
      <c r="B6218" s="3">
        <v>72.709999999999994</v>
      </c>
    </row>
    <row r="6219" spans="1:2">
      <c r="A6219" s="4">
        <v>40414</v>
      </c>
      <c r="B6219" s="3">
        <v>71.239999999999995</v>
      </c>
    </row>
    <row r="6220" spans="1:2">
      <c r="A6220" s="4">
        <v>40415</v>
      </c>
      <c r="B6220" s="3">
        <v>72.069999999999993</v>
      </c>
    </row>
    <row r="6221" spans="1:2">
      <c r="A6221" s="4">
        <v>40416</v>
      </c>
      <c r="B6221" s="3">
        <v>73.36</v>
      </c>
    </row>
    <row r="6222" spans="1:2">
      <c r="A6222" s="4">
        <v>40417</v>
      </c>
      <c r="B6222" s="3">
        <v>75.17</v>
      </c>
    </row>
    <row r="6223" spans="1:2">
      <c r="A6223" s="4">
        <v>40420</v>
      </c>
      <c r="B6223" s="3">
        <v>74.69</v>
      </c>
    </row>
    <row r="6224" spans="1:2">
      <c r="A6224" s="4">
        <v>40421</v>
      </c>
      <c r="B6224" s="3">
        <v>71.930000000000007</v>
      </c>
    </row>
    <row r="6225" spans="1:2">
      <c r="A6225" s="4">
        <v>40422</v>
      </c>
      <c r="B6225" s="3">
        <v>73.97</v>
      </c>
    </row>
    <row r="6226" spans="1:2">
      <c r="A6226" s="4">
        <v>40423</v>
      </c>
      <c r="B6226" s="3">
        <v>74.989999999999995</v>
      </c>
    </row>
    <row r="6227" spans="1:2">
      <c r="A6227" s="4">
        <v>40424</v>
      </c>
      <c r="B6227" s="3">
        <v>74.52</v>
      </c>
    </row>
    <row r="6228" spans="1:2">
      <c r="A6228" s="4">
        <v>40428</v>
      </c>
      <c r="B6228" s="3">
        <v>73.98</v>
      </c>
    </row>
    <row r="6229" spans="1:2">
      <c r="A6229" s="4">
        <v>40429</v>
      </c>
      <c r="B6229" s="3">
        <v>74.650000000000006</v>
      </c>
    </row>
    <row r="6230" spans="1:2">
      <c r="A6230" s="4">
        <v>40430</v>
      </c>
      <c r="B6230" s="3">
        <v>74.25</v>
      </c>
    </row>
    <row r="6231" spans="1:2">
      <c r="A6231" s="4">
        <v>40431</v>
      </c>
      <c r="B6231" s="3">
        <v>76.400000000000006</v>
      </c>
    </row>
    <row r="6232" spans="1:2">
      <c r="A6232" s="4">
        <v>40434</v>
      </c>
      <c r="B6232" s="3">
        <v>77.17</v>
      </c>
    </row>
    <row r="6233" spans="1:2">
      <c r="A6233" s="4">
        <v>40435</v>
      </c>
      <c r="B6233" s="3">
        <v>76.78</v>
      </c>
    </row>
    <row r="6234" spans="1:2">
      <c r="A6234" s="4">
        <v>40436</v>
      </c>
      <c r="B6234" s="3">
        <v>75.92</v>
      </c>
    </row>
    <row r="6235" spans="1:2">
      <c r="A6235" s="4">
        <v>40437</v>
      </c>
      <c r="B6235" s="3">
        <v>74.58</v>
      </c>
    </row>
    <row r="6236" spans="1:2">
      <c r="A6236" s="4">
        <v>40438</v>
      </c>
      <c r="B6236" s="3">
        <v>73.63</v>
      </c>
    </row>
    <row r="6237" spans="1:2">
      <c r="A6237" s="4">
        <v>40441</v>
      </c>
      <c r="B6237" s="3">
        <v>74.81</v>
      </c>
    </row>
    <row r="6238" spans="1:2">
      <c r="A6238" s="4">
        <v>40442</v>
      </c>
      <c r="B6238" s="3">
        <v>72.959999999999994</v>
      </c>
    </row>
    <row r="6239" spans="1:2">
      <c r="A6239" s="4">
        <v>40443</v>
      </c>
      <c r="B6239" s="3">
        <v>72.98</v>
      </c>
    </row>
    <row r="6240" spans="1:2">
      <c r="A6240" s="4">
        <v>40444</v>
      </c>
      <c r="B6240" s="3">
        <v>73.400000000000006</v>
      </c>
    </row>
    <row r="6241" spans="1:2">
      <c r="A6241" s="4">
        <v>40445</v>
      </c>
      <c r="B6241" s="3">
        <v>74.63</v>
      </c>
    </row>
    <row r="6242" spans="1:2">
      <c r="A6242" s="4">
        <v>40448</v>
      </c>
      <c r="B6242" s="3">
        <v>76.510000000000005</v>
      </c>
    </row>
    <row r="6243" spans="1:2">
      <c r="A6243" s="4">
        <v>40449</v>
      </c>
      <c r="B6243" s="3">
        <v>76.150000000000006</v>
      </c>
    </row>
    <row r="6244" spans="1:2">
      <c r="A6244" s="4">
        <v>40450</v>
      </c>
      <c r="B6244" s="3">
        <v>77.849999999999994</v>
      </c>
    </row>
    <row r="6245" spans="1:2">
      <c r="A6245" s="4">
        <v>40451</v>
      </c>
      <c r="B6245" s="3">
        <v>79.95</v>
      </c>
    </row>
    <row r="6246" spans="1:2">
      <c r="A6246" s="4">
        <v>40452</v>
      </c>
      <c r="B6246" s="3">
        <v>81.569999999999993</v>
      </c>
    </row>
    <row r="6247" spans="1:2">
      <c r="A6247" s="4">
        <v>40455</v>
      </c>
      <c r="B6247" s="3">
        <v>81.430000000000007</v>
      </c>
    </row>
    <row r="6248" spans="1:2">
      <c r="A6248" s="4">
        <v>40456</v>
      </c>
      <c r="B6248" s="3">
        <v>82.83</v>
      </c>
    </row>
    <row r="6249" spans="1:2">
      <c r="A6249" s="4">
        <v>40457</v>
      </c>
      <c r="B6249" s="3">
        <v>83.21</v>
      </c>
    </row>
    <row r="6250" spans="1:2">
      <c r="A6250" s="4">
        <v>40458</v>
      </c>
      <c r="B6250" s="3">
        <v>81.34</v>
      </c>
    </row>
    <row r="6251" spans="1:2">
      <c r="A6251" s="4">
        <v>40459</v>
      </c>
      <c r="B6251" s="3">
        <v>82.66</v>
      </c>
    </row>
    <row r="6252" spans="1:2">
      <c r="A6252" s="4">
        <v>40462</v>
      </c>
      <c r="B6252" s="3">
        <v>82.18</v>
      </c>
    </row>
    <row r="6253" spans="1:2">
      <c r="A6253" s="4">
        <v>40463</v>
      </c>
      <c r="B6253" s="3">
        <v>81.67</v>
      </c>
    </row>
    <row r="6254" spans="1:2">
      <c r="A6254" s="4">
        <v>40464</v>
      </c>
      <c r="B6254" s="3">
        <v>83.03</v>
      </c>
    </row>
    <row r="6255" spans="1:2">
      <c r="A6255" s="4">
        <v>40465</v>
      </c>
      <c r="B6255" s="3">
        <v>82.71</v>
      </c>
    </row>
    <row r="6256" spans="1:2">
      <c r="A6256" s="4">
        <v>40466</v>
      </c>
      <c r="B6256" s="3">
        <v>81.23</v>
      </c>
    </row>
    <row r="6257" spans="1:2">
      <c r="A6257" s="4">
        <v>40469</v>
      </c>
      <c r="B6257" s="3">
        <v>83.06</v>
      </c>
    </row>
    <row r="6258" spans="1:2">
      <c r="A6258" s="4">
        <v>40470</v>
      </c>
      <c r="B6258" s="3">
        <v>79.569999999999993</v>
      </c>
    </row>
    <row r="6259" spans="1:2">
      <c r="A6259" s="4">
        <v>40471</v>
      </c>
      <c r="B6259" s="3">
        <v>81.93</v>
      </c>
    </row>
    <row r="6260" spans="1:2">
      <c r="A6260" s="4">
        <v>40472</v>
      </c>
      <c r="B6260" s="3">
        <v>80.03</v>
      </c>
    </row>
    <row r="6261" spans="1:2">
      <c r="A6261" s="4">
        <v>40473</v>
      </c>
      <c r="B6261" s="3">
        <v>81.150000000000006</v>
      </c>
    </row>
    <row r="6262" spans="1:2">
      <c r="A6262" s="4">
        <v>40476</v>
      </c>
      <c r="B6262" s="3">
        <v>82</v>
      </c>
    </row>
    <row r="6263" spans="1:2">
      <c r="A6263" s="4">
        <v>40477</v>
      </c>
      <c r="B6263" s="3">
        <v>82.6</v>
      </c>
    </row>
    <row r="6264" spans="1:2">
      <c r="A6264" s="4">
        <v>40478</v>
      </c>
      <c r="B6264" s="3">
        <v>81.900000000000006</v>
      </c>
    </row>
    <row r="6265" spans="1:2">
      <c r="A6265" s="4">
        <v>40479</v>
      </c>
      <c r="B6265" s="3">
        <v>82.2</v>
      </c>
    </row>
    <row r="6266" spans="1:2">
      <c r="A6266" s="4">
        <v>40480</v>
      </c>
      <c r="B6266" s="3">
        <v>81.45</v>
      </c>
    </row>
    <row r="6267" spans="1:2">
      <c r="A6267" s="4">
        <v>40483</v>
      </c>
      <c r="B6267" s="3">
        <v>82.94</v>
      </c>
    </row>
    <row r="6268" spans="1:2">
      <c r="A6268" s="4">
        <v>40484</v>
      </c>
      <c r="B6268" s="3">
        <v>83.91</v>
      </c>
    </row>
    <row r="6269" spans="1:2">
      <c r="A6269" s="4">
        <v>40485</v>
      </c>
      <c r="B6269" s="3">
        <v>84.45</v>
      </c>
    </row>
    <row r="6270" spans="1:2">
      <c r="A6270" s="4">
        <v>40486</v>
      </c>
      <c r="B6270" s="3">
        <v>86.49</v>
      </c>
    </row>
    <row r="6271" spans="1:2">
      <c r="A6271" s="4">
        <v>40487</v>
      </c>
      <c r="B6271" s="3">
        <v>86.85</v>
      </c>
    </row>
    <row r="6272" spans="1:2">
      <c r="A6272" s="4">
        <v>40490</v>
      </c>
      <c r="B6272" s="3">
        <v>87.07</v>
      </c>
    </row>
    <row r="6273" spans="1:2">
      <c r="A6273" s="4">
        <v>40491</v>
      </c>
      <c r="B6273" s="3">
        <v>87.04</v>
      </c>
    </row>
    <row r="6274" spans="1:2">
      <c r="A6274" s="4">
        <v>40492</v>
      </c>
      <c r="B6274" s="3">
        <v>87.77</v>
      </c>
    </row>
    <row r="6275" spans="1:2">
      <c r="A6275" s="4">
        <v>40493</v>
      </c>
      <c r="B6275" s="3">
        <v>87.77</v>
      </c>
    </row>
    <row r="6276" spans="1:2">
      <c r="A6276" s="4">
        <v>40494</v>
      </c>
      <c r="B6276" s="3">
        <v>84.89</v>
      </c>
    </row>
    <row r="6277" spans="1:2">
      <c r="A6277" s="4">
        <v>40497</v>
      </c>
      <c r="B6277" s="3">
        <v>84.88</v>
      </c>
    </row>
    <row r="6278" spans="1:2">
      <c r="A6278" s="4">
        <v>40498</v>
      </c>
      <c r="B6278" s="3">
        <v>82.33</v>
      </c>
    </row>
    <row r="6279" spans="1:2">
      <c r="A6279" s="4">
        <v>40499</v>
      </c>
      <c r="B6279" s="3">
        <v>80.430000000000007</v>
      </c>
    </row>
    <row r="6280" spans="1:2">
      <c r="A6280" s="4">
        <v>40500</v>
      </c>
      <c r="B6280" s="3">
        <v>81.88</v>
      </c>
    </row>
    <row r="6281" spans="1:2">
      <c r="A6281" s="4">
        <v>40501</v>
      </c>
      <c r="B6281" s="3">
        <v>81.650000000000006</v>
      </c>
    </row>
    <row r="6282" spans="1:2">
      <c r="A6282" s="4">
        <v>40504</v>
      </c>
      <c r="B6282" s="3">
        <v>81.239999999999995</v>
      </c>
    </row>
    <row r="6283" spans="1:2">
      <c r="A6283" s="4">
        <v>40505</v>
      </c>
      <c r="B6283" s="3">
        <v>80.790000000000006</v>
      </c>
    </row>
    <row r="6284" spans="1:2">
      <c r="A6284" s="4">
        <v>40506</v>
      </c>
      <c r="B6284" s="3">
        <v>83.21</v>
      </c>
    </row>
    <row r="6285" spans="1:2">
      <c r="A6285" s="4">
        <v>40508</v>
      </c>
      <c r="B6285" s="3">
        <v>83.87</v>
      </c>
    </row>
    <row r="6286" spans="1:2">
      <c r="A6286" s="4">
        <v>40511</v>
      </c>
      <c r="B6286" s="3">
        <v>85.73</v>
      </c>
    </row>
    <row r="6287" spans="1:2">
      <c r="A6287" s="4">
        <v>40512</v>
      </c>
      <c r="B6287" s="3">
        <v>84.12</v>
      </c>
    </row>
    <row r="6288" spans="1:2">
      <c r="A6288" s="4">
        <v>40513</v>
      </c>
      <c r="B6288" s="3">
        <v>86.75</v>
      </c>
    </row>
    <row r="6289" spans="1:2">
      <c r="A6289" s="4">
        <v>40514</v>
      </c>
      <c r="B6289" s="3">
        <v>87.98</v>
      </c>
    </row>
    <row r="6290" spans="1:2">
      <c r="A6290" s="4">
        <v>40515</v>
      </c>
      <c r="B6290" s="3">
        <v>89.18</v>
      </c>
    </row>
    <row r="6291" spans="1:2">
      <c r="A6291" s="4">
        <v>40518</v>
      </c>
      <c r="B6291" s="3">
        <v>89.33</v>
      </c>
    </row>
    <row r="6292" spans="1:2">
      <c r="A6292" s="4">
        <v>40519</v>
      </c>
      <c r="B6292" s="3">
        <v>88.69</v>
      </c>
    </row>
    <row r="6293" spans="1:2">
      <c r="A6293" s="4">
        <v>40520</v>
      </c>
      <c r="B6293" s="3">
        <v>88.3</v>
      </c>
    </row>
    <row r="6294" spans="1:2">
      <c r="A6294" s="4">
        <v>40521</v>
      </c>
      <c r="B6294" s="3">
        <v>88.35</v>
      </c>
    </row>
    <row r="6295" spans="1:2">
      <c r="A6295" s="4">
        <v>40522</v>
      </c>
      <c r="B6295" s="3">
        <v>87.81</v>
      </c>
    </row>
    <row r="6296" spans="1:2">
      <c r="A6296" s="4">
        <v>40525</v>
      </c>
      <c r="B6296" s="3">
        <v>88.62</v>
      </c>
    </row>
    <row r="6297" spans="1:2">
      <c r="A6297" s="4">
        <v>40526</v>
      </c>
      <c r="B6297" s="3">
        <v>88.33</v>
      </c>
    </row>
    <row r="6298" spans="1:2">
      <c r="A6298" s="4">
        <v>40527</v>
      </c>
      <c r="B6298" s="3">
        <v>88.66</v>
      </c>
    </row>
    <row r="6299" spans="1:2">
      <c r="A6299" s="4">
        <v>40528</v>
      </c>
      <c r="B6299" s="3">
        <v>87.71</v>
      </c>
    </row>
    <row r="6300" spans="1:2">
      <c r="A6300" s="4">
        <v>40529</v>
      </c>
      <c r="B6300" s="3">
        <v>88.02</v>
      </c>
    </row>
    <row r="6301" spans="1:2">
      <c r="A6301" s="4">
        <v>40532</v>
      </c>
      <c r="B6301" s="3">
        <v>88.68</v>
      </c>
    </row>
    <row r="6302" spans="1:2">
      <c r="A6302" s="4">
        <v>40533</v>
      </c>
      <c r="B6302" s="3">
        <v>89.3</v>
      </c>
    </row>
    <row r="6303" spans="1:2">
      <c r="A6303" s="4">
        <v>40534</v>
      </c>
      <c r="B6303" s="3">
        <v>89.83</v>
      </c>
    </row>
    <row r="6304" spans="1:2">
      <c r="A6304" s="4">
        <v>40535</v>
      </c>
      <c r="B6304" s="3">
        <v>90.84</v>
      </c>
    </row>
    <row r="6305" spans="1:2">
      <c r="A6305" s="4">
        <v>40539</v>
      </c>
      <c r="B6305" s="3">
        <v>90.99</v>
      </c>
    </row>
    <row r="6306" spans="1:2">
      <c r="A6306" s="4">
        <v>40540</v>
      </c>
      <c r="B6306" s="3">
        <v>91.48</v>
      </c>
    </row>
    <row r="6307" spans="1:2">
      <c r="A6307" s="4">
        <v>40541</v>
      </c>
      <c r="B6307" s="3">
        <v>91.13</v>
      </c>
    </row>
    <row r="6308" spans="1:2">
      <c r="A6308" s="4">
        <v>40542</v>
      </c>
      <c r="B6308" s="3">
        <v>89.85</v>
      </c>
    </row>
    <row r="6309" spans="1:2">
      <c r="A6309" s="4">
        <v>40543</v>
      </c>
      <c r="B6309" s="3">
        <v>91.38</v>
      </c>
    </row>
    <row r="6310" spans="1:2">
      <c r="A6310" s="4">
        <v>40546</v>
      </c>
      <c r="B6310" s="3">
        <v>91.59</v>
      </c>
    </row>
    <row r="6311" spans="1:2">
      <c r="A6311" s="4">
        <v>40547</v>
      </c>
      <c r="B6311" s="3">
        <v>89.39</v>
      </c>
    </row>
    <row r="6312" spans="1:2">
      <c r="A6312" s="4">
        <v>40548</v>
      </c>
      <c r="B6312" s="3">
        <v>90.3</v>
      </c>
    </row>
    <row r="6313" spans="1:2">
      <c r="A6313" s="4">
        <v>40549</v>
      </c>
      <c r="B6313" s="3">
        <v>88.37</v>
      </c>
    </row>
    <row r="6314" spans="1:2">
      <c r="A6314" s="4">
        <v>40550</v>
      </c>
      <c r="B6314" s="3">
        <v>88.07</v>
      </c>
    </row>
    <row r="6315" spans="1:2">
      <c r="A6315" s="4">
        <v>40553</v>
      </c>
      <c r="B6315" s="3">
        <v>89.24</v>
      </c>
    </row>
    <row r="6316" spans="1:2">
      <c r="A6316" s="4">
        <v>40554</v>
      </c>
      <c r="B6316" s="3">
        <v>91.11</v>
      </c>
    </row>
    <row r="6317" spans="1:2">
      <c r="A6317" s="4">
        <v>40555</v>
      </c>
      <c r="B6317" s="3">
        <v>91.85</v>
      </c>
    </row>
    <row r="6318" spans="1:2">
      <c r="A6318" s="4">
        <v>40556</v>
      </c>
      <c r="B6318" s="3">
        <v>91.39</v>
      </c>
    </row>
    <row r="6319" spans="1:2">
      <c r="A6319" s="4">
        <v>40557</v>
      </c>
      <c r="B6319" s="3">
        <v>91.53</v>
      </c>
    </row>
    <row r="6320" spans="1:2">
      <c r="A6320" s="4">
        <v>40561</v>
      </c>
      <c r="B6320" s="3">
        <v>91.38</v>
      </c>
    </row>
    <row r="6321" spans="1:2">
      <c r="A6321" s="4">
        <v>40562</v>
      </c>
      <c r="B6321" s="3">
        <v>90.85</v>
      </c>
    </row>
    <row r="6322" spans="1:2">
      <c r="A6322" s="4">
        <v>40563</v>
      </c>
      <c r="B6322" s="3">
        <v>88.56</v>
      </c>
    </row>
    <row r="6323" spans="1:2">
      <c r="A6323" s="4">
        <v>40564</v>
      </c>
      <c r="B6323" s="3">
        <v>88.22</v>
      </c>
    </row>
    <row r="6324" spans="1:2">
      <c r="A6324" s="4">
        <v>40567</v>
      </c>
      <c r="B6324" s="3">
        <v>86.74</v>
      </c>
    </row>
    <row r="6325" spans="1:2">
      <c r="A6325" s="4">
        <v>40568</v>
      </c>
      <c r="B6325" s="3">
        <v>85.08</v>
      </c>
    </row>
    <row r="6326" spans="1:2">
      <c r="A6326" s="4">
        <v>40569</v>
      </c>
      <c r="B6326" s="3">
        <v>86.15</v>
      </c>
    </row>
    <row r="6327" spans="1:2">
      <c r="A6327" s="4">
        <v>40570</v>
      </c>
      <c r="B6327" s="3">
        <v>84.45</v>
      </c>
    </row>
    <row r="6328" spans="1:2">
      <c r="A6328" s="4">
        <v>40571</v>
      </c>
      <c r="B6328" s="3">
        <v>88.15</v>
      </c>
    </row>
    <row r="6329" spans="1:2">
      <c r="A6329" s="4">
        <v>40574</v>
      </c>
      <c r="B6329" s="3">
        <v>90.99</v>
      </c>
    </row>
    <row r="6330" spans="1:2">
      <c r="A6330" s="4">
        <v>40575</v>
      </c>
      <c r="B6330" s="3">
        <v>89.54</v>
      </c>
    </row>
    <row r="6331" spans="1:2">
      <c r="A6331" s="4">
        <v>40576</v>
      </c>
      <c r="B6331" s="3">
        <v>89.78</v>
      </c>
    </row>
    <row r="6332" spans="1:2">
      <c r="A6332" s="4">
        <v>40577</v>
      </c>
      <c r="B6332" s="3">
        <v>89.42</v>
      </c>
    </row>
    <row r="6333" spans="1:2">
      <c r="A6333" s="4">
        <v>40578</v>
      </c>
      <c r="B6333" s="3">
        <v>87.87</v>
      </c>
    </row>
    <row r="6334" spans="1:2">
      <c r="A6334" s="4">
        <v>40581</v>
      </c>
      <c r="B6334" s="3">
        <v>86.3</v>
      </c>
    </row>
    <row r="6335" spans="1:2">
      <c r="A6335" s="4">
        <v>40582</v>
      </c>
      <c r="B6335" s="3">
        <v>85.85</v>
      </c>
    </row>
    <row r="6336" spans="1:2">
      <c r="A6336" s="4">
        <v>40583</v>
      </c>
      <c r="B6336" s="3">
        <v>85.59</v>
      </c>
    </row>
    <row r="6337" spans="1:2">
      <c r="A6337" s="4">
        <v>40584</v>
      </c>
      <c r="B6337" s="3">
        <v>85.44</v>
      </c>
    </row>
    <row r="6338" spans="1:2">
      <c r="A6338" s="4">
        <v>40585</v>
      </c>
      <c r="B6338" s="3">
        <v>84.39</v>
      </c>
    </row>
    <row r="6339" spans="1:2">
      <c r="A6339" s="4">
        <v>40588</v>
      </c>
      <c r="B6339" s="3">
        <v>83.66</v>
      </c>
    </row>
    <row r="6340" spans="1:2">
      <c r="A6340" s="4">
        <v>40589</v>
      </c>
      <c r="B6340" s="3">
        <v>83.13</v>
      </c>
    </row>
    <row r="6341" spans="1:2">
      <c r="A6341" s="4">
        <v>40590</v>
      </c>
      <c r="B6341" s="3">
        <v>83.8</v>
      </c>
    </row>
    <row r="6342" spans="1:2">
      <c r="A6342" s="4">
        <v>40591</v>
      </c>
      <c r="B6342" s="3">
        <v>85.05</v>
      </c>
    </row>
    <row r="6343" spans="1:2">
      <c r="A6343" s="4">
        <v>40592</v>
      </c>
      <c r="B6343" s="3">
        <v>85.03</v>
      </c>
    </row>
    <row r="6344" spans="1:2">
      <c r="A6344" s="4">
        <v>40596</v>
      </c>
      <c r="B6344" s="3">
        <v>92.65</v>
      </c>
    </row>
    <row r="6345" spans="1:2">
      <c r="A6345" s="4">
        <v>40597</v>
      </c>
      <c r="B6345" s="3">
        <v>96.04</v>
      </c>
    </row>
    <row r="6346" spans="1:2">
      <c r="A6346" s="4">
        <v>40598</v>
      </c>
      <c r="B6346" s="3">
        <v>95.83</v>
      </c>
    </row>
    <row r="6347" spans="1:2">
      <c r="A6347" s="4">
        <v>40599</v>
      </c>
      <c r="B6347" s="3">
        <v>96.52</v>
      </c>
    </row>
    <row r="6348" spans="1:2">
      <c r="A6348" s="4">
        <v>40602</v>
      </c>
      <c r="B6348" s="3">
        <v>97.1</v>
      </c>
    </row>
    <row r="6349" spans="1:2">
      <c r="A6349" s="4">
        <v>40603</v>
      </c>
      <c r="B6349" s="3">
        <v>99.63</v>
      </c>
    </row>
    <row r="6350" spans="1:2">
      <c r="A6350" s="4">
        <v>40604</v>
      </c>
      <c r="B6350" s="3">
        <v>102.27</v>
      </c>
    </row>
    <row r="6351" spans="1:2">
      <c r="A6351" s="4">
        <v>40605</v>
      </c>
      <c r="B6351" s="3">
        <v>101.92</v>
      </c>
    </row>
    <row r="6352" spans="1:2">
      <c r="A6352" s="4">
        <v>40606</v>
      </c>
      <c r="B6352" s="3">
        <v>104.34</v>
      </c>
    </row>
    <row r="6353" spans="1:2">
      <c r="A6353" s="4">
        <v>40609</v>
      </c>
      <c r="B6353" s="3">
        <v>105.37</v>
      </c>
    </row>
    <row r="6354" spans="1:2">
      <c r="A6354" s="4">
        <v>40610</v>
      </c>
      <c r="B6354" s="3">
        <v>105.06</v>
      </c>
    </row>
    <row r="6355" spans="1:2">
      <c r="A6355" s="4">
        <v>40611</v>
      </c>
      <c r="B6355" s="3">
        <v>104.39</v>
      </c>
    </row>
    <row r="6356" spans="1:2">
      <c r="A6356" s="4">
        <v>40612</v>
      </c>
      <c r="B6356" s="3">
        <v>102.73</v>
      </c>
    </row>
    <row r="6357" spans="1:2">
      <c r="A6357" s="4">
        <v>40613</v>
      </c>
      <c r="B6357" s="3">
        <v>101.14</v>
      </c>
    </row>
    <row r="6358" spans="1:2">
      <c r="A6358" s="4">
        <v>40616</v>
      </c>
      <c r="B6358" s="3">
        <v>101.2</v>
      </c>
    </row>
    <row r="6359" spans="1:2">
      <c r="A6359" s="4">
        <v>40617</v>
      </c>
      <c r="B6359" s="3">
        <v>97.23</v>
      </c>
    </row>
    <row r="6360" spans="1:2">
      <c r="A6360" s="4">
        <v>40618</v>
      </c>
      <c r="B6360" s="3">
        <v>97.99</v>
      </c>
    </row>
    <row r="6361" spans="1:2">
      <c r="A6361" s="4">
        <v>40619</v>
      </c>
      <c r="B6361" s="3">
        <v>101.47</v>
      </c>
    </row>
    <row r="6362" spans="1:2">
      <c r="A6362" s="4">
        <v>40620</v>
      </c>
      <c r="B6362" s="3">
        <v>101.06</v>
      </c>
    </row>
    <row r="6363" spans="1:2">
      <c r="A6363" s="4">
        <v>40623</v>
      </c>
      <c r="B6363" s="3">
        <v>102.36</v>
      </c>
    </row>
    <row r="6364" spans="1:2">
      <c r="A6364" s="4">
        <v>40624</v>
      </c>
      <c r="B6364" s="3">
        <v>104.53</v>
      </c>
    </row>
    <row r="6365" spans="1:2">
      <c r="A6365" s="4">
        <v>40625</v>
      </c>
      <c r="B6365" s="3">
        <v>105.21</v>
      </c>
    </row>
    <row r="6366" spans="1:2">
      <c r="A6366" s="4">
        <v>40626</v>
      </c>
      <c r="B6366" s="3">
        <v>105.04</v>
      </c>
    </row>
    <row r="6367" spans="1:2">
      <c r="A6367" s="4">
        <v>40627</v>
      </c>
      <c r="B6367" s="3">
        <v>104.89</v>
      </c>
    </row>
    <row r="6368" spans="1:2">
      <c r="A6368" s="4">
        <v>40630</v>
      </c>
      <c r="B6368" s="3">
        <v>103.54</v>
      </c>
    </row>
    <row r="6369" spans="1:2">
      <c r="A6369" s="4">
        <v>40631</v>
      </c>
      <c r="B6369" s="3">
        <v>104.34</v>
      </c>
    </row>
    <row r="6370" spans="1:2">
      <c r="A6370" s="4">
        <v>40632</v>
      </c>
      <c r="B6370" s="3">
        <v>103.8</v>
      </c>
    </row>
    <row r="6371" spans="1:2">
      <c r="A6371" s="4">
        <v>40633</v>
      </c>
      <c r="B6371" s="3">
        <v>106.19</v>
      </c>
    </row>
    <row r="6372" spans="1:2">
      <c r="A6372" s="4">
        <v>40634</v>
      </c>
      <c r="B6372" s="3">
        <v>107.55</v>
      </c>
    </row>
    <row r="6373" spans="1:2">
      <c r="A6373" s="4">
        <v>40637</v>
      </c>
      <c r="B6373" s="3">
        <v>108.14</v>
      </c>
    </row>
    <row r="6374" spans="1:2">
      <c r="A6374" s="4">
        <v>40638</v>
      </c>
      <c r="B6374" s="3">
        <v>107.82</v>
      </c>
    </row>
    <row r="6375" spans="1:2">
      <c r="A6375" s="4">
        <v>40639</v>
      </c>
      <c r="B6375" s="3">
        <v>108.38</v>
      </c>
    </row>
    <row r="6376" spans="1:2">
      <c r="A6376" s="4">
        <v>40640</v>
      </c>
      <c r="B6376" s="3">
        <v>109.82</v>
      </c>
    </row>
    <row r="6377" spans="1:2">
      <c r="A6377" s="4">
        <v>40641</v>
      </c>
      <c r="B6377" s="3">
        <v>112.27</v>
      </c>
    </row>
    <row r="6378" spans="1:2">
      <c r="A6378" s="4">
        <v>40644</v>
      </c>
      <c r="B6378" s="3">
        <v>109.5</v>
      </c>
    </row>
    <row r="6379" spans="1:2">
      <c r="A6379" s="4">
        <v>40645</v>
      </c>
      <c r="B6379" s="3">
        <v>105.75</v>
      </c>
    </row>
    <row r="6380" spans="1:2">
      <c r="A6380" s="4">
        <v>40646</v>
      </c>
      <c r="B6380" s="3">
        <v>106.6</v>
      </c>
    </row>
    <row r="6381" spans="1:2">
      <c r="A6381" s="4">
        <v>40647</v>
      </c>
      <c r="B6381" s="3">
        <v>107.73</v>
      </c>
    </row>
    <row r="6382" spans="1:2">
      <c r="A6382" s="4">
        <v>40648</v>
      </c>
      <c r="B6382" s="3">
        <v>109.17</v>
      </c>
    </row>
    <row r="6383" spans="1:2">
      <c r="A6383" s="4">
        <v>40651</v>
      </c>
      <c r="B6383" s="3">
        <v>106.7</v>
      </c>
    </row>
    <row r="6384" spans="1:2">
      <c r="A6384" s="4">
        <v>40652</v>
      </c>
      <c r="B6384" s="3">
        <v>107.18</v>
      </c>
    </row>
    <row r="6385" spans="1:2">
      <c r="A6385" s="4">
        <v>40653</v>
      </c>
      <c r="B6385" s="3">
        <v>110.84</v>
      </c>
    </row>
    <row r="6386" spans="1:2">
      <c r="A6386" s="4">
        <v>40654</v>
      </c>
      <c r="B6386" s="3">
        <v>111.72</v>
      </c>
    </row>
    <row r="6387" spans="1:2">
      <c r="A6387" s="4">
        <v>40658</v>
      </c>
      <c r="B6387" s="3">
        <v>111.68</v>
      </c>
    </row>
    <row r="6388" spans="1:2">
      <c r="A6388" s="4">
        <v>40659</v>
      </c>
      <c r="B6388" s="3">
        <v>111.72</v>
      </c>
    </row>
    <row r="6389" spans="1:2">
      <c r="A6389" s="4">
        <v>40660</v>
      </c>
      <c r="B6389" s="3">
        <v>112.31</v>
      </c>
    </row>
    <row r="6390" spans="1:2">
      <c r="A6390" s="4">
        <v>40661</v>
      </c>
      <c r="B6390" s="3">
        <v>112.38</v>
      </c>
    </row>
    <row r="6391" spans="1:2">
      <c r="A6391" s="4">
        <v>40662</v>
      </c>
      <c r="B6391" s="3">
        <v>113.39</v>
      </c>
    </row>
    <row r="6392" spans="1:2">
      <c r="A6392" s="4">
        <v>40665</v>
      </c>
      <c r="B6392" s="3">
        <v>113.03</v>
      </c>
    </row>
    <row r="6393" spans="1:2">
      <c r="A6393" s="4">
        <v>40666</v>
      </c>
      <c r="B6393" s="3">
        <v>110.6</v>
      </c>
    </row>
    <row r="6394" spans="1:2">
      <c r="A6394" s="4">
        <v>40667</v>
      </c>
      <c r="B6394" s="3">
        <v>108.79</v>
      </c>
    </row>
    <row r="6395" spans="1:2">
      <c r="A6395" s="4">
        <v>40668</v>
      </c>
      <c r="B6395" s="3">
        <v>99.89</v>
      </c>
    </row>
    <row r="6396" spans="1:2">
      <c r="A6396" s="4">
        <v>40669</v>
      </c>
      <c r="B6396" s="3">
        <v>96.87</v>
      </c>
    </row>
    <row r="6397" spans="1:2">
      <c r="A6397" s="4">
        <v>40672</v>
      </c>
      <c r="B6397" s="3">
        <v>100.32</v>
      </c>
    </row>
    <row r="6398" spans="1:2">
      <c r="A6398" s="4">
        <v>40673</v>
      </c>
      <c r="B6398" s="3">
        <v>103.39</v>
      </c>
    </row>
    <row r="6399" spans="1:2">
      <c r="A6399" s="4">
        <v>40674</v>
      </c>
      <c r="B6399" s="3">
        <v>97.88</v>
      </c>
    </row>
    <row r="6400" spans="1:2">
      <c r="A6400" s="4">
        <v>40675</v>
      </c>
      <c r="B6400" s="3">
        <v>98.53</v>
      </c>
    </row>
    <row r="6401" spans="1:2">
      <c r="A6401" s="4">
        <v>40676</v>
      </c>
      <c r="B6401" s="3">
        <v>99.21</v>
      </c>
    </row>
    <row r="6402" spans="1:2">
      <c r="A6402" s="4">
        <v>40679</v>
      </c>
      <c r="B6402" s="3">
        <v>96.91</v>
      </c>
    </row>
    <row r="6403" spans="1:2">
      <c r="A6403" s="4">
        <v>40680</v>
      </c>
      <c r="B6403" s="3">
        <v>96.4</v>
      </c>
    </row>
    <row r="6404" spans="1:2">
      <c r="A6404" s="4">
        <v>40681</v>
      </c>
      <c r="B6404" s="3">
        <v>99.52</v>
      </c>
    </row>
    <row r="6405" spans="1:2">
      <c r="A6405" s="4">
        <v>40682</v>
      </c>
      <c r="B6405" s="3">
        <v>97.99</v>
      </c>
    </row>
    <row r="6406" spans="1:2">
      <c r="A6406" s="4">
        <v>40683</v>
      </c>
      <c r="B6406" s="3">
        <v>99.15</v>
      </c>
    </row>
    <row r="6407" spans="1:2">
      <c r="A6407" s="4">
        <v>40686</v>
      </c>
      <c r="B6407" s="3">
        <v>97.06</v>
      </c>
    </row>
    <row r="6408" spans="1:2">
      <c r="A6408" s="4">
        <v>40687</v>
      </c>
      <c r="B6408" s="3">
        <v>99.13</v>
      </c>
    </row>
    <row r="6409" spans="1:2">
      <c r="A6409" s="4">
        <v>40688</v>
      </c>
      <c r="B6409" s="3">
        <v>100.78</v>
      </c>
    </row>
    <row r="6410" spans="1:2">
      <c r="A6410" s="4">
        <v>40689</v>
      </c>
      <c r="B6410" s="3">
        <v>100.18</v>
      </c>
    </row>
    <row r="6411" spans="1:2">
      <c r="A6411" s="4">
        <v>40690</v>
      </c>
      <c r="B6411" s="3">
        <v>100.58</v>
      </c>
    </row>
    <row r="6412" spans="1:2">
      <c r="A6412" s="4">
        <v>40694</v>
      </c>
      <c r="B6412" s="3">
        <v>102.7</v>
      </c>
    </row>
    <row r="6413" spans="1:2">
      <c r="A6413" s="4">
        <v>40695</v>
      </c>
      <c r="B6413" s="3">
        <v>100.3</v>
      </c>
    </row>
    <row r="6414" spans="1:2">
      <c r="A6414" s="4">
        <v>40696</v>
      </c>
      <c r="B6414" s="3">
        <v>100.41</v>
      </c>
    </row>
    <row r="6415" spans="1:2">
      <c r="A6415" s="4">
        <v>40697</v>
      </c>
      <c r="B6415" s="3">
        <v>100.28</v>
      </c>
    </row>
    <row r="6416" spans="1:2">
      <c r="A6416" s="4">
        <v>40700</v>
      </c>
      <c r="B6416" s="3">
        <v>99.07</v>
      </c>
    </row>
    <row r="6417" spans="1:2">
      <c r="A6417" s="4">
        <v>40701</v>
      </c>
      <c r="B6417" s="3">
        <v>99.18</v>
      </c>
    </row>
    <row r="6418" spans="1:2">
      <c r="A6418" s="4">
        <v>40702</v>
      </c>
      <c r="B6418" s="3">
        <v>100.77</v>
      </c>
    </row>
    <row r="6419" spans="1:2">
      <c r="A6419" s="4">
        <v>40703</v>
      </c>
      <c r="B6419" s="3">
        <v>101.95</v>
      </c>
    </row>
    <row r="6420" spans="1:2">
      <c r="A6420" s="4">
        <v>40704</v>
      </c>
      <c r="B6420" s="3">
        <v>99.3</v>
      </c>
    </row>
    <row r="6421" spans="1:2">
      <c r="A6421" s="4">
        <v>40707</v>
      </c>
      <c r="B6421" s="3">
        <v>97.2</v>
      </c>
    </row>
    <row r="6422" spans="1:2">
      <c r="A6422" s="4">
        <v>40708</v>
      </c>
      <c r="B6422" s="3">
        <v>99.37</v>
      </c>
    </row>
    <row r="6423" spans="1:2">
      <c r="A6423" s="4">
        <v>40709</v>
      </c>
      <c r="B6423" s="3">
        <v>94.83</v>
      </c>
    </row>
    <row r="6424" spans="1:2">
      <c r="A6424" s="4">
        <v>40710</v>
      </c>
      <c r="B6424" s="3">
        <v>94.95</v>
      </c>
    </row>
    <row r="6425" spans="1:2">
      <c r="A6425" s="4">
        <v>40711</v>
      </c>
      <c r="B6425" s="3">
        <v>93.02</v>
      </c>
    </row>
    <row r="6426" spans="1:2">
      <c r="A6426" s="4">
        <v>40714</v>
      </c>
      <c r="B6426" s="3">
        <v>93.23</v>
      </c>
    </row>
    <row r="6427" spans="1:2">
      <c r="A6427" s="4">
        <v>40715</v>
      </c>
      <c r="B6427" s="3">
        <v>93.7</v>
      </c>
    </row>
    <row r="6428" spans="1:2">
      <c r="A6428" s="4">
        <v>40716</v>
      </c>
      <c r="B6428" s="3">
        <v>94.96</v>
      </c>
    </row>
    <row r="6429" spans="1:2">
      <c r="A6429" s="4">
        <v>40717</v>
      </c>
      <c r="B6429" s="3">
        <v>90.7</v>
      </c>
    </row>
    <row r="6430" spans="1:2">
      <c r="A6430" s="4">
        <v>40718</v>
      </c>
      <c r="B6430" s="3">
        <v>90.89</v>
      </c>
    </row>
    <row r="6431" spans="1:2">
      <c r="A6431" s="4">
        <v>40721</v>
      </c>
      <c r="B6431" s="3">
        <v>90.65</v>
      </c>
    </row>
    <row r="6432" spans="1:2">
      <c r="A6432" s="4">
        <v>40722</v>
      </c>
      <c r="B6432" s="3">
        <v>92.9</v>
      </c>
    </row>
    <row r="6433" spans="1:2">
      <c r="A6433" s="4">
        <v>40723</v>
      </c>
      <c r="B6433" s="3">
        <v>94.85</v>
      </c>
    </row>
    <row r="6434" spans="1:2">
      <c r="A6434" s="4">
        <v>40724</v>
      </c>
      <c r="B6434" s="3">
        <v>95.3</v>
      </c>
    </row>
    <row r="6435" spans="1:2">
      <c r="A6435" s="4">
        <v>40725</v>
      </c>
      <c r="B6435" s="3">
        <v>94.81</v>
      </c>
    </row>
    <row r="6436" spans="1:2">
      <c r="A6436" s="4">
        <v>40729</v>
      </c>
      <c r="B6436" s="3">
        <v>96.92</v>
      </c>
    </row>
    <row r="6437" spans="1:2">
      <c r="A6437" s="4">
        <v>40730</v>
      </c>
      <c r="B6437" s="3">
        <v>96.67</v>
      </c>
    </row>
    <row r="6438" spans="1:2">
      <c r="A6438" s="4">
        <v>40731</v>
      </c>
      <c r="B6438" s="3">
        <v>98.7</v>
      </c>
    </row>
    <row r="6439" spans="1:2">
      <c r="A6439" s="4">
        <v>40732</v>
      </c>
      <c r="B6439" s="3">
        <v>96.2</v>
      </c>
    </row>
    <row r="6440" spans="1:2">
      <c r="A6440" s="4">
        <v>40735</v>
      </c>
      <c r="B6440" s="3">
        <v>95.16</v>
      </c>
    </row>
    <row r="6441" spans="1:2">
      <c r="A6441" s="4">
        <v>40736</v>
      </c>
      <c r="B6441" s="3">
        <v>97.41</v>
      </c>
    </row>
    <row r="6442" spans="1:2">
      <c r="A6442" s="4">
        <v>40737</v>
      </c>
      <c r="B6442" s="3">
        <v>98.04</v>
      </c>
    </row>
    <row r="6443" spans="1:2">
      <c r="A6443" s="4">
        <v>40738</v>
      </c>
      <c r="B6443" s="3">
        <v>95.75</v>
      </c>
    </row>
    <row r="6444" spans="1:2">
      <c r="A6444" s="4">
        <v>40739</v>
      </c>
      <c r="B6444" s="3">
        <v>97.24</v>
      </c>
    </row>
    <row r="6445" spans="1:2">
      <c r="A6445" s="4">
        <v>40742</v>
      </c>
      <c r="B6445" s="3">
        <v>95.94</v>
      </c>
    </row>
    <row r="6446" spans="1:2">
      <c r="A6446" s="4">
        <v>40743</v>
      </c>
      <c r="B6446" s="3">
        <v>97.49</v>
      </c>
    </row>
    <row r="6447" spans="1:2">
      <c r="A6447" s="4">
        <v>40744</v>
      </c>
      <c r="B6447" s="3">
        <v>98.11</v>
      </c>
    </row>
    <row r="6448" spans="1:2">
      <c r="A6448" s="4">
        <v>40745</v>
      </c>
      <c r="B6448" s="3">
        <v>98.96</v>
      </c>
    </row>
    <row r="6449" spans="1:2">
      <c r="A6449" s="4">
        <v>40746</v>
      </c>
      <c r="B6449" s="3">
        <v>99.53</v>
      </c>
    </row>
    <row r="6450" spans="1:2">
      <c r="A6450" s="4">
        <v>40749</v>
      </c>
      <c r="B6450" s="3">
        <v>98.97</v>
      </c>
    </row>
    <row r="6451" spans="1:2">
      <c r="A6451" s="4">
        <v>40750</v>
      </c>
      <c r="B6451" s="3">
        <v>99.61</v>
      </c>
    </row>
    <row r="6452" spans="1:2">
      <c r="A6452" s="4">
        <v>40751</v>
      </c>
      <c r="B6452" s="3">
        <v>97.4</v>
      </c>
    </row>
    <row r="6453" spans="1:2">
      <c r="A6453" s="4">
        <v>40752</v>
      </c>
      <c r="B6453" s="3">
        <v>97.48</v>
      </c>
    </row>
    <row r="6454" spans="1:2">
      <c r="A6454" s="4">
        <v>40753</v>
      </c>
      <c r="B6454" s="3">
        <v>95.68</v>
      </c>
    </row>
    <row r="6455" spans="1:2">
      <c r="A6455" s="4">
        <v>40756</v>
      </c>
      <c r="B6455" s="3">
        <v>94.98</v>
      </c>
    </row>
    <row r="6456" spans="1:2">
      <c r="A6456" s="4">
        <v>40757</v>
      </c>
      <c r="B6456" s="3">
        <v>93.78</v>
      </c>
    </row>
    <row r="6457" spans="1:2">
      <c r="A6457" s="4">
        <v>40758</v>
      </c>
      <c r="B6457" s="3">
        <v>91.87</v>
      </c>
    </row>
    <row r="6458" spans="1:2">
      <c r="A6458" s="4">
        <v>40759</v>
      </c>
      <c r="B6458" s="3">
        <v>86.75</v>
      </c>
    </row>
    <row r="6459" spans="1:2">
      <c r="A6459" s="4">
        <v>40760</v>
      </c>
      <c r="B6459" s="3">
        <v>86.89</v>
      </c>
    </row>
    <row r="6460" spans="1:2">
      <c r="A6460" s="4">
        <v>40763</v>
      </c>
      <c r="B6460" s="3">
        <v>81.27</v>
      </c>
    </row>
    <row r="6461" spans="1:2">
      <c r="A6461" s="4">
        <v>40764</v>
      </c>
      <c r="B6461" s="3">
        <v>79.319999999999993</v>
      </c>
    </row>
    <row r="6462" spans="1:2">
      <c r="A6462" s="4">
        <v>40765</v>
      </c>
      <c r="B6462" s="3">
        <v>83.05</v>
      </c>
    </row>
    <row r="6463" spans="1:2">
      <c r="A6463" s="4">
        <v>40766</v>
      </c>
      <c r="B6463" s="3">
        <v>85.48</v>
      </c>
    </row>
    <row r="6464" spans="1:2">
      <c r="A6464" s="4">
        <v>40767</v>
      </c>
      <c r="B6464" s="3">
        <v>85.19</v>
      </c>
    </row>
    <row r="6465" spans="1:2">
      <c r="A6465" s="4">
        <v>40770</v>
      </c>
      <c r="B6465" s="3">
        <v>87.88</v>
      </c>
    </row>
    <row r="6466" spans="1:2">
      <c r="A6466" s="4">
        <v>40771</v>
      </c>
      <c r="B6466" s="3">
        <v>86.65</v>
      </c>
    </row>
    <row r="6467" spans="1:2">
      <c r="A6467" s="4">
        <v>40772</v>
      </c>
      <c r="B6467" s="3">
        <v>87.58</v>
      </c>
    </row>
    <row r="6468" spans="1:2">
      <c r="A6468" s="4">
        <v>40773</v>
      </c>
      <c r="B6468" s="3">
        <v>82.38</v>
      </c>
    </row>
    <row r="6469" spans="1:2">
      <c r="A6469" s="4">
        <v>40774</v>
      </c>
      <c r="B6469" s="3">
        <v>82.33</v>
      </c>
    </row>
    <row r="6470" spans="1:2">
      <c r="A6470" s="4">
        <v>40777</v>
      </c>
      <c r="B6470" s="3">
        <v>84.42</v>
      </c>
    </row>
    <row r="6471" spans="1:2">
      <c r="A6471" s="4">
        <v>40778</v>
      </c>
      <c r="B6471" s="3">
        <v>85.35</v>
      </c>
    </row>
    <row r="6472" spans="1:2">
      <c r="A6472" s="4">
        <v>40779</v>
      </c>
      <c r="B6472" s="3">
        <v>84.99</v>
      </c>
    </row>
    <row r="6473" spans="1:2">
      <c r="A6473" s="4">
        <v>40780</v>
      </c>
      <c r="B6473" s="3">
        <v>85.15</v>
      </c>
    </row>
    <row r="6474" spans="1:2">
      <c r="A6474" s="4">
        <v>40781</v>
      </c>
      <c r="B6474" s="3">
        <v>85.37</v>
      </c>
    </row>
    <row r="6475" spans="1:2">
      <c r="A6475" s="4">
        <v>40784</v>
      </c>
      <c r="B6475" s="3">
        <v>87.27</v>
      </c>
    </row>
    <row r="6476" spans="1:2">
      <c r="A6476" s="4">
        <v>40785</v>
      </c>
      <c r="B6476" s="3">
        <v>88.9</v>
      </c>
    </row>
    <row r="6477" spans="1:2">
      <c r="A6477" s="4">
        <v>40786</v>
      </c>
      <c r="B6477" s="3">
        <v>88.81</v>
      </c>
    </row>
    <row r="6478" spans="1:2">
      <c r="A6478" s="4">
        <v>40787</v>
      </c>
      <c r="B6478" s="3">
        <v>88.93</v>
      </c>
    </row>
    <row r="6479" spans="1:2">
      <c r="A6479" s="4">
        <v>40788</v>
      </c>
      <c r="B6479" s="3">
        <v>86.45</v>
      </c>
    </row>
    <row r="6480" spans="1:2">
      <c r="A6480" s="4">
        <v>40792</v>
      </c>
      <c r="B6480" s="3">
        <v>85.99</v>
      </c>
    </row>
    <row r="6481" spans="1:2">
      <c r="A6481" s="4">
        <v>40793</v>
      </c>
      <c r="B6481" s="3">
        <v>89.34</v>
      </c>
    </row>
    <row r="6482" spans="1:2">
      <c r="A6482" s="4">
        <v>40794</v>
      </c>
      <c r="B6482" s="3">
        <v>89.05</v>
      </c>
    </row>
    <row r="6483" spans="1:2">
      <c r="A6483" s="4">
        <v>40795</v>
      </c>
      <c r="B6483" s="3">
        <v>87.24</v>
      </c>
    </row>
    <row r="6484" spans="1:2">
      <c r="A6484" s="4">
        <v>40798</v>
      </c>
      <c r="B6484" s="3">
        <v>88.19</v>
      </c>
    </row>
    <row r="6485" spans="1:2">
      <c r="A6485" s="4">
        <v>40799</v>
      </c>
      <c r="B6485" s="3">
        <v>90.21</v>
      </c>
    </row>
    <row r="6486" spans="1:2">
      <c r="A6486" s="4">
        <v>40800</v>
      </c>
      <c r="B6486" s="3">
        <v>88.91</v>
      </c>
    </row>
    <row r="6487" spans="1:2">
      <c r="A6487" s="4">
        <v>40801</v>
      </c>
      <c r="B6487" s="3">
        <v>89.4</v>
      </c>
    </row>
    <row r="6488" spans="1:2">
      <c r="A6488" s="4">
        <v>40802</v>
      </c>
      <c r="B6488" s="3">
        <v>87.96</v>
      </c>
    </row>
    <row r="6489" spans="1:2">
      <c r="A6489" s="4">
        <v>40805</v>
      </c>
      <c r="B6489" s="3">
        <v>85.7</v>
      </c>
    </row>
    <row r="6490" spans="1:2">
      <c r="A6490" s="4">
        <v>40806</v>
      </c>
      <c r="B6490" s="3">
        <v>86.92</v>
      </c>
    </row>
    <row r="6491" spans="1:2">
      <c r="A6491" s="4">
        <v>40807</v>
      </c>
      <c r="B6491" s="3">
        <v>85.77</v>
      </c>
    </row>
    <row r="6492" spans="1:2">
      <c r="A6492" s="4">
        <v>40808</v>
      </c>
      <c r="B6492" s="3">
        <v>80.290000000000006</v>
      </c>
    </row>
    <row r="6493" spans="1:2">
      <c r="A6493" s="4">
        <v>40809</v>
      </c>
      <c r="B6493" s="3">
        <v>79.58</v>
      </c>
    </row>
    <row r="6494" spans="1:2">
      <c r="A6494" s="4">
        <v>40812</v>
      </c>
      <c r="B6494" s="3">
        <v>79.97</v>
      </c>
    </row>
    <row r="6495" spans="1:2">
      <c r="A6495" s="4">
        <v>40813</v>
      </c>
      <c r="B6495" s="3">
        <v>84.18</v>
      </c>
    </row>
    <row r="6496" spans="1:2">
      <c r="A6496" s="4">
        <v>40814</v>
      </c>
      <c r="B6496" s="3">
        <v>80.94</v>
      </c>
    </row>
    <row r="6497" spans="1:2">
      <c r="A6497" s="4">
        <v>40815</v>
      </c>
      <c r="B6497" s="3">
        <v>81.87</v>
      </c>
    </row>
    <row r="6498" spans="1:2">
      <c r="A6498" s="4">
        <v>40816</v>
      </c>
      <c r="B6498" s="3">
        <v>78.930000000000007</v>
      </c>
    </row>
    <row r="6499" spans="1:2">
      <c r="A6499" s="4">
        <v>40819</v>
      </c>
      <c r="B6499" s="3">
        <v>77.34</v>
      </c>
    </row>
    <row r="6500" spans="1:2">
      <c r="A6500" s="4">
        <v>40820</v>
      </c>
      <c r="B6500" s="3">
        <v>75.400000000000006</v>
      </c>
    </row>
    <row r="6501" spans="1:2">
      <c r="A6501" s="4">
        <v>40821</v>
      </c>
      <c r="B6501" s="3">
        <v>79.41</v>
      </c>
    </row>
    <row r="6502" spans="1:2">
      <c r="A6502" s="4">
        <v>40822</v>
      </c>
      <c r="B6502" s="3">
        <v>82.32</v>
      </c>
    </row>
    <row r="6503" spans="1:2">
      <c r="A6503" s="4">
        <v>40823</v>
      </c>
      <c r="B6503" s="3">
        <v>82.7</v>
      </c>
    </row>
    <row r="6504" spans="1:2">
      <c r="A6504" s="4">
        <v>40826</v>
      </c>
      <c r="B6504" s="3">
        <v>85.14</v>
      </c>
    </row>
    <row r="6505" spans="1:2">
      <c r="A6505" s="4">
        <v>40827</v>
      </c>
      <c r="B6505" s="3">
        <v>85.54</v>
      </c>
    </row>
    <row r="6506" spans="1:2">
      <c r="A6506" s="4">
        <v>40828</v>
      </c>
      <c r="B6506" s="3">
        <v>85.3</v>
      </c>
    </row>
    <row r="6507" spans="1:2">
      <c r="A6507" s="4">
        <v>40829</v>
      </c>
      <c r="B6507" s="3">
        <v>83.96</v>
      </c>
    </row>
    <row r="6508" spans="1:2">
      <c r="A6508" s="4">
        <v>40830</v>
      </c>
      <c r="B6508" s="3">
        <v>86.8</v>
      </c>
    </row>
    <row r="6509" spans="1:2">
      <c r="A6509" s="4">
        <v>40833</v>
      </c>
      <c r="B6509" s="3">
        <v>86.38</v>
      </c>
    </row>
    <row r="6510" spans="1:2">
      <c r="A6510" s="4">
        <v>40834</v>
      </c>
      <c r="B6510" s="3">
        <v>88.34</v>
      </c>
    </row>
    <row r="6511" spans="1:2">
      <c r="A6511" s="4">
        <v>40835</v>
      </c>
      <c r="B6511" s="3">
        <v>86.11</v>
      </c>
    </row>
    <row r="6512" spans="1:2">
      <c r="A6512" s="4">
        <v>40836</v>
      </c>
      <c r="B6512" s="3">
        <v>86.07</v>
      </c>
    </row>
    <row r="6513" spans="1:2">
      <c r="A6513" s="4">
        <v>40837</v>
      </c>
      <c r="B6513" s="3">
        <v>87.19</v>
      </c>
    </row>
    <row r="6514" spans="1:2">
      <c r="A6514" s="4">
        <v>40840</v>
      </c>
      <c r="B6514" s="3">
        <v>91.12</v>
      </c>
    </row>
    <row r="6515" spans="1:2">
      <c r="A6515" s="4">
        <v>40841</v>
      </c>
      <c r="B6515" s="3">
        <v>92.98</v>
      </c>
    </row>
    <row r="6516" spans="1:2">
      <c r="A6516" s="4">
        <v>40842</v>
      </c>
      <c r="B6516" s="3">
        <v>90.2</v>
      </c>
    </row>
    <row r="6517" spans="1:2">
      <c r="A6517" s="4">
        <v>40843</v>
      </c>
      <c r="B6517" s="3">
        <v>93.96</v>
      </c>
    </row>
    <row r="6518" spans="1:2">
      <c r="A6518" s="4">
        <v>40844</v>
      </c>
      <c r="B6518" s="3">
        <v>93.32</v>
      </c>
    </row>
    <row r="6519" spans="1:2">
      <c r="A6519" s="4">
        <v>40847</v>
      </c>
      <c r="B6519" s="3">
        <v>93.19</v>
      </c>
    </row>
    <row r="6520" spans="1:2">
      <c r="A6520" s="4">
        <v>40848</v>
      </c>
      <c r="B6520" s="3">
        <v>92.19</v>
      </c>
    </row>
    <row r="6521" spans="1:2">
      <c r="A6521" s="4">
        <v>40849</v>
      </c>
      <c r="B6521" s="3">
        <v>92.51</v>
      </c>
    </row>
    <row r="6522" spans="1:2">
      <c r="A6522" s="4">
        <v>40850</v>
      </c>
      <c r="B6522" s="3">
        <v>94.07</v>
      </c>
    </row>
    <row r="6523" spans="1:2">
      <c r="A6523" s="4">
        <v>40851</v>
      </c>
      <c r="B6523" s="3">
        <v>94.26</v>
      </c>
    </row>
    <row r="6524" spans="1:2">
      <c r="A6524" s="4">
        <v>40854</v>
      </c>
      <c r="B6524" s="3">
        <v>95.52</v>
      </c>
    </row>
    <row r="6525" spans="1:2">
      <c r="A6525" s="4">
        <v>40855</v>
      </c>
      <c r="B6525" s="3">
        <v>96.8</v>
      </c>
    </row>
    <row r="6526" spans="1:2">
      <c r="A6526" s="4">
        <v>40856</v>
      </c>
      <c r="B6526" s="3">
        <v>95.74</v>
      </c>
    </row>
    <row r="6527" spans="1:2">
      <c r="A6527" s="4">
        <v>40857</v>
      </c>
      <c r="B6527" s="3">
        <v>97.78</v>
      </c>
    </row>
    <row r="6528" spans="1:2">
      <c r="A6528" s="4">
        <v>40858</v>
      </c>
      <c r="B6528" s="3">
        <v>98.99</v>
      </c>
    </row>
    <row r="6529" spans="1:2">
      <c r="A6529" s="4">
        <v>40861</v>
      </c>
      <c r="B6529" s="3">
        <v>98.14</v>
      </c>
    </row>
    <row r="6530" spans="1:2">
      <c r="A6530" s="4">
        <v>40862</v>
      </c>
      <c r="B6530" s="3">
        <v>99.37</v>
      </c>
    </row>
    <row r="6531" spans="1:2">
      <c r="A6531" s="4">
        <v>40863</v>
      </c>
      <c r="B6531" s="3">
        <v>102.59</v>
      </c>
    </row>
    <row r="6532" spans="1:2">
      <c r="A6532" s="4">
        <v>40864</v>
      </c>
      <c r="B6532" s="3">
        <v>98.82</v>
      </c>
    </row>
    <row r="6533" spans="1:2">
      <c r="A6533" s="4">
        <v>40865</v>
      </c>
      <c r="B6533" s="3">
        <v>97.67</v>
      </c>
    </row>
    <row r="6534" spans="1:2">
      <c r="A6534" s="4">
        <v>40868</v>
      </c>
      <c r="B6534" s="3">
        <v>96.73</v>
      </c>
    </row>
    <row r="6535" spans="1:2">
      <c r="A6535" s="4">
        <v>40869</v>
      </c>
      <c r="B6535" s="3">
        <v>97.76</v>
      </c>
    </row>
    <row r="6536" spans="1:2">
      <c r="A6536" s="4">
        <v>40870</v>
      </c>
      <c r="B6536" s="3">
        <v>96.16</v>
      </c>
    </row>
    <row r="6537" spans="1:2">
      <c r="A6537" s="4">
        <v>40872</v>
      </c>
      <c r="B6537" s="3">
        <v>96.91</v>
      </c>
    </row>
    <row r="6538" spans="1:2">
      <c r="A6538" s="4">
        <v>40875</v>
      </c>
      <c r="B6538" s="3">
        <v>98.21</v>
      </c>
    </row>
    <row r="6539" spans="1:2">
      <c r="A6539" s="4">
        <v>40876</v>
      </c>
      <c r="B6539" s="3">
        <v>99.79</v>
      </c>
    </row>
    <row r="6540" spans="1:2">
      <c r="A6540" s="4">
        <v>40877</v>
      </c>
      <c r="B6540" s="3">
        <v>100.36</v>
      </c>
    </row>
    <row r="6541" spans="1:2">
      <c r="A6541" s="4">
        <v>40878</v>
      </c>
      <c r="B6541" s="3">
        <v>100.2</v>
      </c>
    </row>
    <row r="6542" spans="1:2">
      <c r="A6542" s="4">
        <v>40879</v>
      </c>
      <c r="B6542" s="3">
        <v>100.97</v>
      </c>
    </row>
    <row r="6543" spans="1:2">
      <c r="A6543" s="4">
        <v>40882</v>
      </c>
      <c r="B6543" s="3">
        <v>100.94</v>
      </c>
    </row>
    <row r="6544" spans="1:2">
      <c r="A6544" s="4">
        <v>40883</v>
      </c>
      <c r="B6544" s="3">
        <v>101.25</v>
      </c>
    </row>
    <row r="6545" spans="1:2">
      <c r="A6545" s="4">
        <v>40884</v>
      </c>
      <c r="B6545" s="3">
        <v>100.45</v>
      </c>
    </row>
    <row r="6546" spans="1:2">
      <c r="A6546" s="4">
        <v>40885</v>
      </c>
      <c r="B6546" s="3">
        <v>98.35</v>
      </c>
    </row>
    <row r="6547" spans="1:2">
      <c r="A6547" s="4">
        <v>40886</v>
      </c>
      <c r="B6547" s="3">
        <v>99.4</v>
      </c>
    </row>
    <row r="6548" spans="1:2">
      <c r="A6548" s="4">
        <v>40889</v>
      </c>
      <c r="B6548" s="3">
        <v>97.77</v>
      </c>
    </row>
    <row r="6549" spans="1:2">
      <c r="A6549" s="4">
        <v>40890</v>
      </c>
      <c r="B6549" s="3">
        <v>100.24</v>
      </c>
    </row>
    <row r="6550" spans="1:2">
      <c r="A6550" s="4">
        <v>40891</v>
      </c>
      <c r="B6550" s="3">
        <v>94.92</v>
      </c>
    </row>
    <row r="6551" spans="1:2">
      <c r="A6551" s="4">
        <v>40892</v>
      </c>
      <c r="B6551" s="3">
        <v>93.84</v>
      </c>
    </row>
    <row r="6552" spans="1:2">
      <c r="A6552" s="4">
        <v>40893</v>
      </c>
      <c r="B6552" s="3">
        <v>93.55</v>
      </c>
    </row>
    <row r="6553" spans="1:2">
      <c r="A6553" s="4">
        <v>40896</v>
      </c>
      <c r="B6553" s="3">
        <v>93.86</v>
      </c>
    </row>
    <row r="6554" spans="1:2">
      <c r="A6554" s="4">
        <v>40897</v>
      </c>
      <c r="B6554" s="3">
        <v>97.16</v>
      </c>
    </row>
    <row r="6555" spans="1:2">
      <c r="A6555" s="4">
        <v>40898</v>
      </c>
      <c r="B6555" s="3">
        <v>98.54</v>
      </c>
    </row>
    <row r="6556" spans="1:2">
      <c r="A6556" s="4">
        <v>40899</v>
      </c>
      <c r="B6556" s="3">
        <v>99.42</v>
      </c>
    </row>
    <row r="6557" spans="1:2">
      <c r="A6557" s="4">
        <v>40900</v>
      </c>
      <c r="B6557" s="3">
        <v>99.72</v>
      </c>
    </row>
    <row r="6558" spans="1:2">
      <c r="A6558" s="4">
        <v>40904</v>
      </c>
      <c r="B6558" s="3">
        <v>101.29</v>
      </c>
    </row>
    <row r="6559" spans="1:2">
      <c r="A6559" s="4">
        <v>40905</v>
      </c>
      <c r="B6559" s="3">
        <v>99.44</v>
      </c>
    </row>
    <row r="6560" spans="1:2">
      <c r="A6560" s="4">
        <v>40906</v>
      </c>
      <c r="B6560" s="3">
        <v>99.68</v>
      </c>
    </row>
    <row r="6561" spans="1:2">
      <c r="A6561" s="4">
        <v>40907</v>
      </c>
      <c r="B6561" s="3">
        <v>98.83</v>
      </c>
    </row>
    <row r="6562" spans="1:2">
      <c r="A6562" s="4">
        <v>40911</v>
      </c>
      <c r="B6562" s="3">
        <v>102.96</v>
      </c>
    </row>
    <row r="6563" spans="1:2">
      <c r="A6563" s="4">
        <v>40912</v>
      </c>
      <c r="B6563" s="3">
        <v>103.22</v>
      </c>
    </row>
    <row r="6564" spans="1:2">
      <c r="A6564" s="4">
        <v>40913</v>
      </c>
      <c r="B6564" s="3">
        <v>101.81</v>
      </c>
    </row>
    <row r="6565" spans="1:2">
      <c r="A6565" s="4">
        <v>40914</v>
      </c>
      <c r="B6565" s="3">
        <v>101.56</v>
      </c>
    </row>
    <row r="6566" spans="1:2">
      <c r="A6566" s="4">
        <v>40917</v>
      </c>
      <c r="B6566" s="3">
        <v>101.31</v>
      </c>
    </row>
    <row r="6567" spans="1:2">
      <c r="A6567" s="4">
        <v>40918</v>
      </c>
      <c r="B6567" s="3">
        <v>102.24</v>
      </c>
    </row>
    <row r="6568" spans="1:2">
      <c r="A6568" s="4">
        <v>40919</v>
      </c>
      <c r="B6568" s="3">
        <v>100.89</v>
      </c>
    </row>
    <row r="6569" spans="1:2">
      <c r="A6569" s="4">
        <v>40920</v>
      </c>
      <c r="B6569" s="3">
        <v>99.03</v>
      </c>
    </row>
    <row r="6570" spans="1:2">
      <c r="A6570" s="4">
        <v>40921</v>
      </c>
      <c r="B6570" s="3">
        <v>98.69</v>
      </c>
    </row>
    <row r="6571" spans="1:2">
      <c r="A6571" s="4">
        <v>40925</v>
      </c>
      <c r="B6571" s="3">
        <v>100.7</v>
      </c>
    </row>
    <row r="6572" spans="1:2">
      <c r="A6572" s="4">
        <v>40926</v>
      </c>
      <c r="B6572" s="3">
        <v>100.61</v>
      </c>
    </row>
    <row r="6573" spans="1:2">
      <c r="A6573" s="4">
        <v>40927</v>
      </c>
      <c r="B6573" s="3">
        <v>100.32</v>
      </c>
    </row>
    <row r="6574" spans="1:2">
      <c r="A6574" s="4">
        <v>40928</v>
      </c>
      <c r="B6574" s="3">
        <v>98.15</v>
      </c>
    </row>
    <row r="6575" spans="1:2">
      <c r="A6575" s="4">
        <v>40931</v>
      </c>
      <c r="B6575" s="3">
        <v>99.47</v>
      </c>
    </row>
    <row r="6576" spans="1:2">
      <c r="A6576" s="4">
        <v>40932</v>
      </c>
      <c r="B6576" s="3">
        <v>98.84</v>
      </c>
    </row>
    <row r="6577" spans="1:2">
      <c r="A6577" s="4">
        <v>40933</v>
      </c>
      <c r="B6577" s="3">
        <v>99.23</v>
      </c>
    </row>
    <row r="6578" spans="1:2">
      <c r="A6578" s="4">
        <v>40934</v>
      </c>
      <c r="B6578" s="3">
        <v>99.76</v>
      </c>
    </row>
    <row r="6579" spans="1:2">
      <c r="A6579" s="4">
        <v>40935</v>
      </c>
      <c r="B6579" s="3">
        <v>99.47</v>
      </c>
    </row>
    <row r="6580" spans="1:2">
      <c r="A6580" s="4">
        <v>40938</v>
      </c>
      <c r="B6580" s="3">
        <v>98.75</v>
      </c>
    </row>
    <row r="6581" spans="1:2">
      <c r="A6581" s="4">
        <v>40939</v>
      </c>
      <c r="B6581" s="3">
        <v>98.46</v>
      </c>
    </row>
    <row r="6582" spans="1:2">
      <c r="A6582" s="4">
        <v>40940</v>
      </c>
      <c r="B6582" s="3">
        <v>97.63</v>
      </c>
    </row>
    <row r="6583" spans="1:2">
      <c r="A6583" s="4">
        <v>40941</v>
      </c>
      <c r="B6583" s="3">
        <v>96.36</v>
      </c>
    </row>
    <row r="6584" spans="1:2">
      <c r="A6584" s="4">
        <v>40942</v>
      </c>
      <c r="B6584" s="3">
        <v>97.8</v>
      </c>
    </row>
    <row r="6585" spans="1:2">
      <c r="A6585" s="4">
        <v>40945</v>
      </c>
      <c r="B6585" s="3">
        <v>96.89</v>
      </c>
    </row>
    <row r="6586" spans="1:2">
      <c r="A6586" s="4">
        <v>40946</v>
      </c>
      <c r="B6586" s="3">
        <v>98.55</v>
      </c>
    </row>
    <row r="6587" spans="1:2">
      <c r="A6587" s="4">
        <v>40947</v>
      </c>
      <c r="B6587" s="3">
        <v>98.8</v>
      </c>
    </row>
    <row r="6588" spans="1:2">
      <c r="A6588" s="4">
        <v>40948</v>
      </c>
      <c r="B6588" s="3">
        <v>99.88</v>
      </c>
    </row>
    <row r="6589" spans="1:2">
      <c r="A6589" s="4">
        <v>40949</v>
      </c>
      <c r="B6589" s="3">
        <v>98.68</v>
      </c>
    </row>
    <row r="6590" spans="1:2">
      <c r="A6590" s="4">
        <v>40952</v>
      </c>
      <c r="B6590" s="3">
        <v>100.39</v>
      </c>
    </row>
    <row r="6591" spans="1:2">
      <c r="A6591" s="4">
        <v>40953</v>
      </c>
      <c r="B6591" s="3">
        <v>100.82</v>
      </c>
    </row>
    <row r="6592" spans="1:2">
      <c r="A6592" s="4">
        <v>40954</v>
      </c>
      <c r="B6592" s="3">
        <v>101.82</v>
      </c>
    </row>
    <row r="6593" spans="1:2">
      <c r="A6593" s="4">
        <v>40955</v>
      </c>
      <c r="B6593" s="3">
        <v>102.33</v>
      </c>
    </row>
    <row r="6594" spans="1:2">
      <c r="A6594" s="4">
        <v>40956</v>
      </c>
      <c r="B6594" s="3">
        <v>103.27</v>
      </c>
    </row>
    <row r="6595" spans="1:2">
      <c r="A6595" s="4">
        <v>40960</v>
      </c>
      <c r="B6595" s="3">
        <v>105.88</v>
      </c>
    </row>
    <row r="6596" spans="1:2">
      <c r="A6596" s="4">
        <v>40961</v>
      </c>
      <c r="B6596" s="3">
        <v>105.99</v>
      </c>
    </row>
    <row r="6597" spans="1:2">
      <c r="A6597" s="4">
        <v>40962</v>
      </c>
      <c r="B6597" s="3">
        <v>107.44</v>
      </c>
    </row>
    <row r="6598" spans="1:2">
      <c r="A6598" s="4">
        <v>40963</v>
      </c>
      <c r="B6598" s="3">
        <v>109.39</v>
      </c>
    </row>
    <row r="6599" spans="1:2">
      <c r="A6599" s="4">
        <v>40966</v>
      </c>
      <c r="B6599" s="3">
        <v>108.49</v>
      </c>
    </row>
    <row r="6600" spans="1:2">
      <c r="A6600" s="4">
        <v>40967</v>
      </c>
      <c r="B6600" s="3">
        <v>106.59</v>
      </c>
    </row>
    <row r="6601" spans="1:2">
      <c r="A6601" s="4">
        <v>40968</v>
      </c>
      <c r="B6601" s="3">
        <v>107.08</v>
      </c>
    </row>
    <row r="6602" spans="1:2">
      <c r="A6602" s="4">
        <v>40969</v>
      </c>
      <c r="B6602" s="3">
        <v>108.76</v>
      </c>
    </row>
    <row r="6603" spans="1:2">
      <c r="A6603" s="4">
        <v>40970</v>
      </c>
      <c r="B6603" s="3">
        <v>106.68</v>
      </c>
    </row>
    <row r="6604" spans="1:2">
      <c r="A6604" s="4">
        <v>40973</v>
      </c>
      <c r="B6604" s="3">
        <v>106.7</v>
      </c>
    </row>
    <row r="6605" spans="1:2">
      <c r="A6605" s="4">
        <v>40974</v>
      </c>
      <c r="B6605" s="3">
        <v>104.71</v>
      </c>
    </row>
    <row r="6606" spans="1:2">
      <c r="A6606" s="4">
        <v>40975</v>
      </c>
      <c r="B6606" s="3">
        <v>106.16</v>
      </c>
    </row>
    <row r="6607" spans="1:2">
      <c r="A6607" s="4">
        <v>40976</v>
      </c>
      <c r="B6607" s="3">
        <v>106.65</v>
      </c>
    </row>
    <row r="6608" spans="1:2">
      <c r="A6608" s="4">
        <v>40977</v>
      </c>
      <c r="B6608" s="3">
        <v>107.4</v>
      </c>
    </row>
    <row r="6609" spans="1:2">
      <c r="A6609" s="4">
        <v>40980</v>
      </c>
      <c r="B6609" s="3">
        <v>106.34</v>
      </c>
    </row>
    <row r="6610" spans="1:2">
      <c r="A6610" s="4">
        <v>40981</v>
      </c>
      <c r="B6610" s="3">
        <v>106.7</v>
      </c>
    </row>
    <row r="6611" spans="1:2">
      <c r="A6611" s="4">
        <v>40982</v>
      </c>
      <c r="B6611" s="3">
        <v>105.49</v>
      </c>
    </row>
    <row r="6612" spans="1:2">
      <c r="A6612" s="4">
        <v>40983</v>
      </c>
      <c r="B6612" s="3">
        <v>105.19</v>
      </c>
    </row>
    <row r="6613" spans="1:2">
      <c r="A6613" s="4">
        <v>40984</v>
      </c>
      <c r="B6613" s="3">
        <v>107.03</v>
      </c>
    </row>
    <row r="6614" spans="1:2">
      <c r="A6614" s="4">
        <v>40987</v>
      </c>
      <c r="B6614" s="3">
        <v>108.09</v>
      </c>
    </row>
    <row r="6615" spans="1:2">
      <c r="A6615" s="4">
        <v>40988</v>
      </c>
      <c r="B6615" s="3">
        <v>105.68</v>
      </c>
    </row>
    <row r="6616" spans="1:2">
      <c r="A6616" s="4">
        <v>40989</v>
      </c>
      <c r="B6616" s="3">
        <v>106.87</v>
      </c>
    </row>
    <row r="6617" spans="1:2">
      <c r="A6617" s="4">
        <v>40990</v>
      </c>
      <c r="B6617" s="3">
        <v>104.98</v>
      </c>
    </row>
    <row r="6618" spans="1:2">
      <c r="A6618" s="4">
        <v>40991</v>
      </c>
      <c r="B6618" s="3">
        <v>106.43</v>
      </c>
    </row>
    <row r="6619" spans="1:2">
      <c r="A6619" s="4">
        <v>40994</v>
      </c>
      <c r="B6619" s="3">
        <v>107.07</v>
      </c>
    </row>
    <row r="6620" spans="1:2">
      <c r="A6620" s="4">
        <v>40995</v>
      </c>
      <c r="B6620" s="3">
        <v>107.32</v>
      </c>
    </row>
    <row r="6621" spans="1:2">
      <c r="A6621" s="4">
        <v>40996</v>
      </c>
      <c r="B6621" s="3">
        <v>105.4</v>
      </c>
    </row>
    <row r="6622" spans="1:2">
      <c r="A6622" s="4">
        <v>40997</v>
      </c>
      <c r="B6622" s="3">
        <v>102.79</v>
      </c>
    </row>
    <row r="6623" spans="1:2">
      <c r="A6623" s="4">
        <v>40998</v>
      </c>
      <c r="B6623" s="3">
        <v>103.03</v>
      </c>
    </row>
    <row r="6624" spans="1:2">
      <c r="A6624" s="4">
        <v>41001</v>
      </c>
      <c r="B6624" s="3">
        <v>105.25</v>
      </c>
    </row>
    <row r="6625" spans="1:2">
      <c r="A6625" s="4">
        <v>41002</v>
      </c>
      <c r="B6625" s="3">
        <v>104.02</v>
      </c>
    </row>
    <row r="6626" spans="1:2">
      <c r="A6626" s="4">
        <v>41003</v>
      </c>
      <c r="B6626" s="3">
        <v>101.53</v>
      </c>
    </row>
    <row r="6627" spans="1:2">
      <c r="A6627" s="4">
        <v>41004</v>
      </c>
      <c r="B6627" s="3">
        <v>103.29</v>
      </c>
    </row>
    <row r="6628" spans="1:2">
      <c r="A6628" s="4">
        <v>41008</v>
      </c>
      <c r="B6628" s="3">
        <v>102.45</v>
      </c>
    </row>
    <row r="6629" spans="1:2">
      <c r="A6629" s="4">
        <v>41009</v>
      </c>
      <c r="B6629" s="3">
        <v>101.12</v>
      </c>
    </row>
    <row r="6630" spans="1:2">
      <c r="A6630" s="4">
        <v>41010</v>
      </c>
      <c r="B6630" s="3">
        <v>102.66</v>
      </c>
    </row>
    <row r="6631" spans="1:2">
      <c r="A6631" s="4">
        <v>41011</v>
      </c>
      <c r="B6631" s="3">
        <v>103.69</v>
      </c>
    </row>
    <row r="6632" spans="1:2">
      <c r="A6632" s="4">
        <v>41012</v>
      </c>
      <c r="B6632" s="3">
        <v>102.84</v>
      </c>
    </row>
    <row r="6633" spans="1:2">
      <c r="A6633" s="4">
        <v>41015</v>
      </c>
      <c r="B6633" s="3">
        <v>102.92</v>
      </c>
    </row>
    <row r="6634" spans="1:2">
      <c r="A6634" s="4">
        <v>41016</v>
      </c>
      <c r="B6634" s="3">
        <v>104.23</v>
      </c>
    </row>
    <row r="6635" spans="1:2">
      <c r="A6635" s="4">
        <v>41017</v>
      </c>
      <c r="B6635" s="3">
        <v>102.65</v>
      </c>
    </row>
    <row r="6636" spans="1:2">
      <c r="A6636" s="4">
        <v>41018</v>
      </c>
      <c r="B6636" s="3">
        <v>102.38</v>
      </c>
    </row>
    <row r="6637" spans="1:2">
      <c r="A6637" s="4">
        <v>41019</v>
      </c>
      <c r="B6637" s="3">
        <v>103.58</v>
      </c>
    </row>
    <row r="6638" spans="1:2">
      <c r="A6638" s="4">
        <v>41022</v>
      </c>
      <c r="B6638" s="3">
        <v>102.68</v>
      </c>
    </row>
    <row r="6639" spans="1:2">
      <c r="A6639" s="4">
        <v>41023</v>
      </c>
      <c r="B6639" s="3">
        <v>103.1</v>
      </c>
    </row>
    <row r="6640" spans="1:2">
      <c r="A6640" s="4">
        <v>41024</v>
      </c>
      <c r="B6640" s="3">
        <v>103.72</v>
      </c>
    </row>
    <row r="6641" spans="1:2">
      <c r="A6641" s="4">
        <v>41025</v>
      </c>
      <c r="B6641" s="3">
        <v>104.56</v>
      </c>
    </row>
    <row r="6642" spans="1:2">
      <c r="A6642" s="4">
        <v>41026</v>
      </c>
      <c r="B6642" s="3">
        <v>104.86</v>
      </c>
    </row>
    <row r="6643" spans="1:2">
      <c r="A6643" s="4">
        <v>41029</v>
      </c>
      <c r="B6643" s="3">
        <v>104.89</v>
      </c>
    </row>
    <row r="6644" spans="1:2">
      <c r="A6644" s="4">
        <v>41030</v>
      </c>
      <c r="B6644" s="3">
        <v>106.17</v>
      </c>
    </row>
    <row r="6645" spans="1:2">
      <c r="A6645" s="4">
        <v>41031</v>
      </c>
      <c r="B6645" s="3">
        <v>105.25</v>
      </c>
    </row>
    <row r="6646" spans="1:2">
      <c r="A6646" s="4">
        <v>41032</v>
      </c>
      <c r="B6646" s="3">
        <v>102.56</v>
      </c>
    </row>
    <row r="6647" spans="1:2">
      <c r="A6647" s="4">
        <v>41033</v>
      </c>
      <c r="B6647" s="3">
        <v>98.49</v>
      </c>
    </row>
    <row r="6648" spans="1:2">
      <c r="A6648" s="4">
        <v>41036</v>
      </c>
      <c r="B6648" s="3">
        <v>97.86</v>
      </c>
    </row>
    <row r="6649" spans="1:2">
      <c r="A6649" s="4">
        <v>41037</v>
      </c>
      <c r="B6649" s="3">
        <v>97.13</v>
      </c>
    </row>
    <row r="6650" spans="1:2">
      <c r="A6650" s="4">
        <v>41038</v>
      </c>
      <c r="B6650" s="3">
        <v>96.8</v>
      </c>
    </row>
    <row r="6651" spans="1:2">
      <c r="A6651" s="4">
        <v>41039</v>
      </c>
      <c r="B6651" s="3">
        <v>97.1</v>
      </c>
    </row>
    <row r="6652" spans="1:2">
      <c r="A6652" s="4">
        <v>41040</v>
      </c>
      <c r="B6652" s="3">
        <v>96.03</v>
      </c>
    </row>
    <row r="6653" spans="1:2">
      <c r="A6653" s="4">
        <v>41043</v>
      </c>
      <c r="B6653" s="3">
        <v>94.75</v>
      </c>
    </row>
    <row r="6654" spans="1:2">
      <c r="A6654" s="4">
        <v>41044</v>
      </c>
      <c r="B6654" s="3">
        <v>93.97</v>
      </c>
    </row>
    <row r="6655" spans="1:2">
      <c r="A6655" s="4">
        <v>41045</v>
      </c>
      <c r="B6655" s="3">
        <v>92.78</v>
      </c>
    </row>
    <row r="6656" spans="1:2">
      <c r="A6656" s="4">
        <v>41046</v>
      </c>
      <c r="B6656" s="3">
        <v>92.53</v>
      </c>
    </row>
    <row r="6657" spans="1:2">
      <c r="A6657" s="4">
        <v>41047</v>
      </c>
      <c r="B6657" s="3">
        <v>91.51</v>
      </c>
    </row>
    <row r="6658" spans="1:2">
      <c r="A6658" s="4">
        <v>41050</v>
      </c>
      <c r="B6658" s="3">
        <v>92.57</v>
      </c>
    </row>
    <row r="6659" spans="1:2">
      <c r="A6659" s="4">
        <v>41051</v>
      </c>
      <c r="B6659" s="3">
        <v>91.44</v>
      </c>
    </row>
    <row r="6660" spans="1:2">
      <c r="A6660" s="4">
        <v>41052</v>
      </c>
      <c r="B6660" s="3">
        <v>89.4</v>
      </c>
    </row>
    <row r="6661" spans="1:2">
      <c r="A6661" s="4">
        <v>41053</v>
      </c>
      <c r="B6661" s="3">
        <v>90.36</v>
      </c>
    </row>
    <row r="6662" spans="1:2">
      <c r="A6662" s="4">
        <v>41054</v>
      </c>
      <c r="B6662" s="3">
        <v>90.64</v>
      </c>
    </row>
    <row r="6663" spans="1:2">
      <c r="A6663" s="4">
        <v>41058</v>
      </c>
      <c r="B6663" s="3">
        <v>90.75</v>
      </c>
    </row>
    <row r="6664" spans="1:2">
      <c r="A6664" s="4">
        <v>41059</v>
      </c>
      <c r="B6664" s="3">
        <v>87.79</v>
      </c>
    </row>
    <row r="6665" spans="1:2">
      <c r="A6665" s="4">
        <v>41060</v>
      </c>
      <c r="B6665" s="3">
        <v>86.52</v>
      </c>
    </row>
    <row r="6666" spans="1:2">
      <c r="A6666" s="4">
        <v>41061</v>
      </c>
      <c r="B6666" s="3">
        <v>83.17</v>
      </c>
    </row>
    <row r="6667" spans="1:2">
      <c r="A6667" s="4">
        <v>41064</v>
      </c>
      <c r="B6667" s="3">
        <v>83.95</v>
      </c>
    </row>
    <row r="6668" spans="1:2">
      <c r="A6668" s="4">
        <v>41065</v>
      </c>
      <c r="B6668" s="3">
        <v>84.31</v>
      </c>
    </row>
    <row r="6669" spans="1:2">
      <c r="A6669" s="4">
        <v>41066</v>
      </c>
      <c r="B6669" s="3">
        <v>85.05</v>
      </c>
    </row>
    <row r="6670" spans="1:2">
      <c r="A6670" s="4">
        <v>41067</v>
      </c>
      <c r="B6670" s="3">
        <v>84.78</v>
      </c>
    </row>
    <row r="6671" spans="1:2">
      <c r="A6671" s="4">
        <v>41068</v>
      </c>
      <c r="B6671" s="3">
        <v>84.08</v>
      </c>
    </row>
    <row r="6672" spans="1:2">
      <c r="A6672" s="4">
        <v>41071</v>
      </c>
      <c r="B6672" s="3">
        <v>82.58</v>
      </c>
    </row>
    <row r="6673" spans="1:2">
      <c r="A6673" s="4">
        <v>41072</v>
      </c>
      <c r="B6673" s="3">
        <v>83.35</v>
      </c>
    </row>
    <row r="6674" spans="1:2">
      <c r="A6674" s="4">
        <v>41073</v>
      </c>
      <c r="B6674" s="3">
        <v>82.56</v>
      </c>
    </row>
    <row r="6675" spans="1:2">
      <c r="A6675" s="4">
        <v>41074</v>
      </c>
      <c r="B6675" s="3">
        <v>83.83</v>
      </c>
    </row>
    <row r="6676" spans="1:2">
      <c r="A6676" s="4">
        <v>41075</v>
      </c>
      <c r="B6676" s="3">
        <v>84.03</v>
      </c>
    </row>
    <row r="6677" spans="1:2">
      <c r="A6677" s="4">
        <v>41078</v>
      </c>
      <c r="B6677" s="3">
        <v>83.26</v>
      </c>
    </row>
    <row r="6678" spans="1:2">
      <c r="A6678" s="4">
        <v>41079</v>
      </c>
      <c r="B6678" s="3">
        <v>83.99</v>
      </c>
    </row>
    <row r="6679" spans="1:2">
      <c r="A6679" s="4">
        <v>41080</v>
      </c>
      <c r="B6679" s="3">
        <v>81.06</v>
      </c>
    </row>
    <row r="6680" spans="1:2">
      <c r="A6680" s="4">
        <v>41081</v>
      </c>
      <c r="B6680" s="3">
        <v>77.91</v>
      </c>
    </row>
    <row r="6681" spans="1:2">
      <c r="A6681" s="4">
        <v>41082</v>
      </c>
      <c r="B6681" s="3">
        <v>79.33</v>
      </c>
    </row>
    <row r="6682" spans="1:2">
      <c r="A6682" s="4">
        <v>41085</v>
      </c>
      <c r="B6682" s="3">
        <v>78.760000000000005</v>
      </c>
    </row>
    <row r="6683" spans="1:2">
      <c r="A6683" s="4">
        <v>41086</v>
      </c>
      <c r="B6683" s="3">
        <v>79.34</v>
      </c>
    </row>
    <row r="6684" spans="1:2">
      <c r="A6684" s="4">
        <v>41087</v>
      </c>
      <c r="B6684" s="3">
        <v>80.27</v>
      </c>
    </row>
    <row r="6685" spans="1:2">
      <c r="A6685" s="4">
        <v>41088</v>
      </c>
      <c r="B6685" s="3">
        <v>77.72</v>
      </c>
    </row>
    <row r="6686" spans="1:2">
      <c r="A6686" s="4">
        <v>41089</v>
      </c>
      <c r="B6686" s="3">
        <v>85.04</v>
      </c>
    </row>
    <row r="6687" spans="1:2">
      <c r="A6687" s="4">
        <v>41092</v>
      </c>
      <c r="B6687" s="3">
        <v>83.72</v>
      </c>
    </row>
    <row r="6688" spans="1:2">
      <c r="A6688" s="4">
        <v>41093</v>
      </c>
      <c r="B6688" s="3">
        <v>87.74</v>
      </c>
    </row>
    <row r="6689" spans="1:2">
      <c r="A6689" s="4">
        <v>41095</v>
      </c>
      <c r="B6689" s="3">
        <v>87.11</v>
      </c>
    </row>
    <row r="6690" spans="1:2">
      <c r="A6690" s="4">
        <v>41096</v>
      </c>
      <c r="B6690" s="3">
        <v>84.37</v>
      </c>
    </row>
    <row r="6691" spans="1:2">
      <c r="A6691" s="4">
        <v>41099</v>
      </c>
      <c r="B6691" s="3">
        <v>85.93</v>
      </c>
    </row>
    <row r="6692" spans="1:2">
      <c r="A6692" s="4">
        <v>41100</v>
      </c>
      <c r="B6692" s="3">
        <v>83.92</v>
      </c>
    </row>
    <row r="6693" spans="1:2">
      <c r="A6693" s="4">
        <v>41101</v>
      </c>
      <c r="B6693" s="3">
        <v>85.88</v>
      </c>
    </row>
    <row r="6694" spans="1:2">
      <c r="A6694" s="4">
        <v>41102</v>
      </c>
      <c r="B6694" s="3">
        <v>86.02</v>
      </c>
    </row>
    <row r="6695" spans="1:2">
      <c r="A6695" s="4">
        <v>41103</v>
      </c>
      <c r="B6695" s="3">
        <v>87.15</v>
      </c>
    </row>
    <row r="6696" spans="1:2">
      <c r="A6696" s="4">
        <v>41106</v>
      </c>
      <c r="B6696" s="3">
        <v>88.41</v>
      </c>
    </row>
    <row r="6697" spans="1:2">
      <c r="A6697" s="4">
        <v>41107</v>
      </c>
      <c r="B6697" s="3">
        <v>89.07</v>
      </c>
    </row>
    <row r="6698" spans="1:2">
      <c r="A6698" s="4">
        <v>41108</v>
      </c>
      <c r="B6698" s="3">
        <v>89.88</v>
      </c>
    </row>
    <row r="6699" spans="1:2">
      <c r="A6699" s="4">
        <v>41109</v>
      </c>
      <c r="B6699" s="3">
        <v>92.78</v>
      </c>
    </row>
    <row r="6700" spans="1:2">
      <c r="A6700" s="4">
        <v>41110</v>
      </c>
      <c r="B6700" s="3">
        <v>91.56</v>
      </c>
    </row>
    <row r="6701" spans="1:2">
      <c r="A6701" s="4">
        <v>41113</v>
      </c>
      <c r="B6701" s="3">
        <v>87.77</v>
      </c>
    </row>
    <row r="6702" spans="1:2">
      <c r="A6702" s="4">
        <v>41114</v>
      </c>
      <c r="B6702" s="3">
        <v>88.28</v>
      </c>
    </row>
    <row r="6703" spans="1:2">
      <c r="A6703" s="4">
        <v>41115</v>
      </c>
      <c r="B6703" s="3">
        <v>88.8</v>
      </c>
    </row>
    <row r="6704" spans="1:2">
      <c r="A6704" s="4">
        <v>41116</v>
      </c>
      <c r="B6704" s="3">
        <v>89.4</v>
      </c>
    </row>
    <row r="6705" spans="1:2">
      <c r="A6705" s="4">
        <v>41117</v>
      </c>
      <c r="B6705" s="3">
        <v>90.13</v>
      </c>
    </row>
    <row r="6706" spans="1:2">
      <c r="A6706" s="4">
        <v>41120</v>
      </c>
      <c r="B6706" s="3">
        <v>89.8</v>
      </c>
    </row>
    <row r="6707" spans="1:2">
      <c r="A6707" s="4">
        <v>41121</v>
      </c>
      <c r="B6707" s="3">
        <v>88.08</v>
      </c>
    </row>
    <row r="6708" spans="1:2">
      <c r="A6708" s="4">
        <v>41122</v>
      </c>
      <c r="B6708" s="3">
        <v>88.99</v>
      </c>
    </row>
    <row r="6709" spans="1:2">
      <c r="A6709" s="4">
        <v>41123</v>
      </c>
      <c r="B6709" s="3">
        <v>87.22</v>
      </c>
    </row>
    <row r="6710" spans="1:2">
      <c r="A6710" s="4">
        <v>41124</v>
      </c>
      <c r="B6710" s="3">
        <v>91.4</v>
      </c>
    </row>
    <row r="6711" spans="1:2">
      <c r="A6711" s="4">
        <v>41127</v>
      </c>
      <c r="B6711" s="3">
        <v>92.3</v>
      </c>
    </row>
    <row r="6712" spans="1:2">
      <c r="A6712" s="4">
        <v>41128</v>
      </c>
      <c r="B6712" s="3">
        <v>93.68</v>
      </c>
    </row>
    <row r="6713" spans="1:2">
      <c r="A6713" s="4">
        <v>41129</v>
      </c>
      <c r="B6713" s="3">
        <v>93.39</v>
      </c>
    </row>
    <row r="6714" spans="1:2">
      <c r="A6714" s="4">
        <v>41130</v>
      </c>
      <c r="B6714" s="3">
        <v>93.39</v>
      </c>
    </row>
    <row r="6715" spans="1:2">
      <c r="A6715" s="4">
        <v>41131</v>
      </c>
      <c r="B6715" s="3">
        <v>92.94</v>
      </c>
    </row>
    <row r="6716" spans="1:2">
      <c r="A6716" s="4">
        <v>41134</v>
      </c>
      <c r="B6716" s="3">
        <v>92.76</v>
      </c>
    </row>
    <row r="6717" spans="1:2">
      <c r="A6717" s="4">
        <v>41135</v>
      </c>
      <c r="B6717" s="3">
        <v>93.4</v>
      </c>
    </row>
    <row r="6718" spans="1:2">
      <c r="A6718" s="4">
        <v>41136</v>
      </c>
      <c r="B6718" s="3">
        <v>94.35</v>
      </c>
    </row>
    <row r="6719" spans="1:2">
      <c r="A6719" s="4">
        <v>41137</v>
      </c>
      <c r="B6719" s="3">
        <v>95.66</v>
      </c>
    </row>
    <row r="6720" spans="1:2">
      <c r="A6720" s="4">
        <v>41138</v>
      </c>
      <c r="B6720" s="3">
        <v>96</v>
      </c>
    </row>
    <row r="6721" spans="1:2">
      <c r="A6721" s="4">
        <v>41141</v>
      </c>
      <c r="B6721" s="3">
        <v>96.03</v>
      </c>
    </row>
    <row r="6722" spans="1:2">
      <c r="A6722" s="4">
        <v>41142</v>
      </c>
      <c r="B6722" s="3">
        <v>96.55</v>
      </c>
    </row>
    <row r="6723" spans="1:2">
      <c r="A6723" s="4">
        <v>41143</v>
      </c>
      <c r="B6723" s="3">
        <v>96.89</v>
      </c>
    </row>
    <row r="6724" spans="1:2">
      <c r="A6724" s="4">
        <v>41144</v>
      </c>
      <c r="B6724" s="3">
        <v>95.87</v>
      </c>
    </row>
    <row r="6725" spans="1:2">
      <c r="A6725" s="4">
        <v>41145</v>
      </c>
      <c r="B6725" s="3">
        <v>95.78</v>
      </c>
    </row>
    <row r="6726" spans="1:2">
      <c r="A6726" s="4">
        <v>41148</v>
      </c>
      <c r="B6726" s="3">
        <v>95.54</v>
      </c>
    </row>
    <row r="6727" spans="1:2">
      <c r="A6727" s="4">
        <v>41149</v>
      </c>
      <c r="B6727" s="3">
        <v>96.3</v>
      </c>
    </row>
    <row r="6728" spans="1:2">
      <c r="A6728" s="4">
        <v>41150</v>
      </c>
      <c r="B6728" s="3">
        <v>95.5</v>
      </c>
    </row>
    <row r="6729" spans="1:2">
      <c r="A6729" s="4">
        <v>41151</v>
      </c>
      <c r="B6729" s="3">
        <v>94.61</v>
      </c>
    </row>
    <row r="6730" spans="1:2">
      <c r="A6730" s="4">
        <v>41152</v>
      </c>
      <c r="B6730" s="3">
        <v>96.47</v>
      </c>
    </row>
    <row r="6731" spans="1:2">
      <c r="A6731" s="4">
        <v>41156</v>
      </c>
      <c r="B6731" s="3">
        <v>95.34</v>
      </c>
    </row>
    <row r="6732" spans="1:2">
      <c r="A6732" s="4">
        <v>41157</v>
      </c>
      <c r="B6732" s="3">
        <v>95.37</v>
      </c>
    </row>
    <row r="6733" spans="1:2">
      <c r="A6733" s="4">
        <v>41158</v>
      </c>
      <c r="B6733" s="3">
        <v>95.58</v>
      </c>
    </row>
    <row r="6734" spans="1:2">
      <c r="A6734" s="4">
        <v>41159</v>
      </c>
      <c r="B6734" s="3">
        <v>96.41</v>
      </c>
    </row>
    <row r="6735" spans="1:2">
      <c r="A6735" s="4">
        <v>41162</v>
      </c>
      <c r="B6735" s="3">
        <v>96.52</v>
      </c>
    </row>
    <row r="6736" spans="1:2">
      <c r="A6736" s="4">
        <v>41163</v>
      </c>
      <c r="B6736" s="3">
        <v>97.03</v>
      </c>
    </row>
    <row r="6737" spans="1:2">
      <c r="A6737" s="4">
        <v>41164</v>
      </c>
      <c r="B6737" s="3">
        <v>97.02</v>
      </c>
    </row>
    <row r="6738" spans="1:2">
      <c r="A6738" s="4">
        <v>41165</v>
      </c>
      <c r="B6738" s="3">
        <v>98.3</v>
      </c>
    </row>
    <row r="6739" spans="1:2">
      <c r="A6739" s="4">
        <v>41166</v>
      </c>
      <c r="B6739" s="3">
        <v>98.94</v>
      </c>
    </row>
    <row r="6740" spans="1:2">
      <c r="A6740" s="4">
        <v>41169</v>
      </c>
      <c r="B6740" s="3">
        <v>96.51</v>
      </c>
    </row>
    <row r="6741" spans="1:2">
      <c r="A6741" s="4">
        <v>41170</v>
      </c>
      <c r="B6741" s="3">
        <v>95.25</v>
      </c>
    </row>
    <row r="6742" spans="1:2">
      <c r="A6742" s="4">
        <v>41171</v>
      </c>
      <c r="B6742" s="3">
        <v>91.97</v>
      </c>
    </row>
    <row r="6743" spans="1:2">
      <c r="A6743" s="4">
        <v>41172</v>
      </c>
      <c r="B6743" s="3">
        <v>92.14</v>
      </c>
    </row>
    <row r="6744" spans="1:2">
      <c r="A6744" s="4">
        <v>41173</v>
      </c>
      <c r="B6744" s="3">
        <v>92.64</v>
      </c>
    </row>
    <row r="6745" spans="1:2">
      <c r="A6745" s="4">
        <v>41176</v>
      </c>
      <c r="B6745" s="3">
        <v>91.68</v>
      </c>
    </row>
    <row r="6746" spans="1:2">
      <c r="A6746" s="4">
        <v>41177</v>
      </c>
      <c r="B6746" s="3">
        <v>91.07</v>
      </c>
    </row>
    <row r="6747" spans="1:2">
      <c r="A6747" s="4">
        <v>41178</v>
      </c>
      <c r="B6747" s="3">
        <v>89.92</v>
      </c>
    </row>
    <row r="6748" spans="1:2">
      <c r="A6748" s="4">
        <v>41179</v>
      </c>
      <c r="B6748" s="3">
        <v>91.89</v>
      </c>
    </row>
    <row r="6749" spans="1:2">
      <c r="A6749" s="4">
        <v>41180</v>
      </c>
      <c r="B6749" s="3">
        <v>92.18</v>
      </c>
    </row>
    <row r="6750" spans="1:2">
      <c r="A6750" s="4">
        <v>41183</v>
      </c>
      <c r="B6750" s="3">
        <v>92.44</v>
      </c>
    </row>
    <row r="6751" spans="1:2">
      <c r="A6751" s="4">
        <v>41184</v>
      </c>
      <c r="B6751" s="3">
        <v>91.88</v>
      </c>
    </row>
    <row r="6752" spans="1:2">
      <c r="A6752" s="4">
        <v>41185</v>
      </c>
      <c r="B6752" s="3">
        <v>88.19</v>
      </c>
    </row>
    <row r="6753" spans="1:2">
      <c r="A6753" s="4">
        <v>41186</v>
      </c>
      <c r="B6753" s="3">
        <v>91.69</v>
      </c>
    </row>
    <row r="6754" spans="1:2">
      <c r="A6754" s="4">
        <v>41187</v>
      </c>
      <c r="B6754" s="3">
        <v>89.87</v>
      </c>
    </row>
    <row r="6755" spans="1:2">
      <c r="A6755" s="4">
        <v>41190</v>
      </c>
      <c r="B6755" s="3">
        <v>89.43</v>
      </c>
    </row>
    <row r="6756" spans="1:2">
      <c r="A6756" s="4">
        <v>41191</v>
      </c>
      <c r="B6756" s="3">
        <v>92.42</v>
      </c>
    </row>
    <row r="6757" spans="1:2">
      <c r="A6757" s="4">
        <v>41192</v>
      </c>
      <c r="B6757" s="3">
        <v>91.24</v>
      </c>
    </row>
    <row r="6758" spans="1:2">
      <c r="A6758" s="4">
        <v>41193</v>
      </c>
      <c r="B6758" s="3">
        <v>92.19</v>
      </c>
    </row>
    <row r="6759" spans="1:2">
      <c r="A6759" s="4">
        <v>41194</v>
      </c>
      <c r="B6759" s="3">
        <v>91.83</v>
      </c>
    </row>
    <row r="6760" spans="1:2">
      <c r="A6760" s="4">
        <v>41197</v>
      </c>
      <c r="B6760" s="3">
        <v>91.84</v>
      </c>
    </row>
    <row r="6761" spans="1:2">
      <c r="A6761" s="4">
        <v>41198</v>
      </c>
      <c r="B6761" s="3">
        <v>92.07</v>
      </c>
    </row>
    <row r="6762" spans="1:2">
      <c r="A6762" s="4">
        <v>41199</v>
      </c>
      <c r="B6762" s="3">
        <v>92.04</v>
      </c>
    </row>
    <row r="6763" spans="1:2">
      <c r="A6763" s="4">
        <v>41200</v>
      </c>
      <c r="B6763" s="3">
        <v>92</v>
      </c>
    </row>
    <row r="6764" spans="1:2">
      <c r="A6764" s="4">
        <v>41201</v>
      </c>
      <c r="B6764" s="3">
        <v>90</v>
      </c>
    </row>
    <row r="6765" spans="1:2">
      <c r="A6765" s="4">
        <v>41204</v>
      </c>
      <c r="B6765" s="3">
        <v>88.3</v>
      </c>
    </row>
    <row r="6766" spans="1:2">
      <c r="A6766" s="4">
        <v>41205</v>
      </c>
      <c r="B6766" s="3">
        <v>86.65</v>
      </c>
    </row>
    <row r="6767" spans="1:2">
      <c r="A6767" s="4">
        <v>41206</v>
      </c>
      <c r="B6767" s="3">
        <v>85.39</v>
      </c>
    </row>
    <row r="6768" spans="1:2">
      <c r="A6768" s="4">
        <v>41207</v>
      </c>
      <c r="B6768" s="3">
        <v>85.59</v>
      </c>
    </row>
    <row r="6769" spans="1:2">
      <c r="A6769" s="4">
        <v>41208</v>
      </c>
      <c r="B6769" s="3">
        <v>85.84</v>
      </c>
    </row>
    <row r="6770" spans="1:2">
      <c r="A6770" s="4">
        <v>41211</v>
      </c>
      <c r="B6770" s="3">
        <v>85.52</v>
      </c>
    </row>
    <row r="6771" spans="1:2">
      <c r="A6771" s="4">
        <v>41212</v>
      </c>
      <c r="B6771" s="3">
        <v>85.65</v>
      </c>
    </row>
    <row r="6772" spans="1:2">
      <c r="A6772" s="4">
        <v>41213</v>
      </c>
      <c r="B6772" s="3">
        <v>86.23</v>
      </c>
    </row>
    <row r="6773" spans="1:2">
      <c r="A6773" s="4">
        <v>41214</v>
      </c>
      <c r="B6773" s="3">
        <v>87.05</v>
      </c>
    </row>
    <row r="6774" spans="1:2">
      <c r="A6774" s="4">
        <v>41215</v>
      </c>
      <c r="B6774" s="3">
        <v>84.9</v>
      </c>
    </row>
    <row r="6775" spans="1:2">
      <c r="A6775" s="4">
        <v>41218</v>
      </c>
      <c r="B6775" s="3">
        <v>85.64</v>
      </c>
    </row>
    <row r="6776" spans="1:2">
      <c r="A6776" s="4">
        <v>41219</v>
      </c>
      <c r="B6776" s="3">
        <v>88.62</v>
      </c>
    </row>
    <row r="6777" spans="1:2">
      <c r="A6777" s="4">
        <v>41220</v>
      </c>
      <c r="B6777" s="3">
        <v>84.5</v>
      </c>
    </row>
    <row r="6778" spans="1:2">
      <c r="A6778" s="4">
        <v>41221</v>
      </c>
      <c r="B6778" s="3">
        <v>85.07</v>
      </c>
    </row>
    <row r="6779" spans="1:2">
      <c r="A6779" s="4">
        <v>41222</v>
      </c>
      <c r="B6779" s="3">
        <v>86.08</v>
      </c>
    </row>
    <row r="6780" spans="1:2">
      <c r="A6780" s="4">
        <v>41225</v>
      </c>
      <c r="B6780" s="3">
        <v>85.56</v>
      </c>
    </row>
    <row r="6781" spans="1:2">
      <c r="A6781" s="4">
        <v>41226</v>
      </c>
      <c r="B6781" s="3">
        <v>85.38</v>
      </c>
    </row>
    <row r="6782" spans="1:2">
      <c r="A6782" s="4">
        <v>41227</v>
      </c>
      <c r="B6782" s="3">
        <v>86.32</v>
      </c>
    </row>
    <row r="6783" spans="1:2">
      <c r="A6783" s="4">
        <v>41228</v>
      </c>
      <c r="B6783" s="3">
        <v>85.45</v>
      </c>
    </row>
    <row r="6784" spans="1:2">
      <c r="A6784" s="4">
        <v>41229</v>
      </c>
      <c r="B6784" s="3">
        <v>86.62</v>
      </c>
    </row>
    <row r="6785" spans="1:2">
      <c r="A6785" s="4">
        <v>41232</v>
      </c>
      <c r="B6785" s="3">
        <v>89.05</v>
      </c>
    </row>
    <row r="6786" spans="1:2">
      <c r="A6786" s="4">
        <v>41233</v>
      </c>
      <c r="B6786" s="3">
        <v>86.46</v>
      </c>
    </row>
    <row r="6787" spans="1:2">
      <c r="A6787" s="4">
        <v>41234</v>
      </c>
      <c r="B6787" s="3">
        <v>87.08</v>
      </c>
    </row>
    <row r="6788" spans="1:2">
      <c r="A6788" s="4">
        <v>41236</v>
      </c>
      <c r="B6788" s="3">
        <v>87.01</v>
      </c>
    </row>
    <row r="6789" spans="1:2">
      <c r="A6789" s="4">
        <v>41239</v>
      </c>
      <c r="B6789" s="3">
        <v>87.28</v>
      </c>
    </row>
    <row r="6790" spans="1:2">
      <c r="A6790" s="4">
        <v>41240</v>
      </c>
      <c r="B6790" s="3">
        <v>86.81</v>
      </c>
    </row>
    <row r="6791" spans="1:2">
      <c r="A6791" s="4">
        <v>41241</v>
      </c>
      <c r="B6791" s="3">
        <v>86.1</v>
      </c>
    </row>
    <row r="6792" spans="1:2">
      <c r="A6792" s="4">
        <v>41242</v>
      </c>
      <c r="B6792" s="3">
        <v>87.64</v>
      </c>
    </row>
    <row r="6793" spans="1:2">
      <c r="A6793" s="4">
        <v>41243</v>
      </c>
      <c r="B6793" s="3">
        <v>88.54</v>
      </c>
    </row>
    <row r="6794" spans="1:2">
      <c r="A6794" s="4">
        <v>41246</v>
      </c>
      <c r="B6794" s="3">
        <v>88.69</v>
      </c>
    </row>
    <row r="6795" spans="1:2">
      <c r="A6795" s="4">
        <v>41247</v>
      </c>
      <c r="B6795" s="3">
        <v>88.04</v>
      </c>
    </row>
    <row r="6796" spans="1:2">
      <c r="A6796" s="4">
        <v>41248</v>
      </c>
      <c r="B6796" s="3">
        <v>87.36</v>
      </c>
    </row>
    <row r="6797" spans="1:2">
      <c r="A6797" s="4">
        <v>41249</v>
      </c>
      <c r="B6797" s="3">
        <v>85.47</v>
      </c>
    </row>
    <row r="6798" spans="1:2">
      <c r="A6798" s="4">
        <v>41250</v>
      </c>
      <c r="B6798" s="3">
        <v>85.45</v>
      </c>
    </row>
    <row r="6799" spans="1:2">
      <c r="A6799" s="4">
        <v>41253</v>
      </c>
      <c r="B6799" s="3">
        <v>85.14</v>
      </c>
    </row>
    <row r="6800" spans="1:2">
      <c r="A6800" s="4">
        <v>41254</v>
      </c>
      <c r="B6800" s="3">
        <v>85.36</v>
      </c>
    </row>
    <row r="6801" spans="1:2">
      <c r="A6801" s="4">
        <v>41255</v>
      </c>
      <c r="B6801" s="3">
        <v>86.35</v>
      </c>
    </row>
    <row r="6802" spans="1:2">
      <c r="A6802" s="4">
        <v>41256</v>
      </c>
      <c r="B6802" s="3">
        <v>85.39</v>
      </c>
    </row>
    <row r="6803" spans="1:2">
      <c r="A6803" s="4">
        <v>41257</v>
      </c>
      <c r="B6803" s="3">
        <v>86.32</v>
      </c>
    </row>
    <row r="6804" spans="1:2">
      <c r="A6804" s="4">
        <v>41260</v>
      </c>
      <c r="B6804" s="3">
        <v>86.71</v>
      </c>
    </row>
    <row r="6805" spans="1:2">
      <c r="A6805" s="4">
        <v>41261</v>
      </c>
      <c r="B6805" s="3">
        <v>87.46</v>
      </c>
    </row>
    <row r="6806" spans="1:2">
      <c r="A6806" s="4">
        <v>41262</v>
      </c>
      <c r="B6806" s="3">
        <v>89.09</v>
      </c>
    </row>
    <row r="6807" spans="1:2">
      <c r="A6807" s="4">
        <v>41263</v>
      </c>
      <c r="B6807" s="3">
        <v>89.76</v>
      </c>
    </row>
    <row r="6808" spans="1:2">
      <c r="A6808" s="4">
        <v>41264</v>
      </c>
      <c r="B6808" s="3">
        <v>88.2</v>
      </c>
    </row>
    <row r="6809" spans="1:2">
      <c r="A6809" s="4">
        <v>41267</v>
      </c>
      <c r="B6809" s="3">
        <v>88.29</v>
      </c>
    </row>
    <row r="6810" spans="1:2">
      <c r="A6810" s="4">
        <v>41269</v>
      </c>
      <c r="B6810" s="3">
        <v>90.71</v>
      </c>
    </row>
    <row r="6811" spans="1:2">
      <c r="A6811" s="4">
        <v>41270</v>
      </c>
      <c r="B6811" s="3">
        <v>90.91</v>
      </c>
    </row>
    <row r="6812" spans="1:2">
      <c r="A6812" s="4">
        <v>41271</v>
      </c>
      <c r="B6812" s="3">
        <v>90.66</v>
      </c>
    </row>
    <row r="6813" spans="1:2">
      <c r="A6813" s="4">
        <v>41274</v>
      </c>
      <c r="B6813" s="3">
        <v>91.83</v>
      </c>
    </row>
    <row r="6814" spans="1:2">
      <c r="A6814" s="4">
        <v>41276</v>
      </c>
      <c r="B6814" s="3">
        <v>93.14</v>
      </c>
    </row>
    <row r="6815" spans="1:2">
      <c r="A6815" s="4">
        <v>41277</v>
      </c>
      <c r="B6815" s="3">
        <v>92.97</v>
      </c>
    </row>
    <row r="6816" spans="1:2">
      <c r="A6816" s="4">
        <v>41278</v>
      </c>
      <c r="B6816" s="3">
        <v>93.12</v>
      </c>
    </row>
    <row r="6817" spans="1:2">
      <c r="A6817" s="4">
        <v>41281</v>
      </c>
      <c r="B6817" s="3">
        <v>93.2</v>
      </c>
    </row>
    <row r="6818" spans="1:2">
      <c r="A6818" s="4">
        <v>41282</v>
      </c>
      <c r="B6818" s="3">
        <v>93.21</v>
      </c>
    </row>
    <row r="6819" spans="1:2">
      <c r="A6819" s="4">
        <v>41283</v>
      </c>
      <c r="B6819" s="3">
        <v>93.08</v>
      </c>
    </row>
    <row r="6820" spans="1:2">
      <c r="A6820" s="4">
        <v>41284</v>
      </c>
      <c r="B6820" s="3">
        <v>93.81</v>
      </c>
    </row>
    <row r="6821" spans="1:2">
      <c r="A6821" s="4">
        <v>41285</v>
      </c>
      <c r="B6821" s="3">
        <v>93.6</v>
      </c>
    </row>
    <row r="6822" spans="1:2">
      <c r="A6822" s="4">
        <v>41288</v>
      </c>
      <c r="B6822" s="3">
        <v>94.27</v>
      </c>
    </row>
    <row r="6823" spans="1:2">
      <c r="A6823" s="4">
        <v>41289</v>
      </c>
      <c r="B6823" s="3">
        <v>93.26</v>
      </c>
    </row>
    <row r="6824" spans="1:2">
      <c r="A6824" s="4">
        <v>41290</v>
      </c>
      <c r="B6824" s="3">
        <v>94.28</v>
      </c>
    </row>
    <row r="6825" spans="1:2">
      <c r="A6825" s="4">
        <v>41291</v>
      </c>
      <c r="B6825" s="3">
        <v>95.49</v>
      </c>
    </row>
    <row r="6826" spans="1:2">
      <c r="A6826" s="4">
        <v>41292</v>
      </c>
      <c r="B6826" s="3">
        <v>95.61</v>
      </c>
    </row>
    <row r="6827" spans="1:2">
      <c r="A6827" s="4">
        <v>41296</v>
      </c>
      <c r="B6827" s="3">
        <v>96.09</v>
      </c>
    </row>
    <row r="6828" spans="1:2">
      <c r="A6828" s="4">
        <v>41297</v>
      </c>
      <c r="B6828" s="3">
        <v>95.06</v>
      </c>
    </row>
    <row r="6829" spans="1:2">
      <c r="A6829" s="4">
        <v>41298</v>
      </c>
      <c r="B6829" s="3">
        <v>95.35</v>
      </c>
    </row>
    <row r="6830" spans="1:2">
      <c r="A6830" s="4">
        <v>41299</v>
      </c>
      <c r="B6830" s="3">
        <v>95.15</v>
      </c>
    </row>
    <row r="6831" spans="1:2">
      <c r="A6831" s="4">
        <v>41302</v>
      </c>
      <c r="B6831" s="3">
        <v>95.95</v>
      </c>
    </row>
    <row r="6832" spans="1:2">
      <c r="A6832" s="4">
        <v>41303</v>
      </c>
      <c r="B6832" s="3">
        <v>97.62</v>
      </c>
    </row>
    <row r="6833" spans="1:2">
      <c r="A6833" s="4">
        <v>41304</v>
      </c>
      <c r="B6833" s="3">
        <v>97.98</v>
      </c>
    </row>
    <row r="6834" spans="1:2">
      <c r="A6834" s="4">
        <v>41305</v>
      </c>
      <c r="B6834" s="3">
        <v>97.65</v>
      </c>
    </row>
    <row r="6835" spans="1:2">
      <c r="A6835" s="4">
        <v>41306</v>
      </c>
      <c r="B6835" s="3">
        <v>97.46</v>
      </c>
    </row>
    <row r="6836" spans="1:2">
      <c r="A6836" s="4">
        <v>41309</v>
      </c>
      <c r="B6836" s="3">
        <v>96.21</v>
      </c>
    </row>
    <row r="6837" spans="1:2">
      <c r="A6837" s="4">
        <v>41310</v>
      </c>
      <c r="B6837" s="3">
        <v>96.68</v>
      </c>
    </row>
    <row r="6838" spans="1:2">
      <c r="A6838" s="4">
        <v>41311</v>
      </c>
      <c r="B6838" s="3">
        <v>96.44</v>
      </c>
    </row>
    <row r="6839" spans="1:2">
      <c r="A6839" s="4">
        <v>41312</v>
      </c>
      <c r="B6839" s="3">
        <v>95.84</v>
      </c>
    </row>
    <row r="6840" spans="1:2">
      <c r="A6840" s="4">
        <v>41313</v>
      </c>
      <c r="B6840" s="3">
        <v>95.71</v>
      </c>
    </row>
    <row r="6841" spans="1:2">
      <c r="A6841" s="4">
        <v>41316</v>
      </c>
      <c r="B6841" s="3">
        <v>97.01</v>
      </c>
    </row>
    <row r="6842" spans="1:2">
      <c r="A6842" s="4">
        <v>41317</v>
      </c>
      <c r="B6842" s="3">
        <v>97.48</v>
      </c>
    </row>
    <row r="6843" spans="1:2">
      <c r="A6843" s="4">
        <v>41318</v>
      </c>
      <c r="B6843" s="3">
        <v>97.03</v>
      </c>
    </row>
    <row r="6844" spans="1:2">
      <c r="A6844" s="4">
        <v>41319</v>
      </c>
      <c r="B6844" s="3">
        <v>97.3</v>
      </c>
    </row>
    <row r="6845" spans="1:2">
      <c r="A6845" s="4">
        <v>41320</v>
      </c>
      <c r="B6845" s="3">
        <v>95.95</v>
      </c>
    </row>
    <row r="6846" spans="1:2">
      <c r="A6846" s="4">
        <v>41324</v>
      </c>
      <c r="B6846" s="3">
        <v>96.69</v>
      </c>
    </row>
    <row r="6847" spans="1:2">
      <c r="A6847" s="4">
        <v>41325</v>
      </c>
      <c r="B6847" s="3">
        <v>94.92</v>
      </c>
    </row>
    <row r="6848" spans="1:2">
      <c r="A6848" s="4">
        <v>41326</v>
      </c>
      <c r="B6848" s="3">
        <v>92.79</v>
      </c>
    </row>
    <row r="6849" spans="1:2">
      <c r="A6849" s="4">
        <v>41327</v>
      </c>
      <c r="B6849" s="3">
        <v>93.12</v>
      </c>
    </row>
    <row r="6850" spans="1:2">
      <c r="A6850" s="4">
        <v>41330</v>
      </c>
      <c r="B6850" s="3">
        <v>92.74</v>
      </c>
    </row>
    <row r="6851" spans="1:2">
      <c r="A6851" s="4">
        <v>41331</v>
      </c>
      <c r="B6851" s="3">
        <v>92.63</v>
      </c>
    </row>
    <row r="6852" spans="1:2">
      <c r="A6852" s="4">
        <v>41332</v>
      </c>
      <c r="B6852" s="3">
        <v>92.84</v>
      </c>
    </row>
    <row r="6853" spans="1:2">
      <c r="A6853" s="4">
        <v>41333</v>
      </c>
      <c r="B6853" s="3">
        <v>92.03</v>
      </c>
    </row>
    <row r="6854" spans="1:2">
      <c r="A6854" s="4">
        <v>41334</v>
      </c>
      <c r="B6854" s="3">
        <v>90.71</v>
      </c>
    </row>
    <row r="6855" spans="1:2">
      <c r="A6855" s="4">
        <v>41337</v>
      </c>
      <c r="B6855" s="3">
        <v>90.13</v>
      </c>
    </row>
    <row r="6856" spans="1:2">
      <c r="A6856" s="4">
        <v>41338</v>
      </c>
      <c r="B6856" s="3">
        <v>90.88</v>
      </c>
    </row>
    <row r="6857" spans="1:2">
      <c r="A6857" s="4">
        <v>41339</v>
      </c>
      <c r="B6857" s="3">
        <v>90.47</v>
      </c>
    </row>
    <row r="6858" spans="1:2">
      <c r="A6858" s="4">
        <v>41340</v>
      </c>
      <c r="B6858" s="3">
        <v>91.53</v>
      </c>
    </row>
    <row r="6859" spans="1:2">
      <c r="A6859" s="4">
        <v>41341</v>
      </c>
      <c r="B6859" s="3">
        <v>92.01</v>
      </c>
    </row>
    <row r="6860" spans="1:2">
      <c r="A6860" s="4">
        <v>41344</v>
      </c>
      <c r="B6860" s="3">
        <v>92.07</v>
      </c>
    </row>
    <row r="6861" spans="1:2">
      <c r="A6861" s="4">
        <v>41345</v>
      </c>
      <c r="B6861" s="3">
        <v>92.44</v>
      </c>
    </row>
    <row r="6862" spans="1:2">
      <c r="A6862" s="4">
        <v>41346</v>
      </c>
      <c r="B6862" s="3">
        <v>92.47</v>
      </c>
    </row>
    <row r="6863" spans="1:2">
      <c r="A6863" s="4">
        <v>41347</v>
      </c>
      <c r="B6863" s="3">
        <v>93.03</v>
      </c>
    </row>
    <row r="6864" spans="1:2">
      <c r="A6864" s="4">
        <v>41348</v>
      </c>
      <c r="B6864" s="3">
        <v>93.49</v>
      </c>
    </row>
    <row r="6865" spans="1:2">
      <c r="A6865" s="4">
        <v>41351</v>
      </c>
      <c r="B6865" s="3">
        <v>93.71</v>
      </c>
    </row>
    <row r="6866" spans="1:2">
      <c r="A6866" s="4">
        <v>41352</v>
      </c>
      <c r="B6866" s="3">
        <v>92.44</v>
      </c>
    </row>
    <row r="6867" spans="1:2">
      <c r="A6867" s="4">
        <v>41353</v>
      </c>
      <c r="B6867" s="3">
        <v>93.21</v>
      </c>
    </row>
    <row r="6868" spans="1:2">
      <c r="A6868" s="4">
        <v>41354</v>
      </c>
      <c r="B6868" s="3">
        <v>92.46</v>
      </c>
    </row>
    <row r="6869" spans="1:2">
      <c r="A6869" s="4">
        <v>41355</v>
      </c>
      <c r="B6869" s="3">
        <v>93.41</v>
      </c>
    </row>
    <row r="6870" spans="1:2">
      <c r="A6870" s="4">
        <v>41358</v>
      </c>
      <c r="B6870" s="3">
        <v>94.55</v>
      </c>
    </row>
    <row r="6871" spans="1:2">
      <c r="A6871" s="4">
        <v>41359</v>
      </c>
      <c r="B6871" s="3">
        <v>95.99</v>
      </c>
    </row>
    <row r="6872" spans="1:2">
      <c r="A6872" s="4">
        <v>41360</v>
      </c>
      <c r="B6872" s="3">
        <v>96.53</v>
      </c>
    </row>
    <row r="6873" spans="1:2">
      <c r="A6873" s="4">
        <v>41361</v>
      </c>
      <c r="B6873" s="3">
        <v>97.24</v>
      </c>
    </row>
    <row r="6874" spans="1:2">
      <c r="A6874" s="4">
        <v>41365</v>
      </c>
      <c r="B6874" s="3">
        <v>97.1</v>
      </c>
    </row>
    <row r="6875" spans="1:2">
      <c r="A6875" s="4">
        <v>41366</v>
      </c>
      <c r="B6875" s="3">
        <v>97.23</v>
      </c>
    </row>
    <row r="6876" spans="1:2">
      <c r="A6876" s="4">
        <v>41367</v>
      </c>
      <c r="B6876" s="3">
        <v>95.02</v>
      </c>
    </row>
    <row r="6877" spans="1:2">
      <c r="A6877" s="4">
        <v>41368</v>
      </c>
      <c r="B6877" s="3">
        <v>93.26</v>
      </c>
    </row>
    <row r="6878" spans="1:2">
      <c r="A6878" s="4">
        <v>41369</v>
      </c>
      <c r="B6878" s="3">
        <v>92.76</v>
      </c>
    </row>
    <row r="6879" spans="1:2">
      <c r="A6879" s="4">
        <v>41372</v>
      </c>
      <c r="B6879" s="3">
        <v>93.36</v>
      </c>
    </row>
    <row r="6880" spans="1:2">
      <c r="A6880" s="4">
        <v>41373</v>
      </c>
      <c r="B6880" s="3">
        <v>94.18</v>
      </c>
    </row>
    <row r="6881" spans="1:2">
      <c r="A6881" s="4">
        <v>41374</v>
      </c>
      <c r="B6881" s="3">
        <v>94.59</v>
      </c>
    </row>
    <row r="6882" spans="1:2">
      <c r="A6882" s="4">
        <v>41375</v>
      </c>
      <c r="B6882" s="3">
        <v>93.44</v>
      </c>
    </row>
    <row r="6883" spans="1:2">
      <c r="A6883" s="4">
        <v>41376</v>
      </c>
      <c r="B6883" s="3">
        <v>91.23</v>
      </c>
    </row>
    <row r="6884" spans="1:2">
      <c r="A6884" s="4">
        <v>41379</v>
      </c>
      <c r="B6884" s="3">
        <v>88.75</v>
      </c>
    </row>
    <row r="6885" spans="1:2">
      <c r="A6885" s="4">
        <v>41380</v>
      </c>
      <c r="B6885" s="3">
        <v>88.73</v>
      </c>
    </row>
    <row r="6886" spans="1:2">
      <c r="A6886" s="4">
        <v>41381</v>
      </c>
      <c r="B6886" s="3">
        <v>86.65</v>
      </c>
    </row>
    <row r="6887" spans="1:2">
      <c r="A6887" s="4">
        <v>41382</v>
      </c>
      <c r="B6887" s="3">
        <v>87.83</v>
      </c>
    </row>
    <row r="6888" spans="1:2">
      <c r="A6888" s="4">
        <v>41383</v>
      </c>
      <c r="B6888" s="3">
        <v>88.04</v>
      </c>
    </row>
    <row r="6889" spans="1:2">
      <c r="A6889" s="4">
        <v>41386</v>
      </c>
      <c r="B6889" s="3">
        <v>88.81</v>
      </c>
    </row>
    <row r="6890" spans="1:2">
      <c r="A6890" s="4">
        <v>41387</v>
      </c>
      <c r="B6890" s="3">
        <v>89.21</v>
      </c>
    </row>
    <row r="6891" spans="1:2">
      <c r="A6891" s="4">
        <v>41388</v>
      </c>
      <c r="B6891" s="3">
        <v>91.07</v>
      </c>
    </row>
    <row r="6892" spans="1:2">
      <c r="A6892" s="4">
        <v>41389</v>
      </c>
      <c r="B6892" s="3">
        <v>93.27</v>
      </c>
    </row>
    <row r="6893" spans="1:2">
      <c r="A6893" s="4">
        <v>41390</v>
      </c>
      <c r="B6893" s="3">
        <v>92.63</v>
      </c>
    </row>
    <row r="6894" spans="1:2">
      <c r="A6894" s="4">
        <v>41393</v>
      </c>
      <c r="B6894" s="3">
        <v>94.09</v>
      </c>
    </row>
    <row r="6895" spans="1:2">
      <c r="A6895" s="4">
        <v>41394</v>
      </c>
      <c r="B6895" s="3">
        <v>93.22</v>
      </c>
    </row>
    <row r="6896" spans="1:2">
      <c r="A6896" s="4">
        <v>41395</v>
      </c>
      <c r="B6896" s="3">
        <v>90.74</v>
      </c>
    </row>
    <row r="6897" spans="1:2">
      <c r="A6897" s="4">
        <v>41396</v>
      </c>
      <c r="B6897" s="3">
        <v>93.7</v>
      </c>
    </row>
    <row r="6898" spans="1:2">
      <c r="A6898" s="4">
        <v>41397</v>
      </c>
      <c r="B6898" s="3">
        <v>95.25</v>
      </c>
    </row>
    <row r="6899" spans="1:2">
      <c r="A6899" s="4">
        <v>41400</v>
      </c>
      <c r="B6899" s="3">
        <v>95.8</v>
      </c>
    </row>
    <row r="6900" spans="1:2">
      <c r="A6900" s="4">
        <v>41401</v>
      </c>
      <c r="B6900" s="3">
        <v>95.28</v>
      </c>
    </row>
    <row r="6901" spans="1:2">
      <c r="A6901" s="4">
        <v>41402</v>
      </c>
      <c r="B6901" s="3">
        <v>96.24</v>
      </c>
    </row>
    <row r="6902" spans="1:2">
      <c r="A6902" s="4">
        <v>41403</v>
      </c>
      <c r="B6902" s="3">
        <v>96.09</v>
      </c>
    </row>
    <row r="6903" spans="1:2">
      <c r="A6903" s="4">
        <v>41404</v>
      </c>
      <c r="B6903" s="3">
        <v>95.81</v>
      </c>
    </row>
    <row r="6904" spans="1:2">
      <c r="A6904" s="4">
        <v>41407</v>
      </c>
      <c r="B6904" s="3">
        <v>94.76</v>
      </c>
    </row>
    <row r="6905" spans="1:2">
      <c r="A6905" s="4">
        <v>41408</v>
      </c>
      <c r="B6905" s="3">
        <v>93.96</v>
      </c>
    </row>
    <row r="6906" spans="1:2">
      <c r="A6906" s="4">
        <v>41409</v>
      </c>
      <c r="B6906" s="3">
        <v>93.95</v>
      </c>
    </row>
    <row r="6907" spans="1:2">
      <c r="A6907" s="4">
        <v>41410</v>
      </c>
      <c r="B6907" s="3">
        <v>94.85</v>
      </c>
    </row>
    <row r="6908" spans="1:2">
      <c r="A6908" s="4">
        <v>41411</v>
      </c>
      <c r="B6908" s="3">
        <v>95.72</v>
      </c>
    </row>
    <row r="6909" spans="1:2">
      <c r="A6909" s="4">
        <v>41414</v>
      </c>
      <c r="B6909" s="3">
        <v>96.29</v>
      </c>
    </row>
    <row r="6910" spans="1:2">
      <c r="A6910" s="4">
        <v>41415</v>
      </c>
      <c r="B6910" s="3">
        <v>95.55</v>
      </c>
    </row>
    <row r="6911" spans="1:2">
      <c r="A6911" s="4">
        <v>41416</v>
      </c>
      <c r="B6911" s="3">
        <v>93.98</v>
      </c>
    </row>
    <row r="6912" spans="1:2">
      <c r="A6912" s="4">
        <v>41417</v>
      </c>
      <c r="B6912" s="3">
        <v>94.12</v>
      </c>
    </row>
    <row r="6913" spans="1:2">
      <c r="A6913" s="4">
        <v>41418</v>
      </c>
      <c r="B6913" s="3">
        <v>93.84</v>
      </c>
    </row>
    <row r="6914" spans="1:2">
      <c r="A6914" s="4">
        <v>41422</v>
      </c>
      <c r="B6914" s="3">
        <v>94.65</v>
      </c>
    </row>
    <row r="6915" spans="1:2">
      <c r="A6915" s="4">
        <v>41423</v>
      </c>
      <c r="B6915" s="3">
        <v>93.13</v>
      </c>
    </row>
    <row r="6916" spans="1:2">
      <c r="A6916" s="4">
        <v>41424</v>
      </c>
      <c r="B6916" s="3">
        <v>93.57</v>
      </c>
    </row>
    <row r="6917" spans="1:2">
      <c r="A6917" s="4">
        <v>41425</v>
      </c>
      <c r="B6917" s="3">
        <v>91.93</v>
      </c>
    </row>
    <row r="6918" spans="1:2">
      <c r="A6918" s="4">
        <v>41428</v>
      </c>
      <c r="B6918" s="3">
        <v>93.41</v>
      </c>
    </row>
    <row r="6919" spans="1:2">
      <c r="A6919" s="4">
        <v>41429</v>
      </c>
      <c r="B6919" s="3">
        <v>93.36</v>
      </c>
    </row>
    <row r="6920" spans="1:2">
      <c r="A6920" s="4">
        <v>41430</v>
      </c>
      <c r="B6920" s="3">
        <v>93.66</v>
      </c>
    </row>
    <row r="6921" spans="1:2">
      <c r="A6921" s="4">
        <v>41431</v>
      </c>
      <c r="B6921" s="3">
        <v>94.71</v>
      </c>
    </row>
    <row r="6922" spans="1:2">
      <c r="A6922" s="4">
        <v>41432</v>
      </c>
      <c r="B6922" s="3">
        <v>96.11</v>
      </c>
    </row>
    <row r="6923" spans="1:2">
      <c r="A6923" s="4">
        <v>41435</v>
      </c>
      <c r="B6923" s="3">
        <v>95.82</v>
      </c>
    </row>
    <row r="6924" spans="1:2">
      <c r="A6924" s="4">
        <v>41436</v>
      </c>
      <c r="B6924" s="3">
        <v>95.5</v>
      </c>
    </row>
    <row r="6925" spans="1:2">
      <c r="A6925" s="4">
        <v>41437</v>
      </c>
      <c r="B6925" s="3">
        <v>95.98</v>
      </c>
    </row>
    <row r="6926" spans="1:2">
      <c r="A6926" s="4">
        <v>41438</v>
      </c>
      <c r="B6926" s="3">
        <v>96.66</v>
      </c>
    </row>
    <row r="6927" spans="1:2">
      <c r="A6927" s="4">
        <v>41439</v>
      </c>
      <c r="B6927" s="3">
        <v>97.83</v>
      </c>
    </row>
    <row r="6928" spans="1:2">
      <c r="A6928" s="4">
        <v>41442</v>
      </c>
      <c r="B6928" s="3">
        <v>97.86</v>
      </c>
    </row>
    <row r="6929" spans="1:2">
      <c r="A6929" s="4">
        <v>41443</v>
      </c>
      <c r="B6929" s="3">
        <v>98.46</v>
      </c>
    </row>
    <row r="6930" spans="1:2">
      <c r="A6930" s="4">
        <v>41444</v>
      </c>
      <c r="B6930" s="3">
        <v>98.24</v>
      </c>
    </row>
    <row r="6931" spans="1:2">
      <c r="A6931" s="4">
        <v>41445</v>
      </c>
      <c r="B6931" s="3">
        <v>94.89</v>
      </c>
    </row>
    <row r="6932" spans="1:2">
      <c r="A6932" s="4">
        <v>41446</v>
      </c>
      <c r="B6932" s="3">
        <v>93.81</v>
      </c>
    </row>
    <row r="6933" spans="1:2">
      <c r="A6933" s="4">
        <v>41449</v>
      </c>
      <c r="B6933" s="3">
        <v>95.07</v>
      </c>
    </row>
    <row r="6934" spans="1:2">
      <c r="A6934" s="4">
        <v>41450</v>
      </c>
      <c r="B6934" s="3">
        <v>95.25</v>
      </c>
    </row>
    <row r="6935" spans="1:2">
      <c r="A6935" s="4">
        <v>41451</v>
      </c>
      <c r="B6935" s="3">
        <v>95.47</v>
      </c>
    </row>
    <row r="6936" spans="1:2">
      <c r="A6936" s="4">
        <v>41452</v>
      </c>
      <c r="B6936" s="3">
        <v>97</v>
      </c>
    </row>
    <row r="6937" spans="1:2">
      <c r="A6937" s="4">
        <v>41453</v>
      </c>
      <c r="B6937" s="3">
        <v>96.36</v>
      </c>
    </row>
    <row r="6938" spans="1:2">
      <c r="A6938" s="4">
        <v>41456</v>
      </c>
      <c r="B6938" s="3">
        <v>97.94</v>
      </c>
    </row>
    <row r="6939" spans="1:2">
      <c r="A6939" s="4">
        <v>41457</v>
      </c>
      <c r="B6939" s="3">
        <v>99.65</v>
      </c>
    </row>
    <row r="6940" spans="1:2">
      <c r="A6940" s="4">
        <v>41458</v>
      </c>
      <c r="B6940" s="3">
        <v>101.92</v>
      </c>
    </row>
    <row r="6941" spans="1:2">
      <c r="A6941" s="4">
        <v>41460</v>
      </c>
      <c r="B6941" s="3">
        <v>103.09</v>
      </c>
    </row>
    <row r="6942" spans="1:2">
      <c r="A6942" s="4">
        <v>41463</v>
      </c>
      <c r="B6942" s="3">
        <v>103.03</v>
      </c>
    </row>
    <row r="6943" spans="1:2">
      <c r="A6943" s="4">
        <v>41464</v>
      </c>
      <c r="B6943" s="3">
        <v>103.46</v>
      </c>
    </row>
    <row r="6944" spans="1:2">
      <c r="A6944" s="4">
        <v>41465</v>
      </c>
      <c r="B6944" s="3">
        <v>106.41</v>
      </c>
    </row>
    <row r="6945" spans="1:2">
      <c r="A6945" s="4">
        <v>41466</v>
      </c>
      <c r="B6945" s="3">
        <v>104.77</v>
      </c>
    </row>
    <row r="6946" spans="1:2">
      <c r="A6946" s="4">
        <v>41467</v>
      </c>
      <c r="B6946" s="3">
        <v>105.85</v>
      </c>
    </row>
    <row r="6947" spans="1:2">
      <c r="A6947" s="4">
        <v>41470</v>
      </c>
      <c r="B6947" s="3">
        <v>106.2</v>
      </c>
    </row>
    <row r="6948" spans="1:2">
      <c r="A6948" s="4">
        <v>41471</v>
      </c>
      <c r="B6948" s="3">
        <v>105.88</v>
      </c>
    </row>
    <row r="6949" spans="1:2">
      <c r="A6949" s="4">
        <v>41472</v>
      </c>
      <c r="B6949" s="3">
        <v>106.39</v>
      </c>
    </row>
    <row r="6950" spans="1:2">
      <c r="A6950" s="4">
        <v>41473</v>
      </c>
      <c r="B6950" s="3">
        <v>107.94</v>
      </c>
    </row>
    <row r="6951" spans="1:2">
      <c r="A6951" s="4">
        <v>41474</v>
      </c>
      <c r="B6951" s="3">
        <v>108</v>
      </c>
    </row>
    <row r="6952" spans="1:2">
      <c r="A6952" s="4">
        <v>41477</v>
      </c>
      <c r="B6952" s="3">
        <v>106.61</v>
      </c>
    </row>
    <row r="6953" spans="1:2">
      <c r="A6953" s="4">
        <v>41478</v>
      </c>
      <c r="B6953" s="3">
        <v>107.13</v>
      </c>
    </row>
    <row r="6954" spans="1:2">
      <c r="A6954" s="4">
        <v>41479</v>
      </c>
      <c r="B6954" s="3">
        <v>105.41</v>
      </c>
    </row>
    <row r="6955" spans="1:2">
      <c r="A6955" s="4">
        <v>41480</v>
      </c>
      <c r="B6955" s="3">
        <v>105.47</v>
      </c>
    </row>
    <row r="6956" spans="1:2">
      <c r="A6956" s="4">
        <v>41481</v>
      </c>
      <c r="B6956" s="3">
        <v>104.76</v>
      </c>
    </row>
    <row r="6957" spans="1:2">
      <c r="A6957" s="4">
        <v>41484</v>
      </c>
      <c r="B6957" s="3">
        <v>104.61</v>
      </c>
    </row>
    <row r="6958" spans="1:2">
      <c r="A6958" s="4">
        <v>41485</v>
      </c>
      <c r="B6958" s="3">
        <v>103.14</v>
      </c>
    </row>
    <row r="6959" spans="1:2">
      <c r="A6959" s="4">
        <v>41486</v>
      </c>
      <c r="B6959" s="3">
        <v>105.1</v>
      </c>
    </row>
    <row r="6960" spans="1:2">
      <c r="A6960" s="4">
        <v>41487</v>
      </c>
      <c r="B6960" s="3">
        <v>107.93</v>
      </c>
    </row>
    <row r="6961" spans="1:2">
      <c r="A6961" s="4">
        <v>41488</v>
      </c>
      <c r="B6961" s="3">
        <v>106.94</v>
      </c>
    </row>
    <row r="6962" spans="1:2">
      <c r="A6962" s="4">
        <v>41491</v>
      </c>
      <c r="B6962" s="3">
        <v>106.61</v>
      </c>
    </row>
    <row r="6963" spans="1:2">
      <c r="A6963" s="4">
        <v>41492</v>
      </c>
      <c r="B6963" s="3">
        <v>105.32</v>
      </c>
    </row>
    <row r="6964" spans="1:2">
      <c r="A6964" s="4">
        <v>41493</v>
      </c>
      <c r="B6964" s="3">
        <v>104.41</v>
      </c>
    </row>
    <row r="6965" spans="1:2">
      <c r="A6965" s="4">
        <v>41494</v>
      </c>
      <c r="B6965" s="3">
        <v>103.45</v>
      </c>
    </row>
    <row r="6966" spans="1:2">
      <c r="A6966" s="4">
        <v>41495</v>
      </c>
      <c r="B6966" s="3">
        <v>106.04</v>
      </c>
    </row>
    <row r="6967" spans="1:2">
      <c r="A6967" s="4">
        <v>41498</v>
      </c>
      <c r="B6967" s="3">
        <v>106.19</v>
      </c>
    </row>
    <row r="6968" spans="1:2">
      <c r="A6968" s="4">
        <v>41499</v>
      </c>
      <c r="B6968" s="3">
        <v>106.78</v>
      </c>
    </row>
    <row r="6969" spans="1:2">
      <c r="A6969" s="4">
        <v>41500</v>
      </c>
      <c r="B6969" s="3">
        <v>106.89</v>
      </c>
    </row>
    <row r="6970" spans="1:2">
      <c r="A6970" s="4">
        <v>41501</v>
      </c>
      <c r="B6970" s="3">
        <v>107.43</v>
      </c>
    </row>
    <row r="6971" spans="1:2">
      <c r="A6971" s="4">
        <v>41502</v>
      </c>
      <c r="B6971" s="3">
        <v>107.58</v>
      </c>
    </row>
    <row r="6972" spans="1:2">
      <c r="A6972" s="4">
        <v>41505</v>
      </c>
      <c r="B6972" s="3">
        <v>107.14</v>
      </c>
    </row>
    <row r="6973" spans="1:2">
      <c r="A6973" s="4">
        <v>41506</v>
      </c>
      <c r="B6973" s="3">
        <v>104.9</v>
      </c>
    </row>
    <row r="6974" spans="1:2">
      <c r="A6974" s="4">
        <v>41507</v>
      </c>
      <c r="B6974" s="3">
        <v>103.93</v>
      </c>
    </row>
    <row r="6975" spans="1:2">
      <c r="A6975" s="4">
        <v>41508</v>
      </c>
      <c r="B6975" s="3">
        <v>104.93</v>
      </c>
    </row>
    <row r="6976" spans="1:2">
      <c r="A6976" s="4">
        <v>41509</v>
      </c>
      <c r="B6976" s="3">
        <v>106.48</v>
      </c>
    </row>
    <row r="6977" spans="1:2">
      <c r="A6977" s="4">
        <v>41512</v>
      </c>
      <c r="B6977" s="3">
        <v>105.88</v>
      </c>
    </row>
    <row r="6978" spans="1:2">
      <c r="A6978" s="4">
        <v>41513</v>
      </c>
      <c r="B6978" s="3">
        <v>109.11</v>
      </c>
    </row>
    <row r="6979" spans="1:2">
      <c r="A6979" s="4">
        <v>41514</v>
      </c>
      <c r="B6979" s="3">
        <v>110.17</v>
      </c>
    </row>
    <row r="6980" spans="1:2">
      <c r="A6980" s="4">
        <v>41515</v>
      </c>
      <c r="B6980" s="3">
        <v>108.51</v>
      </c>
    </row>
    <row r="6981" spans="1:2">
      <c r="A6981" s="4">
        <v>41516</v>
      </c>
      <c r="B6981" s="3">
        <v>107.98</v>
      </c>
    </row>
    <row r="6982" spans="1:2">
      <c r="A6982" s="4">
        <v>41520</v>
      </c>
      <c r="B6982" s="3">
        <v>108.67</v>
      </c>
    </row>
    <row r="6983" spans="1:2">
      <c r="A6983" s="4">
        <v>41521</v>
      </c>
      <c r="B6983" s="3">
        <v>107.29</v>
      </c>
    </row>
    <row r="6984" spans="1:2">
      <c r="A6984" s="4">
        <v>41522</v>
      </c>
      <c r="B6984" s="3">
        <v>108.5</v>
      </c>
    </row>
    <row r="6985" spans="1:2">
      <c r="A6985" s="4">
        <v>41523</v>
      </c>
      <c r="B6985" s="3">
        <v>110.62</v>
      </c>
    </row>
    <row r="6986" spans="1:2">
      <c r="A6986" s="4">
        <v>41526</v>
      </c>
      <c r="B6986" s="3">
        <v>109.62</v>
      </c>
    </row>
    <row r="6987" spans="1:2">
      <c r="A6987" s="4">
        <v>41527</v>
      </c>
      <c r="B6987" s="3">
        <v>107.48</v>
      </c>
    </row>
    <row r="6988" spans="1:2">
      <c r="A6988" s="4">
        <v>41528</v>
      </c>
      <c r="B6988" s="3">
        <v>107.65</v>
      </c>
    </row>
    <row r="6989" spans="1:2">
      <c r="A6989" s="4">
        <v>41529</v>
      </c>
      <c r="B6989" s="3">
        <v>108.72</v>
      </c>
    </row>
    <row r="6990" spans="1:2">
      <c r="A6990" s="4">
        <v>41530</v>
      </c>
      <c r="B6990" s="3">
        <v>108.31</v>
      </c>
    </row>
    <row r="6991" spans="1:2">
      <c r="A6991" s="4">
        <v>41533</v>
      </c>
      <c r="B6991" s="3">
        <v>106.54</v>
      </c>
    </row>
    <row r="6992" spans="1:2">
      <c r="A6992" s="4">
        <v>41534</v>
      </c>
      <c r="B6992" s="3">
        <v>105.36</v>
      </c>
    </row>
    <row r="6993" spans="1:2">
      <c r="A6993" s="4">
        <v>41535</v>
      </c>
      <c r="B6993" s="3">
        <v>108.23</v>
      </c>
    </row>
    <row r="6994" spans="1:2">
      <c r="A6994" s="4">
        <v>41536</v>
      </c>
      <c r="B6994" s="3">
        <v>106.26</v>
      </c>
    </row>
    <row r="6995" spans="1:2">
      <c r="A6995" s="4">
        <v>41537</v>
      </c>
      <c r="B6995" s="3">
        <v>104.7</v>
      </c>
    </row>
    <row r="6996" spans="1:2">
      <c r="A6996" s="4">
        <v>41540</v>
      </c>
      <c r="B6996" s="3">
        <v>103.62</v>
      </c>
    </row>
    <row r="6997" spans="1:2">
      <c r="A6997" s="4">
        <v>41541</v>
      </c>
      <c r="B6997" s="3">
        <v>103.22</v>
      </c>
    </row>
    <row r="6998" spans="1:2">
      <c r="A6998" s="4">
        <v>41542</v>
      </c>
      <c r="B6998" s="3">
        <v>102.68</v>
      </c>
    </row>
    <row r="6999" spans="1:2">
      <c r="A6999" s="4">
        <v>41543</v>
      </c>
      <c r="B6999" s="3">
        <v>103.1</v>
      </c>
    </row>
    <row r="7000" spans="1:2">
      <c r="A7000" s="4">
        <v>41544</v>
      </c>
      <c r="B7000" s="3">
        <v>102.86</v>
      </c>
    </row>
    <row r="7001" spans="1:2">
      <c r="A7001" s="4">
        <v>41547</v>
      </c>
      <c r="B7001" s="3">
        <v>102.36</v>
      </c>
    </row>
    <row r="7002" spans="1:2">
      <c r="A7002" s="4">
        <v>41548</v>
      </c>
      <c r="B7002" s="3">
        <v>102.09</v>
      </c>
    </row>
    <row r="7003" spans="1:2">
      <c r="A7003" s="4">
        <v>41549</v>
      </c>
      <c r="B7003" s="3">
        <v>104.15</v>
      </c>
    </row>
    <row r="7004" spans="1:2">
      <c r="A7004" s="4">
        <v>41550</v>
      </c>
      <c r="B7004" s="3">
        <v>103.29</v>
      </c>
    </row>
    <row r="7005" spans="1:2">
      <c r="A7005" s="4">
        <v>41551</v>
      </c>
      <c r="B7005" s="3">
        <v>103.83</v>
      </c>
    </row>
    <row r="7006" spans="1:2">
      <c r="A7006" s="4">
        <v>41554</v>
      </c>
      <c r="B7006" s="3">
        <v>103.07</v>
      </c>
    </row>
    <row r="7007" spans="1:2">
      <c r="A7007" s="4">
        <v>41555</v>
      </c>
      <c r="B7007" s="3">
        <v>103.54</v>
      </c>
    </row>
    <row r="7008" spans="1:2">
      <c r="A7008" s="4">
        <v>41556</v>
      </c>
      <c r="B7008" s="3">
        <v>101.63</v>
      </c>
    </row>
    <row r="7009" spans="1:2">
      <c r="A7009" s="4">
        <v>41557</v>
      </c>
      <c r="B7009" s="3">
        <v>103.08</v>
      </c>
    </row>
    <row r="7010" spans="1:2">
      <c r="A7010" s="4">
        <v>41558</v>
      </c>
      <c r="B7010" s="3">
        <v>102.17</v>
      </c>
    </row>
    <row r="7011" spans="1:2">
      <c r="A7011" s="4">
        <v>41561</v>
      </c>
      <c r="B7011" s="3">
        <v>102.46</v>
      </c>
    </row>
    <row r="7012" spans="1:2">
      <c r="A7012" s="4">
        <v>41562</v>
      </c>
      <c r="B7012" s="3">
        <v>101.15</v>
      </c>
    </row>
    <row r="7013" spans="1:2">
      <c r="A7013" s="4">
        <v>41563</v>
      </c>
      <c r="B7013" s="3">
        <v>102.34</v>
      </c>
    </row>
    <row r="7014" spans="1:2">
      <c r="A7014" s="4">
        <v>41564</v>
      </c>
      <c r="B7014" s="3">
        <v>100.72</v>
      </c>
    </row>
    <row r="7015" spans="1:2">
      <c r="A7015" s="4">
        <v>41565</v>
      </c>
      <c r="B7015" s="3">
        <v>100.87</v>
      </c>
    </row>
    <row r="7016" spans="1:2">
      <c r="A7016" s="4">
        <v>41568</v>
      </c>
      <c r="B7016" s="3">
        <v>99.28</v>
      </c>
    </row>
    <row r="7017" spans="1:2">
      <c r="A7017" s="4">
        <v>41569</v>
      </c>
      <c r="B7017" s="3">
        <v>97.63</v>
      </c>
    </row>
    <row r="7018" spans="1:2">
      <c r="A7018" s="4">
        <v>41570</v>
      </c>
      <c r="B7018" s="3">
        <v>96.9</v>
      </c>
    </row>
    <row r="7019" spans="1:2">
      <c r="A7019" s="4">
        <v>41571</v>
      </c>
      <c r="B7019" s="3">
        <v>96.65</v>
      </c>
    </row>
    <row r="7020" spans="1:2">
      <c r="A7020" s="4">
        <v>41572</v>
      </c>
      <c r="B7020" s="3">
        <v>97.4</v>
      </c>
    </row>
    <row r="7021" spans="1:2">
      <c r="A7021" s="4">
        <v>41575</v>
      </c>
      <c r="B7021" s="3">
        <v>98.74</v>
      </c>
    </row>
    <row r="7022" spans="1:2">
      <c r="A7022" s="4">
        <v>41576</v>
      </c>
      <c r="B7022" s="3">
        <v>98.29</v>
      </c>
    </row>
    <row r="7023" spans="1:2">
      <c r="A7023" s="4">
        <v>41577</v>
      </c>
      <c r="B7023" s="3">
        <v>96.81</v>
      </c>
    </row>
    <row r="7024" spans="1:2">
      <c r="A7024" s="4">
        <v>41578</v>
      </c>
      <c r="B7024" s="3">
        <v>96.29</v>
      </c>
    </row>
    <row r="7025" spans="1:2">
      <c r="A7025" s="4">
        <v>41579</v>
      </c>
      <c r="B7025" s="3">
        <v>94.56</v>
      </c>
    </row>
    <row r="7026" spans="1:2">
      <c r="A7026" s="4">
        <v>41582</v>
      </c>
      <c r="B7026" s="3">
        <v>94.58</v>
      </c>
    </row>
    <row r="7027" spans="1:2">
      <c r="A7027" s="4">
        <v>41583</v>
      </c>
      <c r="B7027" s="3">
        <v>93.4</v>
      </c>
    </row>
    <row r="7028" spans="1:2">
      <c r="A7028" s="4">
        <v>41584</v>
      </c>
      <c r="B7028" s="3">
        <v>94.74</v>
      </c>
    </row>
    <row r="7029" spans="1:2">
      <c r="A7029" s="4">
        <v>41585</v>
      </c>
      <c r="B7029" s="3">
        <v>94.25</v>
      </c>
    </row>
    <row r="7030" spans="1:2">
      <c r="A7030" s="4">
        <v>41586</v>
      </c>
      <c r="B7030" s="3">
        <v>94.56</v>
      </c>
    </row>
    <row r="7031" spans="1:2">
      <c r="A7031" s="4">
        <v>41589</v>
      </c>
      <c r="B7031" s="3">
        <v>95.13</v>
      </c>
    </row>
    <row r="7032" spans="1:2">
      <c r="A7032" s="4">
        <v>41590</v>
      </c>
      <c r="B7032" s="3">
        <v>93.12</v>
      </c>
    </row>
    <row r="7033" spans="1:2">
      <c r="A7033" s="4">
        <v>41591</v>
      </c>
      <c r="B7033" s="3">
        <v>93.91</v>
      </c>
    </row>
    <row r="7034" spans="1:2">
      <c r="A7034" s="4">
        <v>41592</v>
      </c>
      <c r="B7034" s="3">
        <v>93.76</v>
      </c>
    </row>
    <row r="7035" spans="1:2">
      <c r="A7035" s="4">
        <v>41593</v>
      </c>
      <c r="B7035" s="3">
        <v>93.8</v>
      </c>
    </row>
    <row r="7036" spans="1:2">
      <c r="A7036" s="4">
        <v>41596</v>
      </c>
      <c r="B7036" s="3">
        <v>93.03</v>
      </c>
    </row>
    <row r="7037" spans="1:2">
      <c r="A7037" s="4">
        <v>41597</v>
      </c>
      <c r="B7037" s="3">
        <v>93.35</v>
      </c>
    </row>
    <row r="7038" spans="1:2">
      <c r="A7038" s="4">
        <v>41598</v>
      </c>
      <c r="B7038" s="3">
        <v>93.34</v>
      </c>
    </row>
    <row r="7039" spans="1:2">
      <c r="A7039" s="4">
        <v>41599</v>
      </c>
      <c r="B7039" s="3">
        <v>95.35</v>
      </c>
    </row>
    <row r="7040" spans="1:2">
      <c r="A7040" s="4">
        <v>41600</v>
      </c>
      <c r="B7040" s="3">
        <v>94.53</v>
      </c>
    </row>
    <row r="7041" spans="1:2">
      <c r="A7041" s="4">
        <v>41603</v>
      </c>
      <c r="B7041" s="3">
        <v>93.86</v>
      </c>
    </row>
    <row r="7042" spans="1:2">
      <c r="A7042" s="4">
        <v>41604</v>
      </c>
      <c r="B7042" s="3">
        <v>93.41</v>
      </c>
    </row>
    <row r="7043" spans="1:2">
      <c r="A7043" s="4">
        <v>41605</v>
      </c>
      <c r="B7043" s="3">
        <v>92.05</v>
      </c>
    </row>
    <row r="7044" spans="1:2">
      <c r="A7044" s="4">
        <v>41607</v>
      </c>
      <c r="B7044" s="3">
        <v>92.55</v>
      </c>
    </row>
    <row r="7045" spans="1:2">
      <c r="A7045" s="4">
        <v>41610</v>
      </c>
      <c r="B7045" s="3">
        <v>93.61</v>
      </c>
    </row>
    <row r="7046" spans="1:2">
      <c r="A7046" s="4">
        <v>41611</v>
      </c>
      <c r="B7046" s="3">
        <v>95.83</v>
      </c>
    </row>
    <row r="7047" spans="1:2">
      <c r="A7047" s="4">
        <v>41612</v>
      </c>
      <c r="B7047" s="3">
        <v>96.97</v>
      </c>
    </row>
    <row r="7048" spans="1:2">
      <c r="A7048" s="4">
        <v>41613</v>
      </c>
      <c r="B7048" s="3">
        <v>97.14</v>
      </c>
    </row>
    <row r="7049" spans="1:2">
      <c r="A7049" s="4">
        <v>41614</v>
      </c>
      <c r="B7049" s="3">
        <v>97.48</v>
      </c>
    </row>
    <row r="7050" spans="1:2">
      <c r="A7050" s="4">
        <v>41617</v>
      </c>
      <c r="B7050" s="3">
        <v>97.1</v>
      </c>
    </row>
    <row r="7051" spans="1:2">
      <c r="A7051" s="4">
        <v>41618</v>
      </c>
      <c r="B7051" s="3">
        <v>98.32</v>
      </c>
    </row>
    <row r="7052" spans="1:2">
      <c r="A7052" s="4">
        <v>41619</v>
      </c>
      <c r="B7052" s="3">
        <v>97.25</v>
      </c>
    </row>
    <row r="7053" spans="1:2">
      <c r="A7053" s="4">
        <v>41620</v>
      </c>
      <c r="B7053" s="3">
        <v>97.21</v>
      </c>
    </row>
    <row r="7054" spans="1:2">
      <c r="A7054" s="4">
        <v>41621</v>
      </c>
      <c r="B7054" s="3">
        <v>96.27</v>
      </c>
    </row>
    <row r="7055" spans="1:2">
      <c r="A7055" s="4">
        <v>41624</v>
      </c>
      <c r="B7055" s="3">
        <v>97.18</v>
      </c>
    </row>
    <row r="7056" spans="1:2">
      <c r="A7056" s="4">
        <v>41625</v>
      </c>
      <c r="B7056" s="3">
        <v>96.99</v>
      </c>
    </row>
    <row r="7057" spans="1:2">
      <c r="A7057" s="4">
        <v>41626</v>
      </c>
      <c r="B7057" s="3">
        <v>97.59</v>
      </c>
    </row>
    <row r="7058" spans="1:2">
      <c r="A7058" s="4">
        <v>41627</v>
      </c>
      <c r="B7058" s="3">
        <v>98.4</v>
      </c>
    </row>
    <row r="7059" spans="1:2">
      <c r="A7059" s="4">
        <v>41628</v>
      </c>
      <c r="B7059" s="3">
        <v>99.11</v>
      </c>
    </row>
    <row r="7060" spans="1:2">
      <c r="A7060" s="4">
        <v>41631</v>
      </c>
      <c r="B7060" s="3">
        <v>98.62</v>
      </c>
    </row>
    <row r="7061" spans="1:2">
      <c r="A7061" s="4">
        <v>41632</v>
      </c>
      <c r="B7061" s="3">
        <v>98.87</v>
      </c>
    </row>
    <row r="7062" spans="1:2">
      <c r="A7062" s="4">
        <v>41634</v>
      </c>
      <c r="B7062" s="3">
        <v>99.18</v>
      </c>
    </row>
    <row r="7063" spans="1:2">
      <c r="A7063" s="4">
        <v>41635</v>
      </c>
      <c r="B7063" s="3">
        <v>99.94</v>
      </c>
    </row>
    <row r="7064" spans="1:2">
      <c r="A7064" s="4">
        <v>41638</v>
      </c>
      <c r="B7064" s="3">
        <v>98.9</v>
      </c>
    </row>
    <row r="7065" spans="1:2">
      <c r="A7065" s="4">
        <v>41639</v>
      </c>
      <c r="B7065" s="3">
        <v>98.17</v>
      </c>
    </row>
    <row r="7066" spans="1:2">
      <c r="A7066" s="4">
        <v>41641</v>
      </c>
      <c r="B7066" s="3">
        <v>95.14</v>
      </c>
    </row>
    <row r="7067" spans="1:2">
      <c r="A7067" s="4">
        <v>41642</v>
      </c>
      <c r="B7067" s="3">
        <v>93.66</v>
      </c>
    </row>
    <row r="7068" spans="1:2">
      <c r="A7068" s="4">
        <v>41645</v>
      </c>
      <c r="B7068" s="3">
        <v>93.12</v>
      </c>
    </row>
    <row r="7069" spans="1:2">
      <c r="A7069" s="4">
        <v>41646</v>
      </c>
      <c r="B7069" s="3">
        <v>93.31</v>
      </c>
    </row>
    <row r="7070" spans="1:2">
      <c r="A7070" s="4">
        <v>41647</v>
      </c>
      <c r="B7070" s="3">
        <v>91.9</v>
      </c>
    </row>
    <row r="7071" spans="1:2">
      <c r="A7071" s="4">
        <v>41648</v>
      </c>
      <c r="B7071" s="3">
        <v>91.36</v>
      </c>
    </row>
    <row r="7072" spans="1:2">
      <c r="A7072" s="4">
        <v>41649</v>
      </c>
      <c r="B7072" s="3">
        <v>92.39</v>
      </c>
    </row>
    <row r="7073" spans="1:2">
      <c r="A7073" s="4">
        <v>41652</v>
      </c>
      <c r="B7073" s="3">
        <v>91.45</v>
      </c>
    </row>
    <row r="7074" spans="1:2">
      <c r="A7074" s="4">
        <v>41653</v>
      </c>
      <c r="B7074" s="3">
        <v>92.15</v>
      </c>
    </row>
    <row r="7075" spans="1:2">
      <c r="A7075" s="4">
        <v>41654</v>
      </c>
      <c r="B7075" s="3">
        <v>93.78</v>
      </c>
    </row>
    <row r="7076" spans="1:2">
      <c r="A7076" s="4">
        <v>41655</v>
      </c>
      <c r="B7076" s="3">
        <v>93.54</v>
      </c>
    </row>
    <row r="7077" spans="1:2">
      <c r="A7077" s="4">
        <v>41656</v>
      </c>
      <c r="B7077" s="3">
        <v>93.96</v>
      </c>
    </row>
    <row r="7078" spans="1:2">
      <c r="A7078" s="4">
        <v>41660</v>
      </c>
      <c r="B7078" s="3">
        <v>94.51</v>
      </c>
    </row>
    <row r="7079" spans="1:2">
      <c r="A7079" s="4">
        <v>41661</v>
      </c>
      <c r="B7079" s="3">
        <v>96.35</v>
      </c>
    </row>
    <row r="7080" spans="1:2">
      <c r="A7080" s="4">
        <v>41662</v>
      </c>
      <c r="B7080" s="3">
        <v>97.23</v>
      </c>
    </row>
    <row r="7081" spans="1:2">
      <c r="A7081" s="4">
        <v>41663</v>
      </c>
      <c r="B7081" s="3">
        <v>96.66</v>
      </c>
    </row>
    <row r="7082" spans="1:2">
      <c r="A7082" s="4">
        <v>41666</v>
      </c>
      <c r="B7082" s="3">
        <v>95.82</v>
      </c>
    </row>
    <row r="7083" spans="1:2">
      <c r="A7083" s="4">
        <v>41667</v>
      </c>
      <c r="B7083" s="3">
        <v>97.49</v>
      </c>
    </row>
    <row r="7084" spans="1:2">
      <c r="A7084" s="4">
        <v>41668</v>
      </c>
      <c r="B7084" s="3">
        <v>97.34</v>
      </c>
    </row>
    <row r="7085" spans="1:2">
      <c r="A7085" s="4">
        <v>41669</v>
      </c>
      <c r="B7085" s="3">
        <v>98.25</v>
      </c>
    </row>
    <row r="7086" spans="1:2">
      <c r="A7086" s="4">
        <v>41670</v>
      </c>
      <c r="B7086" s="3">
        <v>97.55</v>
      </c>
    </row>
    <row r="7087" spans="1:2">
      <c r="A7087" s="4">
        <v>41673</v>
      </c>
      <c r="B7087" s="3">
        <v>96.44</v>
      </c>
    </row>
    <row r="7088" spans="1:2">
      <c r="A7088" s="4">
        <v>41674</v>
      </c>
      <c r="B7088" s="3">
        <v>97.24</v>
      </c>
    </row>
    <row r="7089" spans="1:2">
      <c r="A7089" s="4">
        <v>41675</v>
      </c>
      <c r="B7089" s="3">
        <v>97.4</v>
      </c>
    </row>
    <row r="7090" spans="1:2">
      <c r="A7090" s="4">
        <v>41676</v>
      </c>
      <c r="B7090" s="3">
        <v>97.84</v>
      </c>
    </row>
    <row r="7091" spans="1:2">
      <c r="A7091" s="4">
        <v>41677</v>
      </c>
      <c r="B7091" s="3">
        <v>99.98</v>
      </c>
    </row>
    <row r="7092" spans="1:2">
      <c r="A7092" s="4">
        <v>41680</v>
      </c>
      <c r="B7092" s="3">
        <v>100.12</v>
      </c>
    </row>
    <row r="7093" spans="1:2">
      <c r="A7093" s="4">
        <v>41681</v>
      </c>
      <c r="B7093" s="3">
        <v>99.96</v>
      </c>
    </row>
    <row r="7094" spans="1:2">
      <c r="A7094" s="4">
        <v>41682</v>
      </c>
      <c r="B7094" s="3">
        <v>100.38</v>
      </c>
    </row>
    <row r="7095" spans="1:2">
      <c r="A7095" s="4">
        <v>41683</v>
      </c>
      <c r="B7095" s="3">
        <v>100.27</v>
      </c>
    </row>
    <row r="7096" spans="1:2">
      <c r="A7096" s="4">
        <v>41684</v>
      </c>
      <c r="B7096" s="3">
        <v>100.31</v>
      </c>
    </row>
    <row r="7097" spans="1:2">
      <c r="A7097" s="4">
        <v>41688</v>
      </c>
      <c r="B7097" s="3">
        <v>102.54</v>
      </c>
    </row>
    <row r="7098" spans="1:2">
      <c r="A7098" s="4">
        <v>41689</v>
      </c>
      <c r="B7098" s="3">
        <v>103.46</v>
      </c>
    </row>
    <row r="7099" spans="1:2">
      <c r="A7099" s="4">
        <v>41690</v>
      </c>
      <c r="B7099" s="3">
        <v>103.2</v>
      </c>
    </row>
    <row r="7100" spans="1:2">
      <c r="A7100" s="4">
        <v>41691</v>
      </c>
      <c r="B7100" s="3">
        <v>102.53</v>
      </c>
    </row>
    <row r="7101" spans="1:2">
      <c r="A7101" s="4">
        <v>41694</v>
      </c>
      <c r="B7101" s="3">
        <v>103.17</v>
      </c>
    </row>
    <row r="7102" spans="1:2">
      <c r="A7102" s="4">
        <v>41695</v>
      </c>
      <c r="B7102" s="3">
        <v>102.2</v>
      </c>
    </row>
    <row r="7103" spans="1:2">
      <c r="A7103" s="4">
        <v>41696</v>
      </c>
      <c r="B7103" s="3">
        <v>102.93</v>
      </c>
    </row>
    <row r="7104" spans="1:2">
      <c r="A7104" s="4">
        <v>41697</v>
      </c>
      <c r="B7104" s="3">
        <v>102.68</v>
      </c>
    </row>
    <row r="7105" spans="1:2">
      <c r="A7105" s="4">
        <v>41698</v>
      </c>
      <c r="B7105" s="3">
        <v>102.88</v>
      </c>
    </row>
    <row r="7106" spans="1:2">
      <c r="A7106" s="4">
        <v>41701</v>
      </c>
      <c r="B7106" s="3">
        <v>105.34</v>
      </c>
    </row>
    <row r="7107" spans="1:2">
      <c r="A7107" s="4">
        <v>41702</v>
      </c>
      <c r="B7107" s="3">
        <v>103.64</v>
      </c>
    </row>
    <row r="7108" spans="1:2">
      <c r="A7108" s="4">
        <v>41703</v>
      </c>
      <c r="B7108" s="3">
        <v>101.75</v>
      </c>
    </row>
    <row r="7109" spans="1:2">
      <c r="A7109" s="4">
        <v>41704</v>
      </c>
      <c r="B7109" s="3">
        <v>101.82</v>
      </c>
    </row>
    <row r="7110" spans="1:2">
      <c r="A7110" s="4">
        <v>41705</v>
      </c>
      <c r="B7110" s="3">
        <v>102.82</v>
      </c>
    </row>
    <row r="7111" spans="1:2">
      <c r="A7111" s="4">
        <v>41708</v>
      </c>
      <c r="B7111" s="3">
        <v>101.39</v>
      </c>
    </row>
    <row r="7112" spans="1:2">
      <c r="A7112" s="4">
        <v>41709</v>
      </c>
      <c r="B7112" s="3">
        <v>100.29</v>
      </c>
    </row>
    <row r="7113" spans="1:2">
      <c r="A7113" s="4">
        <v>41710</v>
      </c>
      <c r="B7113" s="3">
        <v>98.29</v>
      </c>
    </row>
    <row r="7114" spans="1:2">
      <c r="A7114" s="4">
        <v>41711</v>
      </c>
      <c r="B7114" s="3">
        <v>98.57</v>
      </c>
    </row>
    <row r="7115" spans="1:2">
      <c r="A7115" s="4">
        <v>41712</v>
      </c>
      <c r="B7115" s="3">
        <v>99.23</v>
      </c>
    </row>
    <row r="7116" spans="1:2">
      <c r="A7116" s="4">
        <v>41715</v>
      </c>
      <c r="B7116" s="3">
        <v>98.43</v>
      </c>
    </row>
    <row r="7117" spans="1:2">
      <c r="A7117" s="4">
        <v>41716</v>
      </c>
      <c r="B7117" s="3">
        <v>100.08</v>
      </c>
    </row>
    <row r="7118" spans="1:2">
      <c r="A7118" s="4">
        <v>41717</v>
      </c>
      <c r="B7118" s="3">
        <v>100.71</v>
      </c>
    </row>
    <row r="7119" spans="1:2">
      <c r="A7119" s="4">
        <v>41718</v>
      </c>
      <c r="B7119" s="3">
        <v>99.68</v>
      </c>
    </row>
    <row r="7120" spans="1:2">
      <c r="A7120" s="4">
        <v>41719</v>
      </c>
      <c r="B7120" s="3">
        <v>99.97</v>
      </c>
    </row>
    <row r="7121" spans="1:2">
      <c r="A7121" s="4">
        <v>41722</v>
      </c>
      <c r="B7121" s="3">
        <v>100.05</v>
      </c>
    </row>
    <row r="7122" spans="1:2">
      <c r="A7122" s="4">
        <v>41723</v>
      </c>
      <c r="B7122" s="3">
        <v>99.66</v>
      </c>
    </row>
    <row r="7123" spans="1:2">
      <c r="A7123" s="4">
        <v>41724</v>
      </c>
      <c r="B7123" s="3">
        <v>100.61</v>
      </c>
    </row>
    <row r="7124" spans="1:2">
      <c r="A7124" s="4">
        <v>41725</v>
      </c>
      <c r="B7124" s="3">
        <v>101.25</v>
      </c>
    </row>
    <row r="7125" spans="1:2">
      <c r="A7125" s="4">
        <v>41726</v>
      </c>
      <c r="B7125" s="3">
        <v>101.73</v>
      </c>
    </row>
    <row r="7126" spans="1:2">
      <c r="A7126" s="4">
        <v>41729</v>
      </c>
      <c r="B7126" s="3">
        <v>101.57</v>
      </c>
    </row>
    <row r="7127" spans="1:2">
      <c r="A7127" s="4">
        <v>41730</v>
      </c>
      <c r="B7127" s="3">
        <v>99.69</v>
      </c>
    </row>
    <row r="7128" spans="1:2">
      <c r="A7128" s="4">
        <v>41731</v>
      </c>
      <c r="B7128" s="3">
        <v>99.6</v>
      </c>
    </row>
    <row r="7129" spans="1:2">
      <c r="A7129" s="4">
        <v>41732</v>
      </c>
      <c r="B7129" s="3">
        <v>100.29</v>
      </c>
    </row>
    <row r="7130" spans="1:2">
      <c r="A7130" s="4">
        <v>41733</v>
      </c>
      <c r="B7130" s="3">
        <v>101.16</v>
      </c>
    </row>
    <row r="7131" spans="1:2">
      <c r="A7131" s="4">
        <v>41736</v>
      </c>
      <c r="B7131" s="3">
        <v>100.43</v>
      </c>
    </row>
    <row r="7132" spans="1:2">
      <c r="A7132" s="4">
        <v>41737</v>
      </c>
      <c r="B7132" s="3">
        <v>102.57</v>
      </c>
    </row>
    <row r="7133" spans="1:2">
      <c r="A7133" s="4">
        <v>41738</v>
      </c>
      <c r="B7133" s="3">
        <v>103.55</v>
      </c>
    </row>
    <row r="7134" spans="1:2">
      <c r="A7134" s="4">
        <v>41739</v>
      </c>
      <c r="B7134" s="3">
        <v>103.37</v>
      </c>
    </row>
    <row r="7135" spans="1:2">
      <c r="A7135" s="4">
        <v>41740</v>
      </c>
      <c r="B7135" s="3">
        <v>103.68</v>
      </c>
    </row>
    <row r="7136" spans="1:2">
      <c r="A7136" s="4">
        <v>41743</v>
      </c>
      <c r="B7136" s="3">
        <v>104.05</v>
      </c>
    </row>
    <row r="7137" spans="1:2">
      <c r="A7137" s="4">
        <v>41744</v>
      </c>
      <c r="B7137" s="3">
        <v>103.7</v>
      </c>
    </row>
    <row r="7138" spans="1:2">
      <c r="A7138" s="4">
        <v>41745</v>
      </c>
      <c r="B7138" s="3">
        <v>103.71</v>
      </c>
    </row>
    <row r="7139" spans="1:2">
      <c r="A7139" s="4">
        <v>41746</v>
      </c>
      <c r="B7139" s="3">
        <v>104.33</v>
      </c>
    </row>
    <row r="7140" spans="1:2">
      <c r="A7140" s="4">
        <v>41750</v>
      </c>
      <c r="B7140" s="3">
        <v>104.35</v>
      </c>
    </row>
    <row r="7141" spans="1:2">
      <c r="A7141" s="4">
        <v>41751</v>
      </c>
      <c r="B7141" s="3">
        <v>101.69</v>
      </c>
    </row>
    <row r="7142" spans="1:2">
      <c r="A7142" s="4">
        <v>41752</v>
      </c>
      <c r="B7142" s="3">
        <v>101.47</v>
      </c>
    </row>
    <row r="7143" spans="1:2">
      <c r="A7143" s="4">
        <v>41753</v>
      </c>
      <c r="B7143" s="3">
        <v>102.2</v>
      </c>
    </row>
    <row r="7144" spans="1:2">
      <c r="A7144" s="4">
        <v>41754</v>
      </c>
      <c r="B7144" s="3">
        <v>100.85</v>
      </c>
    </row>
    <row r="7145" spans="1:2">
      <c r="A7145" s="4">
        <v>41757</v>
      </c>
      <c r="B7145" s="3">
        <v>101.13</v>
      </c>
    </row>
    <row r="7146" spans="1:2">
      <c r="A7146" s="4">
        <v>41758</v>
      </c>
      <c r="B7146" s="3">
        <v>101.56</v>
      </c>
    </row>
    <row r="7147" spans="1:2">
      <c r="A7147" s="4">
        <v>41759</v>
      </c>
      <c r="B7147" s="3">
        <v>100.07</v>
      </c>
    </row>
    <row r="7148" spans="1:2">
      <c r="A7148" s="4">
        <v>41760</v>
      </c>
      <c r="B7148" s="3">
        <v>99.69</v>
      </c>
    </row>
    <row r="7149" spans="1:2">
      <c r="A7149" s="4">
        <v>41761</v>
      </c>
      <c r="B7149" s="3">
        <v>100.09</v>
      </c>
    </row>
    <row r="7150" spans="1:2">
      <c r="A7150" s="4">
        <v>41764</v>
      </c>
      <c r="B7150" s="3">
        <v>99.74</v>
      </c>
    </row>
    <row r="7151" spans="1:2">
      <c r="A7151" s="4">
        <v>41765</v>
      </c>
      <c r="B7151" s="3">
        <v>99.81</v>
      </c>
    </row>
    <row r="7152" spans="1:2">
      <c r="A7152" s="4">
        <v>41766</v>
      </c>
      <c r="B7152" s="3">
        <v>101.06</v>
      </c>
    </row>
    <row r="7153" spans="1:2">
      <c r="A7153" s="4">
        <v>41767</v>
      </c>
      <c r="B7153" s="3">
        <v>100.52</v>
      </c>
    </row>
    <row r="7154" spans="1:2">
      <c r="A7154" s="4">
        <v>41768</v>
      </c>
      <c r="B7154" s="3">
        <v>100.32</v>
      </c>
    </row>
    <row r="7155" spans="1:2">
      <c r="A7155" s="4">
        <v>41771</v>
      </c>
      <c r="B7155" s="3">
        <v>100.89</v>
      </c>
    </row>
    <row r="7156" spans="1:2">
      <c r="A7156" s="4">
        <v>41772</v>
      </c>
      <c r="B7156" s="3">
        <v>102.01</v>
      </c>
    </row>
    <row r="7157" spans="1:2">
      <c r="A7157" s="4">
        <v>41773</v>
      </c>
      <c r="B7157" s="3">
        <v>102.63</v>
      </c>
    </row>
    <row r="7158" spans="1:2">
      <c r="A7158" s="4">
        <v>41774</v>
      </c>
      <c r="B7158" s="3">
        <v>101.74</v>
      </c>
    </row>
    <row r="7159" spans="1:2">
      <c r="A7159" s="4">
        <v>41775</v>
      </c>
      <c r="B7159" s="3">
        <v>102.31</v>
      </c>
    </row>
    <row r="7160" spans="1:2">
      <c r="A7160" s="4">
        <v>41778</v>
      </c>
      <c r="B7160" s="3">
        <v>102.95</v>
      </c>
    </row>
    <row r="7161" spans="1:2">
      <c r="A7161" s="4">
        <v>41779</v>
      </c>
      <c r="B7161" s="3">
        <v>102.8</v>
      </c>
    </row>
    <row r="7162" spans="1:2">
      <c r="A7162" s="4">
        <v>41780</v>
      </c>
      <c r="B7162" s="3">
        <v>104.31</v>
      </c>
    </row>
    <row r="7163" spans="1:2">
      <c r="A7163" s="4">
        <v>41781</v>
      </c>
      <c r="B7163" s="3">
        <v>104.03</v>
      </c>
    </row>
    <row r="7164" spans="1:2">
      <c r="A7164" s="4">
        <v>41782</v>
      </c>
      <c r="B7164" s="3">
        <v>105.01</v>
      </c>
    </row>
    <row r="7165" spans="1:2">
      <c r="A7165" s="4">
        <v>41786</v>
      </c>
      <c r="B7165" s="3">
        <v>104.78</v>
      </c>
    </row>
    <row r="7166" spans="1:2">
      <c r="A7166" s="4">
        <v>41787</v>
      </c>
      <c r="B7166" s="3">
        <v>103.37</v>
      </c>
    </row>
    <row r="7167" spans="1:2">
      <c r="A7167" s="4">
        <v>41788</v>
      </c>
      <c r="B7167" s="3">
        <v>104.26</v>
      </c>
    </row>
    <row r="7168" spans="1:2">
      <c r="A7168" s="4">
        <v>41789</v>
      </c>
      <c r="B7168" s="3">
        <v>103.4</v>
      </c>
    </row>
    <row r="7169" spans="1:2">
      <c r="A7169" s="4">
        <v>41792</v>
      </c>
      <c r="B7169" s="3">
        <v>103.07</v>
      </c>
    </row>
    <row r="7170" spans="1:2">
      <c r="A7170" s="4">
        <v>41793</v>
      </c>
      <c r="B7170" s="3">
        <v>103.34</v>
      </c>
    </row>
    <row r="7171" spans="1:2">
      <c r="A7171" s="4">
        <v>41794</v>
      </c>
      <c r="B7171" s="3">
        <v>103.27</v>
      </c>
    </row>
    <row r="7172" spans="1:2">
      <c r="A7172" s="4">
        <v>41795</v>
      </c>
      <c r="B7172" s="3">
        <v>103.17</v>
      </c>
    </row>
    <row r="7173" spans="1:2">
      <c r="A7173" s="4">
        <v>41796</v>
      </c>
      <c r="B7173" s="3">
        <v>103.32</v>
      </c>
    </row>
    <row r="7174" spans="1:2">
      <c r="A7174" s="4">
        <v>41799</v>
      </c>
      <c r="B7174" s="3">
        <v>105.09</v>
      </c>
    </row>
    <row r="7175" spans="1:2">
      <c r="A7175" s="4">
        <v>41800</v>
      </c>
      <c r="B7175" s="3">
        <v>105.02</v>
      </c>
    </row>
    <row r="7176" spans="1:2">
      <c r="A7176" s="4">
        <v>41801</v>
      </c>
      <c r="B7176" s="3">
        <v>105.04</v>
      </c>
    </row>
    <row r="7177" spans="1:2">
      <c r="A7177" s="4">
        <v>41802</v>
      </c>
      <c r="B7177" s="3">
        <v>107.2</v>
      </c>
    </row>
    <row r="7178" spans="1:2">
      <c r="A7178" s="4">
        <v>41803</v>
      </c>
      <c r="B7178" s="3">
        <v>107.49</v>
      </c>
    </row>
    <row r="7179" spans="1:2">
      <c r="A7179" s="4">
        <v>41806</v>
      </c>
      <c r="B7179" s="3">
        <v>107.52</v>
      </c>
    </row>
    <row r="7180" spans="1:2">
      <c r="A7180" s="4">
        <v>41807</v>
      </c>
      <c r="B7180" s="3">
        <v>106.95</v>
      </c>
    </row>
    <row r="7181" spans="1:2">
      <c r="A7181" s="4">
        <v>41808</v>
      </c>
      <c r="B7181" s="3">
        <v>106.64</v>
      </c>
    </row>
    <row r="7182" spans="1:2">
      <c r="A7182" s="4">
        <v>41809</v>
      </c>
      <c r="B7182" s="3">
        <v>107.08</v>
      </c>
    </row>
    <row r="7183" spans="1:2">
      <c r="A7183" s="4">
        <v>41810</v>
      </c>
      <c r="B7183" s="3">
        <v>107.95</v>
      </c>
    </row>
    <row r="7184" spans="1:2">
      <c r="A7184" s="4">
        <v>41813</v>
      </c>
      <c r="B7184" s="3">
        <v>106.83</v>
      </c>
    </row>
    <row r="7185" spans="1:2">
      <c r="A7185" s="4">
        <v>41814</v>
      </c>
      <c r="B7185" s="3">
        <v>106.64</v>
      </c>
    </row>
    <row r="7186" spans="1:2">
      <c r="A7186" s="4">
        <v>41815</v>
      </c>
      <c r="B7186" s="3">
        <v>107.04</v>
      </c>
    </row>
    <row r="7187" spans="1:2">
      <c r="A7187" s="4">
        <v>41816</v>
      </c>
      <c r="B7187" s="3">
        <v>106.49</v>
      </c>
    </row>
    <row r="7188" spans="1:2">
      <c r="A7188" s="4">
        <v>41817</v>
      </c>
      <c r="B7188" s="3">
        <v>106.46</v>
      </c>
    </row>
    <row r="7189" spans="1:2">
      <c r="A7189" s="4">
        <v>41820</v>
      </c>
      <c r="B7189" s="3">
        <v>106.07</v>
      </c>
    </row>
    <row r="7190" spans="1:2">
      <c r="A7190" s="4">
        <v>41821</v>
      </c>
      <c r="B7190" s="3">
        <v>106.06</v>
      </c>
    </row>
    <row r="7191" spans="1:2">
      <c r="A7191" s="4">
        <v>41822</v>
      </c>
      <c r="B7191" s="3">
        <v>105.18</v>
      </c>
    </row>
    <row r="7192" spans="1:2">
      <c r="A7192" s="4">
        <v>41823</v>
      </c>
      <c r="B7192" s="3">
        <v>104.76</v>
      </c>
    </row>
    <row r="7193" spans="1:2">
      <c r="A7193" s="4">
        <v>41827</v>
      </c>
      <c r="B7193" s="3">
        <v>104.19</v>
      </c>
    </row>
    <row r="7194" spans="1:2">
      <c r="A7194" s="4">
        <v>41828</v>
      </c>
      <c r="B7194" s="3">
        <v>104.06</v>
      </c>
    </row>
    <row r="7195" spans="1:2">
      <c r="A7195" s="4">
        <v>41829</v>
      </c>
      <c r="B7195" s="3">
        <v>102.93</v>
      </c>
    </row>
    <row r="7196" spans="1:2">
      <c r="A7196" s="4">
        <v>41830</v>
      </c>
      <c r="B7196" s="3">
        <v>103.61</v>
      </c>
    </row>
    <row r="7197" spans="1:2">
      <c r="A7197" s="4">
        <v>41831</v>
      </c>
      <c r="B7197" s="3">
        <v>101.48</v>
      </c>
    </row>
    <row r="7198" spans="1:2">
      <c r="A7198" s="4">
        <v>41834</v>
      </c>
      <c r="B7198" s="3">
        <v>101.73</v>
      </c>
    </row>
    <row r="7199" spans="1:2">
      <c r="A7199" s="4">
        <v>41835</v>
      </c>
      <c r="B7199" s="3">
        <v>100.56</v>
      </c>
    </row>
    <row r="7200" spans="1:2">
      <c r="A7200" s="4">
        <v>41836</v>
      </c>
      <c r="B7200" s="3">
        <v>101.88</v>
      </c>
    </row>
    <row r="7201" spans="1:2">
      <c r="A7201" s="4">
        <v>41837</v>
      </c>
      <c r="B7201" s="3">
        <v>103.84</v>
      </c>
    </row>
    <row r="7202" spans="1:2">
      <c r="A7202" s="4">
        <v>41838</v>
      </c>
      <c r="B7202" s="3">
        <v>103.83</v>
      </c>
    </row>
    <row r="7203" spans="1:2">
      <c r="A7203" s="4">
        <v>41841</v>
      </c>
      <c r="B7203" s="3">
        <v>105.34</v>
      </c>
    </row>
    <row r="7204" spans="1:2">
      <c r="A7204" s="4">
        <v>41842</v>
      </c>
      <c r="B7204" s="3">
        <v>104.59</v>
      </c>
    </row>
    <row r="7205" spans="1:2">
      <c r="A7205" s="4">
        <v>41843</v>
      </c>
      <c r="B7205" s="3">
        <v>103.81</v>
      </c>
    </row>
    <row r="7206" spans="1:2">
      <c r="A7206" s="4">
        <v>41844</v>
      </c>
      <c r="B7206" s="3">
        <v>102.76</v>
      </c>
    </row>
    <row r="7207" spans="1:2">
      <c r="A7207" s="4">
        <v>41845</v>
      </c>
      <c r="B7207" s="3">
        <v>105.23</v>
      </c>
    </row>
    <row r="7208" spans="1:2">
      <c r="A7208" s="4">
        <v>41848</v>
      </c>
      <c r="B7208" s="3">
        <v>105.68</v>
      </c>
    </row>
    <row r="7209" spans="1:2">
      <c r="A7209" s="4">
        <v>41849</v>
      </c>
      <c r="B7209" s="3">
        <v>104.91</v>
      </c>
    </row>
    <row r="7210" spans="1:2">
      <c r="A7210" s="4">
        <v>41850</v>
      </c>
      <c r="B7210" s="3">
        <v>104.29</v>
      </c>
    </row>
    <row r="7211" spans="1:2">
      <c r="A7211" s="4">
        <v>41851</v>
      </c>
      <c r="B7211" s="3">
        <v>98.23</v>
      </c>
    </row>
    <row r="7212" spans="1:2">
      <c r="A7212" s="4">
        <v>41852</v>
      </c>
      <c r="B7212" s="3">
        <v>97.86</v>
      </c>
    </row>
    <row r="7213" spans="1:2">
      <c r="A7213" s="4">
        <v>41855</v>
      </c>
      <c r="B7213" s="3">
        <v>98.26</v>
      </c>
    </row>
    <row r="7214" spans="1:2">
      <c r="A7214" s="4">
        <v>41856</v>
      </c>
      <c r="B7214" s="3">
        <v>97.34</v>
      </c>
    </row>
    <row r="7215" spans="1:2">
      <c r="A7215" s="4">
        <v>41857</v>
      </c>
      <c r="B7215" s="3">
        <v>96.93</v>
      </c>
    </row>
    <row r="7216" spans="1:2">
      <c r="A7216" s="4">
        <v>41858</v>
      </c>
      <c r="B7216" s="3">
        <v>97.34</v>
      </c>
    </row>
    <row r="7217" spans="1:2">
      <c r="A7217" s="4">
        <v>41859</v>
      </c>
      <c r="B7217" s="3">
        <v>97.61</v>
      </c>
    </row>
    <row r="7218" spans="1:2">
      <c r="A7218" s="4">
        <v>41862</v>
      </c>
      <c r="B7218" s="3">
        <v>98.09</v>
      </c>
    </row>
    <row r="7219" spans="1:2">
      <c r="A7219" s="4">
        <v>41863</v>
      </c>
      <c r="B7219" s="3">
        <v>97.36</v>
      </c>
    </row>
    <row r="7220" spans="1:2">
      <c r="A7220" s="4">
        <v>41864</v>
      </c>
      <c r="B7220" s="3">
        <v>97.57</v>
      </c>
    </row>
    <row r="7221" spans="1:2">
      <c r="A7221" s="4">
        <v>41865</v>
      </c>
      <c r="B7221" s="3">
        <v>95.54</v>
      </c>
    </row>
    <row r="7222" spans="1:2">
      <c r="A7222" s="4">
        <v>41866</v>
      </c>
      <c r="B7222" s="3">
        <v>97.3</v>
      </c>
    </row>
    <row r="7223" spans="1:2">
      <c r="A7223" s="4">
        <v>41869</v>
      </c>
      <c r="B7223" s="3">
        <v>96.44</v>
      </c>
    </row>
    <row r="7224" spans="1:2">
      <c r="A7224" s="4">
        <v>41870</v>
      </c>
      <c r="B7224" s="3">
        <v>94.35</v>
      </c>
    </row>
    <row r="7225" spans="1:2">
      <c r="A7225" s="4">
        <v>41871</v>
      </c>
      <c r="B7225" s="3">
        <v>96.4</v>
      </c>
    </row>
    <row r="7226" spans="1:2">
      <c r="A7226" s="4">
        <v>41872</v>
      </c>
      <c r="B7226" s="3">
        <v>93.97</v>
      </c>
    </row>
    <row r="7227" spans="1:2">
      <c r="A7227" s="4">
        <v>41873</v>
      </c>
      <c r="B7227" s="3">
        <v>93.61</v>
      </c>
    </row>
    <row r="7228" spans="1:2">
      <c r="A7228" s="4">
        <v>41876</v>
      </c>
      <c r="B7228" s="3">
        <v>95.39</v>
      </c>
    </row>
    <row r="7229" spans="1:2">
      <c r="A7229" s="4">
        <v>41877</v>
      </c>
      <c r="B7229" s="3">
        <v>95.78</v>
      </c>
    </row>
    <row r="7230" spans="1:2">
      <c r="A7230" s="4">
        <v>41878</v>
      </c>
      <c r="B7230" s="3">
        <v>95.82</v>
      </c>
    </row>
    <row r="7231" spans="1:2">
      <c r="A7231" s="4">
        <v>41879</v>
      </c>
      <c r="B7231" s="3">
        <v>96.44</v>
      </c>
    </row>
    <row r="7232" spans="1:2">
      <c r="A7232" s="4">
        <v>41880</v>
      </c>
      <c r="B7232" s="3">
        <v>97.86</v>
      </c>
    </row>
    <row r="7233" spans="1:2">
      <c r="A7233" s="4">
        <v>41884</v>
      </c>
      <c r="B7233" s="3">
        <v>92.92</v>
      </c>
    </row>
    <row r="7234" spans="1:2">
      <c r="A7234" s="4">
        <v>41885</v>
      </c>
      <c r="B7234" s="3">
        <v>95.5</v>
      </c>
    </row>
    <row r="7235" spans="1:2">
      <c r="A7235" s="4">
        <v>41886</v>
      </c>
      <c r="B7235" s="3">
        <v>94.51</v>
      </c>
    </row>
    <row r="7236" spans="1:2">
      <c r="A7236" s="4">
        <v>41887</v>
      </c>
      <c r="B7236" s="3">
        <v>93.32</v>
      </c>
    </row>
    <row r="7237" spans="1:2">
      <c r="A7237" s="4">
        <v>41890</v>
      </c>
      <c r="B7237" s="3">
        <v>92.64</v>
      </c>
    </row>
    <row r="7238" spans="1:2">
      <c r="A7238" s="4">
        <v>41891</v>
      </c>
      <c r="B7238" s="3">
        <v>92.73</v>
      </c>
    </row>
    <row r="7239" spans="1:2">
      <c r="A7239" s="4">
        <v>41892</v>
      </c>
      <c r="B7239" s="3">
        <v>91.71</v>
      </c>
    </row>
    <row r="7240" spans="1:2">
      <c r="A7240" s="4">
        <v>41893</v>
      </c>
      <c r="B7240" s="3">
        <v>92.89</v>
      </c>
    </row>
    <row r="7241" spans="1:2">
      <c r="A7241" s="4">
        <v>41894</v>
      </c>
      <c r="B7241" s="3">
        <v>92.18</v>
      </c>
    </row>
    <row r="7242" spans="1:2">
      <c r="A7242" s="4">
        <v>41897</v>
      </c>
      <c r="B7242" s="3">
        <v>92.86</v>
      </c>
    </row>
    <row r="7243" spans="1:2">
      <c r="A7243" s="4">
        <v>41898</v>
      </c>
      <c r="B7243" s="3">
        <v>94.91</v>
      </c>
    </row>
    <row r="7244" spans="1:2">
      <c r="A7244" s="4">
        <v>41899</v>
      </c>
      <c r="B7244" s="3">
        <v>94.33</v>
      </c>
    </row>
    <row r="7245" spans="1:2">
      <c r="A7245" s="4">
        <v>41900</v>
      </c>
      <c r="B7245" s="3">
        <v>93.07</v>
      </c>
    </row>
    <row r="7246" spans="1:2">
      <c r="A7246" s="4">
        <v>41901</v>
      </c>
      <c r="B7246" s="3">
        <v>92.43</v>
      </c>
    </row>
    <row r="7247" spans="1:2">
      <c r="A7247" s="4">
        <v>41904</v>
      </c>
      <c r="B7247" s="3">
        <v>91.46</v>
      </c>
    </row>
    <row r="7248" spans="1:2">
      <c r="A7248" s="4">
        <v>41905</v>
      </c>
      <c r="B7248" s="3">
        <v>91.55</v>
      </c>
    </row>
    <row r="7249" spans="1:2">
      <c r="A7249" s="4">
        <v>41906</v>
      </c>
      <c r="B7249" s="3">
        <v>93.6</v>
      </c>
    </row>
    <row r="7250" spans="1:2">
      <c r="A7250" s="4">
        <v>41907</v>
      </c>
      <c r="B7250" s="3">
        <v>93.59</v>
      </c>
    </row>
    <row r="7251" spans="1:2">
      <c r="A7251" s="4">
        <v>41908</v>
      </c>
      <c r="B7251" s="3">
        <v>95.55</v>
      </c>
    </row>
    <row r="7252" spans="1:2">
      <c r="A7252" s="4">
        <v>41911</v>
      </c>
      <c r="B7252" s="3">
        <v>94.53</v>
      </c>
    </row>
    <row r="7253" spans="1:2">
      <c r="A7253" s="4">
        <v>41912</v>
      </c>
      <c r="B7253" s="3">
        <v>91.17</v>
      </c>
    </row>
    <row r="7254" spans="1:2">
      <c r="A7254" s="4">
        <v>41913</v>
      </c>
      <c r="B7254" s="3">
        <v>90.74</v>
      </c>
    </row>
    <row r="7255" spans="1:2">
      <c r="A7255" s="4">
        <v>41914</v>
      </c>
      <c r="B7255" s="3">
        <v>91.02</v>
      </c>
    </row>
    <row r="7256" spans="1:2">
      <c r="A7256" s="4">
        <v>41915</v>
      </c>
      <c r="B7256" s="3">
        <v>89.76</v>
      </c>
    </row>
    <row r="7257" spans="1:2">
      <c r="A7257" s="4">
        <v>41918</v>
      </c>
      <c r="B7257" s="3">
        <v>90.33</v>
      </c>
    </row>
    <row r="7258" spans="1:2">
      <c r="A7258" s="4">
        <v>41919</v>
      </c>
      <c r="B7258" s="3">
        <v>88.89</v>
      </c>
    </row>
    <row r="7259" spans="1:2">
      <c r="A7259" s="4">
        <v>41920</v>
      </c>
      <c r="B7259" s="3">
        <v>87.29</v>
      </c>
    </row>
    <row r="7260" spans="1:2">
      <c r="A7260" s="4">
        <v>41921</v>
      </c>
      <c r="B7260" s="3">
        <v>85.76</v>
      </c>
    </row>
    <row r="7261" spans="1:2">
      <c r="A7261" s="4">
        <v>41922</v>
      </c>
      <c r="B7261" s="3">
        <v>85.87</v>
      </c>
    </row>
    <row r="7262" spans="1:2">
      <c r="A7262" s="4">
        <v>41925</v>
      </c>
      <c r="B7262" s="3">
        <v>85.73</v>
      </c>
    </row>
    <row r="7263" spans="1:2">
      <c r="A7263" s="4">
        <v>41926</v>
      </c>
      <c r="B7263" s="3">
        <v>81.72</v>
      </c>
    </row>
    <row r="7264" spans="1:2">
      <c r="A7264" s="4">
        <v>41927</v>
      </c>
      <c r="B7264" s="3">
        <v>81.819999999999993</v>
      </c>
    </row>
    <row r="7265" spans="1:2">
      <c r="A7265" s="4">
        <v>41928</v>
      </c>
      <c r="B7265" s="3">
        <v>82.33</v>
      </c>
    </row>
    <row r="7266" spans="1:2">
      <c r="A7266" s="4">
        <v>41929</v>
      </c>
      <c r="B7266" s="3">
        <v>82.8</v>
      </c>
    </row>
    <row r="7267" spans="1:2">
      <c r="A7267" s="4">
        <v>41932</v>
      </c>
      <c r="B7267" s="3">
        <v>82.76</v>
      </c>
    </row>
    <row r="7268" spans="1:2">
      <c r="A7268" s="4">
        <v>41933</v>
      </c>
      <c r="B7268" s="3">
        <v>83.25</v>
      </c>
    </row>
    <row r="7269" spans="1:2">
      <c r="A7269" s="4">
        <v>41934</v>
      </c>
      <c r="B7269" s="3">
        <v>80.52</v>
      </c>
    </row>
    <row r="7270" spans="1:2">
      <c r="A7270" s="4">
        <v>41935</v>
      </c>
      <c r="B7270" s="3">
        <v>82.81</v>
      </c>
    </row>
    <row r="7271" spans="1:2">
      <c r="A7271" s="4">
        <v>41936</v>
      </c>
      <c r="B7271" s="3">
        <v>81.27</v>
      </c>
    </row>
    <row r="7272" spans="1:2">
      <c r="A7272" s="4">
        <v>41939</v>
      </c>
      <c r="B7272" s="3">
        <v>81.260000000000005</v>
      </c>
    </row>
    <row r="7273" spans="1:2">
      <c r="A7273" s="4">
        <v>41940</v>
      </c>
      <c r="B7273" s="3">
        <v>81.36</v>
      </c>
    </row>
    <row r="7274" spans="1:2">
      <c r="A7274" s="4">
        <v>41941</v>
      </c>
      <c r="B7274" s="3">
        <v>82.25</v>
      </c>
    </row>
    <row r="7275" spans="1:2">
      <c r="A7275" s="4">
        <v>41942</v>
      </c>
      <c r="B7275" s="3">
        <v>81.06</v>
      </c>
    </row>
    <row r="7276" spans="1:2">
      <c r="A7276" s="4">
        <v>41943</v>
      </c>
      <c r="B7276" s="3">
        <v>80.53</v>
      </c>
    </row>
    <row r="7277" spans="1:2">
      <c r="A7277" s="4">
        <v>41946</v>
      </c>
      <c r="B7277" s="3">
        <v>78.77</v>
      </c>
    </row>
    <row r="7278" spans="1:2">
      <c r="A7278" s="4">
        <v>41947</v>
      </c>
      <c r="B7278" s="3">
        <v>77.150000000000006</v>
      </c>
    </row>
    <row r="7279" spans="1:2">
      <c r="A7279" s="4">
        <v>41948</v>
      </c>
      <c r="B7279" s="3">
        <v>78.709999999999994</v>
      </c>
    </row>
    <row r="7280" spans="1:2">
      <c r="A7280" s="4">
        <v>41949</v>
      </c>
      <c r="B7280" s="3">
        <v>77.87</v>
      </c>
    </row>
    <row r="7281" spans="1:2">
      <c r="A7281" s="4">
        <v>41950</v>
      </c>
      <c r="B7281" s="3">
        <v>78.709999999999994</v>
      </c>
    </row>
    <row r="7282" spans="1:2">
      <c r="A7282" s="4">
        <v>41953</v>
      </c>
      <c r="B7282" s="3">
        <v>77.430000000000007</v>
      </c>
    </row>
    <row r="7283" spans="1:2">
      <c r="A7283" s="4">
        <v>41954</v>
      </c>
      <c r="B7283" s="3">
        <v>77.849999999999994</v>
      </c>
    </row>
    <row r="7284" spans="1:2">
      <c r="A7284" s="4">
        <v>41955</v>
      </c>
      <c r="B7284" s="3">
        <v>77.16</v>
      </c>
    </row>
    <row r="7285" spans="1:2">
      <c r="A7285" s="4">
        <v>41956</v>
      </c>
      <c r="B7285" s="3">
        <v>74.13</v>
      </c>
    </row>
    <row r="7286" spans="1:2">
      <c r="A7286" s="4">
        <v>41957</v>
      </c>
      <c r="B7286" s="3">
        <v>75.91</v>
      </c>
    </row>
    <row r="7287" spans="1:2">
      <c r="A7287" s="4">
        <v>41960</v>
      </c>
      <c r="B7287" s="3">
        <v>75.64</v>
      </c>
    </row>
    <row r="7288" spans="1:2">
      <c r="A7288" s="4">
        <v>41961</v>
      </c>
      <c r="B7288" s="3">
        <v>74.55</v>
      </c>
    </row>
    <row r="7289" spans="1:2">
      <c r="A7289" s="4">
        <v>41962</v>
      </c>
      <c r="B7289" s="3">
        <v>74.55</v>
      </c>
    </row>
    <row r="7290" spans="1:2">
      <c r="A7290" s="4">
        <v>41963</v>
      </c>
      <c r="B7290" s="3">
        <v>75.63</v>
      </c>
    </row>
    <row r="7291" spans="1:2">
      <c r="A7291" s="4">
        <v>41964</v>
      </c>
      <c r="B7291" s="3">
        <v>76.52</v>
      </c>
    </row>
    <row r="7292" spans="1:2">
      <c r="A7292" s="4">
        <v>41967</v>
      </c>
      <c r="B7292" s="3">
        <v>75.739999999999995</v>
      </c>
    </row>
    <row r="7293" spans="1:2">
      <c r="A7293" s="4">
        <v>41968</v>
      </c>
      <c r="B7293" s="3">
        <v>74.040000000000006</v>
      </c>
    </row>
    <row r="7294" spans="1:2">
      <c r="A7294" s="4">
        <v>41969</v>
      </c>
      <c r="B7294" s="3">
        <v>73.7</v>
      </c>
    </row>
    <row r="7295" spans="1:2">
      <c r="A7295" s="4">
        <v>41971</v>
      </c>
      <c r="B7295" s="3">
        <v>65.94</v>
      </c>
    </row>
    <row r="7296" spans="1:2">
      <c r="A7296" s="4">
        <v>41974</v>
      </c>
      <c r="B7296" s="3">
        <v>68.98</v>
      </c>
    </row>
    <row r="7297" spans="1:2">
      <c r="A7297" s="4">
        <v>41975</v>
      </c>
      <c r="B7297" s="3">
        <v>66.989999999999995</v>
      </c>
    </row>
    <row r="7298" spans="1:2">
      <c r="A7298" s="4">
        <v>41976</v>
      </c>
      <c r="B7298" s="3">
        <v>67.3</v>
      </c>
    </row>
    <row r="7299" spans="1:2">
      <c r="A7299" s="4">
        <v>41977</v>
      </c>
      <c r="B7299" s="3">
        <v>66.73</v>
      </c>
    </row>
    <row r="7300" spans="1:2">
      <c r="A7300" s="4">
        <v>41978</v>
      </c>
      <c r="B7300" s="3">
        <v>65.89</v>
      </c>
    </row>
    <row r="7301" spans="1:2">
      <c r="A7301" s="4">
        <v>41981</v>
      </c>
      <c r="B7301" s="3">
        <v>63.13</v>
      </c>
    </row>
    <row r="7302" spans="1:2">
      <c r="A7302" s="4">
        <v>41982</v>
      </c>
      <c r="B7302" s="3">
        <v>63.74</v>
      </c>
    </row>
    <row r="7303" spans="1:2">
      <c r="A7303" s="4">
        <v>41983</v>
      </c>
      <c r="B7303" s="3">
        <v>60.99</v>
      </c>
    </row>
    <row r="7304" spans="1:2">
      <c r="A7304" s="4">
        <v>41984</v>
      </c>
      <c r="B7304" s="3">
        <v>60.01</v>
      </c>
    </row>
    <row r="7305" spans="1:2">
      <c r="A7305" s="4">
        <v>41985</v>
      </c>
      <c r="B7305" s="3">
        <v>57.81</v>
      </c>
    </row>
    <row r="7306" spans="1:2">
      <c r="A7306" s="4">
        <v>41988</v>
      </c>
      <c r="B7306" s="3">
        <v>55.96</v>
      </c>
    </row>
    <row r="7307" spans="1:2">
      <c r="A7307" s="4">
        <v>41989</v>
      </c>
      <c r="B7307" s="3">
        <v>55.97</v>
      </c>
    </row>
    <row r="7308" spans="1:2">
      <c r="A7308" s="4">
        <v>41990</v>
      </c>
      <c r="B7308" s="3">
        <v>56.43</v>
      </c>
    </row>
    <row r="7309" spans="1:2">
      <c r="A7309" s="4">
        <v>41991</v>
      </c>
      <c r="B7309" s="3">
        <v>54.18</v>
      </c>
    </row>
    <row r="7310" spans="1:2">
      <c r="A7310" s="4">
        <v>41992</v>
      </c>
      <c r="B7310" s="3">
        <v>56.91</v>
      </c>
    </row>
    <row r="7311" spans="1:2">
      <c r="A7311" s="4">
        <v>41995</v>
      </c>
      <c r="B7311" s="3">
        <v>55.25</v>
      </c>
    </row>
    <row r="7312" spans="1:2">
      <c r="A7312" s="4">
        <v>41996</v>
      </c>
      <c r="B7312" s="3">
        <v>56.78</v>
      </c>
    </row>
    <row r="7313" spans="1:2">
      <c r="A7313" s="4">
        <v>41997</v>
      </c>
      <c r="B7313" s="3">
        <v>55.7</v>
      </c>
    </row>
    <row r="7314" spans="1:2">
      <c r="A7314" s="4">
        <v>41999</v>
      </c>
      <c r="B7314" s="3">
        <v>54.59</v>
      </c>
    </row>
    <row r="7315" spans="1:2">
      <c r="A7315" s="4">
        <v>42002</v>
      </c>
      <c r="B7315" s="3">
        <v>53.46</v>
      </c>
    </row>
    <row r="7316" spans="1:2">
      <c r="A7316" s="4">
        <v>42003</v>
      </c>
      <c r="B7316" s="3">
        <v>54.14</v>
      </c>
    </row>
    <row r="7317" spans="1:2">
      <c r="A7317" s="4">
        <v>42004</v>
      </c>
      <c r="B7317" s="3">
        <v>53.45</v>
      </c>
    </row>
    <row r="7318" spans="1:2">
      <c r="A7318" s="4">
        <v>42006</v>
      </c>
      <c r="B7318" s="3">
        <v>52.72</v>
      </c>
    </row>
    <row r="7319" spans="1:2">
      <c r="A7319" s="4">
        <v>42009</v>
      </c>
      <c r="B7319" s="3">
        <v>50.05</v>
      </c>
    </row>
    <row r="7320" spans="1:2">
      <c r="A7320" s="4">
        <v>42010</v>
      </c>
      <c r="B7320" s="3">
        <v>47.98</v>
      </c>
    </row>
    <row r="7321" spans="1:2">
      <c r="A7321" s="4">
        <v>42011</v>
      </c>
      <c r="B7321" s="3">
        <v>48.69</v>
      </c>
    </row>
    <row r="7322" spans="1:2">
      <c r="A7322" s="4">
        <v>42012</v>
      </c>
      <c r="B7322" s="3">
        <v>48.8</v>
      </c>
    </row>
    <row r="7323" spans="1:2">
      <c r="A7323" s="4">
        <v>42013</v>
      </c>
      <c r="B7323" s="3">
        <v>48.35</v>
      </c>
    </row>
    <row r="7324" spans="1:2">
      <c r="A7324" s="4">
        <v>42016</v>
      </c>
      <c r="B7324" s="3">
        <v>46.06</v>
      </c>
    </row>
    <row r="7325" spans="1:2">
      <c r="A7325" s="4">
        <v>42017</v>
      </c>
      <c r="B7325" s="3">
        <v>45.92</v>
      </c>
    </row>
    <row r="7326" spans="1:2">
      <c r="A7326" s="4">
        <v>42018</v>
      </c>
      <c r="B7326" s="3">
        <v>48.49</v>
      </c>
    </row>
    <row r="7327" spans="1:2">
      <c r="A7327" s="4">
        <v>42019</v>
      </c>
      <c r="B7327" s="3">
        <v>46.37</v>
      </c>
    </row>
    <row r="7328" spans="1:2">
      <c r="A7328" s="4">
        <v>42020</v>
      </c>
      <c r="B7328" s="3">
        <v>48.49</v>
      </c>
    </row>
    <row r="7329" spans="1:2">
      <c r="A7329" s="4">
        <v>42024</v>
      </c>
      <c r="B7329" s="3">
        <v>46.79</v>
      </c>
    </row>
    <row r="7330" spans="1:2">
      <c r="A7330" s="4">
        <v>42025</v>
      </c>
      <c r="B7330" s="3">
        <v>47.85</v>
      </c>
    </row>
    <row r="7331" spans="1:2">
      <c r="A7331" s="4">
        <v>42026</v>
      </c>
      <c r="B7331" s="3">
        <v>45.93</v>
      </c>
    </row>
    <row r="7332" spans="1:2">
      <c r="A7332" s="4">
        <v>42027</v>
      </c>
      <c r="B7332" s="3">
        <v>45.26</v>
      </c>
    </row>
    <row r="7333" spans="1:2">
      <c r="A7333" s="4">
        <v>42030</v>
      </c>
      <c r="B7333" s="3">
        <v>44.8</v>
      </c>
    </row>
    <row r="7334" spans="1:2">
      <c r="A7334" s="4">
        <v>42031</v>
      </c>
      <c r="B7334" s="3">
        <v>45.84</v>
      </c>
    </row>
    <row r="7335" spans="1:2">
      <c r="A7335" s="4">
        <v>42032</v>
      </c>
      <c r="B7335" s="3">
        <v>44.08</v>
      </c>
    </row>
    <row r="7336" spans="1:2">
      <c r="A7336" s="4">
        <v>42033</v>
      </c>
      <c r="B7336" s="3">
        <v>44.12</v>
      </c>
    </row>
    <row r="7337" spans="1:2">
      <c r="A7337" s="4">
        <v>42034</v>
      </c>
      <c r="B7337" s="3">
        <v>47.79</v>
      </c>
    </row>
    <row r="7338" spans="1:2">
      <c r="A7338" s="4">
        <v>42037</v>
      </c>
      <c r="B7338" s="3">
        <v>49.25</v>
      </c>
    </row>
    <row r="7339" spans="1:2">
      <c r="A7339" s="4">
        <v>42038</v>
      </c>
      <c r="B7339" s="3">
        <v>53.04</v>
      </c>
    </row>
    <row r="7340" spans="1:2">
      <c r="A7340" s="4">
        <v>42039</v>
      </c>
      <c r="B7340" s="3">
        <v>48.45</v>
      </c>
    </row>
    <row r="7341" spans="1:2">
      <c r="A7341" s="4">
        <v>42040</v>
      </c>
      <c r="B7341" s="3">
        <v>50.48</v>
      </c>
    </row>
    <row r="7342" spans="1:2">
      <c r="A7342" s="4">
        <v>42041</v>
      </c>
      <c r="B7342" s="3">
        <v>51.66</v>
      </c>
    </row>
    <row r="7343" spans="1:2">
      <c r="A7343" s="4">
        <v>42044</v>
      </c>
      <c r="B7343" s="3">
        <v>52.99</v>
      </c>
    </row>
    <row r="7344" spans="1:2">
      <c r="A7344" s="4">
        <v>42045</v>
      </c>
      <c r="B7344" s="3">
        <v>50.06</v>
      </c>
    </row>
    <row r="7345" spans="1:2">
      <c r="A7345" s="4">
        <v>42046</v>
      </c>
      <c r="B7345" s="3">
        <v>48.8</v>
      </c>
    </row>
    <row r="7346" spans="1:2">
      <c r="A7346" s="4">
        <v>42047</v>
      </c>
      <c r="B7346" s="3">
        <v>51.17</v>
      </c>
    </row>
    <row r="7347" spans="1:2">
      <c r="A7347" s="4">
        <v>42048</v>
      </c>
      <c r="B7347" s="3">
        <v>52.66</v>
      </c>
    </row>
    <row r="7348" spans="1:2">
      <c r="A7348" s="4">
        <v>42052</v>
      </c>
      <c r="B7348" s="3">
        <v>53.56</v>
      </c>
    </row>
    <row r="7349" spans="1:2">
      <c r="A7349" s="4">
        <v>42053</v>
      </c>
      <c r="B7349" s="3">
        <v>52.13</v>
      </c>
    </row>
    <row r="7350" spans="1:2">
      <c r="A7350" s="4">
        <v>42054</v>
      </c>
      <c r="B7350" s="3">
        <v>51.12</v>
      </c>
    </row>
    <row r="7351" spans="1:2">
      <c r="A7351" s="4">
        <v>42055</v>
      </c>
      <c r="B7351" s="3">
        <v>49.95</v>
      </c>
    </row>
    <row r="7352" spans="1:2">
      <c r="A7352" s="4">
        <v>42058</v>
      </c>
      <c r="B7352" s="3">
        <v>49.56</v>
      </c>
    </row>
    <row r="7353" spans="1:2">
      <c r="A7353" s="4">
        <v>42059</v>
      </c>
      <c r="B7353" s="3">
        <v>48.48</v>
      </c>
    </row>
    <row r="7354" spans="1:2">
      <c r="A7354" s="4">
        <v>42060</v>
      </c>
      <c r="B7354" s="3">
        <v>50.25</v>
      </c>
    </row>
    <row r="7355" spans="1:2">
      <c r="A7355" s="4">
        <v>42061</v>
      </c>
      <c r="B7355" s="3">
        <v>47.65</v>
      </c>
    </row>
    <row r="7356" spans="1:2">
      <c r="A7356" s="4">
        <v>42062</v>
      </c>
      <c r="B7356" s="3">
        <v>49.84</v>
      </c>
    </row>
    <row r="7357" spans="1:2">
      <c r="A7357" s="4">
        <v>42065</v>
      </c>
      <c r="B7357" s="3">
        <v>49.59</v>
      </c>
    </row>
    <row r="7358" spans="1:2">
      <c r="A7358" s="4">
        <v>42066</v>
      </c>
      <c r="B7358" s="3">
        <v>50.43</v>
      </c>
    </row>
    <row r="7359" spans="1:2">
      <c r="A7359" s="4">
        <v>42067</v>
      </c>
      <c r="B7359" s="3">
        <v>51.53</v>
      </c>
    </row>
    <row r="7360" spans="1:2">
      <c r="A7360" s="4">
        <v>42068</v>
      </c>
      <c r="B7360" s="3">
        <v>50.76</v>
      </c>
    </row>
    <row r="7361" spans="1:2">
      <c r="A7361" s="4">
        <v>42069</v>
      </c>
      <c r="B7361" s="3">
        <v>49.61</v>
      </c>
    </row>
    <row r="7362" spans="1:2">
      <c r="A7362" s="4">
        <v>42072</v>
      </c>
      <c r="B7362" s="3">
        <v>49.95</v>
      </c>
    </row>
    <row r="7363" spans="1:2">
      <c r="A7363" s="4">
        <v>42073</v>
      </c>
      <c r="B7363" s="3">
        <v>48.42</v>
      </c>
    </row>
    <row r="7364" spans="1:2">
      <c r="A7364" s="4">
        <v>42074</v>
      </c>
      <c r="B7364" s="3">
        <v>48.06</v>
      </c>
    </row>
    <row r="7365" spans="1:2">
      <c r="A7365" s="4">
        <v>42075</v>
      </c>
      <c r="B7365" s="3">
        <v>47.12</v>
      </c>
    </row>
    <row r="7366" spans="1:2">
      <c r="A7366" s="4">
        <v>42076</v>
      </c>
      <c r="B7366" s="3">
        <v>44.88</v>
      </c>
    </row>
    <row r="7367" spans="1:2">
      <c r="A7367" s="4">
        <v>42079</v>
      </c>
      <c r="B7367" s="3">
        <v>43.93</v>
      </c>
    </row>
    <row r="7368" spans="1:2">
      <c r="A7368" s="4">
        <v>42080</v>
      </c>
      <c r="B7368" s="3">
        <v>43.39</v>
      </c>
    </row>
    <row r="7369" spans="1:2">
      <c r="A7369" s="4">
        <v>42081</v>
      </c>
      <c r="B7369" s="3">
        <v>44.63</v>
      </c>
    </row>
    <row r="7370" spans="1:2">
      <c r="A7370" s="4">
        <v>42082</v>
      </c>
      <c r="B7370" s="3">
        <v>44.02</v>
      </c>
    </row>
    <row r="7371" spans="1:2">
      <c r="A7371" s="4">
        <v>42083</v>
      </c>
      <c r="B7371" s="3">
        <v>46</v>
      </c>
    </row>
    <row r="7372" spans="1:2">
      <c r="A7372" s="4">
        <v>42086</v>
      </c>
      <c r="B7372" s="3">
        <v>47.4</v>
      </c>
    </row>
    <row r="7373" spans="1:2">
      <c r="A7373" s="4">
        <v>42087</v>
      </c>
      <c r="B7373" s="3">
        <v>47.03</v>
      </c>
    </row>
    <row r="7374" spans="1:2">
      <c r="A7374" s="4">
        <v>42088</v>
      </c>
      <c r="B7374" s="3">
        <v>48.75</v>
      </c>
    </row>
    <row r="7375" spans="1:2">
      <c r="A7375" s="4">
        <v>42089</v>
      </c>
      <c r="B7375" s="3">
        <v>51.41</v>
      </c>
    </row>
    <row r="7376" spans="1:2">
      <c r="A7376" s="4">
        <v>42090</v>
      </c>
      <c r="B7376" s="3">
        <v>48.83</v>
      </c>
    </row>
    <row r="7377" spans="1:2">
      <c r="A7377" s="4">
        <v>42093</v>
      </c>
      <c r="B7377" s="3">
        <v>48.66</v>
      </c>
    </row>
    <row r="7378" spans="1:2">
      <c r="A7378" s="4">
        <v>42094</v>
      </c>
      <c r="B7378" s="3">
        <v>47.72</v>
      </c>
    </row>
    <row r="7379" spans="1:2">
      <c r="A7379" s="4">
        <v>42095</v>
      </c>
      <c r="B7379" s="3">
        <v>50.12</v>
      </c>
    </row>
    <row r="7380" spans="1:2">
      <c r="A7380" s="4">
        <v>42096</v>
      </c>
      <c r="B7380" s="3">
        <v>49.13</v>
      </c>
    </row>
    <row r="7381" spans="1:2">
      <c r="A7381" s="4">
        <v>42100</v>
      </c>
      <c r="B7381" s="3">
        <v>52.08</v>
      </c>
    </row>
    <row r="7382" spans="1:2">
      <c r="A7382" s="4">
        <v>42101</v>
      </c>
      <c r="B7382" s="3">
        <v>53.95</v>
      </c>
    </row>
    <row r="7383" spans="1:2">
      <c r="A7383" s="4">
        <v>42102</v>
      </c>
      <c r="B7383" s="3">
        <v>50.44</v>
      </c>
    </row>
    <row r="7384" spans="1:2">
      <c r="A7384" s="4">
        <v>42103</v>
      </c>
      <c r="B7384" s="3">
        <v>50.79</v>
      </c>
    </row>
    <row r="7385" spans="1:2">
      <c r="A7385" s="4">
        <v>42104</v>
      </c>
      <c r="B7385" s="3">
        <v>51.63</v>
      </c>
    </row>
    <row r="7386" spans="1:2">
      <c r="A7386" s="4">
        <v>42107</v>
      </c>
      <c r="B7386" s="3">
        <v>51.95</v>
      </c>
    </row>
    <row r="7387" spans="1:2">
      <c r="A7387" s="4">
        <v>42108</v>
      </c>
      <c r="B7387" s="3">
        <v>53.3</v>
      </c>
    </row>
    <row r="7388" spans="1:2">
      <c r="A7388" s="4">
        <v>42109</v>
      </c>
      <c r="B7388" s="3">
        <v>56.25</v>
      </c>
    </row>
    <row r="7389" spans="1:2">
      <c r="A7389" s="4">
        <v>42110</v>
      </c>
      <c r="B7389" s="3">
        <v>56.69</v>
      </c>
    </row>
    <row r="7390" spans="1:2">
      <c r="A7390" s="4">
        <v>42111</v>
      </c>
      <c r="B7390" s="3">
        <v>55.71</v>
      </c>
    </row>
    <row r="7391" spans="1:2">
      <c r="A7391" s="4">
        <v>42114</v>
      </c>
      <c r="B7391" s="3">
        <v>56.37</v>
      </c>
    </row>
    <row r="7392" spans="1:2">
      <c r="A7392" s="4">
        <v>42115</v>
      </c>
      <c r="B7392" s="3">
        <v>55.58</v>
      </c>
    </row>
    <row r="7393" spans="1:2">
      <c r="A7393" s="4">
        <v>42116</v>
      </c>
      <c r="B7393" s="3">
        <v>56.17</v>
      </c>
    </row>
    <row r="7394" spans="1:2">
      <c r="A7394" s="4">
        <v>42117</v>
      </c>
      <c r="B7394" s="3">
        <v>56.59</v>
      </c>
    </row>
    <row r="7395" spans="1:2">
      <c r="A7395" s="4">
        <v>42118</v>
      </c>
      <c r="B7395" s="3">
        <v>55.98</v>
      </c>
    </row>
    <row r="7396" spans="1:2">
      <c r="A7396" s="4">
        <v>42121</v>
      </c>
      <c r="B7396" s="3">
        <v>55.56</v>
      </c>
    </row>
    <row r="7397" spans="1:2">
      <c r="A7397" s="4">
        <v>42122</v>
      </c>
      <c r="B7397" s="3">
        <v>57.05</v>
      </c>
    </row>
    <row r="7398" spans="1:2">
      <c r="A7398" s="4">
        <v>42123</v>
      </c>
      <c r="B7398" s="3">
        <v>58.55</v>
      </c>
    </row>
    <row r="7399" spans="1:2">
      <c r="A7399" s="4">
        <v>42124</v>
      </c>
      <c r="B7399" s="3">
        <v>59.62</v>
      </c>
    </row>
    <row r="7400" spans="1:2">
      <c r="A7400" s="4">
        <v>42125</v>
      </c>
      <c r="B7400" s="3">
        <v>59.1</v>
      </c>
    </row>
    <row r="7401" spans="1:2">
      <c r="A7401" s="4">
        <v>42128</v>
      </c>
      <c r="B7401" s="3">
        <v>58.92</v>
      </c>
    </row>
    <row r="7402" spans="1:2">
      <c r="A7402" s="4">
        <v>42129</v>
      </c>
      <c r="B7402" s="3">
        <v>60.38</v>
      </c>
    </row>
    <row r="7403" spans="1:2">
      <c r="A7403" s="4">
        <v>42130</v>
      </c>
      <c r="B7403" s="3">
        <v>60.93</v>
      </c>
    </row>
    <row r="7404" spans="1:2">
      <c r="A7404" s="4">
        <v>42131</v>
      </c>
      <c r="B7404" s="3">
        <v>58.99</v>
      </c>
    </row>
    <row r="7405" spans="1:2">
      <c r="A7405" s="4">
        <v>42132</v>
      </c>
      <c r="B7405" s="3">
        <v>59.41</v>
      </c>
    </row>
    <row r="7406" spans="1:2">
      <c r="A7406" s="4">
        <v>42135</v>
      </c>
      <c r="B7406" s="3">
        <v>59.23</v>
      </c>
    </row>
    <row r="7407" spans="1:2">
      <c r="A7407" s="4">
        <v>42136</v>
      </c>
      <c r="B7407" s="3">
        <v>60.72</v>
      </c>
    </row>
    <row r="7408" spans="1:2">
      <c r="A7408" s="4">
        <v>42137</v>
      </c>
      <c r="B7408" s="3">
        <v>60.5</v>
      </c>
    </row>
    <row r="7409" spans="1:2">
      <c r="A7409" s="4">
        <v>42138</v>
      </c>
      <c r="B7409" s="3">
        <v>59.89</v>
      </c>
    </row>
    <row r="7410" spans="1:2">
      <c r="A7410" s="4">
        <v>42139</v>
      </c>
      <c r="B7410" s="3">
        <v>59.73</v>
      </c>
    </row>
    <row r="7411" spans="1:2">
      <c r="A7411" s="4">
        <v>42142</v>
      </c>
      <c r="B7411" s="3">
        <v>59.44</v>
      </c>
    </row>
    <row r="7412" spans="1:2">
      <c r="A7412" s="4">
        <v>42143</v>
      </c>
      <c r="B7412" s="3">
        <v>57.3</v>
      </c>
    </row>
    <row r="7413" spans="1:2">
      <c r="A7413" s="4">
        <v>42144</v>
      </c>
      <c r="B7413" s="3">
        <v>58.96</v>
      </c>
    </row>
    <row r="7414" spans="1:2">
      <c r="A7414" s="4">
        <v>42145</v>
      </c>
      <c r="B7414" s="3">
        <v>60.18</v>
      </c>
    </row>
    <row r="7415" spans="1:2">
      <c r="A7415" s="4">
        <v>42146</v>
      </c>
      <c r="B7415" s="3">
        <v>58.88</v>
      </c>
    </row>
    <row r="7416" spans="1:2">
      <c r="A7416" s="4">
        <v>42150</v>
      </c>
      <c r="B7416" s="3">
        <v>57.29</v>
      </c>
    </row>
    <row r="7417" spans="1:2">
      <c r="A7417" s="4">
        <v>42151</v>
      </c>
      <c r="B7417" s="3">
        <v>57.51</v>
      </c>
    </row>
    <row r="7418" spans="1:2">
      <c r="A7418" s="4">
        <v>42152</v>
      </c>
      <c r="B7418" s="3">
        <v>57.68</v>
      </c>
    </row>
    <row r="7419" spans="1:2">
      <c r="A7419" s="4">
        <v>42153</v>
      </c>
      <c r="B7419" s="3">
        <v>60.3</v>
      </c>
    </row>
    <row r="7420" spans="1:2">
      <c r="A7420" s="4">
        <v>42156</v>
      </c>
      <c r="B7420" s="3">
        <v>60.2</v>
      </c>
    </row>
    <row r="7421" spans="1:2">
      <c r="A7421" s="4">
        <v>42157</v>
      </c>
      <c r="B7421" s="3">
        <v>61.26</v>
      </c>
    </row>
    <row r="7422" spans="1:2">
      <c r="A7422" s="4">
        <v>42158</v>
      </c>
      <c r="B7422" s="3">
        <v>59.64</v>
      </c>
    </row>
    <row r="7423" spans="1:2">
      <c r="A7423" s="4">
        <v>42159</v>
      </c>
      <c r="B7423" s="3">
        <v>58</v>
      </c>
    </row>
    <row r="7424" spans="1:2">
      <c r="A7424" s="4">
        <v>42160</v>
      </c>
      <c r="B7424" s="3">
        <v>59.13</v>
      </c>
    </row>
    <row r="7425" spans="1:2">
      <c r="A7425" s="4">
        <v>42163</v>
      </c>
      <c r="B7425" s="3">
        <v>58.14</v>
      </c>
    </row>
    <row r="7426" spans="1:2">
      <c r="A7426" s="4">
        <v>42164</v>
      </c>
      <c r="B7426" s="3">
        <v>60.14</v>
      </c>
    </row>
    <row r="7427" spans="1:2">
      <c r="A7427" s="4">
        <v>42165</v>
      </c>
      <c r="B7427" s="3">
        <v>61.43</v>
      </c>
    </row>
    <row r="7428" spans="1:2">
      <c r="A7428" s="4">
        <v>42166</v>
      </c>
      <c r="B7428" s="3">
        <v>60.77</v>
      </c>
    </row>
    <row r="7429" spans="1:2">
      <c r="A7429" s="4">
        <v>42167</v>
      </c>
      <c r="B7429" s="3">
        <v>59.96</v>
      </c>
    </row>
    <row r="7430" spans="1:2">
      <c r="A7430" s="4">
        <v>42170</v>
      </c>
      <c r="B7430" s="3">
        <v>59.52</v>
      </c>
    </row>
    <row r="7431" spans="1:2">
      <c r="A7431" s="4">
        <v>42171</v>
      </c>
      <c r="B7431" s="3">
        <v>59.97</v>
      </c>
    </row>
    <row r="7432" spans="1:2">
      <c r="A7432" s="4">
        <v>42172</v>
      </c>
      <c r="B7432" s="3">
        <v>59.92</v>
      </c>
    </row>
    <row r="7433" spans="1:2">
      <c r="A7433" s="4">
        <v>42173</v>
      </c>
      <c r="B7433" s="3">
        <v>60.45</v>
      </c>
    </row>
    <row r="7434" spans="1:2">
      <c r="A7434" s="4">
        <v>42174</v>
      </c>
      <c r="B7434" s="3">
        <v>59.61</v>
      </c>
    </row>
    <row r="7435" spans="1:2">
      <c r="A7435" s="4">
        <v>42177</v>
      </c>
      <c r="B7435" s="3">
        <v>59.68</v>
      </c>
    </row>
    <row r="7436" spans="1:2">
      <c r="A7436" s="4">
        <v>42178</v>
      </c>
      <c r="B7436" s="3">
        <v>61.01</v>
      </c>
    </row>
    <row r="7437" spans="1:2">
      <c r="A7437" s="4">
        <v>42179</v>
      </c>
      <c r="B7437" s="3">
        <v>60.27</v>
      </c>
    </row>
    <row r="7438" spans="1:2">
      <c r="A7438" s="4">
        <v>42180</v>
      </c>
      <c r="B7438" s="3">
        <v>59.7</v>
      </c>
    </row>
    <row r="7439" spans="1:2">
      <c r="A7439" s="4">
        <v>42181</v>
      </c>
      <c r="B7439" s="3">
        <v>59.63</v>
      </c>
    </row>
    <row r="7440" spans="1:2">
      <c r="A7440" s="4">
        <v>42184</v>
      </c>
      <c r="B7440" s="3">
        <v>58.33</v>
      </c>
    </row>
    <row r="7441" spans="1:2">
      <c r="A7441" s="4">
        <v>42185</v>
      </c>
      <c r="B7441" s="3">
        <v>59.47</v>
      </c>
    </row>
    <row r="7442" spans="1:2">
      <c r="A7442" s="4">
        <v>42186</v>
      </c>
      <c r="B7442" s="3">
        <v>56.96</v>
      </c>
    </row>
    <row r="7443" spans="1:2">
      <c r="A7443" s="4">
        <v>42187</v>
      </c>
      <c r="B7443" s="3">
        <v>56.93</v>
      </c>
    </row>
    <row r="7444" spans="1:2">
      <c r="A7444" s="4">
        <v>42191</v>
      </c>
      <c r="B7444" s="3">
        <v>52.53</v>
      </c>
    </row>
    <row r="7445" spans="1:2">
      <c r="A7445" s="4">
        <v>42192</v>
      </c>
      <c r="B7445" s="3">
        <v>52.33</v>
      </c>
    </row>
    <row r="7446" spans="1:2">
      <c r="A7446" s="4">
        <v>42193</v>
      </c>
      <c r="B7446" s="3">
        <v>51.65</v>
      </c>
    </row>
    <row r="7447" spans="1:2">
      <c r="A7447" s="4">
        <v>42194</v>
      </c>
      <c r="B7447" s="3">
        <v>52.78</v>
      </c>
    </row>
    <row r="7448" spans="1:2">
      <c r="A7448" s="4">
        <v>42195</v>
      </c>
      <c r="B7448" s="3">
        <v>52.74</v>
      </c>
    </row>
    <row r="7449" spans="1:2">
      <c r="A7449" s="4">
        <v>42198</v>
      </c>
      <c r="B7449" s="3">
        <v>52.2</v>
      </c>
    </row>
    <row r="7450" spans="1:2">
      <c r="A7450" s="4">
        <v>42199</v>
      </c>
      <c r="B7450" s="3">
        <v>53.04</v>
      </c>
    </row>
    <row r="7451" spans="1:2">
      <c r="A7451" s="4">
        <v>42200</v>
      </c>
      <c r="B7451" s="3">
        <v>51.41</v>
      </c>
    </row>
    <row r="7452" spans="1:2">
      <c r="A7452" s="4">
        <v>42201</v>
      </c>
      <c r="B7452" s="3">
        <v>50.91</v>
      </c>
    </row>
    <row r="7453" spans="1:2">
      <c r="A7453" s="4">
        <v>42202</v>
      </c>
      <c r="B7453" s="3">
        <v>50.89</v>
      </c>
    </row>
    <row r="7454" spans="1:2">
      <c r="A7454" s="4">
        <v>42205</v>
      </c>
      <c r="B7454" s="3">
        <v>50.15</v>
      </c>
    </row>
    <row r="7455" spans="1:2">
      <c r="A7455" s="4">
        <v>42206</v>
      </c>
      <c r="B7455" s="3">
        <v>50.36</v>
      </c>
    </row>
    <row r="7456" spans="1:2">
      <c r="A7456" s="4">
        <v>42207</v>
      </c>
      <c r="B7456" s="3">
        <v>49.19</v>
      </c>
    </row>
    <row r="7457" spans="1:2">
      <c r="A7457" s="4">
        <v>42208</v>
      </c>
      <c r="B7457" s="3">
        <v>48.45</v>
      </c>
    </row>
    <row r="7458" spans="1:2">
      <c r="A7458" s="4">
        <v>42209</v>
      </c>
      <c r="B7458" s="3">
        <v>48.14</v>
      </c>
    </row>
    <row r="7459" spans="1:2">
      <c r="A7459" s="4">
        <v>42212</v>
      </c>
      <c r="B7459" s="3">
        <v>47.39</v>
      </c>
    </row>
    <row r="7460" spans="1:2">
      <c r="A7460" s="4">
        <v>42213</v>
      </c>
      <c r="B7460" s="3">
        <v>47.98</v>
      </c>
    </row>
    <row r="7461" spans="1:2">
      <c r="A7461" s="4">
        <v>42214</v>
      </c>
      <c r="B7461" s="3">
        <v>48.79</v>
      </c>
    </row>
    <row r="7462" spans="1:2">
      <c r="A7462" s="4">
        <v>42215</v>
      </c>
      <c r="B7462" s="3">
        <v>48.52</v>
      </c>
    </row>
    <row r="7463" spans="1:2">
      <c r="A7463" s="4">
        <v>42216</v>
      </c>
      <c r="B7463" s="3">
        <v>47.12</v>
      </c>
    </row>
    <row r="7464" spans="1:2">
      <c r="A7464" s="4">
        <v>42219</v>
      </c>
      <c r="B7464" s="3">
        <v>45.17</v>
      </c>
    </row>
    <row r="7465" spans="1:2">
      <c r="A7465" s="4">
        <v>42220</v>
      </c>
      <c r="B7465" s="3">
        <v>45.74</v>
      </c>
    </row>
    <row r="7466" spans="1:2">
      <c r="A7466" s="4">
        <v>42221</v>
      </c>
      <c r="B7466" s="3">
        <v>45.15</v>
      </c>
    </row>
    <row r="7467" spans="1:2">
      <c r="A7467" s="4">
        <v>42222</v>
      </c>
      <c r="B7467" s="3">
        <v>44.66</v>
      </c>
    </row>
    <row r="7468" spans="1:2">
      <c r="A7468" s="4">
        <v>42223</v>
      </c>
      <c r="B7468" s="3">
        <v>43.87</v>
      </c>
    </row>
    <row r="7469" spans="1:2">
      <c r="A7469" s="4">
        <v>42226</v>
      </c>
      <c r="B7469" s="3">
        <v>44.96</v>
      </c>
    </row>
    <row r="7470" spans="1:2">
      <c r="A7470" s="4">
        <v>42227</v>
      </c>
      <c r="B7470" s="3">
        <v>43.08</v>
      </c>
    </row>
    <row r="7471" spans="1:2">
      <c r="A7471" s="4">
        <v>42228</v>
      </c>
      <c r="B7471" s="3">
        <v>43.3</v>
      </c>
    </row>
    <row r="7472" spans="1:2">
      <c r="A7472" s="4">
        <v>42229</v>
      </c>
      <c r="B7472" s="3">
        <v>42.23</v>
      </c>
    </row>
    <row r="7473" spans="1:2">
      <c r="A7473" s="4">
        <v>42230</v>
      </c>
      <c r="B7473" s="3">
        <v>42.5</v>
      </c>
    </row>
    <row r="7474" spans="1:2">
      <c r="A7474" s="4">
        <v>42233</v>
      </c>
      <c r="B7474" s="3">
        <v>41.87</v>
      </c>
    </row>
    <row r="7475" spans="1:2">
      <c r="A7475" s="4">
        <v>42234</v>
      </c>
      <c r="B7475" s="3">
        <v>42.62</v>
      </c>
    </row>
    <row r="7476" spans="1:2">
      <c r="A7476" s="4">
        <v>42235</v>
      </c>
      <c r="B7476" s="3">
        <v>40.799999999999997</v>
      </c>
    </row>
    <row r="7477" spans="1:2">
      <c r="A7477" s="4">
        <v>42236</v>
      </c>
      <c r="B7477" s="3">
        <v>41.14</v>
      </c>
    </row>
    <row r="7478" spans="1:2">
      <c r="A7478" s="4">
        <v>42237</v>
      </c>
      <c r="B7478" s="3">
        <v>40.450000000000003</v>
      </c>
    </row>
    <row r="7479" spans="1:2">
      <c r="A7479" s="4">
        <v>42240</v>
      </c>
      <c r="B7479" s="3">
        <v>38.24</v>
      </c>
    </row>
    <row r="7480" spans="1:2">
      <c r="A7480" s="4">
        <v>42241</v>
      </c>
      <c r="B7480" s="3">
        <v>39.31</v>
      </c>
    </row>
    <row r="7481" spans="1:2">
      <c r="A7481" s="4">
        <v>42242</v>
      </c>
      <c r="B7481" s="3">
        <v>38.6</v>
      </c>
    </row>
    <row r="7482" spans="1:2">
      <c r="A7482" s="4">
        <v>42243</v>
      </c>
      <c r="B7482" s="3">
        <v>42.56</v>
      </c>
    </row>
    <row r="7483" spans="1:2">
      <c r="A7483" s="4">
        <v>42244</v>
      </c>
      <c r="B7483" s="3">
        <v>45.22</v>
      </c>
    </row>
    <row r="7484" spans="1:2">
      <c r="A7484" s="4">
        <v>42247</v>
      </c>
      <c r="B7484" s="3">
        <v>49.2</v>
      </c>
    </row>
    <row r="7485" spans="1:2">
      <c r="A7485" s="4">
        <v>42248</v>
      </c>
      <c r="B7485" s="3">
        <v>45.41</v>
      </c>
    </row>
    <row r="7486" spans="1:2">
      <c r="A7486" s="4">
        <v>42249</v>
      </c>
      <c r="B7486" s="3">
        <v>46.25</v>
      </c>
    </row>
    <row r="7487" spans="1:2">
      <c r="A7487" s="4">
        <v>42250</v>
      </c>
      <c r="B7487" s="3">
        <v>46.75</v>
      </c>
    </row>
    <row r="7488" spans="1:2">
      <c r="A7488" s="4">
        <v>42251</v>
      </c>
      <c r="B7488" s="3">
        <v>46.05</v>
      </c>
    </row>
    <row r="7489" spans="1:2">
      <c r="A7489" s="4">
        <v>42255</v>
      </c>
      <c r="B7489" s="3">
        <v>45.94</v>
      </c>
    </row>
    <row r="7490" spans="1:2">
      <c r="A7490" s="4">
        <v>42256</v>
      </c>
      <c r="B7490" s="3">
        <v>44.15</v>
      </c>
    </row>
    <row r="7491" spans="1:2">
      <c r="A7491" s="4">
        <v>42257</v>
      </c>
      <c r="B7491" s="3">
        <v>45.92</v>
      </c>
    </row>
    <row r="7492" spans="1:2">
      <c r="A7492" s="4">
        <v>42258</v>
      </c>
      <c r="B7492" s="3">
        <v>44.63</v>
      </c>
    </row>
    <row r="7493" spans="1:2">
      <c r="A7493" s="4">
        <v>42261</v>
      </c>
      <c r="B7493" s="3">
        <v>44</v>
      </c>
    </row>
    <row r="7494" spans="1:2">
      <c r="A7494" s="4">
        <v>42262</v>
      </c>
      <c r="B7494" s="3">
        <v>44.59</v>
      </c>
    </row>
    <row r="7495" spans="1:2">
      <c r="A7495" s="4">
        <v>42263</v>
      </c>
      <c r="B7495" s="3">
        <v>47.15</v>
      </c>
    </row>
    <row r="7496" spans="1:2">
      <c r="A7496" s="4">
        <v>42264</v>
      </c>
      <c r="B7496" s="3">
        <v>46.9</v>
      </c>
    </row>
    <row r="7497" spans="1:2">
      <c r="A7497" s="4">
        <v>42265</v>
      </c>
      <c r="B7497" s="3">
        <v>44.68</v>
      </c>
    </row>
    <row r="7498" spans="1:2">
      <c r="A7498" s="4">
        <v>42268</v>
      </c>
      <c r="B7498" s="3">
        <v>46.68</v>
      </c>
    </row>
    <row r="7499" spans="1:2">
      <c r="A7499" s="4">
        <v>42269</v>
      </c>
      <c r="B7499" s="3">
        <v>45.83</v>
      </c>
    </row>
    <row r="7500" spans="1:2">
      <c r="A7500" s="4">
        <v>42270</v>
      </c>
      <c r="B7500" s="3">
        <v>44.48</v>
      </c>
    </row>
    <row r="7501" spans="1:2">
      <c r="A7501" s="4">
        <v>42271</v>
      </c>
      <c r="B7501" s="3">
        <v>44.91</v>
      </c>
    </row>
    <row r="7502" spans="1:2">
      <c r="A7502" s="4">
        <v>42272</v>
      </c>
      <c r="B7502" s="3">
        <v>45.7</v>
      </c>
    </row>
    <row r="7503" spans="1:2">
      <c r="A7503" s="4">
        <v>42275</v>
      </c>
      <c r="B7503" s="3">
        <v>44.43</v>
      </c>
    </row>
    <row r="7504" spans="1:2">
      <c r="A7504" s="4">
        <v>42276</v>
      </c>
      <c r="B7504" s="3">
        <v>45.23</v>
      </c>
    </row>
    <row r="7505" spans="1:2">
      <c r="A7505" s="4">
        <v>42277</v>
      </c>
      <c r="B7505" s="3">
        <v>45.09</v>
      </c>
    </row>
    <row r="7506" spans="1:2">
      <c r="A7506" s="4">
        <v>42278</v>
      </c>
      <c r="B7506" s="3">
        <v>44.74</v>
      </c>
    </row>
    <row r="7507" spans="1:2">
      <c r="A7507" s="4">
        <v>42279</v>
      </c>
      <c r="B7507" s="3">
        <v>45.54</v>
      </c>
    </row>
    <row r="7508" spans="1:2">
      <c r="A7508" s="4">
        <v>42282</v>
      </c>
      <c r="B7508" s="3">
        <v>46.26</v>
      </c>
    </row>
    <row r="7509" spans="1:2">
      <c r="A7509" s="4">
        <v>42283</v>
      </c>
      <c r="B7509" s="3">
        <v>48.53</v>
      </c>
    </row>
    <row r="7510" spans="1:2">
      <c r="A7510" s="4">
        <v>42284</v>
      </c>
      <c r="B7510" s="3">
        <v>47.81</v>
      </c>
    </row>
    <row r="7511" spans="1:2">
      <c r="A7511" s="4">
        <v>42285</v>
      </c>
      <c r="B7511" s="3">
        <v>49.43</v>
      </c>
    </row>
    <row r="7512" spans="1:2">
      <c r="A7512" s="4">
        <v>42286</v>
      </c>
      <c r="B7512" s="3">
        <v>49.63</v>
      </c>
    </row>
    <row r="7513" spans="1:2">
      <c r="A7513" s="4">
        <v>42289</v>
      </c>
      <c r="B7513" s="3">
        <v>47.1</v>
      </c>
    </row>
    <row r="7514" spans="1:2">
      <c r="A7514" s="4">
        <v>42290</v>
      </c>
      <c r="B7514" s="3">
        <v>46.66</v>
      </c>
    </row>
    <row r="7515" spans="1:2">
      <c r="A7515" s="4">
        <v>42291</v>
      </c>
      <c r="B7515" s="3">
        <v>46.64</v>
      </c>
    </row>
    <row r="7516" spans="1:2">
      <c r="A7516" s="4">
        <v>42292</v>
      </c>
      <c r="B7516" s="3">
        <v>46.38</v>
      </c>
    </row>
    <row r="7517" spans="1:2">
      <c r="A7517" s="4">
        <v>42293</v>
      </c>
      <c r="B7517" s="3">
        <v>47.26</v>
      </c>
    </row>
    <row r="7518" spans="1:2">
      <c r="A7518" s="4">
        <v>42296</v>
      </c>
      <c r="B7518" s="3">
        <v>45.89</v>
      </c>
    </row>
    <row r="7519" spans="1:2">
      <c r="A7519" s="4">
        <v>42297</v>
      </c>
      <c r="B7519" s="3">
        <v>45.55</v>
      </c>
    </row>
    <row r="7520" spans="1:2">
      <c r="A7520" s="4">
        <v>42298</v>
      </c>
      <c r="B7520" s="3">
        <v>45.2</v>
      </c>
    </row>
    <row r="7521" spans="1:2">
      <c r="A7521" s="4">
        <v>42299</v>
      </c>
      <c r="B7521" s="3">
        <v>45.38</v>
      </c>
    </row>
    <row r="7522" spans="1:2">
      <c r="A7522" s="4">
        <v>42300</v>
      </c>
      <c r="B7522" s="3">
        <v>44.6</v>
      </c>
    </row>
    <row r="7523" spans="1:2">
      <c r="A7523" s="4">
        <v>42303</v>
      </c>
      <c r="B7523" s="3">
        <v>43.98</v>
      </c>
    </row>
    <row r="7524" spans="1:2">
      <c r="A7524" s="4">
        <v>42304</v>
      </c>
      <c r="B7524" s="3">
        <v>43.2</v>
      </c>
    </row>
    <row r="7525" spans="1:2">
      <c r="A7525" s="4">
        <v>42305</v>
      </c>
      <c r="B7525" s="3">
        <v>45.94</v>
      </c>
    </row>
    <row r="7526" spans="1:2">
      <c r="A7526" s="4">
        <v>42306</v>
      </c>
      <c r="B7526" s="3">
        <v>46.06</v>
      </c>
    </row>
    <row r="7527" spans="1:2">
      <c r="A7527" s="4">
        <v>42307</v>
      </c>
      <c r="B7527" s="3">
        <v>46.59</v>
      </c>
    </row>
    <row r="7528" spans="1:2">
      <c r="A7528" s="4">
        <v>42310</v>
      </c>
      <c r="B7528" s="3">
        <v>46.14</v>
      </c>
    </row>
    <row r="7529" spans="1:2">
      <c r="A7529" s="4">
        <v>42311</v>
      </c>
      <c r="B7529" s="3">
        <v>47.9</v>
      </c>
    </row>
    <row r="7530" spans="1:2">
      <c r="A7530" s="4">
        <v>42312</v>
      </c>
      <c r="B7530" s="3">
        <v>46.32</v>
      </c>
    </row>
    <row r="7531" spans="1:2">
      <c r="A7531" s="4">
        <v>42313</v>
      </c>
      <c r="B7531" s="3">
        <v>45.2</v>
      </c>
    </row>
    <row r="7532" spans="1:2">
      <c r="A7532" s="4">
        <v>42314</v>
      </c>
      <c r="B7532" s="3">
        <v>44.29</v>
      </c>
    </row>
    <row r="7533" spans="1:2">
      <c r="A7533" s="4">
        <v>42317</v>
      </c>
      <c r="B7533" s="3">
        <v>43.87</v>
      </c>
    </row>
    <row r="7534" spans="1:2">
      <c r="A7534" s="4">
        <v>42318</v>
      </c>
      <c r="B7534" s="3">
        <v>44.21</v>
      </c>
    </row>
    <row r="7535" spans="1:2">
      <c r="A7535" s="4">
        <v>42319</v>
      </c>
      <c r="B7535" s="3">
        <v>42.93</v>
      </c>
    </row>
    <row r="7536" spans="1:2">
      <c r="A7536" s="4">
        <v>42320</v>
      </c>
      <c r="B7536" s="3">
        <v>41.75</v>
      </c>
    </row>
    <row r="7537" spans="1:2">
      <c r="A7537" s="4">
        <v>42321</v>
      </c>
      <c r="B7537" s="3">
        <v>40.74</v>
      </c>
    </row>
    <row r="7538" spans="1:2">
      <c r="A7538" s="4">
        <v>42324</v>
      </c>
      <c r="B7538" s="3">
        <v>41.74</v>
      </c>
    </row>
    <row r="7539" spans="1:2">
      <c r="A7539" s="4">
        <v>42325</v>
      </c>
      <c r="B7539" s="3">
        <v>40.67</v>
      </c>
    </row>
    <row r="7540" spans="1:2">
      <c r="A7540" s="4">
        <v>42326</v>
      </c>
      <c r="B7540" s="3">
        <v>40.75</v>
      </c>
    </row>
    <row r="7541" spans="1:2">
      <c r="A7541" s="4">
        <v>42327</v>
      </c>
      <c r="B7541" s="3">
        <v>40.54</v>
      </c>
    </row>
    <row r="7542" spans="1:2">
      <c r="A7542" s="4">
        <v>42328</v>
      </c>
      <c r="B7542" s="3">
        <v>40.39</v>
      </c>
    </row>
    <row r="7543" spans="1:2">
      <c r="A7543" s="4">
        <v>42331</v>
      </c>
      <c r="B7543" s="3">
        <v>41.75</v>
      </c>
    </row>
    <row r="7544" spans="1:2">
      <c r="A7544" s="4">
        <v>42332</v>
      </c>
      <c r="B7544" s="3">
        <v>42.87</v>
      </c>
    </row>
    <row r="7545" spans="1:2">
      <c r="A7545" s="4">
        <v>42333</v>
      </c>
      <c r="B7545" s="3">
        <v>43.04</v>
      </c>
    </row>
    <row r="7546" spans="1:2">
      <c r="A7546" s="4">
        <v>42335</v>
      </c>
      <c r="B7546" s="3">
        <v>41.71</v>
      </c>
    </row>
    <row r="7547" spans="1:2">
      <c r="A7547" s="4">
        <v>42338</v>
      </c>
      <c r="B7547" s="3">
        <v>41.65</v>
      </c>
    </row>
    <row r="7548" spans="1:2">
      <c r="A7548" s="4">
        <v>42339</v>
      </c>
      <c r="B7548" s="3">
        <v>41.85</v>
      </c>
    </row>
    <row r="7549" spans="1:2">
      <c r="A7549" s="4">
        <v>42340</v>
      </c>
      <c r="B7549" s="3">
        <v>39.94</v>
      </c>
    </row>
    <row r="7550" spans="1:2">
      <c r="A7550" s="4">
        <v>42341</v>
      </c>
      <c r="B7550" s="3">
        <v>41.08</v>
      </c>
    </row>
    <row r="7551" spans="1:2">
      <c r="A7551" s="4">
        <v>42342</v>
      </c>
      <c r="B7551" s="3">
        <v>39.97</v>
      </c>
    </row>
    <row r="7552" spans="1:2">
      <c r="A7552" s="4">
        <v>42345</v>
      </c>
      <c r="B7552" s="3">
        <v>37.65</v>
      </c>
    </row>
    <row r="7553" spans="1:2">
      <c r="A7553" s="4">
        <v>42346</v>
      </c>
      <c r="B7553" s="3">
        <v>37.51</v>
      </c>
    </row>
    <row r="7554" spans="1:2">
      <c r="A7554" s="4">
        <v>42347</v>
      </c>
      <c r="B7554" s="3">
        <v>37.159999999999997</v>
      </c>
    </row>
    <row r="7555" spans="1:2">
      <c r="A7555" s="4">
        <v>42348</v>
      </c>
      <c r="B7555" s="3">
        <v>36.76</v>
      </c>
    </row>
    <row r="7556" spans="1:2">
      <c r="A7556" s="4">
        <v>42349</v>
      </c>
      <c r="B7556" s="3">
        <v>35.619999999999997</v>
      </c>
    </row>
    <row r="7557" spans="1:2">
      <c r="A7557" s="4">
        <v>42352</v>
      </c>
      <c r="B7557" s="3">
        <v>36.31</v>
      </c>
    </row>
    <row r="7558" spans="1:2">
      <c r="A7558" s="4">
        <v>42353</v>
      </c>
      <c r="B7558" s="3">
        <v>37.35</v>
      </c>
    </row>
    <row r="7559" spans="1:2">
      <c r="A7559" s="4">
        <v>42354</v>
      </c>
      <c r="B7559" s="3">
        <v>35.520000000000003</v>
      </c>
    </row>
    <row r="7560" spans="1:2">
      <c r="A7560" s="4">
        <v>42355</v>
      </c>
      <c r="B7560" s="3">
        <v>34.950000000000003</v>
      </c>
    </row>
    <row r="7561" spans="1:2">
      <c r="A7561" s="4">
        <v>42356</v>
      </c>
      <c r="B7561" s="3">
        <v>34.729999999999997</v>
      </c>
    </row>
    <row r="7562" spans="1:2">
      <c r="A7562" s="4">
        <v>42359</v>
      </c>
      <c r="B7562" s="3">
        <v>34.74</v>
      </c>
    </row>
    <row r="7563" spans="1:2">
      <c r="A7563" s="4">
        <v>42360</v>
      </c>
      <c r="B7563" s="3">
        <v>36.14</v>
      </c>
    </row>
    <row r="7564" spans="1:2">
      <c r="A7564" s="4">
        <v>42361</v>
      </c>
      <c r="B7564" s="3">
        <v>37.5</v>
      </c>
    </row>
    <row r="7565" spans="1:2">
      <c r="A7565" s="4">
        <v>42362</v>
      </c>
      <c r="B7565" s="3">
        <v>38.1</v>
      </c>
    </row>
    <row r="7566" spans="1:2">
      <c r="A7566" s="4">
        <v>42366</v>
      </c>
      <c r="B7566" s="3">
        <v>36.81</v>
      </c>
    </row>
    <row r="7567" spans="1:2">
      <c r="A7567" s="4">
        <v>42367</v>
      </c>
      <c r="B7567" s="3">
        <v>37.869999999999997</v>
      </c>
    </row>
    <row r="7568" spans="1:2">
      <c r="A7568" s="4">
        <v>42368</v>
      </c>
      <c r="B7568" s="3">
        <v>36.6</v>
      </c>
    </row>
    <row r="7569" spans="1:2">
      <c r="A7569" s="4">
        <v>42369</v>
      </c>
      <c r="B7569" s="3">
        <v>37.04</v>
      </c>
    </row>
    <row r="7570" spans="1:2">
      <c r="A7570" s="4">
        <v>42373</v>
      </c>
      <c r="B7570" s="3">
        <v>36.76</v>
      </c>
    </row>
    <row r="7571" spans="1:2">
      <c r="A7571" s="4">
        <v>42374</v>
      </c>
      <c r="B7571" s="3">
        <v>35.97</v>
      </c>
    </row>
    <row r="7572" spans="1:2">
      <c r="A7572" s="4">
        <v>42375</v>
      </c>
      <c r="B7572" s="3">
        <v>33.97</v>
      </c>
    </row>
    <row r="7573" spans="1:2">
      <c r="A7573" s="4">
        <v>42376</v>
      </c>
      <c r="B7573" s="3">
        <v>33.270000000000003</v>
      </c>
    </row>
    <row r="7574" spans="1:2">
      <c r="A7574" s="4">
        <v>42377</v>
      </c>
      <c r="B7574" s="3">
        <v>33.159999999999997</v>
      </c>
    </row>
    <row r="7575" spans="1:2">
      <c r="A7575" s="4">
        <v>42380</v>
      </c>
      <c r="B7575" s="3">
        <v>31.41</v>
      </c>
    </row>
    <row r="7576" spans="1:2">
      <c r="A7576" s="4">
        <v>42381</v>
      </c>
      <c r="B7576" s="3">
        <v>30.44</v>
      </c>
    </row>
    <row r="7577" spans="1:2">
      <c r="A7577" s="4">
        <v>42382</v>
      </c>
      <c r="B7577" s="3">
        <v>30.48</v>
      </c>
    </row>
    <row r="7578" spans="1:2">
      <c r="A7578" s="4">
        <v>42383</v>
      </c>
      <c r="B7578" s="3">
        <v>31.2</v>
      </c>
    </row>
    <row r="7579" spans="1:2">
      <c r="A7579" s="4">
        <v>42384</v>
      </c>
      <c r="B7579" s="3">
        <v>29.42</v>
      </c>
    </row>
    <row r="7580" spans="1:2">
      <c r="A7580" s="4">
        <v>42388</v>
      </c>
      <c r="B7580" s="3">
        <v>28.46</v>
      </c>
    </row>
    <row r="7581" spans="1:2">
      <c r="A7581" s="4">
        <v>42389</v>
      </c>
      <c r="B7581" s="3">
        <v>26.55</v>
      </c>
    </row>
    <row r="7582" spans="1:2">
      <c r="A7582" s="4">
        <v>42390</v>
      </c>
      <c r="B7582" s="3">
        <v>29.53</v>
      </c>
    </row>
    <row r="7583" spans="1:2">
      <c r="A7583" s="4">
        <v>42391</v>
      </c>
      <c r="B7583" s="3">
        <v>32.19</v>
      </c>
    </row>
    <row r="7584" spans="1:2">
      <c r="A7584" s="4">
        <v>42394</v>
      </c>
      <c r="B7584" s="3">
        <v>30.34</v>
      </c>
    </row>
    <row r="7585" spans="1:2">
      <c r="A7585" s="4">
        <v>42395</v>
      </c>
      <c r="B7585" s="3">
        <v>31.45</v>
      </c>
    </row>
    <row r="7586" spans="1:2">
      <c r="A7586" s="4">
        <v>42396</v>
      </c>
      <c r="B7586" s="3">
        <v>32.299999999999997</v>
      </c>
    </row>
    <row r="7587" spans="1:2">
      <c r="A7587" s="4">
        <v>42397</v>
      </c>
      <c r="B7587" s="3">
        <v>33.22</v>
      </c>
    </row>
    <row r="7588" spans="1:2">
      <c r="A7588" s="4">
        <v>42398</v>
      </c>
      <c r="B7588" s="3">
        <v>33.619999999999997</v>
      </c>
    </row>
    <row r="7589" spans="1:2">
      <c r="A7589" s="4">
        <v>42401</v>
      </c>
      <c r="B7589" s="3">
        <v>31.62</v>
      </c>
    </row>
    <row r="7590" spans="1:2">
      <c r="A7590" s="4">
        <v>42402</v>
      </c>
      <c r="B7590" s="3">
        <v>29.88</v>
      </c>
    </row>
    <row r="7591" spans="1:2">
      <c r="A7591" s="4">
        <v>42403</v>
      </c>
      <c r="B7591" s="3">
        <v>32.28</v>
      </c>
    </row>
    <row r="7592" spans="1:2">
      <c r="A7592" s="4">
        <v>42404</v>
      </c>
      <c r="B7592" s="3">
        <v>31.72</v>
      </c>
    </row>
    <row r="7593" spans="1:2">
      <c r="A7593" s="4">
        <v>42405</v>
      </c>
      <c r="B7593" s="3">
        <v>30.89</v>
      </c>
    </row>
    <row r="7594" spans="1:2">
      <c r="A7594" s="4">
        <v>42408</v>
      </c>
      <c r="B7594" s="3">
        <v>29.69</v>
      </c>
    </row>
    <row r="7595" spans="1:2">
      <c r="A7595" s="4">
        <v>42409</v>
      </c>
      <c r="B7595" s="3">
        <v>27.94</v>
      </c>
    </row>
    <row r="7596" spans="1:2">
      <c r="A7596" s="4">
        <v>42410</v>
      </c>
      <c r="B7596" s="3">
        <v>27.45</v>
      </c>
    </row>
    <row r="7597" spans="1:2">
      <c r="A7597" s="4">
        <v>42411</v>
      </c>
      <c r="B7597" s="3">
        <v>26.21</v>
      </c>
    </row>
    <row r="7598" spans="1:2">
      <c r="A7598" s="4">
        <v>42412</v>
      </c>
      <c r="B7598" s="3">
        <v>29.44</v>
      </c>
    </row>
    <row r="7599" spans="1:2">
      <c r="A7599" s="4">
        <v>42416</v>
      </c>
      <c r="B7599" s="3">
        <v>29.04</v>
      </c>
    </row>
    <row r="7600" spans="1:2">
      <c r="A7600" s="4">
        <v>42417</v>
      </c>
      <c r="B7600" s="3">
        <v>30.66</v>
      </c>
    </row>
    <row r="7601" spans="1:2">
      <c r="A7601" s="4">
        <v>42418</v>
      </c>
      <c r="B7601" s="3">
        <v>30.77</v>
      </c>
    </row>
    <row r="7602" spans="1:2">
      <c r="A7602" s="4">
        <v>42419</v>
      </c>
      <c r="B7602" s="3">
        <v>29.64</v>
      </c>
    </row>
    <row r="7603" spans="1:2">
      <c r="A7603" s="4">
        <v>42422</v>
      </c>
      <c r="B7603" s="3">
        <v>31.48</v>
      </c>
    </row>
    <row r="7604" spans="1:2">
      <c r="A7604" s="4">
        <v>42423</v>
      </c>
      <c r="B7604" s="3">
        <v>31.87</v>
      </c>
    </row>
    <row r="7605" spans="1:2">
      <c r="A7605" s="4">
        <v>42424</v>
      </c>
      <c r="B7605" s="3">
        <v>32.15</v>
      </c>
    </row>
    <row r="7606" spans="1:2">
      <c r="A7606" s="4">
        <v>42425</v>
      </c>
      <c r="B7606" s="3">
        <v>33.07</v>
      </c>
    </row>
    <row r="7607" spans="1:2">
      <c r="A7607" s="4">
        <v>42426</v>
      </c>
      <c r="B7607" s="3">
        <v>32.78</v>
      </c>
    </row>
    <row r="7608" spans="1:2">
      <c r="A7608" s="4">
        <v>42429</v>
      </c>
      <c r="B7608" s="3">
        <v>33.75</v>
      </c>
    </row>
    <row r="7609" spans="1:2">
      <c r="A7609" s="4">
        <v>42430</v>
      </c>
      <c r="B7609" s="3">
        <v>34.4</v>
      </c>
    </row>
    <row r="7610" spans="1:2">
      <c r="A7610" s="4">
        <v>42431</v>
      </c>
      <c r="B7610" s="3">
        <v>34.659999999999997</v>
      </c>
    </row>
    <row r="7611" spans="1:2">
      <c r="A7611" s="4">
        <v>42432</v>
      </c>
      <c r="B7611" s="3">
        <v>34.57</v>
      </c>
    </row>
    <row r="7612" spans="1:2">
      <c r="A7612" s="4">
        <v>42433</v>
      </c>
      <c r="B7612" s="3">
        <v>35.92</v>
      </c>
    </row>
    <row r="7613" spans="1:2">
      <c r="A7613" s="4">
        <v>42436</v>
      </c>
      <c r="B7613" s="3">
        <v>37.9</v>
      </c>
    </row>
    <row r="7614" spans="1:2">
      <c r="A7614" s="4">
        <v>42437</v>
      </c>
      <c r="B7614" s="3">
        <v>36.5</v>
      </c>
    </row>
    <row r="7615" spans="1:2">
      <c r="A7615" s="4">
        <v>42438</v>
      </c>
      <c r="B7615" s="3">
        <v>38.29</v>
      </c>
    </row>
    <row r="7616" spans="1:2">
      <c r="A7616" s="4">
        <v>42439</v>
      </c>
      <c r="B7616" s="3">
        <v>37.840000000000003</v>
      </c>
    </row>
    <row r="7617" spans="1:2">
      <c r="A7617" s="4">
        <v>42440</v>
      </c>
      <c r="B7617" s="3">
        <v>38.5</v>
      </c>
    </row>
    <row r="7618" spans="1:2">
      <c r="A7618" s="4">
        <v>42443</v>
      </c>
      <c r="B7618" s="3">
        <v>37.18</v>
      </c>
    </row>
    <row r="7619" spans="1:2">
      <c r="A7619" s="4">
        <v>42444</v>
      </c>
      <c r="B7619" s="3">
        <v>36.340000000000003</v>
      </c>
    </row>
    <row r="7620" spans="1:2">
      <c r="A7620" s="4">
        <v>42445</v>
      </c>
      <c r="B7620" s="3">
        <v>38.46</v>
      </c>
    </row>
    <row r="7621" spans="1:2">
      <c r="A7621" s="4">
        <v>42446</v>
      </c>
      <c r="B7621" s="3">
        <v>40.200000000000003</v>
      </c>
    </row>
    <row r="7622" spans="1:2">
      <c r="A7622" s="4">
        <v>42447</v>
      </c>
      <c r="B7622" s="3">
        <v>39.44</v>
      </c>
    </row>
    <row r="7623" spans="1:2">
      <c r="A7623" s="4">
        <v>42450</v>
      </c>
      <c r="B7623" s="3">
        <v>39.909999999999997</v>
      </c>
    </row>
    <row r="7624" spans="1:2">
      <c r="A7624" s="4">
        <v>42451</v>
      </c>
      <c r="B7624" s="3">
        <v>41.45</v>
      </c>
    </row>
    <row r="7625" spans="1:2">
      <c r="A7625" s="4">
        <v>42452</v>
      </c>
      <c r="B7625" s="3">
        <v>39.79</v>
      </c>
    </row>
    <row r="7626" spans="1:2">
      <c r="A7626" s="4">
        <v>42453</v>
      </c>
      <c r="B7626" s="3">
        <v>39.46</v>
      </c>
    </row>
    <row r="7627" spans="1:2">
      <c r="A7627" s="4">
        <v>42457</v>
      </c>
      <c r="B7627" s="3">
        <v>39.39</v>
      </c>
    </row>
    <row r="7628" spans="1:2">
      <c r="A7628" s="4">
        <v>42458</v>
      </c>
      <c r="B7628" s="3">
        <v>38.28</v>
      </c>
    </row>
    <row r="7629" spans="1:2">
      <c r="A7629" s="4">
        <v>42459</v>
      </c>
      <c r="B7629" s="3">
        <v>38.32</v>
      </c>
    </row>
    <row r="7630" spans="1:2">
      <c r="A7630" s="4">
        <v>42460</v>
      </c>
      <c r="B7630" s="3">
        <v>38.340000000000003</v>
      </c>
    </row>
    <row r="7631" spans="1:2">
      <c r="A7631" s="4">
        <v>42461</v>
      </c>
      <c r="B7631" s="3">
        <v>36.79</v>
      </c>
    </row>
    <row r="7632" spans="1:2">
      <c r="A7632" s="4">
        <v>42464</v>
      </c>
      <c r="B7632" s="3">
        <v>35.700000000000003</v>
      </c>
    </row>
    <row r="7633" spans="1:2">
      <c r="A7633" s="4">
        <v>42465</v>
      </c>
      <c r="B7633" s="3">
        <v>35.89</v>
      </c>
    </row>
    <row r="7634" spans="1:2">
      <c r="A7634" s="4">
        <v>42466</v>
      </c>
      <c r="B7634" s="3">
        <v>37.75</v>
      </c>
    </row>
    <row r="7635" spans="1:2">
      <c r="A7635" s="4">
        <v>42467</v>
      </c>
      <c r="B7635" s="3">
        <v>37.26</v>
      </c>
    </row>
    <row r="7636" spans="1:2">
      <c r="A7636" s="4">
        <v>42468</v>
      </c>
      <c r="B7636" s="3">
        <v>39.72</v>
      </c>
    </row>
    <row r="7637" spans="1:2">
      <c r="A7637" s="4">
        <v>42471</v>
      </c>
      <c r="B7637" s="3">
        <v>40.36</v>
      </c>
    </row>
    <row r="7638" spans="1:2">
      <c r="A7638" s="4">
        <v>42472</v>
      </c>
      <c r="B7638" s="3">
        <v>42.17</v>
      </c>
    </row>
    <row r="7639" spans="1:2">
      <c r="A7639" s="4">
        <v>42473</v>
      </c>
      <c r="B7639" s="3">
        <v>41.76</v>
      </c>
    </row>
    <row r="7640" spans="1:2">
      <c r="A7640" s="4">
        <v>42474</v>
      </c>
      <c r="B7640" s="3">
        <v>41.5</v>
      </c>
    </row>
    <row r="7641" spans="1:2">
      <c r="A7641" s="4">
        <v>42475</v>
      </c>
      <c r="B7641" s="3">
        <v>40.36</v>
      </c>
    </row>
    <row r="7642" spans="1:2">
      <c r="A7642" s="4">
        <v>42478</v>
      </c>
      <c r="B7642" s="3">
        <v>39.78</v>
      </c>
    </row>
    <row r="7643" spans="1:2">
      <c r="A7643" s="4">
        <v>42479</v>
      </c>
      <c r="B7643" s="3">
        <v>41.08</v>
      </c>
    </row>
    <row r="7644" spans="1:2">
      <c r="A7644" s="4">
        <v>42480</v>
      </c>
      <c r="B7644" s="3">
        <v>42.63</v>
      </c>
    </row>
    <row r="7645" spans="1:2">
      <c r="A7645" s="4">
        <v>42481</v>
      </c>
      <c r="B7645" s="3">
        <v>43.18</v>
      </c>
    </row>
    <row r="7646" spans="1:2">
      <c r="A7646" s="4">
        <v>42482</v>
      </c>
      <c r="B7646" s="3">
        <v>43.73</v>
      </c>
    </row>
    <row r="7647" spans="1:2">
      <c r="A7647" s="4">
        <v>42484</v>
      </c>
      <c r="B7647" s="3">
        <v>43.15</v>
      </c>
    </row>
    <row r="7648" spans="1:2">
      <c r="A7648" s="4">
        <v>42485</v>
      </c>
      <c r="B7648" s="3">
        <v>42.64</v>
      </c>
    </row>
    <row r="7649" spans="1:2">
      <c r="A7649" s="4">
        <v>42486</v>
      </c>
      <c r="B7649" s="3">
        <v>44.04</v>
      </c>
    </row>
    <row r="7650" spans="1:2">
      <c r="A7650" s="4">
        <v>42487</v>
      </c>
      <c r="B7650" s="3">
        <v>45.33</v>
      </c>
    </row>
    <row r="7651" spans="1:2">
      <c r="A7651" s="4">
        <v>42488</v>
      </c>
      <c r="B7651" s="3">
        <v>46.03</v>
      </c>
    </row>
    <row r="7652" spans="1:2">
      <c r="A7652" s="4">
        <v>42489</v>
      </c>
      <c r="B7652" s="3">
        <v>45.92</v>
      </c>
    </row>
    <row r="7653" spans="1:2">
      <c r="A7653" s="4">
        <v>42491</v>
      </c>
      <c r="B7653" s="3">
        <v>45.48</v>
      </c>
    </row>
    <row r="7654" spans="1:2">
      <c r="A7654" s="4">
        <v>42492</v>
      </c>
      <c r="B7654" s="3">
        <v>44.78</v>
      </c>
    </row>
    <row r="7655" spans="1:2">
      <c r="A7655" s="4">
        <v>42493</v>
      </c>
      <c r="B7655" s="3">
        <v>43.65</v>
      </c>
    </row>
    <row r="7656" spans="1:2">
      <c r="A7656" s="4">
        <v>42494</v>
      </c>
      <c r="B7656" s="3">
        <v>43.78</v>
      </c>
    </row>
    <row r="7657" spans="1:2">
      <c r="A7657" s="4">
        <v>42495</v>
      </c>
      <c r="B7657" s="3">
        <v>44.32</v>
      </c>
    </row>
    <row r="7658" spans="1:2">
      <c r="A7658" s="4">
        <v>42496</v>
      </c>
      <c r="B7658" s="3">
        <v>44.66</v>
      </c>
    </row>
    <row r="7659" spans="1:2">
      <c r="A7659" s="4">
        <v>42498</v>
      </c>
      <c r="B7659" s="3">
        <v>45.44</v>
      </c>
    </row>
    <row r="7660" spans="1:2">
      <c r="A7660" s="4">
        <v>42499</v>
      </c>
      <c r="B7660" s="3">
        <v>43.44</v>
      </c>
    </row>
    <row r="7661" spans="1:2">
      <c r="A7661" s="4">
        <v>42500</v>
      </c>
      <c r="B7661" s="3">
        <v>44.66</v>
      </c>
    </row>
    <row r="7662" spans="1:2">
      <c r="A7662" s="4">
        <v>42501</v>
      </c>
      <c r="B7662" s="3">
        <v>46.23</v>
      </c>
    </row>
    <row r="7663" spans="1:2">
      <c r="A7663" s="4">
        <v>42502</v>
      </c>
      <c r="B7663" s="3">
        <v>46.7</v>
      </c>
    </row>
    <row r="7664" spans="1:2">
      <c r="A7664" s="4">
        <v>42503</v>
      </c>
      <c r="B7664" s="3">
        <v>46.21</v>
      </c>
    </row>
    <row r="7665" spans="1:2">
      <c r="A7665" s="4">
        <v>42505</v>
      </c>
      <c r="B7665" s="3">
        <v>46.8</v>
      </c>
    </row>
    <row r="7666" spans="1:2">
      <c r="A7666" s="4">
        <v>42506</v>
      </c>
      <c r="B7666" s="3">
        <v>47.72</v>
      </c>
    </row>
    <row r="7667" spans="1:2">
      <c r="A7667" s="4">
        <v>42507</v>
      </c>
      <c r="B7667" s="3">
        <v>48.31</v>
      </c>
    </row>
    <row r="7668" spans="1:2">
      <c r="A7668" s="4">
        <v>42508</v>
      </c>
      <c r="B7668" s="3">
        <v>48.19</v>
      </c>
    </row>
    <row r="7669" spans="1:2">
      <c r="A7669" s="4">
        <v>42509</v>
      </c>
      <c r="B7669" s="3">
        <v>48.16</v>
      </c>
    </row>
    <row r="7670" spans="1:2">
      <c r="A7670" s="4">
        <v>42510</v>
      </c>
      <c r="B7670" s="3">
        <v>47.75</v>
      </c>
    </row>
    <row r="7671" spans="1:2">
      <c r="A7671" s="4">
        <v>42512</v>
      </c>
      <c r="B7671" s="3">
        <v>48.14</v>
      </c>
    </row>
    <row r="7672" spans="1:2">
      <c r="A7672" s="4">
        <v>42513</v>
      </c>
      <c r="B7672" s="3">
        <v>48.08</v>
      </c>
    </row>
    <row r="7673" spans="1:2">
      <c r="A7673" s="4">
        <v>42514</v>
      </c>
      <c r="B7673" s="3">
        <v>48.62</v>
      </c>
    </row>
    <row r="7674" spans="1:2">
      <c r="A7674" s="4">
        <v>42515</v>
      </c>
      <c r="B7674" s="3">
        <v>49.56</v>
      </c>
    </row>
    <row r="7675" spans="1:2">
      <c r="A7675" s="4">
        <v>42516</v>
      </c>
      <c r="B7675" s="3">
        <v>49.48</v>
      </c>
    </row>
    <row r="7676" spans="1:2">
      <c r="A7676" s="4">
        <v>42517</v>
      </c>
      <c r="B7676" s="3">
        <v>49.33</v>
      </c>
    </row>
    <row r="7677" spans="1:2">
      <c r="A7677" s="4">
        <v>42520</v>
      </c>
      <c r="B7677" s="3">
        <v>49.6</v>
      </c>
    </row>
    <row r="7678" spans="1:2">
      <c r="A7678" s="4">
        <v>42521</v>
      </c>
      <c r="B7678" s="3">
        <v>49.1</v>
      </c>
    </row>
    <row r="7679" spans="1:2">
      <c r="A7679" s="4">
        <v>42522</v>
      </c>
      <c r="B7679" s="3">
        <v>49.01</v>
      </c>
    </row>
    <row r="7680" spans="1:2">
      <c r="A7680" s="4">
        <v>42523</v>
      </c>
      <c r="B7680" s="3">
        <v>49.17</v>
      </c>
    </row>
    <row r="7681" spans="1:2">
      <c r="A7681" s="4">
        <v>42524</v>
      </c>
      <c r="B7681" s="3">
        <v>48.62</v>
      </c>
    </row>
    <row r="7682" spans="1:2">
      <c r="A7682" s="4">
        <v>42527</v>
      </c>
      <c r="B7682" s="3">
        <v>49.69</v>
      </c>
    </row>
    <row r="7683" spans="1:2">
      <c r="A7683" s="4">
        <v>42528</v>
      </c>
      <c r="B7683" s="3">
        <v>50.36</v>
      </c>
    </row>
    <row r="7684" spans="1:2">
      <c r="A7684" s="4">
        <v>42529</v>
      </c>
      <c r="B7684" s="3">
        <v>51.23</v>
      </c>
    </row>
    <row r="7685" spans="1:2">
      <c r="A7685" s="4">
        <v>42530</v>
      </c>
      <c r="B7685" s="3">
        <v>50.56</v>
      </c>
    </row>
    <row r="7686" spans="1:2">
      <c r="A7686" s="4">
        <v>42531</v>
      </c>
      <c r="B7686" s="3">
        <v>49.07</v>
      </c>
    </row>
    <row r="7687" spans="1:2">
      <c r="A7687" s="4">
        <v>42534</v>
      </c>
      <c r="B7687" s="3">
        <v>48.88</v>
      </c>
    </row>
    <row r="7688" spans="1:2">
      <c r="A7688" s="4">
        <v>42535</v>
      </c>
      <c r="B7688" s="3">
        <v>48.49</v>
      </c>
    </row>
    <row r="7689" spans="1:2">
      <c r="A7689" s="4">
        <v>42536</v>
      </c>
      <c r="B7689" s="3">
        <v>48.01</v>
      </c>
    </row>
    <row r="7690" spans="1:2">
      <c r="A7690" s="4">
        <v>42537</v>
      </c>
      <c r="B7690" s="3">
        <v>46.21</v>
      </c>
    </row>
    <row r="7691" spans="1:2">
      <c r="A7691" s="4">
        <v>42538</v>
      </c>
      <c r="B7691" s="3">
        <v>47.98</v>
      </c>
    </row>
    <row r="7692" spans="1:2">
      <c r="A7692" s="4">
        <v>42541</v>
      </c>
      <c r="B7692" s="3">
        <v>49.37</v>
      </c>
    </row>
    <row r="7693" spans="1:2">
      <c r="A7693" s="4">
        <v>42542</v>
      </c>
      <c r="B7693" s="3">
        <v>48.85</v>
      </c>
    </row>
    <row r="7694" spans="1:2">
      <c r="A7694" s="4">
        <v>42543</v>
      </c>
      <c r="B7694" s="3">
        <v>49.13</v>
      </c>
    </row>
    <row r="7695" spans="1:2">
      <c r="A7695" s="4">
        <v>42544</v>
      </c>
      <c r="B7695" s="3">
        <v>50.11</v>
      </c>
    </row>
    <row r="7696" spans="1:2">
      <c r="A7696" s="4">
        <v>42545</v>
      </c>
      <c r="B7696" s="3">
        <v>47.64</v>
      </c>
    </row>
    <row r="7697" spans="1:2">
      <c r="A7697" s="4">
        <v>42548</v>
      </c>
      <c r="B7697" s="3">
        <v>46.33</v>
      </c>
    </row>
    <row r="7698" spans="1:2">
      <c r="A7698" s="4">
        <v>42549</v>
      </c>
      <c r="B7698" s="3">
        <v>47.85</v>
      </c>
    </row>
    <row r="7699" spans="1:2">
      <c r="A7699" s="4">
        <v>42550</v>
      </c>
      <c r="B7699" s="3">
        <v>49.88</v>
      </c>
    </row>
    <row r="7700" spans="1:2">
      <c r="A7700" s="4">
        <v>42551</v>
      </c>
      <c r="B7700" s="3">
        <v>48.33</v>
      </c>
    </row>
    <row r="7701" spans="1:2">
      <c r="A7701" s="4">
        <v>42552</v>
      </c>
      <c r="B7701" s="3">
        <v>48.99</v>
      </c>
    </row>
    <row r="7702" spans="1:2">
      <c r="A7702" s="4">
        <v>42555</v>
      </c>
      <c r="B7702" s="3">
        <v>48.76</v>
      </c>
    </row>
    <row r="7703" spans="1:2">
      <c r="A7703" s="4">
        <v>42556</v>
      </c>
      <c r="B7703" s="3">
        <v>46.6</v>
      </c>
    </row>
    <row r="7704" spans="1:2">
      <c r="A7704" s="4">
        <v>42557</v>
      </c>
      <c r="B7704" s="3">
        <v>47.43</v>
      </c>
    </row>
    <row r="7705" spans="1:2">
      <c r="A7705" s="4">
        <v>42558</v>
      </c>
      <c r="B7705" s="3">
        <v>45.14</v>
      </c>
    </row>
    <row r="7706" spans="1:2">
      <c r="A7706" s="4">
        <v>42559</v>
      </c>
      <c r="B7706" s="3">
        <v>45.41</v>
      </c>
    </row>
    <row r="7707" spans="1:2">
      <c r="A7707" s="4">
        <v>42562</v>
      </c>
      <c r="B7707" s="3">
        <v>44.76</v>
      </c>
    </row>
    <row r="7708" spans="1:2">
      <c r="A7708" s="4">
        <v>42563</v>
      </c>
      <c r="B7708" s="3">
        <v>46.8</v>
      </c>
    </row>
    <row r="7709" spans="1:2">
      <c r="A7709" s="4">
        <v>42564</v>
      </c>
      <c r="B7709" s="3">
        <v>44.75</v>
      </c>
    </row>
    <row r="7710" spans="1:2">
      <c r="A7710" s="4">
        <v>42565</v>
      </c>
      <c r="B7710" s="3">
        <v>45.68</v>
      </c>
    </row>
    <row r="7711" spans="1:2">
      <c r="A7711" s="4">
        <v>42566</v>
      </c>
      <c r="B7711" s="3">
        <v>45.95</v>
      </c>
    </row>
    <row r="7712" spans="1:2">
      <c r="A7712" s="4">
        <v>42569</v>
      </c>
      <c r="B7712" s="3">
        <v>45.24</v>
      </c>
    </row>
    <row r="7713" spans="1:2">
      <c r="A7713" s="4">
        <v>42570</v>
      </c>
      <c r="B7713" s="3">
        <v>44.65</v>
      </c>
    </row>
    <row r="7714" spans="1:2">
      <c r="A7714" s="4">
        <v>42571</v>
      </c>
      <c r="B7714" s="3">
        <v>44.94</v>
      </c>
    </row>
    <row r="7715" spans="1:2">
      <c r="A7715" s="4">
        <v>42572</v>
      </c>
      <c r="B7715" s="3">
        <v>44.75</v>
      </c>
    </row>
    <row r="7716" spans="1:2">
      <c r="A7716" s="4">
        <v>42573</v>
      </c>
      <c r="B7716" s="3">
        <v>44.19</v>
      </c>
    </row>
    <row r="7717" spans="1:2">
      <c r="A7717" s="4">
        <v>42576</v>
      </c>
      <c r="B7717" s="3">
        <v>43.13</v>
      </c>
    </row>
    <row r="7718" spans="1:2">
      <c r="A7718" s="4">
        <v>42577</v>
      </c>
      <c r="B7718" s="3">
        <v>42.92</v>
      </c>
    </row>
    <row r="7719" spans="1:2">
      <c r="A7719" s="4">
        <v>42578</v>
      </c>
      <c r="B7719" s="3">
        <v>41.92</v>
      </c>
    </row>
    <row r="7720" spans="1:2">
      <c r="A7720" s="4">
        <v>42579</v>
      </c>
      <c r="B7720" s="3">
        <v>41.14</v>
      </c>
    </row>
    <row r="7721" spans="1:2">
      <c r="A7721" s="4">
        <v>42580</v>
      </c>
      <c r="B7721" s="3">
        <v>41.6</v>
      </c>
    </row>
    <row r="7722" spans="1:2">
      <c r="A7722" s="4">
        <v>42583</v>
      </c>
      <c r="B7722" s="3">
        <v>40.06</v>
      </c>
    </row>
    <row r="7723" spans="1:2">
      <c r="A7723" s="4">
        <v>42584</v>
      </c>
      <c r="B7723" s="3">
        <v>39.51</v>
      </c>
    </row>
    <row r="7724" spans="1:2">
      <c r="A7724" s="4">
        <v>42585</v>
      </c>
      <c r="B7724" s="3">
        <v>40.83</v>
      </c>
    </row>
    <row r="7725" spans="1:2">
      <c r="A7725" s="4">
        <v>42586</v>
      </c>
      <c r="B7725" s="3">
        <v>41.93</v>
      </c>
    </row>
    <row r="7726" spans="1:2">
      <c r="A7726" s="4">
        <v>42587</v>
      </c>
      <c r="B7726" s="3">
        <v>41.8</v>
      </c>
    </row>
    <row r="7727" spans="1:2">
      <c r="A7727" s="4">
        <v>42590</v>
      </c>
      <c r="B7727" s="3">
        <v>43.02</v>
      </c>
    </row>
    <row r="7728" spans="1:2">
      <c r="A7728" s="4">
        <v>42591</v>
      </c>
      <c r="B7728" s="3">
        <v>42.77</v>
      </c>
    </row>
    <row r="7729" spans="1:2">
      <c r="A7729" s="4">
        <v>42592</v>
      </c>
      <c r="B7729" s="3">
        <v>41.71</v>
      </c>
    </row>
    <row r="7730" spans="1:2">
      <c r="A7730" s="4">
        <v>42593</v>
      </c>
      <c r="B7730" s="3">
        <v>43.49</v>
      </c>
    </row>
    <row r="7731" spans="1:2">
      <c r="A7731" s="4">
        <v>42594</v>
      </c>
      <c r="B7731" s="3">
        <v>44.49</v>
      </c>
    </row>
    <row r="7732" spans="1:2">
      <c r="A7732" s="4">
        <v>42597</v>
      </c>
      <c r="B7732" s="3">
        <v>45.74</v>
      </c>
    </row>
    <row r="7733" spans="1:2">
      <c r="A7733" s="4">
        <v>42598</v>
      </c>
      <c r="B7733" s="3">
        <v>46.58</v>
      </c>
    </row>
    <row r="7734" spans="1:2">
      <c r="A7734" s="4">
        <v>42599</v>
      </c>
      <c r="B7734" s="3">
        <v>46.79</v>
      </c>
    </row>
    <row r="7735" spans="1:2">
      <c r="A7735" s="4">
        <v>42600</v>
      </c>
      <c r="B7735" s="3">
        <v>48.22</v>
      </c>
    </row>
    <row r="7736" spans="1:2">
      <c r="A7736" s="4">
        <v>42601</v>
      </c>
      <c r="B7736" s="3">
        <v>48.52</v>
      </c>
    </row>
    <row r="7737" spans="1:2">
      <c r="A7737" s="4">
        <v>42604</v>
      </c>
      <c r="B7737" s="3">
        <v>47.05</v>
      </c>
    </row>
    <row r="7738" spans="1:2">
      <c r="A7738" s="4">
        <v>42605</v>
      </c>
      <c r="B7738" s="3">
        <v>48.1</v>
      </c>
    </row>
    <row r="7739" spans="1:2">
      <c r="A7739" s="4">
        <v>42606</v>
      </c>
      <c r="B7739" s="3">
        <v>46.77</v>
      </c>
    </row>
    <row r="7740" spans="1:2">
      <c r="A7740" s="4">
        <v>42607</v>
      </c>
      <c r="B7740" s="3">
        <v>47.33</v>
      </c>
    </row>
    <row r="7741" spans="1:2">
      <c r="A7741" s="4">
        <v>42608</v>
      </c>
      <c r="B7741" s="3">
        <v>47.64</v>
      </c>
    </row>
    <row r="7742" spans="1:2">
      <c r="A7742" s="4">
        <v>42611</v>
      </c>
      <c r="B7742" s="3">
        <v>46.98</v>
      </c>
    </row>
    <row r="7743" spans="1:2">
      <c r="A7743" s="4">
        <v>42612</v>
      </c>
      <c r="B7743" s="3">
        <v>46.35</v>
      </c>
    </row>
    <row r="7744" spans="1:2">
      <c r="A7744" s="4">
        <v>42613</v>
      </c>
      <c r="B7744" s="3">
        <v>44.7</v>
      </c>
    </row>
    <row r="7745" spans="1:2">
      <c r="A7745" s="4">
        <v>42614</v>
      </c>
      <c r="B7745" s="3">
        <v>43.16</v>
      </c>
    </row>
    <row r="7746" spans="1:2">
      <c r="A7746" s="4">
        <v>42615</v>
      </c>
      <c r="B7746" s="3">
        <v>44.44</v>
      </c>
    </row>
    <row r="7747" spans="1:2">
      <c r="A7747" s="4">
        <v>42618</v>
      </c>
      <c r="B7747" s="3">
        <v>45.17</v>
      </c>
    </row>
    <row r="7748" spans="1:2">
      <c r="A7748" s="4">
        <v>42619</v>
      </c>
      <c r="B7748" s="3">
        <v>44.83</v>
      </c>
    </row>
    <row r="7749" spans="1:2">
      <c r="A7749" s="4">
        <v>42620</v>
      </c>
      <c r="B7749" s="3">
        <v>45.5</v>
      </c>
    </row>
    <row r="7750" spans="1:2">
      <c r="A7750" s="4">
        <v>42621</v>
      </c>
      <c r="B7750" s="3">
        <v>47.62</v>
      </c>
    </row>
    <row r="7751" spans="1:2">
      <c r="A7751" s="4">
        <v>42622</v>
      </c>
      <c r="B7751" s="3">
        <v>45.88</v>
      </c>
    </row>
    <row r="7752" spans="1:2">
      <c r="A7752" s="4">
        <v>42625</v>
      </c>
      <c r="B7752" s="3">
        <v>46.29</v>
      </c>
    </row>
    <row r="7753" spans="1:2">
      <c r="A7753" s="4">
        <v>42626</v>
      </c>
      <c r="B7753" s="3">
        <v>44.9</v>
      </c>
    </row>
    <row r="7754" spans="1:2">
      <c r="A7754" s="4">
        <v>42627</v>
      </c>
      <c r="B7754" s="3">
        <v>43.58</v>
      </c>
    </row>
    <row r="7755" spans="1:2">
      <c r="A7755" s="4">
        <v>42628</v>
      </c>
      <c r="B7755" s="3">
        <v>43.91</v>
      </c>
    </row>
    <row r="7756" spans="1:2">
      <c r="A7756" s="4">
        <v>42629</v>
      </c>
      <c r="B7756" s="3">
        <v>43.03</v>
      </c>
    </row>
    <row r="7757" spans="1:2">
      <c r="A7757" s="4">
        <v>42632</v>
      </c>
      <c r="B7757" s="3">
        <v>43.3</v>
      </c>
    </row>
    <row r="7758" spans="1:2">
      <c r="A7758" s="4">
        <v>42633</v>
      </c>
      <c r="B7758" s="3">
        <v>43.44</v>
      </c>
    </row>
    <row r="7759" spans="1:2">
      <c r="A7759" s="4">
        <v>42634</v>
      </c>
      <c r="B7759" s="3">
        <v>45.34</v>
      </c>
    </row>
    <row r="7760" spans="1:2">
      <c r="A7760" s="4">
        <v>42635</v>
      </c>
      <c r="B7760" s="3">
        <v>46.32</v>
      </c>
    </row>
    <row r="7761" spans="1:2">
      <c r="A7761" s="4">
        <v>42636</v>
      </c>
      <c r="B7761" s="3">
        <v>44.48</v>
      </c>
    </row>
    <row r="7762" spans="1:2">
      <c r="A7762" s="4">
        <v>42639</v>
      </c>
      <c r="B7762" s="3">
        <v>45.93</v>
      </c>
    </row>
    <row r="7763" spans="1:2">
      <c r="A7763" s="4">
        <v>42640</v>
      </c>
      <c r="B7763" s="3">
        <v>44.67</v>
      </c>
    </row>
    <row r="7764" spans="1:2">
      <c r="A7764" s="4">
        <v>42641</v>
      </c>
      <c r="B7764" s="3">
        <v>47.05</v>
      </c>
    </row>
    <row r="7765" spans="1:2">
      <c r="A7765" s="4">
        <v>42642</v>
      </c>
      <c r="B7765" s="3">
        <v>47.83</v>
      </c>
    </row>
    <row r="7766" spans="1:2">
      <c r="A7766" s="4">
        <v>42643</v>
      </c>
      <c r="B7766" s="3">
        <v>48.24</v>
      </c>
    </row>
    <row r="7767" spans="1:2">
      <c r="A7767" s="4">
        <v>42646</v>
      </c>
      <c r="B7767" s="3">
        <v>48.81</v>
      </c>
    </row>
    <row r="7768" spans="1:2">
      <c r="A7768" s="4">
        <v>42647</v>
      </c>
      <c r="B7768" s="3">
        <v>48.69</v>
      </c>
    </row>
    <row r="7769" spans="1:2">
      <c r="A7769" s="4">
        <v>42648</v>
      </c>
      <c r="B7769" s="3">
        <v>49.83</v>
      </c>
    </row>
    <row r="7770" spans="1:2">
      <c r="A7770" s="4">
        <v>42649</v>
      </c>
      <c r="B7770" s="3">
        <v>50.44</v>
      </c>
    </row>
    <row r="7771" spans="1:2">
      <c r="A7771" s="4">
        <v>42650</v>
      </c>
      <c r="B7771" s="3">
        <v>49.81</v>
      </c>
    </row>
    <row r="7772" spans="1:2">
      <c r="A7772" s="4">
        <v>42653</v>
      </c>
      <c r="B7772" s="3">
        <v>51.35</v>
      </c>
    </row>
    <row r="7773" spans="1:2">
      <c r="A7773" s="4">
        <v>42654</v>
      </c>
      <c r="B7773" s="3">
        <v>50.79</v>
      </c>
    </row>
    <row r="7774" spans="1:2">
      <c r="A7774" s="4">
        <v>42655</v>
      </c>
      <c r="B7774" s="3">
        <v>50.18</v>
      </c>
    </row>
    <row r="7775" spans="1:2">
      <c r="A7775" s="4">
        <v>42656</v>
      </c>
      <c r="B7775" s="3">
        <v>50.44</v>
      </c>
    </row>
    <row r="7776" spans="1:2">
      <c r="A7776" s="4">
        <v>42657</v>
      </c>
      <c r="B7776" s="3">
        <v>50.35</v>
      </c>
    </row>
    <row r="7777" spans="1:2">
      <c r="A7777" s="4">
        <v>42660</v>
      </c>
      <c r="B7777" s="3">
        <v>49.94</v>
      </c>
    </row>
    <row r="7778" spans="1:2">
      <c r="A7778" s="4">
        <v>42661</v>
      </c>
      <c r="B7778" s="3">
        <v>50.29</v>
      </c>
    </row>
    <row r="7779" spans="1:2">
      <c r="A7779" s="4">
        <v>42662</v>
      </c>
      <c r="B7779" s="3">
        <v>51.6</v>
      </c>
    </row>
    <row r="7780" spans="1:2">
      <c r="A7780" s="4">
        <v>42663</v>
      </c>
      <c r="B7780" s="3">
        <v>50.43</v>
      </c>
    </row>
    <row r="7781" spans="1:2">
      <c r="A7781" s="4">
        <v>42664</v>
      </c>
      <c r="B7781" s="3">
        <v>50.85</v>
      </c>
    </row>
    <row r="7782" spans="1:2">
      <c r="A7782" s="4">
        <v>42667</v>
      </c>
      <c r="B7782" s="3">
        <v>50.52</v>
      </c>
    </row>
    <row r="7783" spans="1:2">
      <c r="A7783" s="4">
        <v>42668</v>
      </c>
      <c r="B7783" s="3">
        <v>49.96</v>
      </c>
    </row>
    <row r="7784" spans="1:2">
      <c r="A7784" s="4">
        <v>42669</v>
      </c>
      <c r="B7784" s="3">
        <v>49.18</v>
      </c>
    </row>
    <row r="7785" spans="1:2">
      <c r="A7785" s="4">
        <v>42670</v>
      </c>
      <c r="B7785" s="3">
        <v>49.72</v>
      </c>
    </row>
    <row r="7786" spans="1:2">
      <c r="A7786" s="4">
        <v>42671</v>
      </c>
      <c r="B7786" s="3">
        <v>48.7</v>
      </c>
    </row>
    <row r="7787" spans="1:2">
      <c r="A7787" s="4">
        <v>42674</v>
      </c>
      <c r="B7787" s="3">
        <v>46.86</v>
      </c>
    </row>
    <row r="7788" spans="1:2">
      <c r="A7788" s="4">
        <v>42675</v>
      </c>
      <c r="B7788" s="3">
        <v>46.67</v>
      </c>
    </row>
    <row r="7789" spans="1:2">
      <c r="A7789" s="4">
        <v>42676</v>
      </c>
      <c r="B7789" s="3">
        <v>45.34</v>
      </c>
    </row>
    <row r="7790" spans="1:2">
      <c r="A7790" s="4">
        <v>42677</v>
      </c>
      <c r="B7790" s="3">
        <v>44.66</v>
      </c>
    </row>
    <row r="7791" spans="1:2">
      <c r="A7791" s="4">
        <v>42678</v>
      </c>
      <c r="B7791" s="3">
        <v>44.07</v>
      </c>
    </row>
    <row r="7792" spans="1:2">
      <c r="A7792" s="4">
        <v>42681</v>
      </c>
      <c r="B7792" s="3">
        <v>44.89</v>
      </c>
    </row>
    <row r="7793" spans="1:2">
      <c r="A7793" s="4">
        <v>42682</v>
      </c>
      <c r="B7793" s="3">
        <v>44.98</v>
      </c>
    </row>
    <row r="7794" spans="1:2">
      <c r="A7794" s="4">
        <v>42683</v>
      </c>
      <c r="B7794" s="3">
        <v>45.27</v>
      </c>
    </row>
    <row r="7795" spans="1:2">
      <c r="A7795" s="4">
        <v>42684</v>
      </c>
      <c r="B7795" s="3">
        <v>44.66</v>
      </c>
    </row>
    <row r="7796" spans="1:2">
      <c r="A7796" s="4">
        <v>42685</v>
      </c>
      <c r="B7796" s="3">
        <v>43.41</v>
      </c>
    </row>
    <row r="7797" spans="1:2">
      <c r="A7797" s="4">
        <v>42688</v>
      </c>
      <c r="B7797" s="3">
        <v>43.32</v>
      </c>
    </row>
    <row r="7798" spans="1:2">
      <c r="A7798" s="4">
        <v>42689</v>
      </c>
      <c r="B7798" s="3">
        <v>45.81</v>
      </c>
    </row>
    <row r="7799" spans="1:2">
      <c r="A7799" s="4">
        <v>42690</v>
      </c>
      <c r="B7799" s="3">
        <v>45.57</v>
      </c>
    </row>
    <row r="7800" spans="1:2">
      <c r="A7800" s="4">
        <v>42691</v>
      </c>
      <c r="B7800" s="3">
        <v>45.42</v>
      </c>
    </row>
    <row r="7801" spans="1:2">
      <c r="A7801" s="4">
        <v>42692</v>
      </c>
      <c r="B7801" s="3">
        <v>45.69</v>
      </c>
    </row>
    <row r="7802" spans="1:2">
      <c r="A7802" s="4">
        <v>42695</v>
      </c>
      <c r="B7802" s="3">
        <v>47.49</v>
      </c>
    </row>
    <row r="7803" spans="1:2">
      <c r="A7803" s="4">
        <v>42696</v>
      </c>
      <c r="B7803" s="3">
        <v>48.03</v>
      </c>
    </row>
    <row r="7804" spans="1:2">
      <c r="A7804" s="4">
        <v>42697</v>
      </c>
      <c r="B7804" s="3">
        <v>47.96</v>
      </c>
    </row>
    <row r="7805" spans="1:2">
      <c r="A7805" s="4">
        <v>42698</v>
      </c>
      <c r="B7805" s="3">
        <v>47.98</v>
      </c>
    </row>
    <row r="7806" spans="1:2">
      <c r="A7806" s="4">
        <v>42699</v>
      </c>
      <c r="B7806" s="3">
        <v>46.06</v>
      </c>
    </row>
    <row r="7807" spans="1:2">
      <c r="A7807" s="4">
        <v>42702</v>
      </c>
      <c r="B7807" s="3">
        <v>47.08</v>
      </c>
    </row>
    <row r="7808" spans="1:2">
      <c r="A7808" s="4">
        <v>42703</v>
      </c>
      <c r="B7808" s="3">
        <v>45.23</v>
      </c>
    </row>
    <row r="7809" spans="1:2">
      <c r="A7809" s="4">
        <v>42704</v>
      </c>
      <c r="B7809" s="3">
        <v>49.44</v>
      </c>
    </row>
    <row r="7810" spans="1:2">
      <c r="A7810" s="4">
        <v>42705</v>
      </c>
      <c r="B7810" s="3">
        <v>51.06</v>
      </c>
    </row>
    <row r="7811" spans="1:2">
      <c r="A7811" s="4">
        <v>42706</v>
      </c>
      <c r="B7811" s="3">
        <v>51.68</v>
      </c>
    </row>
    <row r="7812" spans="1:2">
      <c r="A7812" s="4">
        <v>42709</v>
      </c>
      <c r="B7812" s="3">
        <v>51.79</v>
      </c>
    </row>
    <row r="7813" spans="1:2">
      <c r="A7813" s="4">
        <v>42710</v>
      </c>
      <c r="B7813" s="3">
        <v>50.93</v>
      </c>
    </row>
    <row r="7814" spans="1:2">
      <c r="A7814" s="4">
        <v>42711</v>
      </c>
      <c r="B7814" s="3">
        <v>49.77</v>
      </c>
    </row>
    <row r="7815" spans="1:2">
      <c r="A7815" s="4">
        <v>42712</v>
      </c>
      <c r="B7815" s="3">
        <v>50.84</v>
      </c>
    </row>
    <row r="7816" spans="1:2">
      <c r="A7816" s="4">
        <v>42713</v>
      </c>
      <c r="B7816" s="3">
        <v>51.5</v>
      </c>
    </row>
    <row r="7817" spans="1:2">
      <c r="A7817" s="4">
        <v>42716</v>
      </c>
      <c r="B7817" s="3">
        <v>52.83</v>
      </c>
    </row>
    <row r="7818" spans="1:2">
      <c r="A7818" s="4">
        <v>42717</v>
      </c>
      <c r="B7818" s="3">
        <v>52.98</v>
      </c>
    </row>
    <row r="7819" spans="1:2">
      <c r="A7819" s="4">
        <v>42718</v>
      </c>
      <c r="B7819" s="3">
        <v>51.04</v>
      </c>
    </row>
    <row r="7820" spans="1:2">
      <c r="A7820" s="4">
        <v>42719</v>
      </c>
      <c r="B7820" s="3">
        <v>50.9</v>
      </c>
    </row>
    <row r="7821" spans="1:2">
      <c r="A7821" s="4">
        <v>42720</v>
      </c>
      <c r="B7821" s="3">
        <v>51.9</v>
      </c>
    </row>
    <row r="7822" spans="1:2">
      <c r="A7822" s="4">
        <v>42723</v>
      </c>
      <c r="B7822" s="3">
        <v>52.12</v>
      </c>
    </row>
    <row r="7823" spans="1:2">
      <c r="A7823" s="4">
        <v>42724</v>
      </c>
      <c r="B7823" s="3">
        <v>52.23</v>
      </c>
    </row>
    <row r="7824" spans="1:2">
      <c r="A7824" s="4">
        <v>42725</v>
      </c>
      <c r="B7824" s="3">
        <v>52.49</v>
      </c>
    </row>
    <row r="7825" spans="1:2">
      <c r="A7825" s="4">
        <v>42726</v>
      </c>
      <c r="B7825" s="3">
        <v>52.95</v>
      </c>
    </row>
    <row r="7826" spans="1:2">
      <c r="A7826" s="4">
        <v>42727</v>
      </c>
      <c r="B7826" s="3">
        <v>53.02</v>
      </c>
    </row>
    <row r="7827" spans="1:2">
      <c r="A7827" s="4">
        <v>42731</v>
      </c>
      <c r="B7827" s="3">
        <v>53.9</v>
      </c>
    </row>
    <row r="7828" spans="1:2">
      <c r="A7828" s="4">
        <v>42732</v>
      </c>
      <c r="B7828" s="3">
        <v>54.06</v>
      </c>
    </row>
    <row r="7829" spans="1:2">
      <c r="A7829" s="4">
        <v>42733</v>
      </c>
      <c r="B7829" s="3">
        <v>53.77</v>
      </c>
    </row>
    <row r="7830" spans="1:2">
      <c r="A7830" s="4">
        <v>42734</v>
      </c>
      <c r="B7830" s="3">
        <v>53.72</v>
      </c>
    </row>
    <row r="7831" spans="1:2">
      <c r="A7831" s="4">
        <v>42738</v>
      </c>
      <c r="B7831" s="3">
        <v>52.33</v>
      </c>
    </row>
    <row r="7832" spans="1:2">
      <c r="A7832" s="4">
        <v>42739</v>
      </c>
      <c r="B7832" s="3">
        <v>53.26</v>
      </c>
    </row>
    <row r="7833" spans="1:2">
      <c r="A7833" s="4">
        <v>42740</v>
      </c>
      <c r="B7833" s="3">
        <v>53.76</v>
      </c>
    </row>
    <row r="7834" spans="1:2">
      <c r="A7834" s="4">
        <v>42741</v>
      </c>
      <c r="B7834" s="3">
        <v>53.99</v>
      </c>
    </row>
    <row r="7835" spans="1:2">
      <c r="A7835" s="4">
        <v>42744</v>
      </c>
      <c r="B7835" s="3">
        <v>51.96</v>
      </c>
    </row>
    <row r="7836" spans="1:2">
      <c r="A7836" s="4">
        <v>42745</v>
      </c>
      <c r="B7836" s="3">
        <v>50.82</v>
      </c>
    </row>
    <row r="7837" spans="1:2">
      <c r="A7837" s="4">
        <v>42746</v>
      </c>
      <c r="B7837" s="3">
        <v>52.25</v>
      </c>
    </row>
    <row r="7838" spans="1:2">
      <c r="A7838" s="4">
        <v>42747</v>
      </c>
      <c r="B7838" s="3">
        <v>53.01</v>
      </c>
    </row>
    <row r="7839" spans="1:2">
      <c r="A7839" s="4">
        <v>42748</v>
      </c>
      <c r="B7839" s="3">
        <v>52.37</v>
      </c>
    </row>
    <row r="7840" spans="1:2">
      <c r="A7840" s="4">
        <v>42751</v>
      </c>
      <c r="B7840" s="3">
        <v>52.64</v>
      </c>
    </row>
    <row r="7841" spans="1:2">
      <c r="A7841" s="4">
        <v>42752</v>
      </c>
      <c r="B7841" s="3">
        <v>52.48</v>
      </c>
    </row>
    <row r="7842" spans="1:2">
      <c r="A7842" s="4">
        <v>42753</v>
      </c>
      <c r="B7842" s="3">
        <v>51.08</v>
      </c>
    </row>
    <row r="7843" spans="1:2">
      <c r="A7843" s="4">
        <v>42754</v>
      </c>
      <c r="B7843" s="3">
        <v>51.37</v>
      </c>
    </row>
    <row r="7844" spans="1:2">
      <c r="A7844" s="4">
        <v>42755</v>
      </c>
      <c r="B7844" s="3">
        <v>52.42</v>
      </c>
    </row>
    <row r="7845" spans="1:2">
      <c r="A7845" s="4">
        <v>42758</v>
      </c>
      <c r="B7845" s="3">
        <v>52.75</v>
      </c>
    </row>
    <row r="7846" spans="1:2">
      <c r="A7846" s="4">
        <v>42759</v>
      </c>
      <c r="B7846" s="3">
        <v>53.18</v>
      </c>
    </row>
    <row r="7847" spans="1:2">
      <c r="A7847" s="4">
        <v>42760</v>
      </c>
      <c r="B7847" s="3">
        <v>52.75</v>
      </c>
    </row>
    <row r="7848" spans="1:2">
      <c r="A7848" s="4">
        <v>42761</v>
      </c>
      <c r="B7848" s="3">
        <v>53.78</v>
      </c>
    </row>
    <row r="7849" spans="1:2">
      <c r="A7849" s="4">
        <v>42762</v>
      </c>
      <c r="B7849" s="3">
        <v>53.17</v>
      </c>
    </row>
    <row r="7850" spans="1:2">
      <c r="A7850" s="4">
        <v>42765</v>
      </c>
      <c r="B7850" s="3">
        <v>52.63</v>
      </c>
    </row>
    <row r="7851" spans="1:2">
      <c r="A7851" s="4">
        <v>42766</v>
      </c>
      <c r="B7851" s="3">
        <v>52.81</v>
      </c>
    </row>
    <row r="7852" spans="1:2">
      <c r="A7852" s="4">
        <v>42767</v>
      </c>
      <c r="B7852" s="3">
        <v>53.88</v>
      </c>
    </row>
    <row r="7853" spans="1:2">
      <c r="A7853" s="4">
        <v>42768</v>
      </c>
      <c r="B7853" s="3">
        <v>53.54</v>
      </c>
    </row>
    <row r="7854" spans="1:2">
      <c r="A7854" s="4">
        <v>42769</v>
      </c>
      <c r="B7854" s="3">
        <v>53.83</v>
      </c>
    </row>
    <row r="7855" spans="1:2">
      <c r="A7855" s="4">
        <v>42772</v>
      </c>
      <c r="B7855" s="3">
        <v>53.01</v>
      </c>
    </row>
    <row r="7856" spans="1:2">
      <c r="A7856" s="4">
        <v>42773</v>
      </c>
      <c r="B7856" s="3">
        <v>52.17</v>
      </c>
    </row>
    <row r="7857" spans="1:2">
      <c r="A7857" s="4">
        <v>42774</v>
      </c>
      <c r="B7857" s="3">
        <v>52.34</v>
      </c>
    </row>
    <row r="7858" spans="1:2">
      <c r="A7858" s="4">
        <v>42775</v>
      </c>
      <c r="B7858" s="3">
        <v>53</v>
      </c>
    </row>
    <row r="7859" spans="1:2">
      <c r="A7859" s="4">
        <v>42776</v>
      </c>
      <c r="B7859" s="3">
        <v>53.86</v>
      </c>
    </row>
    <row r="7860" spans="1:2">
      <c r="A7860" s="4">
        <v>42779</v>
      </c>
      <c r="B7860" s="3">
        <v>52.93</v>
      </c>
    </row>
    <row r="7861" spans="1:2">
      <c r="A7861" s="4">
        <v>42780</v>
      </c>
      <c r="B7861" s="3">
        <v>53.2</v>
      </c>
    </row>
    <row r="7862" spans="1:2">
      <c r="A7862" s="4">
        <v>42781</v>
      </c>
      <c r="B7862" s="3">
        <v>53.11</v>
      </c>
    </row>
    <row r="7863" spans="1:2">
      <c r="A7863" s="4">
        <v>42782</v>
      </c>
      <c r="B7863" s="3">
        <v>53.36</v>
      </c>
    </row>
    <row r="7864" spans="1:2">
      <c r="A7864" s="4">
        <v>42783</v>
      </c>
      <c r="B7864" s="3">
        <v>53.4</v>
      </c>
    </row>
    <row r="7865" spans="1:2">
      <c r="A7865" s="4">
        <v>42786</v>
      </c>
      <c r="B7865" s="3">
        <v>53.69</v>
      </c>
    </row>
    <row r="7866" spans="1:2">
      <c r="A7866" s="4">
        <v>42787</v>
      </c>
      <c r="B7866" s="3">
        <v>54.06</v>
      </c>
    </row>
    <row r="7867" spans="1:2">
      <c r="A7867" s="4">
        <v>42788</v>
      </c>
      <c r="B7867" s="3">
        <v>53.59</v>
      </c>
    </row>
    <row r="7868" spans="1:2">
      <c r="A7868" s="4">
        <v>42789</v>
      </c>
      <c r="B7868" s="3">
        <v>54.45</v>
      </c>
    </row>
    <row r="7869" spans="1:2">
      <c r="A7869" s="4">
        <v>42790</v>
      </c>
      <c r="B7869" s="3">
        <v>53.99</v>
      </c>
    </row>
    <row r="7870" spans="1:2">
      <c r="A7870" s="4">
        <v>42793</v>
      </c>
      <c r="B7870" s="3">
        <v>54.05</v>
      </c>
    </row>
    <row r="7871" spans="1:2">
      <c r="A7871" s="4">
        <v>42794</v>
      </c>
      <c r="B7871" s="3">
        <v>54.01</v>
      </c>
    </row>
    <row r="7872" spans="1:2">
      <c r="A7872" s="4">
        <v>42795</v>
      </c>
      <c r="B7872" s="3">
        <v>53.83</v>
      </c>
    </row>
    <row r="7873" spans="1:2">
      <c r="A7873" s="4">
        <v>42796</v>
      </c>
      <c r="B7873" s="3">
        <v>52.61</v>
      </c>
    </row>
    <row r="7874" spans="1:2">
      <c r="A7874" s="4">
        <v>42797</v>
      </c>
      <c r="B7874" s="3">
        <v>53.33</v>
      </c>
    </row>
    <row r="7875" spans="1:2">
      <c r="A7875" s="4">
        <v>42800</v>
      </c>
      <c r="B7875" s="3">
        <v>53.2</v>
      </c>
    </row>
    <row r="7876" spans="1:2">
      <c r="A7876" s="4">
        <v>42801</v>
      </c>
      <c r="B7876" s="3">
        <v>53.14</v>
      </c>
    </row>
    <row r="7877" spans="1:2">
      <c r="A7877" s="4">
        <v>42802</v>
      </c>
      <c r="B7877" s="3">
        <v>50.28</v>
      </c>
    </row>
    <row r="7878" spans="1:2">
      <c r="A7878" s="4">
        <v>42803</v>
      </c>
      <c r="B7878" s="3">
        <v>49.28</v>
      </c>
    </row>
    <row r="7879" spans="1:2">
      <c r="A7879" s="4">
        <v>42804</v>
      </c>
      <c r="B7879" s="3">
        <v>48.49</v>
      </c>
    </row>
    <row r="7880" spans="1:2">
      <c r="A7880" s="4">
        <v>42807</v>
      </c>
      <c r="B7880" s="3">
        <v>48.4</v>
      </c>
    </row>
    <row r="7881" spans="1:2">
      <c r="A7881" s="4">
        <v>42808</v>
      </c>
      <c r="B7881" s="3">
        <v>47.72</v>
      </c>
    </row>
    <row r="7882" spans="1:2">
      <c r="A7882" s="4">
        <v>42809</v>
      </c>
      <c r="B7882" s="3">
        <v>48.86</v>
      </c>
    </row>
    <row r="7883" spans="1:2">
      <c r="A7883" s="4">
        <v>42810</v>
      </c>
      <c r="B7883" s="3">
        <v>48.75</v>
      </c>
    </row>
    <row r="7884" spans="1:2">
      <c r="A7884" s="4">
        <v>42811</v>
      </c>
      <c r="B7884" s="3">
        <v>48.78</v>
      </c>
    </row>
    <row r="7885" spans="1:2">
      <c r="A7885" s="4">
        <v>42814</v>
      </c>
      <c r="B7885" s="3">
        <v>48.22</v>
      </c>
    </row>
    <row r="7886" spans="1:2">
      <c r="A7886" s="4">
        <v>42815</v>
      </c>
      <c r="B7886" s="3">
        <v>47.34</v>
      </c>
    </row>
    <row r="7887" spans="1:2">
      <c r="A7887" s="4">
        <v>42816</v>
      </c>
      <c r="B7887" s="3">
        <v>48.04</v>
      </c>
    </row>
    <row r="7888" spans="1:2">
      <c r="A7888" s="4">
        <v>42817</v>
      </c>
      <c r="B7888" s="3">
        <v>47.7</v>
      </c>
    </row>
    <row r="7889" spans="1:2">
      <c r="A7889" s="4">
        <v>42818</v>
      </c>
      <c r="B7889" s="3">
        <v>47.97</v>
      </c>
    </row>
    <row r="7890" spans="1:2">
      <c r="A7890" s="4">
        <v>42821</v>
      </c>
      <c r="B7890" s="3">
        <v>47.73</v>
      </c>
    </row>
    <row r="7891" spans="1:2">
      <c r="A7891" s="4">
        <v>42822</v>
      </c>
      <c r="B7891" s="3">
        <v>48.37</v>
      </c>
    </row>
    <row r="7892" spans="1:2">
      <c r="A7892" s="4">
        <v>42823</v>
      </c>
      <c r="B7892" s="3">
        <v>49.51</v>
      </c>
    </row>
    <row r="7893" spans="1:2">
      <c r="A7893" s="4">
        <v>42824</v>
      </c>
      <c r="B7893" s="3">
        <v>50.35</v>
      </c>
    </row>
    <row r="7894" spans="1:2">
      <c r="A7894" s="4">
        <v>42825</v>
      </c>
      <c r="B7894" s="3">
        <v>50.6</v>
      </c>
    </row>
    <row r="7895" spans="1:2">
      <c r="A7895" s="4">
        <v>42828</v>
      </c>
      <c r="B7895" s="3">
        <v>50.24</v>
      </c>
    </row>
    <row r="7896" spans="1:2">
      <c r="A7896" s="4">
        <v>42829</v>
      </c>
      <c r="B7896" s="3">
        <v>51.03</v>
      </c>
    </row>
    <row r="7897" spans="1:2">
      <c r="A7897" s="4">
        <v>42830</v>
      </c>
      <c r="B7897" s="3">
        <v>51.15</v>
      </c>
    </row>
    <row r="7898" spans="1:2">
      <c r="A7898" s="4">
        <v>42831</v>
      </c>
      <c r="B7898" s="3">
        <v>51.7</v>
      </c>
    </row>
    <row r="7899" spans="1:2">
      <c r="A7899" s="4">
        <v>42832</v>
      </c>
      <c r="B7899" s="3">
        <v>52.24</v>
      </c>
    </row>
    <row r="7900" spans="1:2">
      <c r="A7900" s="4">
        <v>42835</v>
      </c>
      <c r="B7900" s="3">
        <v>53.08</v>
      </c>
    </row>
    <row r="7901" spans="1:2">
      <c r="A7901" s="4">
        <v>42836</v>
      </c>
      <c r="B7901" s="3">
        <v>53.4</v>
      </c>
    </row>
    <row r="7902" spans="1:2">
      <c r="A7902" s="4">
        <v>42837</v>
      </c>
      <c r="B7902" s="3">
        <v>53.11</v>
      </c>
    </row>
    <row r="7903" spans="1:2">
      <c r="A7903" s="4">
        <v>42838</v>
      </c>
      <c r="B7903" s="3">
        <v>53.18</v>
      </c>
    </row>
    <row r="7904" spans="1:2">
      <c r="A7904" s="4">
        <v>42842</v>
      </c>
      <c r="B7904" s="3">
        <v>52.65</v>
      </c>
    </row>
    <row r="7905" spans="1:2">
      <c r="A7905" s="4">
        <v>42843</v>
      </c>
      <c r="B7905" s="3">
        <v>52.41</v>
      </c>
    </row>
    <row r="7906" spans="1:2">
      <c r="A7906" s="4">
        <v>42844</v>
      </c>
      <c r="B7906" s="3">
        <v>50.44</v>
      </c>
    </row>
    <row r="7907" spans="1:2">
      <c r="A7907" s="4">
        <v>42845</v>
      </c>
      <c r="B7907" s="3">
        <v>50.27</v>
      </c>
    </row>
    <row r="7908" spans="1:2">
      <c r="A7908" s="4">
        <v>42846</v>
      </c>
      <c r="B7908" s="3">
        <v>49.62</v>
      </c>
    </row>
    <row r="7909" spans="1:2">
      <c r="A7909" s="4">
        <v>42849</v>
      </c>
      <c r="B7909" s="3">
        <v>49.23</v>
      </c>
    </row>
    <row r="7910" spans="1:2">
      <c r="A7910" s="4">
        <v>42850</v>
      </c>
      <c r="B7910" s="3">
        <v>49.56</v>
      </c>
    </row>
    <row r="7911" spans="1:2">
      <c r="A7911" s="4">
        <v>42851</v>
      </c>
      <c r="B7911" s="3">
        <v>49.62</v>
      </c>
    </row>
    <row r="7912" spans="1:2">
      <c r="A7912" s="4">
        <v>42852</v>
      </c>
      <c r="B7912" s="3">
        <v>48.97</v>
      </c>
    </row>
    <row r="7913" spans="1:2">
      <c r="A7913" s="4">
        <v>42853</v>
      </c>
      <c r="B7913" s="3">
        <v>49.33</v>
      </c>
    </row>
    <row r="7914" spans="1:2">
      <c r="A7914" s="4">
        <v>42856</v>
      </c>
      <c r="B7914" s="3">
        <v>48.84</v>
      </c>
    </row>
    <row r="7915" spans="1:2">
      <c r="A7915" s="4">
        <v>42857</v>
      </c>
      <c r="B7915" s="3">
        <v>47.66</v>
      </c>
    </row>
    <row r="7916" spans="1:2">
      <c r="A7916" s="4">
        <v>42858</v>
      </c>
      <c r="B7916" s="3">
        <v>47.82</v>
      </c>
    </row>
    <row r="7917" spans="1:2">
      <c r="A7917" s="4">
        <v>42859</v>
      </c>
      <c r="B7917" s="3">
        <v>45.52</v>
      </c>
    </row>
    <row r="7918" spans="1:2">
      <c r="A7918" s="4">
        <v>42860</v>
      </c>
      <c r="B7918" s="3">
        <v>46.22</v>
      </c>
    </row>
    <row r="7919" spans="1:2">
      <c r="A7919" s="4">
        <v>42863</v>
      </c>
      <c r="B7919" s="3">
        <v>46.43</v>
      </c>
    </row>
    <row r="7920" spans="1:2">
      <c r="A7920" s="4">
        <v>42864</v>
      </c>
      <c r="B7920" s="3">
        <v>45.88</v>
      </c>
    </row>
    <row r="7921" spans="1:2">
      <c r="A7921" s="4">
        <v>42865</v>
      </c>
      <c r="B7921" s="3">
        <v>47.33</v>
      </c>
    </row>
    <row r="7922" spans="1:2">
      <c r="A7922" s="4">
        <v>42866</v>
      </c>
      <c r="B7922" s="3">
        <v>47.83</v>
      </c>
    </row>
    <row r="7923" spans="1:2">
      <c r="A7923" s="4">
        <v>42867</v>
      </c>
      <c r="B7923" s="3">
        <v>47.84</v>
      </c>
    </row>
    <row r="7924" spans="1:2">
      <c r="A7924" s="4">
        <v>42870</v>
      </c>
      <c r="B7924" s="3">
        <v>48.85</v>
      </c>
    </row>
    <row r="7925" spans="1:2">
      <c r="A7925" s="4">
        <v>42871</v>
      </c>
      <c r="B7925" s="3">
        <v>48.66</v>
      </c>
    </row>
    <row r="7926" spans="1:2">
      <c r="A7926" s="4">
        <v>42872</v>
      </c>
      <c r="B7926" s="3">
        <v>49.07</v>
      </c>
    </row>
    <row r="7927" spans="1:2">
      <c r="A7927" s="4">
        <v>42873</v>
      </c>
      <c r="B7927" s="3">
        <v>49.35</v>
      </c>
    </row>
    <row r="7928" spans="1:2">
      <c r="A7928" s="4">
        <v>42874</v>
      </c>
      <c r="B7928" s="3">
        <v>50.33</v>
      </c>
    </row>
    <row r="7929" spans="1:2">
      <c r="A7929" s="4">
        <v>42877</v>
      </c>
      <c r="B7929" s="3">
        <v>50.73</v>
      </c>
    </row>
    <row r="7930" spans="1:2">
      <c r="A7930" s="4">
        <v>42878</v>
      </c>
      <c r="B7930" s="3">
        <v>51.47</v>
      </c>
    </row>
    <row r="7931" spans="1:2">
      <c r="A7931" s="4">
        <v>42879</v>
      </c>
      <c r="B7931" s="3">
        <v>51.36</v>
      </c>
    </row>
    <row r="7932" spans="1:2">
      <c r="A7932" s="4">
        <v>42880</v>
      </c>
      <c r="B7932" s="3">
        <v>48.9</v>
      </c>
    </row>
    <row r="7933" spans="1:2">
      <c r="A7933" s="4">
        <v>42881</v>
      </c>
      <c r="B7933" s="3">
        <v>49.8</v>
      </c>
    </row>
    <row r="7934" spans="1:2">
      <c r="A7934" s="4">
        <v>42884</v>
      </c>
      <c r="B7934" s="3">
        <v>49.99</v>
      </c>
    </row>
    <row r="7935" spans="1:2">
      <c r="A7935" s="4">
        <v>42885</v>
      </c>
      <c r="B7935" s="3">
        <v>49.66</v>
      </c>
    </row>
    <row r="7936" spans="1:2">
      <c r="A7936" s="4">
        <v>42886</v>
      </c>
      <c r="B7936" s="3">
        <v>48.32</v>
      </c>
    </row>
    <row r="7937" spans="1:2">
      <c r="A7937" s="4">
        <v>42887</v>
      </c>
      <c r="B7937" s="3">
        <v>48.36</v>
      </c>
    </row>
    <row r="7938" spans="1:2">
      <c r="A7938" s="4">
        <v>42888</v>
      </c>
      <c r="B7938" s="3">
        <v>47.66</v>
      </c>
    </row>
    <row r="7939" spans="1:2">
      <c r="A7939" s="4">
        <v>42891</v>
      </c>
      <c r="B7939" s="3">
        <v>47.4</v>
      </c>
    </row>
    <row r="7940" spans="1:2">
      <c r="A7940" s="4">
        <v>42892</v>
      </c>
      <c r="B7940" s="3">
        <v>48.19</v>
      </c>
    </row>
    <row r="7941" spans="1:2">
      <c r="A7941" s="4">
        <v>42893</v>
      </c>
      <c r="B7941" s="3">
        <v>45.72</v>
      </c>
    </row>
    <row r="7942" spans="1:2">
      <c r="A7942" s="4">
        <v>42894</v>
      </c>
      <c r="B7942" s="3">
        <v>45.64</v>
      </c>
    </row>
    <row r="7943" spans="1:2">
      <c r="A7943" s="4">
        <v>42895</v>
      </c>
      <c r="B7943" s="3">
        <v>45.83</v>
      </c>
    </row>
    <row r="7944" spans="1:2">
      <c r="A7944" s="4">
        <v>42898</v>
      </c>
      <c r="B7944" s="3">
        <v>46.08</v>
      </c>
    </row>
    <row r="7945" spans="1:2">
      <c r="A7945" s="4">
        <v>42899</v>
      </c>
      <c r="B7945" s="3">
        <v>46.46</v>
      </c>
    </row>
    <row r="7946" spans="1:2">
      <c r="A7946" s="4">
        <v>42900</v>
      </c>
      <c r="B7946" s="3">
        <v>44.73</v>
      </c>
    </row>
    <row r="7947" spans="1:2">
      <c r="A7947" s="4">
        <v>42901</v>
      </c>
      <c r="B7947" s="3">
        <v>44.46</v>
      </c>
    </row>
    <row r="7948" spans="1:2">
      <c r="A7948" s="4">
        <v>42902</v>
      </c>
      <c r="B7948" s="3">
        <v>44.74</v>
      </c>
    </row>
    <row r="7949" spans="1:2">
      <c r="A7949" s="4">
        <v>42905</v>
      </c>
      <c r="B7949" s="3">
        <v>44.2</v>
      </c>
    </row>
    <row r="7950" spans="1:2">
      <c r="A7950" s="4">
        <v>42906</v>
      </c>
      <c r="B7950" s="3">
        <v>43.23</v>
      </c>
    </row>
    <row r="7951" spans="1:2">
      <c r="A7951" s="4">
        <v>42907</v>
      </c>
      <c r="B7951" s="3">
        <v>42.53</v>
      </c>
    </row>
    <row r="7952" spans="1:2">
      <c r="A7952" s="4">
        <v>42908</v>
      </c>
      <c r="B7952" s="3">
        <v>42.74</v>
      </c>
    </row>
    <row r="7953" spans="1:2">
      <c r="A7953" s="4">
        <v>42909</v>
      </c>
      <c r="B7953" s="3">
        <v>43.01</v>
      </c>
    </row>
    <row r="7954" spans="1:2">
      <c r="A7954" s="4">
        <v>42912</v>
      </c>
      <c r="B7954" s="3">
        <v>43.38</v>
      </c>
    </row>
    <row r="7955" spans="1:2">
      <c r="A7955" s="4">
        <v>42913</v>
      </c>
      <c r="B7955" s="3">
        <v>44.24</v>
      </c>
    </row>
    <row r="7956" spans="1:2">
      <c r="A7956" s="4">
        <v>42914</v>
      </c>
      <c r="B7956" s="3">
        <v>44.74</v>
      </c>
    </row>
    <row r="7957" spans="1:2">
      <c r="A7957" s="4">
        <v>42915</v>
      </c>
      <c r="B7957" s="3">
        <v>44.93</v>
      </c>
    </row>
    <row r="7958" spans="1:2">
      <c r="A7958" s="4">
        <v>42916</v>
      </c>
      <c r="B7958" s="3">
        <v>46.04</v>
      </c>
    </row>
    <row r="7959" spans="1:2">
      <c r="A7959" s="4">
        <v>42919</v>
      </c>
      <c r="B7959" s="3">
        <v>47.07</v>
      </c>
    </row>
    <row r="7960" spans="1:2">
      <c r="A7960" s="4">
        <v>42920</v>
      </c>
      <c r="B7960" s="3">
        <v>47.08</v>
      </c>
    </row>
    <row r="7961" spans="1:2">
      <c r="A7961" s="4">
        <v>42921</v>
      </c>
      <c r="B7961" s="3">
        <v>45.13</v>
      </c>
    </row>
    <row r="7962" spans="1:2">
      <c r="A7962" s="4">
        <v>42922</v>
      </c>
      <c r="B7962" s="3">
        <v>45.52</v>
      </c>
    </row>
    <row r="7963" spans="1:2">
      <c r="A7963" s="4">
        <v>42923</v>
      </c>
      <c r="B7963" s="3">
        <v>44.23</v>
      </c>
    </row>
    <row r="7964" spans="1:2">
      <c r="A7964" s="4">
        <v>42926</v>
      </c>
      <c r="B7964" s="3">
        <v>44.4</v>
      </c>
    </row>
    <row r="7965" spans="1:2">
      <c r="A7965" s="4">
        <v>42927</v>
      </c>
      <c r="B7965" s="3">
        <v>45.04</v>
      </c>
    </row>
    <row r="7966" spans="1:2">
      <c r="A7966" s="4">
        <v>42928</v>
      </c>
      <c r="B7966" s="3">
        <v>45.49</v>
      </c>
    </row>
    <row r="7967" spans="1:2">
      <c r="A7967" s="4">
        <v>42929</v>
      </c>
      <c r="B7967" s="3">
        <v>46.08</v>
      </c>
    </row>
    <row r="7968" spans="1:2">
      <c r="A7968" s="4">
        <v>42930</v>
      </c>
      <c r="B7968" s="3">
        <v>46.54</v>
      </c>
    </row>
    <row r="7969" spans="1:2">
      <c r="A7969" s="4">
        <v>42933</v>
      </c>
      <c r="B7969" s="3">
        <v>46.02</v>
      </c>
    </row>
    <row r="7970" spans="1:2">
      <c r="A7970" s="4">
        <v>42934</v>
      </c>
      <c r="B7970" s="3">
        <v>46.4</v>
      </c>
    </row>
    <row r="7971" spans="1:2">
      <c r="A7971" s="4">
        <v>42935</v>
      </c>
      <c r="B7971" s="3">
        <v>47.12</v>
      </c>
    </row>
    <row r="7972" spans="1:2">
      <c r="A7972" s="4">
        <v>42936</v>
      </c>
      <c r="B7972" s="3">
        <v>46.79</v>
      </c>
    </row>
    <row r="7973" spans="1:2">
      <c r="A7973" s="4">
        <v>42937</v>
      </c>
      <c r="B7973" s="3">
        <v>45.77</v>
      </c>
    </row>
    <row r="7974" spans="1:2">
      <c r="A7974" s="4">
        <v>42940</v>
      </c>
      <c r="B7974" s="3">
        <v>46.34</v>
      </c>
    </row>
    <row r="7975" spans="1:2">
      <c r="A7975" s="4">
        <v>42941</v>
      </c>
      <c r="B7975" s="3">
        <v>47.89</v>
      </c>
    </row>
    <row r="7976" spans="1:2">
      <c r="A7976" s="4">
        <v>42942</v>
      </c>
      <c r="B7976" s="3">
        <v>48.75</v>
      </c>
    </row>
    <row r="7977" spans="1:2">
      <c r="A7977" s="4">
        <v>42943</v>
      </c>
      <c r="B7977" s="3">
        <v>49.04</v>
      </c>
    </row>
    <row r="7978" spans="1:2">
      <c r="A7978" s="4">
        <v>42944</v>
      </c>
      <c r="B7978" s="3">
        <v>49.71</v>
      </c>
    </row>
    <row r="7979" spans="1:2">
      <c r="A7979" s="4">
        <v>42947</v>
      </c>
      <c r="B7979" s="3">
        <v>50.17</v>
      </c>
    </row>
    <row r="7980" spans="1:2">
      <c r="A7980" s="4">
        <v>42948</v>
      </c>
      <c r="B7980" s="3">
        <v>49.16</v>
      </c>
    </row>
    <row r="7981" spans="1:2">
      <c r="A7981" s="4">
        <v>42949</v>
      </c>
      <c r="B7981" s="3">
        <v>49.59</v>
      </c>
    </row>
    <row r="7982" spans="1:2">
      <c r="A7982" s="4">
        <v>42950</v>
      </c>
      <c r="B7982" s="3">
        <v>49.03</v>
      </c>
    </row>
    <row r="7983" spans="1:2">
      <c r="A7983" s="4">
        <v>42951</v>
      </c>
      <c r="B7983" s="3">
        <v>49.58</v>
      </c>
    </row>
    <row r="7984" spans="1:2">
      <c r="A7984" s="4">
        <v>42954</v>
      </c>
      <c r="B7984" s="3">
        <v>49.39</v>
      </c>
    </row>
    <row r="7985" spans="1:2">
      <c r="A7985" s="4">
        <v>42955</v>
      </c>
      <c r="B7985" s="3">
        <v>49.17</v>
      </c>
    </row>
    <row r="7986" spans="1:2">
      <c r="A7986" s="4">
        <v>42956</v>
      </c>
      <c r="B7986" s="3">
        <v>49.56</v>
      </c>
    </row>
    <row r="7987" spans="1:2">
      <c r="A7987" s="4">
        <v>42957</v>
      </c>
      <c r="B7987" s="3">
        <v>48.59</v>
      </c>
    </row>
    <row r="7988" spans="1:2">
      <c r="A7988" s="4">
        <v>42958</v>
      </c>
      <c r="B7988" s="3">
        <v>48.82</v>
      </c>
    </row>
    <row r="7989" spans="1:2">
      <c r="A7989" s="4">
        <v>42961</v>
      </c>
      <c r="B7989" s="3">
        <v>47.59</v>
      </c>
    </row>
    <row r="7990" spans="1:2">
      <c r="A7990" s="4">
        <v>42962</v>
      </c>
      <c r="B7990" s="3">
        <v>47.55</v>
      </c>
    </row>
    <row r="7991" spans="1:2">
      <c r="A7991" s="4">
        <v>42963</v>
      </c>
      <c r="B7991" s="3">
        <v>46.78</v>
      </c>
    </row>
    <row r="7992" spans="1:2">
      <c r="A7992" s="4">
        <v>42964</v>
      </c>
      <c r="B7992" s="3">
        <v>47.09</v>
      </c>
    </row>
    <row r="7993" spans="1:2">
      <c r="A7993" s="4">
        <v>42965</v>
      </c>
      <c r="B7993" s="3">
        <v>48.51</v>
      </c>
    </row>
    <row r="7994" spans="1:2">
      <c r="A7994" s="4">
        <v>42968</v>
      </c>
      <c r="B7994" s="3">
        <v>47.37</v>
      </c>
    </row>
    <row r="7995" spans="1:2">
      <c r="A7995" s="4">
        <v>42969</v>
      </c>
      <c r="B7995" s="3">
        <v>47.64</v>
      </c>
    </row>
    <row r="7996" spans="1:2">
      <c r="A7996" s="4">
        <v>42970</v>
      </c>
      <c r="B7996" s="3">
        <v>48.41</v>
      </c>
    </row>
    <row r="7997" spans="1:2">
      <c r="A7997" s="4">
        <v>42971</v>
      </c>
      <c r="B7997" s="3">
        <v>47.43</v>
      </c>
    </row>
    <row r="7998" spans="1:2">
      <c r="A7998" s="4">
        <v>42972</v>
      </c>
      <c r="B7998" s="3">
        <v>47.87</v>
      </c>
    </row>
    <row r="7999" spans="1:2">
      <c r="A7999" s="4">
        <v>42975</v>
      </c>
      <c r="B7999" s="3">
        <v>46.57</v>
      </c>
    </row>
    <row r="8000" spans="1:2">
      <c r="A8000" s="4">
        <v>42976</v>
      </c>
      <c r="B8000" s="3">
        <v>46.44</v>
      </c>
    </row>
    <row r="8001" spans="1:2">
      <c r="A8001" s="4">
        <v>42977</v>
      </c>
      <c r="B8001" s="3">
        <v>45.96</v>
      </c>
    </row>
    <row r="8002" spans="1:2">
      <c r="A8002" s="4">
        <v>42978</v>
      </c>
      <c r="B8002" s="3">
        <v>47.23</v>
      </c>
    </row>
    <row r="8003" spans="1:2">
      <c r="A8003" s="4">
        <v>42979</v>
      </c>
      <c r="B8003" s="3">
        <v>47.29</v>
      </c>
    </row>
    <row r="8004" spans="1:2">
      <c r="A8004" s="4">
        <v>42982</v>
      </c>
      <c r="B8004" s="3">
        <v>47.37</v>
      </c>
    </row>
    <row r="8005" spans="1:2">
      <c r="A8005" s="4">
        <v>42983</v>
      </c>
      <c r="B8005" s="3">
        <v>48.66</v>
      </c>
    </row>
    <row r="8006" spans="1:2">
      <c r="A8006" s="4">
        <v>42984</v>
      </c>
      <c r="B8006" s="3">
        <v>49.16</v>
      </c>
    </row>
    <row r="8007" spans="1:2">
      <c r="A8007" s="4">
        <v>42985</v>
      </c>
      <c r="B8007" s="3">
        <v>49.09</v>
      </c>
    </row>
    <row r="8008" spans="1:2">
      <c r="A8008" s="4">
        <v>42986</v>
      </c>
      <c r="B8008" s="3">
        <v>47.48</v>
      </c>
    </row>
    <row r="8009" spans="1:2">
      <c r="A8009" s="4">
        <v>42989</v>
      </c>
      <c r="B8009" s="3">
        <v>48.07</v>
      </c>
    </row>
    <row r="8010" spans="1:2">
      <c r="A8010" s="4">
        <v>42990</v>
      </c>
      <c r="B8010" s="3">
        <v>48.23</v>
      </c>
    </row>
    <row r="8011" spans="1:2">
      <c r="A8011" s="4">
        <v>42991</v>
      </c>
      <c r="B8011" s="3">
        <v>49.3</v>
      </c>
    </row>
    <row r="8012" spans="1:2">
      <c r="A8012" s="4">
        <v>42992</v>
      </c>
      <c r="B8012" s="3">
        <v>49.89</v>
      </c>
    </row>
    <row r="8013" spans="1:2">
      <c r="A8013" s="4">
        <v>42993</v>
      </c>
      <c r="B8013" s="3">
        <v>49.89</v>
      </c>
    </row>
    <row r="8014" spans="1:2">
      <c r="A8014" s="4">
        <v>42996</v>
      </c>
      <c r="B8014" s="3">
        <v>49.91</v>
      </c>
    </row>
    <row r="8015" spans="1:2">
      <c r="A8015" s="4">
        <v>42997</v>
      </c>
      <c r="B8015" s="3">
        <v>49.48</v>
      </c>
    </row>
    <row r="8016" spans="1:2">
      <c r="A8016" s="4">
        <v>42998</v>
      </c>
      <c r="B8016" s="3">
        <v>50.41</v>
      </c>
    </row>
    <row r="8017" spans="1:2">
      <c r="A8017" s="4">
        <v>42999</v>
      </c>
      <c r="B8017" s="3">
        <v>50.55</v>
      </c>
    </row>
    <row r="8018" spans="1:2">
      <c r="A8018" s="4">
        <v>43000</v>
      </c>
      <c r="B8018" s="3">
        <v>50.66</v>
      </c>
    </row>
    <row r="8019" spans="1:2">
      <c r="A8019" s="4">
        <v>43003</v>
      </c>
      <c r="B8019" s="3">
        <v>52.22</v>
      </c>
    </row>
    <row r="8020" spans="1:2">
      <c r="A8020" s="4">
        <v>43004</v>
      </c>
      <c r="B8020" s="3">
        <v>51.88</v>
      </c>
    </row>
    <row r="8021" spans="1:2">
      <c r="A8021" s="4">
        <v>43005</v>
      </c>
      <c r="B8021" s="3">
        <v>52.14</v>
      </c>
    </row>
    <row r="8022" spans="1:2">
      <c r="A8022" s="4">
        <v>43006</v>
      </c>
      <c r="B8022" s="3">
        <v>51.56</v>
      </c>
    </row>
    <row r="8023" spans="1:2">
      <c r="A8023" s="4">
        <v>43007</v>
      </c>
      <c r="B8023" s="3">
        <v>51.67</v>
      </c>
    </row>
    <row r="8024" spans="1:2">
      <c r="A8024" s="4">
        <v>43010</v>
      </c>
      <c r="B8024" s="3">
        <v>50.58</v>
      </c>
    </row>
    <row r="8025" spans="1:2">
      <c r="A8025" s="4">
        <v>43011</v>
      </c>
      <c r="B8025" s="3">
        <v>50.42</v>
      </c>
    </row>
    <row r="8026" spans="1:2">
      <c r="A8026" s="4">
        <v>43012</v>
      </c>
      <c r="B8026" s="3">
        <v>49.98</v>
      </c>
    </row>
    <row r="8027" spans="1:2">
      <c r="A8027" s="4">
        <v>43013</v>
      </c>
      <c r="B8027" s="3">
        <v>50.79</v>
      </c>
    </row>
    <row r="8028" spans="1:2">
      <c r="A8028" s="4">
        <v>43014</v>
      </c>
      <c r="B8028" s="3">
        <v>49.29</v>
      </c>
    </row>
    <row r="8029" spans="1:2">
      <c r="A8029" s="4">
        <v>43017</v>
      </c>
      <c r="B8029" s="3">
        <v>49.58</v>
      </c>
    </row>
    <row r="8030" spans="1:2">
      <c r="A8030" s="4">
        <v>43018</v>
      </c>
      <c r="B8030" s="3">
        <v>50.92</v>
      </c>
    </row>
    <row r="8031" spans="1:2">
      <c r="A8031" s="4">
        <v>43019</v>
      </c>
      <c r="B8031" s="3">
        <v>51.3</v>
      </c>
    </row>
    <row r="8032" spans="1:2">
      <c r="A8032" s="4">
        <v>43020</v>
      </c>
      <c r="B8032" s="3">
        <v>50.6</v>
      </c>
    </row>
    <row r="8033" spans="1:2">
      <c r="A8033" s="4">
        <v>43021</v>
      </c>
      <c r="B8033" s="3">
        <v>51.45</v>
      </c>
    </row>
    <row r="8034" spans="1:2">
      <c r="A8034" s="4">
        <v>43024</v>
      </c>
      <c r="B8034" s="3">
        <v>51.87</v>
      </c>
    </row>
    <row r="8035" spans="1:2">
      <c r="A8035" s="4">
        <v>43025</v>
      </c>
      <c r="B8035" s="3">
        <v>51.88</v>
      </c>
    </row>
    <row r="8036" spans="1:2">
      <c r="A8036" s="4">
        <v>43026</v>
      </c>
      <c r="B8036" s="3">
        <v>52.04</v>
      </c>
    </row>
    <row r="8037" spans="1:2">
      <c r="A8037" s="4">
        <v>43027</v>
      </c>
      <c r="B8037" s="3">
        <v>51.29</v>
      </c>
    </row>
    <row r="8038" spans="1:2">
      <c r="A8038" s="4">
        <v>43028</v>
      </c>
      <c r="B8038" s="3">
        <v>51.47</v>
      </c>
    </row>
    <row r="8039" spans="1:2">
      <c r="A8039" s="4">
        <v>43031</v>
      </c>
      <c r="B8039" s="3">
        <v>51.9</v>
      </c>
    </row>
    <row r="8040" spans="1:2">
      <c r="A8040" s="4">
        <v>43032</v>
      </c>
      <c r="B8040" s="3">
        <v>52.47</v>
      </c>
    </row>
    <row r="8041" spans="1:2">
      <c r="A8041" s="4">
        <v>43033</v>
      </c>
      <c r="B8041" s="3">
        <v>52.18</v>
      </c>
    </row>
    <row r="8042" spans="1:2">
      <c r="A8042" s="4">
        <v>43034</v>
      </c>
      <c r="B8042" s="3">
        <v>52.64</v>
      </c>
    </row>
    <row r="8043" spans="1:2">
      <c r="A8043" s="4">
        <v>43035</v>
      </c>
      <c r="B8043" s="3">
        <v>53.9</v>
      </c>
    </row>
    <row r="8044" spans="1:2">
      <c r="A8044" s="4">
        <v>43038</v>
      </c>
      <c r="B8044" s="3">
        <v>54.15</v>
      </c>
    </row>
    <row r="8045" spans="1:2">
      <c r="A8045" s="4">
        <v>43039</v>
      </c>
      <c r="B8045" s="3">
        <v>54.38</v>
      </c>
    </row>
    <row r="8046" spans="1:2">
      <c r="A8046" s="4">
        <v>43040</v>
      </c>
      <c r="B8046" s="3">
        <v>54.3</v>
      </c>
    </row>
    <row r="8047" spans="1:2">
      <c r="A8047" s="4">
        <v>43041</v>
      </c>
      <c r="B8047" s="3">
        <v>54.54</v>
      </c>
    </row>
    <row r="8048" spans="1:2">
      <c r="A8048" s="4">
        <v>43042</v>
      </c>
      <c r="B8048" s="3">
        <v>55.64</v>
      </c>
    </row>
    <row r="8049" spans="1:2">
      <c r="A8049" s="4">
        <v>43045</v>
      </c>
      <c r="B8049" s="3">
        <v>57.35</v>
      </c>
    </row>
    <row r="8050" spans="1:2">
      <c r="A8050" s="4">
        <v>43046</v>
      </c>
      <c r="B8050" s="3">
        <v>57.2</v>
      </c>
    </row>
    <row r="8051" spans="1:2">
      <c r="A8051" s="4">
        <v>43047</v>
      </c>
      <c r="B8051" s="3">
        <v>56.81</v>
      </c>
    </row>
    <row r="8052" spans="1:2">
      <c r="A8052" s="4">
        <v>43048</v>
      </c>
      <c r="B8052" s="3">
        <v>57.17</v>
      </c>
    </row>
    <row r="8053" spans="1:2">
      <c r="A8053" s="4">
        <v>43049</v>
      </c>
      <c r="B8053" s="3">
        <v>56.74</v>
      </c>
    </row>
    <row r="8054" spans="1:2">
      <c r="A8054" s="4">
        <v>43052</v>
      </c>
      <c r="B8054" s="3">
        <v>56.76</v>
      </c>
    </row>
    <row r="8055" spans="1:2">
      <c r="A8055" s="4">
        <v>43053</v>
      </c>
      <c r="B8055" s="3">
        <v>55.7</v>
      </c>
    </row>
    <row r="8056" spans="1:2">
      <c r="A8056" s="4">
        <v>43054</v>
      </c>
      <c r="B8056" s="3">
        <v>55.33</v>
      </c>
    </row>
    <row r="8057" spans="1:2">
      <c r="A8057" s="4">
        <v>43055</v>
      </c>
      <c r="B8057" s="3">
        <v>55.14</v>
      </c>
    </row>
    <row r="8058" spans="1:2">
      <c r="A8058" s="4">
        <v>43056</v>
      </c>
      <c r="B8058" s="3">
        <v>56.55</v>
      </c>
    </row>
    <row r="8059" spans="1:2">
      <c r="A8059" s="4">
        <v>43059</v>
      </c>
      <c r="B8059" s="3">
        <v>56.09</v>
      </c>
    </row>
    <row r="8060" spans="1:2">
      <c r="A8060" s="4">
        <v>43060</v>
      </c>
      <c r="B8060" s="3">
        <v>56.83</v>
      </c>
    </row>
    <row r="8061" spans="1:2">
      <c r="A8061" s="4">
        <v>43061</v>
      </c>
      <c r="B8061" s="3">
        <v>58.02</v>
      </c>
    </row>
    <row r="8062" spans="1:2">
      <c r="A8062" s="4">
        <v>43062</v>
      </c>
      <c r="B8062" s="3"/>
    </row>
    <row r="8063" spans="1:2">
      <c r="A8063" s="4">
        <v>43063</v>
      </c>
      <c r="B8063" s="3">
        <v>58.95</v>
      </c>
    </row>
    <row r="8064" spans="1:2">
      <c r="A8064" s="4">
        <v>43066</v>
      </c>
      <c r="B8064" s="3">
        <v>58.11</v>
      </c>
    </row>
    <row r="8065" spans="1:2">
      <c r="A8065" s="4">
        <v>43067</v>
      </c>
      <c r="B8065" s="3">
        <v>57.99</v>
      </c>
    </row>
    <row r="8066" spans="1:2">
      <c r="A8066" s="4">
        <v>43068</v>
      </c>
      <c r="B8066" s="3">
        <v>57.3</v>
      </c>
    </row>
    <row r="8067" spans="1:2">
      <c r="A8067" s="4">
        <v>43069</v>
      </c>
      <c r="B8067" s="3">
        <v>57.4</v>
      </c>
    </row>
    <row r="8068" spans="1:2">
      <c r="A8068" s="4">
        <v>43070</v>
      </c>
      <c r="B8068" s="3">
        <v>58.36</v>
      </c>
    </row>
    <row r="8069" spans="1:2">
      <c r="A8069" s="4">
        <v>43073</v>
      </c>
      <c r="B8069" s="3">
        <v>57.47</v>
      </c>
    </row>
    <row r="8070" spans="1:2">
      <c r="A8070" s="4">
        <v>43074</v>
      </c>
      <c r="B8070" s="3">
        <v>57.62</v>
      </c>
    </row>
    <row r="8071" spans="1:2">
      <c r="A8071" s="4">
        <v>43075</v>
      </c>
      <c r="B8071" s="3">
        <v>55.96</v>
      </c>
    </row>
    <row r="8072" spans="1:2">
      <c r="A8072" s="4">
        <v>43076</v>
      </c>
      <c r="B8072" s="3">
        <v>56.69</v>
      </c>
    </row>
    <row r="8073" spans="1:2">
      <c r="A8073" s="4">
        <v>43077</v>
      </c>
      <c r="B8073" s="3">
        <v>57.36</v>
      </c>
    </row>
    <row r="8074" spans="1:2">
      <c r="A8074" s="4">
        <v>43080</v>
      </c>
      <c r="B8074" s="3">
        <v>57.99</v>
      </c>
    </row>
    <row r="8075" spans="1:2">
      <c r="A8075" s="4">
        <v>43081</v>
      </c>
      <c r="B8075" s="3">
        <v>57.14</v>
      </c>
    </row>
    <row r="8076" spans="1:2">
      <c r="A8076" s="4">
        <v>43082</v>
      </c>
      <c r="B8076" s="3">
        <v>56.6</v>
      </c>
    </row>
    <row r="8077" spans="1:2">
      <c r="A8077" s="4">
        <v>43083</v>
      </c>
      <c r="B8077" s="3">
        <v>57.04</v>
      </c>
    </row>
    <row r="8078" spans="1:2">
      <c r="A8078" s="4">
        <v>43084</v>
      </c>
      <c r="B8078" s="3">
        <v>57.3</v>
      </c>
    </row>
    <row r="8079" spans="1:2">
      <c r="A8079" s="4">
        <v>43087</v>
      </c>
      <c r="B8079" s="3">
        <v>57.16</v>
      </c>
    </row>
    <row r="8080" spans="1:2">
      <c r="A8080" s="4">
        <v>43088</v>
      </c>
      <c r="B8080" s="3">
        <v>57.46</v>
      </c>
    </row>
    <row r="8081" spans="1:2">
      <c r="A8081" s="4">
        <v>43089</v>
      </c>
      <c r="B8081" s="3">
        <v>58.09</v>
      </c>
    </row>
    <row r="8082" spans="1:2">
      <c r="A8082" s="4">
        <v>43090</v>
      </c>
      <c r="B8082" s="3">
        <v>58.36</v>
      </c>
    </row>
    <row r="8083" spans="1:2">
      <c r="A8083" s="4">
        <v>43091</v>
      </c>
      <c r="B8083" s="3">
        <v>58.47</v>
      </c>
    </row>
    <row r="8084" spans="1:2">
      <c r="A8084" s="4">
        <v>43094</v>
      </c>
      <c r="B8084" s="3"/>
    </row>
    <row r="8085" spans="1:2">
      <c r="A8085" s="4">
        <v>43095</v>
      </c>
      <c r="B8085" s="3">
        <v>59.97</v>
      </c>
    </row>
    <row r="8086" spans="1:2">
      <c r="A8086" s="4">
        <v>43096</v>
      </c>
      <c r="B8086" s="3">
        <v>59.64</v>
      </c>
    </row>
    <row r="8087" spans="1:2">
      <c r="A8087" s="4">
        <v>43097</v>
      </c>
      <c r="B8087" s="3">
        <v>59.84</v>
      </c>
    </row>
    <row r="8088" spans="1:2">
      <c r="A8088" s="4">
        <v>43098</v>
      </c>
      <c r="B8088" s="3">
        <v>60.42</v>
      </c>
    </row>
    <row r="8089" spans="1:2">
      <c r="A8089" s="4">
        <v>43101</v>
      </c>
      <c r="B8089" s="3"/>
    </row>
    <row r="8090" spans="1:2">
      <c r="A8090" s="4">
        <v>43102</v>
      </c>
      <c r="B8090" s="3">
        <v>60.37</v>
      </c>
    </row>
    <row r="8091" spans="1:2">
      <c r="A8091" s="4">
        <v>43103</v>
      </c>
      <c r="B8091" s="3">
        <v>61.63</v>
      </c>
    </row>
    <row r="8092" spans="1:2">
      <c r="A8092" s="4">
        <v>43104</v>
      </c>
      <c r="B8092" s="3">
        <v>62.01</v>
      </c>
    </row>
    <row r="8093" spans="1:2">
      <c r="A8093" s="4">
        <v>43105</v>
      </c>
      <c r="B8093" s="3">
        <v>61.44</v>
      </c>
    </row>
    <row r="8094" spans="1:2">
      <c r="A8094" s="4">
        <v>43108</v>
      </c>
      <c r="B8094" s="3">
        <v>61.73</v>
      </c>
    </row>
    <row r="8095" spans="1:2">
      <c r="A8095" s="4">
        <v>43109</v>
      </c>
      <c r="B8095" s="3">
        <v>62.96</v>
      </c>
    </row>
    <row r="8096" spans="1:2">
      <c r="A8096" s="4">
        <v>43110</v>
      </c>
      <c r="B8096" s="3">
        <v>63.57</v>
      </c>
    </row>
    <row r="8097" spans="1:2">
      <c r="A8097" s="4">
        <v>43111</v>
      </c>
      <c r="B8097" s="3">
        <v>63.8</v>
      </c>
    </row>
    <row r="8098" spans="1:2">
      <c r="A8098" s="4">
        <v>43112</v>
      </c>
      <c r="B8098" s="3">
        <v>64.3</v>
      </c>
    </row>
    <row r="8099" spans="1:2">
      <c r="A8099" s="4">
        <v>43115</v>
      </c>
      <c r="B8099" s="3"/>
    </row>
    <row r="8100" spans="1:2">
      <c r="A8100" s="4">
        <v>43116</v>
      </c>
      <c r="B8100" s="3">
        <v>63.73</v>
      </c>
    </row>
    <row r="8101" spans="1:2">
      <c r="A8101" s="4">
        <v>43117</v>
      </c>
      <c r="B8101" s="3">
        <v>63.97</v>
      </c>
    </row>
    <row r="8102" spans="1:2">
      <c r="A8102" s="4">
        <v>43118</v>
      </c>
      <c r="B8102" s="3">
        <v>63.95</v>
      </c>
    </row>
    <row r="8103" spans="1:2">
      <c r="A8103" s="4">
        <v>43119</v>
      </c>
      <c r="B8103" s="3">
        <v>63.37</v>
      </c>
    </row>
    <row r="8104" spans="1:2">
      <c r="A8104" s="4">
        <v>43122</v>
      </c>
      <c r="B8104" s="3">
        <v>63.49</v>
      </c>
    </row>
    <row r="8105" spans="1:2">
      <c r="A8105" s="4">
        <v>43123</v>
      </c>
      <c r="B8105" s="3">
        <v>64.47</v>
      </c>
    </row>
    <row r="8106" spans="1:2">
      <c r="A8106" s="4">
        <v>43124</v>
      </c>
      <c r="B8106" s="3">
        <v>65.61</v>
      </c>
    </row>
    <row r="8107" spans="1:2">
      <c r="A8107" s="4">
        <v>43125</v>
      </c>
      <c r="B8107" s="3">
        <v>65.510000000000005</v>
      </c>
    </row>
    <row r="8108" spans="1:2">
      <c r="A8108" s="4">
        <v>43126</v>
      </c>
      <c r="B8108" s="3">
        <v>66.14</v>
      </c>
    </row>
    <row r="8109" spans="1:2">
      <c r="A8109" s="4">
        <v>43129</v>
      </c>
      <c r="B8109" s="3">
        <v>65.56</v>
      </c>
    </row>
    <row r="8110" spans="1:2">
      <c r="A8110" s="4">
        <v>43130</v>
      </c>
      <c r="B8110" s="3">
        <v>64.5</v>
      </c>
    </row>
    <row r="8111" spans="1:2">
      <c r="A8111" s="4">
        <v>43131</v>
      </c>
      <c r="B8111" s="3">
        <v>64.73</v>
      </c>
    </row>
    <row r="8112" spans="1:2">
      <c r="A8112" s="4">
        <v>43132</v>
      </c>
      <c r="B8112" s="3">
        <v>65.8</v>
      </c>
    </row>
    <row r="8113" spans="1:2">
      <c r="A8113" s="4">
        <v>43133</v>
      </c>
      <c r="B8113" s="3">
        <v>65.45</v>
      </c>
    </row>
    <row r="8114" spans="1:2">
      <c r="A8114" s="4">
        <v>43136</v>
      </c>
      <c r="B8114" s="3">
        <v>64.150000000000006</v>
      </c>
    </row>
    <row r="8115" spans="1:2">
      <c r="A8115" s="4">
        <v>43137</v>
      </c>
      <c r="B8115" s="3">
        <v>63.39</v>
      </c>
    </row>
    <row r="8116" spans="1:2">
      <c r="A8116" s="4">
        <v>43138</v>
      </c>
      <c r="B8116" s="3">
        <v>61.79</v>
      </c>
    </row>
    <row r="8117" spans="1:2">
      <c r="A8117" s="4">
        <v>43139</v>
      </c>
      <c r="B8117" s="3">
        <v>61.15</v>
      </c>
    </row>
    <row r="8118" spans="1:2">
      <c r="A8118" s="4">
        <v>43140</v>
      </c>
      <c r="B8118" s="3">
        <v>59.2</v>
      </c>
    </row>
    <row r="8119" spans="1:2">
      <c r="A8119" s="4">
        <v>43143</v>
      </c>
      <c r="B8119" s="3">
        <v>59.29</v>
      </c>
    </row>
    <row r="8120" spans="1:2">
      <c r="A8120" s="4">
        <v>43144</v>
      </c>
      <c r="B8120" s="3">
        <v>59.19</v>
      </c>
    </row>
    <row r="8121" spans="1:2">
      <c r="A8121" s="4">
        <v>43145</v>
      </c>
      <c r="B8121" s="3">
        <v>60.6</v>
      </c>
    </row>
    <row r="8122" spans="1:2">
      <c r="A8122" s="4">
        <v>43146</v>
      </c>
      <c r="B8122" s="3">
        <v>61.34</v>
      </c>
    </row>
    <row r="8123" spans="1:2">
      <c r="A8123" s="4">
        <v>43147</v>
      </c>
      <c r="B8123" s="3">
        <v>61.68</v>
      </c>
    </row>
    <row r="8124" spans="1:2">
      <c r="A8124" s="4">
        <v>43150</v>
      </c>
      <c r="B8124" s="3"/>
    </row>
    <row r="8125" spans="1:2">
      <c r="A8125" s="4">
        <v>43151</v>
      </c>
      <c r="B8125" s="3">
        <v>61.9</v>
      </c>
    </row>
    <row r="8126" spans="1:2">
      <c r="A8126" s="4">
        <v>43152</v>
      </c>
      <c r="B8126" s="3">
        <v>61.68</v>
      </c>
    </row>
    <row r="8127" spans="1:2">
      <c r="A8127" s="4">
        <v>43153</v>
      </c>
      <c r="B8127" s="3">
        <v>62.77</v>
      </c>
    </row>
    <row r="8128" spans="1:2">
      <c r="A8128" s="4">
        <v>43154</v>
      </c>
      <c r="B8128" s="3">
        <v>63.55</v>
      </c>
    </row>
    <row r="8129" spans="1:2">
      <c r="A8129" s="4">
        <v>43157</v>
      </c>
      <c r="B8129" s="3">
        <v>63.91</v>
      </c>
    </row>
    <row r="8130" spans="1:2">
      <c r="A8130" s="4">
        <v>43158</v>
      </c>
      <c r="B8130" s="3">
        <v>63.01</v>
      </c>
    </row>
    <row r="8131" spans="1:2">
      <c r="A8131" s="4">
        <v>43159</v>
      </c>
      <c r="B8131" s="3">
        <v>61.64</v>
      </c>
    </row>
    <row r="8132" spans="1:2">
      <c r="A8132" s="4">
        <v>43160</v>
      </c>
      <c r="B8132" s="3">
        <v>60.99</v>
      </c>
    </row>
    <row r="8133" spans="1:2">
      <c r="A8133" s="4">
        <v>43161</v>
      </c>
      <c r="B8133" s="3">
        <v>61.25</v>
      </c>
    </row>
    <row r="8134" spans="1:2">
      <c r="A8134" s="4">
        <v>43164</v>
      </c>
      <c r="B8134" s="3">
        <v>62.57</v>
      </c>
    </row>
    <row r="8135" spans="1:2">
      <c r="A8135" s="4">
        <v>43165</v>
      </c>
      <c r="B8135" s="3">
        <v>62.6</v>
      </c>
    </row>
    <row r="8136" spans="1:2">
      <c r="A8136" s="4">
        <v>43166</v>
      </c>
      <c r="B8136" s="3">
        <v>61.15</v>
      </c>
    </row>
    <row r="8137" spans="1:2">
      <c r="A8137" s="4">
        <v>43167</v>
      </c>
      <c r="B8137" s="3">
        <v>60.12</v>
      </c>
    </row>
    <row r="8138" spans="1:2">
      <c r="A8138" s="4">
        <v>43168</v>
      </c>
      <c r="B8138" s="3">
        <v>62.04</v>
      </c>
    </row>
    <row r="8139" spans="1:2">
      <c r="A8139" s="4">
        <v>43171</v>
      </c>
      <c r="B8139" s="3">
        <v>61.36</v>
      </c>
    </row>
    <row r="8140" spans="1:2">
      <c r="A8140" s="4">
        <v>43172</v>
      </c>
      <c r="B8140" s="3">
        <v>60.71</v>
      </c>
    </row>
    <row r="8141" spans="1:2">
      <c r="A8141" s="4">
        <v>43173</v>
      </c>
      <c r="B8141" s="3">
        <v>60.96</v>
      </c>
    </row>
    <row r="8142" spans="1:2">
      <c r="A8142" s="4">
        <v>43174</v>
      </c>
      <c r="B8142" s="3">
        <v>61.19</v>
      </c>
    </row>
    <row r="8143" spans="1:2">
      <c r="A8143" s="4">
        <v>43175</v>
      </c>
      <c r="B8143" s="3">
        <v>62.34</v>
      </c>
    </row>
    <row r="8144" spans="1:2">
      <c r="A8144" s="4">
        <v>43178</v>
      </c>
      <c r="B8144" s="3">
        <v>62.06</v>
      </c>
    </row>
    <row r="8145" spans="1:2">
      <c r="A8145" s="4">
        <v>43179</v>
      </c>
      <c r="B8145" s="3">
        <v>63.4</v>
      </c>
    </row>
    <row r="8146" spans="1:2">
      <c r="A8146" s="4">
        <v>43180</v>
      </c>
      <c r="B8146" s="3">
        <v>65.17</v>
      </c>
    </row>
    <row r="8147" spans="1:2">
      <c r="A8147" s="4">
        <v>43181</v>
      </c>
      <c r="B8147" s="3">
        <v>64.3</v>
      </c>
    </row>
    <row r="8148" spans="1:2">
      <c r="A8148" s="4">
        <v>43182</v>
      </c>
      <c r="B8148" s="3">
        <v>65.88</v>
      </c>
    </row>
    <row r="8149" spans="1:2">
      <c r="A8149" s="4">
        <v>43185</v>
      </c>
      <c r="B8149" s="3">
        <v>65.55</v>
      </c>
    </row>
    <row r="8150" spans="1:2">
      <c r="A8150" s="4">
        <v>43186</v>
      </c>
      <c r="B8150" s="3">
        <v>65.25</v>
      </c>
    </row>
    <row r="8151" spans="1:2">
      <c r="A8151" s="4">
        <v>43187</v>
      </c>
      <c r="B8151" s="3">
        <v>64.38</v>
      </c>
    </row>
    <row r="8152" spans="1:2">
      <c r="A8152" s="4">
        <v>43188</v>
      </c>
      <c r="B8152" s="3">
        <v>64.94</v>
      </c>
    </row>
    <row r="8153" spans="1:2">
      <c r="A8153" s="4">
        <v>43189</v>
      </c>
      <c r="B8153" s="3"/>
    </row>
    <row r="8154" spans="1:2">
      <c r="A8154" s="4">
        <v>43192</v>
      </c>
      <c r="B8154" s="3">
        <v>63.01</v>
      </c>
    </row>
    <row r="8155" spans="1:2">
      <c r="A8155" s="4">
        <v>43193</v>
      </c>
      <c r="B8155" s="3">
        <v>63.51</v>
      </c>
    </row>
    <row r="8156" spans="1:2">
      <c r="A8156" s="4">
        <v>43194</v>
      </c>
      <c r="B8156" s="3">
        <v>63.37</v>
      </c>
    </row>
    <row r="8157" spans="1:2">
      <c r="A8157" s="4">
        <v>43195</v>
      </c>
      <c r="B8157" s="3">
        <v>63.54</v>
      </c>
    </row>
    <row r="8158" spans="1:2">
      <c r="A8158" s="4">
        <v>43196</v>
      </c>
      <c r="B8158" s="3">
        <v>62.06</v>
      </c>
    </row>
    <row r="8159" spans="1:2">
      <c r="A8159" s="4">
        <v>43199</v>
      </c>
      <c r="B8159" s="3">
        <v>63.42</v>
      </c>
    </row>
    <row r="8160" spans="1:2">
      <c r="A8160" s="4">
        <v>43200</v>
      </c>
      <c r="B8160" s="3">
        <v>65.510000000000005</v>
      </c>
    </row>
    <row r="8161" spans="1:2">
      <c r="A8161" s="4">
        <v>43201</v>
      </c>
      <c r="B8161" s="3">
        <v>66.819999999999993</v>
      </c>
    </row>
    <row r="8162" spans="1:2">
      <c r="A8162" s="4">
        <v>43202</v>
      </c>
      <c r="B8162" s="3">
        <v>67.069999999999993</v>
      </c>
    </row>
    <row r="8163" spans="1:2">
      <c r="A8163" s="4">
        <v>43203</v>
      </c>
      <c r="B8163" s="3">
        <v>67.39</v>
      </c>
    </row>
    <row r="8164" spans="1:2">
      <c r="A8164" s="4">
        <v>43206</v>
      </c>
      <c r="B8164" s="3">
        <v>66.22</v>
      </c>
    </row>
    <row r="8165" spans="1:2">
      <c r="A8165" s="4">
        <v>43207</v>
      </c>
      <c r="B8165" s="3">
        <v>66.52</v>
      </c>
    </row>
    <row r="8166" spans="1:2">
      <c r="A8166" s="4">
        <v>43208</v>
      </c>
      <c r="B8166" s="3">
        <v>68.47</v>
      </c>
    </row>
    <row r="8167" spans="1:2">
      <c r="A8167" s="4">
        <v>43209</v>
      </c>
      <c r="B8167" s="3">
        <v>68.290000000000006</v>
      </c>
    </row>
    <row r="8168" spans="1:2">
      <c r="A8168" s="4">
        <v>43210</v>
      </c>
      <c r="B8168" s="3">
        <v>68.38</v>
      </c>
    </row>
    <row r="8169" spans="1:2">
      <c r="A8169" s="4">
        <v>43213</v>
      </c>
      <c r="B8169" s="3">
        <v>68.64</v>
      </c>
    </row>
    <row r="8170" spans="1:2">
      <c r="A8170" s="4">
        <v>43214</v>
      </c>
      <c r="B8170" s="3">
        <v>67.7</v>
      </c>
    </row>
    <row r="8171" spans="1:2">
      <c r="A8171" s="4">
        <v>43215</v>
      </c>
      <c r="B8171" s="3">
        <v>68.05</v>
      </c>
    </row>
    <row r="8172" spans="1:2">
      <c r="A8172" s="4">
        <v>43216</v>
      </c>
      <c r="B8172" s="3">
        <v>68.19</v>
      </c>
    </row>
    <row r="8173" spans="1:2">
      <c r="A8173" s="4">
        <v>43217</v>
      </c>
      <c r="B8173" s="3">
        <v>68.099999999999994</v>
      </c>
    </row>
    <row r="8174" spans="1:2">
      <c r="A8174" s="4">
        <v>43220</v>
      </c>
      <c r="B8174" s="3">
        <v>68.569999999999993</v>
      </c>
    </row>
    <row r="8175" spans="1:2">
      <c r="A8175" s="4">
        <v>43221</v>
      </c>
      <c r="B8175" s="3">
        <v>67.25</v>
      </c>
    </row>
    <row r="8176" spans="1:2">
      <c r="A8176" s="4">
        <v>43222</v>
      </c>
      <c r="B8176" s="3">
        <v>67.930000000000007</v>
      </c>
    </row>
    <row r="8177" spans="1:2">
      <c r="A8177" s="4">
        <v>43223</v>
      </c>
      <c r="B8177" s="3">
        <v>68.430000000000007</v>
      </c>
    </row>
    <row r="8178" spans="1:2">
      <c r="A8178" s="4">
        <v>43224</v>
      </c>
      <c r="B8178" s="3">
        <v>69.72</v>
      </c>
    </row>
    <row r="8179" spans="1:2">
      <c r="A8179" s="4">
        <v>43227</v>
      </c>
      <c r="B8179" s="3">
        <v>70.73</v>
      </c>
    </row>
    <row r="8180" spans="1:2">
      <c r="A8180" s="4">
        <v>43228</v>
      </c>
      <c r="B8180" s="3">
        <v>69.06</v>
      </c>
    </row>
    <row r="8181" spans="1:2">
      <c r="A8181" s="4">
        <v>43229</v>
      </c>
      <c r="B8181" s="3">
        <v>71.14</v>
      </c>
    </row>
    <row r="8182" spans="1:2">
      <c r="A8182" s="4">
        <v>43230</v>
      </c>
      <c r="B8182" s="3">
        <v>71.36</v>
      </c>
    </row>
    <row r="8183" spans="1:2">
      <c r="A8183" s="4">
        <v>43231</v>
      </c>
      <c r="B8183" s="3">
        <v>70.7</v>
      </c>
    </row>
    <row r="8184" spans="1:2">
      <c r="A8184" s="4">
        <v>43234</v>
      </c>
      <c r="B8184" s="3">
        <v>70.959999999999994</v>
      </c>
    </row>
    <row r="8185" spans="1:2">
      <c r="A8185" s="4">
        <v>43235</v>
      </c>
      <c r="B8185" s="3">
        <v>71.31</v>
      </c>
    </row>
    <row r="8186" spans="1:2">
      <c r="A8186" s="4">
        <v>43236</v>
      </c>
      <c r="B8186" s="3">
        <v>71.489999999999995</v>
      </c>
    </row>
    <row r="8187" spans="1:2">
      <c r="A8187" s="4">
        <v>43237</v>
      </c>
      <c r="B8187" s="3">
        <v>71.489999999999995</v>
      </c>
    </row>
    <row r="8188" spans="1:2">
      <c r="A8188" s="4">
        <v>43238</v>
      </c>
      <c r="B8188" s="3">
        <v>71.28</v>
      </c>
    </row>
    <row r="8189" spans="1:2">
      <c r="A8189" s="4">
        <v>43241</v>
      </c>
      <c r="B8189" s="3">
        <v>72.239999999999995</v>
      </c>
    </row>
    <row r="8190" spans="1:2">
      <c r="A8190" s="4">
        <v>43242</v>
      </c>
      <c r="B8190" s="3">
        <v>72.13</v>
      </c>
    </row>
    <row r="8191" spans="1:2">
      <c r="A8191" s="4">
        <v>43243</v>
      </c>
      <c r="B8191" s="3">
        <v>71.84</v>
      </c>
    </row>
    <row r="8192" spans="1:2">
      <c r="A8192" s="4">
        <v>43244</v>
      </c>
      <c r="B8192" s="3">
        <v>70.709999999999994</v>
      </c>
    </row>
    <row r="8193" spans="1:2">
      <c r="A8193" s="4">
        <v>43245</v>
      </c>
      <c r="B8193" s="3">
        <v>67.88</v>
      </c>
    </row>
    <row r="8194" spans="1:2">
      <c r="A8194" s="4">
        <v>43248</v>
      </c>
      <c r="B8194" s="3">
        <v>66.47</v>
      </c>
    </row>
    <row r="8195" spans="1:2">
      <c r="A8195" s="4">
        <v>43249</v>
      </c>
      <c r="B8195" s="3">
        <v>66.73</v>
      </c>
    </row>
    <row r="8196" spans="1:2">
      <c r="A8196" s="4">
        <v>43250</v>
      </c>
      <c r="B8196" s="3">
        <v>68.209999999999994</v>
      </c>
    </row>
    <row r="8197" spans="1:2">
      <c r="A8197" s="4">
        <v>43251</v>
      </c>
      <c r="B8197" s="3">
        <v>67.040000000000006</v>
      </c>
    </row>
    <row r="8198" spans="1:2">
      <c r="A8198" s="4">
        <v>43252</v>
      </c>
      <c r="B8198" s="3">
        <v>65.81</v>
      </c>
    </row>
    <row r="8199" spans="1:2">
      <c r="A8199" s="4">
        <v>43255</v>
      </c>
      <c r="B8199" s="3">
        <v>64.75</v>
      </c>
    </row>
    <row r="8200" spans="1:2">
      <c r="A8200" s="4">
        <v>43256</v>
      </c>
      <c r="B8200" s="3">
        <v>65.52</v>
      </c>
    </row>
    <row r="8201" spans="1:2">
      <c r="A8201" s="4">
        <v>43257</v>
      </c>
      <c r="B8201" s="3">
        <v>64.75</v>
      </c>
    </row>
    <row r="8202" spans="1:2">
      <c r="A8202" s="4">
        <v>43258</v>
      </c>
      <c r="B8202" s="3">
        <v>65.959999999999994</v>
      </c>
    </row>
    <row r="8203" spans="1:2">
      <c r="A8203" s="4">
        <v>43259</v>
      </c>
      <c r="B8203" s="3">
        <v>65.77</v>
      </c>
    </row>
    <row r="8204" spans="1:2">
      <c r="A8204" s="4">
        <v>43262</v>
      </c>
      <c r="B8204" s="3">
        <v>66.099999999999994</v>
      </c>
    </row>
    <row r="8205" spans="1:2">
      <c r="A8205" s="4">
        <v>43263</v>
      </c>
      <c r="B8205" s="3">
        <v>66.38</v>
      </c>
    </row>
    <row r="8206" spans="1:2">
      <c r="A8206" s="4">
        <v>43264</v>
      </c>
      <c r="B8206" s="3">
        <v>66.63</v>
      </c>
    </row>
    <row r="8207" spans="1:2">
      <c r="A8207" s="4">
        <v>43265</v>
      </c>
      <c r="B8207" s="3">
        <v>66.91</v>
      </c>
    </row>
    <row r="8208" spans="1:2">
      <c r="A8208" s="4">
        <v>43266</v>
      </c>
      <c r="B8208" s="3">
        <v>65.010000000000005</v>
      </c>
    </row>
    <row r="8209" spans="1:2">
      <c r="A8209" s="4">
        <v>43269</v>
      </c>
      <c r="B8209" s="3">
        <v>65.91</v>
      </c>
    </row>
    <row r="8210" spans="1:2">
      <c r="A8210" s="4">
        <v>43270</v>
      </c>
      <c r="B8210" s="3">
        <v>65.09</v>
      </c>
    </row>
    <row r="8211" spans="1:2">
      <c r="A8211" s="4">
        <v>43271</v>
      </c>
      <c r="B8211" s="3">
        <v>65.92</v>
      </c>
    </row>
    <row r="8212" spans="1:2">
      <c r="A8212" s="4">
        <v>43272</v>
      </c>
      <c r="B8212" s="3">
        <v>65.680000000000007</v>
      </c>
    </row>
    <row r="8213" spans="1:2">
      <c r="A8213" s="4">
        <v>43273</v>
      </c>
      <c r="B8213" s="3">
        <v>69.02</v>
      </c>
    </row>
    <row r="8214" spans="1:2">
      <c r="A8214" s="4">
        <v>43276</v>
      </c>
      <c r="B8214" s="3">
        <v>69.91</v>
      </c>
    </row>
    <row r="8215" spans="1:2">
      <c r="A8215" s="4">
        <v>43277</v>
      </c>
      <c r="B8215" s="3">
        <v>75.23</v>
      </c>
    </row>
    <row r="8216" spans="1:2">
      <c r="A8216" s="4">
        <v>43278</v>
      </c>
      <c r="B8216" s="3">
        <v>77.41</v>
      </c>
    </row>
    <row r="8217" spans="1:2">
      <c r="A8217" s="4">
        <v>43279</v>
      </c>
      <c r="B8217" s="3">
        <v>73.45</v>
      </c>
    </row>
    <row r="8218" spans="1:2">
      <c r="A8218" s="4">
        <v>43280</v>
      </c>
      <c r="B8218" s="3">
        <v>74.13</v>
      </c>
    </row>
    <row r="8219" spans="1:2">
      <c r="A8219" s="4">
        <v>43283</v>
      </c>
      <c r="B8219" s="3">
        <v>73.89</v>
      </c>
    </row>
    <row r="8220" spans="1:2">
      <c r="A8220" s="4">
        <v>43284</v>
      </c>
      <c r="B8220" s="3">
        <v>74.19</v>
      </c>
    </row>
    <row r="8221" spans="1:2">
      <c r="A8221" s="4">
        <v>43285</v>
      </c>
      <c r="B8221" s="3"/>
    </row>
    <row r="8222" spans="1:2">
      <c r="A8222" s="4">
        <v>43286</v>
      </c>
      <c r="B8222" s="3">
        <v>73.05</v>
      </c>
    </row>
    <row r="8223" spans="1:2">
      <c r="A8223" s="4">
        <v>43287</v>
      </c>
      <c r="B8223" s="3">
        <v>73.78</v>
      </c>
    </row>
    <row r="8224" spans="1:2">
      <c r="A8224" s="4">
        <v>43290</v>
      </c>
      <c r="B8224" s="3">
        <v>73.930000000000007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1230C-45A9-4665-AAB8-32CEEA63575F}">
  <dimension ref="A1:B2610"/>
  <sheetViews>
    <sheetView workbookViewId="0"/>
  </sheetViews>
  <sheetFormatPr defaultRowHeight="14.4"/>
  <sheetData>
    <row r="1" spans="1:2">
      <c r="A1" t="s">
        <v>0</v>
      </c>
      <c r="B1" t="s">
        <v>4</v>
      </c>
    </row>
    <row r="2" spans="1:2">
      <c r="A2" s="1">
        <v>42461</v>
      </c>
      <c r="B2">
        <v>13.1</v>
      </c>
    </row>
    <row r="3" spans="1:2">
      <c r="A3" s="1">
        <v>42464</v>
      </c>
      <c r="B3">
        <v>14.12</v>
      </c>
    </row>
    <row r="4" spans="1:2">
      <c r="A4" s="1">
        <v>42465</v>
      </c>
      <c r="B4">
        <v>15.42</v>
      </c>
    </row>
    <row r="5" spans="1:2">
      <c r="A5" s="1">
        <v>42466</v>
      </c>
      <c r="B5">
        <v>14.09</v>
      </c>
    </row>
    <row r="6" spans="1:2">
      <c r="A6" s="1">
        <v>42467</v>
      </c>
      <c r="B6">
        <v>16.16</v>
      </c>
    </row>
    <row r="7" spans="1:2">
      <c r="A7" s="1">
        <v>42468</v>
      </c>
      <c r="B7">
        <v>15.36</v>
      </c>
    </row>
    <row r="8" spans="1:2">
      <c r="A8" s="1">
        <v>42471</v>
      </c>
      <c r="B8">
        <v>16.260000000000002</v>
      </c>
    </row>
    <row r="9" spans="1:2">
      <c r="A9" s="1">
        <v>42472</v>
      </c>
      <c r="B9">
        <v>14.85</v>
      </c>
    </row>
    <row r="10" spans="1:2">
      <c r="A10" s="1">
        <v>42473</v>
      </c>
      <c r="B10">
        <v>13.84</v>
      </c>
    </row>
    <row r="11" spans="1:2">
      <c r="A11" s="1">
        <v>42474</v>
      </c>
      <c r="B11">
        <v>13.72</v>
      </c>
    </row>
    <row r="12" spans="1:2">
      <c r="A12" s="1">
        <v>42475</v>
      </c>
      <c r="B12">
        <v>13.62</v>
      </c>
    </row>
    <row r="13" spans="1:2">
      <c r="A13" s="1">
        <v>42478</v>
      </c>
      <c r="B13">
        <v>13.35</v>
      </c>
    </row>
    <row r="14" spans="1:2">
      <c r="A14" s="1">
        <v>42479</v>
      </c>
      <c r="B14">
        <v>13.24</v>
      </c>
    </row>
    <row r="15" spans="1:2">
      <c r="A15" s="1">
        <v>42480</v>
      </c>
      <c r="B15">
        <v>13.28</v>
      </c>
    </row>
    <row r="16" spans="1:2">
      <c r="A16" s="1">
        <v>42481</v>
      </c>
      <c r="B16">
        <v>13.95</v>
      </c>
    </row>
    <row r="17" spans="1:2">
      <c r="A17" s="1">
        <v>42482</v>
      </c>
      <c r="B17">
        <v>13.22</v>
      </c>
    </row>
    <row r="18" spans="1:2">
      <c r="A18" s="1">
        <v>42485</v>
      </c>
      <c r="B18">
        <v>14.08</v>
      </c>
    </row>
    <row r="19" spans="1:2">
      <c r="A19" s="1">
        <v>42486</v>
      </c>
      <c r="B19">
        <v>13.96</v>
      </c>
    </row>
    <row r="20" spans="1:2">
      <c r="A20" s="1">
        <v>42487</v>
      </c>
      <c r="B20">
        <v>13.77</v>
      </c>
    </row>
    <row r="21" spans="1:2">
      <c r="A21" s="1">
        <v>42488</v>
      </c>
      <c r="B21">
        <v>15.22</v>
      </c>
    </row>
    <row r="22" spans="1:2">
      <c r="A22" s="1">
        <v>42489</v>
      </c>
      <c r="B22">
        <v>15.7</v>
      </c>
    </row>
    <row r="23" spans="1:2">
      <c r="A23" s="1">
        <v>42492</v>
      </c>
      <c r="B23">
        <v>14.68</v>
      </c>
    </row>
    <row r="24" spans="1:2">
      <c r="A24" s="1">
        <v>42493</v>
      </c>
      <c r="B24">
        <v>15.6</v>
      </c>
    </row>
    <row r="25" spans="1:2">
      <c r="A25" s="1">
        <v>42494</v>
      </c>
      <c r="B25">
        <v>16.05</v>
      </c>
    </row>
    <row r="26" spans="1:2">
      <c r="A26" s="1">
        <v>42495</v>
      </c>
      <c r="B26">
        <v>15.91</v>
      </c>
    </row>
    <row r="27" spans="1:2">
      <c r="A27" s="1">
        <v>42496</v>
      </c>
      <c r="B27">
        <v>14.72</v>
      </c>
    </row>
    <row r="28" spans="1:2">
      <c r="A28" s="1">
        <v>42499</v>
      </c>
      <c r="B28">
        <v>14.57</v>
      </c>
    </row>
    <row r="29" spans="1:2">
      <c r="A29" s="1">
        <v>42500</v>
      </c>
      <c r="B29">
        <v>13.63</v>
      </c>
    </row>
    <row r="30" spans="1:2">
      <c r="A30" s="1">
        <v>42501</v>
      </c>
      <c r="B30">
        <v>14.69</v>
      </c>
    </row>
    <row r="31" spans="1:2">
      <c r="A31" s="1">
        <v>42502</v>
      </c>
      <c r="B31">
        <v>14.41</v>
      </c>
    </row>
    <row r="32" spans="1:2">
      <c r="A32" s="1">
        <v>42503</v>
      </c>
      <c r="B32">
        <v>15.04</v>
      </c>
    </row>
    <row r="33" spans="1:2">
      <c r="A33" s="1">
        <v>42506</v>
      </c>
      <c r="B33">
        <v>14.68</v>
      </c>
    </row>
    <row r="34" spans="1:2">
      <c r="A34" s="1">
        <v>42507</v>
      </c>
      <c r="B34">
        <v>15.57</v>
      </c>
    </row>
    <row r="35" spans="1:2">
      <c r="A35" s="1">
        <v>42508</v>
      </c>
      <c r="B35">
        <v>15.95</v>
      </c>
    </row>
    <row r="36" spans="1:2">
      <c r="A36" s="1">
        <v>42509</v>
      </c>
      <c r="B36">
        <v>16.329999999999998</v>
      </c>
    </row>
    <row r="37" spans="1:2">
      <c r="A37" s="1">
        <v>42510</v>
      </c>
      <c r="B37">
        <v>15.2</v>
      </c>
    </row>
    <row r="38" spans="1:2">
      <c r="A38" s="1">
        <v>42513</v>
      </c>
      <c r="B38">
        <v>15.82</v>
      </c>
    </row>
    <row r="39" spans="1:2">
      <c r="A39" s="1">
        <v>42514</v>
      </c>
      <c r="B39">
        <v>14.42</v>
      </c>
    </row>
    <row r="40" spans="1:2">
      <c r="A40" s="1">
        <v>42515</v>
      </c>
      <c r="B40">
        <v>13.9</v>
      </c>
    </row>
    <row r="41" spans="1:2">
      <c r="A41" s="1">
        <v>42516</v>
      </c>
      <c r="B41">
        <v>13.43</v>
      </c>
    </row>
    <row r="42" spans="1:2">
      <c r="A42" s="1">
        <v>42517</v>
      </c>
      <c r="B42">
        <v>13.12</v>
      </c>
    </row>
    <row r="43" spans="1:2">
      <c r="A43" s="1">
        <v>42520</v>
      </c>
    </row>
    <row r="44" spans="1:2">
      <c r="A44" s="1">
        <v>42521</v>
      </c>
      <c r="B44">
        <v>14.19</v>
      </c>
    </row>
    <row r="45" spans="1:2">
      <c r="A45" s="1">
        <v>42522</v>
      </c>
      <c r="B45">
        <v>14.2</v>
      </c>
    </row>
    <row r="46" spans="1:2">
      <c r="A46" s="1">
        <v>42523</v>
      </c>
      <c r="B46">
        <v>13.63</v>
      </c>
    </row>
    <row r="47" spans="1:2">
      <c r="A47" s="1">
        <v>42524</v>
      </c>
      <c r="B47">
        <v>13.47</v>
      </c>
    </row>
    <row r="48" spans="1:2">
      <c r="A48" s="1">
        <v>42527</v>
      </c>
      <c r="B48">
        <v>13.65</v>
      </c>
    </row>
    <row r="49" spans="1:2">
      <c r="A49" s="1">
        <v>42528</v>
      </c>
      <c r="B49">
        <v>14.05</v>
      </c>
    </row>
    <row r="50" spans="1:2">
      <c r="A50" s="1">
        <v>42529</v>
      </c>
      <c r="B50">
        <v>14.08</v>
      </c>
    </row>
    <row r="51" spans="1:2">
      <c r="A51" s="1">
        <v>42530</v>
      </c>
      <c r="B51">
        <v>14.64</v>
      </c>
    </row>
    <row r="52" spans="1:2">
      <c r="A52" s="1">
        <v>42531</v>
      </c>
      <c r="B52">
        <v>17.03</v>
      </c>
    </row>
    <row r="53" spans="1:2">
      <c r="A53" s="1">
        <v>42534</v>
      </c>
      <c r="B53">
        <v>20.97</v>
      </c>
    </row>
    <row r="54" spans="1:2">
      <c r="A54" s="1">
        <v>42535</v>
      </c>
      <c r="B54">
        <v>20.5</v>
      </c>
    </row>
    <row r="55" spans="1:2">
      <c r="A55" s="1">
        <v>42536</v>
      </c>
      <c r="B55">
        <v>20.14</v>
      </c>
    </row>
    <row r="56" spans="1:2">
      <c r="A56" s="1">
        <v>42537</v>
      </c>
      <c r="B56">
        <v>19.37</v>
      </c>
    </row>
    <row r="57" spans="1:2">
      <c r="A57" s="1">
        <v>42538</v>
      </c>
      <c r="B57">
        <v>19.41</v>
      </c>
    </row>
    <row r="58" spans="1:2">
      <c r="A58" s="1">
        <v>42541</v>
      </c>
      <c r="B58">
        <v>18.37</v>
      </c>
    </row>
    <row r="59" spans="1:2">
      <c r="A59" s="1">
        <v>42542</v>
      </c>
      <c r="B59">
        <v>18.48</v>
      </c>
    </row>
    <row r="60" spans="1:2">
      <c r="A60" s="1">
        <v>42543</v>
      </c>
      <c r="B60">
        <v>21.17</v>
      </c>
    </row>
    <row r="61" spans="1:2">
      <c r="A61" s="1">
        <v>42544</v>
      </c>
      <c r="B61">
        <v>17.25</v>
      </c>
    </row>
    <row r="62" spans="1:2">
      <c r="A62" s="1">
        <v>42545</v>
      </c>
      <c r="B62">
        <v>25.76</v>
      </c>
    </row>
    <row r="63" spans="1:2">
      <c r="A63" s="1">
        <v>42548</v>
      </c>
      <c r="B63">
        <v>23.85</v>
      </c>
    </row>
    <row r="64" spans="1:2">
      <c r="A64" s="1">
        <v>42549</v>
      </c>
      <c r="B64">
        <v>18.75</v>
      </c>
    </row>
    <row r="65" spans="1:2">
      <c r="A65" s="1">
        <v>42550</v>
      </c>
      <c r="B65">
        <v>16.64</v>
      </c>
    </row>
    <row r="66" spans="1:2">
      <c r="A66" s="1">
        <v>42551</v>
      </c>
      <c r="B66">
        <v>15.63</v>
      </c>
    </row>
    <row r="67" spans="1:2">
      <c r="A67" s="1">
        <v>42552</v>
      </c>
      <c r="B67">
        <v>14.77</v>
      </c>
    </row>
    <row r="68" spans="1:2">
      <c r="A68" s="1">
        <v>42555</v>
      </c>
    </row>
    <row r="69" spans="1:2">
      <c r="A69" s="1">
        <v>42556</v>
      </c>
      <c r="B69">
        <v>15.58</v>
      </c>
    </row>
    <row r="70" spans="1:2">
      <c r="A70" s="1">
        <v>42557</v>
      </c>
      <c r="B70">
        <v>14.96</v>
      </c>
    </row>
    <row r="71" spans="1:2">
      <c r="A71" s="1">
        <v>42558</v>
      </c>
      <c r="B71">
        <v>14.76</v>
      </c>
    </row>
    <row r="72" spans="1:2">
      <c r="A72" s="1">
        <v>42559</v>
      </c>
      <c r="B72">
        <v>13.2</v>
      </c>
    </row>
    <row r="73" spans="1:2">
      <c r="A73" s="1">
        <v>42562</v>
      </c>
      <c r="B73">
        <v>13.54</v>
      </c>
    </row>
    <row r="74" spans="1:2">
      <c r="A74" s="1">
        <v>42563</v>
      </c>
      <c r="B74">
        <v>13.55</v>
      </c>
    </row>
    <row r="75" spans="1:2">
      <c r="A75" s="1">
        <v>42564</v>
      </c>
      <c r="B75">
        <v>13.04</v>
      </c>
    </row>
    <row r="76" spans="1:2">
      <c r="A76" s="1">
        <v>42565</v>
      </c>
      <c r="B76">
        <v>12.82</v>
      </c>
    </row>
    <row r="77" spans="1:2">
      <c r="A77" s="1">
        <v>42566</v>
      </c>
      <c r="B77">
        <v>12.67</v>
      </c>
    </row>
    <row r="78" spans="1:2">
      <c r="A78" s="1">
        <v>42569</v>
      </c>
      <c r="B78">
        <v>12.44</v>
      </c>
    </row>
    <row r="79" spans="1:2">
      <c r="A79" s="1">
        <v>42570</v>
      </c>
      <c r="B79">
        <v>11.97</v>
      </c>
    </row>
    <row r="80" spans="1:2">
      <c r="A80" s="1">
        <v>42571</v>
      </c>
      <c r="B80">
        <v>11.77</v>
      </c>
    </row>
    <row r="81" spans="1:2">
      <c r="A81" s="1">
        <v>42572</v>
      </c>
      <c r="B81">
        <v>12.74</v>
      </c>
    </row>
    <row r="82" spans="1:2">
      <c r="A82" s="1">
        <v>42573</v>
      </c>
      <c r="B82">
        <v>12.02</v>
      </c>
    </row>
    <row r="83" spans="1:2">
      <c r="A83" s="1">
        <v>42576</v>
      </c>
      <c r="B83">
        <v>12.87</v>
      </c>
    </row>
    <row r="84" spans="1:2">
      <c r="A84" s="1">
        <v>42577</v>
      </c>
      <c r="B84">
        <v>13.05</v>
      </c>
    </row>
    <row r="85" spans="1:2">
      <c r="A85" s="1">
        <v>42578</v>
      </c>
      <c r="B85">
        <v>12.83</v>
      </c>
    </row>
    <row r="86" spans="1:2">
      <c r="A86" s="1">
        <v>42579</v>
      </c>
      <c r="B86">
        <v>12.72</v>
      </c>
    </row>
    <row r="87" spans="1:2">
      <c r="A87" s="1">
        <v>42580</v>
      </c>
      <c r="B87">
        <v>11.87</v>
      </c>
    </row>
    <row r="88" spans="1:2">
      <c r="A88" s="1">
        <v>42583</v>
      </c>
      <c r="B88">
        <v>12.44</v>
      </c>
    </row>
    <row r="89" spans="1:2">
      <c r="A89" s="1">
        <v>42584</v>
      </c>
      <c r="B89">
        <v>13.37</v>
      </c>
    </row>
    <row r="90" spans="1:2">
      <c r="A90" s="1">
        <v>42585</v>
      </c>
      <c r="B90">
        <v>12.86</v>
      </c>
    </row>
    <row r="91" spans="1:2">
      <c r="A91" s="1">
        <v>42586</v>
      </c>
      <c r="B91">
        <v>12.42</v>
      </c>
    </row>
    <row r="92" spans="1:2">
      <c r="A92" s="1">
        <v>42587</v>
      </c>
      <c r="B92">
        <v>11.39</v>
      </c>
    </row>
    <row r="93" spans="1:2">
      <c r="A93" s="1">
        <v>42590</v>
      </c>
      <c r="B93">
        <v>11.5</v>
      </c>
    </row>
    <row r="94" spans="1:2">
      <c r="A94" s="1">
        <v>42591</v>
      </c>
      <c r="B94">
        <v>11.66</v>
      </c>
    </row>
    <row r="95" spans="1:2">
      <c r="A95" s="1">
        <v>42592</v>
      </c>
      <c r="B95">
        <v>12.05</v>
      </c>
    </row>
    <row r="96" spans="1:2">
      <c r="A96" s="1">
        <v>42593</v>
      </c>
      <c r="B96">
        <v>11.68</v>
      </c>
    </row>
    <row r="97" spans="1:2">
      <c r="A97" s="1">
        <v>42594</v>
      </c>
      <c r="B97">
        <v>11.55</v>
      </c>
    </row>
    <row r="98" spans="1:2">
      <c r="A98" s="1">
        <v>42597</v>
      </c>
      <c r="B98">
        <v>11.81</v>
      </c>
    </row>
    <row r="99" spans="1:2">
      <c r="A99" s="1">
        <v>42598</v>
      </c>
      <c r="B99">
        <v>12.64</v>
      </c>
    </row>
    <row r="100" spans="1:2">
      <c r="A100" s="1">
        <v>42599</v>
      </c>
      <c r="B100">
        <v>12.19</v>
      </c>
    </row>
    <row r="101" spans="1:2">
      <c r="A101" s="1">
        <v>42600</v>
      </c>
      <c r="B101">
        <v>11.43</v>
      </c>
    </row>
    <row r="102" spans="1:2">
      <c r="A102" s="1">
        <v>42601</v>
      </c>
      <c r="B102">
        <v>11.34</v>
      </c>
    </row>
    <row r="103" spans="1:2">
      <c r="A103" s="1">
        <v>42604</v>
      </c>
      <c r="B103">
        <v>12.27</v>
      </c>
    </row>
    <row r="104" spans="1:2">
      <c r="A104" s="1">
        <v>42605</v>
      </c>
      <c r="B104">
        <v>12.38</v>
      </c>
    </row>
    <row r="105" spans="1:2">
      <c r="A105" s="1">
        <v>42606</v>
      </c>
      <c r="B105">
        <v>13.45</v>
      </c>
    </row>
    <row r="106" spans="1:2">
      <c r="A106" s="1">
        <v>42607</v>
      </c>
      <c r="B106">
        <v>13.63</v>
      </c>
    </row>
    <row r="107" spans="1:2">
      <c r="A107" s="1">
        <v>42608</v>
      </c>
      <c r="B107">
        <v>13.65</v>
      </c>
    </row>
    <row r="108" spans="1:2">
      <c r="A108" s="1">
        <v>42611</v>
      </c>
      <c r="B108">
        <v>12.94</v>
      </c>
    </row>
    <row r="109" spans="1:2">
      <c r="A109" s="1">
        <v>42612</v>
      </c>
      <c r="B109">
        <v>13.12</v>
      </c>
    </row>
    <row r="110" spans="1:2">
      <c r="A110" s="1">
        <v>42613</v>
      </c>
      <c r="B110">
        <v>13.42</v>
      </c>
    </row>
    <row r="111" spans="1:2">
      <c r="A111" s="1">
        <v>42614</v>
      </c>
      <c r="B111">
        <v>13.48</v>
      </c>
    </row>
    <row r="112" spans="1:2">
      <c r="A112" s="1">
        <v>42615</v>
      </c>
      <c r="B112">
        <v>11.98</v>
      </c>
    </row>
    <row r="113" spans="1:2">
      <c r="A113" s="1">
        <v>42618</v>
      </c>
    </row>
    <row r="114" spans="1:2">
      <c r="A114" s="1">
        <v>42619</v>
      </c>
      <c r="B114">
        <v>12.02</v>
      </c>
    </row>
    <row r="115" spans="1:2">
      <c r="A115" s="1">
        <v>42620</v>
      </c>
      <c r="B115">
        <v>11.94</v>
      </c>
    </row>
    <row r="116" spans="1:2">
      <c r="A116" s="1">
        <v>42621</v>
      </c>
      <c r="B116">
        <v>12.51</v>
      </c>
    </row>
    <row r="117" spans="1:2">
      <c r="A117" s="1">
        <v>42622</v>
      </c>
      <c r="B117">
        <v>17.5</v>
      </c>
    </row>
    <row r="118" spans="1:2">
      <c r="A118" s="1">
        <v>42625</v>
      </c>
      <c r="B118">
        <v>15.16</v>
      </c>
    </row>
    <row r="119" spans="1:2">
      <c r="A119" s="1">
        <v>42626</v>
      </c>
      <c r="B119">
        <v>17.850000000000001</v>
      </c>
    </row>
    <row r="120" spans="1:2">
      <c r="A120" s="1">
        <v>42627</v>
      </c>
      <c r="B120">
        <v>18.14</v>
      </c>
    </row>
    <row r="121" spans="1:2">
      <c r="A121" s="1">
        <v>42628</v>
      </c>
      <c r="B121">
        <v>16.3</v>
      </c>
    </row>
    <row r="122" spans="1:2">
      <c r="A122" s="1">
        <v>42629</v>
      </c>
      <c r="B122">
        <v>15.37</v>
      </c>
    </row>
    <row r="123" spans="1:2">
      <c r="A123" s="1">
        <v>42632</v>
      </c>
      <c r="B123">
        <v>15.53</v>
      </c>
    </row>
    <row r="124" spans="1:2">
      <c r="A124" s="1">
        <v>42633</v>
      </c>
      <c r="B124">
        <v>15.92</v>
      </c>
    </row>
    <row r="125" spans="1:2">
      <c r="A125" s="1">
        <v>42634</v>
      </c>
      <c r="B125">
        <v>13.3</v>
      </c>
    </row>
    <row r="126" spans="1:2">
      <c r="A126" s="1">
        <v>42635</v>
      </c>
      <c r="B126">
        <v>12.02</v>
      </c>
    </row>
    <row r="127" spans="1:2">
      <c r="A127" s="1">
        <v>42636</v>
      </c>
      <c r="B127">
        <v>12.29</v>
      </c>
    </row>
    <row r="128" spans="1:2">
      <c r="A128" s="1">
        <v>42639</v>
      </c>
      <c r="B128">
        <v>14.5</v>
      </c>
    </row>
    <row r="129" spans="1:2">
      <c r="A129" s="1">
        <v>42640</v>
      </c>
      <c r="B129">
        <v>13.1</v>
      </c>
    </row>
    <row r="130" spans="1:2">
      <c r="A130" s="1">
        <v>42641</v>
      </c>
      <c r="B130">
        <v>12.39</v>
      </c>
    </row>
    <row r="131" spans="1:2">
      <c r="A131" s="1">
        <v>42642</v>
      </c>
      <c r="B131">
        <v>14.02</v>
      </c>
    </row>
    <row r="132" spans="1:2">
      <c r="A132" s="1">
        <v>42643</v>
      </c>
      <c r="B132">
        <v>13.29</v>
      </c>
    </row>
    <row r="133" spans="1:2">
      <c r="A133" s="1">
        <v>42646</v>
      </c>
      <c r="B133">
        <v>13.57</v>
      </c>
    </row>
    <row r="134" spans="1:2">
      <c r="A134" s="1">
        <v>42647</v>
      </c>
      <c r="B134">
        <v>13.63</v>
      </c>
    </row>
    <row r="135" spans="1:2">
      <c r="A135" s="1">
        <v>42648</v>
      </c>
      <c r="B135">
        <v>12.99</v>
      </c>
    </row>
    <row r="136" spans="1:2">
      <c r="A136" s="1">
        <v>42649</v>
      </c>
      <c r="B136">
        <v>12.84</v>
      </c>
    </row>
    <row r="137" spans="1:2">
      <c r="A137" s="1">
        <v>42650</v>
      </c>
      <c r="B137">
        <v>13.48</v>
      </c>
    </row>
    <row r="138" spans="1:2">
      <c r="A138" s="1">
        <v>42653</v>
      </c>
      <c r="B138">
        <v>13.38</v>
      </c>
    </row>
    <row r="139" spans="1:2">
      <c r="A139" s="1">
        <v>42654</v>
      </c>
      <c r="B139">
        <v>15.36</v>
      </c>
    </row>
    <row r="140" spans="1:2">
      <c r="A140" s="1">
        <v>42655</v>
      </c>
      <c r="B140">
        <v>15.91</v>
      </c>
    </row>
    <row r="141" spans="1:2">
      <c r="A141" s="1">
        <v>42656</v>
      </c>
      <c r="B141">
        <v>16.690000000000001</v>
      </c>
    </row>
    <row r="142" spans="1:2">
      <c r="A142" s="1">
        <v>42657</v>
      </c>
      <c r="B142">
        <v>16.12</v>
      </c>
    </row>
    <row r="143" spans="1:2">
      <c r="A143" s="1">
        <v>42660</v>
      </c>
      <c r="B143">
        <v>16.21</v>
      </c>
    </row>
    <row r="144" spans="1:2">
      <c r="A144" s="1">
        <v>42661</v>
      </c>
      <c r="B144">
        <v>15.28</v>
      </c>
    </row>
    <row r="145" spans="1:2">
      <c r="A145" s="1">
        <v>42662</v>
      </c>
      <c r="B145">
        <v>14.41</v>
      </c>
    </row>
    <row r="146" spans="1:2">
      <c r="A146" s="1">
        <v>42663</v>
      </c>
      <c r="B146">
        <v>13.75</v>
      </c>
    </row>
    <row r="147" spans="1:2">
      <c r="A147" s="1">
        <v>42664</v>
      </c>
      <c r="B147">
        <v>13.34</v>
      </c>
    </row>
    <row r="148" spans="1:2">
      <c r="A148" s="1">
        <v>42667</v>
      </c>
      <c r="B148">
        <v>13.02</v>
      </c>
    </row>
    <row r="149" spans="1:2">
      <c r="A149" s="1">
        <v>42668</v>
      </c>
      <c r="B149">
        <v>13.46</v>
      </c>
    </row>
    <row r="150" spans="1:2">
      <c r="A150" s="1">
        <v>42669</v>
      </c>
      <c r="B150">
        <v>14.24</v>
      </c>
    </row>
    <row r="151" spans="1:2">
      <c r="A151" s="1">
        <v>42670</v>
      </c>
      <c r="B151">
        <v>15.36</v>
      </c>
    </row>
    <row r="152" spans="1:2">
      <c r="A152" s="1">
        <v>42671</v>
      </c>
      <c r="B152">
        <v>16.190000000000001</v>
      </c>
    </row>
    <row r="153" spans="1:2">
      <c r="A153" s="1">
        <v>42674</v>
      </c>
      <c r="B153">
        <v>17.059999999999999</v>
      </c>
    </row>
    <row r="154" spans="1:2">
      <c r="A154" s="1">
        <v>42675</v>
      </c>
      <c r="B154">
        <v>18.559999999999999</v>
      </c>
    </row>
    <row r="155" spans="1:2">
      <c r="A155" s="1">
        <v>42676</v>
      </c>
      <c r="B155">
        <v>19.32</v>
      </c>
    </row>
    <row r="156" spans="1:2">
      <c r="A156" s="1">
        <v>42677</v>
      </c>
      <c r="B156">
        <v>22.08</v>
      </c>
    </row>
    <row r="157" spans="1:2">
      <c r="A157" s="1">
        <v>42678</v>
      </c>
      <c r="B157">
        <v>22.51</v>
      </c>
    </row>
    <row r="158" spans="1:2">
      <c r="A158" s="1">
        <v>42681</v>
      </c>
      <c r="B158">
        <v>18.71</v>
      </c>
    </row>
    <row r="159" spans="1:2">
      <c r="A159" s="1">
        <v>42682</v>
      </c>
      <c r="B159">
        <v>18.739999999999998</v>
      </c>
    </row>
    <row r="160" spans="1:2">
      <c r="A160" s="1">
        <v>42683</v>
      </c>
      <c r="B160">
        <v>14.38</v>
      </c>
    </row>
    <row r="161" spans="1:2">
      <c r="A161" s="1">
        <v>42684</v>
      </c>
      <c r="B161">
        <v>14.74</v>
      </c>
    </row>
    <row r="162" spans="1:2">
      <c r="A162" s="1">
        <v>42685</v>
      </c>
      <c r="B162">
        <v>14.17</v>
      </c>
    </row>
    <row r="163" spans="1:2">
      <c r="A163" s="1">
        <v>42688</v>
      </c>
      <c r="B163">
        <v>14.48</v>
      </c>
    </row>
    <row r="164" spans="1:2">
      <c r="A164" s="1">
        <v>42689</v>
      </c>
      <c r="B164">
        <v>13.37</v>
      </c>
    </row>
    <row r="165" spans="1:2">
      <c r="A165" s="1">
        <v>42690</v>
      </c>
      <c r="B165">
        <v>13.72</v>
      </c>
    </row>
    <row r="166" spans="1:2">
      <c r="A166" s="1">
        <v>42691</v>
      </c>
      <c r="B166">
        <v>13.35</v>
      </c>
    </row>
    <row r="167" spans="1:2">
      <c r="A167" s="1">
        <v>42692</v>
      </c>
      <c r="B167">
        <v>12.85</v>
      </c>
    </row>
    <row r="168" spans="1:2">
      <c r="A168" s="1">
        <v>42695</v>
      </c>
      <c r="B168">
        <v>12.42</v>
      </c>
    </row>
    <row r="169" spans="1:2">
      <c r="A169" s="1">
        <v>42696</v>
      </c>
      <c r="B169">
        <v>12.41</v>
      </c>
    </row>
    <row r="170" spans="1:2">
      <c r="A170" s="1">
        <v>42697</v>
      </c>
      <c r="B170">
        <v>12.43</v>
      </c>
    </row>
    <row r="171" spans="1:2">
      <c r="A171" s="1">
        <v>42698</v>
      </c>
    </row>
    <row r="172" spans="1:2">
      <c r="A172" s="1">
        <v>42699</v>
      </c>
      <c r="B172">
        <v>12.34</v>
      </c>
    </row>
    <row r="173" spans="1:2">
      <c r="A173" s="1">
        <v>42702</v>
      </c>
      <c r="B173">
        <v>13.15</v>
      </c>
    </row>
    <row r="174" spans="1:2">
      <c r="A174" s="1">
        <v>42703</v>
      </c>
      <c r="B174">
        <v>12.9</v>
      </c>
    </row>
    <row r="175" spans="1:2">
      <c r="A175" s="1">
        <v>42704</v>
      </c>
      <c r="B175">
        <v>13.33</v>
      </c>
    </row>
    <row r="176" spans="1:2">
      <c r="A176" s="1">
        <v>42705</v>
      </c>
      <c r="B176">
        <v>14.07</v>
      </c>
    </row>
    <row r="177" spans="1:2">
      <c r="A177" s="1">
        <v>42706</v>
      </c>
      <c r="B177">
        <v>14.12</v>
      </c>
    </row>
    <row r="178" spans="1:2">
      <c r="A178" s="1">
        <v>42709</v>
      </c>
      <c r="B178">
        <v>12.14</v>
      </c>
    </row>
    <row r="179" spans="1:2">
      <c r="A179" s="1">
        <v>42710</v>
      </c>
      <c r="B179">
        <v>11.79</v>
      </c>
    </row>
    <row r="180" spans="1:2">
      <c r="A180" s="1">
        <v>42711</v>
      </c>
      <c r="B180">
        <v>12.22</v>
      </c>
    </row>
    <row r="181" spans="1:2">
      <c r="A181" s="1">
        <v>42712</v>
      </c>
      <c r="B181">
        <v>12.64</v>
      </c>
    </row>
    <row r="182" spans="1:2">
      <c r="A182" s="1">
        <v>42713</v>
      </c>
      <c r="B182">
        <v>11.75</v>
      </c>
    </row>
    <row r="183" spans="1:2">
      <c r="A183" s="1">
        <v>42716</v>
      </c>
      <c r="B183">
        <v>12.64</v>
      </c>
    </row>
    <row r="184" spans="1:2">
      <c r="A184" s="1">
        <v>42717</v>
      </c>
      <c r="B184">
        <v>12.72</v>
      </c>
    </row>
    <row r="185" spans="1:2">
      <c r="A185" s="1">
        <v>42718</v>
      </c>
      <c r="B185">
        <v>13.19</v>
      </c>
    </row>
    <row r="186" spans="1:2">
      <c r="A186" s="1">
        <v>42719</v>
      </c>
      <c r="B186">
        <v>12.79</v>
      </c>
    </row>
    <row r="187" spans="1:2">
      <c r="A187" s="1">
        <v>42720</v>
      </c>
      <c r="B187">
        <v>12.2</v>
      </c>
    </row>
    <row r="188" spans="1:2">
      <c r="A188" s="1">
        <v>42723</v>
      </c>
      <c r="B188">
        <v>11.71</v>
      </c>
    </row>
    <row r="189" spans="1:2">
      <c r="A189" s="1">
        <v>42724</v>
      </c>
      <c r="B189">
        <v>11.45</v>
      </c>
    </row>
    <row r="190" spans="1:2">
      <c r="A190" s="1">
        <v>42725</v>
      </c>
      <c r="B190">
        <v>11.27</v>
      </c>
    </row>
    <row r="191" spans="1:2">
      <c r="A191" s="1">
        <v>42726</v>
      </c>
      <c r="B191">
        <v>11.43</v>
      </c>
    </row>
    <row r="192" spans="1:2">
      <c r="A192" s="1">
        <v>42727</v>
      </c>
      <c r="B192">
        <v>11.44</v>
      </c>
    </row>
    <row r="193" spans="1:2">
      <c r="A193" s="1">
        <v>42730</v>
      </c>
    </row>
    <row r="194" spans="1:2">
      <c r="A194" s="1">
        <v>42731</v>
      </c>
      <c r="B194">
        <v>11.99</v>
      </c>
    </row>
    <row r="195" spans="1:2">
      <c r="A195" s="1">
        <v>42732</v>
      </c>
      <c r="B195">
        <v>12.95</v>
      </c>
    </row>
    <row r="196" spans="1:2">
      <c r="A196" s="1">
        <v>42733</v>
      </c>
      <c r="B196">
        <v>13.37</v>
      </c>
    </row>
    <row r="197" spans="1:2">
      <c r="A197" s="1">
        <v>42734</v>
      </c>
      <c r="B197">
        <v>14.04</v>
      </c>
    </row>
    <row r="198" spans="1:2">
      <c r="A198" s="1">
        <v>42737</v>
      </c>
    </row>
    <row r="199" spans="1:2">
      <c r="A199" s="1">
        <v>42738</v>
      </c>
      <c r="B199">
        <v>12.85</v>
      </c>
    </row>
    <row r="200" spans="1:2">
      <c r="A200" s="1">
        <v>42739</v>
      </c>
      <c r="B200">
        <v>11.85</v>
      </c>
    </row>
    <row r="201" spans="1:2">
      <c r="A201" s="1">
        <v>42740</v>
      </c>
      <c r="B201">
        <v>11.67</v>
      </c>
    </row>
    <row r="202" spans="1:2">
      <c r="A202" s="1">
        <v>42741</v>
      </c>
      <c r="B202">
        <v>11.32</v>
      </c>
    </row>
    <row r="203" spans="1:2">
      <c r="A203" s="1">
        <v>42744</v>
      </c>
      <c r="B203">
        <v>11.56</v>
      </c>
    </row>
    <row r="204" spans="1:2">
      <c r="A204" s="1">
        <v>42745</v>
      </c>
      <c r="B204">
        <v>11.49</v>
      </c>
    </row>
    <row r="205" spans="1:2">
      <c r="A205" s="1">
        <v>42746</v>
      </c>
      <c r="B205">
        <v>11.26</v>
      </c>
    </row>
    <row r="206" spans="1:2">
      <c r="A206" s="1">
        <v>42747</v>
      </c>
      <c r="B206">
        <v>11.54</v>
      </c>
    </row>
    <row r="207" spans="1:2">
      <c r="A207" s="1">
        <v>42748</v>
      </c>
      <c r="B207">
        <v>11.23</v>
      </c>
    </row>
    <row r="208" spans="1:2">
      <c r="A208" s="1">
        <v>42751</v>
      </c>
    </row>
    <row r="209" spans="1:2">
      <c r="A209" s="1">
        <v>42752</v>
      </c>
      <c r="B209">
        <v>11.87</v>
      </c>
    </row>
    <row r="210" spans="1:2">
      <c r="A210" s="1">
        <v>42753</v>
      </c>
      <c r="B210">
        <v>12.48</v>
      </c>
    </row>
    <row r="211" spans="1:2">
      <c r="A211" s="1">
        <v>42754</v>
      </c>
      <c r="B211">
        <v>12.78</v>
      </c>
    </row>
    <row r="212" spans="1:2">
      <c r="A212" s="1">
        <v>42755</v>
      </c>
      <c r="B212">
        <v>11.54</v>
      </c>
    </row>
    <row r="213" spans="1:2">
      <c r="A213" s="1">
        <v>42758</v>
      </c>
      <c r="B213">
        <v>11.77</v>
      </c>
    </row>
    <row r="214" spans="1:2">
      <c r="A214" s="1">
        <v>42759</v>
      </c>
      <c r="B214">
        <v>11.07</v>
      </c>
    </row>
    <row r="215" spans="1:2">
      <c r="A215" s="1">
        <v>42760</v>
      </c>
      <c r="B215">
        <v>10.81</v>
      </c>
    </row>
    <row r="216" spans="1:2">
      <c r="A216" s="1">
        <v>42761</v>
      </c>
      <c r="B216">
        <v>10.63</v>
      </c>
    </row>
    <row r="217" spans="1:2">
      <c r="A217" s="1">
        <v>42762</v>
      </c>
      <c r="B217">
        <v>10.58</v>
      </c>
    </row>
    <row r="218" spans="1:2">
      <c r="A218" s="1">
        <v>42765</v>
      </c>
      <c r="B218">
        <v>11.88</v>
      </c>
    </row>
    <row r="219" spans="1:2">
      <c r="A219" s="1">
        <v>42766</v>
      </c>
      <c r="B219">
        <v>11.99</v>
      </c>
    </row>
    <row r="220" spans="1:2">
      <c r="A220" s="1">
        <v>42767</v>
      </c>
      <c r="B220">
        <v>11.81</v>
      </c>
    </row>
    <row r="221" spans="1:2">
      <c r="A221" s="1">
        <v>42768</v>
      </c>
      <c r="B221">
        <v>11.93</v>
      </c>
    </row>
    <row r="222" spans="1:2">
      <c r="A222" s="1">
        <v>42769</v>
      </c>
      <c r="B222">
        <v>10.97</v>
      </c>
    </row>
    <row r="223" spans="1:2">
      <c r="A223" s="1">
        <v>42772</v>
      </c>
      <c r="B223">
        <v>11.37</v>
      </c>
    </row>
    <row r="224" spans="1:2">
      <c r="A224" s="1">
        <v>42773</v>
      </c>
      <c r="B224">
        <v>11.29</v>
      </c>
    </row>
    <row r="225" spans="1:2">
      <c r="A225" s="1">
        <v>42774</v>
      </c>
      <c r="B225">
        <v>11.45</v>
      </c>
    </row>
    <row r="226" spans="1:2">
      <c r="A226" s="1">
        <v>42775</v>
      </c>
      <c r="B226">
        <v>10.88</v>
      </c>
    </row>
    <row r="227" spans="1:2">
      <c r="A227" s="1">
        <v>42776</v>
      </c>
      <c r="B227">
        <v>10.85</v>
      </c>
    </row>
    <row r="228" spans="1:2">
      <c r="A228" s="1">
        <v>42779</v>
      </c>
      <c r="B228">
        <v>11.07</v>
      </c>
    </row>
    <row r="229" spans="1:2">
      <c r="A229" s="1">
        <v>42780</v>
      </c>
      <c r="B229">
        <v>10.74</v>
      </c>
    </row>
    <row r="230" spans="1:2">
      <c r="A230" s="1">
        <v>42781</v>
      </c>
      <c r="B230">
        <v>11.97</v>
      </c>
    </row>
    <row r="231" spans="1:2">
      <c r="A231" s="1">
        <v>42782</v>
      </c>
      <c r="B231">
        <v>11.76</v>
      </c>
    </row>
    <row r="232" spans="1:2">
      <c r="A232" s="1">
        <v>42783</v>
      </c>
      <c r="B232">
        <v>11.49</v>
      </c>
    </row>
    <row r="233" spans="1:2">
      <c r="A233" s="1">
        <v>42786</v>
      </c>
    </row>
    <row r="234" spans="1:2">
      <c r="A234" s="1">
        <v>42787</v>
      </c>
      <c r="B234">
        <v>11.57</v>
      </c>
    </row>
    <row r="235" spans="1:2">
      <c r="A235" s="1">
        <v>42788</v>
      </c>
      <c r="B235">
        <v>11.74</v>
      </c>
    </row>
    <row r="236" spans="1:2">
      <c r="A236" s="1">
        <v>42789</v>
      </c>
      <c r="B236">
        <v>11.71</v>
      </c>
    </row>
    <row r="237" spans="1:2">
      <c r="A237" s="1">
        <v>42790</v>
      </c>
      <c r="B237">
        <v>11.47</v>
      </c>
    </row>
    <row r="238" spans="1:2">
      <c r="A238" s="1">
        <v>42793</v>
      </c>
      <c r="B238">
        <v>12.09</v>
      </c>
    </row>
    <row r="239" spans="1:2">
      <c r="A239" s="1">
        <v>42794</v>
      </c>
      <c r="B239">
        <v>12.92</v>
      </c>
    </row>
    <row r="240" spans="1:2">
      <c r="A240" s="1">
        <v>42795</v>
      </c>
      <c r="B240">
        <v>12.54</v>
      </c>
    </row>
    <row r="241" spans="1:2">
      <c r="A241" s="1">
        <v>42796</v>
      </c>
      <c r="B241">
        <v>11.81</v>
      </c>
    </row>
    <row r="242" spans="1:2">
      <c r="A242" s="1">
        <v>42797</v>
      </c>
      <c r="B242">
        <v>10.96</v>
      </c>
    </row>
    <row r="243" spans="1:2">
      <c r="A243" s="1">
        <v>42800</v>
      </c>
      <c r="B243">
        <v>11.24</v>
      </c>
    </row>
    <row r="244" spans="1:2">
      <c r="A244" s="1">
        <v>42801</v>
      </c>
      <c r="B244">
        <v>11.45</v>
      </c>
    </row>
    <row r="245" spans="1:2">
      <c r="A245" s="1">
        <v>42802</v>
      </c>
      <c r="B245">
        <v>11.86</v>
      </c>
    </row>
    <row r="246" spans="1:2">
      <c r="A246" s="1">
        <v>42803</v>
      </c>
      <c r="B246">
        <v>12.3</v>
      </c>
    </row>
    <row r="247" spans="1:2">
      <c r="A247" s="1">
        <v>42804</v>
      </c>
      <c r="B247">
        <v>11.66</v>
      </c>
    </row>
    <row r="248" spans="1:2">
      <c r="A248" s="1">
        <v>42807</v>
      </c>
      <c r="B248">
        <v>11.35</v>
      </c>
    </row>
    <row r="249" spans="1:2">
      <c r="A249" s="1">
        <v>42808</v>
      </c>
      <c r="B249">
        <v>12.3</v>
      </c>
    </row>
    <row r="250" spans="1:2">
      <c r="A250" s="1">
        <v>42809</v>
      </c>
      <c r="B250">
        <v>11.63</v>
      </c>
    </row>
    <row r="251" spans="1:2">
      <c r="A251" s="1">
        <v>42810</v>
      </c>
      <c r="B251">
        <v>11.21</v>
      </c>
    </row>
    <row r="252" spans="1:2">
      <c r="A252" s="1">
        <v>42811</v>
      </c>
      <c r="B252">
        <v>11.28</v>
      </c>
    </row>
    <row r="253" spans="1:2">
      <c r="A253" s="1">
        <v>42814</v>
      </c>
      <c r="B253">
        <v>11.34</v>
      </c>
    </row>
    <row r="254" spans="1:2">
      <c r="A254" s="1">
        <v>42815</v>
      </c>
      <c r="B254">
        <v>12.47</v>
      </c>
    </row>
    <row r="255" spans="1:2">
      <c r="A255" s="1">
        <v>42816</v>
      </c>
      <c r="B255">
        <v>12.81</v>
      </c>
    </row>
    <row r="256" spans="1:2">
      <c r="A256" s="1">
        <v>42817</v>
      </c>
      <c r="B256">
        <v>13.12</v>
      </c>
    </row>
    <row r="257" spans="1:2">
      <c r="A257" s="1">
        <v>42818</v>
      </c>
      <c r="B257">
        <v>12.96</v>
      </c>
    </row>
    <row r="258" spans="1:2">
      <c r="A258" s="1">
        <v>42821</v>
      </c>
      <c r="B258">
        <v>12.5</v>
      </c>
    </row>
    <row r="259" spans="1:2">
      <c r="A259" s="1">
        <v>42822</v>
      </c>
      <c r="B259">
        <v>11.53</v>
      </c>
    </row>
    <row r="260" spans="1:2">
      <c r="A260" s="1">
        <v>42823</v>
      </c>
      <c r="B260">
        <v>11.42</v>
      </c>
    </row>
    <row r="261" spans="1:2">
      <c r="A261" s="1">
        <v>42824</v>
      </c>
      <c r="B261">
        <v>11.54</v>
      </c>
    </row>
    <row r="262" spans="1:2">
      <c r="A262" s="1">
        <v>42825</v>
      </c>
      <c r="B262">
        <v>12.37</v>
      </c>
    </row>
    <row r="263" spans="1:2">
      <c r="A263" s="1">
        <v>42828</v>
      </c>
      <c r="B263">
        <v>12.38</v>
      </c>
    </row>
    <row r="264" spans="1:2">
      <c r="A264" s="1">
        <v>42829</v>
      </c>
      <c r="B264">
        <v>11.79</v>
      </c>
    </row>
    <row r="265" spans="1:2">
      <c r="A265" s="1">
        <v>42830</v>
      </c>
      <c r="B265">
        <v>12.89</v>
      </c>
    </row>
    <row r="266" spans="1:2">
      <c r="A266" s="1">
        <v>42831</v>
      </c>
      <c r="B266">
        <v>12.39</v>
      </c>
    </row>
    <row r="267" spans="1:2">
      <c r="A267" s="1">
        <v>42832</v>
      </c>
      <c r="B267">
        <v>12.87</v>
      </c>
    </row>
    <row r="268" spans="1:2">
      <c r="A268" s="1">
        <v>42835</v>
      </c>
      <c r="B268">
        <v>14.05</v>
      </c>
    </row>
    <row r="269" spans="1:2">
      <c r="A269" s="1">
        <v>42836</v>
      </c>
      <c r="B269">
        <v>15.07</v>
      </c>
    </row>
    <row r="270" spans="1:2">
      <c r="A270" s="1">
        <v>42837</v>
      </c>
      <c r="B270">
        <v>15.77</v>
      </c>
    </row>
    <row r="271" spans="1:2">
      <c r="A271" s="1">
        <v>42838</v>
      </c>
      <c r="B271">
        <v>15.96</v>
      </c>
    </row>
    <row r="272" spans="1:2">
      <c r="A272" s="1">
        <v>42839</v>
      </c>
    </row>
    <row r="273" spans="1:2">
      <c r="A273" s="1">
        <v>42842</v>
      </c>
      <c r="B273">
        <v>14.66</v>
      </c>
    </row>
    <row r="274" spans="1:2">
      <c r="A274" s="1">
        <v>42843</v>
      </c>
      <c r="B274">
        <v>14.42</v>
      </c>
    </row>
    <row r="275" spans="1:2">
      <c r="A275" s="1">
        <v>42844</v>
      </c>
      <c r="B275">
        <v>14.93</v>
      </c>
    </row>
    <row r="276" spans="1:2">
      <c r="A276" s="1">
        <v>42845</v>
      </c>
      <c r="B276">
        <v>14.15</v>
      </c>
    </row>
    <row r="277" spans="1:2">
      <c r="A277" s="1">
        <v>42846</v>
      </c>
      <c r="B277">
        <v>14.63</v>
      </c>
    </row>
    <row r="278" spans="1:2">
      <c r="A278" s="1">
        <v>42849</v>
      </c>
      <c r="B278">
        <v>10.84</v>
      </c>
    </row>
    <row r="279" spans="1:2">
      <c r="A279" s="1">
        <v>42850</v>
      </c>
      <c r="B279">
        <v>10.76</v>
      </c>
    </row>
    <row r="280" spans="1:2">
      <c r="A280" s="1">
        <v>42851</v>
      </c>
      <c r="B280">
        <v>10.85</v>
      </c>
    </row>
    <row r="281" spans="1:2">
      <c r="A281" s="1">
        <v>42852</v>
      </c>
      <c r="B281">
        <v>10.36</v>
      </c>
    </row>
    <row r="282" spans="1:2">
      <c r="A282" s="1">
        <v>42853</v>
      </c>
      <c r="B282">
        <v>10.82</v>
      </c>
    </row>
    <row r="283" spans="1:2">
      <c r="A283" s="1">
        <v>42856</v>
      </c>
      <c r="B283">
        <v>10.11</v>
      </c>
    </row>
    <row r="284" spans="1:2">
      <c r="A284" s="1">
        <v>42857</v>
      </c>
      <c r="B284">
        <v>10.59</v>
      </c>
    </row>
    <row r="285" spans="1:2">
      <c r="A285" s="1">
        <v>42858</v>
      </c>
      <c r="B285">
        <v>10.68</v>
      </c>
    </row>
    <row r="286" spans="1:2">
      <c r="A286" s="1">
        <v>42859</v>
      </c>
      <c r="B286">
        <v>10.46</v>
      </c>
    </row>
    <row r="287" spans="1:2">
      <c r="A287" s="1">
        <v>42860</v>
      </c>
      <c r="B287">
        <v>10.57</v>
      </c>
    </row>
    <row r="288" spans="1:2">
      <c r="A288" s="1">
        <v>42863</v>
      </c>
      <c r="B288">
        <v>9.77</v>
      </c>
    </row>
    <row r="289" spans="1:2">
      <c r="A289" s="1">
        <v>42864</v>
      </c>
      <c r="B289">
        <v>9.9600000000000009</v>
      </c>
    </row>
    <row r="290" spans="1:2">
      <c r="A290" s="1">
        <v>42865</v>
      </c>
      <c r="B290">
        <v>10.210000000000001</v>
      </c>
    </row>
    <row r="291" spans="1:2">
      <c r="A291" s="1">
        <v>42866</v>
      </c>
      <c r="B291">
        <v>10.6</v>
      </c>
    </row>
    <row r="292" spans="1:2">
      <c r="A292" s="1">
        <v>42867</v>
      </c>
      <c r="B292">
        <v>10.4</v>
      </c>
    </row>
    <row r="293" spans="1:2">
      <c r="A293" s="1">
        <v>42870</v>
      </c>
      <c r="B293">
        <v>10.42</v>
      </c>
    </row>
    <row r="294" spans="1:2">
      <c r="A294" s="1">
        <v>42871</v>
      </c>
      <c r="B294">
        <v>10.65</v>
      </c>
    </row>
    <row r="295" spans="1:2">
      <c r="A295" s="1">
        <v>42872</v>
      </c>
      <c r="B295">
        <v>15.59</v>
      </c>
    </row>
    <row r="296" spans="1:2">
      <c r="A296" s="1">
        <v>42873</v>
      </c>
      <c r="B296">
        <v>14.66</v>
      </c>
    </row>
    <row r="297" spans="1:2">
      <c r="A297" s="1">
        <v>42874</v>
      </c>
      <c r="B297">
        <v>12.04</v>
      </c>
    </row>
    <row r="298" spans="1:2">
      <c r="A298" s="1">
        <v>42877</v>
      </c>
      <c r="B298">
        <v>10.93</v>
      </c>
    </row>
    <row r="299" spans="1:2">
      <c r="A299" s="1">
        <v>42878</v>
      </c>
      <c r="B299">
        <v>10.72</v>
      </c>
    </row>
    <row r="300" spans="1:2">
      <c r="A300" s="1">
        <v>42879</v>
      </c>
      <c r="B300">
        <v>10.02</v>
      </c>
    </row>
    <row r="301" spans="1:2">
      <c r="A301" s="1">
        <v>42880</v>
      </c>
      <c r="B301">
        <v>9.99</v>
      </c>
    </row>
    <row r="302" spans="1:2">
      <c r="A302" s="1">
        <v>42881</v>
      </c>
      <c r="B302">
        <v>9.81</v>
      </c>
    </row>
    <row r="303" spans="1:2">
      <c r="A303" s="1">
        <v>42884</v>
      </c>
    </row>
    <row r="304" spans="1:2">
      <c r="A304" s="1">
        <v>42885</v>
      </c>
      <c r="B304">
        <v>10.38</v>
      </c>
    </row>
    <row r="305" spans="1:2">
      <c r="A305" s="1">
        <v>42886</v>
      </c>
      <c r="B305">
        <v>10.41</v>
      </c>
    </row>
    <row r="306" spans="1:2">
      <c r="A306" s="1">
        <v>42887</v>
      </c>
      <c r="B306">
        <v>9.89</v>
      </c>
    </row>
    <row r="307" spans="1:2">
      <c r="A307" s="1">
        <v>42888</v>
      </c>
      <c r="B307">
        <v>9.75</v>
      </c>
    </row>
    <row r="308" spans="1:2">
      <c r="A308" s="1">
        <v>42891</v>
      </c>
      <c r="B308">
        <v>10.07</v>
      </c>
    </row>
    <row r="309" spans="1:2">
      <c r="A309" s="1">
        <v>42892</v>
      </c>
      <c r="B309">
        <v>10.45</v>
      </c>
    </row>
    <row r="310" spans="1:2">
      <c r="A310" s="1">
        <v>42893</v>
      </c>
      <c r="B310">
        <v>10.39</v>
      </c>
    </row>
    <row r="311" spans="1:2">
      <c r="A311" s="1">
        <v>42894</v>
      </c>
      <c r="B311">
        <v>10.16</v>
      </c>
    </row>
    <row r="312" spans="1:2">
      <c r="A312" s="1">
        <v>42895</v>
      </c>
      <c r="B312">
        <v>10.7</v>
      </c>
    </row>
    <row r="313" spans="1:2">
      <c r="A313" s="1">
        <v>42898</v>
      </c>
      <c r="B313">
        <v>11.46</v>
      </c>
    </row>
    <row r="314" spans="1:2">
      <c r="A314" s="1">
        <v>42899</v>
      </c>
      <c r="B314">
        <v>10.42</v>
      </c>
    </row>
    <row r="315" spans="1:2">
      <c r="A315" s="1">
        <v>42900</v>
      </c>
      <c r="B315">
        <v>10.64</v>
      </c>
    </row>
    <row r="316" spans="1:2">
      <c r="A316" s="1">
        <v>42901</v>
      </c>
      <c r="B316">
        <v>10.9</v>
      </c>
    </row>
    <row r="317" spans="1:2">
      <c r="A317" s="1">
        <v>42902</v>
      </c>
      <c r="B317">
        <v>10.38</v>
      </c>
    </row>
    <row r="318" spans="1:2">
      <c r="A318" s="1">
        <v>42905</v>
      </c>
      <c r="B318">
        <v>10.37</v>
      </c>
    </row>
    <row r="319" spans="1:2">
      <c r="A319" s="1">
        <v>42906</v>
      </c>
      <c r="B319">
        <v>10.86</v>
      </c>
    </row>
    <row r="320" spans="1:2">
      <c r="A320" s="1">
        <v>42907</v>
      </c>
      <c r="B320">
        <v>10.75</v>
      </c>
    </row>
    <row r="321" spans="1:2">
      <c r="A321" s="1">
        <v>42908</v>
      </c>
      <c r="B321">
        <v>10.48</v>
      </c>
    </row>
    <row r="322" spans="1:2">
      <c r="A322" s="1">
        <v>42909</v>
      </c>
      <c r="B322">
        <v>10.02</v>
      </c>
    </row>
    <row r="323" spans="1:2">
      <c r="A323" s="1">
        <v>42912</v>
      </c>
      <c r="B323">
        <v>9.9</v>
      </c>
    </row>
    <row r="324" spans="1:2">
      <c r="A324" s="1">
        <v>42913</v>
      </c>
      <c r="B324">
        <v>11.06</v>
      </c>
    </row>
    <row r="325" spans="1:2">
      <c r="A325" s="1">
        <v>42914</v>
      </c>
      <c r="B325">
        <v>10.029999999999999</v>
      </c>
    </row>
    <row r="326" spans="1:2">
      <c r="A326" s="1">
        <v>42915</v>
      </c>
      <c r="B326">
        <v>11.44</v>
      </c>
    </row>
    <row r="327" spans="1:2">
      <c r="A327" s="1">
        <v>42916</v>
      </c>
      <c r="B327">
        <v>11.18</v>
      </c>
    </row>
    <row r="328" spans="1:2">
      <c r="A328" s="1">
        <v>42919</v>
      </c>
      <c r="B328">
        <v>11.22</v>
      </c>
    </row>
    <row r="329" spans="1:2">
      <c r="A329" s="1">
        <v>42920</v>
      </c>
    </row>
    <row r="330" spans="1:2">
      <c r="A330" s="1">
        <v>42921</v>
      </c>
      <c r="B330">
        <v>11.07</v>
      </c>
    </row>
    <row r="331" spans="1:2">
      <c r="A331" s="1">
        <v>42922</v>
      </c>
      <c r="B331">
        <v>12.54</v>
      </c>
    </row>
    <row r="332" spans="1:2">
      <c r="A332" s="1">
        <v>42923</v>
      </c>
      <c r="B332">
        <v>11.19</v>
      </c>
    </row>
    <row r="333" spans="1:2">
      <c r="A333" s="1">
        <v>42926</v>
      </c>
      <c r="B333">
        <v>11.11</v>
      </c>
    </row>
    <row r="334" spans="1:2">
      <c r="A334" s="1">
        <v>42927</v>
      </c>
      <c r="B334">
        <v>10.89</v>
      </c>
    </row>
    <row r="335" spans="1:2">
      <c r="A335" s="1">
        <v>42928</v>
      </c>
      <c r="B335">
        <v>10.3</v>
      </c>
    </row>
    <row r="336" spans="1:2">
      <c r="A336" s="1">
        <v>42929</v>
      </c>
      <c r="B336">
        <v>9.9</v>
      </c>
    </row>
    <row r="337" spans="1:2">
      <c r="A337" s="1">
        <v>42930</v>
      </c>
      <c r="B337">
        <v>9.51</v>
      </c>
    </row>
    <row r="338" spans="1:2">
      <c r="A338" s="1">
        <v>42933</v>
      </c>
      <c r="B338">
        <v>9.82</v>
      </c>
    </row>
    <row r="339" spans="1:2">
      <c r="A339" s="1">
        <v>42934</v>
      </c>
      <c r="B339">
        <v>9.89</v>
      </c>
    </row>
    <row r="340" spans="1:2">
      <c r="A340" s="1">
        <v>42935</v>
      </c>
      <c r="B340">
        <v>9.7899999999999991</v>
      </c>
    </row>
    <row r="341" spans="1:2">
      <c r="A341" s="1">
        <v>42936</v>
      </c>
      <c r="B341">
        <v>9.58</v>
      </c>
    </row>
    <row r="342" spans="1:2">
      <c r="A342" s="1">
        <v>42937</v>
      </c>
      <c r="B342">
        <v>9.36</v>
      </c>
    </row>
    <row r="343" spans="1:2">
      <c r="A343" s="1">
        <v>42940</v>
      </c>
      <c r="B343">
        <v>9.43</v>
      </c>
    </row>
    <row r="344" spans="1:2">
      <c r="A344" s="1">
        <v>42941</v>
      </c>
      <c r="B344">
        <v>9.43</v>
      </c>
    </row>
    <row r="345" spans="1:2">
      <c r="A345" s="1">
        <v>42942</v>
      </c>
      <c r="B345">
        <v>9.6</v>
      </c>
    </row>
    <row r="346" spans="1:2">
      <c r="A346" s="1">
        <v>42943</v>
      </c>
      <c r="B346">
        <v>10.11</v>
      </c>
    </row>
    <row r="347" spans="1:2">
      <c r="A347" s="1">
        <v>42944</v>
      </c>
      <c r="B347">
        <v>10.29</v>
      </c>
    </row>
    <row r="348" spans="1:2">
      <c r="A348" s="1">
        <v>42947</v>
      </c>
      <c r="B348">
        <v>10.26</v>
      </c>
    </row>
    <row r="349" spans="1:2">
      <c r="A349" s="1">
        <v>42948</v>
      </c>
      <c r="B349">
        <v>10.09</v>
      </c>
    </row>
    <row r="350" spans="1:2">
      <c r="A350" s="1">
        <v>42949</v>
      </c>
      <c r="B350">
        <v>10.28</v>
      </c>
    </row>
    <row r="351" spans="1:2">
      <c r="A351" s="1">
        <v>42950</v>
      </c>
      <c r="B351">
        <v>10.44</v>
      </c>
    </row>
    <row r="352" spans="1:2">
      <c r="A352" s="1">
        <v>42951</v>
      </c>
      <c r="B352">
        <v>10.029999999999999</v>
      </c>
    </row>
    <row r="353" spans="1:2">
      <c r="A353" s="1">
        <v>42954</v>
      </c>
      <c r="B353">
        <v>9.93</v>
      </c>
    </row>
    <row r="354" spans="1:2">
      <c r="A354" s="1">
        <v>42955</v>
      </c>
      <c r="B354">
        <v>10.96</v>
      </c>
    </row>
    <row r="355" spans="1:2">
      <c r="A355" s="1">
        <v>42956</v>
      </c>
      <c r="B355">
        <v>11.11</v>
      </c>
    </row>
    <row r="356" spans="1:2">
      <c r="A356" s="1">
        <v>42957</v>
      </c>
      <c r="B356">
        <v>16.04</v>
      </c>
    </row>
    <row r="357" spans="1:2">
      <c r="A357" s="1">
        <v>42958</v>
      </c>
      <c r="B357">
        <v>15.51</v>
      </c>
    </row>
    <row r="358" spans="1:2">
      <c r="A358" s="1">
        <v>42961</v>
      </c>
      <c r="B358">
        <v>12.33</v>
      </c>
    </row>
    <row r="359" spans="1:2">
      <c r="A359" s="1">
        <v>42962</v>
      </c>
      <c r="B359">
        <v>12.04</v>
      </c>
    </row>
    <row r="360" spans="1:2">
      <c r="A360" s="1">
        <v>42963</v>
      </c>
      <c r="B360">
        <v>11.74</v>
      </c>
    </row>
    <row r="361" spans="1:2">
      <c r="A361" s="1">
        <v>42964</v>
      </c>
      <c r="B361">
        <v>15.55</v>
      </c>
    </row>
    <row r="362" spans="1:2">
      <c r="A362" s="1">
        <v>42965</v>
      </c>
      <c r="B362">
        <v>14.26</v>
      </c>
    </row>
    <row r="363" spans="1:2">
      <c r="A363" s="1">
        <v>42968</v>
      </c>
      <c r="B363">
        <v>13.19</v>
      </c>
    </row>
    <row r="364" spans="1:2">
      <c r="A364" s="1">
        <v>42969</v>
      </c>
      <c r="B364">
        <v>11.35</v>
      </c>
    </row>
    <row r="365" spans="1:2">
      <c r="A365" s="1">
        <v>42970</v>
      </c>
      <c r="B365">
        <v>12.25</v>
      </c>
    </row>
    <row r="366" spans="1:2">
      <c r="A366" s="1">
        <v>42971</v>
      </c>
      <c r="B366">
        <v>12.23</v>
      </c>
    </row>
    <row r="367" spans="1:2">
      <c r="A367" s="1">
        <v>42972</v>
      </c>
      <c r="B367">
        <v>11.28</v>
      </c>
    </row>
    <row r="368" spans="1:2">
      <c r="A368" s="1">
        <v>42975</v>
      </c>
      <c r="B368">
        <v>11.32</v>
      </c>
    </row>
    <row r="369" spans="1:2">
      <c r="A369" s="1">
        <v>42976</v>
      </c>
      <c r="B369">
        <v>11.7</v>
      </c>
    </row>
    <row r="370" spans="1:2">
      <c r="A370" s="1">
        <v>42977</v>
      </c>
      <c r="B370">
        <v>11.22</v>
      </c>
    </row>
    <row r="371" spans="1:2">
      <c r="A371" s="1">
        <v>42978</v>
      </c>
      <c r="B371">
        <v>10.59</v>
      </c>
    </row>
    <row r="372" spans="1:2">
      <c r="A372" s="1">
        <v>42979</v>
      </c>
      <c r="B372">
        <v>10.130000000000001</v>
      </c>
    </row>
    <row r="373" spans="1:2">
      <c r="A373" s="1">
        <v>42982</v>
      </c>
    </row>
    <row r="374" spans="1:2">
      <c r="A374" s="1">
        <v>42983</v>
      </c>
      <c r="B374">
        <v>12.23</v>
      </c>
    </row>
    <row r="375" spans="1:2">
      <c r="A375" s="1">
        <v>42984</v>
      </c>
      <c r="B375">
        <v>11.63</v>
      </c>
    </row>
    <row r="376" spans="1:2">
      <c r="A376" s="1">
        <v>42985</v>
      </c>
      <c r="B376">
        <v>11.55</v>
      </c>
    </row>
    <row r="377" spans="1:2">
      <c r="A377" s="1">
        <v>42986</v>
      </c>
      <c r="B377">
        <v>12.12</v>
      </c>
    </row>
    <row r="378" spans="1:2">
      <c r="A378" s="1">
        <v>42989</v>
      </c>
      <c r="B378">
        <v>10.73</v>
      </c>
    </row>
    <row r="379" spans="1:2">
      <c r="A379" s="1">
        <v>42990</v>
      </c>
      <c r="B379">
        <v>10.58</v>
      </c>
    </row>
    <row r="380" spans="1:2">
      <c r="A380" s="1">
        <v>42991</v>
      </c>
      <c r="B380">
        <v>10.5</v>
      </c>
    </row>
    <row r="381" spans="1:2">
      <c r="A381" s="1">
        <v>42992</v>
      </c>
      <c r="B381">
        <v>10.44</v>
      </c>
    </row>
    <row r="382" spans="1:2">
      <c r="A382" s="1">
        <v>42993</v>
      </c>
      <c r="B382">
        <v>10.17</v>
      </c>
    </row>
    <row r="383" spans="1:2">
      <c r="A383" s="1">
        <v>42996</v>
      </c>
      <c r="B383">
        <v>10.15</v>
      </c>
    </row>
    <row r="384" spans="1:2">
      <c r="A384" s="1">
        <v>42997</v>
      </c>
      <c r="B384">
        <v>10.18</v>
      </c>
    </row>
    <row r="385" spans="1:2">
      <c r="A385" s="1">
        <v>42998</v>
      </c>
      <c r="B385">
        <v>9.7799999999999994</v>
      </c>
    </row>
    <row r="386" spans="1:2">
      <c r="A386" s="1">
        <v>42999</v>
      </c>
      <c r="B386">
        <v>9.67</v>
      </c>
    </row>
    <row r="387" spans="1:2">
      <c r="A387" s="1">
        <v>43000</v>
      </c>
      <c r="B387">
        <v>9.59</v>
      </c>
    </row>
    <row r="388" spans="1:2">
      <c r="A388" s="1">
        <v>43003</v>
      </c>
      <c r="B388">
        <v>10.210000000000001</v>
      </c>
    </row>
    <row r="389" spans="1:2">
      <c r="A389" s="1">
        <v>43004</v>
      </c>
      <c r="B389">
        <v>10.17</v>
      </c>
    </row>
    <row r="390" spans="1:2">
      <c r="A390" s="1">
        <v>43005</v>
      </c>
      <c r="B390">
        <v>9.8699999999999992</v>
      </c>
    </row>
    <row r="391" spans="1:2">
      <c r="A391" s="1">
        <v>43006</v>
      </c>
      <c r="B391">
        <v>9.5500000000000007</v>
      </c>
    </row>
    <row r="392" spans="1:2">
      <c r="A392" s="1">
        <v>43007</v>
      </c>
      <c r="B392">
        <v>9.51</v>
      </c>
    </row>
    <row r="393" spans="1:2">
      <c r="A393" s="1">
        <v>43010</v>
      </c>
      <c r="B393">
        <v>9.4499999999999993</v>
      </c>
    </row>
    <row r="394" spans="1:2">
      <c r="A394" s="1">
        <v>43011</v>
      </c>
      <c r="B394">
        <v>9.51</v>
      </c>
    </row>
    <row r="395" spans="1:2">
      <c r="A395" s="1">
        <v>43012</v>
      </c>
      <c r="B395">
        <v>9.6300000000000008</v>
      </c>
    </row>
    <row r="396" spans="1:2">
      <c r="A396" s="1">
        <v>43013</v>
      </c>
      <c r="B396">
        <v>9.19</v>
      </c>
    </row>
    <row r="397" spans="1:2">
      <c r="A397" s="1">
        <v>43014</v>
      </c>
      <c r="B397">
        <v>9.65</v>
      </c>
    </row>
    <row r="398" spans="1:2">
      <c r="A398" s="1">
        <v>43017</v>
      </c>
      <c r="B398">
        <v>10.33</v>
      </c>
    </row>
    <row r="399" spans="1:2">
      <c r="A399" s="1">
        <v>43018</v>
      </c>
      <c r="B399">
        <v>10.08</v>
      </c>
    </row>
    <row r="400" spans="1:2">
      <c r="A400" s="1">
        <v>43019</v>
      </c>
      <c r="B400">
        <v>9.85</v>
      </c>
    </row>
    <row r="401" spans="1:2">
      <c r="A401" s="1">
        <v>43020</v>
      </c>
      <c r="B401">
        <v>9.91</v>
      </c>
    </row>
    <row r="402" spans="1:2">
      <c r="A402" s="1">
        <v>43021</v>
      </c>
      <c r="B402">
        <v>9.61</v>
      </c>
    </row>
    <row r="403" spans="1:2">
      <c r="A403" s="1">
        <v>43024</v>
      </c>
      <c r="B403">
        <v>9.91</v>
      </c>
    </row>
    <row r="404" spans="1:2">
      <c r="A404" s="1">
        <v>43025</v>
      </c>
      <c r="B404">
        <v>10.31</v>
      </c>
    </row>
    <row r="405" spans="1:2">
      <c r="A405" s="1">
        <v>43026</v>
      </c>
      <c r="B405">
        <v>10.07</v>
      </c>
    </row>
    <row r="406" spans="1:2">
      <c r="A406" s="1">
        <v>43027</v>
      </c>
      <c r="B406">
        <v>10.050000000000001</v>
      </c>
    </row>
    <row r="407" spans="1:2">
      <c r="A407" s="1">
        <v>43028</v>
      </c>
      <c r="B407">
        <v>9.9700000000000006</v>
      </c>
    </row>
    <row r="408" spans="1:2">
      <c r="A408" s="1">
        <v>43031</v>
      </c>
      <c r="B408">
        <v>11.07</v>
      </c>
    </row>
    <row r="409" spans="1:2">
      <c r="A409" s="1">
        <v>43032</v>
      </c>
      <c r="B409">
        <v>11.16</v>
      </c>
    </row>
    <row r="410" spans="1:2">
      <c r="A410" s="1">
        <v>43033</v>
      </c>
      <c r="B410">
        <v>11.23</v>
      </c>
    </row>
    <row r="411" spans="1:2">
      <c r="A411" s="1">
        <v>43034</v>
      </c>
      <c r="B411">
        <v>11.3</v>
      </c>
    </row>
    <row r="412" spans="1:2">
      <c r="A412" s="1">
        <v>43035</v>
      </c>
      <c r="B412">
        <v>9.8000000000000007</v>
      </c>
    </row>
    <row r="413" spans="1:2">
      <c r="A413" s="1">
        <v>43038</v>
      </c>
      <c r="B413">
        <v>10.5</v>
      </c>
    </row>
    <row r="414" spans="1:2">
      <c r="A414" s="1">
        <v>43039</v>
      </c>
      <c r="B414">
        <v>10.18</v>
      </c>
    </row>
    <row r="415" spans="1:2">
      <c r="A415" s="1">
        <v>43040</v>
      </c>
      <c r="B415">
        <v>10.199999999999999</v>
      </c>
    </row>
    <row r="416" spans="1:2">
      <c r="A416" s="1">
        <v>43041</v>
      </c>
      <c r="B416">
        <v>9.93</v>
      </c>
    </row>
    <row r="417" spans="1:2">
      <c r="A417" s="1">
        <v>43042</v>
      </c>
      <c r="B417">
        <v>9.14</v>
      </c>
    </row>
    <row r="418" spans="1:2">
      <c r="A418" s="1">
        <v>43045</v>
      </c>
      <c r="B418">
        <v>9.4</v>
      </c>
    </row>
    <row r="419" spans="1:2">
      <c r="A419" s="1">
        <v>43046</v>
      </c>
      <c r="B419">
        <v>9.89</v>
      </c>
    </row>
    <row r="420" spans="1:2">
      <c r="A420" s="1">
        <v>43047</v>
      </c>
      <c r="B420">
        <v>9.7799999999999994</v>
      </c>
    </row>
    <row r="421" spans="1:2">
      <c r="A421" s="1">
        <v>43048</v>
      </c>
      <c r="B421">
        <v>10.5</v>
      </c>
    </row>
    <row r="422" spans="1:2">
      <c r="A422" s="1">
        <v>43049</v>
      </c>
      <c r="B422">
        <v>11.29</v>
      </c>
    </row>
    <row r="423" spans="1:2">
      <c r="A423" s="1">
        <v>43052</v>
      </c>
      <c r="B423">
        <v>11.5</v>
      </c>
    </row>
    <row r="424" spans="1:2">
      <c r="A424" s="1">
        <v>43053</v>
      </c>
      <c r="B424">
        <v>11.59</v>
      </c>
    </row>
    <row r="425" spans="1:2">
      <c r="A425" s="1">
        <v>43054</v>
      </c>
      <c r="B425">
        <v>13.13</v>
      </c>
    </row>
    <row r="426" spans="1:2">
      <c r="A426" s="1">
        <v>43055</v>
      </c>
      <c r="B426">
        <v>11.76</v>
      </c>
    </row>
    <row r="427" spans="1:2">
      <c r="A427" s="1">
        <v>43056</v>
      </c>
      <c r="B427">
        <v>11.43</v>
      </c>
    </row>
    <row r="428" spans="1:2">
      <c r="A428" s="1">
        <v>43059</v>
      </c>
      <c r="B428">
        <v>10.65</v>
      </c>
    </row>
    <row r="429" spans="1:2">
      <c r="A429" s="1">
        <v>43060</v>
      </c>
      <c r="B429">
        <v>9.73</v>
      </c>
    </row>
    <row r="430" spans="1:2">
      <c r="A430" s="1">
        <v>43061</v>
      </c>
      <c r="B430">
        <v>9.8800000000000008</v>
      </c>
    </row>
    <row r="431" spans="1:2">
      <c r="A431" s="1">
        <v>43062</v>
      </c>
    </row>
    <row r="432" spans="1:2">
      <c r="A432" s="1">
        <v>43063</v>
      </c>
      <c r="B432">
        <v>9.67</v>
      </c>
    </row>
    <row r="433" spans="1:2">
      <c r="A433" s="1">
        <v>43066</v>
      </c>
      <c r="B433">
        <v>9.8699999999999992</v>
      </c>
    </row>
    <row r="434" spans="1:2">
      <c r="A434" s="1">
        <v>43067</v>
      </c>
      <c r="B434">
        <v>10.029999999999999</v>
      </c>
    </row>
    <row r="435" spans="1:2">
      <c r="A435" s="1">
        <v>43068</v>
      </c>
      <c r="B435">
        <v>10.7</v>
      </c>
    </row>
    <row r="436" spans="1:2">
      <c r="A436" s="1">
        <v>43069</v>
      </c>
      <c r="B436">
        <v>11.28</v>
      </c>
    </row>
    <row r="437" spans="1:2">
      <c r="A437" s="1">
        <v>43070</v>
      </c>
      <c r="B437">
        <v>11.43</v>
      </c>
    </row>
    <row r="438" spans="1:2">
      <c r="A438" s="1">
        <v>43073</v>
      </c>
      <c r="B438">
        <v>11.68</v>
      </c>
    </row>
    <row r="439" spans="1:2">
      <c r="A439" s="1">
        <v>43074</v>
      </c>
      <c r="B439">
        <v>11.33</v>
      </c>
    </row>
    <row r="440" spans="1:2">
      <c r="A440" s="1">
        <v>43075</v>
      </c>
      <c r="B440">
        <v>11.02</v>
      </c>
    </row>
    <row r="441" spans="1:2">
      <c r="A441" s="1">
        <v>43076</v>
      </c>
      <c r="B441">
        <v>10.16</v>
      </c>
    </row>
    <row r="442" spans="1:2">
      <c r="A442" s="1">
        <v>43077</v>
      </c>
      <c r="B442">
        <v>9.58</v>
      </c>
    </row>
    <row r="443" spans="1:2">
      <c r="A443" s="1">
        <v>43080</v>
      </c>
      <c r="B443">
        <v>9.34</v>
      </c>
    </row>
    <row r="444" spans="1:2">
      <c r="A444" s="1">
        <v>43081</v>
      </c>
      <c r="B444">
        <v>9.92</v>
      </c>
    </row>
    <row r="445" spans="1:2">
      <c r="A445" s="1">
        <v>43082</v>
      </c>
      <c r="B445">
        <v>10.18</v>
      </c>
    </row>
    <row r="446" spans="1:2">
      <c r="A446" s="1">
        <v>43083</v>
      </c>
      <c r="B446">
        <v>10.49</v>
      </c>
    </row>
    <row r="447" spans="1:2">
      <c r="A447" s="1">
        <v>43084</v>
      </c>
      <c r="B447">
        <v>9.42</v>
      </c>
    </row>
    <row r="448" spans="1:2">
      <c r="A448" s="1">
        <v>43087</v>
      </c>
      <c r="B448">
        <v>9.5299999999999994</v>
      </c>
    </row>
    <row r="449" spans="1:2">
      <c r="A449" s="1">
        <v>43088</v>
      </c>
      <c r="B449">
        <v>10.029999999999999</v>
      </c>
    </row>
    <row r="450" spans="1:2">
      <c r="A450" s="1">
        <v>43089</v>
      </c>
      <c r="B450">
        <v>9.7200000000000006</v>
      </c>
    </row>
    <row r="451" spans="1:2">
      <c r="A451" s="1">
        <v>43090</v>
      </c>
      <c r="B451">
        <v>9.6199999999999992</v>
      </c>
    </row>
    <row r="452" spans="1:2">
      <c r="A452" s="1">
        <v>43091</v>
      </c>
      <c r="B452">
        <v>9.9</v>
      </c>
    </row>
    <row r="453" spans="1:2">
      <c r="A453" s="1">
        <v>43094</v>
      </c>
    </row>
    <row r="454" spans="1:2">
      <c r="A454" s="1">
        <v>43095</v>
      </c>
      <c r="B454">
        <v>10.25</v>
      </c>
    </row>
    <row r="455" spans="1:2">
      <c r="A455" s="1">
        <v>43096</v>
      </c>
      <c r="B455">
        <v>10.47</v>
      </c>
    </row>
    <row r="456" spans="1:2">
      <c r="A456" s="1">
        <v>43097</v>
      </c>
      <c r="B456">
        <v>10.18</v>
      </c>
    </row>
    <row r="457" spans="1:2">
      <c r="A457" s="1">
        <v>43098</v>
      </c>
      <c r="B457">
        <v>11.04</v>
      </c>
    </row>
    <row r="458" spans="1:2">
      <c r="A458" s="1">
        <v>43101</v>
      </c>
    </row>
    <row r="459" spans="1:2">
      <c r="A459" s="1">
        <v>43102</v>
      </c>
      <c r="B459">
        <v>9.77</v>
      </c>
    </row>
    <row r="460" spans="1:2">
      <c r="A460" s="1">
        <v>43103</v>
      </c>
      <c r="B460">
        <v>9.15</v>
      </c>
    </row>
    <row r="461" spans="1:2">
      <c r="A461" s="1">
        <v>43104</v>
      </c>
      <c r="B461">
        <v>9.2200000000000006</v>
      </c>
    </row>
    <row r="462" spans="1:2">
      <c r="A462" s="1">
        <v>43105</v>
      </c>
      <c r="B462">
        <v>9.2200000000000006</v>
      </c>
    </row>
    <row r="463" spans="1:2">
      <c r="A463" s="1">
        <v>43108</v>
      </c>
      <c r="B463">
        <v>9.52</v>
      </c>
    </row>
    <row r="464" spans="1:2">
      <c r="A464" s="1">
        <v>43109</v>
      </c>
      <c r="B464">
        <v>10.08</v>
      </c>
    </row>
    <row r="465" spans="1:2">
      <c r="A465" s="1">
        <v>43110</v>
      </c>
      <c r="B465">
        <v>9.82</v>
      </c>
    </row>
    <row r="466" spans="1:2">
      <c r="A466" s="1">
        <v>43111</v>
      </c>
      <c r="B466">
        <v>9.8800000000000008</v>
      </c>
    </row>
    <row r="467" spans="1:2">
      <c r="A467" s="1">
        <v>43112</v>
      </c>
      <c r="B467">
        <v>10.16</v>
      </c>
    </row>
    <row r="468" spans="1:2">
      <c r="A468" s="1">
        <v>43115</v>
      </c>
    </row>
    <row r="469" spans="1:2">
      <c r="A469" s="1">
        <v>43116</v>
      </c>
      <c r="B469">
        <v>11.66</v>
      </c>
    </row>
    <row r="470" spans="1:2">
      <c r="A470" s="1">
        <v>43117</v>
      </c>
      <c r="B470">
        <v>11.91</v>
      </c>
    </row>
    <row r="471" spans="1:2">
      <c r="A471" s="1">
        <v>43118</v>
      </c>
      <c r="B471">
        <v>12.22</v>
      </c>
    </row>
    <row r="472" spans="1:2">
      <c r="A472" s="1">
        <v>43119</v>
      </c>
      <c r="B472">
        <v>11.27</v>
      </c>
    </row>
    <row r="473" spans="1:2">
      <c r="A473" s="1">
        <v>43122</v>
      </c>
      <c r="B473">
        <v>11.03</v>
      </c>
    </row>
    <row r="474" spans="1:2">
      <c r="A474" s="1">
        <v>43123</v>
      </c>
      <c r="B474">
        <v>11.1</v>
      </c>
    </row>
    <row r="475" spans="1:2">
      <c r="A475" s="1">
        <v>43124</v>
      </c>
      <c r="B475">
        <v>11.47</v>
      </c>
    </row>
    <row r="476" spans="1:2">
      <c r="A476" s="1">
        <v>43125</v>
      </c>
      <c r="B476">
        <v>11.58</v>
      </c>
    </row>
    <row r="477" spans="1:2">
      <c r="A477" s="1">
        <v>43126</v>
      </c>
      <c r="B477">
        <v>11.08</v>
      </c>
    </row>
    <row r="478" spans="1:2">
      <c r="A478" s="1">
        <v>43129</v>
      </c>
      <c r="B478">
        <v>13.84</v>
      </c>
    </row>
    <row r="479" spans="1:2">
      <c r="A479" s="1">
        <v>43130</v>
      </c>
      <c r="B479">
        <v>14.79</v>
      </c>
    </row>
    <row r="480" spans="1:2">
      <c r="A480" s="1">
        <v>43131</v>
      </c>
      <c r="B480">
        <v>13.54</v>
      </c>
    </row>
    <row r="481" spans="1:2">
      <c r="A481" s="1">
        <v>43132</v>
      </c>
      <c r="B481">
        <v>13.47</v>
      </c>
    </row>
    <row r="482" spans="1:2">
      <c r="A482" s="1">
        <v>43133</v>
      </c>
      <c r="B482">
        <v>17.309999999999999</v>
      </c>
    </row>
    <row r="483" spans="1:2">
      <c r="A483" s="1">
        <v>43136</v>
      </c>
      <c r="B483">
        <v>37.32</v>
      </c>
    </row>
    <row r="484" spans="1:2">
      <c r="A484" s="1">
        <v>43137</v>
      </c>
      <c r="B484">
        <v>29.98</v>
      </c>
    </row>
    <row r="485" spans="1:2">
      <c r="A485" s="1">
        <v>43138</v>
      </c>
      <c r="B485">
        <v>27.73</v>
      </c>
    </row>
    <row r="486" spans="1:2">
      <c r="A486" s="1">
        <v>43139</v>
      </c>
      <c r="B486">
        <v>33.46</v>
      </c>
    </row>
    <row r="487" spans="1:2">
      <c r="A487" s="1">
        <v>43140</v>
      </c>
      <c r="B487">
        <v>29.06</v>
      </c>
    </row>
    <row r="488" spans="1:2">
      <c r="A488" s="1">
        <v>43143</v>
      </c>
      <c r="B488">
        <v>25.61</v>
      </c>
    </row>
    <row r="489" spans="1:2">
      <c r="A489" s="1">
        <v>43144</v>
      </c>
      <c r="B489">
        <v>24.97</v>
      </c>
    </row>
    <row r="490" spans="1:2">
      <c r="A490" s="1">
        <v>43145</v>
      </c>
      <c r="B490">
        <v>19.260000000000002</v>
      </c>
    </row>
    <row r="491" spans="1:2">
      <c r="A491" s="1">
        <v>43146</v>
      </c>
      <c r="B491">
        <v>19.13</v>
      </c>
    </row>
    <row r="492" spans="1:2">
      <c r="A492" s="1">
        <v>43147</v>
      </c>
      <c r="B492">
        <v>19.46</v>
      </c>
    </row>
    <row r="493" spans="1:2">
      <c r="A493" s="1">
        <v>43150</v>
      </c>
    </row>
    <row r="494" spans="1:2">
      <c r="A494" s="1">
        <v>43151</v>
      </c>
      <c r="B494">
        <v>20.6</v>
      </c>
    </row>
    <row r="495" spans="1:2">
      <c r="A495" s="1">
        <v>43152</v>
      </c>
      <c r="B495">
        <v>20.02</v>
      </c>
    </row>
    <row r="496" spans="1:2">
      <c r="A496" s="1">
        <v>43153</v>
      </c>
      <c r="B496">
        <v>18.72</v>
      </c>
    </row>
    <row r="497" spans="1:2">
      <c r="A497" s="1">
        <v>43154</v>
      </c>
      <c r="B497">
        <v>16.489999999999998</v>
      </c>
    </row>
    <row r="498" spans="1:2">
      <c r="A498" s="1">
        <v>43157</v>
      </c>
      <c r="B498">
        <v>15.8</v>
      </c>
    </row>
    <row r="499" spans="1:2">
      <c r="A499" s="1">
        <v>43158</v>
      </c>
      <c r="B499">
        <v>18.59</v>
      </c>
    </row>
    <row r="500" spans="1:2">
      <c r="A500" s="1">
        <v>43159</v>
      </c>
      <c r="B500">
        <v>19.850000000000001</v>
      </c>
    </row>
    <row r="501" spans="1:2">
      <c r="A501" s="1">
        <v>43160</v>
      </c>
      <c r="B501">
        <v>22.47</v>
      </c>
    </row>
    <row r="502" spans="1:2">
      <c r="A502" s="1">
        <v>43161</v>
      </c>
      <c r="B502">
        <v>19.59</v>
      </c>
    </row>
    <row r="503" spans="1:2">
      <c r="A503" s="1">
        <v>43164</v>
      </c>
      <c r="B503">
        <v>18.73</v>
      </c>
    </row>
    <row r="504" spans="1:2">
      <c r="A504" s="1">
        <v>43165</v>
      </c>
      <c r="B504">
        <v>18.36</v>
      </c>
    </row>
    <row r="505" spans="1:2">
      <c r="A505" s="1">
        <v>43166</v>
      </c>
      <c r="B505">
        <v>17.760000000000002</v>
      </c>
    </row>
    <row r="506" spans="1:2">
      <c r="A506" s="1">
        <v>43167</v>
      </c>
      <c r="B506">
        <v>16.54</v>
      </c>
    </row>
    <row r="507" spans="1:2">
      <c r="A507" s="1">
        <v>43168</v>
      </c>
      <c r="B507">
        <v>14.64</v>
      </c>
    </row>
    <row r="508" spans="1:2">
      <c r="A508" s="1">
        <v>43171</v>
      </c>
      <c r="B508">
        <v>15.78</v>
      </c>
    </row>
    <row r="509" spans="1:2">
      <c r="A509" s="1">
        <v>43172</v>
      </c>
      <c r="B509">
        <v>16.350000000000001</v>
      </c>
    </row>
    <row r="510" spans="1:2">
      <c r="A510" s="1">
        <v>43173</v>
      </c>
      <c r="B510">
        <v>17.23</v>
      </c>
    </row>
    <row r="511" spans="1:2">
      <c r="A511" s="1">
        <v>43174</v>
      </c>
      <c r="B511">
        <v>16.59</v>
      </c>
    </row>
    <row r="512" spans="1:2">
      <c r="A512" s="1">
        <v>43175</v>
      </c>
      <c r="B512">
        <v>15.8</v>
      </c>
    </row>
    <row r="513" spans="1:2">
      <c r="A513" s="1">
        <v>43178</v>
      </c>
      <c r="B513">
        <v>19.02</v>
      </c>
    </row>
    <row r="514" spans="1:2">
      <c r="A514" s="1">
        <v>43179</v>
      </c>
      <c r="B514">
        <v>18.2</v>
      </c>
    </row>
    <row r="515" spans="1:2">
      <c r="A515" s="1">
        <v>43180</v>
      </c>
      <c r="B515">
        <v>17.86</v>
      </c>
    </row>
    <row r="516" spans="1:2">
      <c r="A516" s="1">
        <v>43181</v>
      </c>
      <c r="B516">
        <v>23.34</v>
      </c>
    </row>
    <row r="517" spans="1:2">
      <c r="A517" s="1">
        <v>43182</v>
      </c>
      <c r="B517">
        <v>24.87</v>
      </c>
    </row>
    <row r="518" spans="1:2">
      <c r="A518" s="1">
        <v>43185</v>
      </c>
      <c r="B518">
        <v>21.03</v>
      </c>
    </row>
    <row r="519" spans="1:2">
      <c r="A519" s="1">
        <v>43186</v>
      </c>
      <c r="B519">
        <v>22.5</v>
      </c>
    </row>
    <row r="520" spans="1:2">
      <c r="A520" s="1">
        <v>43187</v>
      </c>
      <c r="B520">
        <v>22.87</v>
      </c>
    </row>
    <row r="521" spans="1:2">
      <c r="A521" s="1">
        <v>43188</v>
      </c>
      <c r="B521">
        <v>19.97</v>
      </c>
    </row>
    <row r="522" spans="1:2">
      <c r="A522" s="1">
        <v>43189</v>
      </c>
    </row>
    <row r="523" spans="1:2">
      <c r="A523" s="1">
        <v>43192</v>
      </c>
      <c r="B523">
        <v>23.62</v>
      </c>
    </row>
    <row r="524" spans="1:2">
      <c r="A524" s="1">
        <v>43193</v>
      </c>
      <c r="B524">
        <v>21.1</v>
      </c>
    </row>
    <row r="525" spans="1:2">
      <c r="A525" s="1">
        <v>43194</v>
      </c>
      <c r="B525">
        <v>20.059999999999999</v>
      </c>
    </row>
    <row r="526" spans="1:2">
      <c r="A526" s="1">
        <v>43195</v>
      </c>
      <c r="B526">
        <v>18.940000000000001</v>
      </c>
    </row>
    <row r="527" spans="1:2">
      <c r="A527" s="1">
        <v>43196</v>
      </c>
      <c r="B527">
        <v>21.49</v>
      </c>
    </row>
    <row r="528" spans="1:2">
      <c r="A528" s="1">
        <v>43199</v>
      </c>
      <c r="B528">
        <v>21.77</v>
      </c>
    </row>
    <row r="529" spans="1:2">
      <c r="A529" s="1">
        <v>43200</v>
      </c>
      <c r="B529">
        <v>20.47</v>
      </c>
    </row>
    <row r="530" spans="1:2">
      <c r="A530" s="1">
        <v>43201</v>
      </c>
      <c r="B530">
        <v>20.239999999999998</v>
      </c>
    </row>
    <row r="531" spans="1:2">
      <c r="A531" s="1">
        <v>43202</v>
      </c>
      <c r="B531">
        <v>18.489999999999998</v>
      </c>
    </row>
    <row r="532" spans="1:2">
      <c r="A532" s="1">
        <v>43203</v>
      </c>
      <c r="B532">
        <v>17.41</v>
      </c>
    </row>
    <row r="533" spans="1:2">
      <c r="A533" s="1">
        <v>43206</v>
      </c>
      <c r="B533">
        <v>16.559999999999999</v>
      </c>
    </row>
    <row r="534" spans="1:2">
      <c r="A534" s="1">
        <v>43207</v>
      </c>
      <c r="B534">
        <v>15.25</v>
      </c>
    </row>
    <row r="535" spans="1:2">
      <c r="A535" s="1">
        <v>43208</v>
      </c>
      <c r="B535">
        <v>15.6</v>
      </c>
    </row>
    <row r="536" spans="1:2">
      <c r="A536" s="1">
        <v>43209</v>
      </c>
      <c r="B536">
        <v>15.96</v>
      </c>
    </row>
    <row r="537" spans="1:2">
      <c r="A537" s="1">
        <v>43210</v>
      </c>
      <c r="B537">
        <v>16.88</v>
      </c>
    </row>
    <row r="538" spans="1:2">
      <c r="A538" s="1">
        <v>43213</v>
      </c>
      <c r="B538">
        <v>16.34</v>
      </c>
    </row>
    <row r="539" spans="1:2">
      <c r="A539" s="1">
        <v>43214</v>
      </c>
      <c r="B539">
        <v>18.02</v>
      </c>
    </row>
    <row r="540" spans="1:2">
      <c r="A540" s="1">
        <v>43215</v>
      </c>
      <c r="B540">
        <v>17.84</v>
      </c>
    </row>
    <row r="541" spans="1:2">
      <c r="A541" s="1">
        <v>43216</v>
      </c>
      <c r="B541">
        <v>16.239999999999998</v>
      </c>
    </row>
    <row r="542" spans="1:2">
      <c r="A542" s="1">
        <v>43217</v>
      </c>
      <c r="B542">
        <v>15.41</v>
      </c>
    </row>
    <row r="543" spans="1:2">
      <c r="A543" s="1">
        <v>43220</v>
      </c>
      <c r="B543">
        <v>15.93</v>
      </c>
    </row>
    <row r="544" spans="1:2">
      <c r="A544" s="1">
        <v>43221</v>
      </c>
      <c r="B544">
        <v>15.49</v>
      </c>
    </row>
    <row r="545" spans="1:2">
      <c r="A545" s="1">
        <v>43222</v>
      </c>
      <c r="B545">
        <v>15.97</v>
      </c>
    </row>
    <row r="546" spans="1:2">
      <c r="A546" s="1">
        <v>43223</v>
      </c>
      <c r="B546">
        <v>15.9</v>
      </c>
    </row>
    <row r="547" spans="1:2">
      <c r="A547" s="1">
        <v>43224</v>
      </c>
      <c r="B547">
        <v>14.77</v>
      </c>
    </row>
    <row r="548" spans="1:2">
      <c r="A548" s="1">
        <v>43227</v>
      </c>
      <c r="B548">
        <v>14.75</v>
      </c>
    </row>
    <row r="549" spans="1:2">
      <c r="A549" s="1">
        <v>43228</v>
      </c>
      <c r="B549">
        <v>14.71</v>
      </c>
    </row>
    <row r="550" spans="1:2">
      <c r="A550" s="1">
        <v>43229</v>
      </c>
      <c r="B550">
        <v>13.42</v>
      </c>
    </row>
    <row r="551" spans="1:2">
      <c r="A551" s="1">
        <v>43230</v>
      </c>
      <c r="B551">
        <v>13.23</v>
      </c>
    </row>
    <row r="552" spans="1:2">
      <c r="A552" s="1">
        <v>43231</v>
      </c>
      <c r="B552">
        <v>12.65</v>
      </c>
    </row>
    <row r="553" spans="1:2">
      <c r="A553" s="1">
        <v>43234</v>
      </c>
      <c r="B553">
        <v>12.93</v>
      </c>
    </row>
    <row r="554" spans="1:2">
      <c r="A554" s="1">
        <v>43235</v>
      </c>
      <c r="B554">
        <v>14.63</v>
      </c>
    </row>
    <row r="555" spans="1:2">
      <c r="A555" s="1">
        <v>43236</v>
      </c>
      <c r="B555">
        <v>13.42</v>
      </c>
    </row>
    <row r="556" spans="1:2">
      <c r="A556" s="1">
        <v>43237</v>
      </c>
      <c r="B556">
        <v>13.43</v>
      </c>
    </row>
    <row r="557" spans="1:2">
      <c r="A557" s="1">
        <v>43238</v>
      </c>
      <c r="B557">
        <v>13.42</v>
      </c>
    </row>
    <row r="558" spans="1:2">
      <c r="A558" s="1">
        <v>43241</v>
      </c>
      <c r="B558">
        <v>13.08</v>
      </c>
    </row>
    <row r="559" spans="1:2">
      <c r="A559" s="1">
        <v>43242</v>
      </c>
      <c r="B559">
        <v>13.22</v>
      </c>
    </row>
    <row r="560" spans="1:2">
      <c r="A560" s="1">
        <v>43243</v>
      </c>
      <c r="B560">
        <v>12.58</v>
      </c>
    </row>
    <row r="561" spans="1:2">
      <c r="A561" s="1">
        <v>43244</v>
      </c>
      <c r="B561">
        <v>12.53</v>
      </c>
    </row>
    <row r="562" spans="1:2">
      <c r="A562" s="1">
        <v>43245</v>
      </c>
      <c r="B562">
        <v>13.22</v>
      </c>
    </row>
    <row r="563" spans="1:2">
      <c r="A563" s="1">
        <v>43248</v>
      </c>
    </row>
    <row r="564" spans="1:2">
      <c r="A564" s="1">
        <v>43249</v>
      </c>
      <c r="B564">
        <v>17.02</v>
      </c>
    </row>
    <row r="565" spans="1:2">
      <c r="A565" s="1">
        <v>43250</v>
      </c>
      <c r="B565">
        <v>14.94</v>
      </c>
    </row>
    <row r="566" spans="1:2">
      <c r="A566" s="1">
        <v>43251</v>
      </c>
      <c r="B566">
        <v>15.43</v>
      </c>
    </row>
    <row r="567" spans="1:2">
      <c r="A567" s="1">
        <v>43252</v>
      </c>
      <c r="B567">
        <v>13.46</v>
      </c>
    </row>
    <row r="568" spans="1:2">
      <c r="A568" s="1">
        <v>43255</v>
      </c>
      <c r="B568">
        <v>12.74</v>
      </c>
    </row>
    <row r="569" spans="1:2">
      <c r="A569" s="1">
        <v>43256</v>
      </c>
      <c r="B569">
        <v>12.4</v>
      </c>
    </row>
    <row r="570" spans="1:2">
      <c r="A570" s="1">
        <v>43257</v>
      </c>
      <c r="B570">
        <v>11.64</v>
      </c>
    </row>
    <row r="571" spans="1:2">
      <c r="A571" s="1">
        <v>43258</v>
      </c>
      <c r="B571">
        <v>12.13</v>
      </c>
    </row>
    <row r="572" spans="1:2">
      <c r="A572" s="1">
        <v>43259</v>
      </c>
      <c r="B572">
        <v>12.18</v>
      </c>
    </row>
    <row r="573" spans="1:2">
      <c r="A573" s="1">
        <v>43262</v>
      </c>
      <c r="B573">
        <v>12.35</v>
      </c>
    </row>
    <row r="574" spans="1:2">
      <c r="A574" s="1">
        <v>43263</v>
      </c>
      <c r="B574">
        <v>12.34</v>
      </c>
    </row>
    <row r="575" spans="1:2">
      <c r="A575" s="1">
        <v>43264</v>
      </c>
      <c r="B575">
        <v>12.94</v>
      </c>
    </row>
    <row r="576" spans="1:2">
      <c r="A576" s="1">
        <v>43265</v>
      </c>
      <c r="B576">
        <v>12.12</v>
      </c>
    </row>
    <row r="577" spans="1:2">
      <c r="A577" s="1">
        <v>43266</v>
      </c>
      <c r="B577">
        <v>11.98</v>
      </c>
    </row>
    <row r="578" spans="1:2">
      <c r="A578" s="1">
        <v>43269</v>
      </c>
      <c r="B578">
        <v>12.31</v>
      </c>
    </row>
    <row r="579" spans="1:2">
      <c r="A579" s="1">
        <v>43270</v>
      </c>
      <c r="B579">
        <v>13.35</v>
      </c>
    </row>
    <row r="580" spans="1:2">
      <c r="A580" s="1">
        <v>43271</v>
      </c>
      <c r="B580">
        <v>12.79</v>
      </c>
    </row>
    <row r="581" spans="1:2">
      <c r="A581" s="1">
        <v>43272</v>
      </c>
      <c r="B581">
        <v>14.64</v>
      </c>
    </row>
    <row r="582" spans="1:2">
      <c r="A582" s="1">
        <v>43273</v>
      </c>
      <c r="B582">
        <v>13.77</v>
      </c>
    </row>
    <row r="583" spans="1:2">
      <c r="A583" s="1">
        <v>43276</v>
      </c>
      <c r="B583">
        <v>17.329999999999998</v>
      </c>
    </row>
    <row r="584" spans="1:2">
      <c r="A584" s="1">
        <v>43277</v>
      </c>
      <c r="B584">
        <v>15.92</v>
      </c>
    </row>
    <row r="585" spans="1:2">
      <c r="A585" s="1">
        <v>43278</v>
      </c>
      <c r="B585">
        <v>17.91</v>
      </c>
    </row>
    <row r="586" spans="1:2">
      <c r="A586" s="1">
        <v>43279</v>
      </c>
      <c r="B586">
        <v>16.850000000000001</v>
      </c>
    </row>
    <row r="587" spans="1:2">
      <c r="A587" s="1">
        <v>43280</v>
      </c>
      <c r="B587">
        <v>16.09</v>
      </c>
    </row>
    <row r="588" spans="1:2">
      <c r="A588" s="1">
        <v>43283</v>
      </c>
      <c r="B588">
        <v>15.6</v>
      </c>
    </row>
    <row r="589" spans="1:2">
      <c r="A589" s="1">
        <v>43284</v>
      </c>
      <c r="B589">
        <v>16.14</v>
      </c>
    </row>
    <row r="590" spans="1:2">
      <c r="A590" s="1">
        <v>43285</v>
      </c>
    </row>
    <row r="591" spans="1:2">
      <c r="A591" s="1">
        <v>43286</v>
      </c>
      <c r="B591">
        <v>14.97</v>
      </c>
    </row>
    <row r="592" spans="1:2">
      <c r="A592" s="1">
        <v>43287</v>
      </c>
      <c r="B592">
        <v>13.37</v>
      </c>
    </row>
    <row r="593" spans="1:2">
      <c r="A593" s="1">
        <v>43290</v>
      </c>
      <c r="B593">
        <v>12.69</v>
      </c>
    </row>
    <row r="594" spans="1:2">
      <c r="A594" s="1">
        <v>43291</v>
      </c>
      <c r="B594">
        <v>12.64</v>
      </c>
    </row>
    <row r="595" spans="1:2">
      <c r="A595" s="1">
        <v>43292</v>
      </c>
      <c r="B595">
        <v>13.63</v>
      </c>
    </row>
    <row r="596" spans="1:2">
      <c r="A596" s="1">
        <v>43293</v>
      </c>
      <c r="B596">
        <v>12.58</v>
      </c>
    </row>
    <row r="597" spans="1:2">
      <c r="A597" s="1">
        <v>43294</v>
      </c>
      <c r="B597">
        <v>12.18</v>
      </c>
    </row>
    <row r="598" spans="1:2">
      <c r="A598" s="1">
        <v>43297</v>
      </c>
      <c r="B598">
        <v>12.83</v>
      </c>
    </row>
    <row r="599" spans="1:2">
      <c r="A599" s="1">
        <v>43298</v>
      </c>
      <c r="B599">
        <v>12.06</v>
      </c>
    </row>
    <row r="600" spans="1:2">
      <c r="A600" s="1">
        <v>43299</v>
      </c>
      <c r="B600">
        <v>12.1</v>
      </c>
    </row>
    <row r="601" spans="1:2">
      <c r="A601" s="1">
        <v>43300</v>
      </c>
      <c r="B601">
        <v>12.87</v>
      </c>
    </row>
    <row r="602" spans="1:2">
      <c r="A602" s="1">
        <v>43301</v>
      </c>
      <c r="B602">
        <v>12.86</v>
      </c>
    </row>
    <row r="603" spans="1:2">
      <c r="A603" s="1">
        <v>43304</v>
      </c>
      <c r="B603">
        <v>12.62</v>
      </c>
    </row>
    <row r="604" spans="1:2">
      <c r="A604" s="1">
        <v>43305</v>
      </c>
      <c r="B604">
        <v>12.41</v>
      </c>
    </row>
    <row r="605" spans="1:2">
      <c r="A605" s="1">
        <v>43306</v>
      </c>
      <c r="B605">
        <v>12.29</v>
      </c>
    </row>
    <row r="606" spans="1:2">
      <c r="A606" s="1">
        <v>43307</v>
      </c>
      <c r="B606">
        <v>12.14</v>
      </c>
    </row>
    <row r="607" spans="1:2">
      <c r="A607" s="1">
        <v>43308</v>
      </c>
      <c r="B607">
        <v>13.03</v>
      </c>
    </row>
    <row r="608" spans="1:2">
      <c r="A608" s="1">
        <v>43311</v>
      </c>
      <c r="B608">
        <v>14.26</v>
      </c>
    </row>
    <row r="609" spans="1:2">
      <c r="A609" s="1">
        <v>43312</v>
      </c>
      <c r="B609">
        <v>12.83</v>
      </c>
    </row>
    <row r="610" spans="1:2">
      <c r="A610" s="1">
        <v>43313</v>
      </c>
      <c r="B610">
        <v>13.15</v>
      </c>
    </row>
    <row r="611" spans="1:2">
      <c r="A611" s="1">
        <v>43314</v>
      </c>
      <c r="B611">
        <v>12.19</v>
      </c>
    </row>
    <row r="612" spans="1:2">
      <c r="A612" s="1">
        <v>43315</v>
      </c>
      <c r="B612">
        <v>11.64</v>
      </c>
    </row>
    <row r="613" spans="1:2">
      <c r="A613" s="1">
        <v>43318</v>
      </c>
      <c r="B613">
        <v>11.27</v>
      </c>
    </row>
    <row r="614" spans="1:2">
      <c r="A614" s="1">
        <v>43319</v>
      </c>
      <c r="B614">
        <v>10.93</v>
      </c>
    </row>
    <row r="615" spans="1:2">
      <c r="A615" s="1">
        <v>43320</v>
      </c>
      <c r="B615">
        <v>10.85</v>
      </c>
    </row>
    <row r="616" spans="1:2">
      <c r="A616" s="1">
        <v>43321</v>
      </c>
      <c r="B616">
        <v>11.27</v>
      </c>
    </row>
    <row r="617" spans="1:2">
      <c r="A617" s="1">
        <v>43322</v>
      </c>
      <c r="B617">
        <v>13.16</v>
      </c>
    </row>
    <row r="618" spans="1:2">
      <c r="A618" s="1">
        <v>43325</v>
      </c>
      <c r="B618">
        <v>14.78</v>
      </c>
    </row>
    <row r="619" spans="1:2">
      <c r="A619" s="1">
        <v>43326</v>
      </c>
      <c r="B619">
        <v>13.31</v>
      </c>
    </row>
    <row r="620" spans="1:2">
      <c r="A620" s="1">
        <v>43327</v>
      </c>
      <c r="B620">
        <v>14.64</v>
      </c>
    </row>
    <row r="621" spans="1:2">
      <c r="A621" s="1">
        <v>43328</v>
      </c>
      <c r="B621">
        <v>13.45</v>
      </c>
    </row>
    <row r="622" spans="1:2">
      <c r="A622" s="1">
        <v>43329</v>
      </c>
      <c r="B622">
        <v>12.64</v>
      </c>
    </row>
    <row r="623" spans="1:2">
      <c r="A623" s="1">
        <v>43332</v>
      </c>
      <c r="B623">
        <v>12.49</v>
      </c>
    </row>
    <row r="624" spans="1:2">
      <c r="A624" s="1">
        <v>43333</v>
      </c>
      <c r="B624">
        <v>12.86</v>
      </c>
    </row>
    <row r="625" spans="1:2">
      <c r="A625" s="1">
        <v>43334</v>
      </c>
      <c r="B625">
        <v>12.25</v>
      </c>
    </row>
    <row r="626" spans="1:2">
      <c r="A626" s="1">
        <v>43335</v>
      </c>
      <c r="B626">
        <v>12.41</v>
      </c>
    </row>
    <row r="627" spans="1:2">
      <c r="A627" s="1">
        <v>43336</v>
      </c>
      <c r="B627">
        <v>11.99</v>
      </c>
    </row>
    <row r="628" spans="1:2">
      <c r="A628" s="1">
        <v>43339</v>
      </c>
      <c r="B628">
        <v>12.16</v>
      </c>
    </row>
    <row r="629" spans="1:2">
      <c r="A629" s="1">
        <v>43340</v>
      </c>
      <c r="B629">
        <v>12.5</v>
      </c>
    </row>
    <row r="630" spans="1:2">
      <c r="A630" s="1">
        <v>43341</v>
      </c>
      <c r="B630">
        <v>12.25</v>
      </c>
    </row>
    <row r="631" spans="1:2">
      <c r="A631" s="1">
        <v>43342</v>
      </c>
      <c r="B631">
        <v>13.53</v>
      </c>
    </row>
    <row r="632" spans="1:2">
      <c r="A632" s="1">
        <v>43343</v>
      </c>
      <c r="B632">
        <v>12.86</v>
      </c>
    </row>
    <row r="633" spans="1:2">
      <c r="A633" s="1">
        <v>43346</v>
      </c>
    </row>
    <row r="634" spans="1:2">
      <c r="A634" s="1">
        <v>43347</v>
      </c>
      <c r="B634">
        <v>13.16</v>
      </c>
    </row>
    <row r="635" spans="1:2">
      <c r="A635" s="1">
        <v>43348</v>
      </c>
      <c r="B635">
        <v>13.91</v>
      </c>
    </row>
    <row r="636" spans="1:2">
      <c r="A636" s="1">
        <v>43349</v>
      </c>
      <c r="B636">
        <v>14.65</v>
      </c>
    </row>
    <row r="637" spans="1:2">
      <c r="A637" s="1">
        <v>43350</v>
      </c>
      <c r="B637">
        <v>14.88</v>
      </c>
    </row>
    <row r="638" spans="1:2">
      <c r="A638" s="1">
        <v>43353</v>
      </c>
      <c r="B638">
        <v>14.16</v>
      </c>
    </row>
    <row r="639" spans="1:2">
      <c r="A639" s="1">
        <v>43354</v>
      </c>
      <c r="B639">
        <v>13.22</v>
      </c>
    </row>
    <row r="640" spans="1:2">
      <c r="A640" s="1">
        <v>43355</v>
      </c>
      <c r="B640">
        <v>13.14</v>
      </c>
    </row>
    <row r="641" spans="1:2">
      <c r="A641" s="1">
        <v>43356</v>
      </c>
      <c r="B641">
        <v>12.37</v>
      </c>
    </row>
    <row r="642" spans="1:2">
      <c r="A642" s="1">
        <v>43357</v>
      </c>
      <c r="B642">
        <v>12.07</v>
      </c>
    </row>
    <row r="643" spans="1:2">
      <c r="A643" s="1">
        <v>43360</v>
      </c>
      <c r="B643">
        <v>13.68</v>
      </c>
    </row>
    <row r="644" spans="1:2">
      <c r="A644" s="1">
        <v>43361</v>
      </c>
      <c r="B644">
        <v>12.79</v>
      </c>
    </row>
    <row r="645" spans="1:2">
      <c r="A645" s="1">
        <v>43362</v>
      </c>
      <c r="B645">
        <v>11.75</v>
      </c>
    </row>
    <row r="646" spans="1:2">
      <c r="A646" s="1">
        <v>43363</v>
      </c>
      <c r="B646">
        <v>11.8</v>
      </c>
    </row>
    <row r="647" spans="1:2">
      <c r="A647" s="1">
        <v>43364</v>
      </c>
      <c r="B647">
        <v>11.68</v>
      </c>
    </row>
    <row r="648" spans="1:2">
      <c r="A648" s="1">
        <v>43367</v>
      </c>
      <c r="B648">
        <v>12.2</v>
      </c>
    </row>
    <row r="649" spans="1:2">
      <c r="A649" s="1">
        <v>43368</v>
      </c>
      <c r="B649">
        <v>12.42</v>
      </c>
    </row>
    <row r="650" spans="1:2">
      <c r="A650" s="1">
        <v>43369</v>
      </c>
      <c r="B650">
        <v>12.89</v>
      </c>
    </row>
    <row r="651" spans="1:2">
      <c r="A651" s="1">
        <v>43370</v>
      </c>
      <c r="B651">
        <v>12.41</v>
      </c>
    </row>
    <row r="652" spans="1:2">
      <c r="A652" s="1">
        <v>43371</v>
      </c>
      <c r="B652">
        <v>12.12</v>
      </c>
    </row>
    <row r="653" spans="1:2">
      <c r="A653" s="1">
        <v>43374</v>
      </c>
      <c r="B653">
        <v>12</v>
      </c>
    </row>
    <row r="654" spans="1:2">
      <c r="A654" s="1">
        <v>43375</v>
      </c>
      <c r="B654">
        <v>12.05</v>
      </c>
    </row>
    <row r="655" spans="1:2">
      <c r="A655" s="1">
        <v>43376</v>
      </c>
      <c r="B655">
        <v>11.61</v>
      </c>
    </row>
    <row r="656" spans="1:2">
      <c r="A656" s="1">
        <v>43377</v>
      </c>
      <c r="B656">
        <v>14.22</v>
      </c>
    </row>
    <row r="657" spans="1:2">
      <c r="A657" s="1">
        <v>43378</v>
      </c>
      <c r="B657">
        <v>14.82</v>
      </c>
    </row>
    <row r="658" spans="1:2">
      <c r="A658" s="1">
        <v>43381</v>
      </c>
      <c r="B658">
        <v>15.69</v>
      </c>
    </row>
    <row r="659" spans="1:2">
      <c r="A659" s="1">
        <v>43382</v>
      </c>
      <c r="B659">
        <v>15.95</v>
      </c>
    </row>
    <row r="660" spans="1:2">
      <c r="A660" s="1">
        <v>43383</v>
      </c>
      <c r="B660">
        <v>22.96</v>
      </c>
    </row>
    <row r="661" spans="1:2">
      <c r="A661" s="1">
        <v>43384</v>
      </c>
      <c r="B661">
        <v>24.98</v>
      </c>
    </row>
    <row r="662" spans="1:2">
      <c r="A662" s="1">
        <v>43385</v>
      </c>
      <c r="B662">
        <v>21.31</v>
      </c>
    </row>
    <row r="663" spans="1:2">
      <c r="A663" s="1">
        <v>43388</v>
      </c>
      <c r="B663">
        <v>21.3</v>
      </c>
    </row>
    <row r="664" spans="1:2">
      <c r="A664" s="1">
        <v>43389</v>
      </c>
      <c r="B664">
        <v>17.62</v>
      </c>
    </row>
    <row r="665" spans="1:2">
      <c r="A665" s="1">
        <v>43390</v>
      </c>
      <c r="B665">
        <v>17.399999999999999</v>
      </c>
    </row>
    <row r="666" spans="1:2">
      <c r="A666" s="1">
        <v>43391</v>
      </c>
      <c r="B666">
        <v>20.059999999999999</v>
      </c>
    </row>
    <row r="667" spans="1:2">
      <c r="A667" s="1">
        <v>43392</v>
      </c>
      <c r="B667">
        <v>19.89</v>
      </c>
    </row>
    <row r="668" spans="1:2">
      <c r="A668" s="1">
        <v>43395</v>
      </c>
      <c r="B668">
        <v>19.64</v>
      </c>
    </row>
    <row r="669" spans="1:2">
      <c r="A669" s="1">
        <v>43396</v>
      </c>
      <c r="B669">
        <v>20.71</v>
      </c>
    </row>
    <row r="670" spans="1:2">
      <c r="A670" s="1">
        <v>43397</v>
      </c>
      <c r="B670">
        <v>25.23</v>
      </c>
    </row>
    <row r="671" spans="1:2">
      <c r="A671" s="1">
        <v>43398</v>
      </c>
      <c r="B671">
        <v>24.22</v>
      </c>
    </row>
    <row r="672" spans="1:2">
      <c r="A672" s="1">
        <v>43399</v>
      </c>
      <c r="B672">
        <v>24.16</v>
      </c>
    </row>
    <row r="673" spans="1:2">
      <c r="A673" s="1">
        <v>43402</v>
      </c>
      <c r="B673">
        <v>24.7</v>
      </c>
    </row>
    <row r="674" spans="1:2">
      <c r="A674" s="1">
        <v>43403</v>
      </c>
      <c r="B674">
        <v>23.35</v>
      </c>
    </row>
    <row r="675" spans="1:2">
      <c r="A675" s="1">
        <v>43404</v>
      </c>
      <c r="B675">
        <v>21.23</v>
      </c>
    </row>
    <row r="676" spans="1:2">
      <c r="A676" s="1">
        <v>43405</v>
      </c>
      <c r="B676">
        <v>19.34</v>
      </c>
    </row>
    <row r="677" spans="1:2">
      <c r="A677" s="1">
        <v>43406</v>
      </c>
      <c r="B677">
        <v>19.510000000000002</v>
      </c>
    </row>
    <row r="678" spans="1:2">
      <c r="A678" s="1">
        <v>43409</v>
      </c>
      <c r="B678">
        <v>19.96</v>
      </c>
    </row>
    <row r="679" spans="1:2">
      <c r="A679" s="1">
        <v>43410</v>
      </c>
      <c r="B679">
        <v>19.91</v>
      </c>
    </row>
    <row r="680" spans="1:2">
      <c r="A680" s="1">
        <v>43411</v>
      </c>
      <c r="B680">
        <v>16.36</v>
      </c>
    </row>
    <row r="681" spans="1:2">
      <c r="A681" s="1">
        <v>43412</v>
      </c>
      <c r="B681">
        <v>16.72</v>
      </c>
    </row>
    <row r="682" spans="1:2">
      <c r="A682" s="1">
        <v>43413</v>
      </c>
      <c r="B682">
        <v>17.36</v>
      </c>
    </row>
    <row r="683" spans="1:2">
      <c r="A683" s="1">
        <v>43416</v>
      </c>
      <c r="B683">
        <v>20.45</v>
      </c>
    </row>
    <row r="684" spans="1:2">
      <c r="A684" s="1">
        <v>43417</v>
      </c>
      <c r="B684">
        <v>20.02</v>
      </c>
    </row>
    <row r="685" spans="1:2">
      <c r="A685" s="1">
        <v>43418</v>
      </c>
      <c r="B685">
        <v>21.25</v>
      </c>
    </row>
    <row r="686" spans="1:2">
      <c r="A686" s="1">
        <v>43419</v>
      </c>
      <c r="B686">
        <v>19.98</v>
      </c>
    </row>
    <row r="687" spans="1:2">
      <c r="A687" s="1">
        <v>43420</v>
      </c>
      <c r="B687">
        <v>18.14</v>
      </c>
    </row>
    <row r="688" spans="1:2">
      <c r="A688" s="1">
        <v>43423</v>
      </c>
      <c r="B688">
        <v>20.100000000000001</v>
      </c>
    </row>
    <row r="689" spans="1:2">
      <c r="A689" s="1">
        <v>43424</v>
      </c>
      <c r="B689">
        <v>22.48</v>
      </c>
    </row>
    <row r="690" spans="1:2">
      <c r="A690" s="1">
        <v>43425</v>
      </c>
      <c r="B690">
        <v>20.8</v>
      </c>
    </row>
    <row r="691" spans="1:2">
      <c r="A691" s="1">
        <v>43426</v>
      </c>
    </row>
    <row r="692" spans="1:2">
      <c r="A692" s="1">
        <v>43427</v>
      </c>
      <c r="B692">
        <v>21.52</v>
      </c>
    </row>
    <row r="693" spans="1:2">
      <c r="A693" s="1">
        <v>43430</v>
      </c>
      <c r="B693">
        <v>18.899999999999999</v>
      </c>
    </row>
    <row r="694" spans="1:2">
      <c r="A694" s="1">
        <v>43431</v>
      </c>
      <c r="B694">
        <v>19.02</v>
      </c>
    </row>
    <row r="695" spans="1:2">
      <c r="A695" s="1">
        <v>43432</v>
      </c>
      <c r="B695">
        <v>18.489999999999998</v>
      </c>
    </row>
    <row r="696" spans="1:2">
      <c r="A696" s="1">
        <v>43433</v>
      </c>
      <c r="B696">
        <v>18.79</v>
      </c>
    </row>
    <row r="697" spans="1:2">
      <c r="A697" s="1">
        <v>43434</v>
      </c>
      <c r="B697">
        <v>18.07</v>
      </c>
    </row>
    <row r="698" spans="1:2">
      <c r="A698" s="1">
        <v>43437</v>
      </c>
      <c r="B698">
        <v>16.440000000000001</v>
      </c>
    </row>
    <row r="699" spans="1:2">
      <c r="A699" s="1">
        <v>43438</v>
      </c>
      <c r="B699">
        <v>20.74</v>
      </c>
    </row>
    <row r="700" spans="1:2">
      <c r="A700" s="1">
        <v>43439</v>
      </c>
    </row>
    <row r="701" spans="1:2">
      <c r="A701" s="1">
        <v>43440</v>
      </c>
      <c r="B701">
        <v>21.19</v>
      </c>
    </row>
    <row r="702" spans="1:2">
      <c r="A702" s="1">
        <v>43441</v>
      </c>
      <c r="B702">
        <v>23.23</v>
      </c>
    </row>
    <row r="703" spans="1:2">
      <c r="A703" s="1">
        <v>43444</v>
      </c>
      <c r="B703">
        <v>22.64</v>
      </c>
    </row>
    <row r="704" spans="1:2">
      <c r="A704" s="1">
        <v>43445</v>
      </c>
      <c r="B704">
        <v>21.76</v>
      </c>
    </row>
    <row r="705" spans="1:2">
      <c r="A705" s="1">
        <v>43446</v>
      </c>
      <c r="B705">
        <v>21.46</v>
      </c>
    </row>
    <row r="706" spans="1:2">
      <c r="A706" s="1">
        <v>43447</v>
      </c>
      <c r="B706">
        <v>20.65</v>
      </c>
    </row>
    <row r="707" spans="1:2">
      <c r="A707" s="1">
        <v>43448</v>
      </c>
      <c r="B707">
        <v>21.63</v>
      </c>
    </row>
    <row r="708" spans="1:2">
      <c r="A708" s="1">
        <v>43451</v>
      </c>
      <c r="B708">
        <v>24.52</v>
      </c>
    </row>
    <row r="709" spans="1:2">
      <c r="A709" s="1">
        <v>43452</v>
      </c>
      <c r="B709">
        <v>25.58</v>
      </c>
    </row>
    <row r="710" spans="1:2">
      <c r="A710" s="1">
        <v>43453</v>
      </c>
      <c r="B710">
        <v>25.58</v>
      </c>
    </row>
    <row r="711" spans="1:2">
      <c r="A711" s="1">
        <v>43454</v>
      </c>
      <c r="B711">
        <v>28.38</v>
      </c>
    </row>
    <row r="712" spans="1:2">
      <c r="A712" s="1">
        <v>43455</v>
      </c>
      <c r="B712">
        <v>30.11</v>
      </c>
    </row>
    <row r="713" spans="1:2">
      <c r="A713" s="1">
        <v>43458</v>
      </c>
      <c r="B713">
        <v>36.07</v>
      </c>
    </row>
    <row r="714" spans="1:2">
      <c r="A714" s="1">
        <v>43459</v>
      </c>
    </row>
    <row r="715" spans="1:2">
      <c r="A715" s="1">
        <v>43460</v>
      </c>
      <c r="B715">
        <v>30.41</v>
      </c>
    </row>
    <row r="716" spans="1:2">
      <c r="A716" s="1">
        <v>43461</v>
      </c>
      <c r="B716">
        <v>29.96</v>
      </c>
    </row>
    <row r="717" spans="1:2">
      <c r="A717" s="1">
        <v>43462</v>
      </c>
      <c r="B717">
        <v>28.34</v>
      </c>
    </row>
    <row r="718" spans="1:2">
      <c r="A718" s="1">
        <v>43465</v>
      </c>
      <c r="B718">
        <v>25.42</v>
      </c>
    </row>
    <row r="719" spans="1:2">
      <c r="A719" s="1">
        <v>43466</v>
      </c>
    </row>
    <row r="720" spans="1:2">
      <c r="A720" s="1">
        <v>43467</v>
      </c>
      <c r="B720">
        <v>23.22</v>
      </c>
    </row>
    <row r="721" spans="1:2">
      <c r="A721" s="1">
        <v>43468</v>
      </c>
      <c r="B721">
        <v>25.45</v>
      </c>
    </row>
    <row r="722" spans="1:2">
      <c r="A722" s="1">
        <v>43469</v>
      </c>
      <c r="B722">
        <v>21.38</v>
      </c>
    </row>
    <row r="723" spans="1:2">
      <c r="A723" s="1">
        <v>43472</v>
      </c>
      <c r="B723">
        <v>21.4</v>
      </c>
    </row>
    <row r="724" spans="1:2">
      <c r="A724" s="1">
        <v>43473</v>
      </c>
      <c r="B724">
        <v>20.47</v>
      </c>
    </row>
    <row r="725" spans="1:2">
      <c r="A725" s="1">
        <v>43474</v>
      </c>
      <c r="B725">
        <v>19.98</v>
      </c>
    </row>
    <row r="726" spans="1:2">
      <c r="A726" s="1">
        <v>43475</v>
      </c>
      <c r="B726">
        <v>19.5</v>
      </c>
    </row>
    <row r="727" spans="1:2">
      <c r="A727" s="1">
        <v>43476</v>
      </c>
      <c r="B727">
        <v>18.190000000000001</v>
      </c>
    </row>
    <row r="728" spans="1:2">
      <c r="A728" s="1">
        <v>43479</v>
      </c>
      <c r="B728">
        <v>19.07</v>
      </c>
    </row>
    <row r="729" spans="1:2">
      <c r="A729" s="1">
        <v>43480</v>
      </c>
      <c r="B729">
        <v>18.600000000000001</v>
      </c>
    </row>
    <row r="730" spans="1:2">
      <c r="A730" s="1">
        <v>43481</v>
      </c>
      <c r="B730">
        <v>19.04</v>
      </c>
    </row>
    <row r="731" spans="1:2">
      <c r="A731" s="1">
        <v>43482</v>
      </c>
      <c r="B731">
        <v>18.059999999999999</v>
      </c>
    </row>
    <row r="732" spans="1:2">
      <c r="A732" s="1">
        <v>43483</v>
      </c>
      <c r="B732">
        <v>17.8</v>
      </c>
    </row>
    <row r="733" spans="1:2">
      <c r="A733" s="1">
        <v>43486</v>
      </c>
    </row>
    <row r="734" spans="1:2">
      <c r="A734" s="1">
        <v>43487</v>
      </c>
      <c r="B734">
        <v>20.8</v>
      </c>
    </row>
    <row r="735" spans="1:2">
      <c r="A735" s="1">
        <v>43488</v>
      </c>
      <c r="B735">
        <v>19.52</v>
      </c>
    </row>
    <row r="736" spans="1:2">
      <c r="A736" s="1">
        <v>43489</v>
      </c>
      <c r="B736">
        <v>18.89</v>
      </c>
    </row>
    <row r="737" spans="1:2">
      <c r="A737" s="1">
        <v>43490</v>
      </c>
      <c r="B737">
        <v>17.420000000000002</v>
      </c>
    </row>
    <row r="738" spans="1:2">
      <c r="A738" s="1">
        <v>43493</v>
      </c>
      <c r="B738">
        <v>18.87</v>
      </c>
    </row>
    <row r="739" spans="1:2">
      <c r="A739" s="1">
        <v>43494</v>
      </c>
      <c r="B739">
        <v>19.13</v>
      </c>
    </row>
    <row r="740" spans="1:2">
      <c r="A740" s="1">
        <v>43495</v>
      </c>
      <c r="B740">
        <v>17.66</v>
      </c>
    </row>
    <row r="741" spans="1:2">
      <c r="A741" s="1">
        <v>43496</v>
      </c>
      <c r="B741">
        <v>16.57</v>
      </c>
    </row>
    <row r="742" spans="1:2">
      <c r="A742" s="1">
        <v>43497</v>
      </c>
      <c r="B742">
        <v>16.14</v>
      </c>
    </row>
    <row r="743" spans="1:2">
      <c r="A743" s="1">
        <v>43500</v>
      </c>
      <c r="B743">
        <v>15.73</v>
      </c>
    </row>
    <row r="744" spans="1:2">
      <c r="A744" s="1">
        <v>43501</v>
      </c>
      <c r="B744">
        <v>15.57</v>
      </c>
    </row>
    <row r="745" spans="1:2">
      <c r="A745" s="1">
        <v>43502</v>
      </c>
      <c r="B745">
        <v>15.38</v>
      </c>
    </row>
    <row r="746" spans="1:2">
      <c r="A746" s="1">
        <v>43503</v>
      </c>
      <c r="B746">
        <v>16.37</v>
      </c>
    </row>
    <row r="747" spans="1:2">
      <c r="A747" s="1">
        <v>43504</v>
      </c>
      <c r="B747">
        <v>15.72</v>
      </c>
    </row>
    <row r="748" spans="1:2">
      <c r="A748" s="1">
        <v>43507</v>
      </c>
      <c r="B748">
        <v>15.97</v>
      </c>
    </row>
    <row r="749" spans="1:2">
      <c r="A749" s="1">
        <v>43508</v>
      </c>
      <c r="B749">
        <v>15.43</v>
      </c>
    </row>
    <row r="750" spans="1:2">
      <c r="A750" s="1">
        <v>43509</v>
      </c>
      <c r="B750">
        <v>15.65</v>
      </c>
    </row>
    <row r="751" spans="1:2">
      <c r="A751" s="1">
        <v>43510</v>
      </c>
      <c r="B751">
        <v>16.22</v>
      </c>
    </row>
    <row r="752" spans="1:2">
      <c r="A752" s="1">
        <v>43511</v>
      </c>
      <c r="B752">
        <v>14.91</v>
      </c>
    </row>
    <row r="753" spans="1:2">
      <c r="A753" s="1">
        <v>43514</v>
      </c>
    </row>
    <row r="754" spans="1:2">
      <c r="A754" s="1">
        <v>43515</v>
      </c>
      <c r="B754">
        <v>14.88</v>
      </c>
    </row>
    <row r="755" spans="1:2">
      <c r="A755" s="1">
        <v>43516</v>
      </c>
      <c r="B755">
        <v>14.02</v>
      </c>
    </row>
    <row r="756" spans="1:2">
      <c r="A756" s="1">
        <v>43517</v>
      </c>
      <c r="B756">
        <v>14.46</v>
      </c>
    </row>
    <row r="757" spans="1:2">
      <c r="A757" s="1">
        <v>43518</v>
      </c>
      <c r="B757">
        <v>13.51</v>
      </c>
    </row>
    <row r="758" spans="1:2">
      <c r="A758" s="1">
        <v>43521</v>
      </c>
      <c r="B758">
        <v>14.85</v>
      </c>
    </row>
    <row r="759" spans="1:2">
      <c r="A759" s="1">
        <v>43522</v>
      </c>
      <c r="B759">
        <v>15.17</v>
      </c>
    </row>
    <row r="760" spans="1:2">
      <c r="A760" s="1">
        <v>43523</v>
      </c>
      <c r="B760">
        <v>14.7</v>
      </c>
    </row>
    <row r="761" spans="1:2">
      <c r="A761" s="1">
        <v>43524</v>
      </c>
      <c r="B761">
        <v>14.78</v>
      </c>
    </row>
    <row r="762" spans="1:2">
      <c r="A762" s="1">
        <v>43525</v>
      </c>
      <c r="B762">
        <v>13.57</v>
      </c>
    </row>
    <row r="763" spans="1:2">
      <c r="A763" s="1">
        <v>43528</v>
      </c>
      <c r="B763">
        <v>14.63</v>
      </c>
    </row>
    <row r="764" spans="1:2">
      <c r="A764" s="1">
        <v>43529</v>
      </c>
      <c r="B764">
        <v>14.74</v>
      </c>
    </row>
    <row r="765" spans="1:2">
      <c r="A765" s="1">
        <v>43530</v>
      </c>
      <c r="B765">
        <v>15.74</v>
      </c>
    </row>
    <row r="766" spans="1:2">
      <c r="A766" s="1">
        <v>43531</v>
      </c>
      <c r="B766">
        <v>16.59</v>
      </c>
    </row>
    <row r="767" spans="1:2">
      <c r="A767" s="1">
        <v>43532</v>
      </c>
      <c r="B767">
        <v>16.05</v>
      </c>
    </row>
    <row r="768" spans="1:2">
      <c r="A768" s="1">
        <v>43535</v>
      </c>
      <c r="B768">
        <v>14.33</v>
      </c>
    </row>
    <row r="769" spans="1:2">
      <c r="A769" s="1">
        <v>43536</v>
      </c>
      <c r="B769">
        <v>13.77</v>
      </c>
    </row>
    <row r="770" spans="1:2">
      <c r="A770" s="1">
        <v>43537</v>
      </c>
      <c r="B770">
        <v>13.41</v>
      </c>
    </row>
    <row r="771" spans="1:2">
      <c r="A771" s="1">
        <v>43538</v>
      </c>
      <c r="B771">
        <v>13.5</v>
      </c>
    </row>
    <row r="772" spans="1:2">
      <c r="A772" s="1">
        <v>43539</v>
      </c>
      <c r="B772">
        <v>12.88</v>
      </c>
    </row>
    <row r="773" spans="1:2">
      <c r="A773" s="1">
        <v>43542</v>
      </c>
      <c r="B773">
        <v>13.1</v>
      </c>
    </row>
    <row r="774" spans="1:2">
      <c r="A774" s="1">
        <v>43543</v>
      </c>
      <c r="B774">
        <v>13.56</v>
      </c>
    </row>
    <row r="775" spans="1:2">
      <c r="A775" s="1">
        <v>43544</v>
      </c>
      <c r="B775">
        <v>13.91</v>
      </c>
    </row>
    <row r="776" spans="1:2">
      <c r="A776" s="1">
        <v>43545</v>
      </c>
      <c r="B776">
        <v>13.63</v>
      </c>
    </row>
    <row r="777" spans="1:2">
      <c r="A777" s="1">
        <v>43546</v>
      </c>
      <c r="B777">
        <v>16.48</v>
      </c>
    </row>
    <row r="778" spans="1:2">
      <c r="A778" s="1">
        <v>43549</v>
      </c>
      <c r="B778">
        <v>16.329999999999998</v>
      </c>
    </row>
    <row r="779" spans="1:2">
      <c r="A779" s="1">
        <v>43550</v>
      </c>
      <c r="B779">
        <v>14.68</v>
      </c>
    </row>
    <row r="780" spans="1:2">
      <c r="A780" s="1">
        <v>43551</v>
      </c>
      <c r="B780">
        <v>15.15</v>
      </c>
    </row>
    <row r="781" spans="1:2">
      <c r="A781" s="1">
        <v>43552</v>
      </c>
      <c r="B781">
        <v>14.43</v>
      </c>
    </row>
    <row r="782" spans="1:2">
      <c r="A782" s="1">
        <v>43553</v>
      </c>
      <c r="B782">
        <v>13.71</v>
      </c>
    </row>
    <row r="783" spans="1:2">
      <c r="A783" s="1">
        <v>43556</v>
      </c>
      <c r="B783">
        <v>13.4</v>
      </c>
    </row>
    <row r="784" spans="1:2">
      <c r="A784" s="1">
        <v>43557</v>
      </c>
      <c r="B784">
        <v>13.36</v>
      </c>
    </row>
    <row r="785" spans="1:2">
      <c r="A785" s="1">
        <v>43558</v>
      </c>
      <c r="B785">
        <v>13.74</v>
      </c>
    </row>
    <row r="786" spans="1:2">
      <c r="A786" s="1">
        <v>43559</v>
      </c>
      <c r="B786">
        <v>13.58</v>
      </c>
    </row>
    <row r="787" spans="1:2">
      <c r="A787" s="1">
        <v>43560</v>
      </c>
      <c r="B787">
        <v>12.82</v>
      </c>
    </row>
    <row r="788" spans="1:2">
      <c r="A788" s="1">
        <v>43563</v>
      </c>
      <c r="B788">
        <v>13.18</v>
      </c>
    </row>
    <row r="789" spans="1:2">
      <c r="A789" s="1">
        <v>43564</v>
      </c>
      <c r="B789">
        <v>14.28</v>
      </c>
    </row>
    <row r="790" spans="1:2">
      <c r="A790" s="1">
        <v>43565</v>
      </c>
      <c r="B790">
        <v>13.3</v>
      </c>
    </row>
    <row r="791" spans="1:2">
      <c r="A791" s="1">
        <v>43566</v>
      </c>
      <c r="B791">
        <v>13.02</v>
      </c>
    </row>
    <row r="792" spans="1:2">
      <c r="A792" s="1">
        <v>43567</v>
      </c>
      <c r="B792">
        <v>12.01</v>
      </c>
    </row>
    <row r="793" spans="1:2">
      <c r="A793" s="1">
        <v>43570</v>
      </c>
      <c r="B793">
        <v>12.32</v>
      </c>
    </row>
    <row r="794" spans="1:2">
      <c r="A794" s="1">
        <v>43571</v>
      </c>
      <c r="B794">
        <v>12.18</v>
      </c>
    </row>
    <row r="795" spans="1:2">
      <c r="A795" s="1">
        <v>43572</v>
      </c>
      <c r="B795">
        <v>12.6</v>
      </c>
    </row>
    <row r="796" spans="1:2">
      <c r="A796" s="1">
        <v>43573</v>
      </c>
      <c r="B796">
        <v>12.09</v>
      </c>
    </row>
    <row r="797" spans="1:2">
      <c r="A797" s="1">
        <v>43574</v>
      </c>
    </row>
    <row r="798" spans="1:2">
      <c r="A798" s="1">
        <v>43577</v>
      </c>
      <c r="B798">
        <v>12.42</v>
      </c>
    </row>
    <row r="799" spans="1:2">
      <c r="A799" s="1">
        <v>43578</v>
      </c>
      <c r="B799">
        <v>12.28</v>
      </c>
    </row>
    <row r="800" spans="1:2">
      <c r="A800" s="1">
        <v>43579</v>
      </c>
      <c r="B800">
        <v>13.14</v>
      </c>
    </row>
    <row r="801" spans="1:2">
      <c r="A801" s="1">
        <v>43580</v>
      </c>
      <c r="B801">
        <v>13.25</v>
      </c>
    </row>
    <row r="802" spans="1:2">
      <c r="A802" s="1">
        <v>43581</v>
      </c>
      <c r="B802">
        <v>12.73</v>
      </c>
    </row>
    <row r="803" spans="1:2">
      <c r="A803" s="1">
        <v>43584</v>
      </c>
      <c r="B803">
        <v>13.11</v>
      </c>
    </row>
    <row r="804" spans="1:2">
      <c r="A804" s="1">
        <v>43585</v>
      </c>
      <c r="B804">
        <v>13.12</v>
      </c>
    </row>
    <row r="805" spans="1:2">
      <c r="A805" s="1">
        <v>43586</v>
      </c>
      <c r="B805">
        <v>14.8</v>
      </c>
    </row>
    <row r="806" spans="1:2">
      <c r="A806" s="1">
        <v>43587</v>
      </c>
      <c r="B806">
        <v>14.42</v>
      </c>
    </row>
    <row r="807" spans="1:2">
      <c r="A807" s="1">
        <v>43588</v>
      </c>
      <c r="B807">
        <v>12.87</v>
      </c>
    </row>
    <row r="808" spans="1:2">
      <c r="A808" s="1">
        <v>43591</v>
      </c>
      <c r="B808">
        <v>15.44</v>
      </c>
    </row>
    <row r="809" spans="1:2">
      <c r="A809" s="1">
        <v>43592</v>
      </c>
      <c r="B809">
        <v>19.32</v>
      </c>
    </row>
    <row r="810" spans="1:2">
      <c r="A810" s="1">
        <v>43593</v>
      </c>
      <c r="B810">
        <v>19.399999999999999</v>
      </c>
    </row>
    <row r="811" spans="1:2">
      <c r="A811" s="1">
        <v>43594</v>
      </c>
      <c r="B811">
        <v>19.100000000000001</v>
      </c>
    </row>
    <row r="812" spans="1:2">
      <c r="A812" s="1">
        <v>43595</v>
      </c>
      <c r="B812">
        <v>16.04</v>
      </c>
    </row>
    <row r="813" spans="1:2">
      <c r="A813" s="1">
        <v>43598</v>
      </c>
      <c r="B813">
        <v>20.55</v>
      </c>
    </row>
    <row r="814" spans="1:2">
      <c r="A814" s="1">
        <v>43599</v>
      </c>
      <c r="B814">
        <v>18.059999999999999</v>
      </c>
    </row>
    <row r="815" spans="1:2">
      <c r="A815" s="1">
        <v>43600</v>
      </c>
      <c r="B815">
        <v>16.440000000000001</v>
      </c>
    </row>
    <row r="816" spans="1:2">
      <c r="A816" s="1">
        <v>43601</v>
      </c>
      <c r="B816">
        <v>15.29</v>
      </c>
    </row>
    <row r="817" spans="1:2">
      <c r="A817" s="1">
        <v>43602</v>
      </c>
      <c r="B817">
        <v>15.96</v>
      </c>
    </row>
    <row r="818" spans="1:2">
      <c r="A818" s="1">
        <v>43605</v>
      </c>
      <c r="B818">
        <v>16.309999999999999</v>
      </c>
    </row>
    <row r="819" spans="1:2">
      <c r="A819" s="1">
        <v>43606</v>
      </c>
      <c r="B819">
        <v>14.95</v>
      </c>
    </row>
    <row r="820" spans="1:2">
      <c r="A820" s="1">
        <v>43607</v>
      </c>
      <c r="B820">
        <v>14.75</v>
      </c>
    </row>
    <row r="821" spans="1:2">
      <c r="A821" s="1">
        <v>43608</v>
      </c>
      <c r="B821">
        <v>16.920000000000002</v>
      </c>
    </row>
    <row r="822" spans="1:2">
      <c r="A822" s="1">
        <v>43609</v>
      </c>
      <c r="B822">
        <v>15.85</v>
      </c>
    </row>
    <row r="823" spans="1:2">
      <c r="A823" s="1">
        <v>43612</v>
      </c>
    </row>
    <row r="824" spans="1:2">
      <c r="A824" s="1">
        <v>43613</v>
      </c>
      <c r="B824">
        <v>17.5</v>
      </c>
    </row>
    <row r="825" spans="1:2">
      <c r="A825" s="1">
        <v>43614</v>
      </c>
      <c r="B825">
        <v>17.899999999999999</v>
      </c>
    </row>
    <row r="826" spans="1:2">
      <c r="A826" s="1">
        <v>43615</v>
      </c>
      <c r="B826">
        <v>17.3</v>
      </c>
    </row>
    <row r="827" spans="1:2">
      <c r="A827" s="1">
        <v>43616</v>
      </c>
      <c r="B827">
        <v>18.71</v>
      </c>
    </row>
    <row r="828" spans="1:2">
      <c r="A828" s="1">
        <v>43619</v>
      </c>
      <c r="B828">
        <v>18.86</v>
      </c>
    </row>
    <row r="829" spans="1:2">
      <c r="A829" s="1">
        <v>43620</v>
      </c>
      <c r="B829">
        <v>16.97</v>
      </c>
    </row>
    <row r="830" spans="1:2">
      <c r="A830" s="1">
        <v>43621</v>
      </c>
      <c r="B830">
        <v>16.09</v>
      </c>
    </row>
    <row r="831" spans="1:2">
      <c r="A831" s="1">
        <v>43622</v>
      </c>
      <c r="B831">
        <v>15.93</v>
      </c>
    </row>
    <row r="832" spans="1:2">
      <c r="A832" s="1">
        <v>43623</v>
      </c>
      <c r="B832">
        <v>16.3</v>
      </c>
    </row>
    <row r="833" spans="1:2">
      <c r="A833" s="1">
        <v>43626</v>
      </c>
      <c r="B833">
        <v>15.94</v>
      </c>
    </row>
    <row r="834" spans="1:2">
      <c r="A834" s="1">
        <v>43627</v>
      </c>
      <c r="B834">
        <v>15.99</v>
      </c>
    </row>
    <row r="835" spans="1:2">
      <c r="A835" s="1">
        <v>43628</v>
      </c>
      <c r="B835">
        <v>15.91</v>
      </c>
    </row>
    <row r="836" spans="1:2">
      <c r="A836" s="1">
        <v>43629</v>
      </c>
      <c r="B836">
        <v>15.82</v>
      </c>
    </row>
    <row r="837" spans="1:2">
      <c r="A837" s="1">
        <v>43630</v>
      </c>
      <c r="B837">
        <v>15.28</v>
      </c>
    </row>
    <row r="838" spans="1:2">
      <c r="A838" s="1">
        <v>43633</v>
      </c>
      <c r="B838">
        <v>15.35</v>
      </c>
    </row>
    <row r="839" spans="1:2">
      <c r="A839" s="1">
        <v>43634</v>
      </c>
      <c r="B839">
        <v>15.15</v>
      </c>
    </row>
    <row r="840" spans="1:2">
      <c r="A840" s="1">
        <v>43635</v>
      </c>
      <c r="B840">
        <v>14.33</v>
      </c>
    </row>
    <row r="841" spans="1:2">
      <c r="A841" s="1">
        <v>43636</v>
      </c>
      <c r="B841">
        <v>14.75</v>
      </c>
    </row>
    <row r="842" spans="1:2">
      <c r="A842" s="1">
        <v>43637</v>
      </c>
      <c r="B842">
        <v>15.4</v>
      </c>
    </row>
    <row r="843" spans="1:2">
      <c r="A843" s="1">
        <v>43640</v>
      </c>
      <c r="B843">
        <v>15.26</v>
      </c>
    </row>
    <row r="844" spans="1:2">
      <c r="A844" s="1">
        <v>43641</v>
      </c>
      <c r="B844">
        <v>16.28</v>
      </c>
    </row>
    <row r="845" spans="1:2">
      <c r="A845" s="1">
        <v>43642</v>
      </c>
      <c r="B845">
        <v>16.21</v>
      </c>
    </row>
    <row r="846" spans="1:2">
      <c r="A846" s="1">
        <v>43643</v>
      </c>
      <c r="B846">
        <v>15.82</v>
      </c>
    </row>
    <row r="847" spans="1:2">
      <c r="A847" s="1">
        <v>43644</v>
      </c>
      <c r="B847">
        <v>15.08</v>
      </c>
    </row>
    <row r="848" spans="1:2">
      <c r="A848" s="1">
        <v>43647</v>
      </c>
      <c r="B848">
        <v>14.06</v>
      </c>
    </row>
    <row r="849" spans="1:2">
      <c r="A849" s="1">
        <v>43648</v>
      </c>
      <c r="B849">
        <v>12.93</v>
      </c>
    </row>
    <row r="850" spans="1:2">
      <c r="A850" s="1">
        <v>43649</v>
      </c>
      <c r="B850">
        <v>12.57</v>
      </c>
    </row>
    <row r="851" spans="1:2">
      <c r="A851" s="1">
        <v>43650</v>
      </c>
    </row>
    <row r="852" spans="1:2">
      <c r="A852" s="1">
        <v>43651</v>
      </c>
      <c r="B852">
        <v>13.28</v>
      </c>
    </row>
    <row r="853" spans="1:2">
      <c r="A853" s="1">
        <v>43654</v>
      </c>
      <c r="B853">
        <v>13.96</v>
      </c>
    </row>
    <row r="854" spans="1:2">
      <c r="A854" s="1">
        <v>43655</v>
      </c>
      <c r="B854">
        <v>14.09</v>
      </c>
    </row>
    <row r="855" spans="1:2">
      <c r="A855" s="1">
        <v>43656</v>
      </c>
      <c r="B855">
        <v>13.03</v>
      </c>
    </row>
    <row r="856" spans="1:2">
      <c r="A856" s="1">
        <v>43657</v>
      </c>
      <c r="B856">
        <v>12.93</v>
      </c>
    </row>
    <row r="857" spans="1:2">
      <c r="A857" s="1">
        <v>43658</v>
      </c>
      <c r="B857">
        <v>12.39</v>
      </c>
    </row>
    <row r="858" spans="1:2">
      <c r="A858" s="1">
        <v>43661</v>
      </c>
      <c r="B858">
        <v>12.68</v>
      </c>
    </row>
    <row r="859" spans="1:2">
      <c r="A859" s="1">
        <v>43662</v>
      </c>
      <c r="B859">
        <v>12.86</v>
      </c>
    </row>
    <row r="860" spans="1:2">
      <c r="A860" s="1">
        <v>43663</v>
      </c>
      <c r="B860">
        <v>13.97</v>
      </c>
    </row>
    <row r="861" spans="1:2">
      <c r="A861" s="1">
        <v>43664</v>
      </c>
      <c r="B861">
        <v>13.53</v>
      </c>
    </row>
    <row r="862" spans="1:2">
      <c r="A862" s="1">
        <v>43665</v>
      </c>
      <c r="B862">
        <v>14.45</v>
      </c>
    </row>
    <row r="863" spans="1:2">
      <c r="A863" s="1">
        <v>43668</v>
      </c>
      <c r="B863">
        <v>13.53</v>
      </c>
    </row>
    <row r="864" spans="1:2">
      <c r="A864" s="1">
        <v>43669</v>
      </c>
      <c r="B864">
        <v>12.61</v>
      </c>
    </row>
    <row r="865" spans="1:2">
      <c r="A865" s="1">
        <v>43670</v>
      </c>
      <c r="B865">
        <v>12.07</v>
      </c>
    </row>
    <row r="866" spans="1:2">
      <c r="A866" s="1">
        <v>43671</v>
      </c>
      <c r="B866">
        <v>12.74</v>
      </c>
    </row>
    <row r="867" spans="1:2">
      <c r="A867" s="1">
        <v>43672</v>
      </c>
      <c r="B867">
        <v>12.16</v>
      </c>
    </row>
    <row r="868" spans="1:2">
      <c r="A868" s="1">
        <v>43675</v>
      </c>
      <c r="B868">
        <v>12.83</v>
      </c>
    </row>
    <row r="869" spans="1:2">
      <c r="A869" s="1">
        <v>43676</v>
      </c>
      <c r="B869">
        <v>13.94</v>
      </c>
    </row>
    <row r="870" spans="1:2">
      <c r="A870" s="1">
        <v>43677</v>
      </c>
      <c r="B870">
        <v>16.12</v>
      </c>
    </row>
    <row r="871" spans="1:2">
      <c r="A871" s="1">
        <v>43678</v>
      </c>
      <c r="B871">
        <v>17.87</v>
      </c>
    </row>
    <row r="872" spans="1:2">
      <c r="A872" s="1">
        <v>43679</v>
      </c>
      <c r="B872">
        <v>17.61</v>
      </c>
    </row>
    <row r="873" spans="1:2">
      <c r="A873" s="1">
        <v>43682</v>
      </c>
      <c r="B873">
        <v>24.59</v>
      </c>
    </row>
    <row r="874" spans="1:2">
      <c r="A874" s="1">
        <v>43683</v>
      </c>
      <c r="B874">
        <v>20.170000000000002</v>
      </c>
    </row>
    <row r="875" spans="1:2">
      <c r="A875" s="1">
        <v>43684</v>
      </c>
      <c r="B875">
        <v>19.489999999999998</v>
      </c>
    </row>
    <row r="876" spans="1:2">
      <c r="A876" s="1">
        <v>43685</v>
      </c>
      <c r="B876">
        <v>16.91</v>
      </c>
    </row>
    <row r="877" spans="1:2">
      <c r="A877" s="1">
        <v>43686</v>
      </c>
      <c r="B877">
        <v>17.97</v>
      </c>
    </row>
    <row r="878" spans="1:2">
      <c r="A878" s="1">
        <v>43689</v>
      </c>
      <c r="B878">
        <v>21.09</v>
      </c>
    </row>
    <row r="879" spans="1:2">
      <c r="A879" s="1">
        <v>43690</v>
      </c>
      <c r="B879">
        <v>17.52</v>
      </c>
    </row>
    <row r="880" spans="1:2">
      <c r="A880" s="1">
        <v>43691</v>
      </c>
      <c r="B880">
        <v>22.1</v>
      </c>
    </row>
    <row r="881" spans="1:2">
      <c r="A881" s="1">
        <v>43692</v>
      </c>
      <c r="B881">
        <v>21.18</v>
      </c>
    </row>
    <row r="882" spans="1:2">
      <c r="A882" s="1">
        <v>43693</v>
      </c>
      <c r="B882">
        <v>18.47</v>
      </c>
    </row>
    <row r="883" spans="1:2">
      <c r="A883" s="1">
        <v>43696</v>
      </c>
      <c r="B883">
        <v>16.88</v>
      </c>
    </row>
    <row r="884" spans="1:2">
      <c r="A884" s="1">
        <v>43697</v>
      </c>
      <c r="B884">
        <v>17.5</v>
      </c>
    </row>
    <row r="885" spans="1:2">
      <c r="A885" s="1">
        <v>43698</v>
      </c>
      <c r="B885">
        <v>15.8</v>
      </c>
    </row>
    <row r="886" spans="1:2">
      <c r="A886" s="1">
        <v>43699</v>
      </c>
      <c r="B886">
        <v>16.68</v>
      </c>
    </row>
    <row r="887" spans="1:2">
      <c r="A887" s="1">
        <v>43700</v>
      </c>
      <c r="B887">
        <v>19.87</v>
      </c>
    </row>
    <row r="888" spans="1:2">
      <c r="A888" s="1">
        <v>43703</v>
      </c>
      <c r="B888">
        <v>19.32</v>
      </c>
    </row>
    <row r="889" spans="1:2">
      <c r="A889" s="1">
        <v>43704</v>
      </c>
      <c r="B889">
        <v>20.309999999999999</v>
      </c>
    </row>
    <row r="890" spans="1:2">
      <c r="A890" s="1">
        <v>43705</v>
      </c>
      <c r="B890">
        <v>19.350000000000001</v>
      </c>
    </row>
    <row r="891" spans="1:2">
      <c r="A891" s="1">
        <v>43706</v>
      </c>
      <c r="B891">
        <v>17.88</v>
      </c>
    </row>
    <row r="892" spans="1:2">
      <c r="A892" s="1">
        <v>43707</v>
      </c>
      <c r="B892">
        <v>18.98</v>
      </c>
    </row>
    <row r="893" spans="1:2">
      <c r="A893" s="1">
        <v>43710</v>
      </c>
    </row>
    <row r="894" spans="1:2">
      <c r="A894" s="1">
        <v>43711</v>
      </c>
      <c r="B894">
        <v>19.66</v>
      </c>
    </row>
    <row r="895" spans="1:2">
      <c r="A895" s="1">
        <v>43712</v>
      </c>
      <c r="B895">
        <v>17.329999999999998</v>
      </c>
    </row>
    <row r="896" spans="1:2">
      <c r="A896" s="1">
        <v>43713</v>
      </c>
      <c r="B896">
        <v>16.27</v>
      </c>
    </row>
    <row r="897" spans="1:2">
      <c r="A897" s="1">
        <v>43714</v>
      </c>
      <c r="B897">
        <v>15</v>
      </c>
    </row>
    <row r="898" spans="1:2">
      <c r="A898" s="1">
        <v>43717</v>
      </c>
      <c r="B898">
        <v>15.27</v>
      </c>
    </row>
    <row r="899" spans="1:2">
      <c r="A899" s="1">
        <v>43718</v>
      </c>
      <c r="B899">
        <v>15.2</v>
      </c>
    </row>
    <row r="900" spans="1:2">
      <c r="A900" s="1">
        <v>43719</v>
      </c>
      <c r="B900">
        <v>14.61</v>
      </c>
    </row>
    <row r="901" spans="1:2">
      <c r="A901" s="1">
        <v>43720</v>
      </c>
      <c r="B901">
        <v>14.22</v>
      </c>
    </row>
    <row r="902" spans="1:2">
      <c r="A902" s="1">
        <v>43721</v>
      </c>
      <c r="B902">
        <v>13.74</v>
      </c>
    </row>
    <row r="903" spans="1:2">
      <c r="A903" s="1">
        <v>43724</v>
      </c>
      <c r="B903">
        <v>14.67</v>
      </c>
    </row>
    <row r="904" spans="1:2">
      <c r="A904" s="1">
        <v>43725</v>
      </c>
      <c r="B904">
        <v>14.44</v>
      </c>
    </row>
    <row r="905" spans="1:2">
      <c r="A905" s="1">
        <v>43726</v>
      </c>
      <c r="B905">
        <v>13.95</v>
      </c>
    </row>
    <row r="906" spans="1:2">
      <c r="A906" s="1">
        <v>43727</v>
      </c>
      <c r="B906">
        <v>14.05</v>
      </c>
    </row>
    <row r="907" spans="1:2">
      <c r="A907" s="1">
        <v>43728</v>
      </c>
      <c r="B907">
        <v>15.32</v>
      </c>
    </row>
    <row r="908" spans="1:2">
      <c r="A908" s="1">
        <v>43731</v>
      </c>
      <c r="B908">
        <v>14.91</v>
      </c>
    </row>
    <row r="909" spans="1:2">
      <c r="A909" s="1">
        <v>43732</v>
      </c>
      <c r="B909">
        <v>17.05</v>
      </c>
    </row>
    <row r="910" spans="1:2">
      <c r="A910" s="1">
        <v>43733</v>
      </c>
      <c r="B910">
        <v>15.96</v>
      </c>
    </row>
    <row r="911" spans="1:2">
      <c r="A911" s="1">
        <v>43734</v>
      </c>
      <c r="B911">
        <v>16.07</v>
      </c>
    </row>
    <row r="912" spans="1:2">
      <c r="A912" s="1">
        <v>43735</v>
      </c>
      <c r="B912">
        <v>17.22</v>
      </c>
    </row>
    <row r="913" spans="1:2">
      <c r="A913" s="1">
        <v>43738</v>
      </c>
      <c r="B913">
        <v>16.239999999999998</v>
      </c>
    </row>
    <row r="914" spans="1:2">
      <c r="A914" s="1">
        <v>43739</v>
      </c>
      <c r="B914">
        <v>18.559999999999999</v>
      </c>
    </row>
    <row r="915" spans="1:2">
      <c r="A915" s="1">
        <v>43740</v>
      </c>
      <c r="B915">
        <v>20.56</v>
      </c>
    </row>
    <row r="916" spans="1:2">
      <c r="A916" s="1">
        <v>43741</v>
      </c>
      <c r="B916">
        <v>19.12</v>
      </c>
    </row>
    <row r="917" spans="1:2">
      <c r="A917" s="1">
        <v>43742</v>
      </c>
      <c r="B917">
        <v>17.04</v>
      </c>
    </row>
    <row r="918" spans="1:2">
      <c r="A918" s="1">
        <v>43745</v>
      </c>
      <c r="B918">
        <v>17.86</v>
      </c>
    </row>
    <row r="919" spans="1:2">
      <c r="A919" s="1">
        <v>43746</v>
      </c>
      <c r="B919">
        <v>20.28</v>
      </c>
    </row>
    <row r="920" spans="1:2">
      <c r="A920" s="1">
        <v>43747</v>
      </c>
      <c r="B920">
        <v>18.64</v>
      </c>
    </row>
    <row r="921" spans="1:2">
      <c r="A921" s="1">
        <v>43748</v>
      </c>
      <c r="B921">
        <v>17.57</v>
      </c>
    </row>
    <row r="922" spans="1:2">
      <c r="A922" s="1">
        <v>43749</v>
      </c>
      <c r="B922">
        <v>15.58</v>
      </c>
    </row>
    <row r="923" spans="1:2">
      <c r="A923" s="1">
        <v>43752</v>
      </c>
      <c r="B923">
        <v>14.57</v>
      </c>
    </row>
    <row r="924" spans="1:2">
      <c r="A924" s="1">
        <v>43753</v>
      </c>
      <c r="B924">
        <v>13.54</v>
      </c>
    </row>
    <row r="925" spans="1:2">
      <c r="A925" s="1">
        <v>43754</v>
      </c>
      <c r="B925">
        <v>13.68</v>
      </c>
    </row>
    <row r="926" spans="1:2">
      <c r="A926" s="1">
        <v>43755</v>
      </c>
      <c r="B926">
        <v>13.79</v>
      </c>
    </row>
    <row r="927" spans="1:2">
      <c r="A927" s="1">
        <v>43756</v>
      </c>
      <c r="B927">
        <v>14.25</v>
      </c>
    </row>
    <row r="928" spans="1:2">
      <c r="A928" s="1">
        <v>43759</v>
      </c>
      <c r="B928">
        <v>14</v>
      </c>
    </row>
    <row r="929" spans="1:2">
      <c r="A929" s="1">
        <v>43760</v>
      </c>
      <c r="B929">
        <v>14.46</v>
      </c>
    </row>
    <row r="930" spans="1:2">
      <c r="A930" s="1">
        <v>43761</v>
      </c>
      <c r="B930">
        <v>14.01</v>
      </c>
    </row>
    <row r="931" spans="1:2">
      <c r="A931" s="1">
        <v>43762</v>
      </c>
      <c r="B931">
        <v>13.71</v>
      </c>
    </row>
    <row r="932" spans="1:2">
      <c r="A932" s="1">
        <v>43763</v>
      </c>
      <c r="B932">
        <v>12.65</v>
      </c>
    </row>
    <row r="933" spans="1:2">
      <c r="A933" s="1">
        <v>43766</v>
      </c>
      <c r="B933">
        <v>13.11</v>
      </c>
    </row>
    <row r="934" spans="1:2">
      <c r="A934" s="1">
        <v>43767</v>
      </c>
      <c r="B934">
        <v>13.2</v>
      </c>
    </row>
    <row r="935" spans="1:2">
      <c r="A935" s="1">
        <v>43768</v>
      </c>
      <c r="B935">
        <v>12.33</v>
      </c>
    </row>
    <row r="936" spans="1:2">
      <c r="A936" s="1">
        <v>43769</v>
      </c>
      <c r="B936">
        <v>13.22</v>
      </c>
    </row>
    <row r="937" spans="1:2">
      <c r="A937" s="1">
        <v>43770</v>
      </c>
      <c r="B937">
        <v>12.3</v>
      </c>
    </row>
    <row r="938" spans="1:2">
      <c r="A938" s="1">
        <v>43773</v>
      </c>
      <c r="B938">
        <v>12.83</v>
      </c>
    </row>
    <row r="939" spans="1:2">
      <c r="A939" s="1">
        <v>43774</v>
      </c>
      <c r="B939">
        <v>13.1</v>
      </c>
    </row>
    <row r="940" spans="1:2">
      <c r="A940" s="1">
        <v>43775</v>
      </c>
      <c r="B940">
        <v>12.62</v>
      </c>
    </row>
    <row r="941" spans="1:2">
      <c r="A941" s="1">
        <v>43776</v>
      </c>
      <c r="B941">
        <v>12.73</v>
      </c>
    </row>
    <row r="942" spans="1:2">
      <c r="A942" s="1">
        <v>43777</v>
      </c>
      <c r="B942">
        <v>12.07</v>
      </c>
    </row>
    <row r="943" spans="1:2">
      <c r="A943" s="1">
        <v>43780</v>
      </c>
      <c r="B943">
        <v>12.69</v>
      </c>
    </row>
    <row r="944" spans="1:2">
      <c r="A944" s="1">
        <v>43781</v>
      </c>
      <c r="B944">
        <v>12.68</v>
      </c>
    </row>
    <row r="945" spans="1:2">
      <c r="A945" s="1">
        <v>43782</v>
      </c>
      <c r="B945">
        <v>13</v>
      </c>
    </row>
    <row r="946" spans="1:2">
      <c r="A946" s="1">
        <v>43783</v>
      </c>
      <c r="B946">
        <v>13.05</v>
      </c>
    </row>
    <row r="947" spans="1:2">
      <c r="A947" s="1">
        <v>43784</v>
      </c>
      <c r="B947">
        <v>12.05</v>
      </c>
    </row>
    <row r="948" spans="1:2">
      <c r="A948" s="1">
        <v>43787</v>
      </c>
      <c r="B948">
        <v>12.46</v>
      </c>
    </row>
    <row r="949" spans="1:2">
      <c r="A949" s="1">
        <v>43788</v>
      </c>
      <c r="B949">
        <v>12.86</v>
      </c>
    </row>
    <row r="950" spans="1:2">
      <c r="A950" s="1">
        <v>43789</v>
      </c>
      <c r="B950">
        <v>12.78</v>
      </c>
    </row>
    <row r="951" spans="1:2">
      <c r="A951" s="1">
        <v>43790</v>
      </c>
      <c r="B951">
        <v>13.13</v>
      </c>
    </row>
    <row r="952" spans="1:2">
      <c r="A952" s="1">
        <v>43791</v>
      </c>
      <c r="B952">
        <v>12.34</v>
      </c>
    </row>
    <row r="953" spans="1:2">
      <c r="A953" s="1">
        <v>43794</v>
      </c>
      <c r="B953">
        <v>11.87</v>
      </c>
    </row>
    <row r="954" spans="1:2">
      <c r="A954" s="1">
        <v>43795</v>
      </c>
      <c r="B954">
        <v>11.54</v>
      </c>
    </row>
    <row r="955" spans="1:2">
      <c r="A955" s="1">
        <v>43796</v>
      </c>
      <c r="B955">
        <v>11.75</v>
      </c>
    </row>
    <row r="956" spans="1:2">
      <c r="A956" s="1">
        <v>43797</v>
      </c>
    </row>
    <row r="957" spans="1:2">
      <c r="A957" s="1">
        <v>43798</v>
      </c>
      <c r="B957">
        <v>12.62</v>
      </c>
    </row>
    <row r="958" spans="1:2">
      <c r="A958" s="1">
        <v>43801</v>
      </c>
      <c r="B958">
        <v>14.91</v>
      </c>
    </row>
    <row r="959" spans="1:2">
      <c r="A959" s="1">
        <v>43802</v>
      </c>
      <c r="B959">
        <v>15.96</v>
      </c>
    </row>
    <row r="960" spans="1:2">
      <c r="A960" s="1">
        <v>43803</v>
      </c>
      <c r="B960">
        <v>14.8</v>
      </c>
    </row>
    <row r="961" spans="1:2">
      <c r="A961" s="1">
        <v>43804</v>
      </c>
      <c r="B961">
        <v>14.52</v>
      </c>
    </row>
    <row r="962" spans="1:2">
      <c r="A962" s="1">
        <v>43805</v>
      </c>
      <c r="B962">
        <v>13.62</v>
      </c>
    </row>
    <row r="963" spans="1:2">
      <c r="A963" s="1">
        <v>43808</v>
      </c>
      <c r="B963">
        <v>15.86</v>
      </c>
    </row>
    <row r="964" spans="1:2">
      <c r="A964" s="1">
        <v>43809</v>
      </c>
      <c r="B964">
        <v>15.68</v>
      </c>
    </row>
    <row r="965" spans="1:2">
      <c r="A965" s="1">
        <v>43810</v>
      </c>
      <c r="B965">
        <v>14.99</v>
      </c>
    </row>
    <row r="966" spans="1:2">
      <c r="A966" s="1">
        <v>43811</v>
      </c>
      <c r="B966">
        <v>13.94</v>
      </c>
    </row>
    <row r="967" spans="1:2">
      <c r="A967" s="1">
        <v>43812</v>
      </c>
      <c r="B967">
        <v>12.63</v>
      </c>
    </row>
    <row r="968" spans="1:2">
      <c r="A968" s="1">
        <v>43815</v>
      </c>
      <c r="B968">
        <v>12.14</v>
      </c>
    </row>
    <row r="969" spans="1:2">
      <c r="A969" s="1">
        <v>43816</v>
      </c>
      <c r="B969">
        <v>12.29</v>
      </c>
    </row>
    <row r="970" spans="1:2">
      <c r="A970" s="1">
        <v>43817</v>
      </c>
      <c r="B970">
        <v>12.58</v>
      </c>
    </row>
    <row r="971" spans="1:2">
      <c r="A971" s="1">
        <v>43818</v>
      </c>
      <c r="B971">
        <v>12.5</v>
      </c>
    </row>
    <row r="972" spans="1:2">
      <c r="A972" s="1">
        <v>43819</v>
      </c>
      <c r="B972">
        <v>12.51</v>
      </c>
    </row>
    <row r="973" spans="1:2">
      <c r="A973" s="1">
        <v>43822</v>
      </c>
      <c r="B973">
        <v>12.61</v>
      </c>
    </row>
    <row r="974" spans="1:2">
      <c r="A974" s="1">
        <v>43823</v>
      </c>
      <c r="B974">
        <v>12.67</v>
      </c>
    </row>
    <row r="975" spans="1:2">
      <c r="A975" s="1">
        <v>43824</v>
      </c>
    </row>
    <row r="976" spans="1:2">
      <c r="A976" s="1">
        <v>43825</v>
      </c>
      <c r="B976">
        <v>12.65</v>
      </c>
    </row>
    <row r="977" spans="1:2">
      <c r="A977" s="1">
        <v>43826</v>
      </c>
      <c r="B977">
        <v>13.43</v>
      </c>
    </row>
    <row r="978" spans="1:2">
      <c r="A978" s="1">
        <v>43829</v>
      </c>
      <c r="B978">
        <v>14.82</v>
      </c>
    </row>
    <row r="979" spans="1:2">
      <c r="A979" s="1">
        <v>43830</v>
      </c>
      <c r="B979">
        <v>13.78</v>
      </c>
    </row>
    <row r="980" spans="1:2">
      <c r="A980" s="1">
        <v>43831</v>
      </c>
    </row>
    <row r="981" spans="1:2">
      <c r="A981" s="1">
        <v>43832</v>
      </c>
      <c r="B981">
        <v>12.47</v>
      </c>
    </row>
    <row r="982" spans="1:2">
      <c r="A982" s="1">
        <v>43833</v>
      </c>
      <c r="B982">
        <v>14.02</v>
      </c>
    </row>
    <row r="983" spans="1:2">
      <c r="A983" s="1">
        <v>43836</v>
      </c>
      <c r="B983">
        <v>13.85</v>
      </c>
    </row>
    <row r="984" spans="1:2">
      <c r="A984" s="1">
        <v>43837</v>
      </c>
      <c r="B984">
        <v>13.79</v>
      </c>
    </row>
    <row r="985" spans="1:2">
      <c r="A985" s="1">
        <v>43838</v>
      </c>
      <c r="B985">
        <v>13.45</v>
      </c>
    </row>
    <row r="986" spans="1:2">
      <c r="A986" s="1">
        <v>43839</v>
      </c>
      <c r="B986">
        <v>12.54</v>
      </c>
    </row>
    <row r="987" spans="1:2">
      <c r="A987" s="1">
        <v>43840</v>
      </c>
      <c r="B987">
        <v>12.56</v>
      </c>
    </row>
    <row r="988" spans="1:2">
      <c r="A988" s="1">
        <v>43843</v>
      </c>
      <c r="B988">
        <v>12.32</v>
      </c>
    </row>
    <row r="989" spans="1:2">
      <c r="A989" s="1">
        <v>43844</v>
      </c>
      <c r="B989">
        <v>12.39</v>
      </c>
    </row>
    <row r="990" spans="1:2">
      <c r="A990" s="1">
        <v>43845</v>
      </c>
      <c r="B990">
        <v>12.42</v>
      </c>
    </row>
    <row r="991" spans="1:2">
      <c r="A991" s="1">
        <v>43846</v>
      </c>
      <c r="B991">
        <v>12.32</v>
      </c>
    </row>
    <row r="992" spans="1:2">
      <c r="A992" s="1">
        <v>43847</v>
      </c>
      <c r="B992">
        <v>12.1</v>
      </c>
    </row>
    <row r="993" spans="1:2">
      <c r="A993" s="1">
        <v>43850</v>
      </c>
    </row>
    <row r="994" spans="1:2">
      <c r="A994" s="1">
        <v>43851</v>
      </c>
      <c r="B994">
        <v>12.85</v>
      </c>
    </row>
    <row r="995" spans="1:2">
      <c r="A995" s="1">
        <v>43852</v>
      </c>
      <c r="B995">
        <v>12.91</v>
      </c>
    </row>
    <row r="996" spans="1:2">
      <c r="A996" s="1">
        <v>43853</v>
      </c>
      <c r="B996">
        <v>12.98</v>
      </c>
    </row>
    <row r="997" spans="1:2">
      <c r="A997" s="1">
        <v>43854</v>
      </c>
      <c r="B997">
        <v>14.56</v>
      </c>
    </row>
    <row r="998" spans="1:2">
      <c r="A998" s="1">
        <v>43857</v>
      </c>
      <c r="B998">
        <v>18.23</v>
      </c>
    </row>
    <row r="999" spans="1:2">
      <c r="A999" s="1">
        <v>43858</v>
      </c>
      <c r="B999">
        <v>16.28</v>
      </c>
    </row>
    <row r="1000" spans="1:2">
      <c r="A1000" s="1">
        <v>43859</v>
      </c>
      <c r="B1000">
        <v>16.39</v>
      </c>
    </row>
    <row r="1001" spans="1:2">
      <c r="A1001" s="1">
        <v>43860</v>
      </c>
      <c r="B1001">
        <v>15.49</v>
      </c>
    </row>
    <row r="1002" spans="1:2">
      <c r="A1002" s="1">
        <v>43861</v>
      </c>
      <c r="B1002">
        <v>18.84</v>
      </c>
    </row>
    <row r="1003" spans="1:2">
      <c r="A1003" s="1">
        <v>43864</v>
      </c>
      <c r="B1003">
        <v>17.97</v>
      </c>
    </row>
    <row r="1004" spans="1:2">
      <c r="A1004" s="1">
        <v>43865</v>
      </c>
      <c r="B1004">
        <v>16.05</v>
      </c>
    </row>
    <row r="1005" spans="1:2">
      <c r="A1005" s="1">
        <v>43866</v>
      </c>
      <c r="B1005">
        <v>15.15</v>
      </c>
    </row>
    <row r="1006" spans="1:2">
      <c r="A1006" s="1">
        <v>43867</v>
      </c>
      <c r="B1006">
        <v>14.96</v>
      </c>
    </row>
    <row r="1007" spans="1:2">
      <c r="A1007" s="1">
        <v>43868</v>
      </c>
      <c r="B1007">
        <v>15.47</v>
      </c>
    </row>
    <row r="1008" spans="1:2">
      <c r="A1008" s="1">
        <v>43871</v>
      </c>
      <c r="B1008">
        <v>15.04</v>
      </c>
    </row>
    <row r="1009" spans="1:2">
      <c r="A1009" s="1">
        <v>43872</v>
      </c>
      <c r="B1009">
        <v>15.18</v>
      </c>
    </row>
    <row r="1010" spans="1:2">
      <c r="A1010" s="1">
        <v>43873</v>
      </c>
      <c r="B1010">
        <v>13.74</v>
      </c>
    </row>
    <row r="1011" spans="1:2">
      <c r="A1011" s="1">
        <v>43874</v>
      </c>
      <c r="B1011">
        <v>14.15</v>
      </c>
    </row>
    <row r="1012" spans="1:2">
      <c r="A1012" s="1">
        <v>43875</v>
      </c>
      <c r="B1012">
        <v>13.68</v>
      </c>
    </row>
    <row r="1013" spans="1:2">
      <c r="A1013" s="1">
        <v>43878</v>
      </c>
    </row>
    <row r="1014" spans="1:2">
      <c r="A1014" s="1">
        <v>43879</v>
      </c>
      <c r="B1014">
        <v>14.83</v>
      </c>
    </row>
    <row r="1015" spans="1:2">
      <c r="A1015" s="1">
        <v>43880</v>
      </c>
      <c r="B1015">
        <v>14.38</v>
      </c>
    </row>
    <row r="1016" spans="1:2">
      <c r="A1016" s="1">
        <v>43881</v>
      </c>
      <c r="B1016">
        <v>15.56</v>
      </c>
    </row>
    <row r="1017" spans="1:2">
      <c r="A1017" s="1">
        <v>43882</v>
      </c>
      <c r="B1017">
        <v>17.079999999999998</v>
      </c>
    </row>
    <row r="1018" spans="1:2">
      <c r="A1018" s="1">
        <v>43885</v>
      </c>
      <c r="B1018">
        <v>25.03</v>
      </c>
    </row>
    <row r="1019" spans="1:2">
      <c r="A1019" s="1">
        <v>43886</v>
      </c>
      <c r="B1019">
        <v>27.85</v>
      </c>
    </row>
    <row r="1020" spans="1:2">
      <c r="A1020" s="1">
        <v>43887</v>
      </c>
      <c r="B1020">
        <v>27.56</v>
      </c>
    </row>
    <row r="1021" spans="1:2">
      <c r="A1021" s="1">
        <v>43888</v>
      </c>
      <c r="B1021">
        <v>39.159999999999997</v>
      </c>
    </row>
    <row r="1022" spans="1:2">
      <c r="A1022" s="1">
        <v>43889</v>
      </c>
      <c r="B1022">
        <v>40.11</v>
      </c>
    </row>
    <row r="1023" spans="1:2">
      <c r="A1023" s="1">
        <v>43892</v>
      </c>
      <c r="B1023">
        <v>33.42</v>
      </c>
    </row>
    <row r="1024" spans="1:2">
      <c r="A1024" s="1">
        <v>43893</v>
      </c>
      <c r="B1024">
        <v>36.82</v>
      </c>
    </row>
    <row r="1025" spans="1:2">
      <c r="A1025" s="1">
        <v>43894</v>
      </c>
      <c r="B1025">
        <v>31.99</v>
      </c>
    </row>
    <row r="1026" spans="1:2">
      <c r="A1026" s="1">
        <v>43895</v>
      </c>
      <c r="B1026">
        <v>39.619999999999997</v>
      </c>
    </row>
    <row r="1027" spans="1:2">
      <c r="A1027" s="1">
        <v>43896</v>
      </c>
      <c r="B1027">
        <v>41.94</v>
      </c>
    </row>
    <row r="1028" spans="1:2">
      <c r="A1028" s="1">
        <v>43899</v>
      </c>
      <c r="B1028">
        <v>54.46</v>
      </c>
    </row>
    <row r="1029" spans="1:2">
      <c r="A1029" s="1">
        <v>43900</v>
      </c>
      <c r="B1029">
        <v>47.3</v>
      </c>
    </row>
    <row r="1030" spans="1:2">
      <c r="A1030" s="1">
        <v>43901</v>
      </c>
      <c r="B1030">
        <v>53.9</v>
      </c>
    </row>
    <row r="1031" spans="1:2">
      <c r="A1031" s="1">
        <v>43902</v>
      </c>
      <c r="B1031">
        <v>75.47</v>
      </c>
    </row>
    <row r="1032" spans="1:2">
      <c r="A1032" s="1">
        <v>43903</v>
      </c>
      <c r="B1032">
        <v>57.83</v>
      </c>
    </row>
    <row r="1033" spans="1:2">
      <c r="A1033" s="1">
        <v>43906</v>
      </c>
      <c r="B1033">
        <v>82.69</v>
      </c>
    </row>
    <row r="1034" spans="1:2">
      <c r="A1034" s="1">
        <v>43907</v>
      </c>
      <c r="B1034">
        <v>75.91</v>
      </c>
    </row>
    <row r="1035" spans="1:2">
      <c r="A1035" s="1">
        <v>43908</v>
      </c>
      <c r="B1035">
        <v>76.45</v>
      </c>
    </row>
    <row r="1036" spans="1:2">
      <c r="A1036" s="1">
        <v>43909</v>
      </c>
      <c r="B1036">
        <v>72</v>
      </c>
    </row>
    <row r="1037" spans="1:2">
      <c r="A1037" s="1">
        <v>43910</v>
      </c>
      <c r="B1037">
        <v>66.040000000000006</v>
      </c>
    </row>
    <row r="1038" spans="1:2">
      <c r="A1038" s="1">
        <v>43913</v>
      </c>
      <c r="B1038">
        <v>61.59</v>
      </c>
    </row>
    <row r="1039" spans="1:2">
      <c r="A1039" s="1">
        <v>43914</v>
      </c>
      <c r="B1039">
        <v>61.67</v>
      </c>
    </row>
    <row r="1040" spans="1:2">
      <c r="A1040" s="1">
        <v>43915</v>
      </c>
      <c r="B1040">
        <v>63.95</v>
      </c>
    </row>
    <row r="1041" spans="1:2">
      <c r="A1041" s="1">
        <v>43916</v>
      </c>
      <c r="B1041">
        <v>61</v>
      </c>
    </row>
    <row r="1042" spans="1:2">
      <c r="A1042" s="1">
        <v>43917</v>
      </c>
      <c r="B1042">
        <v>65.540000000000006</v>
      </c>
    </row>
    <row r="1043" spans="1:2">
      <c r="A1043" s="1">
        <v>43920</v>
      </c>
      <c r="B1043">
        <v>57.08</v>
      </c>
    </row>
    <row r="1044" spans="1:2">
      <c r="A1044" s="1">
        <v>43921</v>
      </c>
      <c r="B1044">
        <v>53.54</v>
      </c>
    </row>
    <row r="1045" spans="1:2">
      <c r="A1045" s="1">
        <v>43922</v>
      </c>
      <c r="B1045">
        <v>57.06</v>
      </c>
    </row>
    <row r="1046" spans="1:2">
      <c r="A1046" s="1">
        <v>43923</v>
      </c>
      <c r="B1046">
        <v>50.91</v>
      </c>
    </row>
    <row r="1047" spans="1:2">
      <c r="A1047" s="1">
        <v>43924</v>
      </c>
      <c r="B1047">
        <v>46.8</v>
      </c>
    </row>
    <row r="1048" spans="1:2">
      <c r="A1048" s="1">
        <v>43927</v>
      </c>
      <c r="B1048">
        <v>45.24</v>
      </c>
    </row>
    <row r="1049" spans="1:2">
      <c r="A1049" s="1">
        <v>43928</v>
      </c>
      <c r="B1049">
        <v>46.7</v>
      </c>
    </row>
    <row r="1050" spans="1:2">
      <c r="A1050" s="1">
        <v>43929</v>
      </c>
      <c r="B1050">
        <v>43.35</v>
      </c>
    </row>
    <row r="1051" spans="1:2">
      <c r="A1051" s="1">
        <v>43930</v>
      </c>
      <c r="B1051">
        <v>41.67</v>
      </c>
    </row>
    <row r="1052" spans="1:2">
      <c r="A1052" s="1">
        <v>43931</v>
      </c>
    </row>
    <row r="1053" spans="1:2">
      <c r="A1053" s="1">
        <v>43934</v>
      </c>
      <c r="B1053">
        <v>41.17</v>
      </c>
    </row>
    <row r="1054" spans="1:2">
      <c r="A1054" s="1">
        <v>43935</v>
      </c>
      <c r="B1054">
        <v>37.76</v>
      </c>
    </row>
    <row r="1055" spans="1:2">
      <c r="A1055" s="1">
        <v>43936</v>
      </c>
      <c r="B1055">
        <v>40.840000000000003</v>
      </c>
    </row>
    <row r="1056" spans="1:2">
      <c r="A1056" s="1">
        <v>43937</v>
      </c>
      <c r="B1056">
        <v>40.11</v>
      </c>
    </row>
    <row r="1057" spans="1:2">
      <c r="A1057" s="1">
        <v>43938</v>
      </c>
      <c r="B1057">
        <v>38.15</v>
      </c>
    </row>
    <row r="1058" spans="1:2">
      <c r="A1058" s="1">
        <v>43941</v>
      </c>
      <c r="B1058">
        <v>43.83</v>
      </c>
    </row>
    <row r="1059" spans="1:2">
      <c r="A1059" s="1">
        <v>43942</v>
      </c>
      <c r="B1059">
        <v>45.41</v>
      </c>
    </row>
    <row r="1060" spans="1:2">
      <c r="A1060" s="1">
        <v>43943</v>
      </c>
      <c r="B1060">
        <v>41.98</v>
      </c>
    </row>
    <row r="1061" spans="1:2">
      <c r="A1061" s="1">
        <v>43944</v>
      </c>
      <c r="B1061">
        <v>41.38</v>
      </c>
    </row>
    <row r="1062" spans="1:2">
      <c r="A1062" s="1">
        <v>43945</v>
      </c>
      <c r="B1062">
        <v>35.93</v>
      </c>
    </row>
    <row r="1063" spans="1:2">
      <c r="A1063" s="1">
        <v>43948</v>
      </c>
      <c r="B1063">
        <v>33.29</v>
      </c>
    </row>
    <row r="1064" spans="1:2">
      <c r="A1064" s="1">
        <v>43949</v>
      </c>
      <c r="B1064">
        <v>33.57</v>
      </c>
    </row>
    <row r="1065" spans="1:2">
      <c r="A1065" s="1">
        <v>43950</v>
      </c>
      <c r="B1065">
        <v>31.23</v>
      </c>
    </row>
    <row r="1066" spans="1:2">
      <c r="A1066" s="1">
        <v>43951</v>
      </c>
      <c r="B1066">
        <v>34.15</v>
      </c>
    </row>
    <row r="1067" spans="1:2">
      <c r="A1067" s="1">
        <v>43952</v>
      </c>
      <c r="B1067">
        <v>37.19</v>
      </c>
    </row>
    <row r="1068" spans="1:2">
      <c r="A1068" s="1">
        <v>43955</v>
      </c>
      <c r="B1068">
        <v>35.97</v>
      </c>
    </row>
    <row r="1069" spans="1:2">
      <c r="A1069" s="1">
        <v>43956</v>
      </c>
      <c r="B1069">
        <v>33.61</v>
      </c>
    </row>
    <row r="1070" spans="1:2">
      <c r="A1070" s="1">
        <v>43957</v>
      </c>
      <c r="B1070">
        <v>34.119999999999997</v>
      </c>
    </row>
    <row r="1071" spans="1:2">
      <c r="A1071" s="1">
        <v>43958</v>
      </c>
      <c r="B1071">
        <v>31.44</v>
      </c>
    </row>
    <row r="1072" spans="1:2">
      <c r="A1072" s="1">
        <v>43959</v>
      </c>
      <c r="B1072">
        <v>27.98</v>
      </c>
    </row>
    <row r="1073" spans="1:2">
      <c r="A1073" s="1">
        <v>43962</v>
      </c>
      <c r="B1073">
        <v>27.57</v>
      </c>
    </row>
    <row r="1074" spans="1:2">
      <c r="A1074" s="1">
        <v>43963</v>
      </c>
      <c r="B1074">
        <v>33.04</v>
      </c>
    </row>
    <row r="1075" spans="1:2">
      <c r="A1075" s="1">
        <v>43964</v>
      </c>
      <c r="B1075">
        <v>35.28</v>
      </c>
    </row>
    <row r="1076" spans="1:2">
      <c r="A1076" s="1">
        <v>43965</v>
      </c>
      <c r="B1076">
        <v>32.61</v>
      </c>
    </row>
    <row r="1077" spans="1:2">
      <c r="A1077" s="1">
        <v>43966</v>
      </c>
      <c r="B1077">
        <v>31.89</v>
      </c>
    </row>
    <row r="1078" spans="1:2">
      <c r="A1078" s="1">
        <v>43969</v>
      </c>
      <c r="B1078">
        <v>29.3</v>
      </c>
    </row>
    <row r="1079" spans="1:2">
      <c r="A1079" s="1">
        <v>43970</v>
      </c>
      <c r="B1079">
        <v>30.53</v>
      </c>
    </row>
    <row r="1080" spans="1:2">
      <c r="A1080" s="1">
        <v>43971</v>
      </c>
      <c r="B1080">
        <v>27.99</v>
      </c>
    </row>
    <row r="1081" spans="1:2">
      <c r="A1081" s="1">
        <v>43972</v>
      </c>
      <c r="B1081">
        <v>29.53</v>
      </c>
    </row>
    <row r="1082" spans="1:2">
      <c r="A1082" s="1">
        <v>43973</v>
      </c>
      <c r="B1082">
        <v>28.16</v>
      </c>
    </row>
    <row r="1083" spans="1:2">
      <c r="A1083" s="1">
        <v>43976</v>
      </c>
    </row>
    <row r="1084" spans="1:2">
      <c r="A1084" s="1">
        <v>43977</v>
      </c>
      <c r="B1084">
        <v>28.01</v>
      </c>
    </row>
    <row r="1085" spans="1:2">
      <c r="A1085" s="1">
        <v>43978</v>
      </c>
      <c r="B1085">
        <v>27.62</v>
      </c>
    </row>
    <row r="1086" spans="1:2">
      <c r="A1086" s="1">
        <v>43979</v>
      </c>
      <c r="B1086">
        <v>28.59</v>
      </c>
    </row>
    <row r="1087" spans="1:2">
      <c r="A1087" s="1">
        <v>43980</v>
      </c>
      <c r="B1087">
        <v>27.51</v>
      </c>
    </row>
    <row r="1088" spans="1:2">
      <c r="A1088" s="1">
        <v>43983</v>
      </c>
      <c r="B1088">
        <v>28.23</v>
      </c>
    </row>
    <row r="1089" spans="1:2">
      <c r="A1089" s="1">
        <v>43984</v>
      </c>
      <c r="B1089">
        <v>26.84</v>
      </c>
    </row>
    <row r="1090" spans="1:2">
      <c r="A1090" s="1">
        <v>43985</v>
      </c>
      <c r="B1090">
        <v>25.66</v>
      </c>
    </row>
    <row r="1091" spans="1:2">
      <c r="A1091" s="1">
        <v>43986</v>
      </c>
      <c r="B1091">
        <v>25.81</v>
      </c>
    </row>
    <row r="1092" spans="1:2">
      <c r="A1092" s="1">
        <v>43987</v>
      </c>
      <c r="B1092">
        <v>24.52</v>
      </c>
    </row>
    <row r="1093" spans="1:2">
      <c r="A1093" s="1">
        <v>43990</v>
      </c>
      <c r="B1093">
        <v>25.81</v>
      </c>
    </row>
    <row r="1094" spans="1:2">
      <c r="A1094" s="1">
        <v>43991</v>
      </c>
      <c r="B1094">
        <v>27.57</v>
      </c>
    </row>
    <row r="1095" spans="1:2">
      <c r="A1095" s="1">
        <v>43992</v>
      </c>
      <c r="B1095">
        <v>27.57</v>
      </c>
    </row>
    <row r="1096" spans="1:2">
      <c r="A1096" s="1">
        <v>43993</v>
      </c>
      <c r="B1096">
        <v>40.79</v>
      </c>
    </row>
    <row r="1097" spans="1:2">
      <c r="A1097" s="1">
        <v>43994</v>
      </c>
      <c r="B1097">
        <v>36.090000000000003</v>
      </c>
    </row>
    <row r="1098" spans="1:2">
      <c r="A1098" s="1">
        <v>43997</v>
      </c>
      <c r="B1098">
        <v>34.4</v>
      </c>
    </row>
    <row r="1099" spans="1:2">
      <c r="A1099" s="1">
        <v>43998</v>
      </c>
      <c r="B1099">
        <v>33.67</v>
      </c>
    </row>
    <row r="1100" spans="1:2">
      <c r="A1100" s="1">
        <v>43999</v>
      </c>
      <c r="B1100">
        <v>33.47</v>
      </c>
    </row>
    <row r="1101" spans="1:2">
      <c r="A1101" s="1">
        <v>44000</v>
      </c>
      <c r="B1101">
        <v>32.94</v>
      </c>
    </row>
    <row r="1102" spans="1:2">
      <c r="A1102" s="1">
        <v>44001</v>
      </c>
      <c r="B1102">
        <v>35.119999999999997</v>
      </c>
    </row>
    <row r="1103" spans="1:2">
      <c r="A1103" s="1">
        <v>44004</v>
      </c>
      <c r="B1103">
        <v>31.77</v>
      </c>
    </row>
    <row r="1104" spans="1:2">
      <c r="A1104" s="1">
        <v>44005</v>
      </c>
      <c r="B1104">
        <v>31.37</v>
      </c>
    </row>
    <row r="1105" spans="1:2">
      <c r="A1105" s="1">
        <v>44006</v>
      </c>
      <c r="B1105">
        <v>33.840000000000003</v>
      </c>
    </row>
    <row r="1106" spans="1:2">
      <c r="A1106" s="1">
        <v>44007</v>
      </c>
      <c r="B1106">
        <v>32.22</v>
      </c>
    </row>
    <row r="1107" spans="1:2">
      <c r="A1107" s="1">
        <v>44008</v>
      </c>
      <c r="B1107">
        <v>34.729999999999997</v>
      </c>
    </row>
    <row r="1108" spans="1:2">
      <c r="A1108" s="1">
        <v>44011</v>
      </c>
      <c r="B1108">
        <v>31.78</v>
      </c>
    </row>
    <row r="1109" spans="1:2">
      <c r="A1109" s="1">
        <v>44012</v>
      </c>
      <c r="B1109">
        <v>30.43</v>
      </c>
    </row>
    <row r="1110" spans="1:2">
      <c r="A1110" s="1">
        <v>44013</v>
      </c>
      <c r="B1110">
        <v>28.62</v>
      </c>
    </row>
    <row r="1111" spans="1:2">
      <c r="A1111" s="1">
        <v>44014</v>
      </c>
      <c r="B1111">
        <v>27.68</v>
      </c>
    </row>
    <row r="1112" spans="1:2">
      <c r="A1112" s="1">
        <v>44015</v>
      </c>
    </row>
    <row r="1113" spans="1:2">
      <c r="A1113" s="1">
        <v>44018</v>
      </c>
      <c r="B1113">
        <v>27.94</v>
      </c>
    </row>
    <row r="1114" spans="1:2">
      <c r="A1114" s="1">
        <v>44019</v>
      </c>
      <c r="B1114">
        <v>29.43</v>
      </c>
    </row>
    <row r="1115" spans="1:2">
      <c r="A1115" s="1">
        <v>44020</v>
      </c>
      <c r="B1115">
        <v>28.08</v>
      </c>
    </row>
    <row r="1116" spans="1:2">
      <c r="A1116" s="1">
        <v>44021</v>
      </c>
      <c r="B1116">
        <v>29.26</v>
      </c>
    </row>
    <row r="1117" spans="1:2">
      <c r="A1117" s="1">
        <v>44022</v>
      </c>
      <c r="B1117">
        <v>27.29</v>
      </c>
    </row>
    <row r="1118" spans="1:2">
      <c r="A1118" s="1">
        <v>44025</v>
      </c>
      <c r="B1118">
        <v>32.19</v>
      </c>
    </row>
    <row r="1119" spans="1:2">
      <c r="A1119" s="1">
        <v>44026</v>
      </c>
      <c r="B1119">
        <v>29.52</v>
      </c>
    </row>
    <row r="1120" spans="1:2">
      <c r="A1120" s="1">
        <v>44027</v>
      </c>
      <c r="B1120">
        <v>27.76</v>
      </c>
    </row>
    <row r="1121" spans="1:2">
      <c r="A1121" s="1">
        <v>44028</v>
      </c>
      <c r="B1121">
        <v>28</v>
      </c>
    </row>
    <row r="1122" spans="1:2">
      <c r="A1122" s="1">
        <v>44029</v>
      </c>
      <c r="B1122">
        <v>25.68</v>
      </c>
    </row>
    <row r="1123" spans="1:2">
      <c r="A1123" s="1">
        <v>44032</v>
      </c>
      <c r="B1123">
        <v>24.46</v>
      </c>
    </row>
    <row r="1124" spans="1:2">
      <c r="A1124" s="1">
        <v>44033</v>
      </c>
      <c r="B1124">
        <v>24.84</v>
      </c>
    </row>
    <row r="1125" spans="1:2">
      <c r="A1125" s="1">
        <v>44034</v>
      </c>
      <c r="B1125">
        <v>24.32</v>
      </c>
    </row>
    <row r="1126" spans="1:2">
      <c r="A1126" s="1">
        <v>44035</v>
      </c>
      <c r="B1126">
        <v>26.08</v>
      </c>
    </row>
    <row r="1127" spans="1:2">
      <c r="A1127" s="1">
        <v>44036</v>
      </c>
      <c r="B1127">
        <v>25.84</v>
      </c>
    </row>
    <row r="1128" spans="1:2">
      <c r="A1128" s="1">
        <v>44039</v>
      </c>
      <c r="B1128">
        <v>24.74</v>
      </c>
    </row>
    <row r="1129" spans="1:2">
      <c r="A1129" s="1">
        <v>44040</v>
      </c>
      <c r="B1129">
        <v>25.44</v>
      </c>
    </row>
    <row r="1130" spans="1:2">
      <c r="A1130" s="1">
        <v>44041</v>
      </c>
      <c r="B1130">
        <v>24.1</v>
      </c>
    </row>
    <row r="1131" spans="1:2">
      <c r="A1131" s="1">
        <v>44042</v>
      </c>
      <c r="B1131">
        <v>24.76</v>
      </c>
    </row>
    <row r="1132" spans="1:2">
      <c r="A1132" s="1">
        <v>44043</v>
      </c>
      <c r="B1132">
        <v>24.46</v>
      </c>
    </row>
    <row r="1133" spans="1:2">
      <c r="A1133" s="1">
        <v>44046</v>
      </c>
      <c r="B1133">
        <v>24.28</v>
      </c>
    </row>
    <row r="1134" spans="1:2">
      <c r="A1134" s="1">
        <v>44047</v>
      </c>
      <c r="B1134">
        <v>23.76</v>
      </c>
    </row>
    <row r="1135" spans="1:2">
      <c r="A1135" s="1">
        <v>44048</v>
      </c>
      <c r="B1135">
        <v>22.99</v>
      </c>
    </row>
    <row r="1136" spans="1:2">
      <c r="A1136" s="1">
        <v>44049</v>
      </c>
      <c r="B1136">
        <v>22.65</v>
      </c>
    </row>
    <row r="1137" spans="1:2">
      <c r="A1137" s="1">
        <v>44050</v>
      </c>
      <c r="B1137">
        <v>22.21</v>
      </c>
    </row>
    <row r="1138" spans="1:2">
      <c r="A1138" s="1">
        <v>44053</v>
      </c>
      <c r="B1138">
        <v>22.13</v>
      </c>
    </row>
    <row r="1139" spans="1:2">
      <c r="A1139" s="1">
        <v>44054</v>
      </c>
      <c r="B1139">
        <v>24.03</v>
      </c>
    </row>
    <row r="1140" spans="1:2">
      <c r="A1140" s="1">
        <v>44055</v>
      </c>
      <c r="B1140">
        <v>22.28</v>
      </c>
    </row>
    <row r="1141" spans="1:2">
      <c r="A1141" s="1">
        <v>44056</v>
      </c>
      <c r="B1141">
        <v>22.13</v>
      </c>
    </row>
    <row r="1142" spans="1:2">
      <c r="A1142" s="1">
        <v>44057</v>
      </c>
      <c r="B1142">
        <v>22.05</v>
      </c>
    </row>
    <row r="1143" spans="1:2">
      <c r="A1143" s="1">
        <v>44060</v>
      </c>
      <c r="B1143">
        <v>21.35</v>
      </c>
    </row>
    <row r="1144" spans="1:2">
      <c r="A1144" s="1">
        <v>44061</v>
      </c>
      <c r="B1144">
        <v>21.51</v>
      </c>
    </row>
    <row r="1145" spans="1:2">
      <c r="A1145" s="1">
        <v>44062</v>
      </c>
      <c r="B1145">
        <v>22.54</v>
      </c>
    </row>
    <row r="1146" spans="1:2">
      <c r="A1146" s="1">
        <v>44063</v>
      </c>
      <c r="B1146">
        <v>22.72</v>
      </c>
    </row>
    <row r="1147" spans="1:2">
      <c r="A1147" s="1">
        <v>44064</v>
      </c>
      <c r="B1147">
        <v>22.54</v>
      </c>
    </row>
    <row r="1148" spans="1:2">
      <c r="A1148" s="1">
        <v>44067</v>
      </c>
      <c r="B1148">
        <v>22.37</v>
      </c>
    </row>
    <row r="1149" spans="1:2">
      <c r="A1149" s="1">
        <v>44068</v>
      </c>
      <c r="B1149">
        <v>22.03</v>
      </c>
    </row>
    <row r="1150" spans="1:2">
      <c r="A1150" s="1">
        <v>44069</v>
      </c>
      <c r="B1150">
        <v>23.27</v>
      </c>
    </row>
    <row r="1151" spans="1:2">
      <c r="A1151" s="1">
        <v>44070</v>
      </c>
      <c r="B1151">
        <v>24.47</v>
      </c>
    </row>
    <row r="1152" spans="1:2">
      <c r="A1152" s="1">
        <v>44071</v>
      </c>
      <c r="B1152">
        <v>22.96</v>
      </c>
    </row>
    <row r="1153" spans="1:2">
      <c r="A1153" s="1">
        <v>44074</v>
      </c>
      <c r="B1153">
        <v>26.41</v>
      </c>
    </row>
    <row r="1154" spans="1:2">
      <c r="A1154" s="1">
        <v>44075</v>
      </c>
      <c r="B1154">
        <v>26.12</v>
      </c>
    </row>
    <row r="1155" spans="1:2">
      <c r="A1155" s="1">
        <v>44076</v>
      </c>
      <c r="B1155">
        <v>26.57</v>
      </c>
    </row>
    <row r="1156" spans="1:2">
      <c r="A1156" s="1">
        <v>44077</v>
      </c>
      <c r="B1156">
        <v>33.6</v>
      </c>
    </row>
    <row r="1157" spans="1:2">
      <c r="A1157" s="1">
        <v>44078</v>
      </c>
      <c r="B1157">
        <v>30.75</v>
      </c>
    </row>
    <row r="1158" spans="1:2">
      <c r="A1158" s="1">
        <v>44081</v>
      </c>
    </row>
    <row r="1159" spans="1:2">
      <c r="A1159" s="1">
        <v>44082</v>
      </c>
      <c r="B1159">
        <v>31.46</v>
      </c>
    </row>
    <row r="1160" spans="1:2">
      <c r="A1160" s="1">
        <v>44083</v>
      </c>
      <c r="B1160">
        <v>28.81</v>
      </c>
    </row>
    <row r="1161" spans="1:2">
      <c r="A1161" s="1">
        <v>44084</v>
      </c>
      <c r="B1161">
        <v>29.71</v>
      </c>
    </row>
    <row r="1162" spans="1:2">
      <c r="A1162" s="1">
        <v>44085</v>
      </c>
      <c r="B1162">
        <v>26.87</v>
      </c>
    </row>
    <row r="1163" spans="1:2">
      <c r="A1163" s="1">
        <v>44088</v>
      </c>
      <c r="B1163">
        <v>25.85</v>
      </c>
    </row>
    <row r="1164" spans="1:2">
      <c r="A1164" s="1">
        <v>44089</v>
      </c>
      <c r="B1164">
        <v>25.59</v>
      </c>
    </row>
    <row r="1165" spans="1:2">
      <c r="A1165" s="1">
        <v>44090</v>
      </c>
      <c r="B1165">
        <v>26.04</v>
      </c>
    </row>
    <row r="1166" spans="1:2">
      <c r="A1166" s="1">
        <v>44091</v>
      </c>
      <c r="B1166">
        <v>26.46</v>
      </c>
    </row>
    <row r="1167" spans="1:2">
      <c r="A1167" s="1">
        <v>44092</v>
      </c>
      <c r="B1167">
        <v>25.83</v>
      </c>
    </row>
    <row r="1168" spans="1:2">
      <c r="A1168" s="1">
        <v>44095</v>
      </c>
      <c r="B1168">
        <v>27.78</v>
      </c>
    </row>
    <row r="1169" spans="1:2">
      <c r="A1169" s="1">
        <v>44096</v>
      </c>
      <c r="B1169">
        <v>26.86</v>
      </c>
    </row>
    <row r="1170" spans="1:2">
      <c r="A1170" s="1">
        <v>44097</v>
      </c>
      <c r="B1170">
        <v>28.58</v>
      </c>
    </row>
    <row r="1171" spans="1:2">
      <c r="A1171" s="1">
        <v>44098</v>
      </c>
      <c r="B1171">
        <v>28.51</v>
      </c>
    </row>
    <row r="1172" spans="1:2">
      <c r="A1172" s="1">
        <v>44099</v>
      </c>
      <c r="B1172">
        <v>26.38</v>
      </c>
    </row>
    <row r="1173" spans="1:2">
      <c r="A1173" s="1">
        <v>44102</v>
      </c>
      <c r="B1173">
        <v>26.19</v>
      </c>
    </row>
    <row r="1174" spans="1:2">
      <c r="A1174" s="1">
        <v>44103</v>
      </c>
      <c r="B1174">
        <v>26.27</v>
      </c>
    </row>
    <row r="1175" spans="1:2">
      <c r="A1175" s="1">
        <v>44104</v>
      </c>
      <c r="B1175">
        <v>26.37</v>
      </c>
    </row>
    <row r="1176" spans="1:2">
      <c r="A1176" s="1">
        <v>44105</v>
      </c>
      <c r="B1176">
        <v>26.7</v>
      </c>
    </row>
    <row r="1177" spans="1:2">
      <c r="A1177" s="1">
        <v>44106</v>
      </c>
      <c r="B1177">
        <v>27.63</v>
      </c>
    </row>
    <row r="1178" spans="1:2">
      <c r="A1178" s="1">
        <v>44109</v>
      </c>
      <c r="B1178">
        <v>27.96</v>
      </c>
    </row>
    <row r="1179" spans="1:2">
      <c r="A1179" s="1">
        <v>44110</v>
      </c>
      <c r="B1179">
        <v>29.48</v>
      </c>
    </row>
    <row r="1180" spans="1:2">
      <c r="A1180" s="1">
        <v>44111</v>
      </c>
      <c r="B1180">
        <v>28.06</v>
      </c>
    </row>
    <row r="1181" spans="1:2">
      <c r="A1181" s="1">
        <v>44112</v>
      </c>
      <c r="B1181">
        <v>26.36</v>
      </c>
    </row>
    <row r="1182" spans="1:2">
      <c r="A1182" s="1">
        <v>44113</v>
      </c>
      <c r="B1182">
        <v>25</v>
      </c>
    </row>
    <row r="1183" spans="1:2">
      <c r="A1183" s="1">
        <v>44116</v>
      </c>
      <c r="B1183">
        <v>25.07</v>
      </c>
    </row>
    <row r="1184" spans="1:2">
      <c r="A1184" s="1">
        <v>44117</v>
      </c>
      <c r="B1184">
        <v>26.07</v>
      </c>
    </row>
    <row r="1185" spans="1:2">
      <c r="A1185" s="1">
        <v>44118</v>
      </c>
      <c r="B1185">
        <v>26.4</v>
      </c>
    </row>
    <row r="1186" spans="1:2">
      <c r="A1186" s="1">
        <v>44119</v>
      </c>
      <c r="B1186">
        <v>26.97</v>
      </c>
    </row>
    <row r="1187" spans="1:2">
      <c r="A1187" s="1">
        <v>44120</v>
      </c>
      <c r="B1187">
        <v>27.41</v>
      </c>
    </row>
    <row r="1188" spans="1:2">
      <c r="A1188" s="1">
        <v>44123</v>
      </c>
      <c r="B1188">
        <v>29.18</v>
      </c>
    </row>
    <row r="1189" spans="1:2">
      <c r="A1189" s="1">
        <v>44124</v>
      </c>
      <c r="B1189">
        <v>29.35</v>
      </c>
    </row>
    <row r="1190" spans="1:2">
      <c r="A1190" s="1">
        <v>44125</v>
      </c>
      <c r="B1190">
        <v>28.65</v>
      </c>
    </row>
    <row r="1191" spans="1:2">
      <c r="A1191" s="1">
        <v>44126</v>
      </c>
      <c r="B1191">
        <v>28.11</v>
      </c>
    </row>
    <row r="1192" spans="1:2">
      <c r="A1192" s="1">
        <v>44127</v>
      </c>
      <c r="B1192">
        <v>27.55</v>
      </c>
    </row>
    <row r="1193" spans="1:2">
      <c r="A1193" s="1">
        <v>44130</v>
      </c>
      <c r="B1193">
        <v>32.46</v>
      </c>
    </row>
    <row r="1194" spans="1:2">
      <c r="A1194" s="1">
        <v>44131</v>
      </c>
      <c r="B1194">
        <v>33.35</v>
      </c>
    </row>
    <row r="1195" spans="1:2">
      <c r="A1195" s="1">
        <v>44132</v>
      </c>
      <c r="B1195">
        <v>40.28</v>
      </c>
    </row>
    <row r="1196" spans="1:2">
      <c r="A1196" s="1">
        <v>44133</v>
      </c>
      <c r="B1196">
        <v>37.590000000000003</v>
      </c>
    </row>
    <row r="1197" spans="1:2">
      <c r="A1197" s="1">
        <v>44134</v>
      </c>
      <c r="B1197">
        <v>38.020000000000003</v>
      </c>
    </row>
    <row r="1198" spans="1:2">
      <c r="A1198" s="1">
        <v>44137</v>
      </c>
      <c r="B1198">
        <v>37.130000000000003</v>
      </c>
    </row>
    <row r="1199" spans="1:2">
      <c r="A1199" s="1">
        <v>44138</v>
      </c>
      <c r="B1199">
        <v>35.549999999999997</v>
      </c>
    </row>
    <row r="1200" spans="1:2">
      <c r="A1200" s="1">
        <v>44139</v>
      </c>
      <c r="B1200">
        <v>29.57</v>
      </c>
    </row>
    <row r="1201" spans="1:2">
      <c r="A1201" s="1">
        <v>44140</v>
      </c>
      <c r="B1201">
        <v>27.58</v>
      </c>
    </row>
    <row r="1202" spans="1:2">
      <c r="A1202" s="1">
        <v>44141</v>
      </c>
      <c r="B1202">
        <v>24.86</v>
      </c>
    </row>
    <row r="1203" spans="1:2">
      <c r="A1203" s="1">
        <v>44144</v>
      </c>
      <c r="B1203">
        <v>25.75</v>
      </c>
    </row>
    <row r="1204" spans="1:2">
      <c r="A1204" s="1">
        <v>44145</v>
      </c>
      <c r="B1204">
        <v>24.8</v>
      </c>
    </row>
    <row r="1205" spans="1:2">
      <c r="A1205" s="1">
        <v>44146</v>
      </c>
      <c r="B1205">
        <v>23.45</v>
      </c>
    </row>
    <row r="1206" spans="1:2">
      <c r="A1206" s="1">
        <v>44147</v>
      </c>
      <c r="B1206">
        <v>25.35</v>
      </c>
    </row>
    <row r="1207" spans="1:2">
      <c r="A1207" s="1">
        <v>44148</v>
      </c>
      <c r="B1207">
        <v>23.1</v>
      </c>
    </row>
    <row r="1208" spans="1:2">
      <c r="A1208" s="1">
        <v>44151</v>
      </c>
      <c r="B1208">
        <v>22.45</v>
      </c>
    </row>
    <row r="1209" spans="1:2">
      <c r="A1209" s="1">
        <v>44152</v>
      </c>
      <c r="B1209">
        <v>22.71</v>
      </c>
    </row>
    <row r="1210" spans="1:2">
      <c r="A1210" s="1">
        <v>44153</v>
      </c>
      <c r="B1210">
        <v>23.84</v>
      </c>
    </row>
    <row r="1211" spans="1:2">
      <c r="A1211" s="1">
        <v>44154</v>
      </c>
      <c r="B1211">
        <v>23.11</v>
      </c>
    </row>
    <row r="1212" spans="1:2">
      <c r="A1212" s="1">
        <v>44155</v>
      </c>
      <c r="B1212">
        <v>23.7</v>
      </c>
    </row>
    <row r="1213" spans="1:2">
      <c r="A1213" s="1">
        <v>44158</v>
      </c>
      <c r="B1213">
        <v>22.66</v>
      </c>
    </row>
    <row r="1214" spans="1:2">
      <c r="A1214" s="1">
        <v>44159</v>
      </c>
      <c r="B1214">
        <v>21.64</v>
      </c>
    </row>
    <row r="1215" spans="1:2">
      <c r="A1215" s="1">
        <v>44160</v>
      </c>
      <c r="B1215">
        <v>21.25</v>
      </c>
    </row>
    <row r="1216" spans="1:2">
      <c r="A1216" s="1">
        <v>44161</v>
      </c>
    </row>
    <row r="1217" spans="1:2">
      <c r="A1217" s="1">
        <v>44162</v>
      </c>
      <c r="B1217">
        <v>20.84</v>
      </c>
    </row>
    <row r="1218" spans="1:2">
      <c r="A1218" s="1">
        <v>44165</v>
      </c>
      <c r="B1218">
        <v>20.57</v>
      </c>
    </row>
    <row r="1219" spans="1:2">
      <c r="A1219" s="1">
        <v>44166</v>
      </c>
      <c r="B1219">
        <v>20.77</v>
      </c>
    </row>
    <row r="1220" spans="1:2">
      <c r="A1220" s="1">
        <v>44167</v>
      </c>
      <c r="B1220">
        <v>21.17</v>
      </c>
    </row>
    <row r="1221" spans="1:2">
      <c r="A1221" s="1">
        <v>44168</v>
      </c>
      <c r="B1221">
        <v>21.28</v>
      </c>
    </row>
    <row r="1222" spans="1:2">
      <c r="A1222" s="1">
        <v>44169</v>
      </c>
      <c r="B1222">
        <v>20.79</v>
      </c>
    </row>
    <row r="1223" spans="1:2">
      <c r="A1223" s="1">
        <v>44172</v>
      </c>
      <c r="B1223">
        <v>21.3</v>
      </c>
    </row>
    <row r="1224" spans="1:2">
      <c r="A1224" s="1">
        <v>44173</v>
      </c>
      <c r="B1224">
        <v>20.68</v>
      </c>
    </row>
    <row r="1225" spans="1:2">
      <c r="A1225" s="1">
        <v>44174</v>
      </c>
      <c r="B1225">
        <v>22.27</v>
      </c>
    </row>
    <row r="1226" spans="1:2">
      <c r="A1226" s="1">
        <v>44175</v>
      </c>
      <c r="B1226">
        <v>22.52</v>
      </c>
    </row>
    <row r="1227" spans="1:2">
      <c r="A1227" s="1">
        <v>44176</v>
      </c>
      <c r="B1227">
        <v>23.31</v>
      </c>
    </row>
    <row r="1228" spans="1:2">
      <c r="A1228" s="1">
        <v>44179</v>
      </c>
      <c r="B1228">
        <v>24.72</v>
      </c>
    </row>
    <row r="1229" spans="1:2">
      <c r="A1229" s="1">
        <v>44180</v>
      </c>
      <c r="B1229">
        <v>22.89</v>
      </c>
    </row>
    <row r="1230" spans="1:2">
      <c r="A1230" s="1">
        <v>44181</v>
      </c>
      <c r="B1230">
        <v>22.5</v>
      </c>
    </row>
    <row r="1231" spans="1:2">
      <c r="A1231" s="1">
        <v>44182</v>
      </c>
      <c r="B1231">
        <v>21.93</v>
      </c>
    </row>
    <row r="1232" spans="1:2">
      <c r="A1232" s="1">
        <v>44183</v>
      </c>
      <c r="B1232">
        <v>21.57</v>
      </c>
    </row>
    <row r="1233" spans="1:2">
      <c r="A1233" s="1">
        <v>44186</v>
      </c>
      <c r="B1233">
        <v>25.16</v>
      </c>
    </row>
    <row r="1234" spans="1:2">
      <c r="A1234" s="1">
        <v>44187</v>
      </c>
      <c r="B1234">
        <v>24.23</v>
      </c>
    </row>
    <row r="1235" spans="1:2">
      <c r="A1235" s="1">
        <v>44188</v>
      </c>
      <c r="B1235">
        <v>23.31</v>
      </c>
    </row>
    <row r="1236" spans="1:2">
      <c r="A1236" s="1">
        <v>44189</v>
      </c>
      <c r="B1236">
        <v>21.53</v>
      </c>
    </row>
    <row r="1237" spans="1:2">
      <c r="A1237" s="1">
        <v>44190</v>
      </c>
    </row>
    <row r="1238" spans="1:2">
      <c r="A1238" s="1">
        <v>44193</v>
      </c>
      <c r="B1238">
        <v>21.7</v>
      </c>
    </row>
    <row r="1239" spans="1:2">
      <c r="A1239" s="1">
        <v>44194</v>
      </c>
      <c r="B1239">
        <v>23.08</v>
      </c>
    </row>
    <row r="1240" spans="1:2">
      <c r="A1240" s="1">
        <v>44195</v>
      </c>
      <c r="B1240">
        <v>22.77</v>
      </c>
    </row>
    <row r="1241" spans="1:2">
      <c r="A1241" s="1">
        <v>44196</v>
      </c>
      <c r="B1241">
        <v>22.75</v>
      </c>
    </row>
    <row r="1242" spans="1:2">
      <c r="A1242" s="1">
        <v>44197</v>
      </c>
    </row>
    <row r="1243" spans="1:2">
      <c r="A1243" s="1">
        <v>44200</v>
      </c>
      <c r="B1243">
        <v>26.97</v>
      </c>
    </row>
    <row r="1244" spans="1:2">
      <c r="A1244" s="1">
        <v>44201</v>
      </c>
      <c r="B1244">
        <v>25.34</v>
      </c>
    </row>
    <row r="1245" spans="1:2">
      <c r="A1245" s="1">
        <v>44202</v>
      </c>
      <c r="B1245">
        <v>25.07</v>
      </c>
    </row>
    <row r="1246" spans="1:2">
      <c r="A1246" s="1">
        <v>44203</v>
      </c>
      <c r="B1246">
        <v>22.37</v>
      </c>
    </row>
    <row r="1247" spans="1:2">
      <c r="A1247" s="1">
        <v>44204</v>
      </c>
      <c r="B1247">
        <v>21.56</v>
      </c>
    </row>
    <row r="1248" spans="1:2">
      <c r="A1248" s="1">
        <v>44207</v>
      </c>
      <c r="B1248">
        <v>24.08</v>
      </c>
    </row>
    <row r="1249" spans="1:2">
      <c r="A1249" s="1">
        <v>44208</v>
      </c>
      <c r="B1249">
        <v>23.33</v>
      </c>
    </row>
    <row r="1250" spans="1:2">
      <c r="A1250" s="1">
        <v>44209</v>
      </c>
      <c r="B1250">
        <v>22.21</v>
      </c>
    </row>
    <row r="1251" spans="1:2">
      <c r="A1251" s="1">
        <v>44210</v>
      </c>
      <c r="B1251">
        <v>23.25</v>
      </c>
    </row>
    <row r="1252" spans="1:2">
      <c r="A1252" s="1">
        <v>44211</v>
      </c>
      <c r="B1252">
        <v>24.34</v>
      </c>
    </row>
    <row r="1253" spans="1:2">
      <c r="A1253" s="1">
        <v>44214</v>
      </c>
    </row>
    <row r="1254" spans="1:2">
      <c r="A1254" s="1">
        <v>44215</v>
      </c>
      <c r="B1254">
        <v>23.24</v>
      </c>
    </row>
    <row r="1255" spans="1:2">
      <c r="A1255" s="1">
        <v>44216</v>
      </c>
      <c r="B1255">
        <v>21.58</v>
      </c>
    </row>
    <row r="1256" spans="1:2">
      <c r="A1256" s="1">
        <v>44217</v>
      </c>
      <c r="B1256">
        <v>21.32</v>
      </c>
    </row>
    <row r="1257" spans="1:2">
      <c r="A1257" s="1">
        <v>44218</v>
      </c>
      <c r="B1257">
        <v>21.91</v>
      </c>
    </row>
    <row r="1258" spans="1:2">
      <c r="A1258" s="1">
        <v>44221</v>
      </c>
      <c r="B1258">
        <v>23.19</v>
      </c>
    </row>
    <row r="1259" spans="1:2">
      <c r="A1259" s="1">
        <v>44222</v>
      </c>
      <c r="B1259">
        <v>23.02</v>
      </c>
    </row>
    <row r="1260" spans="1:2">
      <c r="A1260" s="1">
        <v>44223</v>
      </c>
      <c r="B1260">
        <v>37.21</v>
      </c>
    </row>
    <row r="1261" spans="1:2">
      <c r="A1261" s="1">
        <v>44224</v>
      </c>
      <c r="B1261">
        <v>30.21</v>
      </c>
    </row>
    <row r="1262" spans="1:2">
      <c r="A1262" s="1">
        <v>44225</v>
      </c>
      <c r="B1262">
        <v>33.090000000000003</v>
      </c>
    </row>
    <row r="1263" spans="1:2">
      <c r="A1263" s="1">
        <v>44228</v>
      </c>
      <c r="B1263">
        <v>30.24</v>
      </c>
    </row>
    <row r="1264" spans="1:2">
      <c r="A1264" s="1">
        <v>44229</v>
      </c>
      <c r="B1264">
        <v>25.56</v>
      </c>
    </row>
    <row r="1265" spans="1:2">
      <c r="A1265" s="1">
        <v>44230</v>
      </c>
      <c r="B1265">
        <v>22.91</v>
      </c>
    </row>
    <row r="1266" spans="1:2">
      <c r="A1266" s="1">
        <v>44231</v>
      </c>
      <c r="B1266">
        <v>21.77</v>
      </c>
    </row>
    <row r="1267" spans="1:2">
      <c r="A1267" s="1">
        <v>44232</v>
      </c>
      <c r="B1267">
        <v>20.87</v>
      </c>
    </row>
    <row r="1268" spans="1:2">
      <c r="A1268" s="1">
        <v>44235</v>
      </c>
      <c r="B1268">
        <v>21.24</v>
      </c>
    </row>
    <row r="1269" spans="1:2">
      <c r="A1269" s="1">
        <v>44236</v>
      </c>
      <c r="B1269">
        <v>21.63</v>
      </c>
    </row>
    <row r="1270" spans="1:2">
      <c r="A1270" s="1">
        <v>44237</v>
      </c>
      <c r="B1270">
        <v>21.99</v>
      </c>
    </row>
    <row r="1271" spans="1:2">
      <c r="A1271" s="1">
        <v>44238</v>
      </c>
      <c r="B1271">
        <v>21.25</v>
      </c>
    </row>
    <row r="1272" spans="1:2">
      <c r="A1272" s="1">
        <v>44239</v>
      </c>
      <c r="B1272">
        <v>19.97</v>
      </c>
    </row>
    <row r="1273" spans="1:2">
      <c r="A1273" s="1">
        <v>44242</v>
      </c>
    </row>
    <row r="1274" spans="1:2">
      <c r="A1274" s="1">
        <v>44243</v>
      </c>
      <c r="B1274">
        <v>21.46</v>
      </c>
    </row>
    <row r="1275" spans="1:2">
      <c r="A1275" s="1">
        <v>44244</v>
      </c>
      <c r="B1275">
        <v>21.5</v>
      </c>
    </row>
    <row r="1276" spans="1:2">
      <c r="A1276" s="1">
        <v>44245</v>
      </c>
      <c r="B1276">
        <v>22.49</v>
      </c>
    </row>
    <row r="1277" spans="1:2">
      <c r="A1277" s="1">
        <v>44246</v>
      </c>
      <c r="B1277">
        <v>22.05</v>
      </c>
    </row>
    <row r="1278" spans="1:2">
      <c r="A1278" s="1">
        <v>44249</v>
      </c>
      <c r="B1278">
        <v>23.45</v>
      </c>
    </row>
    <row r="1279" spans="1:2">
      <c r="A1279" s="1">
        <v>44250</v>
      </c>
      <c r="B1279">
        <v>23.11</v>
      </c>
    </row>
    <row r="1280" spans="1:2">
      <c r="A1280" s="1">
        <v>44251</v>
      </c>
      <c r="B1280">
        <v>21.34</v>
      </c>
    </row>
    <row r="1281" spans="1:2">
      <c r="A1281" s="1">
        <v>44252</v>
      </c>
      <c r="B1281">
        <v>28.89</v>
      </c>
    </row>
    <row r="1282" spans="1:2">
      <c r="A1282" s="1">
        <v>44253</v>
      </c>
      <c r="B1282">
        <v>27.95</v>
      </c>
    </row>
    <row r="1283" spans="1:2">
      <c r="A1283" s="1">
        <v>44256</v>
      </c>
      <c r="B1283">
        <v>23.35</v>
      </c>
    </row>
    <row r="1284" spans="1:2">
      <c r="A1284" s="1">
        <v>44257</v>
      </c>
      <c r="B1284">
        <v>24.1</v>
      </c>
    </row>
    <row r="1285" spans="1:2">
      <c r="A1285" s="1">
        <v>44258</v>
      </c>
      <c r="B1285">
        <v>26.67</v>
      </c>
    </row>
    <row r="1286" spans="1:2">
      <c r="A1286" s="1">
        <v>44259</v>
      </c>
      <c r="B1286">
        <v>28.57</v>
      </c>
    </row>
    <row r="1287" spans="1:2">
      <c r="A1287" s="1">
        <v>44260</v>
      </c>
      <c r="B1287">
        <v>24.66</v>
      </c>
    </row>
    <row r="1288" spans="1:2">
      <c r="A1288" s="1">
        <v>44263</v>
      </c>
      <c r="B1288">
        <v>25.47</v>
      </c>
    </row>
    <row r="1289" spans="1:2">
      <c r="A1289" s="1">
        <v>44264</v>
      </c>
      <c r="B1289">
        <v>24.03</v>
      </c>
    </row>
    <row r="1290" spans="1:2">
      <c r="A1290" s="1">
        <v>44265</v>
      </c>
      <c r="B1290">
        <v>22.56</v>
      </c>
    </row>
    <row r="1291" spans="1:2">
      <c r="A1291" s="1">
        <v>44266</v>
      </c>
      <c r="B1291">
        <v>21.91</v>
      </c>
    </row>
    <row r="1292" spans="1:2">
      <c r="A1292" s="1">
        <v>44267</v>
      </c>
      <c r="B1292">
        <v>20.69</v>
      </c>
    </row>
    <row r="1293" spans="1:2">
      <c r="A1293" s="1">
        <v>44270</v>
      </c>
      <c r="B1293">
        <v>20.03</v>
      </c>
    </row>
    <row r="1294" spans="1:2">
      <c r="A1294" s="1">
        <v>44271</v>
      </c>
      <c r="B1294">
        <v>19.79</v>
      </c>
    </row>
    <row r="1295" spans="1:2">
      <c r="A1295" s="1">
        <v>44272</v>
      </c>
      <c r="B1295">
        <v>19.23</v>
      </c>
    </row>
    <row r="1296" spans="1:2">
      <c r="A1296" s="1">
        <v>44273</v>
      </c>
      <c r="B1296">
        <v>21.58</v>
      </c>
    </row>
    <row r="1297" spans="1:2">
      <c r="A1297" s="1">
        <v>44274</v>
      </c>
      <c r="B1297">
        <v>20.95</v>
      </c>
    </row>
    <row r="1298" spans="1:2">
      <c r="A1298" s="1">
        <v>44277</v>
      </c>
      <c r="B1298">
        <v>18.88</v>
      </c>
    </row>
    <row r="1299" spans="1:2">
      <c r="A1299" s="1">
        <v>44278</v>
      </c>
      <c r="B1299">
        <v>20.3</v>
      </c>
    </row>
    <row r="1300" spans="1:2">
      <c r="A1300" s="1">
        <v>44279</v>
      </c>
      <c r="B1300">
        <v>21.2</v>
      </c>
    </row>
    <row r="1301" spans="1:2">
      <c r="A1301" s="1">
        <v>44280</v>
      </c>
      <c r="B1301">
        <v>19.809999999999999</v>
      </c>
    </row>
    <row r="1302" spans="1:2">
      <c r="A1302" s="1">
        <v>44281</v>
      </c>
      <c r="B1302">
        <v>18.86</v>
      </c>
    </row>
    <row r="1303" spans="1:2">
      <c r="A1303" s="1">
        <v>44284</v>
      </c>
      <c r="B1303">
        <v>20.74</v>
      </c>
    </row>
    <row r="1304" spans="1:2">
      <c r="A1304" s="1">
        <v>44285</v>
      </c>
      <c r="B1304">
        <v>19.61</v>
      </c>
    </row>
    <row r="1305" spans="1:2">
      <c r="A1305" s="1">
        <v>44286</v>
      </c>
      <c r="B1305">
        <v>19.399999999999999</v>
      </c>
    </row>
    <row r="1306" spans="1:2">
      <c r="A1306" s="1">
        <v>44287</v>
      </c>
      <c r="B1306">
        <v>17.329999999999998</v>
      </c>
    </row>
    <row r="1307" spans="1:2">
      <c r="A1307" s="1">
        <v>44288</v>
      </c>
    </row>
    <row r="1308" spans="1:2">
      <c r="A1308" s="1">
        <v>44291</v>
      </c>
      <c r="B1308">
        <v>17.91</v>
      </c>
    </row>
    <row r="1309" spans="1:2">
      <c r="A1309" s="1">
        <v>44292</v>
      </c>
      <c r="B1309">
        <v>18.12</v>
      </c>
    </row>
    <row r="1310" spans="1:2">
      <c r="A1310" s="1">
        <v>44293</v>
      </c>
      <c r="B1310">
        <v>17.16</v>
      </c>
    </row>
    <row r="1311" spans="1:2">
      <c r="A1311" s="1">
        <v>44294</v>
      </c>
      <c r="B1311">
        <v>16.95</v>
      </c>
    </row>
    <row r="1312" spans="1:2">
      <c r="A1312" s="1">
        <v>44295</v>
      </c>
      <c r="B1312">
        <v>16.690000000000001</v>
      </c>
    </row>
    <row r="1313" spans="1:2">
      <c r="A1313" s="1">
        <v>44298</v>
      </c>
      <c r="B1313">
        <v>16.91</v>
      </c>
    </row>
    <row r="1314" spans="1:2">
      <c r="A1314" s="1">
        <v>44299</v>
      </c>
      <c r="B1314">
        <v>16.649999999999999</v>
      </c>
    </row>
    <row r="1315" spans="1:2">
      <c r="A1315" s="1">
        <v>44300</v>
      </c>
      <c r="B1315">
        <v>16.989999999999998</v>
      </c>
    </row>
    <row r="1316" spans="1:2">
      <c r="A1316" s="1">
        <v>44301</v>
      </c>
      <c r="B1316">
        <v>16.57</v>
      </c>
    </row>
    <row r="1317" spans="1:2">
      <c r="A1317" s="1">
        <v>44302</v>
      </c>
      <c r="B1317">
        <v>16.25</v>
      </c>
    </row>
    <row r="1318" spans="1:2">
      <c r="A1318" s="1">
        <v>44305</v>
      </c>
      <c r="B1318">
        <v>17.29</v>
      </c>
    </row>
    <row r="1319" spans="1:2">
      <c r="A1319" s="1">
        <v>44306</v>
      </c>
      <c r="B1319">
        <v>18.68</v>
      </c>
    </row>
    <row r="1320" spans="1:2">
      <c r="A1320" s="1">
        <v>44307</v>
      </c>
      <c r="B1320">
        <v>17.5</v>
      </c>
    </row>
    <row r="1321" spans="1:2">
      <c r="A1321" s="1">
        <v>44308</v>
      </c>
      <c r="B1321">
        <v>18.71</v>
      </c>
    </row>
    <row r="1322" spans="1:2">
      <c r="A1322" s="1">
        <v>44309</v>
      </c>
      <c r="B1322">
        <v>17.329999999999998</v>
      </c>
    </row>
    <row r="1323" spans="1:2">
      <c r="A1323" s="1">
        <v>44312</v>
      </c>
      <c r="B1323">
        <v>17.64</v>
      </c>
    </row>
    <row r="1324" spans="1:2">
      <c r="A1324" s="1">
        <v>44313</v>
      </c>
      <c r="B1324">
        <v>17.559999999999999</v>
      </c>
    </row>
    <row r="1325" spans="1:2">
      <c r="A1325" s="1">
        <v>44314</v>
      </c>
      <c r="B1325">
        <v>17.28</v>
      </c>
    </row>
    <row r="1326" spans="1:2">
      <c r="A1326" s="1">
        <v>44315</v>
      </c>
      <c r="B1326">
        <v>17.61</v>
      </c>
    </row>
    <row r="1327" spans="1:2">
      <c r="A1327" s="1">
        <v>44316</v>
      </c>
      <c r="B1327">
        <v>18.61</v>
      </c>
    </row>
    <row r="1328" spans="1:2">
      <c r="A1328" s="1">
        <v>44319</v>
      </c>
      <c r="B1328">
        <v>18.309999999999999</v>
      </c>
    </row>
    <row r="1329" spans="1:2">
      <c r="A1329" s="1">
        <v>44320</v>
      </c>
      <c r="B1329">
        <v>19.48</v>
      </c>
    </row>
    <row r="1330" spans="1:2">
      <c r="A1330" s="1">
        <v>44321</v>
      </c>
      <c r="B1330">
        <v>19.149999999999999</v>
      </c>
    </row>
    <row r="1331" spans="1:2">
      <c r="A1331" s="1">
        <v>44322</v>
      </c>
      <c r="B1331">
        <v>18.39</v>
      </c>
    </row>
    <row r="1332" spans="1:2">
      <c r="A1332" s="1">
        <v>44323</v>
      </c>
      <c r="B1332">
        <v>16.690000000000001</v>
      </c>
    </row>
    <row r="1333" spans="1:2">
      <c r="A1333" s="1">
        <v>44326</v>
      </c>
      <c r="B1333">
        <v>19.66</v>
      </c>
    </row>
    <row r="1334" spans="1:2">
      <c r="A1334" s="1">
        <v>44327</v>
      </c>
      <c r="B1334">
        <v>21.84</v>
      </c>
    </row>
    <row r="1335" spans="1:2">
      <c r="A1335" s="1">
        <v>44328</v>
      </c>
      <c r="B1335">
        <v>27.59</v>
      </c>
    </row>
    <row r="1336" spans="1:2">
      <c r="A1336" s="1">
        <v>44329</v>
      </c>
      <c r="B1336">
        <v>23.13</v>
      </c>
    </row>
    <row r="1337" spans="1:2">
      <c r="A1337" s="1">
        <v>44330</v>
      </c>
      <c r="B1337">
        <v>18.809999999999999</v>
      </c>
    </row>
    <row r="1338" spans="1:2">
      <c r="A1338" s="1">
        <v>44333</v>
      </c>
      <c r="B1338">
        <v>19.72</v>
      </c>
    </row>
    <row r="1339" spans="1:2">
      <c r="A1339" s="1">
        <v>44334</v>
      </c>
      <c r="B1339">
        <v>21.34</v>
      </c>
    </row>
    <row r="1340" spans="1:2">
      <c r="A1340" s="1">
        <v>44335</v>
      </c>
      <c r="B1340">
        <v>22.18</v>
      </c>
    </row>
    <row r="1341" spans="1:2">
      <c r="A1341" s="1">
        <v>44336</v>
      </c>
      <c r="B1341">
        <v>20.67</v>
      </c>
    </row>
    <row r="1342" spans="1:2">
      <c r="A1342" s="1">
        <v>44337</v>
      </c>
      <c r="B1342">
        <v>20.149999999999999</v>
      </c>
    </row>
    <row r="1343" spans="1:2">
      <c r="A1343" s="1">
        <v>44340</v>
      </c>
      <c r="B1343">
        <v>18.399999999999999</v>
      </c>
    </row>
    <row r="1344" spans="1:2">
      <c r="A1344" s="1">
        <v>44341</v>
      </c>
      <c r="B1344">
        <v>18.84</v>
      </c>
    </row>
    <row r="1345" spans="1:2">
      <c r="A1345" s="1">
        <v>44342</v>
      </c>
      <c r="B1345">
        <v>17.36</v>
      </c>
    </row>
    <row r="1346" spans="1:2">
      <c r="A1346" s="1">
        <v>44343</v>
      </c>
      <c r="B1346">
        <v>16.739999999999998</v>
      </c>
    </row>
    <row r="1347" spans="1:2">
      <c r="A1347" s="1">
        <v>44344</v>
      </c>
      <c r="B1347">
        <v>16.760000000000002</v>
      </c>
    </row>
    <row r="1348" spans="1:2">
      <c r="A1348" s="1">
        <v>44347</v>
      </c>
    </row>
    <row r="1349" spans="1:2">
      <c r="A1349" s="1">
        <v>44348</v>
      </c>
      <c r="B1349">
        <v>17.899999999999999</v>
      </c>
    </row>
    <row r="1350" spans="1:2">
      <c r="A1350" s="1">
        <v>44349</v>
      </c>
      <c r="B1350">
        <v>17.48</v>
      </c>
    </row>
    <row r="1351" spans="1:2">
      <c r="A1351" s="1">
        <v>44350</v>
      </c>
      <c r="B1351">
        <v>18.04</v>
      </c>
    </row>
    <row r="1352" spans="1:2">
      <c r="A1352" s="1">
        <v>44351</v>
      </c>
      <c r="B1352">
        <v>16.420000000000002</v>
      </c>
    </row>
    <row r="1353" spans="1:2">
      <c r="A1353" s="1">
        <v>44354</v>
      </c>
      <c r="B1353">
        <v>16.420000000000002</v>
      </c>
    </row>
    <row r="1354" spans="1:2">
      <c r="A1354" s="1">
        <v>44355</v>
      </c>
      <c r="B1354">
        <v>17.07</v>
      </c>
    </row>
    <row r="1355" spans="1:2">
      <c r="A1355" s="1">
        <v>44356</v>
      </c>
      <c r="B1355">
        <v>17.89</v>
      </c>
    </row>
    <row r="1356" spans="1:2">
      <c r="A1356" s="1">
        <v>44357</v>
      </c>
      <c r="B1356">
        <v>16.100000000000001</v>
      </c>
    </row>
    <row r="1357" spans="1:2">
      <c r="A1357" s="1">
        <v>44358</v>
      </c>
      <c r="B1357">
        <v>15.65</v>
      </c>
    </row>
    <row r="1358" spans="1:2">
      <c r="A1358" s="1">
        <v>44361</v>
      </c>
      <c r="B1358">
        <v>16.39</v>
      </c>
    </row>
    <row r="1359" spans="1:2">
      <c r="A1359" s="1">
        <v>44362</v>
      </c>
      <c r="B1359">
        <v>17.02</v>
      </c>
    </row>
    <row r="1360" spans="1:2">
      <c r="A1360" s="1">
        <v>44363</v>
      </c>
      <c r="B1360">
        <v>18.149999999999999</v>
      </c>
    </row>
    <row r="1361" spans="1:2">
      <c r="A1361" s="1">
        <v>44364</v>
      </c>
      <c r="B1361">
        <v>17.75</v>
      </c>
    </row>
    <row r="1362" spans="1:2">
      <c r="A1362" s="1">
        <v>44365</v>
      </c>
      <c r="B1362">
        <v>20.7</v>
      </c>
    </row>
    <row r="1363" spans="1:2">
      <c r="A1363" s="1">
        <v>44368</v>
      </c>
      <c r="B1363">
        <v>17.89</v>
      </c>
    </row>
    <row r="1364" spans="1:2">
      <c r="A1364" s="1">
        <v>44369</v>
      </c>
      <c r="B1364">
        <v>16.66</v>
      </c>
    </row>
    <row r="1365" spans="1:2">
      <c r="A1365" s="1">
        <v>44370</v>
      </c>
      <c r="B1365">
        <v>16.32</v>
      </c>
    </row>
    <row r="1366" spans="1:2">
      <c r="A1366" s="1">
        <v>44371</v>
      </c>
      <c r="B1366">
        <v>15.97</v>
      </c>
    </row>
    <row r="1367" spans="1:2">
      <c r="A1367" s="1">
        <v>44372</v>
      </c>
      <c r="B1367">
        <v>15.62</v>
      </c>
    </row>
    <row r="1368" spans="1:2">
      <c r="A1368" s="1">
        <v>44375</v>
      </c>
      <c r="B1368">
        <v>15.76</v>
      </c>
    </row>
    <row r="1369" spans="1:2">
      <c r="A1369" s="1">
        <v>44376</v>
      </c>
      <c r="B1369">
        <v>16.02</v>
      </c>
    </row>
    <row r="1370" spans="1:2">
      <c r="A1370" s="1">
        <v>44377</v>
      </c>
      <c r="B1370">
        <v>15.83</v>
      </c>
    </row>
    <row r="1371" spans="1:2">
      <c r="A1371" s="1">
        <v>44378</v>
      </c>
      <c r="B1371">
        <v>15.48</v>
      </c>
    </row>
    <row r="1372" spans="1:2">
      <c r="A1372" s="1">
        <v>44379</v>
      </c>
      <c r="B1372">
        <v>15.07</v>
      </c>
    </row>
    <row r="1373" spans="1:2">
      <c r="A1373" s="1">
        <v>44382</v>
      </c>
    </row>
    <row r="1374" spans="1:2">
      <c r="A1374" s="1">
        <v>44383</v>
      </c>
      <c r="B1374">
        <v>16.440000000000001</v>
      </c>
    </row>
    <row r="1375" spans="1:2">
      <c r="A1375" s="1">
        <v>44384</v>
      </c>
      <c r="B1375">
        <v>16.2</v>
      </c>
    </row>
    <row r="1376" spans="1:2">
      <c r="A1376" s="1">
        <v>44385</v>
      </c>
      <c r="B1376">
        <v>19</v>
      </c>
    </row>
    <row r="1377" spans="1:2">
      <c r="A1377" s="1">
        <v>44386</v>
      </c>
      <c r="B1377">
        <v>16.18</v>
      </c>
    </row>
    <row r="1378" spans="1:2">
      <c r="A1378" s="1">
        <v>44389</v>
      </c>
      <c r="B1378">
        <v>16.170000000000002</v>
      </c>
    </row>
    <row r="1379" spans="1:2">
      <c r="A1379" s="1">
        <v>44390</v>
      </c>
      <c r="B1379">
        <v>17.12</v>
      </c>
    </row>
    <row r="1380" spans="1:2">
      <c r="A1380" s="1">
        <v>44391</v>
      </c>
      <c r="B1380">
        <v>16.329999999999998</v>
      </c>
    </row>
    <row r="1381" spans="1:2">
      <c r="A1381" s="1">
        <v>44392</v>
      </c>
      <c r="B1381">
        <v>17.010000000000002</v>
      </c>
    </row>
    <row r="1382" spans="1:2">
      <c r="A1382" s="1">
        <v>44393</v>
      </c>
      <c r="B1382">
        <v>18.45</v>
      </c>
    </row>
    <row r="1383" spans="1:2">
      <c r="A1383" s="1">
        <v>44396</v>
      </c>
      <c r="B1383">
        <v>22.5</v>
      </c>
    </row>
    <row r="1384" spans="1:2">
      <c r="A1384" s="1">
        <v>44397</v>
      </c>
      <c r="B1384">
        <v>19.73</v>
      </c>
    </row>
    <row r="1385" spans="1:2">
      <c r="A1385" s="1">
        <v>44398</v>
      </c>
      <c r="B1385">
        <v>17.91</v>
      </c>
    </row>
    <row r="1386" spans="1:2">
      <c r="A1386" s="1">
        <v>44399</v>
      </c>
      <c r="B1386">
        <v>17.690000000000001</v>
      </c>
    </row>
    <row r="1387" spans="1:2">
      <c r="A1387" s="1">
        <v>44400</v>
      </c>
      <c r="B1387">
        <v>17.2</v>
      </c>
    </row>
    <row r="1388" spans="1:2">
      <c r="A1388" s="1">
        <v>44403</v>
      </c>
      <c r="B1388">
        <v>17.579999999999998</v>
      </c>
    </row>
    <row r="1389" spans="1:2">
      <c r="A1389" s="1">
        <v>44404</v>
      </c>
      <c r="B1389">
        <v>19.36</v>
      </c>
    </row>
    <row r="1390" spans="1:2">
      <c r="A1390" s="1">
        <v>44405</v>
      </c>
      <c r="B1390">
        <v>18.309999999999999</v>
      </c>
    </row>
    <row r="1391" spans="1:2">
      <c r="A1391" s="1">
        <v>44406</v>
      </c>
      <c r="B1391">
        <v>17.7</v>
      </c>
    </row>
    <row r="1392" spans="1:2">
      <c r="A1392" s="1">
        <v>44407</v>
      </c>
      <c r="B1392">
        <v>18.239999999999998</v>
      </c>
    </row>
    <row r="1393" spans="1:2">
      <c r="A1393" s="1">
        <v>44410</v>
      </c>
      <c r="B1393">
        <v>19.46</v>
      </c>
    </row>
    <row r="1394" spans="1:2">
      <c r="A1394" s="1">
        <v>44411</v>
      </c>
      <c r="B1394">
        <v>18.04</v>
      </c>
    </row>
    <row r="1395" spans="1:2">
      <c r="A1395" s="1">
        <v>44412</v>
      </c>
      <c r="B1395">
        <v>17.97</v>
      </c>
    </row>
    <row r="1396" spans="1:2">
      <c r="A1396" s="1">
        <v>44413</v>
      </c>
      <c r="B1396">
        <v>17.28</v>
      </c>
    </row>
    <row r="1397" spans="1:2">
      <c r="A1397" s="1">
        <v>44414</v>
      </c>
      <c r="B1397">
        <v>16.149999999999999</v>
      </c>
    </row>
    <row r="1398" spans="1:2">
      <c r="A1398" s="1">
        <v>44417</v>
      </c>
      <c r="B1398">
        <v>16.72</v>
      </c>
    </row>
    <row r="1399" spans="1:2">
      <c r="A1399" s="1">
        <v>44418</v>
      </c>
      <c r="B1399">
        <v>16.79</v>
      </c>
    </row>
    <row r="1400" spans="1:2">
      <c r="A1400" s="1">
        <v>44419</v>
      </c>
      <c r="B1400">
        <v>16.059999999999999</v>
      </c>
    </row>
    <row r="1401" spans="1:2">
      <c r="A1401" s="1">
        <v>44420</v>
      </c>
      <c r="B1401">
        <v>15.59</v>
      </c>
    </row>
    <row r="1402" spans="1:2">
      <c r="A1402" s="1">
        <v>44421</v>
      </c>
      <c r="B1402">
        <v>15.45</v>
      </c>
    </row>
    <row r="1403" spans="1:2">
      <c r="A1403" s="1">
        <v>44424</v>
      </c>
      <c r="B1403">
        <v>16.12</v>
      </c>
    </row>
    <row r="1404" spans="1:2">
      <c r="A1404" s="1">
        <v>44425</v>
      </c>
      <c r="B1404">
        <v>17.91</v>
      </c>
    </row>
    <row r="1405" spans="1:2">
      <c r="A1405" s="1">
        <v>44426</v>
      </c>
      <c r="B1405">
        <v>21.57</v>
      </c>
    </row>
    <row r="1406" spans="1:2">
      <c r="A1406" s="1">
        <v>44427</v>
      </c>
      <c r="B1406">
        <v>21.67</v>
      </c>
    </row>
    <row r="1407" spans="1:2">
      <c r="A1407" s="1">
        <v>44428</v>
      </c>
      <c r="B1407">
        <v>18.559999999999999</v>
      </c>
    </row>
    <row r="1408" spans="1:2">
      <c r="A1408" s="1">
        <v>44431</v>
      </c>
      <c r="B1408">
        <v>17.149999999999999</v>
      </c>
    </row>
    <row r="1409" spans="1:2">
      <c r="A1409" s="1">
        <v>44432</v>
      </c>
      <c r="B1409">
        <v>17.22</v>
      </c>
    </row>
    <row r="1410" spans="1:2">
      <c r="A1410" s="1">
        <v>44433</v>
      </c>
      <c r="B1410">
        <v>16.79</v>
      </c>
    </row>
    <row r="1411" spans="1:2">
      <c r="A1411" s="1">
        <v>44434</v>
      </c>
      <c r="B1411">
        <v>18.84</v>
      </c>
    </row>
    <row r="1412" spans="1:2">
      <c r="A1412" s="1">
        <v>44435</v>
      </c>
      <c r="B1412">
        <v>16.39</v>
      </c>
    </row>
    <row r="1413" spans="1:2">
      <c r="A1413" s="1">
        <v>44438</v>
      </c>
      <c r="B1413">
        <v>16.190000000000001</v>
      </c>
    </row>
    <row r="1414" spans="1:2">
      <c r="A1414" s="1">
        <v>44439</v>
      </c>
      <c r="B1414">
        <v>16.48</v>
      </c>
    </row>
    <row r="1415" spans="1:2">
      <c r="A1415" s="1">
        <v>44440</v>
      </c>
      <c r="B1415">
        <v>16.11</v>
      </c>
    </row>
    <row r="1416" spans="1:2">
      <c r="A1416" s="1">
        <v>44441</v>
      </c>
      <c r="B1416">
        <v>16.41</v>
      </c>
    </row>
    <row r="1417" spans="1:2">
      <c r="A1417" s="1">
        <v>44442</v>
      </c>
      <c r="B1417">
        <v>16.41</v>
      </c>
    </row>
    <row r="1418" spans="1:2">
      <c r="A1418" s="1">
        <v>44445</v>
      </c>
    </row>
    <row r="1419" spans="1:2">
      <c r="A1419" s="1">
        <v>44446</v>
      </c>
      <c r="B1419">
        <v>18.14</v>
      </c>
    </row>
    <row r="1420" spans="1:2">
      <c r="A1420" s="1">
        <v>44447</v>
      </c>
      <c r="B1420">
        <v>17.96</v>
      </c>
    </row>
    <row r="1421" spans="1:2">
      <c r="A1421" s="1">
        <v>44448</v>
      </c>
      <c r="B1421">
        <v>18.8</v>
      </c>
    </row>
    <row r="1422" spans="1:2">
      <c r="A1422" s="1">
        <v>44449</v>
      </c>
      <c r="B1422">
        <v>20.95</v>
      </c>
    </row>
    <row r="1423" spans="1:2">
      <c r="A1423" s="1">
        <v>44452</v>
      </c>
      <c r="B1423">
        <v>19.37</v>
      </c>
    </row>
    <row r="1424" spans="1:2">
      <c r="A1424" s="1">
        <v>44453</v>
      </c>
      <c r="B1424">
        <v>19.46</v>
      </c>
    </row>
    <row r="1425" spans="1:2">
      <c r="A1425" s="1">
        <v>44454</v>
      </c>
      <c r="B1425">
        <v>18.18</v>
      </c>
    </row>
    <row r="1426" spans="1:2">
      <c r="A1426" s="1">
        <v>44455</v>
      </c>
      <c r="B1426">
        <v>18.690000000000001</v>
      </c>
    </row>
    <row r="1427" spans="1:2">
      <c r="A1427" s="1">
        <v>44456</v>
      </c>
      <c r="B1427">
        <v>20.81</v>
      </c>
    </row>
    <row r="1428" spans="1:2">
      <c r="A1428" s="1">
        <v>44459</v>
      </c>
      <c r="B1428">
        <v>25.71</v>
      </c>
    </row>
    <row r="1429" spans="1:2">
      <c r="A1429" s="1">
        <v>44460</v>
      </c>
      <c r="B1429">
        <v>24.36</v>
      </c>
    </row>
    <row r="1430" spans="1:2">
      <c r="A1430" s="1">
        <v>44461</v>
      </c>
      <c r="B1430">
        <v>20.87</v>
      </c>
    </row>
    <row r="1431" spans="1:2">
      <c r="A1431" s="1">
        <v>44462</v>
      </c>
      <c r="B1431">
        <v>18.63</v>
      </c>
    </row>
    <row r="1432" spans="1:2">
      <c r="A1432" s="1">
        <v>44463</v>
      </c>
      <c r="B1432">
        <v>17.75</v>
      </c>
    </row>
    <row r="1433" spans="1:2">
      <c r="A1433" s="1">
        <v>44466</v>
      </c>
      <c r="B1433">
        <v>18.760000000000002</v>
      </c>
    </row>
    <row r="1434" spans="1:2">
      <c r="A1434" s="1">
        <v>44467</v>
      </c>
      <c r="B1434">
        <v>23.25</v>
      </c>
    </row>
    <row r="1435" spans="1:2">
      <c r="A1435" s="1">
        <v>44468</v>
      </c>
      <c r="B1435">
        <v>22.56</v>
      </c>
    </row>
    <row r="1436" spans="1:2">
      <c r="A1436" s="1">
        <v>44469</v>
      </c>
      <c r="B1436">
        <v>23.14</v>
      </c>
    </row>
    <row r="1437" spans="1:2">
      <c r="A1437" s="1">
        <v>44470</v>
      </c>
      <c r="B1437">
        <v>21.15</v>
      </c>
    </row>
    <row r="1438" spans="1:2">
      <c r="A1438" s="1">
        <v>44473</v>
      </c>
      <c r="B1438">
        <v>22.96</v>
      </c>
    </row>
    <row r="1439" spans="1:2">
      <c r="A1439" s="1">
        <v>44474</v>
      </c>
      <c r="B1439">
        <v>21.3</v>
      </c>
    </row>
    <row r="1440" spans="1:2">
      <c r="A1440" s="1">
        <v>44475</v>
      </c>
      <c r="B1440">
        <v>21</v>
      </c>
    </row>
    <row r="1441" spans="1:2">
      <c r="A1441" s="1">
        <v>44476</v>
      </c>
      <c r="B1441">
        <v>19.54</v>
      </c>
    </row>
    <row r="1442" spans="1:2">
      <c r="A1442" s="1">
        <v>44477</v>
      </c>
      <c r="B1442">
        <v>18.77</v>
      </c>
    </row>
    <row r="1443" spans="1:2">
      <c r="A1443" s="1">
        <v>44480</v>
      </c>
      <c r="B1443">
        <v>20</v>
      </c>
    </row>
    <row r="1444" spans="1:2">
      <c r="A1444" s="1">
        <v>44481</v>
      </c>
      <c r="B1444">
        <v>19.850000000000001</v>
      </c>
    </row>
    <row r="1445" spans="1:2">
      <c r="A1445" s="1">
        <v>44482</v>
      </c>
      <c r="B1445">
        <v>18.64</v>
      </c>
    </row>
    <row r="1446" spans="1:2">
      <c r="A1446" s="1">
        <v>44483</v>
      </c>
      <c r="B1446">
        <v>16.86</v>
      </c>
    </row>
    <row r="1447" spans="1:2">
      <c r="A1447" s="1">
        <v>44484</v>
      </c>
      <c r="B1447">
        <v>16.3</v>
      </c>
    </row>
    <row r="1448" spans="1:2">
      <c r="A1448" s="1">
        <v>44487</v>
      </c>
      <c r="B1448">
        <v>16.309999999999999</v>
      </c>
    </row>
    <row r="1449" spans="1:2">
      <c r="A1449" s="1">
        <v>44488</v>
      </c>
      <c r="B1449">
        <v>15.7</v>
      </c>
    </row>
    <row r="1450" spans="1:2">
      <c r="A1450" s="1">
        <v>44489</v>
      </c>
      <c r="B1450">
        <v>15.49</v>
      </c>
    </row>
    <row r="1451" spans="1:2">
      <c r="A1451" s="1">
        <v>44490</v>
      </c>
      <c r="B1451">
        <v>15.01</v>
      </c>
    </row>
    <row r="1452" spans="1:2">
      <c r="A1452" s="1">
        <v>44491</v>
      </c>
      <c r="B1452">
        <v>15.43</v>
      </c>
    </row>
    <row r="1453" spans="1:2">
      <c r="A1453" s="1">
        <v>44494</v>
      </c>
      <c r="B1453">
        <v>15.24</v>
      </c>
    </row>
    <row r="1454" spans="1:2">
      <c r="A1454" s="1">
        <v>44495</v>
      </c>
      <c r="B1454">
        <v>15.98</v>
      </c>
    </row>
    <row r="1455" spans="1:2">
      <c r="A1455" s="1">
        <v>44496</v>
      </c>
      <c r="B1455">
        <v>16.98</v>
      </c>
    </row>
    <row r="1456" spans="1:2">
      <c r="A1456" s="1">
        <v>44497</v>
      </c>
      <c r="B1456">
        <v>16.53</v>
      </c>
    </row>
    <row r="1457" spans="1:2">
      <c r="A1457" s="1">
        <v>44498</v>
      </c>
      <c r="B1457">
        <v>16.260000000000002</v>
      </c>
    </row>
    <row r="1458" spans="1:2">
      <c r="A1458" s="1">
        <v>44501</v>
      </c>
      <c r="B1458">
        <v>16.41</v>
      </c>
    </row>
    <row r="1459" spans="1:2">
      <c r="A1459" s="1">
        <v>44502</v>
      </c>
      <c r="B1459">
        <v>16.03</v>
      </c>
    </row>
    <row r="1460" spans="1:2">
      <c r="A1460" s="1">
        <v>44503</v>
      </c>
      <c r="B1460">
        <v>15.1</v>
      </c>
    </row>
    <row r="1461" spans="1:2">
      <c r="A1461" s="1">
        <v>44504</v>
      </c>
      <c r="B1461">
        <v>15.44</v>
      </c>
    </row>
    <row r="1462" spans="1:2">
      <c r="A1462" s="1">
        <v>44505</v>
      </c>
      <c r="B1462">
        <v>16.48</v>
      </c>
    </row>
    <row r="1463" spans="1:2">
      <c r="A1463" s="1">
        <v>44508</v>
      </c>
      <c r="B1463">
        <v>17.22</v>
      </c>
    </row>
    <row r="1464" spans="1:2">
      <c r="A1464" s="1">
        <v>44509</v>
      </c>
      <c r="B1464">
        <v>17.78</v>
      </c>
    </row>
    <row r="1465" spans="1:2">
      <c r="A1465" s="1">
        <v>44510</v>
      </c>
      <c r="B1465">
        <v>18.73</v>
      </c>
    </row>
    <row r="1466" spans="1:2">
      <c r="A1466" s="1">
        <v>44511</v>
      </c>
      <c r="B1466">
        <v>17.66</v>
      </c>
    </row>
    <row r="1467" spans="1:2">
      <c r="A1467" s="1">
        <v>44512</v>
      </c>
      <c r="B1467">
        <v>16.29</v>
      </c>
    </row>
    <row r="1468" spans="1:2">
      <c r="A1468" s="1">
        <v>44515</v>
      </c>
      <c r="B1468">
        <v>16.489999999999998</v>
      </c>
    </row>
    <row r="1469" spans="1:2">
      <c r="A1469" s="1">
        <v>44516</v>
      </c>
      <c r="B1469">
        <v>16.37</v>
      </c>
    </row>
    <row r="1470" spans="1:2">
      <c r="A1470" s="1">
        <v>44517</v>
      </c>
      <c r="B1470">
        <v>17.11</v>
      </c>
    </row>
    <row r="1471" spans="1:2">
      <c r="A1471" s="1">
        <v>44518</v>
      </c>
      <c r="B1471">
        <v>17.59</v>
      </c>
    </row>
    <row r="1472" spans="1:2">
      <c r="A1472" s="1">
        <v>44519</v>
      </c>
      <c r="B1472">
        <v>17.91</v>
      </c>
    </row>
    <row r="1473" spans="1:2">
      <c r="A1473" s="1">
        <v>44522</v>
      </c>
      <c r="B1473">
        <v>19.170000000000002</v>
      </c>
    </row>
    <row r="1474" spans="1:2">
      <c r="A1474" s="1">
        <v>44523</v>
      </c>
      <c r="B1474">
        <v>19.38</v>
      </c>
    </row>
    <row r="1475" spans="1:2">
      <c r="A1475" s="1">
        <v>44524</v>
      </c>
      <c r="B1475">
        <v>18.579999999999998</v>
      </c>
    </row>
    <row r="1476" spans="1:2">
      <c r="A1476" s="1">
        <v>44525</v>
      </c>
    </row>
    <row r="1477" spans="1:2">
      <c r="A1477" s="1">
        <v>44526</v>
      </c>
      <c r="B1477">
        <v>28.62</v>
      </c>
    </row>
    <row r="1478" spans="1:2">
      <c r="A1478" s="1">
        <v>44529</v>
      </c>
      <c r="B1478">
        <v>22.96</v>
      </c>
    </row>
    <row r="1479" spans="1:2">
      <c r="A1479" s="1">
        <v>44530</v>
      </c>
      <c r="B1479">
        <v>27.19</v>
      </c>
    </row>
    <row r="1480" spans="1:2">
      <c r="A1480" s="1">
        <v>44531</v>
      </c>
      <c r="B1480">
        <v>31.12</v>
      </c>
    </row>
    <row r="1481" spans="1:2">
      <c r="A1481" s="1">
        <v>44532</v>
      </c>
      <c r="B1481">
        <v>27.95</v>
      </c>
    </row>
    <row r="1482" spans="1:2">
      <c r="A1482" s="1">
        <v>44533</v>
      </c>
      <c r="B1482">
        <v>30.67</v>
      </c>
    </row>
    <row r="1483" spans="1:2">
      <c r="A1483" s="1">
        <v>44536</v>
      </c>
      <c r="B1483">
        <v>27.18</v>
      </c>
    </row>
    <row r="1484" spans="1:2">
      <c r="A1484" s="1">
        <v>44537</v>
      </c>
      <c r="B1484">
        <v>21.89</v>
      </c>
    </row>
    <row r="1485" spans="1:2">
      <c r="A1485" s="1">
        <v>44538</v>
      </c>
      <c r="B1485">
        <v>19.899999999999999</v>
      </c>
    </row>
    <row r="1486" spans="1:2">
      <c r="A1486" s="1">
        <v>44539</v>
      </c>
      <c r="B1486">
        <v>21.58</v>
      </c>
    </row>
    <row r="1487" spans="1:2">
      <c r="A1487" s="1">
        <v>44540</v>
      </c>
      <c r="B1487">
        <v>18.690000000000001</v>
      </c>
    </row>
    <row r="1488" spans="1:2">
      <c r="A1488" s="1">
        <v>44543</v>
      </c>
      <c r="B1488">
        <v>20.309999999999999</v>
      </c>
    </row>
    <row r="1489" spans="1:2">
      <c r="A1489" s="1">
        <v>44544</v>
      </c>
      <c r="B1489">
        <v>21.89</v>
      </c>
    </row>
    <row r="1490" spans="1:2">
      <c r="A1490" s="1">
        <v>44545</v>
      </c>
      <c r="B1490">
        <v>19.29</v>
      </c>
    </row>
    <row r="1491" spans="1:2">
      <c r="A1491" s="1">
        <v>44546</v>
      </c>
      <c r="B1491">
        <v>20.57</v>
      </c>
    </row>
    <row r="1492" spans="1:2">
      <c r="A1492" s="1">
        <v>44547</v>
      </c>
      <c r="B1492">
        <v>21.57</v>
      </c>
    </row>
    <row r="1493" spans="1:2">
      <c r="A1493" s="1">
        <v>44550</v>
      </c>
      <c r="B1493">
        <v>22.87</v>
      </c>
    </row>
    <row r="1494" spans="1:2">
      <c r="A1494" s="1">
        <v>44551</v>
      </c>
      <c r="B1494">
        <v>21.01</v>
      </c>
    </row>
    <row r="1495" spans="1:2">
      <c r="A1495" s="1">
        <v>44552</v>
      </c>
      <c r="B1495">
        <v>18.63</v>
      </c>
    </row>
    <row r="1496" spans="1:2">
      <c r="A1496" s="1">
        <v>44553</v>
      </c>
      <c r="B1496">
        <v>17.96</v>
      </c>
    </row>
    <row r="1497" spans="1:2">
      <c r="A1497" s="1">
        <v>44554</v>
      </c>
    </row>
    <row r="1498" spans="1:2">
      <c r="A1498" s="1">
        <v>44557</v>
      </c>
      <c r="B1498">
        <v>17.68</v>
      </c>
    </row>
    <row r="1499" spans="1:2">
      <c r="A1499" s="1">
        <v>44558</v>
      </c>
      <c r="B1499">
        <v>17.54</v>
      </c>
    </row>
    <row r="1500" spans="1:2">
      <c r="A1500" s="1">
        <v>44559</v>
      </c>
      <c r="B1500">
        <v>16.95</v>
      </c>
    </row>
    <row r="1501" spans="1:2">
      <c r="A1501" s="1">
        <v>44560</v>
      </c>
      <c r="B1501">
        <v>17.329999999999998</v>
      </c>
    </row>
    <row r="1502" spans="1:2">
      <c r="A1502" s="1">
        <v>44561</v>
      </c>
      <c r="B1502">
        <v>17.22</v>
      </c>
    </row>
    <row r="1503" spans="1:2">
      <c r="A1503" s="1">
        <v>44564</v>
      </c>
      <c r="B1503">
        <v>16.600000000000001</v>
      </c>
    </row>
    <row r="1504" spans="1:2">
      <c r="A1504" s="1">
        <v>44565</v>
      </c>
      <c r="B1504">
        <v>16.91</v>
      </c>
    </row>
    <row r="1505" spans="1:2">
      <c r="A1505" s="1">
        <v>44566</v>
      </c>
      <c r="B1505">
        <v>19.73</v>
      </c>
    </row>
    <row r="1506" spans="1:2">
      <c r="A1506" s="1">
        <v>44567</v>
      </c>
      <c r="B1506">
        <v>19.61</v>
      </c>
    </row>
    <row r="1507" spans="1:2">
      <c r="A1507" s="1">
        <v>44568</v>
      </c>
      <c r="B1507">
        <v>18.760000000000002</v>
      </c>
    </row>
    <row r="1508" spans="1:2">
      <c r="A1508" s="1">
        <v>44571</v>
      </c>
      <c r="B1508">
        <v>19.399999999999999</v>
      </c>
    </row>
    <row r="1509" spans="1:2">
      <c r="A1509" s="1">
        <v>44572</v>
      </c>
      <c r="B1509">
        <v>18.41</v>
      </c>
    </row>
    <row r="1510" spans="1:2">
      <c r="A1510" s="1">
        <v>44573</v>
      </c>
      <c r="B1510">
        <v>17.62</v>
      </c>
    </row>
    <row r="1511" spans="1:2">
      <c r="A1511" s="1">
        <v>44574</v>
      </c>
      <c r="B1511">
        <v>20.309999999999999</v>
      </c>
    </row>
    <row r="1512" spans="1:2">
      <c r="A1512" s="1">
        <v>44575</v>
      </c>
      <c r="B1512">
        <v>19.190000000000001</v>
      </c>
    </row>
    <row r="1513" spans="1:2">
      <c r="A1513" s="1">
        <v>44578</v>
      </c>
    </row>
    <row r="1514" spans="1:2">
      <c r="A1514" s="1">
        <v>44579</v>
      </c>
      <c r="B1514">
        <v>22.79</v>
      </c>
    </row>
    <row r="1515" spans="1:2">
      <c r="A1515" s="1">
        <v>44580</v>
      </c>
      <c r="B1515">
        <v>23.85</v>
      </c>
    </row>
    <row r="1516" spans="1:2">
      <c r="A1516" s="1">
        <v>44581</v>
      </c>
      <c r="B1516">
        <v>25.59</v>
      </c>
    </row>
    <row r="1517" spans="1:2">
      <c r="A1517" s="1">
        <v>44582</v>
      </c>
      <c r="B1517">
        <v>28.85</v>
      </c>
    </row>
    <row r="1518" spans="1:2">
      <c r="A1518" s="1">
        <v>44585</v>
      </c>
      <c r="B1518">
        <v>29.9</v>
      </c>
    </row>
    <row r="1519" spans="1:2">
      <c r="A1519" s="1">
        <v>44586</v>
      </c>
      <c r="B1519">
        <v>31.16</v>
      </c>
    </row>
    <row r="1520" spans="1:2">
      <c r="A1520" s="1">
        <v>44587</v>
      </c>
      <c r="B1520">
        <v>31.96</v>
      </c>
    </row>
    <row r="1521" spans="1:2">
      <c r="A1521" s="1">
        <v>44588</v>
      </c>
      <c r="B1521">
        <v>30.49</v>
      </c>
    </row>
    <row r="1522" spans="1:2">
      <c r="A1522" s="1">
        <v>44589</v>
      </c>
      <c r="B1522">
        <v>27.66</v>
      </c>
    </row>
    <row r="1523" spans="1:2">
      <c r="A1523" s="1">
        <v>44592</v>
      </c>
      <c r="B1523">
        <v>24.83</v>
      </c>
    </row>
    <row r="1524" spans="1:2">
      <c r="A1524" s="1">
        <v>44593</v>
      </c>
      <c r="B1524">
        <v>21.96</v>
      </c>
    </row>
    <row r="1525" spans="1:2">
      <c r="A1525" s="1">
        <v>44594</v>
      </c>
      <c r="B1525">
        <v>22.09</v>
      </c>
    </row>
    <row r="1526" spans="1:2">
      <c r="A1526" s="1">
        <v>44595</v>
      </c>
      <c r="B1526">
        <v>24.35</v>
      </c>
    </row>
    <row r="1527" spans="1:2">
      <c r="A1527" s="1">
        <v>44596</v>
      </c>
      <c r="B1527">
        <v>23.22</v>
      </c>
    </row>
    <row r="1528" spans="1:2">
      <c r="A1528" s="1">
        <v>44599</v>
      </c>
      <c r="B1528">
        <v>22.86</v>
      </c>
    </row>
    <row r="1529" spans="1:2">
      <c r="A1529" s="1">
        <v>44600</v>
      </c>
      <c r="B1529">
        <v>21.44</v>
      </c>
    </row>
    <row r="1530" spans="1:2">
      <c r="A1530" s="1">
        <v>44601</v>
      </c>
      <c r="B1530">
        <v>19.96</v>
      </c>
    </row>
    <row r="1531" spans="1:2">
      <c r="A1531" s="1">
        <v>44602</v>
      </c>
      <c r="B1531">
        <v>23.91</v>
      </c>
    </row>
    <row r="1532" spans="1:2">
      <c r="A1532" s="1">
        <v>44603</v>
      </c>
      <c r="B1532">
        <v>27.36</v>
      </c>
    </row>
    <row r="1533" spans="1:2">
      <c r="A1533" s="1">
        <v>44606</v>
      </c>
      <c r="B1533">
        <v>28.33</v>
      </c>
    </row>
    <row r="1534" spans="1:2">
      <c r="A1534" s="1">
        <v>44607</v>
      </c>
      <c r="B1534">
        <v>25.7</v>
      </c>
    </row>
    <row r="1535" spans="1:2">
      <c r="A1535" s="1">
        <v>44608</v>
      </c>
      <c r="B1535">
        <v>24.29</v>
      </c>
    </row>
    <row r="1536" spans="1:2">
      <c r="A1536" s="1">
        <v>44609</v>
      </c>
      <c r="B1536">
        <v>28.11</v>
      </c>
    </row>
    <row r="1537" spans="1:2">
      <c r="A1537" s="1">
        <v>44610</v>
      </c>
      <c r="B1537">
        <v>27.75</v>
      </c>
    </row>
    <row r="1538" spans="1:2">
      <c r="A1538" s="1">
        <v>44613</v>
      </c>
    </row>
    <row r="1539" spans="1:2">
      <c r="A1539" s="1">
        <v>44614</v>
      </c>
      <c r="B1539">
        <v>28.81</v>
      </c>
    </row>
    <row r="1540" spans="1:2">
      <c r="A1540" s="1">
        <v>44615</v>
      </c>
      <c r="B1540">
        <v>31.02</v>
      </c>
    </row>
    <row r="1541" spans="1:2">
      <c r="A1541" s="1">
        <v>44616</v>
      </c>
      <c r="B1541">
        <v>30.32</v>
      </c>
    </row>
    <row r="1542" spans="1:2">
      <c r="A1542" s="1">
        <v>44617</v>
      </c>
      <c r="B1542">
        <v>27.59</v>
      </c>
    </row>
    <row r="1543" spans="1:2">
      <c r="A1543" s="1">
        <v>44620</v>
      </c>
      <c r="B1543">
        <v>30.15</v>
      </c>
    </row>
    <row r="1544" spans="1:2">
      <c r="A1544" s="1">
        <v>44621</v>
      </c>
      <c r="B1544">
        <v>33.32</v>
      </c>
    </row>
    <row r="1545" spans="1:2">
      <c r="A1545" s="1">
        <v>44622</v>
      </c>
      <c r="B1545">
        <v>30.74</v>
      </c>
    </row>
    <row r="1546" spans="1:2">
      <c r="A1546" s="1">
        <v>44623</v>
      </c>
      <c r="B1546">
        <v>30.48</v>
      </c>
    </row>
    <row r="1547" spans="1:2">
      <c r="A1547" s="1">
        <v>44624</v>
      </c>
      <c r="B1547">
        <v>31.98</v>
      </c>
    </row>
    <row r="1548" spans="1:2">
      <c r="A1548" s="1">
        <v>44627</v>
      </c>
      <c r="B1548">
        <v>36.450000000000003</v>
      </c>
    </row>
    <row r="1549" spans="1:2">
      <c r="A1549" s="1">
        <v>44628</v>
      </c>
      <c r="B1549">
        <v>35.130000000000003</v>
      </c>
    </row>
    <row r="1550" spans="1:2">
      <c r="A1550" s="1">
        <v>44629</v>
      </c>
      <c r="B1550">
        <v>32.450000000000003</v>
      </c>
    </row>
    <row r="1551" spans="1:2">
      <c r="A1551" s="1">
        <v>44630</v>
      </c>
      <c r="B1551">
        <v>30.23</v>
      </c>
    </row>
    <row r="1552" spans="1:2">
      <c r="A1552" s="1">
        <v>44631</v>
      </c>
      <c r="B1552">
        <v>30.75</v>
      </c>
    </row>
    <row r="1553" spans="1:2">
      <c r="A1553" s="1">
        <v>44634</v>
      </c>
      <c r="B1553">
        <v>31.77</v>
      </c>
    </row>
    <row r="1554" spans="1:2">
      <c r="A1554" s="1">
        <v>44635</v>
      </c>
      <c r="B1554">
        <v>29.83</v>
      </c>
    </row>
    <row r="1555" spans="1:2">
      <c r="A1555" s="1">
        <v>44636</v>
      </c>
      <c r="B1555">
        <v>26.67</v>
      </c>
    </row>
    <row r="1556" spans="1:2">
      <c r="A1556" s="1">
        <v>44637</v>
      </c>
      <c r="B1556">
        <v>25.67</v>
      </c>
    </row>
    <row r="1557" spans="1:2">
      <c r="A1557" s="1">
        <v>44638</v>
      </c>
      <c r="B1557">
        <v>23.87</v>
      </c>
    </row>
    <row r="1558" spans="1:2">
      <c r="A1558" s="1">
        <v>44641</v>
      </c>
      <c r="B1558">
        <v>23.53</v>
      </c>
    </row>
    <row r="1559" spans="1:2">
      <c r="A1559" s="1">
        <v>44642</v>
      </c>
      <c r="B1559">
        <v>22.94</v>
      </c>
    </row>
    <row r="1560" spans="1:2">
      <c r="A1560" s="1">
        <v>44643</v>
      </c>
      <c r="B1560">
        <v>23.57</v>
      </c>
    </row>
    <row r="1561" spans="1:2">
      <c r="A1561" s="1">
        <v>44644</v>
      </c>
      <c r="B1561">
        <v>21.67</v>
      </c>
    </row>
    <row r="1562" spans="1:2">
      <c r="A1562" s="1">
        <v>44645</v>
      </c>
      <c r="B1562">
        <v>20.81</v>
      </c>
    </row>
    <row r="1563" spans="1:2">
      <c r="A1563" s="1">
        <v>44648</v>
      </c>
      <c r="B1563">
        <v>19.63</v>
      </c>
    </row>
    <row r="1564" spans="1:2">
      <c r="A1564" s="1">
        <v>44649</v>
      </c>
      <c r="B1564">
        <v>18.899999999999999</v>
      </c>
    </row>
    <row r="1565" spans="1:2">
      <c r="A1565" s="1">
        <v>44650</v>
      </c>
      <c r="B1565">
        <v>19.329999999999998</v>
      </c>
    </row>
    <row r="1566" spans="1:2">
      <c r="A1566" s="1">
        <v>44651</v>
      </c>
      <c r="B1566">
        <v>20.56</v>
      </c>
    </row>
    <row r="1567" spans="1:2">
      <c r="A1567" s="1">
        <v>44652</v>
      </c>
      <c r="B1567">
        <v>19.63</v>
      </c>
    </row>
    <row r="1568" spans="1:2">
      <c r="A1568" s="1">
        <v>44655</v>
      </c>
      <c r="B1568">
        <v>18.57</v>
      </c>
    </row>
    <row r="1569" spans="1:2">
      <c r="A1569" s="1">
        <v>44656</v>
      </c>
      <c r="B1569">
        <v>21.03</v>
      </c>
    </row>
    <row r="1570" spans="1:2">
      <c r="A1570" s="1">
        <v>44657</v>
      </c>
      <c r="B1570">
        <v>22.1</v>
      </c>
    </row>
    <row r="1571" spans="1:2">
      <c r="A1571" s="1">
        <v>44658</v>
      </c>
      <c r="B1571">
        <v>21.55</v>
      </c>
    </row>
    <row r="1572" spans="1:2">
      <c r="A1572" s="1">
        <v>44659</v>
      </c>
      <c r="B1572">
        <v>21.16</v>
      </c>
    </row>
    <row r="1573" spans="1:2">
      <c r="A1573" s="1">
        <v>44662</v>
      </c>
      <c r="B1573">
        <v>24.37</v>
      </c>
    </row>
    <row r="1574" spans="1:2">
      <c r="A1574" s="1">
        <v>44663</v>
      </c>
      <c r="B1574">
        <v>24.26</v>
      </c>
    </row>
    <row r="1575" spans="1:2">
      <c r="A1575" s="1">
        <v>44664</v>
      </c>
      <c r="B1575">
        <v>21.82</v>
      </c>
    </row>
    <row r="1576" spans="1:2">
      <c r="A1576" s="1">
        <v>44665</v>
      </c>
      <c r="B1576">
        <v>22.7</v>
      </c>
    </row>
    <row r="1577" spans="1:2">
      <c r="A1577" s="1">
        <v>44666</v>
      </c>
    </row>
    <row r="1578" spans="1:2">
      <c r="A1578" s="1">
        <v>44669</v>
      </c>
      <c r="B1578">
        <v>22.17</v>
      </c>
    </row>
    <row r="1579" spans="1:2">
      <c r="A1579" s="1">
        <v>44670</v>
      </c>
      <c r="B1579">
        <v>21.37</v>
      </c>
    </row>
    <row r="1580" spans="1:2">
      <c r="A1580" s="1">
        <v>44671</v>
      </c>
      <c r="B1580">
        <v>20.32</v>
      </c>
    </row>
    <row r="1581" spans="1:2">
      <c r="A1581" s="1">
        <v>44672</v>
      </c>
      <c r="B1581">
        <v>22.68</v>
      </c>
    </row>
    <row r="1582" spans="1:2">
      <c r="A1582" s="1">
        <v>44673</v>
      </c>
      <c r="B1582">
        <v>28.21</v>
      </c>
    </row>
    <row r="1583" spans="1:2">
      <c r="A1583" s="1">
        <v>44676</v>
      </c>
      <c r="B1583">
        <v>27.02</v>
      </c>
    </row>
    <row r="1584" spans="1:2">
      <c r="A1584" s="1">
        <v>44677</v>
      </c>
      <c r="B1584">
        <v>33.520000000000003</v>
      </c>
    </row>
    <row r="1585" spans="1:2">
      <c r="A1585" s="1">
        <v>44678</v>
      </c>
      <c r="B1585">
        <v>31.6</v>
      </c>
    </row>
    <row r="1586" spans="1:2">
      <c r="A1586" s="1">
        <v>44679</v>
      </c>
      <c r="B1586">
        <v>29.99</v>
      </c>
    </row>
    <row r="1587" spans="1:2">
      <c r="A1587" s="1">
        <v>44680</v>
      </c>
      <c r="B1587">
        <v>33.4</v>
      </c>
    </row>
    <row r="1588" spans="1:2">
      <c r="A1588" s="1">
        <v>44683</v>
      </c>
      <c r="B1588">
        <v>32.340000000000003</v>
      </c>
    </row>
    <row r="1589" spans="1:2">
      <c r="A1589" s="1">
        <v>44684</v>
      </c>
      <c r="B1589">
        <v>29.25</v>
      </c>
    </row>
    <row r="1590" spans="1:2">
      <c r="A1590" s="1">
        <v>44685</v>
      </c>
      <c r="B1590">
        <v>25.42</v>
      </c>
    </row>
    <row r="1591" spans="1:2">
      <c r="A1591" s="1">
        <v>44686</v>
      </c>
      <c r="B1591">
        <v>31.2</v>
      </c>
    </row>
    <row r="1592" spans="1:2">
      <c r="A1592" s="1">
        <v>44687</v>
      </c>
      <c r="B1592">
        <v>30.19</v>
      </c>
    </row>
    <row r="1593" spans="1:2">
      <c r="A1593" s="1">
        <v>44690</v>
      </c>
      <c r="B1593">
        <v>34.75</v>
      </c>
    </row>
    <row r="1594" spans="1:2">
      <c r="A1594" s="1">
        <v>44691</v>
      </c>
      <c r="B1594">
        <v>32.99</v>
      </c>
    </row>
    <row r="1595" spans="1:2">
      <c r="A1595" s="1">
        <v>44692</v>
      </c>
      <c r="B1595">
        <v>32.56</v>
      </c>
    </row>
    <row r="1596" spans="1:2">
      <c r="A1596" s="1">
        <v>44693</v>
      </c>
      <c r="B1596">
        <v>31.77</v>
      </c>
    </row>
    <row r="1597" spans="1:2">
      <c r="A1597" s="1">
        <v>44694</v>
      </c>
      <c r="B1597">
        <v>28.87</v>
      </c>
    </row>
    <row r="1598" spans="1:2">
      <c r="A1598" s="1">
        <v>44697</v>
      </c>
      <c r="B1598">
        <v>27.47</v>
      </c>
    </row>
    <row r="1599" spans="1:2">
      <c r="A1599" s="1">
        <v>44698</v>
      </c>
      <c r="B1599">
        <v>26.1</v>
      </c>
    </row>
    <row r="1600" spans="1:2">
      <c r="A1600" s="1">
        <v>44699</v>
      </c>
      <c r="B1600">
        <v>30.96</v>
      </c>
    </row>
    <row r="1601" spans="1:2">
      <c r="A1601" s="1">
        <v>44700</v>
      </c>
      <c r="B1601">
        <v>29.35</v>
      </c>
    </row>
    <row r="1602" spans="1:2">
      <c r="A1602" s="1">
        <v>44701</v>
      </c>
      <c r="B1602">
        <v>29.43</v>
      </c>
    </row>
    <row r="1603" spans="1:2">
      <c r="A1603" s="1">
        <v>44704</v>
      </c>
      <c r="B1603">
        <v>28.48</v>
      </c>
    </row>
    <row r="1604" spans="1:2">
      <c r="A1604" s="1">
        <v>44705</v>
      </c>
      <c r="B1604">
        <v>29.45</v>
      </c>
    </row>
    <row r="1605" spans="1:2">
      <c r="A1605" s="1">
        <v>44706</v>
      </c>
      <c r="B1605">
        <v>28.37</v>
      </c>
    </row>
    <row r="1606" spans="1:2">
      <c r="A1606" s="1">
        <v>44707</v>
      </c>
      <c r="B1606">
        <v>27.5</v>
      </c>
    </row>
    <row r="1607" spans="1:2">
      <c r="A1607" s="1">
        <v>44708</v>
      </c>
      <c r="B1607">
        <v>25.72</v>
      </c>
    </row>
    <row r="1608" spans="1:2">
      <c r="A1608" s="1">
        <v>44711</v>
      </c>
      <c r="B1608">
        <v>26.54</v>
      </c>
    </row>
    <row r="1609" spans="1:2">
      <c r="A1609" s="1">
        <v>44712</v>
      </c>
      <c r="B1609">
        <v>26.19</v>
      </c>
    </row>
    <row r="1610" spans="1:2">
      <c r="A1610" s="1">
        <v>44713</v>
      </c>
      <c r="B1610">
        <v>25.69</v>
      </c>
    </row>
    <row r="1611" spans="1:2">
      <c r="A1611" s="1">
        <v>44714</v>
      </c>
      <c r="B1611">
        <v>24.72</v>
      </c>
    </row>
    <row r="1612" spans="1:2">
      <c r="A1612" s="1">
        <v>44715</v>
      </c>
      <c r="B1612">
        <v>24.79</v>
      </c>
    </row>
    <row r="1613" spans="1:2">
      <c r="A1613" s="1">
        <v>44718</v>
      </c>
      <c r="B1613">
        <v>25.07</v>
      </c>
    </row>
    <row r="1614" spans="1:2">
      <c r="A1614" s="1">
        <v>44719</v>
      </c>
      <c r="B1614">
        <v>24.02</v>
      </c>
    </row>
    <row r="1615" spans="1:2">
      <c r="A1615" s="1">
        <v>44720</v>
      </c>
      <c r="B1615">
        <v>23.96</v>
      </c>
    </row>
    <row r="1616" spans="1:2">
      <c r="A1616" s="1">
        <v>44721</v>
      </c>
      <c r="B1616">
        <v>26.09</v>
      </c>
    </row>
    <row r="1617" spans="1:2">
      <c r="A1617" s="1">
        <v>44722</v>
      </c>
      <c r="B1617">
        <v>27.75</v>
      </c>
    </row>
    <row r="1618" spans="1:2">
      <c r="A1618" s="1">
        <v>44725</v>
      </c>
      <c r="B1618">
        <v>34.020000000000003</v>
      </c>
    </row>
    <row r="1619" spans="1:2">
      <c r="A1619" s="1">
        <v>44726</v>
      </c>
      <c r="B1619">
        <v>32.69</v>
      </c>
    </row>
    <row r="1620" spans="1:2">
      <c r="A1620" s="1">
        <v>44727</v>
      </c>
      <c r="B1620">
        <v>29.62</v>
      </c>
    </row>
    <row r="1621" spans="1:2">
      <c r="A1621" s="1">
        <v>44728</v>
      </c>
      <c r="B1621">
        <v>32.950000000000003</v>
      </c>
    </row>
    <row r="1622" spans="1:2">
      <c r="A1622" s="1">
        <v>44729</v>
      </c>
      <c r="B1622">
        <v>31.13</v>
      </c>
    </row>
    <row r="1623" spans="1:2">
      <c r="A1623" s="1">
        <v>44732</v>
      </c>
      <c r="B1623">
        <v>31.03</v>
      </c>
    </row>
    <row r="1624" spans="1:2">
      <c r="A1624" s="1">
        <v>44733</v>
      </c>
      <c r="B1624">
        <v>30.19</v>
      </c>
    </row>
    <row r="1625" spans="1:2">
      <c r="A1625" s="1">
        <v>44734</v>
      </c>
      <c r="B1625">
        <v>28.95</v>
      </c>
    </row>
    <row r="1626" spans="1:2">
      <c r="A1626" s="1">
        <v>44735</v>
      </c>
      <c r="B1626">
        <v>29.05</v>
      </c>
    </row>
    <row r="1627" spans="1:2">
      <c r="A1627" s="1">
        <v>44736</v>
      </c>
      <c r="B1627">
        <v>27.23</v>
      </c>
    </row>
    <row r="1628" spans="1:2">
      <c r="A1628" s="1">
        <v>44739</v>
      </c>
      <c r="B1628">
        <v>26.95</v>
      </c>
    </row>
    <row r="1629" spans="1:2">
      <c r="A1629" s="1">
        <v>44740</v>
      </c>
      <c r="B1629">
        <v>28.36</v>
      </c>
    </row>
    <row r="1630" spans="1:2">
      <c r="A1630" s="1">
        <v>44741</v>
      </c>
      <c r="B1630">
        <v>28.16</v>
      </c>
    </row>
    <row r="1631" spans="1:2">
      <c r="A1631" s="1">
        <v>44742</v>
      </c>
      <c r="B1631">
        <v>28.71</v>
      </c>
    </row>
    <row r="1632" spans="1:2">
      <c r="A1632" s="1">
        <v>44743</v>
      </c>
      <c r="B1632">
        <v>26.7</v>
      </c>
    </row>
    <row r="1633" spans="1:2">
      <c r="A1633" s="1">
        <v>44746</v>
      </c>
      <c r="B1633">
        <v>27.53</v>
      </c>
    </row>
    <row r="1634" spans="1:2">
      <c r="A1634" s="1">
        <v>44747</v>
      </c>
      <c r="B1634">
        <v>27.54</v>
      </c>
    </row>
    <row r="1635" spans="1:2">
      <c r="A1635" s="1">
        <v>44748</v>
      </c>
      <c r="B1635">
        <v>26.73</v>
      </c>
    </row>
    <row r="1636" spans="1:2">
      <c r="A1636" s="1">
        <v>44749</v>
      </c>
      <c r="B1636">
        <v>26.08</v>
      </c>
    </row>
    <row r="1637" spans="1:2">
      <c r="A1637" s="1">
        <v>44750</v>
      </c>
      <c r="B1637">
        <v>24.64</v>
      </c>
    </row>
    <row r="1638" spans="1:2">
      <c r="A1638" s="1">
        <v>44753</v>
      </c>
      <c r="B1638">
        <v>26.17</v>
      </c>
    </row>
    <row r="1639" spans="1:2">
      <c r="A1639" s="1">
        <v>44754</v>
      </c>
      <c r="B1639">
        <v>27.29</v>
      </c>
    </row>
    <row r="1640" spans="1:2">
      <c r="A1640" s="1">
        <v>44755</v>
      </c>
      <c r="B1640">
        <v>26.82</v>
      </c>
    </row>
    <row r="1641" spans="1:2">
      <c r="A1641" s="1">
        <v>44756</v>
      </c>
      <c r="B1641">
        <v>26.4</v>
      </c>
    </row>
    <row r="1642" spans="1:2">
      <c r="A1642" s="1">
        <v>44757</v>
      </c>
      <c r="B1642">
        <v>24.23</v>
      </c>
    </row>
    <row r="1643" spans="1:2">
      <c r="A1643" s="1">
        <v>44760</v>
      </c>
      <c r="B1643">
        <v>25.3</v>
      </c>
    </row>
    <row r="1644" spans="1:2">
      <c r="A1644" s="1">
        <v>44761</v>
      </c>
      <c r="B1644">
        <v>24.5</v>
      </c>
    </row>
    <row r="1645" spans="1:2">
      <c r="A1645" s="1">
        <v>44762</v>
      </c>
      <c r="B1645">
        <v>23.88</v>
      </c>
    </row>
    <row r="1646" spans="1:2">
      <c r="A1646" s="1">
        <v>44763</v>
      </c>
      <c r="B1646">
        <v>23.11</v>
      </c>
    </row>
    <row r="1647" spans="1:2">
      <c r="A1647" s="1">
        <v>44764</v>
      </c>
      <c r="B1647">
        <v>23.03</v>
      </c>
    </row>
    <row r="1648" spans="1:2">
      <c r="A1648" s="1">
        <v>44767</v>
      </c>
      <c r="B1648">
        <v>23.36</v>
      </c>
    </row>
    <row r="1649" spans="1:2">
      <c r="A1649" s="1">
        <v>44768</v>
      </c>
      <c r="B1649">
        <v>24.69</v>
      </c>
    </row>
    <row r="1650" spans="1:2">
      <c r="A1650" s="1">
        <v>44769</v>
      </c>
      <c r="B1650">
        <v>23.24</v>
      </c>
    </row>
    <row r="1651" spans="1:2">
      <c r="A1651" s="1">
        <v>44770</v>
      </c>
      <c r="B1651">
        <v>22.33</v>
      </c>
    </row>
    <row r="1652" spans="1:2">
      <c r="A1652" s="1">
        <v>44771</v>
      </c>
      <c r="B1652">
        <v>21.33</v>
      </c>
    </row>
    <row r="1653" spans="1:2">
      <c r="A1653" s="1">
        <v>44774</v>
      </c>
      <c r="B1653">
        <v>22.84</v>
      </c>
    </row>
    <row r="1654" spans="1:2">
      <c r="A1654" s="1">
        <v>44775</v>
      </c>
      <c r="B1654">
        <v>23.93</v>
      </c>
    </row>
    <row r="1655" spans="1:2">
      <c r="A1655" s="1">
        <v>44776</v>
      </c>
      <c r="B1655">
        <v>21.95</v>
      </c>
    </row>
    <row r="1656" spans="1:2">
      <c r="A1656" s="1">
        <v>44777</v>
      </c>
      <c r="B1656">
        <v>21.44</v>
      </c>
    </row>
    <row r="1657" spans="1:2">
      <c r="A1657" s="1">
        <v>44778</v>
      </c>
      <c r="B1657">
        <v>21.15</v>
      </c>
    </row>
    <row r="1658" spans="1:2">
      <c r="A1658" s="1">
        <v>44781</v>
      </c>
      <c r="B1658">
        <v>21.29</v>
      </c>
    </row>
    <row r="1659" spans="1:2">
      <c r="A1659" s="1">
        <v>44782</v>
      </c>
      <c r="B1659">
        <v>21.77</v>
      </c>
    </row>
    <row r="1660" spans="1:2">
      <c r="A1660" s="1">
        <v>44783</v>
      </c>
      <c r="B1660">
        <v>19.739999999999998</v>
      </c>
    </row>
    <row r="1661" spans="1:2">
      <c r="A1661" s="1">
        <v>44784</v>
      </c>
      <c r="B1661">
        <v>20.2</v>
      </c>
    </row>
    <row r="1662" spans="1:2">
      <c r="A1662" s="1">
        <v>44785</v>
      </c>
      <c r="B1662">
        <v>19.53</v>
      </c>
    </row>
    <row r="1663" spans="1:2">
      <c r="A1663" s="1">
        <v>44788</v>
      </c>
      <c r="B1663">
        <v>19.95</v>
      </c>
    </row>
    <row r="1664" spans="1:2">
      <c r="A1664" s="1">
        <v>44789</v>
      </c>
      <c r="B1664">
        <v>19.690000000000001</v>
      </c>
    </row>
    <row r="1665" spans="1:2">
      <c r="A1665" s="1">
        <v>44790</v>
      </c>
      <c r="B1665">
        <v>19.899999999999999</v>
      </c>
    </row>
    <row r="1666" spans="1:2">
      <c r="A1666" s="1">
        <v>44791</v>
      </c>
      <c r="B1666">
        <v>19.559999999999999</v>
      </c>
    </row>
    <row r="1667" spans="1:2">
      <c r="A1667" s="1">
        <v>44792</v>
      </c>
      <c r="B1667">
        <v>20.6</v>
      </c>
    </row>
    <row r="1668" spans="1:2">
      <c r="A1668" s="1">
        <v>44795</v>
      </c>
      <c r="B1668">
        <v>23.8</v>
      </c>
    </row>
    <row r="1669" spans="1:2">
      <c r="A1669" s="1">
        <v>44796</v>
      </c>
      <c r="B1669">
        <v>24.11</v>
      </c>
    </row>
    <row r="1670" spans="1:2">
      <c r="A1670" s="1">
        <v>44797</v>
      </c>
      <c r="B1670">
        <v>22.82</v>
      </c>
    </row>
    <row r="1671" spans="1:2">
      <c r="A1671" s="1">
        <v>44798</v>
      </c>
      <c r="B1671">
        <v>21.78</v>
      </c>
    </row>
    <row r="1672" spans="1:2">
      <c r="A1672" s="1">
        <v>44799</v>
      </c>
      <c r="B1672">
        <v>25.56</v>
      </c>
    </row>
    <row r="1673" spans="1:2">
      <c r="A1673" s="1">
        <v>44802</v>
      </c>
      <c r="B1673">
        <v>26.21</v>
      </c>
    </row>
    <row r="1674" spans="1:2">
      <c r="A1674" s="1">
        <v>44803</v>
      </c>
      <c r="B1674">
        <v>26.21</v>
      </c>
    </row>
    <row r="1675" spans="1:2">
      <c r="A1675" s="1">
        <v>44804</v>
      </c>
      <c r="B1675">
        <v>25.87</v>
      </c>
    </row>
    <row r="1676" spans="1:2">
      <c r="A1676" s="1">
        <v>44805</v>
      </c>
      <c r="B1676">
        <v>25.56</v>
      </c>
    </row>
    <row r="1677" spans="1:2">
      <c r="A1677" s="1">
        <v>44806</v>
      </c>
      <c r="B1677">
        <v>25.47</v>
      </c>
    </row>
    <row r="1678" spans="1:2">
      <c r="A1678" s="1">
        <v>44809</v>
      </c>
      <c r="B1678">
        <v>25.99</v>
      </c>
    </row>
    <row r="1679" spans="1:2">
      <c r="A1679" s="1">
        <v>44810</v>
      </c>
      <c r="B1679">
        <v>26.91</v>
      </c>
    </row>
    <row r="1680" spans="1:2">
      <c r="A1680" s="1">
        <v>44811</v>
      </c>
      <c r="B1680">
        <v>24.64</v>
      </c>
    </row>
    <row r="1681" spans="1:2">
      <c r="A1681" s="1">
        <v>44812</v>
      </c>
      <c r="B1681">
        <v>23.61</v>
      </c>
    </row>
    <row r="1682" spans="1:2">
      <c r="A1682" s="1">
        <v>44813</v>
      </c>
      <c r="B1682">
        <v>22.79</v>
      </c>
    </row>
    <row r="1683" spans="1:2">
      <c r="A1683" s="1">
        <v>44816</v>
      </c>
      <c r="B1683">
        <v>23.87</v>
      </c>
    </row>
    <row r="1684" spans="1:2">
      <c r="A1684" s="1">
        <v>44817</v>
      </c>
      <c r="B1684">
        <v>27.27</v>
      </c>
    </row>
    <row r="1685" spans="1:2">
      <c r="A1685" s="1">
        <v>44818</v>
      </c>
      <c r="B1685">
        <v>26.16</v>
      </c>
    </row>
    <row r="1686" spans="1:2">
      <c r="A1686" s="1">
        <v>44819</v>
      </c>
      <c r="B1686">
        <v>26.27</v>
      </c>
    </row>
    <row r="1687" spans="1:2">
      <c r="A1687" s="1">
        <v>44820</v>
      </c>
      <c r="B1687">
        <v>26.3</v>
      </c>
    </row>
    <row r="1688" spans="1:2">
      <c r="A1688" s="1">
        <v>44823</v>
      </c>
      <c r="B1688">
        <v>25.76</v>
      </c>
    </row>
    <row r="1689" spans="1:2">
      <c r="A1689" s="1">
        <v>44824</v>
      </c>
      <c r="B1689">
        <v>27.16</v>
      </c>
    </row>
    <row r="1690" spans="1:2">
      <c r="A1690" s="1">
        <v>44825</v>
      </c>
      <c r="B1690">
        <v>27.99</v>
      </c>
    </row>
    <row r="1691" spans="1:2">
      <c r="A1691" s="1">
        <v>44826</v>
      </c>
      <c r="B1691">
        <v>27.35</v>
      </c>
    </row>
    <row r="1692" spans="1:2">
      <c r="A1692" s="1">
        <v>44827</v>
      </c>
      <c r="B1692">
        <v>29.92</v>
      </c>
    </row>
    <row r="1693" spans="1:2">
      <c r="A1693" s="1">
        <v>44830</v>
      </c>
      <c r="B1693">
        <v>32.26</v>
      </c>
    </row>
    <row r="1694" spans="1:2">
      <c r="A1694" s="1">
        <v>44831</v>
      </c>
      <c r="B1694">
        <v>32.6</v>
      </c>
    </row>
    <row r="1695" spans="1:2">
      <c r="A1695" s="1">
        <v>44832</v>
      </c>
      <c r="B1695">
        <v>30.18</v>
      </c>
    </row>
    <row r="1696" spans="1:2">
      <c r="A1696" s="1">
        <v>44833</v>
      </c>
      <c r="B1696">
        <v>31.84</v>
      </c>
    </row>
    <row r="1697" spans="1:2">
      <c r="A1697" s="1">
        <v>44834</v>
      </c>
      <c r="B1697">
        <v>31.62</v>
      </c>
    </row>
    <row r="1698" spans="1:2">
      <c r="A1698" s="1">
        <v>44837</v>
      </c>
      <c r="B1698">
        <v>30.1</v>
      </c>
    </row>
    <row r="1699" spans="1:2">
      <c r="A1699" s="1">
        <v>44838</v>
      </c>
      <c r="B1699">
        <v>29.07</v>
      </c>
    </row>
    <row r="1700" spans="1:2">
      <c r="A1700" s="1">
        <v>44839</v>
      </c>
      <c r="B1700">
        <v>28.55</v>
      </c>
    </row>
    <row r="1701" spans="1:2">
      <c r="A1701" s="1">
        <v>44840</v>
      </c>
      <c r="B1701">
        <v>30.52</v>
      </c>
    </row>
    <row r="1702" spans="1:2">
      <c r="A1702" s="1">
        <v>44841</v>
      </c>
      <c r="B1702">
        <v>31.36</v>
      </c>
    </row>
    <row r="1703" spans="1:2">
      <c r="A1703" s="1">
        <v>44844</v>
      </c>
      <c r="B1703">
        <v>32.450000000000003</v>
      </c>
    </row>
    <row r="1704" spans="1:2">
      <c r="A1704" s="1">
        <v>44845</v>
      </c>
      <c r="B1704">
        <v>33.630000000000003</v>
      </c>
    </row>
    <row r="1705" spans="1:2">
      <c r="A1705" s="1">
        <v>44846</v>
      </c>
      <c r="B1705">
        <v>33.57</v>
      </c>
    </row>
    <row r="1706" spans="1:2">
      <c r="A1706" s="1">
        <v>44847</v>
      </c>
      <c r="B1706">
        <v>31.94</v>
      </c>
    </row>
    <row r="1707" spans="1:2">
      <c r="A1707" s="1">
        <v>44848</v>
      </c>
      <c r="B1707">
        <v>32.020000000000003</v>
      </c>
    </row>
    <row r="1708" spans="1:2">
      <c r="A1708" s="1">
        <v>44851</v>
      </c>
      <c r="B1708">
        <v>31.37</v>
      </c>
    </row>
    <row r="1709" spans="1:2">
      <c r="A1709" s="1">
        <v>44852</v>
      </c>
      <c r="B1709">
        <v>30.5</v>
      </c>
    </row>
    <row r="1710" spans="1:2">
      <c r="A1710" s="1">
        <v>44853</v>
      </c>
      <c r="B1710">
        <v>30.76</v>
      </c>
    </row>
    <row r="1711" spans="1:2">
      <c r="A1711" s="1">
        <v>44854</v>
      </c>
      <c r="B1711">
        <v>29.98</v>
      </c>
    </row>
    <row r="1712" spans="1:2">
      <c r="A1712" s="1">
        <v>44855</v>
      </c>
      <c r="B1712">
        <v>29.69</v>
      </c>
    </row>
    <row r="1713" spans="1:2">
      <c r="A1713" s="1">
        <v>44858</v>
      </c>
      <c r="B1713">
        <v>29.85</v>
      </c>
    </row>
    <row r="1714" spans="1:2">
      <c r="A1714" s="1">
        <v>44859</v>
      </c>
      <c r="B1714">
        <v>28.46</v>
      </c>
    </row>
    <row r="1715" spans="1:2">
      <c r="A1715" s="1">
        <v>44860</v>
      </c>
      <c r="B1715">
        <v>27.28</v>
      </c>
    </row>
    <row r="1716" spans="1:2">
      <c r="A1716" s="1">
        <v>44861</v>
      </c>
      <c r="B1716">
        <v>27.39</v>
      </c>
    </row>
    <row r="1717" spans="1:2">
      <c r="A1717" s="1">
        <v>44862</v>
      </c>
      <c r="B1717">
        <v>25.75</v>
      </c>
    </row>
    <row r="1718" spans="1:2">
      <c r="A1718" s="1">
        <v>44865</v>
      </c>
      <c r="B1718">
        <v>25.88</v>
      </c>
    </row>
    <row r="1719" spans="1:2">
      <c r="A1719" s="1">
        <v>44866</v>
      </c>
      <c r="B1719">
        <v>25.81</v>
      </c>
    </row>
    <row r="1720" spans="1:2">
      <c r="A1720" s="1">
        <v>44867</v>
      </c>
      <c r="B1720">
        <v>25.86</v>
      </c>
    </row>
    <row r="1721" spans="1:2">
      <c r="A1721" s="1">
        <v>44868</v>
      </c>
      <c r="B1721">
        <v>25.3</v>
      </c>
    </row>
    <row r="1722" spans="1:2">
      <c r="A1722" s="1">
        <v>44869</v>
      </c>
      <c r="B1722">
        <v>24.55</v>
      </c>
    </row>
    <row r="1723" spans="1:2">
      <c r="A1723" s="1">
        <v>44872</v>
      </c>
      <c r="B1723">
        <v>24.35</v>
      </c>
    </row>
    <row r="1724" spans="1:2">
      <c r="A1724" s="1">
        <v>44873</v>
      </c>
      <c r="B1724">
        <v>25.54</v>
      </c>
    </row>
    <row r="1725" spans="1:2">
      <c r="A1725" s="1">
        <v>44874</v>
      </c>
      <c r="B1725">
        <v>26.09</v>
      </c>
    </row>
    <row r="1726" spans="1:2">
      <c r="A1726" s="1">
        <v>44875</v>
      </c>
      <c r="B1726">
        <v>23.53</v>
      </c>
    </row>
    <row r="1727" spans="1:2">
      <c r="A1727" s="1">
        <v>44876</v>
      </c>
      <c r="B1727">
        <v>22.52</v>
      </c>
    </row>
    <row r="1728" spans="1:2">
      <c r="A1728" s="1">
        <v>44879</v>
      </c>
      <c r="B1728">
        <v>23.73</v>
      </c>
    </row>
    <row r="1729" spans="1:2">
      <c r="A1729" s="1">
        <v>44880</v>
      </c>
      <c r="B1729">
        <v>24.54</v>
      </c>
    </row>
    <row r="1730" spans="1:2">
      <c r="A1730" s="1">
        <v>44881</v>
      </c>
      <c r="B1730">
        <v>24.11</v>
      </c>
    </row>
    <row r="1731" spans="1:2">
      <c r="A1731" s="1">
        <v>44882</v>
      </c>
      <c r="B1731">
        <v>23.93</v>
      </c>
    </row>
    <row r="1732" spans="1:2">
      <c r="A1732" s="1">
        <v>44883</v>
      </c>
      <c r="B1732">
        <v>23.12</v>
      </c>
    </row>
    <row r="1733" spans="1:2">
      <c r="A1733" s="1">
        <v>44886</v>
      </c>
      <c r="B1733">
        <v>22.36</v>
      </c>
    </row>
    <row r="1734" spans="1:2">
      <c r="A1734" s="1">
        <v>44887</v>
      </c>
      <c r="B1734">
        <v>21.29</v>
      </c>
    </row>
    <row r="1735" spans="1:2">
      <c r="A1735" s="1">
        <v>44888</v>
      </c>
      <c r="B1735">
        <v>20.350000000000001</v>
      </c>
    </row>
    <row r="1736" spans="1:2">
      <c r="A1736" s="1">
        <v>44889</v>
      </c>
      <c r="B1736">
        <v>20.420000000000002</v>
      </c>
    </row>
    <row r="1737" spans="1:2">
      <c r="A1737" s="1">
        <v>44890</v>
      </c>
      <c r="B1737">
        <v>20.5</v>
      </c>
    </row>
    <row r="1738" spans="1:2">
      <c r="A1738" s="1">
        <v>44893</v>
      </c>
      <c r="B1738">
        <v>22.21</v>
      </c>
    </row>
    <row r="1739" spans="1:2">
      <c r="A1739" s="1">
        <v>44894</v>
      </c>
      <c r="B1739">
        <v>21.89</v>
      </c>
    </row>
    <row r="1740" spans="1:2">
      <c r="A1740" s="1">
        <v>44895</v>
      </c>
      <c r="B1740">
        <v>20.58</v>
      </c>
    </row>
    <row r="1741" spans="1:2">
      <c r="A1741" s="1">
        <v>44896</v>
      </c>
      <c r="B1741">
        <v>19.84</v>
      </c>
    </row>
    <row r="1742" spans="1:2">
      <c r="A1742" s="1">
        <v>44897</v>
      </c>
      <c r="B1742">
        <v>19.059999999999999</v>
      </c>
    </row>
    <row r="1743" spans="1:2">
      <c r="A1743" s="1">
        <v>44900</v>
      </c>
      <c r="B1743">
        <v>20.75</v>
      </c>
    </row>
    <row r="1744" spans="1:2">
      <c r="A1744" s="1">
        <v>44901</v>
      </c>
      <c r="B1744">
        <v>22.17</v>
      </c>
    </row>
    <row r="1745" spans="1:2">
      <c r="A1745" s="1">
        <v>44902</v>
      </c>
      <c r="B1745">
        <v>22.68</v>
      </c>
    </row>
    <row r="1746" spans="1:2">
      <c r="A1746" s="1">
        <v>44903</v>
      </c>
      <c r="B1746">
        <v>22.29</v>
      </c>
    </row>
    <row r="1747" spans="1:2">
      <c r="A1747" s="1">
        <v>44904</v>
      </c>
      <c r="B1747">
        <v>22.83</v>
      </c>
    </row>
    <row r="1748" spans="1:2">
      <c r="A1748" s="1">
        <v>44907</v>
      </c>
      <c r="B1748">
        <v>25</v>
      </c>
    </row>
    <row r="1749" spans="1:2">
      <c r="A1749" s="1">
        <v>44908</v>
      </c>
      <c r="B1749">
        <v>22.55</v>
      </c>
    </row>
    <row r="1750" spans="1:2">
      <c r="A1750" s="1">
        <v>44909</v>
      </c>
      <c r="B1750">
        <v>21.14</v>
      </c>
    </row>
    <row r="1751" spans="1:2">
      <c r="A1751" s="1">
        <v>44910</v>
      </c>
      <c r="B1751">
        <v>22.83</v>
      </c>
    </row>
    <row r="1752" spans="1:2">
      <c r="A1752" s="1">
        <v>44911</v>
      </c>
      <c r="B1752">
        <v>22.62</v>
      </c>
    </row>
    <row r="1753" spans="1:2">
      <c r="A1753" s="1">
        <v>44914</v>
      </c>
      <c r="B1753">
        <v>22.42</v>
      </c>
    </row>
    <row r="1754" spans="1:2">
      <c r="A1754" s="1">
        <v>44915</v>
      </c>
      <c r="B1754">
        <v>21.48</v>
      </c>
    </row>
    <row r="1755" spans="1:2">
      <c r="A1755" s="1">
        <v>44916</v>
      </c>
      <c r="B1755">
        <v>20.07</v>
      </c>
    </row>
    <row r="1756" spans="1:2">
      <c r="A1756" s="1">
        <v>44917</v>
      </c>
      <c r="B1756">
        <v>21.97</v>
      </c>
    </row>
    <row r="1757" spans="1:2">
      <c r="A1757" s="1">
        <v>44918</v>
      </c>
      <c r="B1757">
        <v>20.87</v>
      </c>
    </row>
    <row r="1758" spans="1:2">
      <c r="A1758" s="1">
        <v>44921</v>
      </c>
    </row>
    <row r="1759" spans="1:2">
      <c r="A1759" s="1">
        <v>44922</v>
      </c>
      <c r="B1759">
        <v>21.65</v>
      </c>
    </row>
    <row r="1760" spans="1:2">
      <c r="A1760" s="1">
        <v>44923</v>
      </c>
      <c r="B1760">
        <v>22.14</v>
      </c>
    </row>
    <row r="1761" spans="1:2">
      <c r="A1761" s="1">
        <v>44924</v>
      </c>
      <c r="B1761">
        <v>21.44</v>
      </c>
    </row>
    <row r="1762" spans="1:2">
      <c r="A1762" s="1">
        <v>44925</v>
      </c>
      <c r="B1762">
        <v>21.67</v>
      </c>
    </row>
    <row r="1763" spans="1:2">
      <c r="A1763" s="1">
        <v>44928</v>
      </c>
    </row>
    <row r="1764" spans="1:2">
      <c r="A1764" s="1">
        <v>44929</v>
      </c>
      <c r="B1764">
        <v>22.9</v>
      </c>
    </row>
    <row r="1765" spans="1:2">
      <c r="A1765" s="1">
        <v>44930</v>
      </c>
      <c r="B1765">
        <v>22.01</v>
      </c>
    </row>
    <row r="1766" spans="1:2">
      <c r="A1766" s="1">
        <v>44931</v>
      </c>
      <c r="B1766">
        <v>22.46</v>
      </c>
    </row>
    <row r="1767" spans="1:2">
      <c r="A1767" s="1">
        <v>44932</v>
      </c>
      <c r="B1767">
        <v>21.13</v>
      </c>
    </row>
    <row r="1768" spans="1:2">
      <c r="A1768" s="1">
        <v>44935</v>
      </c>
      <c r="B1768">
        <v>21.97</v>
      </c>
    </row>
    <row r="1769" spans="1:2">
      <c r="A1769" s="1">
        <v>44936</v>
      </c>
      <c r="B1769">
        <v>20.58</v>
      </c>
    </row>
    <row r="1770" spans="1:2">
      <c r="A1770" s="1">
        <v>44937</v>
      </c>
      <c r="B1770">
        <v>21.09</v>
      </c>
    </row>
    <row r="1771" spans="1:2">
      <c r="A1771" s="1">
        <v>44938</v>
      </c>
      <c r="B1771">
        <v>18.829999999999998</v>
      </c>
    </row>
    <row r="1772" spans="1:2">
      <c r="A1772" s="1">
        <v>44939</v>
      </c>
      <c r="B1772">
        <v>18.350000000000001</v>
      </c>
    </row>
    <row r="1773" spans="1:2">
      <c r="A1773" s="1">
        <v>44942</v>
      </c>
      <c r="B1773">
        <v>19.489999999999998</v>
      </c>
    </row>
    <row r="1774" spans="1:2">
      <c r="A1774" s="1">
        <v>44943</v>
      </c>
      <c r="B1774">
        <v>19.36</v>
      </c>
    </row>
    <row r="1775" spans="1:2">
      <c r="A1775" s="1">
        <v>44944</v>
      </c>
      <c r="B1775">
        <v>20.34</v>
      </c>
    </row>
    <row r="1776" spans="1:2">
      <c r="A1776" s="1">
        <v>44945</v>
      </c>
      <c r="B1776">
        <v>20.52</v>
      </c>
    </row>
    <row r="1777" spans="1:2">
      <c r="A1777" s="1">
        <v>44946</v>
      </c>
      <c r="B1777">
        <v>19.850000000000001</v>
      </c>
    </row>
    <row r="1778" spans="1:2">
      <c r="A1778" s="1">
        <v>44949</v>
      </c>
      <c r="B1778">
        <v>19.809999999999999</v>
      </c>
    </row>
    <row r="1779" spans="1:2">
      <c r="A1779" s="1">
        <v>44950</v>
      </c>
      <c r="B1779">
        <v>19.2</v>
      </c>
    </row>
    <row r="1780" spans="1:2">
      <c r="A1780" s="1">
        <v>44951</v>
      </c>
      <c r="B1780">
        <v>19.079999999999998</v>
      </c>
    </row>
    <row r="1781" spans="1:2">
      <c r="A1781" s="1">
        <v>44952</v>
      </c>
      <c r="B1781">
        <v>18.73</v>
      </c>
    </row>
    <row r="1782" spans="1:2">
      <c r="A1782" s="1">
        <v>44953</v>
      </c>
      <c r="B1782">
        <v>18.510000000000002</v>
      </c>
    </row>
    <row r="1783" spans="1:2">
      <c r="A1783" s="1">
        <v>44956</v>
      </c>
      <c r="B1783">
        <v>19.940000000000001</v>
      </c>
    </row>
    <row r="1784" spans="1:2">
      <c r="A1784" s="1">
        <v>44957</v>
      </c>
      <c r="B1784">
        <v>19.399999999999999</v>
      </c>
    </row>
    <row r="1785" spans="1:2">
      <c r="A1785" s="1">
        <v>44958</v>
      </c>
      <c r="B1785">
        <v>17.87</v>
      </c>
    </row>
    <row r="1786" spans="1:2">
      <c r="A1786" s="1">
        <v>44959</v>
      </c>
      <c r="B1786">
        <v>18.73</v>
      </c>
    </row>
    <row r="1787" spans="1:2">
      <c r="A1787" s="1">
        <v>44960</v>
      </c>
      <c r="B1787">
        <v>18.329999999999998</v>
      </c>
    </row>
    <row r="1788" spans="1:2">
      <c r="A1788" s="1">
        <v>44963</v>
      </c>
      <c r="B1788">
        <v>19.43</v>
      </c>
    </row>
    <row r="1789" spans="1:2">
      <c r="A1789" s="1">
        <v>44964</v>
      </c>
      <c r="B1789">
        <v>18.66</v>
      </c>
    </row>
    <row r="1790" spans="1:2">
      <c r="A1790" s="1">
        <v>44965</v>
      </c>
      <c r="B1790">
        <v>19.63</v>
      </c>
    </row>
    <row r="1791" spans="1:2">
      <c r="A1791" s="1">
        <v>44966</v>
      </c>
      <c r="B1791">
        <v>20.71</v>
      </c>
    </row>
    <row r="1792" spans="1:2">
      <c r="A1792" s="1">
        <v>44967</v>
      </c>
      <c r="B1792">
        <v>20.53</v>
      </c>
    </row>
    <row r="1793" spans="1:2">
      <c r="A1793" s="1">
        <v>44970</v>
      </c>
      <c r="B1793">
        <v>20.34</v>
      </c>
    </row>
    <row r="1794" spans="1:2">
      <c r="A1794" s="1">
        <v>44971</v>
      </c>
      <c r="B1794">
        <v>18.91</v>
      </c>
    </row>
    <row r="1795" spans="1:2">
      <c r="A1795" s="1">
        <v>44972</v>
      </c>
      <c r="B1795">
        <v>18.23</v>
      </c>
    </row>
    <row r="1796" spans="1:2">
      <c r="A1796" s="1">
        <v>44973</v>
      </c>
      <c r="B1796">
        <v>20.170000000000002</v>
      </c>
    </row>
    <row r="1797" spans="1:2">
      <c r="A1797" s="1">
        <v>44974</v>
      </c>
      <c r="B1797">
        <v>20.02</v>
      </c>
    </row>
    <row r="1798" spans="1:2">
      <c r="A1798" s="1">
        <v>44977</v>
      </c>
      <c r="B1798">
        <v>21.23</v>
      </c>
    </row>
    <row r="1799" spans="1:2">
      <c r="A1799" s="1">
        <v>44978</v>
      </c>
      <c r="B1799">
        <v>22.87</v>
      </c>
    </row>
    <row r="1800" spans="1:2">
      <c r="A1800" s="1">
        <v>44979</v>
      </c>
      <c r="B1800">
        <v>22.29</v>
      </c>
    </row>
    <row r="1801" spans="1:2">
      <c r="A1801" s="1">
        <v>44980</v>
      </c>
      <c r="B1801">
        <v>21.14</v>
      </c>
    </row>
    <row r="1802" spans="1:2">
      <c r="A1802" s="1">
        <v>44981</v>
      </c>
      <c r="B1802">
        <v>21.67</v>
      </c>
    </row>
    <row r="1803" spans="1:2">
      <c r="A1803" s="1">
        <v>44984</v>
      </c>
      <c r="B1803">
        <v>20.95</v>
      </c>
    </row>
    <row r="1804" spans="1:2">
      <c r="A1804" s="1">
        <v>44985</v>
      </c>
      <c r="B1804">
        <v>20.7</v>
      </c>
    </row>
    <row r="1805" spans="1:2">
      <c r="A1805" s="1">
        <v>44986</v>
      </c>
      <c r="B1805">
        <v>20.58</v>
      </c>
    </row>
    <row r="1806" spans="1:2">
      <c r="A1806" s="1">
        <v>44987</v>
      </c>
      <c r="B1806">
        <v>19.59</v>
      </c>
    </row>
    <row r="1807" spans="1:2">
      <c r="A1807" s="1">
        <v>44988</v>
      </c>
      <c r="B1807">
        <v>18.489999999999998</v>
      </c>
    </row>
    <row r="1808" spans="1:2">
      <c r="A1808" s="1">
        <v>44991</v>
      </c>
      <c r="B1808">
        <v>18.61</v>
      </c>
    </row>
    <row r="1809" spans="1:2">
      <c r="A1809" s="1">
        <v>44992</v>
      </c>
      <c r="B1809">
        <v>19.59</v>
      </c>
    </row>
    <row r="1810" spans="1:2">
      <c r="A1810" s="1">
        <v>44993</v>
      </c>
      <c r="B1810">
        <v>19.11</v>
      </c>
    </row>
    <row r="1811" spans="1:2">
      <c r="A1811" s="1">
        <v>44994</v>
      </c>
      <c r="B1811">
        <v>22.61</v>
      </c>
    </row>
    <row r="1812" spans="1:2">
      <c r="A1812" s="1">
        <v>44995</v>
      </c>
      <c r="B1812">
        <v>24.8</v>
      </c>
    </row>
    <row r="1813" spans="1:2">
      <c r="A1813" s="1">
        <v>44998</v>
      </c>
      <c r="B1813">
        <v>26.52</v>
      </c>
    </row>
    <row r="1814" spans="1:2">
      <c r="A1814" s="1">
        <v>44999</v>
      </c>
      <c r="B1814">
        <v>23.73</v>
      </c>
    </row>
    <row r="1815" spans="1:2">
      <c r="A1815" s="1">
        <v>45000</v>
      </c>
      <c r="B1815">
        <v>26.14</v>
      </c>
    </row>
    <row r="1816" spans="1:2">
      <c r="A1816" s="1">
        <v>45001</v>
      </c>
      <c r="B1816">
        <v>22.99</v>
      </c>
    </row>
    <row r="1817" spans="1:2">
      <c r="A1817" s="1">
        <v>45002</v>
      </c>
      <c r="B1817">
        <v>25.51</v>
      </c>
    </row>
    <row r="1818" spans="1:2">
      <c r="A1818" s="1">
        <v>45005</v>
      </c>
      <c r="B1818">
        <v>24.15</v>
      </c>
    </row>
    <row r="1819" spans="1:2">
      <c r="A1819" s="1">
        <v>45006</v>
      </c>
      <c r="B1819">
        <v>21.38</v>
      </c>
    </row>
    <row r="1820" spans="1:2">
      <c r="A1820" s="1">
        <v>45007</v>
      </c>
      <c r="B1820">
        <v>22.26</v>
      </c>
    </row>
    <row r="1821" spans="1:2">
      <c r="A1821" s="1">
        <v>45008</v>
      </c>
      <c r="B1821">
        <v>22.61</v>
      </c>
    </row>
    <row r="1822" spans="1:2">
      <c r="A1822" s="1">
        <v>45009</v>
      </c>
      <c r="B1822">
        <v>21.74</v>
      </c>
    </row>
    <row r="1823" spans="1:2">
      <c r="A1823" s="1">
        <v>45012</v>
      </c>
      <c r="B1823">
        <v>20.6</v>
      </c>
    </row>
    <row r="1824" spans="1:2">
      <c r="A1824" s="1">
        <v>45013</v>
      </c>
      <c r="B1824">
        <v>19.97</v>
      </c>
    </row>
    <row r="1825" spans="1:2">
      <c r="A1825" s="1">
        <v>45014</v>
      </c>
      <c r="B1825">
        <v>19.12</v>
      </c>
    </row>
    <row r="1826" spans="1:2">
      <c r="A1826" s="1">
        <v>45015</v>
      </c>
      <c r="B1826">
        <v>19.02</v>
      </c>
    </row>
    <row r="1827" spans="1:2">
      <c r="A1827" s="1">
        <v>45016</v>
      </c>
      <c r="B1827">
        <v>18.7</v>
      </c>
    </row>
    <row r="1828" spans="1:2">
      <c r="A1828" s="1">
        <v>45019</v>
      </c>
      <c r="B1828">
        <v>18.55</v>
      </c>
    </row>
    <row r="1829" spans="1:2">
      <c r="A1829" s="1">
        <v>45020</v>
      </c>
      <c r="B1829">
        <v>19</v>
      </c>
    </row>
    <row r="1830" spans="1:2">
      <c r="A1830" s="1">
        <v>45021</v>
      </c>
      <c r="B1830">
        <v>19.079999999999998</v>
      </c>
    </row>
    <row r="1831" spans="1:2">
      <c r="A1831" s="1">
        <v>45022</v>
      </c>
      <c r="B1831">
        <v>18.399999999999999</v>
      </c>
    </row>
    <row r="1832" spans="1:2">
      <c r="A1832" s="1">
        <v>45023</v>
      </c>
    </row>
    <row r="1833" spans="1:2">
      <c r="A1833" s="1">
        <v>45026</v>
      </c>
      <c r="B1833">
        <v>18.97</v>
      </c>
    </row>
    <row r="1834" spans="1:2">
      <c r="A1834" s="1">
        <v>45027</v>
      </c>
      <c r="B1834">
        <v>19.100000000000001</v>
      </c>
    </row>
    <row r="1835" spans="1:2">
      <c r="A1835" s="1">
        <v>45028</v>
      </c>
      <c r="B1835">
        <v>19.09</v>
      </c>
    </row>
    <row r="1836" spans="1:2">
      <c r="A1836" s="1">
        <v>45029</v>
      </c>
      <c r="B1836">
        <v>17.8</v>
      </c>
    </row>
    <row r="1837" spans="1:2">
      <c r="A1837" s="1">
        <v>45030</v>
      </c>
      <c r="B1837">
        <v>17.07</v>
      </c>
    </row>
    <row r="1838" spans="1:2">
      <c r="A1838" s="1">
        <v>45033</v>
      </c>
      <c r="B1838">
        <v>16.95</v>
      </c>
    </row>
    <row r="1839" spans="1:2">
      <c r="A1839" s="1">
        <v>45034</v>
      </c>
      <c r="B1839">
        <v>16.829999999999998</v>
      </c>
    </row>
    <row r="1840" spans="1:2">
      <c r="A1840" s="1">
        <v>45035</v>
      </c>
      <c r="B1840">
        <v>16.46</v>
      </c>
    </row>
    <row r="1841" spans="1:2">
      <c r="A1841" s="1">
        <v>45036</v>
      </c>
      <c r="B1841">
        <v>17.170000000000002</v>
      </c>
    </row>
    <row r="1842" spans="1:2">
      <c r="A1842" s="1">
        <v>45037</v>
      </c>
      <c r="B1842">
        <v>16.77</v>
      </c>
    </row>
    <row r="1843" spans="1:2">
      <c r="A1843" s="1">
        <v>45040</v>
      </c>
      <c r="B1843">
        <v>16.89</v>
      </c>
    </row>
    <row r="1844" spans="1:2">
      <c r="A1844" s="1">
        <v>45041</v>
      </c>
      <c r="B1844">
        <v>18.760000000000002</v>
      </c>
    </row>
    <row r="1845" spans="1:2">
      <c r="A1845" s="1">
        <v>45042</v>
      </c>
      <c r="B1845">
        <v>18.84</v>
      </c>
    </row>
    <row r="1846" spans="1:2">
      <c r="A1846" s="1">
        <v>45043</v>
      </c>
      <c r="B1846">
        <v>17.03</v>
      </c>
    </row>
    <row r="1847" spans="1:2">
      <c r="A1847" s="1">
        <v>45044</v>
      </c>
      <c r="B1847">
        <v>15.78</v>
      </c>
    </row>
    <row r="1848" spans="1:2">
      <c r="A1848" s="1">
        <v>45047</v>
      </c>
      <c r="B1848">
        <v>16.079999999999998</v>
      </c>
    </row>
    <row r="1849" spans="1:2">
      <c r="A1849" s="1">
        <v>45048</v>
      </c>
      <c r="B1849">
        <v>17.78</v>
      </c>
    </row>
    <row r="1850" spans="1:2">
      <c r="A1850" s="1">
        <v>45049</v>
      </c>
      <c r="B1850">
        <v>18.34</v>
      </c>
    </row>
    <row r="1851" spans="1:2">
      <c r="A1851" s="1">
        <v>45050</v>
      </c>
      <c r="B1851">
        <v>20.09</v>
      </c>
    </row>
    <row r="1852" spans="1:2">
      <c r="A1852" s="1">
        <v>45051</v>
      </c>
      <c r="B1852">
        <v>17.190000000000001</v>
      </c>
    </row>
    <row r="1853" spans="1:2">
      <c r="A1853" s="1">
        <v>45054</v>
      </c>
      <c r="B1853">
        <v>16.98</v>
      </c>
    </row>
    <row r="1854" spans="1:2">
      <c r="A1854" s="1">
        <v>45055</v>
      </c>
      <c r="B1854">
        <v>17.71</v>
      </c>
    </row>
    <row r="1855" spans="1:2">
      <c r="A1855" s="1">
        <v>45056</v>
      </c>
      <c r="B1855">
        <v>16.940000000000001</v>
      </c>
    </row>
    <row r="1856" spans="1:2">
      <c r="A1856" s="1">
        <v>45057</v>
      </c>
      <c r="B1856">
        <v>16.93</v>
      </c>
    </row>
    <row r="1857" spans="1:2">
      <c r="A1857" s="1">
        <v>45058</v>
      </c>
      <c r="B1857">
        <v>17.03</v>
      </c>
    </row>
    <row r="1858" spans="1:2">
      <c r="A1858" s="1">
        <v>45061</v>
      </c>
      <c r="B1858">
        <v>17.12</v>
      </c>
    </row>
    <row r="1859" spans="1:2">
      <c r="A1859" s="1">
        <v>45062</v>
      </c>
      <c r="B1859">
        <v>17.989999999999998</v>
      </c>
    </row>
    <row r="1860" spans="1:2">
      <c r="A1860" s="1">
        <v>45063</v>
      </c>
      <c r="B1860">
        <v>16.87</v>
      </c>
    </row>
    <row r="1861" spans="1:2">
      <c r="A1861" s="1">
        <v>45064</v>
      </c>
      <c r="B1861">
        <v>16.05</v>
      </c>
    </row>
    <row r="1862" spans="1:2">
      <c r="A1862" s="1">
        <v>45065</v>
      </c>
      <c r="B1862">
        <v>16.809999999999999</v>
      </c>
    </row>
    <row r="1863" spans="1:2">
      <c r="A1863" s="1">
        <v>45068</v>
      </c>
      <c r="B1863">
        <v>17.21</v>
      </c>
    </row>
    <row r="1864" spans="1:2">
      <c r="A1864" s="1">
        <v>45069</v>
      </c>
      <c r="B1864">
        <v>18.53</v>
      </c>
    </row>
    <row r="1865" spans="1:2">
      <c r="A1865" s="1">
        <v>45070</v>
      </c>
      <c r="B1865">
        <v>20.03</v>
      </c>
    </row>
    <row r="1866" spans="1:2">
      <c r="A1866" s="1">
        <v>45071</v>
      </c>
      <c r="B1866">
        <v>19.14</v>
      </c>
    </row>
    <row r="1867" spans="1:2">
      <c r="A1867" s="1">
        <v>45072</v>
      </c>
      <c r="B1867">
        <v>17.95</v>
      </c>
    </row>
    <row r="1868" spans="1:2">
      <c r="A1868" s="1">
        <v>45075</v>
      </c>
      <c r="B1868">
        <v>17.46</v>
      </c>
    </row>
    <row r="1869" spans="1:2">
      <c r="A1869" s="1">
        <v>45076</v>
      </c>
      <c r="B1869">
        <v>17.46</v>
      </c>
    </row>
    <row r="1870" spans="1:2">
      <c r="A1870" s="1">
        <v>45077</v>
      </c>
      <c r="B1870">
        <v>17.940000000000001</v>
      </c>
    </row>
    <row r="1871" spans="1:2">
      <c r="A1871" s="1">
        <v>45078</v>
      </c>
      <c r="B1871">
        <v>15.65</v>
      </c>
    </row>
    <row r="1872" spans="1:2">
      <c r="A1872" s="1">
        <v>45079</v>
      </c>
      <c r="B1872">
        <v>14.6</v>
      </c>
    </row>
    <row r="1873" spans="1:2">
      <c r="A1873" s="1">
        <v>45082</v>
      </c>
      <c r="B1873">
        <v>14.73</v>
      </c>
    </row>
    <row r="1874" spans="1:2">
      <c r="A1874" s="1">
        <v>45083</v>
      </c>
      <c r="B1874">
        <v>13.96</v>
      </c>
    </row>
    <row r="1875" spans="1:2">
      <c r="A1875" s="1">
        <v>45084</v>
      </c>
      <c r="B1875">
        <v>13.94</v>
      </c>
    </row>
    <row r="1876" spans="1:2">
      <c r="A1876" s="1">
        <v>45085</v>
      </c>
      <c r="B1876">
        <v>13.65</v>
      </c>
    </row>
    <row r="1877" spans="1:2">
      <c r="A1877" s="1">
        <v>45086</v>
      </c>
      <c r="B1877">
        <v>13.83</v>
      </c>
    </row>
    <row r="1878" spans="1:2">
      <c r="A1878" s="1">
        <v>45089</v>
      </c>
      <c r="B1878">
        <v>15.01</v>
      </c>
    </row>
    <row r="1879" spans="1:2">
      <c r="A1879" s="1">
        <v>45090</v>
      </c>
      <c r="B1879">
        <v>14.61</v>
      </c>
    </row>
    <row r="1880" spans="1:2">
      <c r="A1880" s="1">
        <v>45091</v>
      </c>
      <c r="B1880">
        <v>13.88</v>
      </c>
    </row>
    <row r="1881" spans="1:2">
      <c r="A1881" s="1">
        <v>45092</v>
      </c>
      <c r="B1881">
        <v>14.5</v>
      </c>
    </row>
    <row r="1882" spans="1:2">
      <c r="A1882" s="1">
        <v>45093</v>
      </c>
      <c r="B1882">
        <v>13.54</v>
      </c>
    </row>
    <row r="1883" spans="1:2">
      <c r="A1883" s="1">
        <v>45096</v>
      </c>
      <c r="B1883">
        <v>14.19</v>
      </c>
    </row>
    <row r="1884" spans="1:2">
      <c r="A1884" s="1">
        <v>45097</v>
      </c>
      <c r="B1884">
        <v>13.88</v>
      </c>
    </row>
    <row r="1885" spans="1:2">
      <c r="A1885" s="1">
        <v>45098</v>
      </c>
      <c r="B1885">
        <v>13.2</v>
      </c>
    </row>
    <row r="1886" spans="1:2">
      <c r="A1886" s="1">
        <v>45099</v>
      </c>
      <c r="B1886">
        <v>12.91</v>
      </c>
    </row>
    <row r="1887" spans="1:2">
      <c r="A1887" s="1">
        <v>45100</v>
      </c>
      <c r="B1887">
        <v>13.44</v>
      </c>
    </row>
    <row r="1888" spans="1:2">
      <c r="A1888" s="1">
        <v>45103</v>
      </c>
      <c r="B1888">
        <v>14.25</v>
      </c>
    </row>
    <row r="1889" spans="1:2">
      <c r="A1889" s="1">
        <v>45104</v>
      </c>
      <c r="B1889">
        <v>13.74</v>
      </c>
    </row>
    <row r="1890" spans="1:2">
      <c r="A1890" s="1">
        <v>45105</v>
      </c>
      <c r="B1890">
        <v>13.43</v>
      </c>
    </row>
    <row r="1891" spans="1:2">
      <c r="A1891" s="1">
        <v>45106</v>
      </c>
      <c r="B1891">
        <v>13.54</v>
      </c>
    </row>
    <row r="1892" spans="1:2">
      <c r="A1892" s="1">
        <v>45107</v>
      </c>
      <c r="B1892">
        <v>13.59</v>
      </c>
    </row>
    <row r="1893" spans="1:2">
      <c r="A1893" s="1">
        <v>45110</v>
      </c>
      <c r="B1893">
        <v>13.57</v>
      </c>
    </row>
    <row r="1894" spans="1:2">
      <c r="A1894" s="1">
        <v>45111</v>
      </c>
      <c r="B1894">
        <v>13.7</v>
      </c>
    </row>
    <row r="1895" spans="1:2">
      <c r="A1895" s="1">
        <v>45112</v>
      </c>
      <c r="B1895">
        <v>14.18</v>
      </c>
    </row>
    <row r="1896" spans="1:2">
      <c r="A1896" s="1">
        <v>45113</v>
      </c>
      <c r="B1896">
        <v>15.44</v>
      </c>
    </row>
    <row r="1897" spans="1:2">
      <c r="A1897" s="1">
        <v>45114</v>
      </c>
      <c r="B1897">
        <v>14.83</v>
      </c>
    </row>
    <row r="1898" spans="1:2">
      <c r="A1898" s="1">
        <v>45117</v>
      </c>
      <c r="B1898">
        <v>15.07</v>
      </c>
    </row>
    <row r="1899" spans="1:2">
      <c r="A1899" s="1">
        <v>45118</v>
      </c>
      <c r="B1899">
        <v>14.84</v>
      </c>
    </row>
    <row r="1900" spans="1:2">
      <c r="A1900" s="1">
        <v>45119</v>
      </c>
      <c r="B1900">
        <v>13.54</v>
      </c>
    </row>
    <row r="1901" spans="1:2">
      <c r="A1901" s="1">
        <v>45120</v>
      </c>
      <c r="B1901">
        <v>13.61</v>
      </c>
    </row>
    <row r="1902" spans="1:2">
      <c r="A1902" s="1">
        <v>45121</v>
      </c>
      <c r="B1902">
        <v>13.34</v>
      </c>
    </row>
    <row r="1903" spans="1:2">
      <c r="A1903" s="1">
        <v>45124</v>
      </c>
      <c r="B1903">
        <v>13.48</v>
      </c>
    </row>
    <row r="1904" spans="1:2">
      <c r="A1904" s="1">
        <v>45125</v>
      </c>
      <c r="B1904">
        <v>13.3</v>
      </c>
    </row>
    <row r="1905" spans="1:2">
      <c r="A1905" s="1">
        <v>45126</v>
      </c>
      <c r="B1905">
        <v>13.76</v>
      </c>
    </row>
    <row r="1906" spans="1:2">
      <c r="A1906" s="1">
        <v>45127</v>
      </c>
      <c r="B1906">
        <v>13.99</v>
      </c>
    </row>
    <row r="1907" spans="1:2">
      <c r="A1907" s="1">
        <v>45128</v>
      </c>
      <c r="B1907">
        <v>13.6</v>
      </c>
    </row>
    <row r="1908" spans="1:2">
      <c r="A1908" s="1">
        <v>45131</v>
      </c>
      <c r="B1908">
        <v>13.91</v>
      </c>
    </row>
    <row r="1909" spans="1:2">
      <c r="A1909" s="1">
        <v>45132</v>
      </c>
      <c r="B1909">
        <v>13.86</v>
      </c>
    </row>
    <row r="1910" spans="1:2">
      <c r="A1910" s="1">
        <v>45133</v>
      </c>
      <c r="B1910">
        <v>13.19</v>
      </c>
    </row>
    <row r="1911" spans="1:2">
      <c r="A1911" s="1">
        <v>45134</v>
      </c>
      <c r="B1911">
        <v>14.41</v>
      </c>
    </row>
    <row r="1912" spans="1:2">
      <c r="A1912" s="1">
        <v>45135</v>
      </c>
      <c r="B1912">
        <v>13.33</v>
      </c>
    </row>
    <row r="1913" spans="1:2">
      <c r="A1913" s="1">
        <v>45138</v>
      </c>
      <c r="B1913">
        <v>13.63</v>
      </c>
    </row>
    <row r="1914" spans="1:2">
      <c r="A1914" s="1">
        <v>45139</v>
      </c>
      <c r="B1914">
        <v>13.93</v>
      </c>
    </row>
    <row r="1915" spans="1:2">
      <c r="A1915" s="1">
        <v>45140</v>
      </c>
      <c r="B1915">
        <v>16.09</v>
      </c>
    </row>
    <row r="1916" spans="1:2">
      <c r="A1916" s="1">
        <v>45141</v>
      </c>
      <c r="B1916">
        <v>15.92</v>
      </c>
    </row>
    <row r="1917" spans="1:2">
      <c r="A1917" s="1">
        <v>45142</v>
      </c>
      <c r="B1917">
        <v>17.100000000000001</v>
      </c>
    </row>
    <row r="1918" spans="1:2">
      <c r="A1918" s="1">
        <v>45145</v>
      </c>
      <c r="B1918">
        <v>15.77</v>
      </c>
    </row>
    <row r="1919" spans="1:2">
      <c r="A1919" s="1">
        <v>45146</v>
      </c>
      <c r="B1919">
        <v>15.99</v>
      </c>
    </row>
    <row r="1920" spans="1:2">
      <c r="A1920" s="1">
        <v>45147</v>
      </c>
      <c r="B1920">
        <v>15.96</v>
      </c>
    </row>
    <row r="1921" spans="1:2">
      <c r="A1921" s="1">
        <v>45148</v>
      </c>
      <c r="B1921">
        <v>15.85</v>
      </c>
    </row>
    <row r="1922" spans="1:2">
      <c r="A1922" s="1">
        <v>45149</v>
      </c>
      <c r="B1922">
        <v>14.84</v>
      </c>
    </row>
    <row r="1923" spans="1:2">
      <c r="A1923" s="1">
        <v>45152</v>
      </c>
      <c r="B1923">
        <v>14.82</v>
      </c>
    </row>
    <row r="1924" spans="1:2">
      <c r="A1924" s="1">
        <v>45153</v>
      </c>
      <c r="B1924">
        <v>16.46</v>
      </c>
    </row>
    <row r="1925" spans="1:2">
      <c r="A1925" s="1">
        <v>45154</v>
      </c>
      <c r="B1925">
        <v>16.78</v>
      </c>
    </row>
    <row r="1926" spans="1:2">
      <c r="A1926" s="1">
        <v>45155</v>
      </c>
      <c r="B1926">
        <v>17.89</v>
      </c>
    </row>
    <row r="1927" spans="1:2">
      <c r="A1927" s="1">
        <v>45156</v>
      </c>
      <c r="B1927">
        <v>17.3</v>
      </c>
    </row>
    <row r="1928" spans="1:2">
      <c r="A1928" s="1">
        <v>45159</v>
      </c>
      <c r="B1928">
        <v>17.13</v>
      </c>
    </row>
    <row r="1929" spans="1:2">
      <c r="A1929" s="1">
        <v>45160</v>
      </c>
      <c r="B1929">
        <v>16.97</v>
      </c>
    </row>
    <row r="1930" spans="1:2">
      <c r="A1930" s="1">
        <v>45161</v>
      </c>
      <c r="B1930">
        <v>15.98</v>
      </c>
    </row>
    <row r="1931" spans="1:2">
      <c r="A1931" s="1">
        <v>45162</v>
      </c>
      <c r="B1931">
        <v>17.2</v>
      </c>
    </row>
    <row r="1932" spans="1:2">
      <c r="A1932" s="1">
        <v>45163</v>
      </c>
      <c r="B1932">
        <v>15.68</v>
      </c>
    </row>
    <row r="1933" spans="1:2">
      <c r="A1933" s="1">
        <v>45166</v>
      </c>
      <c r="B1933">
        <v>15.08</v>
      </c>
    </row>
    <row r="1934" spans="1:2">
      <c r="A1934" s="1">
        <v>45167</v>
      </c>
      <c r="B1934">
        <v>14.45</v>
      </c>
    </row>
    <row r="1935" spans="1:2">
      <c r="A1935" s="1">
        <v>45168</v>
      </c>
      <c r="B1935">
        <v>13.88</v>
      </c>
    </row>
    <row r="1936" spans="1:2">
      <c r="A1936" s="1">
        <v>45169</v>
      </c>
      <c r="B1936">
        <v>13.57</v>
      </c>
    </row>
    <row r="1937" spans="1:2">
      <c r="A1937" s="1">
        <v>45170</v>
      </c>
      <c r="B1937">
        <v>13.09</v>
      </c>
    </row>
    <row r="1938" spans="1:2">
      <c r="A1938" s="1">
        <v>45173</v>
      </c>
      <c r="B1938">
        <v>13.82</v>
      </c>
    </row>
    <row r="1939" spans="1:2">
      <c r="A1939" s="1">
        <v>45174</v>
      </c>
      <c r="B1939">
        <v>14.01</v>
      </c>
    </row>
    <row r="1940" spans="1:2">
      <c r="A1940" s="1">
        <v>45175</v>
      </c>
      <c r="B1940">
        <v>14.45</v>
      </c>
    </row>
    <row r="1941" spans="1:2">
      <c r="A1941" s="1">
        <v>45176</v>
      </c>
      <c r="B1941">
        <v>14.4</v>
      </c>
    </row>
    <row r="1942" spans="1:2">
      <c r="A1942" s="1">
        <v>45177</v>
      </c>
      <c r="B1942">
        <v>13.84</v>
      </c>
    </row>
    <row r="1943" spans="1:2">
      <c r="A1943" s="1">
        <v>45180</v>
      </c>
      <c r="B1943">
        <v>13.8</v>
      </c>
    </row>
    <row r="1944" spans="1:2">
      <c r="A1944" s="1">
        <v>45181</v>
      </c>
      <c r="B1944">
        <v>14.23</v>
      </c>
    </row>
    <row r="1945" spans="1:2">
      <c r="A1945" s="1">
        <v>45182</v>
      </c>
      <c r="B1945">
        <v>13.48</v>
      </c>
    </row>
    <row r="1946" spans="1:2">
      <c r="A1946" s="1">
        <v>45183</v>
      </c>
      <c r="B1946">
        <v>12.82</v>
      </c>
    </row>
    <row r="1947" spans="1:2">
      <c r="A1947" s="1">
        <v>45184</v>
      </c>
      <c r="B1947">
        <v>13.79</v>
      </c>
    </row>
    <row r="1948" spans="1:2">
      <c r="A1948" s="1">
        <v>45187</v>
      </c>
      <c r="B1948">
        <v>14</v>
      </c>
    </row>
    <row r="1949" spans="1:2">
      <c r="A1949" s="1">
        <v>45188</v>
      </c>
      <c r="B1949">
        <v>14.11</v>
      </c>
    </row>
    <row r="1950" spans="1:2">
      <c r="A1950" s="1">
        <v>45189</v>
      </c>
      <c r="B1950">
        <v>15.14</v>
      </c>
    </row>
    <row r="1951" spans="1:2">
      <c r="A1951" s="1">
        <v>45190</v>
      </c>
      <c r="B1951">
        <v>17.54</v>
      </c>
    </row>
    <row r="1952" spans="1:2">
      <c r="A1952" s="1">
        <v>45191</v>
      </c>
      <c r="B1952">
        <v>17.2</v>
      </c>
    </row>
    <row r="1953" spans="1:2">
      <c r="A1953" s="1">
        <v>45194</v>
      </c>
      <c r="B1953">
        <v>16.899999999999999</v>
      </c>
    </row>
    <row r="1954" spans="1:2">
      <c r="A1954" s="1">
        <v>45195</v>
      </c>
      <c r="B1954">
        <v>18.940000000000001</v>
      </c>
    </row>
    <row r="1955" spans="1:2">
      <c r="A1955" s="1">
        <v>45196</v>
      </c>
      <c r="B1955">
        <v>18.22</v>
      </c>
    </row>
    <row r="1956" spans="1:2">
      <c r="A1956" s="1">
        <v>45197</v>
      </c>
      <c r="B1956">
        <v>17.34</v>
      </c>
    </row>
    <row r="1957" spans="1:2">
      <c r="A1957" s="1">
        <v>45198</v>
      </c>
      <c r="B1957">
        <v>17.52</v>
      </c>
    </row>
    <row r="1958" spans="1:2">
      <c r="A1958" s="1">
        <v>45201</v>
      </c>
      <c r="B1958">
        <v>17.61</v>
      </c>
    </row>
    <row r="1959" spans="1:2">
      <c r="A1959" s="1">
        <v>45202</v>
      </c>
      <c r="B1959">
        <v>19.78</v>
      </c>
    </row>
    <row r="1960" spans="1:2">
      <c r="A1960" s="1">
        <v>45203</v>
      </c>
      <c r="B1960">
        <v>18.579999999999998</v>
      </c>
    </row>
    <row r="1961" spans="1:2">
      <c r="A1961" s="1">
        <v>45204</v>
      </c>
      <c r="B1961">
        <v>18.489999999999998</v>
      </c>
    </row>
    <row r="1962" spans="1:2">
      <c r="A1962" s="1">
        <v>45205</v>
      </c>
      <c r="B1962">
        <v>17.45</v>
      </c>
    </row>
    <row r="1963" spans="1:2">
      <c r="A1963" s="1">
        <v>45208</v>
      </c>
      <c r="B1963">
        <v>17.7</v>
      </c>
    </row>
    <row r="1964" spans="1:2">
      <c r="A1964" s="1">
        <v>45209</v>
      </c>
      <c r="B1964">
        <v>17.03</v>
      </c>
    </row>
    <row r="1965" spans="1:2">
      <c r="A1965" s="1">
        <v>45210</v>
      </c>
      <c r="B1965">
        <v>16.09</v>
      </c>
    </row>
    <row r="1966" spans="1:2">
      <c r="A1966" s="1">
        <v>45211</v>
      </c>
      <c r="B1966">
        <v>16.690000000000001</v>
      </c>
    </row>
    <row r="1967" spans="1:2">
      <c r="A1967" s="1">
        <v>45212</v>
      </c>
      <c r="B1967">
        <v>19.32</v>
      </c>
    </row>
    <row r="1968" spans="1:2">
      <c r="A1968" s="1">
        <v>45215</v>
      </c>
      <c r="B1968">
        <v>17.21</v>
      </c>
    </row>
    <row r="1969" spans="1:2">
      <c r="A1969" s="1">
        <v>45216</v>
      </c>
      <c r="B1969">
        <v>17.88</v>
      </c>
    </row>
    <row r="1970" spans="1:2">
      <c r="A1970" s="1">
        <v>45217</v>
      </c>
      <c r="B1970">
        <v>19.22</v>
      </c>
    </row>
    <row r="1971" spans="1:2">
      <c r="A1971" s="1">
        <v>45218</v>
      </c>
      <c r="B1971">
        <v>21.4</v>
      </c>
    </row>
    <row r="1972" spans="1:2">
      <c r="A1972" s="1">
        <v>45219</v>
      </c>
      <c r="B1972">
        <v>21.71</v>
      </c>
    </row>
    <row r="1973" spans="1:2">
      <c r="A1973" s="1">
        <v>45222</v>
      </c>
      <c r="B1973">
        <v>20.37</v>
      </c>
    </row>
    <row r="1974" spans="1:2">
      <c r="A1974" s="1">
        <v>45223</v>
      </c>
      <c r="B1974">
        <v>18.97</v>
      </c>
    </row>
    <row r="1975" spans="1:2">
      <c r="A1975" s="1">
        <v>45224</v>
      </c>
      <c r="B1975">
        <v>20.190000000000001</v>
      </c>
    </row>
    <row r="1976" spans="1:2">
      <c r="A1976" s="1">
        <v>45225</v>
      </c>
      <c r="B1976">
        <v>20.68</v>
      </c>
    </row>
    <row r="1977" spans="1:2">
      <c r="A1977" s="1">
        <v>45226</v>
      </c>
      <c r="B1977">
        <v>21.27</v>
      </c>
    </row>
    <row r="1978" spans="1:2">
      <c r="A1978" s="1">
        <v>45229</v>
      </c>
      <c r="B1978">
        <v>19.75</v>
      </c>
    </row>
    <row r="1979" spans="1:2">
      <c r="A1979" s="1">
        <v>45230</v>
      </c>
      <c r="B1979">
        <v>18.14</v>
      </c>
    </row>
    <row r="1980" spans="1:2">
      <c r="A1980" s="1">
        <v>45231</v>
      </c>
      <c r="B1980">
        <v>16.87</v>
      </c>
    </row>
    <row r="1981" spans="1:2">
      <c r="A1981" s="1">
        <v>45232</v>
      </c>
      <c r="B1981">
        <v>15.66</v>
      </c>
    </row>
    <row r="1982" spans="1:2">
      <c r="A1982" s="1">
        <v>45233</v>
      </c>
      <c r="B1982">
        <v>14.91</v>
      </c>
    </row>
    <row r="1983" spans="1:2">
      <c r="A1983" s="1">
        <v>45236</v>
      </c>
      <c r="B1983">
        <v>14.89</v>
      </c>
    </row>
    <row r="1984" spans="1:2">
      <c r="A1984" s="1">
        <v>45237</v>
      </c>
      <c r="B1984">
        <v>14.81</v>
      </c>
    </row>
    <row r="1985" spans="1:2">
      <c r="A1985" s="1">
        <v>45238</v>
      </c>
      <c r="B1985">
        <v>14.45</v>
      </c>
    </row>
    <row r="1986" spans="1:2">
      <c r="A1986" s="1">
        <v>45239</v>
      </c>
      <c r="B1986">
        <v>15.29</v>
      </c>
    </row>
    <row r="1987" spans="1:2">
      <c r="A1987" s="1">
        <v>45240</v>
      </c>
      <c r="B1987">
        <v>14.17</v>
      </c>
    </row>
    <row r="1988" spans="1:2">
      <c r="A1988" s="1">
        <v>45243</v>
      </c>
      <c r="B1988">
        <v>14.76</v>
      </c>
    </row>
    <row r="1989" spans="1:2">
      <c r="A1989" s="1">
        <v>45244</v>
      </c>
      <c r="B1989">
        <v>14.16</v>
      </c>
    </row>
    <row r="1990" spans="1:2">
      <c r="A1990" s="1">
        <v>45245</v>
      </c>
      <c r="B1990">
        <v>14.18</v>
      </c>
    </row>
    <row r="1991" spans="1:2">
      <c r="A1991" s="1">
        <v>45246</v>
      </c>
      <c r="B1991">
        <v>14.32</v>
      </c>
    </row>
    <row r="1992" spans="1:2">
      <c r="A1992" s="1">
        <v>45247</v>
      </c>
      <c r="B1992">
        <v>13.8</v>
      </c>
    </row>
    <row r="1993" spans="1:2">
      <c r="A1993" s="1">
        <v>45250</v>
      </c>
      <c r="B1993">
        <v>13.41</v>
      </c>
    </row>
    <row r="1994" spans="1:2">
      <c r="A1994" s="1">
        <v>45251</v>
      </c>
      <c r="B1994">
        <v>13.35</v>
      </c>
    </row>
    <row r="1995" spans="1:2">
      <c r="A1995" s="1">
        <v>45252</v>
      </c>
      <c r="B1995">
        <v>12.85</v>
      </c>
    </row>
    <row r="1996" spans="1:2">
      <c r="A1996" s="1">
        <v>45253</v>
      </c>
      <c r="B1996">
        <v>12.8</v>
      </c>
    </row>
    <row r="1997" spans="1:2">
      <c r="A1997" s="1">
        <v>45254</v>
      </c>
      <c r="B1997">
        <v>12.46</v>
      </c>
    </row>
    <row r="1998" spans="1:2">
      <c r="A1998" s="1">
        <v>45257</v>
      </c>
      <c r="B1998">
        <v>12.69</v>
      </c>
    </row>
    <row r="1999" spans="1:2">
      <c r="A1999" s="1">
        <v>45258</v>
      </c>
      <c r="B1999">
        <v>12.69</v>
      </c>
    </row>
    <row r="2000" spans="1:2">
      <c r="A2000" s="1">
        <v>45259</v>
      </c>
      <c r="B2000">
        <v>12.98</v>
      </c>
    </row>
    <row r="2001" spans="1:2">
      <c r="A2001" s="1">
        <v>45260</v>
      </c>
      <c r="B2001">
        <v>12.92</v>
      </c>
    </row>
    <row r="2002" spans="1:2">
      <c r="A2002" s="1">
        <v>45261</v>
      </c>
      <c r="B2002">
        <v>12.63</v>
      </c>
    </row>
    <row r="2003" spans="1:2">
      <c r="A2003" s="1">
        <v>45264</v>
      </c>
      <c r="B2003">
        <v>13.08</v>
      </c>
    </row>
    <row r="2004" spans="1:2">
      <c r="A2004" s="1">
        <v>45265</v>
      </c>
      <c r="B2004">
        <v>12.85</v>
      </c>
    </row>
    <row r="2005" spans="1:2">
      <c r="A2005" s="1">
        <v>45266</v>
      </c>
      <c r="B2005">
        <v>12.97</v>
      </c>
    </row>
    <row r="2006" spans="1:2">
      <c r="A2006" s="1">
        <v>45267</v>
      </c>
      <c r="B2006">
        <v>13.06</v>
      </c>
    </row>
    <row r="2007" spans="1:2">
      <c r="A2007" s="1">
        <v>45268</v>
      </c>
      <c r="B2007">
        <v>12.35</v>
      </c>
    </row>
    <row r="2008" spans="1:2">
      <c r="A2008" s="1">
        <v>45271</v>
      </c>
      <c r="B2008">
        <v>12.63</v>
      </c>
    </row>
    <row r="2009" spans="1:2">
      <c r="A2009" s="1">
        <v>45272</v>
      </c>
      <c r="B2009">
        <v>12.07</v>
      </c>
    </row>
    <row r="2010" spans="1:2">
      <c r="A2010" s="1">
        <v>45273</v>
      </c>
      <c r="B2010">
        <v>12.19</v>
      </c>
    </row>
    <row r="2011" spans="1:2">
      <c r="A2011" s="1">
        <v>45274</v>
      </c>
      <c r="B2011">
        <v>12.48</v>
      </c>
    </row>
    <row r="2012" spans="1:2">
      <c r="A2012" s="1">
        <v>45275</v>
      </c>
      <c r="B2012">
        <v>12.28</v>
      </c>
    </row>
    <row r="2013" spans="1:2">
      <c r="A2013" s="1">
        <v>45278</v>
      </c>
      <c r="B2013">
        <v>12.56</v>
      </c>
    </row>
    <row r="2014" spans="1:2">
      <c r="A2014" s="1">
        <v>45279</v>
      </c>
      <c r="B2014">
        <v>12.53</v>
      </c>
    </row>
    <row r="2015" spans="1:2">
      <c r="A2015" s="1">
        <v>45280</v>
      </c>
      <c r="B2015">
        <v>13.67</v>
      </c>
    </row>
    <row r="2016" spans="1:2">
      <c r="A2016" s="1">
        <v>45281</v>
      </c>
      <c r="B2016">
        <v>13.65</v>
      </c>
    </row>
    <row r="2017" spans="1:2">
      <c r="A2017" s="1">
        <v>45282</v>
      </c>
      <c r="B2017">
        <v>13.03</v>
      </c>
    </row>
    <row r="2018" spans="1:2">
      <c r="A2018" s="1">
        <v>45285</v>
      </c>
    </row>
    <row r="2019" spans="1:2">
      <c r="A2019" s="1">
        <v>45286</v>
      </c>
      <c r="B2019">
        <v>12.99</v>
      </c>
    </row>
    <row r="2020" spans="1:2">
      <c r="A2020" s="1">
        <v>45287</v>
      </c>
      <c r="B2020">
        <v>12.43</v>
      </c>
    </row>
    <row r="2021" spans="1:2">
      <c r="A2021" s="1">
        <v>45288</v>
      </c>
      <c r="B2021">
        <v>12.47</v>
      </c>
    </row>
    <row r="2022" spans="1:2">
      <c r="A2022" s="1">
        <v>45289</v>
      </c>
      <c r="B2022">
        <v>12.45</v>
      </c>
    </row>
    <row r="2023" spans="1:2">
      <c r="A2023" s="1">
        <v>45292</v>
      </c>
    </row>
    <row r="2024" spans="1:2">
      <c r="A2024" s="1">
        <v>45293</v>
      </c>
      <c r="B2024">
        <v>13.2</v>
      </c>
    </row>
    <row r="2025" spans="1:2">
      <c r="A2025" s="1">
        <v>45294</v>
      </c>
      <c r="B2025">
        <v>14.04</v>
      </c>
    </row>
    <row r="2026" spans="1:2">
      <c r="A2026" s="1">
        <v>45295</v>
      </c>
      <c r="B2026">
        <v>14.13</v>
      </c>
    </row>
    <row r="2027" spans="1:2">
      <c r="A2027" s="1">
        <v>45296</v>
      </c>
      <c r="B2027">
        <v>13.35</v>
      </c>
    </row>
    <row r="2028" spans="1:2">
      <c r="A2028" s="1">
        <v>45299</v>
      </c>
      <c r="B2028">
        <v>13.08</v>
      </c>
    </row>
    <row r="2029" spans="1:2">
      <c r="A2029" s="1">
        <v>45300</v>
      </c>
      <c r="B2029">
        <v>12.76</v>
      </c>
    </row>
    <row r="2030" spans="1:2">
      <c r="A2030" s="1">
        <v>45301</v>
      </c>
      <c r="B2030">
        <v>12.69</v>
      </c>
    </row>
    <row r="2031" spans="1:2">
      <c r="A2031" s="1">
        <v>45302</v>
      </c>
      <c r="B2031">
        <v>12.44</v>
      </c>
    </row>
    <row r="2032" spans="1:2">
      <c r="A2032" s="1">
        <v>45303</v>
      </c>
      <c r="B2032">
        <v>12.7</v>
      </c>
    </row>
    <row r="2033" spans="1:2">
      <c r="A2033" s="1">
        <v>45306</v>
      </c>
      <c r="B2033">
        <v>13.25</v>
      </c>
    </row>
    <row r="2034" spans="1:2">
      <c r="A2034" s="1">
        <v>45307</v>
      </c>
      <c r="B2034">
        <v>13.84</v>
      </c>
    </row>
    <row r="2035" spans="1:2">
      <c r="A2035" s="1">
        <v>45308</v>
      </c>
      <c r="B2035">
        <v>14.79</v>
      </c>
    </row>
    <row r="2036" spans="1:2">
      <c r="A2036" s="1">
        <v>45309</v>
      </c>
      <c r="B2036">
        <v>14.13</v>
      </c>
    </row>
    <row r="2037" spans="1:2">
      <c r="A2037" s="1">
        <v>45310</v>
      </c>
      <c r="B2037">
        <v>13.3</v>
      </c>
    </row>
    <row r="2038" spans="1:2">
      <c r="A2038" s="1">
        <v>45313</v>
      </c>
      <c r="B2038">
        <v>13.19</v>
      </c>
    </row>
    <row r="2039" spans="1:2">
      <c r="A2039" s="1">
        <v>45314</v>
      </c>
      <c r="B2039">
        <v>12.55</v>
      </c>
    </row>
    <row r="2040" spans="1:2">
      <c r="A2040" s="1">
        <v>45315</v>
      </c>
      <c r="B2040">
        <v>13.14</v>
      </c>
    </row>
    <row r="2041" spans="1:2">
      <c r="A2041" s="1">
        <v>45316</v>
      </c>
      <c r="B2041">
        <v>13.45</v>
      </c>
    </row>
    <row r="2042" spans="1:2">
      <c r="A2042" s="1">
        <v>45317</v>
      </c>
      <c r="B2042">
        <v>13.26</v>
      </c>
    </row>
    <row r="2043" spans="1:2">
      <c r="A2043" s="1">
        <v>45320</v>
      </c>
      <c r="B2043">
        <v>13.6</v>
      </c>
    </row>
    <row r="2044" spans="1:2">
      <c r="A2044" s="1">
        <v>45321</v>
      </c>
      <c r="B2044">
        <v>13.31</v>
      </c>
    </row>
    <row r="2045" spans="1:2">
      <c r="A2045" s="1">
        <v>45322</v>
      </c>
      <c r="B2045">
        <v>14.35</v>
      </c>
    </row>
    <row r="2046" spans="1:2">
      <c r="A2046" s="1">
        <v>45323</v>
      </c>
      <c r="B2046">
        <v>13.88</v>
      </c>
    </row>
    <row r="2047" spans="1:2">
      <c r="A2047" s="1">
        <v>45324</v>
      </c>
      <c r="B2047">
        <v>13.85</v>
      </c>
    </row>
    <row r="2048" spans="1:2">
      <c r="A2048" s="1">
        <v>45327</v>
      </c>
      <c r="B2048">
        <v>13.67</v>
      </c>
    </row>
    <row r="2049" spans="1:2">
      <c r="A2049" s="1">
        <v>45328</v>
      </c>
      <c r="B2049">
        <v>13.06</v>
      </c>
    </row>
    <row r="2050" spans="1:2">
      <c r="A2050" s="1">
        <v>45329</v>
      </c>
      <c r="B2050">
        <v>12.83</v>
      </c>
    </row>
    <row r="2051" spans="1:2">
      <c r="A2051" s="1">
        <v>45330</v>
      </c>
      <c r="B2051">
        <v>12.79</v>
      </c>
    </row>
    <row r="2052" spans="1:2">
      <c r="A2052" s="1">
        <v>45331</v>
      </c>
      <c r="B2052">
        <v>12.93</v>
      </c>
    </row>
    <row r="2053" spans="1:2">
      <c r="A2053" s="1">
        <v>45334</v>
      </c>
      <c r="B2053">
        <v>13.93</v>
      </c>
    </row>
    <row r="2054" spans="1:2">
      <c r="A2054" s="1">
        <v>45335</v>
      </c>
      <c r="B2054">
        <v>15.85</v>
      </c>
    </row>
    <row r="2055" spans="1:2">
      <c r="A2055" s="1">
        <v>45336</v>
      </c>
      <c r="B2055">
        <v>14.38</v>
      </c>
    </row>
    <row r="2056" spans="1:2">
      <c r="A2056" s="1">
        <v>45337</v>
      </c>
      <c r="B2056">
        <v>14.01</v>
      </c>
    </row>
    <row r="2057" spans="1:2">
      <c r="A2057" s="1">
        <v>45338</v>
      </c>
      <c r="B2057">
        <v>14.24</v>
      </c>
    </row>
    <row r="2058" spans="1:2">
      <c r="A2058" s="1">
        <v>45341</v>
      </c>
      <c r="B2058">
        <v>14.71</v>
      </c>
    </row>
    <row r="2059" spans="1:2">
      <c r="A2059" s="1">
        <v>45342</v>
      </c>
      <c r="B2059">
        <v>15.42</v>
      </c>
    </row>
    <row r="2060" spans="1:2">
      <c r="A2060" s="1">
        <v>45343</v>
      </c>
      <c r="B2060">
        <v>15.34</v>
      </c>
    </row>
    <row r="2061" spans="1:2">
      <c r="A2061" s="1">
        <v>45344</v>
      </c>
      <c r="B2061">
        <v>14.54</v>
      </c>
    </row>
    <row r="2062" spans="1:2">
      <c r="A2062" s="1">
        <v>45345</v>
      </c>
      <c r="B2062">
        <v>13.75</v>
      </c>
    </row>
    <row r="2063" spans="1:2">
      <c r="A2063" s="1">
        <v>45348</v>
      </c>
      <c r="B2063">
        <v>13.74</v>
      </c>
    </row>
    <row r="2064" spans="1:2">
      <c r="A2064" s="1">
        <v>45349</v>
      </c>
      <c r="B2064">
        <v>13.43</v>
      </c>
    </row>
    <row r="2065" spans="1:2">
      <c r="A2065" s="1">
        <v>45350</v>
      </c>
      <c r="B2065">
        <v>13.84</v>
      </c>
    </row>
    <row r="2066" spans="1:2">
      <c r="A2066" s="1">
        <v>45351</v>
      </c>
      <c r="B2066">
        <v>13.4</v>
      </c>
    </row>
    <row r="2067" spans="1:2">
      <c r="A2067" s="1">
        <v>45352</v>
      </c>
      <c r="B2067">
        <v>13.11</v>
      </c>
    </row>
    <row r="2068" spans="1:2">
      <c r="A2068" s="1">
        <v>45355</v>
      </c>
      <c r="B2068">
        <v>13.49</v>
      </c>
    </row>
    <row r="2069" spans="1:2">
      <c r="A2069" s="1">
        <v>45356</v>
      </c>
      <c r="B2069">
        <v>14.46</v>
      </c>
    </row>
    <row r="2070" spans="1:2">
      <c r="A2070" s="1">
        <v>45357</v>
      </c>
      <c r="B2070">
        <v>14.5</v>
      </c>
    </row>
    <row r="2071" spans="1:2">
      <c r="A2071" s="1">
        <v>45358</v>
      </c>
      <c r="B2071">
        <v>14.44</v>
      </c>
    </row>
    <row r="2072" spans="1:2">
      <c r="A2072" s="1">
        <v>45359</v>
      </c>
      <c r="B2072">
        <v>14.74</v>
      </c>
    </row>
    <row r="2073" spans="1:2">
      <c r="A2073" s="1">
        <v>45362</v>
      </c>
      <c r="B2073">
        <v>15.22</v>
      </c>
    </row>
    <row r="2074" spans="1:2">
      <c r="A2074" s="1">
        <v>45363</v>
      </c>
      <c r="B2074">
        <v>13.84</v>
      </c>
    </row>
    <row r="2075" spans="1:2">
      <c r="A2075" s="1">
        <v>45364</v>
      </c>
      <c r="B2075">
        <v>13.75</v>
      </c>
    </row>
    <row r="2076" spans="1:2">
      <c r="A2076" s="1">
        <v>45365</v>
      </c>
      <c r="B2076">
        <v>14.4</v>
      </c>
    </row>
    <row r="2077" spans="1:2">
      <c r="A2077" s="1">
        <v>45366</v>
      </c>
      <c r="B2077">
        <v>14.41</v>
      </c>
    </row>
    <row r="2078" spans="1:2">
      <c r="A2078" s="1">
        <v>45369</v>
      </c>
      <c r="B2078">
        <v>14.33</v>
      </c>
    </row>
    <row r="2079" spans="1:2">
      <c r="A2079" s="1">
        <v>45370</v>
      </c>
      <c r="B2079">
        <v>13.82</v>
      </c>
    </row>
    <row r="2080" spans="1:2">
      <c r="A2080" s="1">
        <v>45371</v>
      </c>
      <c r="B2080">
        <v>13.04</v>
      </c>
    </row>
    <row r="2081" spans="1:2">
      <c r="A2081" s="1">
        <v>45372</v>
      </c>
      <c r="B2081">
        <v>12.92</v>
      </c>
    </row>
    <row r="2082" spans="1:2">
      <c r="A2082" s="1">
        <v>45373</v>
      </c>
      <c r="B2082">
        <v>13.06</v>
      </c>
    </row>
    <row r="2083" spans="1:2">
      <c r="A2083" s="1">
        <v>45376</v>
      </c>
      <c r="B2083">
        <v>13.19</v>
      </c>
    </row>
    <row r="2084" spans="1:2">
      <c r="A2084" s="1">
        <v>45377</v>
      </c>
      <c r="B2084">
        <v>13.24</v>
      </c>
    </row>
    <row r="2085" spans="1:2">
      <c r="A2085" s="1">
        <v>45378</v>
      </c>
      <c r="B2085">
        <v>12.78</v>
      </c>
    </row>
    <row r="2086" spans="1:2">
      <c r="A2086" s="1">
        <v>45379</v>
      </c>
      <c r="B2086">
        <v>13.01</v>
      </c>
    </row>
    <row r="2087" spans="1:2">
      <c r="A2087" s="1">
        <v>45380</v>
      </c>
    </row>
    <row r="2088" spans="1:2">
      <c r="A2088" s="1">
        <v>45383</v>
      </c>
      <c r="B2088">
        <v>13.65</v>
      </c>
    </row>
    <row r="2089" spans="1:2">
      <c r="A2089" s="1">
        <v>45384</v>
      </c>
      <c r="B2089">
        <v>14.61</v>
      </c>
    </row>
    <row r="2090" spans="1:2">
      <c r="A2090" s="1">
        <v>45385</v>
      </c>
      <c r="B2090">
        <v>14.33</v>
      </c>
    </row>
    <row r="2091" spans="1:2">
      <c r="A2091" s="1">
        <v>45386</v>
      </c>
      <c r="B2091">
        <v>16.350000000000001</v>
      </c>
    </row>
    <row r="2092" spans="1:2">
      <c r="A2092" s="1">
        <v>45387</v>
      </c>
      <c r="B2092">
        <v>16.03</v>
      </c>
    </row>
    <row r="2093" spans="1:2">
      <c r="A2093" s="1">
        <v>45390</v>
      </c>
      <c r="B2093">
        <v>15.19</v>
      </c>
    </row>
    <row r="2094" spans="1:2">
      <c r="A2094" s="1">
        <v>45391</v>
      </c>
      <c r="B2094">
        <v>14.98</v>
      </c>
    </row>
    <row r="2095" spans="1:2">
      <c r="A2095" s="1">
        <v>45392</v>
      </c>
      <c r="B2095">
        <v>15.8</v>
      </c>
    </row>
    <row r="2096" spans="1:2">
      <c r="A2096" s="1">
        <v>45393</v>
      </c>
      <c r="B2096">
        <v>14.91</v>
      </c>
    </row>
    <row r="2097" spans="1:2">
      <c r="A2097" s="1">
        <v>45394</v>
      </c>
      <c r="B2097">
        <v>17.309999999999999</v>
      </c>
    </row>
    <row r="2098" spans="1:2">
      <c r="A2098" s="1">
        <v>45397</v>
      </c>
      <c r="B2098">
        <v>19.23</v>
      </c>
    </row>
    <row r="2099" spans="1:2">
      <c r="A2099" s="1">
        <v>45398</v>
      </c>
      <c r="B2099">
        <v>18.399999999999999</v>
      </c>
    </row>
    <row r="2100" spans="1:2">
      <c r="A2100" s="1">
        <v>45399</v>
      </c>
      <c r="B2100">
        <v>18.21</v>
      </c>
    </row>
    <row r="2101" spans="1:2">
      <c r="A2101" s="1">
        <v>45400</v>
      </c>
      <c r="B2101">
        <v>18</v>
      </c>
    </row>
    <row r="2102" spans="1:2">
      <c r="A2102" s="1">
        <v>45401</v>
      </c>
      <c r="B2102">
        <v>18.71</v>
      </c>
    </row>
    <row r="2103" spans="1:2">
      <c r="A2103" s="1">
        <v>45404</v>
      </c>
      <c r="B2103">
        <v>16.940000000000001</v>
      </c>
    </row>
    <row r="2104" spans="1:2">
      <c r="A2104" s="1">
        <v>45405</v>
      </c>
      <c r="B2104">
        <v>15.69</v>
      </c>
    </row>
    <row r="2105" spans="1:2">
      <c r="A2105" s="1">
        <v>45406</v>
      </c>
      <c r="B2105">
        <v>15.97</v>
      </c>
    </row>
    <row r="2106" spans="1:2">
      <c r="A2106" s="1">
        <v>45407</v>
      </c>
      <c r="B2106">
        <v>15.37</v>
      </c>
    </row>
    <row r="2107" spans="1:2">
      <c r="A2107" s="1">
        <v>45408</v>
      </c>
      <c r="B2107">
        <v>15.03</v>
      </c>
    </row>
    <row r="2108" spans="1:2">
      <c r="A2108" s="1">
        <v>45411</v>
      </c>
      <c r="B2108">
        <v>14.67</v>
      </c>
    </row>
    <row r="2109" spans="1:2">
      <c r="A2109" s="1">
        <v>45412</v>
      </c>
      <c r="B2109">
        <v>15.65</v>
      </c>
    </row>
    <row r="2110" spans="1:2">
      <c r="A2110" s="1">
        <v>45413</v>
      </c>
      <c r="B2110">
        <v>15.39</v>
      </c>
    </row>
    <row r="2111" spans="1:2">
      <c r="A2111" s="1">
        <v>45414</v>
      </c>
      <c r="B2111">
        <v>14.68</v>
      </c>
    </row>
    <row r="2112" spans="1:2">
      <c r="A2112" s="1">
        <v>45415</v>
      </c>
      <c r="B2112">
        <v>13.49</v>
      </c>
    </row>
    <row r="2113" spans="1:2">
      <c r="A2113" s="1">
        <v>45418</v>
      </c>
      <c r="B2113">
        <v>13.49</v>
      </c>
    </row>
    <row r="2114" spans="1:2">
      <c r="A2114" s="1">
        <v>45419</v>
      </c>
      <c r="B2114">
        <v>13.23</v>
      </c>
    </row>
    <row r="2115" spans="1:2">
      <c r="A2115" s="1">
        <v>45420</v>
      </c>
      <c r="B2115">
        <v>13</v>
      </c>
    </row>
    <row r="2116" spans="1:2">
      <c r="A2116" s="1">
        <v>45421</v>
      </c>
      <c r="B2116">
        <v>12.69</v>
      </c>
    </row>
    <row r="2117" spans="1:2">
      <c r="A2117" s="1">
        <v>45422</v>
      </c>
      <c r="B2117">
        <v>12.55</v>
      </c>
    </row>
    <row r="2118" spans="1:2">
      <c r="A2118" s="1">
        <v>45425</v>
      </c>
      <c r="B2118">
        <v>13.6</v>
      </c>
    </row>
    <row r="2119" spans="1:2">
      <c r="A2119" s="1">
        <v>45426</v>
      </c>
      <c r="B2119">
        <v>13.42</v>
      </c>
    </row>
    <row r="2120" spans="1:2">
      <c r="A2120" s="1">
        <v>45427</v>
      </c>
      <c r="B2120">
        <v>12.45</v>
      </c>
    </row>
    <row r="2121" spans="1:2">
      <c r="A2121" s="1">
        <v>45428</v>
      </c>
      <c r="B2121">
        <v>12.42</v>
      </c>
    </row>
    <row r="2122" spans="1:2">
      <c r="A2122" s="1">
        <v>45429</v>
      </c>
      <c r="B2122">
        <v>11.99</v>
      </c>
    </row>
    <row r="2123" spans="1:2">
      <c r="A2123" s="1">
        <v>45432</v>
      </c>
      <c r="B2123">
        <v>12.15</v>
      </c>
    </row>
    <row r="2124" spans="1:2">
      <c r="A2124" s="1">
        <v>45433</v>
      </c>
      <c r="B2124">
        <v>11.86</v>
      </c>
    </row>
    <row r="2125" spans="1:2">
      <c r="A2125" s="1">
        <v>45434</v>
      </c>
      <c r="B2125">
        <v>12.29</v>
      </c>
    </row>
    <row r="2126" spans="1:2">
      <c r="A2126" s="1">
        <v>45435</v>
      </c>
      <c r="B2126">
        <v>12.77</v>
      </c>
    </row>
    <row r="2127" spans="1:2">
      <c r="A2127" s="1">
        <v>45436</v>
      </c>
      <c r="B2127">
        <v>11.93</v>
      </c>
    </row>
    <row r="2128" spans="1:2">
      <c r="A2128" s="1">
        <v>45439</v>
      </c>
      <c r="B2128">
        <v>12.36</v>
      </c>
    </row>
    <row r="2129" spans="1:2">
      <c r="A2129" s="1">
        <v>45440</v>
      </c>
      <c r="B2129">
        <v>12.92</v>
      </c>
    </row>
    <row r="2130" spans="1:2">
      <c r="A2130" s="1">
        <v>45441</v>
      </c>
      <c r="B2130">
        <v>14.28</v>
      </c>
    </row>
    <row r="2131" spans="1:2">
      <c r="A2131" s="1">
        <v>45442</v>
      </c>
      <c r="B2131">
        <v>14.47</v>
      </c>
    </row>
    <row r="2132" spans="1:2">
      <c r="A2132" s="1">
        <v>45443</v>
      </c>
      <c r="B2132">
        <v>12.92</v>
      </c>
    </row>
    <row r="2133" spans="1:2">
      <c r="A2133" s="1">
        <v>45446</v>
      </c>
      <c r="B2133">
        <v>13.11</v>
      </c>
    </row>
    <row r="2134" spans="1:2">
      <c r="A2134" s="1">
        <v>45447</v>
      </c>
      <c r="B2134">
        <v>13.16</v>
      </c>
    </row>
    <row r="2135" spans="1:2">
      <c r="A2135" s="1">
        <v>45448</v>
      </c>
      <c r="B2135">
        <v>12.63</v>
      </c>
    </row>
    <row r="2136" spans="1:2">
      <c r="A2136" s="1">
        <v>45449</v>
      </c>
      <c r="B2136">
        <v>12.58</v>
      </c>
    </row>
    <row r="2137" spans="1:2">
      <c r="A2137" s="1">
        <v>45450</v>
      </c>
      <c r="B2137">
        <v>12.22</v>
      </c>
    </row>
    <row r="2138" spans="1:2">
      <c r="A2138" s="1">
        <v>45453</v>
      </c>
      <c r="B2138">
        <v>12.74</v>
      </c>
    </row>
    <row r="2139" spans="1:2">
      <c r="A2139" s="1">
        <v>45454</v>
      </c>
      <c r="B2139">
        <v>12.85</v>
      </c>
    </row>
    <row r="2140" spans="1:2">
      <c r="A2140" s="1">
        <v>45455</v>
      </c>
      <c r="B2140">
        <v>12.04</v>
      </c>
    </row>
    <row r="2141" spans="1:2">
      <c r="A2141" s="1">
        <v>45456</v>
      </c>
      <c r="B2141">
        <v>11.94</v>
      </c>
    </row>
    <row r="2142" spans="1:2">
      <c r="A2142" s="1">
        <v>45457</v>
      </c>
      <c r="B2142">
        <v>12.66</v>
      </c>
    </row>
    <row r="2143" spans="1:2">
      <c r="A2143" s="1">
        <v>45460</v>
      </c>
      <c r="B2143">
        <v>12.75</v>
      </c>
    </row>
    <row r="2144" spans="1:2">
      <c r="A2144" s="1">
        <v>45461</v>
      </c>
      <c r="B2144">
        <v>12.3</v>
      </c>
    </row>
    <row r="2145" spans="1:2">
      <c r="A2145" s="1">
        <v>45462</v>
      </c>
      <c r="B2145">
        <v>12.48</v>
      </c>
    </row>
    <row r="2146" spans="1:2">
      <c r="A2146" s="1">
        <v>45463</v>
      </c>
      <c r="B2146">
        <v>13.28</v>
      </c>
    </row>
    <row r="2147" spans="1:2">
      <c r="A2147" s="1">
        <v>45464</v>
      </c>
      <c r="B2147">
        <v>13.2</v>
      </c>
    </row>
    <row r="2148" spans="1:2">
      <c r="A2148" s="1">
        <v>45467</v>
      </c>
      <c r="B2148">
        <v>13.33</v>
      </c>
    </row>
    <row r="2149" spans="1:2">
      <c r="A2149" s="1">
        <v>45468</v>
      </c>
      <c r="B2149">
        <v>12.84</v>
      </c>
    </row>
    <row r="2150" spans="1:2">
      <c r="A2150" s="1">
        <v>45469</v>
      </c>
      <c r="B2150">
        <v>12.55</v>
      </c>
    </row>
    <row r="2151" spans="1:2">
      <c r="A2151" s="1">
        <v>45470</v>
      </c>
      <c r="B2151">
        <v>12.24</v>
      </c>
    </row>
    <row r="2152" spans="1:2">
      <c r="A2152" s="1">
        <v>45471</v>
      </c>
      <c r="B2152">
        <v>12.44</v>
      </c>
    </row>
    <row r="2153" spans="1:2">
      <c r="A2153" s="1">
        <v>45474</v>
      </c>
      <c r="B2153">
        <v>12.22</v>
      </c>
    </row>
    <row r="2154" spans="1:2">
      <c r="A2154" s="1">
        <v>45475</v>
      </c>
      <c r="B2154">
        <v>12.03</v>
      </c>
    </row>
    <row r="2155" spans="1:2">
      <c r="A2155" s="1">
        <v>45476</v>
      </c>
      <c r="B2155">
        <v>12.09</v>
      </c>
    </row>
    <row r="2156" spans="1:2">
      <c r="A2156" s="1">
        <v>45477</v>
      </c>
      <c r="B2156">
        <v>12.26</v>
      </c>
    </row>
    <row r="2157" spans="1:2">
      <c r="A2157" s="1">
        <v>45478</v>
      </c>
      <c r="B2157">
        <v>12.48</v>
      </c>
    </row>
    <row r="2158" spans="1:2">
      <c r="A2158" s="1">
        <v>45481</v>
      </c>
      <c r="B2158">
        <v>12.37</v>
      </c>
    </row>
    <row r="2159" spans="1:2">
      <c r="A2159" s="1">
        <v>45482</v>
      </c>
      <c r="B2159">
        <v>12.51</v>
      </c>
    </row>
    <row r="2160" spans="1:2">
      <c r="A2160" s="1">
        <v>45483</v>
      </c>
      <c r="B2160">
        <v>12.85</v>
      </c>
    </row>
    <row r="2161" spans="1:2">
      <c r="A2161" s="1">
        <v>45484</v>
      </c>
      <c r="B2161">
        <v>12.92</v>
      </c>
    </row>
    <row r="2162" spans="1:2">
      <c r="A2162" s="1">
        <v>45485</v>
      </c>
      <c r="B2162">
        <v>12.46</v>
      </c>
    </row>
    <row r="2163" spans="1:2">
      <c r="A2163" s="1">
        <v>45488</v>
      </c>
      <c r="B2163">
        <v>13.12</v>
      </c>
    </row>
    <row r="2164" spans="1:2">
      <c r="A2164" s="1">
        <v>45489</v>
      </c>
      <c r="B2164">
        <v>13.19</v>
      </c>
    </row>
    <row r="2165" spans="1:2">
      <c r="A2165" s="1">
        <v>45490</v>
      </c>
      <c r="B2165">
        <v>14.48</v>
      </c>
    </row>
    <row r="2166" spans="1:2">
      <c r="A2166" s="1">
        <v>45491</v>
      </c>
      <c r="B2166">
        <v>15.93</v>
      </c>
    </row>
    <row r="2167" spans="1:2">
      <c r="A2167" s="1">
        <v>45492</v>
      </c>
      <c r="B2167">
        <v>16.52</v>
      </c>
    </row>
    <row r="2168" spans="1:2">
      <c r="A2168" s="1">
        <v>45495</v>
      </c>
      <c r="B2168">
        <v>14.91</v>
      </c>
    </row>
    <row r="2169" spans="1:2">
      <c r="A2169" s="1">
        <v>45496</v>
      </c>
      <c r="B2169">
        <v>14.72</v>
      </c>
    </row>
    <row r="2170" spans="1:2">
      <c r="A2170" s="1">
        <v>45497</v>
      </c>
      <c r="B2170">
        <v>18.04</v>
      </c>
    </row>
    <row r="2171" spans="1:2">
      <c r="A2171" s="1">
        <v>45498</v>
      </c>
      <c r="B2171">
        <v>18.46</v>
      </c>
    </row>
    <row r="2172" spans="1:2">
      <c r="A2172" s="1">
        <v>45499</v>
      </c>
      <c r="B2172">
        <v>16.39</v>
      </c>
    </row>
    <row r="2173" spans="1:2">
      <c r="A2173" s="1">
        <v>45502</v>
      </c>
      <c r="B2173">
        <v>16.600000000000001</v>
      </c>
    </row>
    <row r="2174" spans="1:2">
      <c r="A2174" s="1">
        <v>45503</v>
      </c>
      <c r="B2174">
        <v>17.690000000000001</v>
      </c>
    </row>
    <row r="2175" spans="1:2">
      <c r="A2175" s="1">
        <v>45504</v>
      </c>
      <c r="B2175">
        <v>16.36</v>
      </c>
    </row>
    <row r="2176" spans="1:2">
      <c r="A2176" s="1">
        <v>45505</v>
      </c>
      <c r="B2176">
        <v>18.59</v>
      </c>
    </row>
    <row r="2177" spans="1:2">
      <c r="A2177" s="1">
        <v>45506</v>
      </c>
      <c r="B2177">
        <v>23.39</v>
      </c>
    </row>
    <row r="2178" spans="1:2">
      <c r="A2178" s="1">
        <v>45509</v>
      </c>
      <c r="B2178">
        <v>38.57</v>
      </c>
    </row>
    <row r="2179" spans="1:2">
      <c r="A2179" s="1">
        <v>45510</v>
      </c>
      <c r="B2179">
        <v>27.71</v>
      </c>
    </row>
    <row r="2180" spans="1:2">
      <c r="A2180" s="1">
        <v>45511</v>
      </c>
      <c r="B2180">
        <v>27.85</v>
      </c>
    </row>
    <row r="2181" spans="1:2">
      <c r="A2181" s="1">
        <v>45512</v>
      </c>
      <c r="B2181">
        <v>23.79</v>
      </c>
    </row>
    <row r="2182" spans="1:2">
      <c r="A2182" s="1">
        <v>45513</v>
      </c>
      <c r="B2182">
        <v>20.37</v>
      </c>
    </row>
    <row r="2183" spans="1:2">
      <c r="A2183" s="1">
        <v>45516</v>
      </c>
      <c r="B2183">
        <v>20.71</v>
      </c>
    </row>
    <row r="2184" spans="1:2">
      <c r="A2184" s="1">
        <v>45517</v>
      </c>
      <c r="B2184">
        <v>18.12</v>
      </c>
    </row>
    <row r="2185" spans="1:2">
      <c r="A2185" s="1">
        <v>45518</v>
      </c>
      <c r="B2185">
        <v>16.190000000000001</v>
      </c>
    </row>
    <row r="2186" spans="1:2">
      <c r="A2186" s="1">
        <v>45519</v>
      </c>
      <c r="B2186">
        <v>15.23</v>
      </c>
    </row>
    <row r="2187" spans="1:2">
      <c r="A2187" s="1">
        <v>45520</v>
      </c>
      <c r="B2187">
        <v>14.8</v>
      </c>
    </row>
    <row r="2188" spans="1:2">
      <c r="A2188" s="1">
        <v>45523</v>
      </c>
      <c r="B2188">
        <v>14.65</v>
      </c>
    </row>
    <row r="2189" spans="1:2">
      <c r="A2189" s="1">
        <v>45524</v>
      </c>
      <c r="B2189">
        <v>15.88</v>
      </c>
    </row>
    <row r="2190" spans="1:2">
      <c r="A2190" s="1">
        <v>45525</v>
      </c>
      <c r="B2190">
        <v>16.27</v>
      </c>
    </row>
    <row r="2191" spans="1:2">
      <c r="A2191" s="1">
        <v>45526</v>
      </c>
      <c r="B2191">
        <v>17.55</v>
      </c>
    </row>
    <row r="2192" spans="1:2">
      <c r="A2192" s="1">
        <v>45527</v>
      </c>
      <c r="B2192">
        <v>15.86</v>
      </c>
    </row>
    <row r="2193" spans="1:2">
      <c r="A2193" s="1">
        <v>45530</v>
      </c>
      <c r="B2193">
        <v>16.149999999999999</v>
      </c>
    </row>
    <row r="2194" spans="1:2">
      <c r="A2194" s="1">
        <v>45531</v>
      </c>
      <c r="B2194">
        <v>15.43</v>
      </c>
    </row>
    <row r="2195" spans="1:2">
      <c r="A2195" s="1">
        <v>45532</v>
      </c>
      <c r="B2195">
        <v>17.11</v>
      </c>
    </row>
    <row r="2196" spans="1:2">
      <c r="A2196" s="1">
        <v>45533</v>
      </c>
      <c r="B2196">
        <v>15.65</v>
      </c>
    </row>
    <row r="2197" spans="1:2">
      <c r="A2197" s="1">
        <v>45534</v>
      </c>
      <c r="B2197">
        <v>15</v>
      </c>
    </row>
    <row r="2198" spans="1:2">
      <c r="A2198" s="1">
        <v>45537</v>
      </c>
      <c r="B2198">
        <v>15.55</v>
      </c>
    </row>
    <row r="2199" spans="1:2">
      <c r="A2199" s="1">
        <v>45538</v>
      </c>
      <c r="B2199">
        <v>20.72</v>
      </c>
    </row>
    <row r="2200" spans="1:2">
      <c r="A2200" s="1">
        <v>45539</v>
      </c>
      <c r="B2200">
        <v>21.32</v>
      </c>
    </row>
    <row r="2201" spans="1:2">
      <c r="A2201" s="1">
        <v>45540</v>
      </c>
      <c r="B2201">
        <v>19.899999999999999</v>
      </c>
    </row>
    <row r="2202" spans="1:2">
      <c r="A2202" s="1">
        <v>45541</v>
      </c>
      <c r="B2202">
        <v>22.38</v>
      </c>
    </row>
    <row r="2203" spans="1:2">
      <c r="A2203" s="1">
        <v>45544</v>
      </c>
      <c r="B2203">
        <v>19.45</v>
      </c>
    </row>
    <row r="2204" spans="1:2">
      <c r="A2204" s="1">
        <v>45545</v>
      </c>
      <c r="B2204">
        <v>19.079999999999998</v>
      </c>
    </row>
    <row r="2205" spans="1:2">
      <c r="A2205" s="1">
        <v>45546</v>
      </c>
      <c r="B2205">
        <v>17.690000000000001</v>
      </c>
    </row>
    <row r="2206" spans="1:2">
      <c r="A2206" s="1">
        <v>45547</v>
      </c>
      <c r="B2206">
        <v>17.07</v>
      </c>
    </row>
    <row r="2207" spans="1:2">
      <c r="A2207" s="1">
        <v>45548</v>
      </c>
      <c r="B2207">
        <v>16.559999999999999</v>
      </c>
    </row>
    <row r="2208" spans="1:2">
      <c r="A2208" s="1">
        <v>45551</v>
      </c>
      <c r="B2208">
        <v>17.14</v>
      </c>
    </row>
    <row r="2209" spans="1:2">
      <c r="A2209" s="1">
        <v>45552</v>
      </c>
      <c r="B2209">
        <v>17.61</v>
      </c>
    </row>
    <row r="2210" spans="1:2">
      <c r="A2210" s="1">
        <v>45553</v>
      </c>
      <c r="B2210">
        <v>18.23</v>
      </c>
    </row>
    <row r="2211" spans="1:2">
      <c r="A2211" s="1">
        <v>45554</v>
      </c>
      <c r="B2211">
        <v>16.329999999999998</v>
      </c>
    </row>
    <row r="2212" spans="1:2">
      <c r="A2212" s="1">
        <v>45555</v>
      </c>
      <c r="B2212">
        <v>16.149999999999999</v>
      </c>
    </row>
    <row r="2213" spans="1:2">
      <c r="A2213" s="1">
        <v>45558</v>
      </c>
      <c r="B2213">
        <v>15.89</v>
      </c>
    </row>
    <row r="2214" spans="1:2">
      <c r="A2214" s="1">
        <v>45559</v>
      </c>
      <c r="B2214">
        <v>15.39</v>
      </c>
    </row>
    <row r="2215" spans="1:2">
      <c r="A2215" s="1">
        <v>45560</v>
      </c>
      <c r="B2215">
        <v>15.41</v>
      </c>
    </row>
    <row r="2216" spans="1:2">
      <c r="A2216" s="1">
        <v>45561</v>
      </c>
      <c r="B2216">
        <v>15.37</v>
      </c>
    </row>
    <row r="2217" spans="1:2">
      <c r="A2217" s="1">
        <v>45562</v>
      </c>
      <c r="B2217">
        <v>16.96</v>
      </c>
    </row>
    <row r="2218" spans="1:2">
      <c r="A2218" s="1">
        <v>45565</v>
      </c>
      <c r="B2218">
        <v>16.73</v>
      </c>
    </row>
    <row r="2219" spans="1:2">
      <c r="A2219" s="1">
        <v>45566</v>
      </c>
      <c r="B2219">
        <v>19.260000000000002</v>
      </c>
    </row>
    <row r="2220" spans="1:2">
      <c r="A2220" s="1">
        <v>45567</v>
      </c>
      <c r="B2220">
        <v>18.899999999999999</v>
      </c>
    </row>
    <row r="2221" spans="1:2">
      <c r="A2221" s="1">
        <v>45568</v>
      </c>
      <c r="B2221">
        <v>20.49</v>
      </c>
    </row>
    <row r="2222" spans="1:2">
      <c r="A2222" s="1">
        <v>45569</v>
      </c>
      <c r="B2222">
        <v>19.21</v>
      </c>
    </row>
    <row r="2223" spans="1:2">
      <c r="A2223" s="1">
        <v>45572</v>
      </c>
      <c r="B2223">
        <v>22.64</v>
      </c>
    </row>
    <row r="2224" spans="1:2">
      <c r="A2224" s="1">
        <v>45573</v>
      </c>
      <c r="B2224">
        <v>21.42</v>
      </c>
    </row>
    <row r="2225" spans="1:2">
      <c r="A2225" s="1">
        <v>45574</v>
      </c>
      <c r="B2225">
        <v>20.86</v>
      </c>
    </row>
    <row r="2226" spans="1:2">
      <c r="A2226" s="1">
        <v>45575</v>
      </c>
      <c r="B2226">
        <v>20.93</v>
      </c>
    </row>
    <row r="2227" spans="1:2">
      <c r="A2227" s="1">
        <v>45576</v>
      </c>
      <c r="B2227">
        <v>20.46</v>
      </c>
    </row>
    <row r="2228" spans="1:2">
      <c r="A2228" s="1">
        <v>45579</v>
      </c>
      <c r="B2228">
        <v>19.7</v>
      </c>
    </row>
    <row r="2229" spans="1:2">
      <c r="A2229" s="1">
        <v>45580</v>
      </c>
      <c r="B2229">
        <v>20.64</v>
      </c>
    </row>
    <row r="2230" spans="1:2">
      <c r="A2230" s="1">
        <v>45581</v>
      </c>
      <c r="B2230">
        <v>19.579999999999998</v>
      </c>
    </row>
    <row r="2231" spans="1:2">
      <c r="A2231" s="1">
        <v>45582</v>
      </c>
      <c r="B2231">
        <v>19.11</v>
      </c>
    </row>
    <row r="2232" spans="1:2">
      <c r="A2232" s="1">
        <v>45583</v>
      </c>
      <c r="B2232">
        <v>18.03</v>
      </c>
    </row>
    <row r="2233" spans="1:2">
      <c r="A2233" s="1">
        <v>45586</v>
      </c>
      <c r="B2233">
        <v>18.37</v>
      </c>
    </row>
    <row r="2234" spans="1:2">
      <c r="A2234" s="1">
        <v>45587</v>
      </c>
      <c r="B2234">
        <v>18.2</v>
      </c>
    </row>
    <row r="2235" spans="1:2">
      <c r="A2235" s="1">
        <v>45588</v>
      </c>
      <c r="B2235">
        <v>19.239999999999998</v>
      </c>
    </row>
    <row r="2236" spans="1:2">
      <c r="A2236" s="1">
        <v>45589</v>
      </c>
      <c r="B2236">
        <v>19.079999999999998</v>
      </c>
    </row>
    <row r="2237" spans="1:2">
      <c r="A2237" s="1">
        <v>45590</v>
      </c>
      <c r="B2237">
        <v>20.329999999999998</v>
      </c>
    </row>
    <row r="2238" spans="1:2">
      <c r="A2238" s="1">
        <v>45593</v>
      </c>
      <c r="B2238">
        <v>19.8</v>
      </c>
    </row>
    <row r="2239" spans="1:2">
      <c r="A2239" s="1">
        <v>45594</v>
      </c>
      <c r="B2239">
        <v>19.34</v>
      </c>
    </row>
    <row r="2240" spans="1:2">
      <c r="A2240" s="1">
        <v>45595</v>
      </c>
      <c r="B2240">
        <v>20.350000000000001</v>
      </c>
    </row>
    <row r="2241" spans="1:2">
      <c r="A2241" s="1">
        <v>45596</v>
      </c>
      <c r="B2241">
        <v>23.16</v>
      </c>
    </row>
    <row r="2242" spans="1:2">
      <c r="A2242" s="1">
        <v>45597</v>
      </c>
      <c r="B2242">
        <v>21.88</v>
      </c>
    </row>
    <row r="2243" spans="1:2">
      <c r="A2243" s="1">
        <v>45600</v>
      </c>
      <c r="B2243">
        <v>21.98</v>
      </c>
    </row>
    <row r="2244" spans="1:2">
      <c r="A2244" s="1">
        <v>45601</v>
      </c>
      <c r="B2244">
        <v>20.49</v>
      </c>
    </row>
    <row r="2245" spans="1:2">
      <c r="A2245" s="1">
        <v>45602</v>
      </c>
      <c r="B2245">
        <v>16.27</v>
      </c>
    </row>
    <row r="2246" spans="1:2">
      <c r="A2246" s="1">
        <v>45603</v>
      </c>
      <c r="B2246">
        <v>15.2</v>
      </c>
    </row>
    <row r="2247" spans="1:2">
      <c r="A2247" s="1">
        <v>45604</v>
      </c>
      <c r="B2247">
        <v>14.94</v>
      </c>
    </row>
    <row r="2248" spans="1:2">
      <c r="A2248" s="1">
        <v>45607</v>
      </c>
      <c r="B2248">
        <v>14.97</v>
      </c>
    </row>
    <row r="2249" spans="1:2">
      <c r="A2249" s="1">
        <v>45608</v>
      </c>
      <c r="B2249">
        <v>14.71</v>
      </c>
    </row>
    <row r="2250" spans="1:2">
      <c r="A2250" s="1">
        <v>45609</v>
      </c>
      <c r="B2250">
        <v>14.02</v>
      </c>
    </row>
    <row r="2251" spans="1:2">
      <c r="A2251" s="1">
        <v>45610</v>
      </c>
      <c r="B2251">
        <v>14.31</v>
      </c>
    </row>
    <row r="2252" spans="1:2">
      <c r="A2252" s="1">
        <v>45611</v>
      </c>
      <c r="B2252">
        <v>16.14</v>
      </c>
    </row>
    <row r="2253" spans="1:2">
      <c r="A2253" s="1">
        <v>45614</v>
      </c>
      <c r="B2253">
        <v>15.58</v>
      </c>
    </row>
    <row r="2254" spans="1:2">
      <c r="A2254" s="1">
        <v>45615</v>
      </c>
      <c r="B2254">
        <v>16.350000000000001</v>
      </c>
    </row>
    <row r="2255" spans="1:2">
      <c r="A2255" s="1">
        <v>45616</v>
      </c>
      <c r="B2255">
        <v>17.16</v>
      </c>
    </row>
    <row r="2256" spans="1:2">
      <c r="A2256" s="1">
        <v>45617</v>
      </c>
      <c r="B2256">
        <v>16.87</v>
      </c>
    </row>
    <row r="2257" spans="1:2">
      <c r="A2257" s="1">
        <v>45618</v>
      </c>
      <c r="B2257">
        <v>15.24</v>
      </c>
    </row>
    <row r="2258" spans="1:2">
      <c r="A2258" s="1">
        <v>45621</v>
      </c>
      <c r="B2258">
        <v>14.6</v>
      </c>
    </row>
    <row r="2259" spans="1:2">
      <c r="A2259" s="1">
        <v>45622</v>
      </c>
      <c r="B2259">
        <v>14.1</v>
      </c>
    </row>
    <row r="2260" spans="1:2">
      <c r="A2260" s="1">
        <v>45623</v>
      </c>
      <c r="B2260">
        <v>14.1</v>
      </c>
    </row>
    <row r="2261" spans="1:2">
      <c r="A2261" s="1">
        <v>45624</v>
      </c>
      <c r="B2261">
        <v>13.9</v>
      </c>
    </row>
    <row r="2262" spans="1:2">
      <c r="A2262" s="1">
        <v>45625</v>
      </c>
      <c r="B2262">
        <v>13.51</v>
      </c>
    </row>
    <row r="2263" spans="1:2">
      <c r="A2263" s="1">
        <v>45628</v>
      </c>
      <c r="B2263">
        <v>13.34</v>
      </c>
    </row>
    <row r="2264" spans="1:2">
      <c r="A2264" s="1">
        <v>45629</v>
      </c>
      <c r="B2264">
        <v>13.3</v>
      </c>
    </row>
    <row r="2265" spans="1:2">
      <c r="A2265" s="1">
        <v>45630</v>
      </c>
      <c r="B2265">
        <v>13.45</v>
      </c>
    </row>
    <row r="2266" spans="1:2">
      <c r="A2266" s="1">
        <v>45631</v>
      </c>
      <c r="B2266">
        <v>13.54</v>
      </c>
    </row>
    <row r="2267" spans="1:2">
      <c r="A2267" s="1">
        <v>45632</v>
      </c>
      <c r="B2267">
        <v>12.77</v>
      </c>
    </row>
    <row r="2268" spans="1:2">
      <c r="A2268" s="1">
        <v>45635</v>
      </c>
      <c r="B2268">
        <v>14.19</v>
      </c>
    </row>
    <row r="2269" spans="1:2">
      <c r="A2269" s="1">
        <v>45636</v>
      </c>
      <c r="B2269">
        <v>14.18</v>
      </c>
    </row>
    <row r="2270" spans="1:2">
      <c r="A2270" s="1">
        <v>45637</v>
      </c>
      <c r="B2270">
        <v>13.58</v>
      </c>
    </row>
    <row r="2271" spans="1:2">
      <c r="A2271" s="1">
        <v>45638</v>
      </c>
      <c r="B2271">
        <v>13.92</v>
      </c>
    </row>
    <row r="2272" spans="1:2">
      <c r="A2272" s="1">
        <v>45639</v>
      </c>
      <c r="B2272">
        <v>13.81</v>
      </c>
    </row>
    <row r="2273" spans="1:2">
      <c r="A2273" s="1">
        <v>45642</v>
      </c>
      <c r="B2273">
        <v>14.69</v>
      </c>
    </row>
    <row r="2274" spans="1:2">
      <c r="A2274" s="1">
        <v>45643</v>
      </c>
      <c r="B2274">
        <v>15.87</v>
      </c>
    </row>
    <row r="2275" spans="1:2">
      <c r="A2275" s="1">
        <v>45644</v>
      </c>
      <c r="B2275">
        <v>27.62</v>
      </c>
    </row>
    <row r="2276" spans="1:2">
      <c r="A2276" s="1">
        <v>45645</v>
      </c>
      <c r="B2276">
        <v>24.09</v>
      </c>
    </row>
    <row r="2277" spans="1:2">
      <c r="A2277" s="1">
        <v>45646</v>
      </c>
      <c r="B2277">
        <v>18.36</v>
      </c>
    </row>
    <row r="2278" spans="1:2">
      <c r="A2278" s="1">
        <v>45649</v>
      </c>
      <c r="B2278">
        <v>16.78</v>
      </c>
    </row>
    <row r="2279" spans="1:2">
      <c r="A2279" s="1">
        <v>45650</v>
      </c>
      <c r="B2279">
        <v>14.27</v>
      </c>
    </row>
    <row r="2280" spans="1:2">
      <c r="A2280" s="1">
        <v>45651</v>
      </c>
    </row>
    <row r="2281" spans="1:2">
      <c r="A2281" s="1">
        <v>45652</v>
      </c>
      <c r="B2281">
        <v>14.73</v>
      </c>
    </row>
    <row r="2282" spans="1:2">
      <c r="A2282" s="1">
        <v>45653</v>
      </c>
      <c r="B2282">
        <v>15.95</v>
      </c>
    </row>
    <row r="2283" spans="1:2">
      <c r="A2283" s="1">
        <v>45656</v>
      </c>
      <c r="B2283">
        <v>17.399999999999999</v>
      </c>
    </row>
    <row r="2284" spans="1:2">
      <c r="A2284" s="1">
        <v>45657</v>
      </c>
      <c r="B2284">
        <v>17.350000000000001</v>
      </c>
    </row>
    <row r="2285" spans="1:2">
      <c r="A2285" s="1">
        <v>45658</v>
      </c>
    </row>
    <row r="2286" spans="1:2">
      <c r="A2286" s="1">
        <v>45659</v>
      </c>
      <c r="B2286">
        <v>17.93</v>
      </c>
    </row>
    <row r="2287" spans="1:2">
      <c r="A2287" s="1">
        <v>45660</v>
      </c>
      <c r="B2287">
        <v>16.13</v>
      </c>
    </row>
    <row r="2288" spans="1:2">
      <c r="A2288" s="1">
        <v>45663</v>
      </c>
      <c r="B2288">
        <v>16.04</v>
      </c>
    </row>
    <row r="2289" spans="1:2">
      <c r="A2289" s="1">
        <v>45664</v>
      </c>
      <c r="B2289">
        <v>17.82</v>
      </c>
    </row>
    <row r="2290" spans="1:2">
      <c r="A2290" s="1">
        <v>45665</v>
      </c>
      <c r="B2290">
        <v>17.7</v>
      </c>
    </row>
    <row r="2291" spans="1:2">
      <c r="A2291" s="1">
        <v>45666</v>
      </c>
      <c r="B2291">
        <v>18.07</v>
      </c>
    </row>
    <row r="2292" spans="1:2">
      <c r="A2292" s="1">
        <v>45667</v>
      </c>
      <c r="B2292">
        <v>19.54</v>
      </c>
    </row>
    <row r="2293" spans="1:2">
      <c r="A2293" s="1">
        <v>45670</v>
      </c>
      <c r="B2293">
        <v>19.190000000000001</v>
      </c>
    </row>
    <row r="2294" spans="1:2">
      <c r="A2294" s="1">
        <v>45671</v>
      </c>
      <c r="B2294">
        <v>18.71</v>
      </c>
    </row>
    <row r="2295" spans="1:2">
      <c r="A2295" s="1">
        <v>45672</v>
      </c>
      <c r="B2295">
        <v>16.12</v>
      </c>
    </row>
    <row r="2296" spans="1:2">
      <c r="A2296" s="1">
        <v>45673</v>
      </c>
      <c r="B2296">
        <v>16.600000000000001</v>
      </c>
    </row>
    <row r="2297" spans="1:2">
      <c r="A2297" s="1">
        <v>45674</v>
      </c>
      <c r="B2297">
        <v>15.97</v>
      </c>
    </row>
    <row r="2298" spans="1:2">
      <c r="A2298" s="1">
        <v>45677</v>
      </c>
      <c r="B2298">
        <v>15.81</v>
      </c>
    </row>
    <row r="2299" spans="1:2">
      <c r="A2299" s="1">
        <v>45678</v>
      </c>
      <c r="B2299">
        <v>15.06</v>
      </c>
    </row>
    <row r="2300" spans="1:2">
      <c r="A2300" s="1">
        <v>45679</v>
      </c>
      <c r="B2300">
        <v>15.1</v>
      </c>
    </row>
    <row r="2301" spans="1:2">
      <c r="A2301" s="1">
        <v>45680</v>
      </c>
      <c r="B2301">
        <v>15.02</v>
      </c>
    </row>
    <row r="2302" spans="1:2">
      <c r="A2302" s="1">
        <v>45681</v>
      </c>
      <c r="B2302">
        <v>14.85</v>
      </c>
    </row>
    <row r="2303" spans="1:2">
      <c r="A2303" s="1">
        <v>45684</v>
      </c>
      <c r="B2303">
        <v>17.899999999999999</v>
      </c>
    </row>
    <row r="2304" spans="1:2">
      <c r="A2304" s="1">
        <v>45685</v>
      </c>
      <c r="B2304">
        <v>16.41</v>
      </c>
    </row>
    <row r="2305" spans="1:2">
      <c r="A2305" s="1">
        <v>45686</v>
      </c>
      <c r="B2305">
        <v>16.559999999999999</v>
      </c>
    </row>
    <row r="2306" spans="1:2">
      <c r="A2306" s="1">
        <v>45687</v>
      </c>
      <c r="B2306">
        <v>15.84</v>
      </c>
    </row>
    <row r="2307" spans="1:2">
      <c r="A2307" s="1">
        <v>45688</v>
      </c>
      <c r="B2307">
        <v>16.43</v>
      </c>
    </row>
    <row r="2308" spans="1:2">
      <c r="A2308" s="1">
        <v>45691</v>
      </c>
      <c r="B2308">
        <v>18.62</v>
      </c>
    </row>
    <row r="2309" spans="1:2">
      <c r="A2309" s="1">
        <v>45692</v>
      </c>
      <c r="B2309">
        <v>17.21</v>
      </c>
    </row>
    <row r="2310" spans="1:2">
      <c r="A2310" s="1">
        <v>45693</v>
      </c>
      <c r="B2310">
        <v>15.77</v>
      </c>
    </row>
    <row r="2311" spans="1:2">
      <c r="A2311" s="1">
        <v>45694</v>
      </c>
      <c r="B2311">
        <v>15.5</v>
      </c>
    </row>
    <row r="2312" spans="1:2">
      <c r="A2312" s="1">
        <v>45695</v>
      </c>
      <c r="B2312">
        <v>16.54</v>
      </c>
    </row>
    <row r="2313" spans="1:2">
      <c r="A2313" s="1">
        <v>45698</v>
      </c>
      <c r="B2313">
        <v>15.81</v>
      </c>
    </row>
    <row r="2314" spans="1:2">
      <c r="A2314" s="1">
        <v>45699</v>
      </c>
      <c r="B2314">
        <v>16.02</v>
      </c>
    </row>
    <row r="2315" spans="1:2">
      <c r="A2315" s="1">
        <v>45700</v>
      </c>
      <c r="B2315">
        <v>15.89</v>
      </c>
    </row>
    <row r="2316" spans="1:2">
      <c r="A2316" s="1">
        <v>45701</v>
      </c>
      <c r="B2316">
        <v>15.1</v>
      </c>
    </row>
    <row r="2317" spans="1:2">
      <c r="A2317" s="1">
        <v>45702</v>
      </c>
      <c r="B2317">
        <v>14.77</v>
      </c>
    </row>
    <row r="2318" spans="1:2">
      <c r="A2318" s="1">
        <v>45705</v>
      </c>
      <c r="B2318">
        <v>15.37</v>
      </c>
    </row>
    <row r="2319" spans="1:2">
      <c r="A2319" s="1">
        <v>45706</v>
      </c>
      <c r="B2319">
        <v>15.35</v>
      </c>
    </row>
    <row r="2320" spans="1:2">
      <c r="A2320" s="1">
        <v>45707</v>
      </c>
      <c r="B2320">
        <v>15.27</v>
      </c>
    </row>
    <row r="2321" spans="1:2">
      <c r="A2321" s="1">
        <v>45708</v>
      </c>
      <c r="B2321">
        <v>15.66</v>
      </c>
    </row>
    <row r="2322" spans="1:2">
      <c r="A2322" s="1">
        <v>45709</v>
      </c>
      <c r="B2322">
        <v>18.21</v>
      </c>
    </row>
    <row r="2323" spans="1:2">
      <c r="A2323" s="1">
        <v>45712</v>
      </c>
      <c r="B2323">
        <v>18.98</v>
      </c>
    </row>
    <row r="2324" spans="1:2">
      <c r="A2324" s="1">
        <v>45713</v>
      </c>
      <c r="B2324">
        <v>19.43</v>
      </c>
    </row>
    <row r="2325" spans="1:2">
      <c r="A2325" s="1">
        <v>45714</v>
      </c>
      <c r="B2325">
        <v>19.100000000000001</v>
      </c>
    </row>
    <row r="2326" spans="1:2">
      <c r="A2326" s="1">
        <v>45715</v>
      </c>
      <c r="B2326">
        <v>21.13</v>
      </c>
    </row>
    <row r="2327" spans="1:2">
      <c r="A2327" s="1">
        <v>45716</v>
      </c>
      <c r="B2327">
        <v>19.63</v>
      </c>
    </row>
    <row r="2328" spans="1:2">
      <c r="A2328" s="1">
        <v>45719</v>
      </c>
      <c r="B2328">
        <v>22.78</v>
      </c>
    </row>
    <row r="2329" spans="1:2">
      <c r="A2329" s="1">
        <v>45720</v>
      </c>
      <c r="B2329">
        <v>23.51</v>
      </c>
    </row>
    <row r="2330" spans="1:2">
      <c r="A2330" s="1">
        <v>45721</v>
      </c>
      <c r="B2330">
        <v>21.93</v>
      </c>
    </row>
    <row r="2331" spans="1:2">
      <c r="A2331" s="1">
        <v>45722</v>
      </c>
      <c r="B2331">
        <v>24.87</v>
      </c>
    </row>
    <row r="2332" spans="1:2">
      <c r="A2332" s="1">
        <v>45723</v>
      </c>
      <c r="B2332">
        <v>23.37</v>
      </c>
    </row>
    <row r="2333" spans="1:2">
      <c r="A2333" s="1">
        <v>45726</v>
      </c>
      <c r="B2333">
        <v>27.86</v>
      </c>
    </row>
    <row r="2334" spans="1:2">
      <c r="A2334" s="1">
        <v>45727</v>
      </c>
      <c r="B2334">
        <v>26.92</v>
      </c>
    </row>
    <row r="2335" spans="1:2">
      <c r="A2335" s="1">
        <v>45728</v>
      </c>
      <c r="B2335">
        <v>24.23</v>
      </c>
    </row>
    <row r="2336" spans="1:2">
      <c r="A2336" s="1">
        <v>45729</v>
      </c>
      <c r="B2336">
        <v>24.66</v>
      </c>
    </row>
    <row r="2337" spans="1:2">
      <c r="A2337" s="1">
        <v>45730</v>
      </c>
      <c r="B2337">
        <v>21.77</v>
      </c>
    </row>
    <row r="2338" spans="1:2">
      <c r="A2338" s="1">
        <v>45733</v>
      </c>
      <c r="B2338">
        <v>20.51</v>
      </c>
    </row>
    <row r="2339" spans="1:2">
      <c r="A2339" s="1">
        <v>45734</v>
      </c>
      <c r="B2339">
        <v>21.7</v>
      </c>
    </row>
    <row r="2340" spans="1:2">
      <c r="A2340" s="1">
        <v>45735</v>
      </c>
      <c r="B2340">
        <v>19.899999999999999</v>
      </c>
    </row>
    <row r="2341" spans="1:2">
      <c r="A2341" s="1">
        <v>45736</v>
      </c>
      <c r="B2341">
        <v>19.8</v>
      </c>
    </row>
    <row r="2342" spans="1:2">
      <c r="A2342" s="1">
        <v>45737</v>
      </c>
      <c r="B2342">
        <v>19.28</v>
      </c>
    </row>
    <row r="2343" spans="1:2">
      <c r="A2343" s="1">
        <v>45740</v>
      </c>
      <c r="B2343">
        <v>17.48</v>
      </c>
    </row>
    <row r="2344" spans="1:2">
      <c r="A2344" s="1">
        <v>45741</v>
      </c>
      <c r="B2344">
        <v>17.149999999999999</v>
      </c>
    </row>
    <row r="2345" spans="1:2">
      <c r="A2345" s="1">
        <v>45742</v>
      </c>
      <c r="B2345">
        <v>18.329999999999998</v>
      </c>
    </row>
    <row r="2346" spans="1:2">
      <c r="A2346" s="1">
        <v>45743</v>
      </c>
      <c r="B2346">
        <v>18.690000000000001</v>
      </c>
    </row>
    <row r="2347" spans="1:2">
      <c r="A2347" s="1">
        <v>45744</v>
      </c>
      <c r="B2347">
        <v>21.65</v>
      </c>
    </row>
    <row r="2348" spans="1:2">
      <c r="A2348" s="1">
        <v>45747</v>
      </c>
      <c r="B2348">
        <v>22.28</v>
      </c>
    </row>
    <row r="2349" spans="1:2">
      <c r="A2349" s="1">
        <v>45748</v>
      </c>
      <c r="B2349">
        <v>21.77</v>
      </c>
    </row>
    <row r="2350" spans="1:2">
      <c r="A2350" s="1">
        <v>45749</v>
      </c>
      <c r="B2350">
        <v>21.51</v>
      </c>
    </row>
    <row r="2351" spans="1:2">
      <c r="A2351" s="1">
        <v>45750</v>
      </c>
      <c r="B2351">
        <v>30.02</v>
      </c>
    </row>
    <row r="2352" spans="1:2">
      <c r="A2352" s="1">
        <v>45751</v>
      </c>
      <c r="B2352">
        <v>45.31</v>
      </c>
    </row>
    <row r="2353" spans="1:2">
      <c r="A2353" s="1">
        <v>45754</v>
      </c>
      <c r="B2353">
        <v>46.98</v>
      </c>
    </row>
    <row r="2354" spans="1:2">
      <c r="A2354" s="1">
        <v>45755</v>
      </c>
      <c r="B2354">
        <v>52.33</v>
      </c>
    </row>
    <row r="2355" spans="1:2">
      <c r="A2355" s="1">
        <v>45756</v>
      </c>
      <c r="B2355">
        <v>33.619999999999997</v>
      </c>
    </row>
    <row r="2356" spans="1:2">
      <c r="A2356" s="1">
        <v>45757</v>
      </c>
      <c r="B2356">
        <v>40.72</v>
      </c>
    </row>
    <row r="2357" spans="1:2">
      <c r="A2357" s="1">
        <v>45758</v>
      </c>
      <c r="B2357">
        <v>37.56</v>
      </c>
    </row>
    <row r="2358" spans="1:2">
      <c r="A2358" s="1">
        <v>45761</v>
      </c>
      <c r="B2358">
        <v>30.89</v>
      </c>
    </row>
    <row r="2359" spans="1:2">
      <c r="A2359" s="1">
        <v>45762</v>
      </c>
      <c r="B2359">
        <v>30.12</v>
      </c>
    </row>
    <row r="2360" spans="1:2">
      <c r="A2360" s="1">
        <v>45763</v>
      </c>
      <c r="B2360">
        <v>32.64</v>
      </c>
    </row>
    <row r="2361" spans="1:2">
      <c r="A2361" s="1">
        <v>45764</v>
      </c>
      <c r="B2361">
        <v>29.65</v>
      </c>
    </row>
    <row r="2362" spans="1:2">
      <c r="A2362" s="1">
        <v>45765</v>
      </c>
    </row>
    <row r="2363" spans="1:2">
      <c r="A2363" s="1">
        <v>45768</v>
      </c>
      <c r="B2363">
        <v>33.82</v>
      </c>
    </row>
    <row r="2364" spans="1:2">
      <c r="A2364" s="1">
        <v>45769</v>
      </c>
      <c r="B2364">
        <v>30.57</v>
      </c>
    </row>
    <row r="2365" spans="1:2">
      <c r="A2365" s="1">
        <v>45770</v>
      </c>
      <c r="B2365">
        <v>28.45</v>
      </c>
    </row>
    <row r="2366" spans="1:2">
      <c r="A2366" s="1">
        <v>45771</v>
      </c>
      <c r="B2366">
        <v>26.47</v>
      </c>
    </row>
    <row r="2367" spans="1:2">
      <c r="A2367" s="1">
        <v>45772</v>
      </c>
      <c r="B2367">
        <v>24.84</v>
      </c>
    </row>
    <row r="2368" spans="1:2">
      <c r="A2368" s="1">
        <v>45775</v>
      </c>
      <c r="B2368">
        <v>25.15</v>
      </c>
    </row>
    <row r="2369" spans="1:2">
      <c r="A2369" s="1">
        <v>45776</v>
      </c>
      <c r="B2369">
        <v>24.17</v>
      </c>
    </row>
    <row r="2370" spans="1:2">
      <c r="A2370" s="1">
        <v>45777</v>
      </c>
      <c r="B2370">
        <v>24.7</v>
      </c>
    </row>
    <row r="2371" spans="1:2">
      <c r="A2371" s="1">
        <v>45778</v>
      </c>
      <c r="B2371">
        <v>24.6</v>
      </c>
    </row>
    <row r="2372" spans="1:2">
      <c r="A2372" s="1">
        <v>45779</v>
      </c>
      <c r="B2372">
        <v>22.68</v>
      </c>
    </row>
    <row r="2373" spans="1:2">
      <c r="A2373" s="1">
        <v>45782</v>
      </c>
      <c r="B2373">
        <v>23.64</v>
      </c>
    </row>
    <row r="2374" spans="1:2">
      <c r="A2374" s="1">
        <v>45783</v>
      </c>
      <c r="B2374">
        <v>24.76</v>
      </c>
    </row>
    <row r="2375" spans="1:2">
      <c r="A2375" s="1">
        <v>45784</v>
      </c>
      <c r="B2375">
        <v>23.55</v>
      </c>
    </row>
    <row r="2376" spans="1:2">
      <c r="A2376" s="1">
        <v>45785</v>
      </c>
      <c r="B2376">
        <v>22.48</v>
      </c>
    </row>
    <row r="2377" spans="1:2">
      <c r="A2377" s="1">
        <v>45786</v>
      </c>
      <c r="B2377">
        <v>21.9</v>
      </c>
    </row>
    <row r="2378" spans="1:2">
      <c r="A2378" s="1">
        <v>45789</v>
      </c>
      <c r="B2378">
        <v>18.39</v>
      </c>
    </row>
    <row r="2379" spans="1:2">
      <c r="A2379" s="1">
        <v>45790</v>
      </c>
      <c r="B2379">
        <v>18.22</v>
      </c>
    </row>
    <row r="2380" spans="1:2">
      <c r="A2380" s="1">
        <v>45791</v>
      </c>
      <c r="B2380">
        <v>18.62</v>
      </c>
    </row>
    <row r="2381" spans="1:2">
      <c r="A2381" s="1">
        <v>45792</v>
      </c>
      <c r="B2381">
        <v>17.829999999999998</v>
      </c>
    </row>
    <row r="2382" spans="1:2">
      <c r="A2382" s="1">
        <v>45793</v>
      </c>
      <c r="B2382">
        <v>17.239999999999998</v>
      </c>
    </row>
    <row r="2383" spans="1:2">
      <c r="A2383" s="1">
        <v>45796</v>
      </c>
      <c r="B2383">
        <v>18.14</v>
      </c>
    </row>
    <row r="2384" spans="1:2">
      <c r="A2384" s="1">
        <v>45797</v>
      </c>
      <c r="B2384">
        <v>18.09</v>
      </c>
    </row>
    <row r="2385" spans="1:2">
      <c r="A2385" s="1">
        <v>45798</v>
      </c>
      <c r="B2385">
        <v>20.87</v>
      </c>
    </row>
    <row r="2386" spans="1:2">
      <c r="A2386" s="1">
        <v>45799</v>
      </c>
      <c r="B2386">
        <v>20.28</v>
      </c>
    </row>
    <row r="2387" spans="1:2">
      <c r="A2387" s="1">
        <v>45800</v>
      </c>
      <c r="B2387">
        <v>22.29</v>
      </c>
    </row>
    <row r="2388" spans="1:2">
      <c r="A2388" s="1">
        <v>45803</v>
      </c>
      <c r="B2388">
        <v>20.57</v>
      </c>
    </row>
    <row r="2389" spans="1:2">
      <c r="A2389" s="1">
        <v>45804</v>
      </c>
      <c r="B2389">
        <v>18.96</v>
      </c>
    </row>
    <row r="2390" spans="1:2">
      <c r="A2390" s="1">
        <v>45805</v>
      </c>
      <c r="B2390">
        <v>19.309999999999999</v>
      </c>
    </row>
    <row r="2391" spans="1:2">
      <c r="A2391" s="1">
        <v>45806</v>
      </c>
      <c r="B2391">
        <v>19.18</v>
      </c>
    </row>
    <row r="2392" spans="1:2">
      <c r="A2392" s="1">
        <v>45807</v>
      </c>
      <c r="B2392">
        <v>18.57</v>
      </c>
    </row>
    <row r="2393" spans="1:2">
      <c r="A2393" s="1">
        <v>45810</v>
      </c>
      <c r="B2393">
        <v>18.36</v>
      </c>
    </row>
    <row r="2394" spans="1:2">
      <c r="A2394" s="1">
        <v>45811</v>
      </c>
      <c r="B2394">
        <v>17.690000000000001</v>
      </c>
    </row>
    <row r="2395" spans="1:2">
      <c r="A2395" s="1">
        <v>45812</v>
      </c>
      <c r="B2395">
        <v>17.61</v>
      </c>
    </row>
    <row r="2396" spans="1:2">
      <c r="A2396" s="1">
        <v>45813</v>
      </c>
      <c r="B2396">
        <v>18.48</v>
      </c>
    </row>
    <row r="2397" spans="1:2">
      <c r="A2397" s="1">
        <v>45814</v>
      </c>
      <c r="B2397">
        <v>16.77</v>
      </c>
    </row>
    <row r="2398" spans="1:2">
      <c r="A2398" s="1">
        <v>45817</v>
      </c>
      <c r="B2398">
        <v>17.16</v>
      </c>
    </row>
    <row r="2399" spans="1:2">
      <c r="A2399" s="1">
        <v>45818</v>
      </c>
      <c r="B2399">
        <v>16.95</v>
      </c>
    </row>
    <row r="2400" spans="1:2">
      <c r="A2400" s="1">
        <v>45819</v>
      </c>
      <c r="B2400">
        <v>17.260000000000002</v>
      </c>
    </row>
    <row r="2401" spans="1:2">
      <c r="A2401" s="1">
        <v>45820</v>
      </c>
      <c r="B2401">
        <v>18.02</v>
      </c>
    </row>
    <row r="2402" spans="1:2">
      <c r="A2402" s="1">
        <v>45821</v>
      </c>
      <c r="B2402">
        <v>20.82</v>
      </c>
    </row>
    <row r="2403" spans="1:2">
      <c r="A2403" s="1">
        <v>45824</v>
      </c>
      <c r="B2403">
        <v>19.11</v>
      </c>
    </row>
    <row r="2404" spans="1:2">
      <c r="A2404" s="1">
        <v>45825</v>
      </c>
      <c r="B2404">
        <v>21.6</v>
      </c>
    </row>
    <row r="2405" spans="1:2">
      <c r="A2405" s="1">
        <v>45826</v>
      </c>
      <c r="B2405">
        <v>20.14</v>
      </c>
    </row>
    <row r="2406" spans="1:2">
      <c r="A2406" s="1">
        <v>45827</v>
      </c>
      <c r="B2406">
        <v>22.17</v>
      </c>
    </row>
    <row r="2407" spans="1:2">
      <c r="A2407" s="1">
        <v>45828</v>
      </c>
      <c r="B2407">
        <v>20.62</v>
      </c>
    </row>
    <row r="2408" spans="1:2">
      <c r="A2408" s="1">
        <v>45831</v>
      </c>
      <c r="B2408">
        <v>19.829999999999998</v>
      </c>
    </row>
    <row r="2409" spans="1:2">
      <c r="A2409" s="1">
        <v>45832</v>
      </c>
      <c r="B2409">
        <v>17.48</v>
      </c>
    </row>
    <row r="2410" spans="1:2">
      <c r="A2410" s="1">
        <v>45833</v>
      </c>
      <c r="B2410">
        <v>16.760000000000002</v>
      </c>
    </row>
    <row r="2411" spans="1:2">
      <c r="A2411" s="1">
        <v>45834</v>
      </c>
      <c r="B2411">
        <v>16.59</v>
      </c>
    </row>
    <row r="2412" spans="1:2">
      <c r="A2412" s="1">
        <v>45835</v>
      </c>
      <c r="B2412">
        <v>16.32</v>
      </c>
    </row>
    <row r="2413" spans="1:2">
      <c r="A2413" s="1">
        <v>45838</v>
      </c>
      <c r="B2413">
        <v>16.73</v>
      </c>
    </row>
    <row r="2414" spans="1:2">
      <c r="A2414" s="1">
        <v>45839</v>
      </c>
      <c r="B2414">
        <v>16.829999999999998</v>
      </c>
    </row>
    <row r="2415" spans="1:2">
      <c r="A2415" s="1">
        <v>45840</v>
      </c>
      <c r="B2415">
        <v>16.64</v>
      </c>
    </row>
    <row r="2416" spans="1:2">
      <c r="A2416" s="1">
        <v>45841</v>
      </c>
      <c r="B2416">
        <v>16.38</v>
      </c>
    </row>
    <row r="2417" spans="1:2">
      <c r="A2417" s="1">
        <v>45842</v>
      </c>
      <c r="B2417">
        <v>17.48</v>
      </c>
    </row>
    <row r="2418" spans="1:2">
      <c r="A2418" s="1">
        <v>45845</v>
      </c>
      <c r="B2418">
        <v>17.79</v>
      </c>
    </row>
    <row r="2419" spans="1:2">
      <c r="A2419" s="1">
        <v>45846</v>
      </c>
      <c r="B2419">
        <v>16.809999999999999</v>
      </c>
    </row>
    <row r="2420" spans="1:2">
      <c r="A2420" s="1">
        <v>45847</v>
      </c>
      <c r="B2420">
        <v>15.94</v>
      </c>
    </row>
    <row r="2421" spans="1:2">
      <c r="A2421" s="1">
        <v>45848</v>
      </c>
      <c r="B2421">
        <v>15.78</v>
      </c>
    </row>
    <row r="2422" spans="1:2">
      <c r="A2422" s="1">
        <v>45849</v>
      </c>
      <c r="B2422">
        <v>16.399999999999999</v>
      </c>
    </row>
    <row r="2423" spans="1:2">
      <c r="A2423" s="1">
        <v>45852</v>
      </c>
      <c r="B2423">
        <v>17.2</v>
      </c>
    </row>
    <row r="2424" spans="1:2">
      <c r="A2424" s="1">
        <v>45853</v>
      </c>
      <c r="B2424">
        <v>17.38</v>
      </c>
    </row>
    <row r="2425" spans="1:2">
      <c r="A2425" s="1">
        <v>45854</v>
      </c>
      <c r="B2425">
        <v>17.16</v>
      </c>
    </row>
    <row r="2426" spans="1:2">
      <c r="A2426" s="1">
        <v>45855</v>
      </c>
      <c r="B2426">
        <v>16.52</v>
      </c>
    </row>
    <row r="2427" spans="1:2">
      <c r="A2427" s="1">
        <v>45856</v>
      </c>
      <c r="B2427">
        <v>16.41</v>
      </c>
    </row>
    <row r="2428" spans="1:2">
      <c r="A2428" s="1">
        <v>45859</v>
      </c>
      <c r="B2428">
        <v>16.649999999999999</v>
      </c>
    </row>
    <row r="2429" spans="1:2">
      <c r="A2429" s="1">
        <v>45860</v>
      </c>
      <c r="B2429">
        <v>16.5</v>
      </c>
    </row>
    <row r="2430" spans="1:2">
      <c r="A2430" s="1">
        <v>45861</v>
      </c>
      <c r="B2430">
        <v>15.37</v>
      </c>
    </row>
    <row r="2431" spans="1:2">
      <c r="A2431" s="1">
        <v>45862</v>
      </c>
      <c r="B2431">
        <v>15.39</v>
      </c>
    </row>
    <row r="2432" spans="1:2">
      <c r="A2432" s="1">
        <v>45863</v>
      </c>
      <c r="B2432">
        <v>14.93</v>
      </c>
    </row>
    <row r="2433" spans="1:2">
      <c r="A2433" s="1">
        <v>45866</v>
      </c>
      <c r="B2433">
        <v>15.03</v>
      </c>
    </row>
    <row r="2434" spans="1:2">
      <c r="A2434" s="1">
        <v>45867</v>
      </c>
      <c r="B2434">
        <v>15.98</v>
      </c>
    </row>
    <row r="2435" spans="1:2">
      <c r="A2435" s="1">
        <v>45868</v>
      </c>
      <c r="B2435">
        <v>15.48</v>
      </c>
    </row>
    <row r="2436" spans="1:2">
      <c r="A2436" s="1">
        <v>45869</v>
      </c>
      <c r="B2436">
        <v>16.72</v>
      </c>
    </row>
    <row r="2437" spans="1:2">
      <c r="A2437" s="1">
        <v>45870</v>
      </c>
      <c r="B2437">
        <v>20.38</v>
      </c>
    </row>
    <row r="2438" spans="1:2">
      <c r="A2438" s="1">
        <v>45873</v>
      </c>
      <c r="B2438">
        <v>17.52</v>
      </c>
    </row>
    <row r="2439" spans="1:2">
      <c r="A2439" s="1">
        <v>45874</v>
      </c>
      <c r="B2439">
        <v>17.850000000000001</v>
      </c>
    </row>
    <row r="2440" spans="1:2">
      <c r="A2440" s="1">
        <v>45875</v>
      </c>
      <c r="B2440">
        <v>16.77</v>
      </c>
    </row>
    <row r="2441" spans="1:2">
      <c r="A2441" s="1">
        <v>45876</v>
      </c>
      <c r="B2441">
        <v>16.57</v>
      </c>
    </row>
    <row r="2442" spans="1:2">
      <c r="A2442" s="1">
        <v>45877</v>
      </c>
      <c r="B2442">
        <v>15.15</v>
      </c>
    </row>
    <row r="2443" spans="1:2">
      <c r="A2443" s="1">
        <v>45880</v>
      </c>
      <c r="B2443">
        <v>16.25</v>
      </c>
    </row>
    <row r="2444" spans="1:2">
      <c r="A2444" s="1">
        <v>45881</v>
      </c>
      <c r="B2444">
        <v>14.73</v>
      </c>
    </row>
    <row r="2445" spans="1:2">
      <c r="A2445" s="1">
        <v>45882</v>
      </c>
      <c r="B2445">
        <v>14.49</v>
      </c>
    </row>
    <row r="2446" spans="1:2">
      <c r="A2446" s="1">
        <v>45883</v>
      </c>
      <c r="B2446">
        <v>14.83</v>
      </c>
    </row>
    <row r="2447" spans="1:2">
      <c r="A2447" s="1">
        <v>45884</v>
      </c>
      <c r="B2447">
        <v>15.09</v>
      </c>
    </row>
    <row r="2448" spans="1:2">
      <c r="A2448" s="1">
        <v>45887</v>
      </c>
      <c r="B2448">
        <v>14.99</v>
      </c>
    </row>
    <row r="2449" spans="1:2">
      <c r="A2449" s="1">
        <v>45888</v>
      </c>
      <c r="B2449">
        <v>15.57</v>
      </c>
    </row>
    <row r="2450" spans="1:2">
      <c r="A2450" s="1">
        <v>45889</v>
      </c>
      <c r="B2450">
        <v>15.69</v>
      </c>
    </row>
    <row r="2451" spans="1:2">
      <c r="A2451" s="1">
        <v>45890</v>
      </c>
      <c r="B2451">
        <v>16.600000000000001</v>
      </c>
    </row>
    <row r="2452" spans="1:2">
      <c r="A2452" s="1">
        <v>45891</v>
      </c>
      <c r="B2452">
        <v>14.22</v>
      </c>
    </row>
    <row r="2453" spans="1:2">
      <c r="A2453" s="1">
        <v>45894</v>
      </c>
      <c r="B2453">
        <v>14.79</v>
      </c>
    </row>
    <row r="2454" spans="1:2">
      <c r="A2454" s="1">
        <v>45895</v>
      </c>
      <c r="B2454">
        <v>14.62</v>
      </c>
    </row>
    <row r="2455" spans="1:2">
      <c r="A2455" s="1">
        <v>45896</v>
      </c>
      <c r="B2455">
        <v>14.85</v>
      </c>
    </row>
    <row r="2456" spans="1:2">
      <c r="A2456" s="1">
        <v>45897</v>
      </c>
      <c r="B2456">
        <v>14.43</v>
      </c>
    </row>
    <row r="2457" spans="1:2">
      <c r="A2457" s="1">
        <v>45898</v>
      </c>
      <c r="B2457">
        <v>15.36</v>
      </c>
    </row>
    <row r="2458" spans="1:2">
      <c r="A2458" s="1">
        <v>45901</v>
      </c>
      <c r="B2458">
        <v>16.12</v>
      </c>
    </row>
    <row r="2459" spans="1:2">
      <c r="A2459" s="1">
        <v>45902</v>
      </c>
      <c r="B2459">
        <v>17.170000000000002</v>
      </c>
    </row>
    <row r="2460" spans="1:2">
      <c r="A2460" s="1">
        <v>45903</v>
      </c>
      <c r="B2460">
        <v>16.350000000000001</v>
      </c>
    </row>
    <row r="2461" spans="1:2">
      <c r="A2461" s="1">
        <v>45904</v>
      </c>
      <c r="B2461">
        <v>15.3</v>
      </c>
    </row>
    <row r="2462" spans="1:2">
      <c r="A2462" s="1">
        <v>45905</v>
      </c>
      <c r="B2462">
        <v>15.18</v>
      </c>
    </row>
    <row r="2463" spans="1:2">
      <c r="A2463" s="1">
        <v>45908</v>
      </c>
      <c r="B2463">
        <v>15.11</v>
      </c>
    </row>
    <row r="2464" spans="1:2">
      <c r="A2464" s="1">
        <v>45909</v>
      </c>
      <c r="B2464">
        <v>15.04</v>
      </c>
    </row>
    <row r="2465" spans="1:2">
      <c r="A2465" s="1">
        <v>45910</v>
      </c>
      <c r="B2465">
        <v>15.35</v>
      </c>
    </row>
    <row r="2466" spans="1:2">
      <c r="A2466" s="1">
        <v>45911</v>
      </c>
      <c r="B2466">
        <v>14.71</v>
      </c>
    </row>
    <row r="2467" spans="1:2">
      <c r="A2467" s="1">
        <v>45912</v>
      </c>
      <c r="B2467">
        <v>14.76</v>
      </c>
    </row>
    <row r="2468" spans="1:2">
      <c r="A2468" s="1">
        <v>45915</v>
      </c>
      <c r="B2468">
        <v>15.69</v>
      </c>
    </row>
    <row r="2469" spans="1:2">
      <c r="A2469" s="1">
        <v>45916</v>
      </c>
      <c r="B2469">
        <v>16.36</v>
      </c>
    </row>
    <row r="2470" spans="1:2">
      <c r="A2470" s="1">
        <v>45917</v>
      </c>
      <c r="B2470">
        <v>15.72</v>
      </c>
    </row>
    <row r="2471" spans="1:2">
      <c r="A2471" s="1">
        <v>45918</v>
      </c>
      <c r="B2471">
        <v>15.7</v>
      </c>
    </row>
    <row r="2472" spans="1:2">
      <c r="A2472" s="1">
        <v>45919</v>
      </c>
      <c r="B2472">
        <v>15.45</v>
      </c>
    </row>
    <row r="2473" spans="1:2">
      <c r="A2473" s="1">
        <v>45922</v>
      </c>
      <c r="B2473">
        <v>16.100000000000001</v>
      </c>
    </row>
    <row r="2474" spans="1:2">
      <c r="A2474" s="1">
        <v>45923</v>
      </c>
      <c r="B2474">
        <v>16.64</v>
      </c>
    </row>
    <row r="2475" spans="1:2">
      <c r="A2475" s="1">
        <v>45924</v>
      </c>
      <c r="B2475">
        <v>16.18</v>
      </c>
    </row>
    <row r="2476" spans="1:2">
      <c r="A2476" s="1">
        <v>45925</v>
      </c>
      <c r="B2476">
        <v>16.739999999999998</v>
      </c>
    </row>
    <row r="2477" spans="1:2">
      <c r="A2477" s="1">
        <v>45926</v>
      </c>
      <c r="B2477">
        <v>15.29</v>
      </c>
    </row>
    <row r="2478" spans="1:2">
      <c r="A2478" s="1">
        <v>45929</v>
      </c>
      <c r="B2478">
        <v>16.12</v>
      </c>
    </row>
    <row r="2479" spans="1:2">
      <c r="A2479" s="1">
        <v>45930</v>
      </c>
      <c r="B2479">
        <v>16.28</v>
      </c>
    </row>
    <row r="2480" spans="1:2">
      <c r="A2480" s="1">
        <v>45931</v>
      </c>
      <c r="B2480">
        <v>16.29</v>
      </c>
    </row>
    <row r="2481" spans="1:2">
      <c r="A2481" s="1">
        <v>45932</v>
      </c>
      <c r="B2481">
        <v>16.63</v>
      </c>
    </row>
    <row r="2482" spans="1:2">
      <c r="A2482" s="1">
        <v>45933</v>
      </c>
      <c r="B2482">
        <v>16.649999999999999</v>
      </c>
    </row>
    <row r="2483" spans="1:2">
      <c r="A2483" s="1">
        <v>45936</v>
      </c>
      <c r="B2483">
        <v>16.37</v>
      </c>
    </row>
    <row r="2484" spans="1:2">
      <c r="A2484" s="1">
        <v>45937</v>
      </c>
      <c r="B2484">
        <v>17.239999999999998</v>
      </c>
    </row>
    <row r="2485" spans="1:2">
      <c r="A2485" s="1">
        <v>45938</v>
      </c>
      <c r="B2485">
        <v>16.3</v>
      </c>
    </row>
    <row r="2486" spans="1:2">
      <c r="A2486" s="1">
        <v>45939</v>
      </c>
      <c r="B2486">
        <v>16.43</v>
      </c>
    </row>
    <row r="2487" spans="1:2">
      <c r="A2487" s="1">
        <v>45940</v>
      </c>
      <c r="B2487">
        <v>21.66</v>
      </c>
    </row>
    <row r="2488" spans="1:2">
      <c r="A2488" s="1">
        <v>45943</v>
      </c>
      <c r="B2488">
        <v>19.03</v>
      </c>
    </row>
    <row r="2489" spans="1:2">
      <c r="A2489" s="1">
        <v>45944</v>
      </c>
      <c r="B2489">
        <v>20.81</v>
      </c>
    </row>
    <row r="2490" spans="1:2">
      <c r="A2490" s="1">
        <v>45945</v>
      </c>
      <c r="B2490">
        <v>20.64</v>
      </c>
    </row>
    <row r="2491" spans="1:2">
      <c r="A2491" s="1">
        <v>45946</v>
      </c>
      <c r="B2491">
        <v>25.31</v>
      </c>
    </row>
    <row r="2492" spans="1:2">
      <c r="A2492" s="1">
        <v>45947</v>
      </c>
      <c r="B2492">
        <v>20.78</v>
      </c>
    </row>
    <row r="2493" spans="1:2">
      <c r="A2493" s="1">
        <v>45950</v>
      </c>
      <c r="B2493">
        <v>18.23</v>
      </c>
    </row>
    <row r="2494" spans="1:2">
      <c r="A2494" s="1">
        <v>45951</v>
      </c>
      <c r="B2494">
        <v>17.87</v>
      </c>
    </row>
    <row r="2495" spans="1:2">
      <c r="A2495" s="1">
        <v>45952</v>
      </c>
      <c r="B2495">
        <v>18.600000000000001</v>
      </c>
    </row>
    <row r="2496" spans="1:2">
      <c r="A2496" s="1">
        <v>45953</v>
      </c>
      <c r="B2496">
        <v>17.3</v>
      </c>
    </row>
    <row r="2497" spans="1:2">
      <c r="A2497" s="1">
        <v>45954</v>
      </c>
      <c r="B2497">
        <v>16.37</v>
      </c>
    </row>
    <row r="2498" spans="1:2">
      <c r="A2498" s="1">
        <v>45957</v>
      </c>
      <c r="B2498">
        <v>15.79</v>
      </c>
    </row>
    <row r="2499" spans="1:2">
      <c r="A2499" s="1">
        <v>45958</v>
      </c>
      <c r="B2499">
        <v>16.420000000000002</v>
      </c>
    </row>
    <row r="2500" spans="1:2">
      <c r="A2500" s="1">
        <v>45959</v>
      </c>
      <c r="B2500">
        <v>16.920000000000002</v>
      </c>
    </row>
    <row r="2501" spans="1:2">
      <c r="A2501" s="1">
        <v>45960</v>
      </c>
      <c r="B2501">
        <v>16.91</v>
      </c>
    </row>
    <row r="2502" spans="1:2">
      <c r="A2502" s="1">
        <v>45961</v>
      </c>
      <c r="B2502">
        <v>17.440000000000001</v>
      </c>
    </row>
    <row r="2503" spans="1:2">
      <c r="A2503" s="1">
        <v>45964</v>
      </c>
      <c r="B2503">
        <v>17.170000000000002</v>
      </c>
    </row>
    <row r="2504" spans="1:2">
      <c r="A2504" s="1">
        <v>45965</v>
      </c>
      <c r="B2504">
        <v>19</v>
      </c>
    </row>
    <row r="2505" spans="1:2">
      <c r="A2505" s="1">
        <v>45966</v>
      </c>
      <c r="B2505">
        <v>18.010000000000002</v>
      </c>
    </row>
    <row r="2506" spans="1:2">
      <c r="A2506" s="1">
        <v>45967</v>
      </c>
      <c r="B2506">
        <v>19.5</v>
      </c>
    </row>
    <row r="2507" spans="1:2">
      <c r="A2507" s="1">
        <v>45968</v>
      </c>
      <c r="B2507">
        <v>19.079999999999998</v>
      </c>
    </row>
    <row r="2508" spans="1:2">
      <c r="A2508" s="1">
        <v>45971</v>
      </c>
      <c r="B2508">
        <v>17.600000000000001</v>
      </c>
    </row>
    <row r="2509" spans="1:2">
      <c r="A2509" s="1">
        <v>45972</v>
      </c>
      <c r="B2509">
        <v>17.28</v>
      </c>
    </row>
    <row r="2510" spans="1:2">
      <c r="A2510" s="1">
        <v>45973</v>
      </c>
      <c r="B2510">
        <v>17.510000000000002</v>
      </c>
    </row>
    <row r="2511" spans="1:2">
      <c r="A2511" s="1">
        <v>45974</v>
      </c>
      <c r="B2511">
        <v>20</v>
      </c>
    </row>
    <row r="2512" spans="1:2">
      <c r="A2512" s="1">
        <v>45975</v>
      </c>
      <c r="B2512">
        <v>19.829999999999998</v>
      </c>
    </row>
    <row r="2513" spans="1:2">
      <c r="A2513" s="1">
        <v>45978</v>
      </c>
      <c r="B2513">
        <v>22.38</v>
      </c>
    </row>
    <row r="2514" spans="1:2">
      <c r="A2514" s="1">
        <v>45979</v>
      </c>
      <c r="B2514">
        <v>24.69</v>
      </c>
    </row>
    <row r="2515" spans="1:2">
      <c r="A2515" s="1">
        <v>45980</v>
      </c>
      <c r="B2515">
        <v>23.66</v>
      </c>
    </row>
    <row r="2516" spans="1:2">
      <c r="A2516" s="1">
        <v>45981</v>
      </c>
      <c r="B2516">
        <v>26.42</v>
      </c>
    </row>
    <row r="2517" spans="1:2">
      <c r="A2517" s="1">
        <v>45982</v>
      </c>
      <c r="B2517">
        <v>23.43</v>
      </c>
    </row>
    <row r="2518" spans="1:2">
      <c r="A2518" s="1">
        <v>45985</v>
      </c>
      <c r="B2518">
        <v>20.52</v>
      </c>
    </row>
    <row r="2519" spans="1:2">
      <c r="A2519" s="1">
        <v>45986</v>
      </c>
      <c r="B2519">
        <v>18.559999999999999</v>
      </c>
    </row>
    <row r="2520" spans="1:2">
      <c r="A2520" s="1">
        <v>45987</v>
      </c>
      <c r="B2520">
        <v>17.190000000000001</v>
      </c>
    </row>
    <row r="2521" spans="1:2">
      <c r="A2521" s="1">
        <v>45988</v>
      </c>
      <c r="B2521">
        <v>17.21</v>
      </c>
    </row>
    <row r="2522" spans="1:2">
      <c r="A2522" s="1">
        <v>45989</v>
      </c>
      <c r="B2522">
        <v>16.350000000000001</v>
      </c>
    </row>
    <row r="2523" spans="1:2">
      <c r="A2523" s="1">
        <v>45992</v>
      </c>
      <c r="B2523">
        <v>17.239999999999998</v>
      </c>
    </row>
    <row r="2524" spans="1:2">
      <c r="A2524" s="1">
        <v>45993</v>
      </c>
      <c r="B2524">
        <v>16.59</v>
      </c>
    </row>
    <row r="2525" spans="1:2">
      <c r="A2525" s="1">
        <v>45994</v>
      </c>
      <c r="B2525">
        <v>16.079999999999998</v>
      </c>
    </row>
    <row r="2526" spans="1:2">
      <c r="A2526" s="1">
        <v>45995</v>
      </c>
      <c r="B2526">
        <v>15.78</v>
      </c>
    </row>
    <row r="2527" spans="1:2">
      <c r="A2527" s="1">
        <v>45996</v>
      </c>
      <c r="B2527">
        <v>15.41</v>
      </c>
    </row>
    <row r="2528" spans="1:2">
      <c r="A2528" s="1">
        <v>45999</v>
      </c>
      <c r="B2528">
        <v>16.66</v>
      </c>
    </row>
    <row r="2529" spans="1:2">
      <c r="A2529" s="1">
        <v>46000</v>
      </c>
      <c r="B2529">
        <v>16.93</v>
      </c>
    </row>
    <row r="2530" spans="1:2">
      <c r="A2530" s="1">
        <v>46001</v>
      </c>
      <c r="B2530">
        <v>15.77</v>
      </c>
    </row>
    <row r="2531" spans="1:2">
      <c r="A2531" s="1">
        <v>46002</v>
      </c>
      <c r="B2531">
        <v>14.85</v>
      </c>
    </row>
    <row r="2532" spans="1:2">
      <c r="A2532" s="1">
        <v>46003</v>
      </c>
      <c r="B2532">
        <v>15.74</v>
      </c>
    </row>
    <row r="2533" spans="1:2">
      <c r="A2533" s="1">
        <v>46006</v>
      </c>
      <c r="B2533">
        <v>16.5</v>
      </c>
    </row>
    <row r="2534" spans="1:2">
      <c r="A2534" s="1">
        <v>46007</v>
      </c>
      <c r="B2534">
        <v>16.48</v>
      </c>
    </row>
    <row r="2535" spans="1:2">
      <c r="A2535" s="1">
        <v>46008</v>
      </c>
      <c r="B2535">
        <v>17.62</v>
      </c>
    </row>
    <row r="2536" spans="1:2">
      <c r="A2536" s="1">
        <v>46009</v>
      </c>
      <c r="B2536">
        <v>16.87</v>
      </c>
    </row>
    <row r="2537" spans="1:2">
      <c r="A2537" s="1">
        <v>46010</v>
      </c>
      <c r="B2537">
        <v>14.91</v>
      </c>
    </row>
    <row r="2538" spans="1:2">
      <c r="A2538" s="1">
        <v>46013</v>
      </c>
      <c r="B2538">
        <v>14.08</v>
      </c>
    </row>
    <row r="2539" spans="1:2">
      <c r="A2539" s="1">
        <v>46014</v>
      </c>
      <c r="B2539">
        <v>14</v>
      </c>
    </row>
    <row r="2540" spans="1:2">
      <c r="A2540" s="1">
        <v>46015</v>
      </c>
      <c r="B2540">
        <v>13.47</v>
      </c>
    </row>
    <row r="2541" spans="1:2">
      <c r="A2541" s="1">
        <v>46016</v>
      </c>
    </row>
    <row r="2542" spans="1:2">
      <c r="A2542" s="1">
        <v>46017</v>
      </c>
      <c r="B2542">
        <v>13.6</v>
      </c>
    </row>
    <row r="2543" spans="1:2">
      <c r="A2543" s="1">
        <v>46020</v>
      </c>
      <c r="B2543">
        <v>14.2</v>
      </c>
    </row>
    <row r="2544" spans="1:2">
      <c r="A2544" s="1">
        <v>46021</v>
      </c>
      <c r="B2544">
        <v>14.33</v>
      </c>
    </row>
    <row r="2545" spans="1:2">
      <c r="A2545" s="1">
        <v>46022</v>
      </c>
      <c r="B2545">
        <v>14.95</v>
      </c>
    </row>
    <row r="2546" spans="1:2">
      <c r="A2546" s="1">
        <v>46023</v>
      </c>
    </row>
    <row r="2547" spans="1:2">
      <c r="A2547" s="1">
        <v>46024</v>
      </c>
      <c r="B2547">
        <v>14.51</v>
      </c>
    </row>
    <row r="2548" spans="1:2">
      <c r="A2548" s="1">
        <v>46027</v>
      </c>
      <c r="B2548">
        <v>14.9</v>
      </c>
    </row>
    <row r="2549" spans="1:2">
      <c r="A2549" s="1">
        <v>46028</v>
      </c>
      <c r="B2549">
        <v>14.75</v>
      </c>
    </row>
    <row r="2550" spans="1:2">
      <c r="A2550" s="1">
        <v>46029</v>
      </c>
      <c r="B2550">
        <v>15.38</v>
      </c>
    </row>
    <row r="2551" spans="1:2">
      <c r="A2551" s="1">
        <v>46030</v>
      </c>
      <c r="B2551">
        <v>15.45</v>
      </c>
    </row>
    <row r="2552" spans="1:2">
      <c r="A2552" s="1">
        <v>46031</v>
      </c>
      <c r="B2552">
        <v>14.49</v>
      </c>
    </row>
    <row r="2553" spans="1:2">
      <c r="A2553" s="1">
        <v>46034</v>
      </c>
      <c r="B2553">
        <v>15.12</v>
      </c>
    </row>
    <row r="2554" spans="1:2">
      <c r="A2554" s="1">
        <v>46035</v>
      </c>
      <c r="B2554">
        <v>15.98</v>
      </c>
    </row>
    <row r="2555" spans="1:2">
      <c r="A2555" s="1">
        <v>46036</v>
      </c>
      <c r="B2555">
        <v>16.75</v>
      </c>
    </row>
    <row r="2556" spans="1:2">
      <c r="A2556" s="1">
        <v>46037</v>
      </c>
      <c r="B2556">
        <v>15.84</v>
      </c>
    </row>
    <row r="2557" spans="1:2">
      <c r="A2557" s="1">
        <v>46038</v>
      </c>
      <c r="B2557">
        <v>15.86</v>
      </c>
    </row>
    <row r="2558" spans="1:2">
      <c r="A2558" s="1">
        <v>46041</v>
      </c>
      <c r="B2558">
        <v>18.84</v>
      </c>
    </row>
    <row r="2559" spans="1:2">
      <c r="A2559" s="1">
        <v>46042</v>
      </c>
      <c r="B2559">
        <v>20.09</v>
      </c>
    </row>
    <row r="2560" spans="1:2">
      <c r="A2560" s="1">
        <v>46043</v>
      </c>
      <c r="B2560">
        <v>16.899999999999999</v>
      </c>
    </row>
    <row r="2561" spans="1:2">
      <c r="A2561" s="1">
        <v>46044</v>
      </c>
      <c r="B2561">
        <v>15.64</v>
      </c>
    </row>
    <row r="2562" spans="1:2">
      <c r="A2562" s="1">
        <v>46045</v>
      </c>
      <c r="B2562">
        <v>16.09</v>
      </c>
    </row>
    <row r="2563" spans="1:2">
      <c r="A2563" s="1">
        <v>46048</v>
      </c>
      <c r="B2563">
        <v>16.149999999999999</v>
      </c>
    </row>
    <row r="2564" spans="1:2">
      <c r="A2564" s="1">
        <v>46049</v>
      </c>
      <c r="B2564">
        <v>16.350000000000001</v>
      </c>
    </row>
    <row r="2565" spans="1:2">
      <c r="A2565" s="1">
        <v>46050</v>
      </c>
      <c r="B2565">
        <v>16.350000000000001</v>
      </c>
    </row>
    <row r="2566" spans="1:2">
      <c r="A2566" s="1">
        <v>46051</v>
      </c>
      <c r="B2566">
        <v>16.88</v>
      </c>
    </row>
    <row r="2567" spans="1:2">
      <c r="A2567" s="1">
        <v>46052</v>
      </c>
      <c r="B2567">
        <v>17.440000000000001</v>
      </c>
    </row>
    <row r="2568" spans="1:2">
      <c r="A2568" s="1">
        <v>46055</v>
      </c>
      <c r="B2568">
        <v>16.34</v>
      </c>
    </row>
    <row r="2569" spans="1:2">
      <c r="A2569" s="1">
        <v>46056</v>
      </c>
      <c r="B2569">
        <v>18</v>
      </c>
    </row>
    <row r="2570" spans="1:2">
      <c r="A2570" s="1">
        <v>46057</v>
      </c>
      <c r="B2570">
        <v>18.64</v>
      </c>
    </row>
    <row r="2571" spans="1:2">
      <c r="A2571" s="1">
        <v>46058</v>
      </c>
      <c r="B2571">
        <v>21.77</v>
      </c>
    </row>
    <row r="2572" spans="1:2">
      <c r="A2572" s="1">
        <v>46059</v>
      </c>
      <c r="B2572">
        <v>17.760000000000002</v>
      </c>
    </row>
    <row r="2573" spans="1:2">
      <c r="A2573" s="1">
        <v>46062</v>
      </c>
      <c r="B2573">
        <v>17.36</v>
      </c>
    </row>
    <row r="2574" spans="1:2">
      <c r="A2574" s="1">
        <v>46063</v>
      </c>
      <c r="B2574">
        <v>17.79</v>
      </c>
    </row>
    <row r="2575" spans="1:2">
      <c r="A2575" s="1">
        <v>46064</v>
      </c>
      <c r="B2575">
        <v>17.649999999999999</v>
      </c>
    </row>
    <row r="2576" spans="1:2">
      <c r="A2576" s="1">
        <v>46065</v>
      </c>
      <c r="B2576">
        <v>20.82</v>
      </c>
    </row>
    <row r="2577" spans="1:2">
      <c r="A2577" s="1">
        <v>46066</v>
      </c>
      <c r="B2577">
        <v>20.6</v>
      </c>
    </row>
    <row r="2578" spans="1:2">
      <c r="A2578" s="1">
        <v>46069</v>
      </c>
      <c r="B2578">
        <v>21.2</v>
      </c>
    </row>
    <row r="2579" spans="1:2">
      <c r="A2579" s="1">
        <v>46070</v>
      </c>
      <c r="B2579">
        <v>20.29</v>
      </c>
    </row>
    <row r="2580" spans="1:2">
      <c r="A2580" s="1">
        <v>46071</v>
      </c>
      <c r="B2580">
        <v>19.62</v>
      </c>
    </row>
    <row r="2581" spans="1:2">
      <c r="A2581" s="1">
        <v>46072</v>
      </c>
      <c r="B2581">
        <v>20.23</v>
      </c>
    </row>
    <row r="2582" spans="1:2">
      <c r="A2582" s="1">
        <v>46073</v>
      </c>
      <c r="B2582">
        <v>19.09</v>
      </c>
    </row>
    <row r="2583" spans="1:2">
      <c r="A2583" s="1">
        <v>46076</v>
      </c>
      <c r="B2583">
        <v>21.01</v>
      </c>
    </row>
    <row r="2584" spans="1:2">
      <c r="A2584" s="1">
        <v>46077</v>
      </c>
      <c r="B2584">
        <v>19.55</v>
      </c>
    </row>
    <row r="2585" spans="1:2">
      <c r="A2585" s="1">
        <v>46078</v>
      </c>
      <c r="B2585">
        <v>17.93</v>
      </c>
    </row>
    <row r="2586" spans="1:2">
      <c r="A2586" s="1">
        <v>46079</v>
      </c>
      <c r="B2586">
        <v>18.63</v>
      </c>
    </row>
    <row r="2587" spans="1:2">
      <c r="A2587" s="1">
        <v>46080</v>
      </c>
      <c r="B2587">
        <v>19.86</v>
      </c>
    </row>
    <row r="2588" spans="1:2">
      <c r="A2588" s="1">
        <v>46083</v>
      </c>
      <c r="B2588">
        <v>21.44</v>
      </c>
    </row>
    <row r="2589" spans="1:2">
      <c r="A2589" s="1">
        <v>46084</v>
      </c>
      <c r="B2589">
        <v>23.57</v>
      </c>
    </row>
    <row r="2590" spans="1:2">
      <c r="A2590" s="1">
        <v>46085</v>
      </c>
      <c r="B2590">
        <v>21.15</v>
      </c>
    </row>
    <row r="2591" spans="1:2">
      <c r="A2591" s="1">
        <v>46086</v>
      </c>
      <c r="B2591">
        <v>23.75</v>
      </c>
    </row>
    <row r="2592" spans="1:2">
      <c r="A2592" s="1">
        <v>46087</v>
      </c>
      <c r="B2592">
        <v>29.49</v>
      </c>
    </row>
    <row r="2593" spans="1:2">
      <c r="A2593" s="1">
        <v>46090</v>
      </c>
      <c r="B2593">
        <v>25.5</v>
      </c>
    </row>
    <row r="2594" spans="1:2">
      <c r="A2594" s="1">
        <v>46091</v>
      </c>
      <c r="B2594">
        <v>24.93</v>
      </c>
    </row>
    <row r="2595" spans="1:2">
      <c r="A2595" s="1">
        <v>46092</v>
      </c>
      <c r="B2595">
        <v>24.23</v>
      </c>
    </row>
    <row r="2596" spans="1:2">
      <c r="A2596" s="1">
        <v>46093</v>
      </c>
      <c r="B2596">
        <v>27.29</v>
      </c>
    </row>
    <row r="2597" spans="1:2">
      <c r="A2597" s="1">
        <v>46094</v>
      </c>
      <c r="B2597">
        <v>27.19</v>
      </c>
    </row>
    <row r="2598" spans="1:2">
      <c r="A2598" s="1">
        <v>46097</v>
      </c>
      <c r="B2598">
        <v>23.51</v>
      </c>
    </row>
    <row r="2599" spans="1:2">
      <c r="A2599" s="1">
        <v>46098</v>
      </c>
      <c r="B2599">
        <v>22.37</v>
      </c>
    </row>
    <row r="2600" spans="1:2">
      <c r="A2600" s="1">
        <v>46099</v>
      </c>
      <c r="B2600">
        <v>25.09</v>
      </c>
    </row>
    <row r="2601" spans="1:2">
      <c r="A2601" s="1">
        <v>46100</v>
      </c>
      <c r="B2601">
        <v>24.06</v>
      </c>
    </row>
    <row r="2602" spans="1:2">
      <c r="A2602" s="1">
        <v>46101</v>
      </c>
      <c r="B2602">
        <v>26.78</v>
      </c>
    </row>
    <row r="2603" spans="1:2">
      <c r="A2603" s="1">
        <v>46104</v>
      </c>
      <c r="B2603">
        <v>26.15</v>
      </c>
    </row>
    <row r="2604" spans="1:2">
      <c r="A2604" s="1">
        <v>46105</v>
      </c>
      <c r="B2604">
        <v>26.95</v>
      </c>
    </row>
    <row r="2605" spans="1:2">
      <c r="A2605" s="1">
        <v>46106</v>
      </c>
      <c r="B2605">
        <v>25.33</v>
      </c>
    </row>
    <row r="2606" spans="1:2">
      <c r="A2606" s="1">
        <v>46107</v>
      </c>
      <c r="B2606">
        <v>27.44</v>
      </c>
    </row>
    <row r="2607" spans="1:2">
      <c r="A2607" s="1">
        <v>46108</v>
      </c>
      <c r="B2607">
        <v>31.05</v>
      </c>
    </row>
    <row r="2608" spans="1:2">
      <c r="A2608" s="1">
        <v>46111</v>
      </c>
      <c r="B2608">
        <v>30.61</v>
      </c>
    </row>
    <row r="2609" spans="1:2">
      <c r="A2609" s="1">
        <v>46112</v>
      </c>
      <c r="B2609">
        <v>25.25</v>
      </c>
    </row>
    <row r="2610" spans="1:2">
      <c r="A2610" s="1">
        <v>46113</v>
      </c>
      <c r="B2610">
        <v>24.54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B950C-DA9D-4B06-B21C-A681A24CC103}">
  <dimension ref="A1:B2610"/>
  <sheetViews>
    <sheetView topLeftCell="A2578" workbookViewId="0"/>
  </sheetViews>
  <sheetFormatPr defaultRowHeight="14.4"/>
  <sheetData>
    <row r="1" spans="1:2">
      <c r="A1" t="s">
        <v>0</v>
      </c>
      <c r="B1" t="s">
        <v>7</v>
      </c>
    </row>
    <row r="2" spans="1:2">
      <c r="A2" s="1">
        <v>42464</v>
      </c>
      <c r="B2">
        <v>1.78</v>
      </c>
    </row>
    <row r="3" spans="1:2">
      <c r="A3" s="1">
        <v>42465</v>
      </c>
      <c r="B3">
        <v>1.73</v>
      </c>
    </row>
    <row r="4" spans="1:2">
      <c r="A4" s="1">
        <v>42466</v>
      </c>
      <c r="B4">
        <v>1.76</v>
      </c>
    </row>
    <row r="5" spans="1:2">
      <c r="A5" s="1">
        <v>42467</v>
      </c>
      <c r="B5">
        <v>1.7</v>
      </c>
    </row>
    <row r="6" spans="1:2">
      <c r="A6" s="1">
        <v>42468</v>
      </c>
      <c r="B6">
        <v>1.72</v>
      </c>
    </row>
    <row r="7" spans="1:2">
      <c r="A7" s="1">
        <v>42471</v>
      </c>
      <c r="B7">
        <v>1.73</v>
      </c>
    </row>
    <row r="8" spans="1:2">
      <c r="A8" s="1">
        <v>42472</v>
      </c>
      <c r="B8">
        <v>1.79</v>
      </c>
    </row>
    <row r="9" spans="1:2">
      <c r="A9" s="1">
        <v>42473</v>
      </c>
      <c r="B9">
        <v>1.77</v>
      </c>
    </row>
    <row r="10" spans="1:2">
      <c r="A10" s="1">
        <v>42474</v>
      </c>
      <c r="B10">
        <v>1.8</v>
      </c>
    </row>
    <row r="11" spans="1:2">
      <c r="A11" s="1">
        <v>42475</v>
      </c>
      <c r="B11">
        <v>1.76</v>
      </c>
    </row>
    <row r="12" spans="1:2">
      <c r="A12" s="1">
        <v>42478</v>
      </c>
      <c r="B12">
        <v>1.78</v>
      </c>
    </row>
    <row r="13" spans="1:2">
      <c r="A13" s="1">
        <v>42479</v>
      </c>
      <c r="B13">
        <v>1.79</v>
      </c>
    </row>
    <row r="14" spans="1:2">
      <c r="A14" s="1">
        <v>42480</v>
      </c>
      <c r="B14">
        <v>1.85</v>
      </c>
    </row>
    <row r="15" spans="1:2">
      <c r="A15" s="1">
        <v>42481</v>
      </c>
      <c r="B15">
        <v>1.88</v>
      </c>
    </row>
    <row r="16" spans="1:2">
      <c r="A16" s="1">
        <v>42482</v>
      </c>
      <c r="B16">
        <v>1.89</v>
      </c>
    </row>
    <row r="17" spans="1:2">
      <c r="A17" s="1">
        <v>42485</v>
      </c>
      <c r="B17">
        <v>1.91</v>
      </c>
    </row>
    <row r="18" spans="1:2">
      <c r="A18" s="1">
        <v>42486</v>
      </c>
      <c r="B18">
        <v>1.94</v>
      </c>
    </row>
    <row r="19" spans="1:2">
      <c r="A19" s="1">
        <v>42487</v>
      </c>
      <c r="B19">
        <v>1.87</v>
      </c>
    </row>
    <row r="20" spans="1:2">
      <c r="A20" s="1">
        <v>42488</v>
      </c>
      <c r="B20">
        <v>1.84</v>
      </c>
    </row>
    <row r="21" spans="1:2">
      <c r="A21" s="1">
        <v>42489</v>
      </c>
      <c r="B21">
        <v>1.83</v>
      </c>
    </row>
    <row r="22" spans="1:2">
      <c r="A22" s="1">
        <v>42492</v>
      </c>
      <c r="B22">
        <v>1.88</v>
      </c>
    </row>
    <row r="23" spans="1:2">
      <c r="A23" s="1">
        <v>42493</v>
      </c>
      <c r="B23">
        <v>1.81</v>
      </c>
    </row>
    <row r="24" spans="1:2">
      <c r="A24" s="1">
        <v>42494</v>
      </c>
      <c r="B24">
        <v>1.79</v>
      </c>
    </row>
    <row r="25" spans="1:2">
      <c r="A25" s="1">
        <v>42495</v>
      </c>
      <c r="B25">
        <v>1.76</v>
      </c>
    </row>
    <row r="26" spans="1:2">
      <c r="A26" s="1">
        <v>42496</v>
      </c>
      <c r="B26">
        <v>1.79</v>
      </c>
    </row>
    <row r="27" spans="1:2">
      <c r="A27" s="1">
        <v>42499</v>
      </c>
      <c r="B27">
        <v>1.77</v>
      </c>
    </row>
    <row r="28" spans="1:2">
      <c r="A28" s="1">
        <v>42500</v>
      </c>
      <c r="B28">
        <v>1.77</v>
      </c>
    </row>
    <row r="29" spans="1:2">
      <c r="A29" s="1">
        <v>42501</v>
      </c>
      <c r="B29">
        <v>1.73</v>
      </c>
    </row>
    <row r="30" spans="1:2">
      <c r="A30" s="1">
        <v>42502</v>
      </c>
      <c r="B30">
        <v>1.75</v>
      </c>
    </row>
    <row r="31" spans="1:2">
      <c r="A31" s="1">
        <v>42503</v>
      </c>
      <c r="B31">
        <v>1.71</v>
      </c>
    </row>
    <row r="32" spans="1:2">
      <c r="A32" s="1">
        <v>42506</v>
      </c>
      <c r="B32">
        <v>1.75</v>
      </c>
    </row>
    <row r="33" spans="1:2">
      <c r="A33" s="1">
        <v>42507</v>
      </c>
      <c r="B33">
        <v>1.76</v>
      </c>
    </row>
    <row r="34" spans="1:2">
      <c r="A34" s="1">
        <v>42508</v>
      </c>
      <c r="B34">
        <v>1.87</v>
      </c>
    </row>
    <row r="35" spans="1:2">
      <c r="A35" s="1">
        <v>42509</v>
      </c>
      <c r="B35">
        <v>1.85</v>
      </c>
    </row>
    <row r="36" spans="1:2">
      <c r="A36" s="1">
        <v>42510</v>
      </c>
      <c r="B36">
        <v>1.85</v>
      </c>
    </row>
    <row r="37" spans="1:2">
      <c r="A37" s="1">
        <v>42513</v>
      </c>
      <c r="B37">
        <v>1.84</v>
      </c>
    </row>
    <row r="38" spans="1:2">
      <c r="A38" s="1">
        <v>42514</v>
      </c>
      <c r="B38">
        <v>1.86</v>
      </c>
    </row>
    <row r="39" spans="1:2">
      <c r="A39" s="1">
        <v>42515</v>
      </c>
      <c r="B39">
        <v>1.87</v>
      </c>
    </row>
    <row r="40" spans="1:2">
      <c r="A40" s="1">
        <v>42516</v>
      </c>
      <c r="B40">
        <v>1.83</v>
      </c>
    </row>
    <row r="41" spans="1:2">
      <c r="A41" s="1">
        <v>42517</v>
      </c>
      <c r="B41">
        <v>1.85</v>
      </c>
    </row>
    <row r="42" spans="1:2">
      <c r="A42" s="1">
        <v>42520</v>
      </c>
    </row>
    <row r="43" spans="1:2">
      <c r="A43" s="1">
        <v>42521</v>
      </c>
      <c r="B43">
        <v>1.84</v>
      </c>
    </row>
    <row r="44" spans="1:2">
      <c r="A44" s="1">
        <v>42522</v>
      </c>
      <c r="B44">
        <v>1.85</v>
      </c>
    </row>
    <row r="45" spans="1:2">
      <c r="A45" s="1">
        <v>42523</v>
      </c>
      <c r="B45">
        <v>1.81</v>
      </c>
    </row>
    <row r="46" spans="1:2">
      <c r="A46" s="1">
        <v>42524</v>
      </c>
      <c r="B46">
        <v>1.71</v>
      </c>
    </row>
    <row r="47" spans="1:2">
      <c r="A47" s="1">
        <v>42527</v>
      </c>
      <c r="B47">
        <v>1.73</v>
      </c>
    </row>
    <row r="48" spans="1:2">
      <c r="A48" s="1">
        <v>42528</v>
      </c>
      <c r="B48">
        <v>1.72</v>
      </c>
    </row>
    <row r="49" spans="1:2">
      <c r="A49" s="1">
        <v>42529</v>
      </c>
      <c r="B49">
        <v>1.71</v>
      </c>
    </row>
    <row r="50" spans="1:2">
      <c r="A50" s="1">
        <v>42530</v>
      </c>
      <c r="B50">
        <v>1.68</v>
      </c>
    </row>
    <row r="51" spans="1:2">
      <c r="A51" s="1">
        <v>42531</v>
      </c>
      <c r="B51">
        <v>1.64</v>
      </c>
    </row>
    <row r="52" spans="1:2">
      <c r="A52" s="1">
        <v>42534</v>
      </c>
      <c r="B52">
        <v>1.62</v>
      </c>
    </row>
    <row r="53" spans="1:2">
      <c r="A53" s="1">
        <v>42535</v>
      </c>
      <c r="B53">
        <v>1.62</v>
      </c>
    </row>
    <row r="54" spans="1:2">
      <c r="A54" s="1">
        <v>42536</v>
      </c>
      <c r="B54">
        <v>1.6</v>
      </c>
    </row>
    <row r="55" spans="1:2">
      <c r="A55" s="1">
        <v>42537</v>
      </c>
      <c r="B55">
        <v>1.57</v>
      </c>
    </row>
    <row r="56" spans="1:2">
      <c r="A56" s="1">
        <v>42538</v>
      </c>
      <c r="B56">
        <v>1.62</v>
      </c>
    </row>
    <row r="57" spans="1:2">
      <c r="A57" s="1">
        <v>42541</v>
      </c>
      <c r="B57">
        <v>1.67</v>
      </c>
    </row>
    <row r="58" spans="1:2">
      <c r="A58" s="1">
        <v>42542</v>
      </c>
      <c r="B58">
        <v>1.71</v>
      </c>
    </row>
    <row r="59" spans="1:2">
      <c r="A59" s="1">
        <v>42543</v>
      </c>
      <c r="B59">
        <v>1.69</v>
      </c>
    </row>
    <row r="60" spans="1:2">
      <c r="A60" s="1">
        <v>42544</v>
      </c>
      <c r="B60">
        <v>1.74</v>
      </c>
    </row>
    <row r="61" spans="1:2">
      <c r="A61" s="1">
        <v>42545</v>
      </c>
      <c r="B61">
        <v>1.57</v>
      </c>
    </row>
    <row r="62" spans="1:2">
      <c r="A62" s="1">
        <v>42548</v>
      </c>
      <c r="B62">
        <v>1.46</v>
      </c>
    </row>
    <row r="63" spans="1:2">
      <c r="A63" s="1">
        <v>42549</v>
      </c>
      <c r="B63">
        <v>1.46</v>
      </c>
    </row>
    <row r="64" spans="1:2">
      <c r="A64" s="1">
        <v>42550</v>
      </c>
      <c r="B64">
        <v>1.5</v>
      </c>
    </row>
    <row r="65" spans="1:2">
      <c r="A65" s="1">
        <v>42551</v>
      </c>
      <c r="B65">
        <v>1.49</v>
      </c>
    </row>
    <row r="66" spans="1:2">
      <c r="A66" s="1">
        <v>42552</v>
      </c>
      <c r="B66">
        <v>1.46</v>
      </c>
    </row>
    <row r="67" spans="1:2">
      <c r="A67" s="1">
        <v>42555</v>
      </c>
    </row>
    <row r="68" spans="1:2">
      <c r="A68" s="1">
        <v>42556</v>
      </c>
      <c r="B68">
        <v>1.37</v>
      </c>
    </row>
    <row r="69" spans="1:2">
      <c r="A69" s="1">
        <v>42557</v>
      </c>
      <c r="B69">
        <v>1.38</v>
      </c>
    </row>
    <row r="70" spans="1:2">
      <c r="A70" s="1">
        <v>42558</v>
      </c>
      <c r="B70">
        <v>1.4</v>
      </c>
    </row>
    <row r="71" spans="1:2">
      <c r="A71" s="1">
        <v>42559</v>
      </c>
      <c r="B71">
        <v>1.37</v>
      </c>
    </row>
    <row r="72" spans="1:2">
      <c r="A72" s="1">
        <v>42562</v>
      </c>
      <c r="B72">
        <v>1.43</v>
      </c>
    </row>
    <row r="73" spans="1:2">
      <c r="A73" s="1">
        <v>42563</v>
      </c>
      <c r="B73">
        <v>1.53</v>
      </c>
    </row>
    <row r="74" spans="1:2">
      <c r="A74" s="1">
        <v>42564</v>
      </c>
      <c r="B74">
        <v>1.48</v>
      </c>
    </row>
    <row r="75" spans="1:2">
      <c r="A75" s="1">
        <v>42565</v>
      </c>
      <c r="B75">
        <v>1.53</v>
      </c>
    </row>
    <row r="76" spans="1:2">
      <c r="A76" s="1">
        <v>42566</v>
      </c>
      <c r="B76">
        <v>1.6</v>
      </c>
    </row>
    <row r="77" spans="1:2">
      <c r="A77" s="1">
        <v>42569</v>
      </c>
      <c r="B77">
        <v>1.59</v>
      </c>
    </row>
    <row r="78" spans="1:2">
      <c r="A78" s="1">
        <v>42570</v>
      </c>
      <c r="B78">
        <v>1.56</v>
      </c>
    </row>
    <row r="79" spans="1:2">
      <c r="A79" s="1">
        <v>42571</v>
      </c>
      <c r="B79">
        <v>1.59</v>
      </c>
    </row>
    <row r="80" spans="1:2">
      <c r="A80" s="1">
        <v>42572</v>
      </c>
      <c r="B80">
        <v>1.57</v>
      </c>
    </row>
    <row r="81" spans="1:2">
      <c r="A81" s="1">
        <v>42573</v>
      </c>
      <c r="B81">
        <v>1.57</v>
      </c>
    </row>
    <row r="82" spans="1:2">
      <c r="A82" s="1">
        <v>42576</v>
      </c>
      <c r="B82">
        <v>1.58</v>
      </c>
    </row>
    <row r="83" spans="1:2">
      <c r="A83" s="1">
        <v>42577</v>
      </c>
      <c r="B83">
        <v>1.57</v>
      </c>
    </row>
    <row r="84" spans="1:2">
      <c r="A84" s="1">
        <v>42578</v>
      </c>
      <c r="B84">
        <v>1.52</v>
      </c>
    </row>
    <row r="85" spans="1:2">
      <c r="A85" s="1">
        <v>42579</v>
      </c>
      <c r="B85">
        <v>1.52</v>
      </c>
    </row>
    <row r="86" spans="1:2">
      <c r="A86" s="1">
        <v>42580</v>
      </c>
      <c r="B86">
        <v>1.46</v>
      </c>
    </row>
    <row r="87" spans="1:2">
      <c r="A87" s="1">
        <v>42583</v>
      </c>
      <c r="B87">
        <v>1.51</v>
      </c>
    </row>
    <row r="88" spans="1:2">
      <c r="A88" s="1">
        <v>42584</v>
      </c>
      <c r="B88">
        <v>1.55</v>
      </c>
    </row>
    <row r="89" spans="1:2">
      <c r="A89" s="1">
        <v>42585</v>
      </c>
      <c r="B89">
        <v>1.55</v>
      </c>
    </row>
    <row r="90" spans="1:2">
      <c r="A90" s="1">
        <v>42586</v>
      </c>
      <c r="B90">
        <v>1.51</v>
      </c>
    </row>
    <row r="91" spans="1:2">
      <c r="A91" s="1">
        <v>42587</v>
      </c>
      <c r="B91">
        <v>1.59</v>
      </c>
    </row>
    <row r="92" spans="1:2">
      <c r="A92" s="1">
        <v>42590</v>
      </c>
      <c r="B92">
        <v>1.59</v>
      </c>
    </row>
    <row r="93" spans="1:2">
      <c r="A93" s="1">
        <v>42591</v>
      </c>
      <c r="B93">
        <v>1.55</v>
      </c>
    </row>
    <row r="94" spans="1:2">
      <c r="A94" s="1">
        <v>42592</v>
      </c>
      <c r="B94">
        <v>1.5</v>
      </c>
    </row>
    <row r="95" spans="1:2">
      <c r="A95" s="1">
        <v>42593</v>
      </c>
      <c r="B95">
        <v>1.57</v>
      </c>
    </row>
    <row r="96" spans="1:2">
      <c r="A96" s="1">
        <v>42594</v>
      </c>
      <c r="B96">
        <v>1.51</v>
      </c>
    </row>
    <row r="97" spans="1:2">
      <c r="A97" s="1">
        <v>42597</v>
      </c>
      <c r="B97">
        <v>1.55</v>
      </c>
    </row>
    <row r="98" spans="1:2">
      <c r="A98" s="1">
        <v>42598</v>
      </c>
      <c r="B98">
        <v>1.57</v>
      </c>
    </row>
    <row r="99" spans="1:2">
      <c r="A99" s="1">
        <v>42599</v>
      </c>
      <c r="B99">
        <v>1.56</v>
      </c>
    </row>
    <row r="100" spans="1:2">
      <c r="A100" s="1">
        <v>42600</v>
      </c>
      <c r="B100">
        <v>1.53</v>
      </c>
    </row>
    <row r="101" spans="1:2">
      <c r="A101" s="1">
        <v>42601</v>
      </c>
      <c r="B101">
        <v>1.58</v>
      </c>
    </row>
    <row r="102" spans="1:2">
      <c r="A102" s="1">
        <v>42604</v>
      </c>
      <c r="B102">
        <v>1.55</v>
      </c>
    </row>
    <row r="103" spans="1:2">
      <c r="A103" s="1">
        <v>42605</v>
      </c>
      <c r="B103">
        <v>1.55</v>
      </c>
    </row>
    <row r="104" spans="1:2">
      <c r="A104" s="1">
        <v>42606</v>
      </c>
      <c r="B104">
        <v>1.56</v>
      </c>
    </row>
    <row r="105" spans="1:2">
      <c r="A105" s="1">
        <v>42607</v>
      </c>
      <c r="B105">
        <v>1.58</v>
      </c>
    </row>
    <row r="106" spans="1:2">
      <c r="A106" s="1">
        <v>42608</v>
      </c>
      <c r="B106">
        <v>1.62</v>
      </c>
    </row>
    <row r="107" spans="1:2">
      <c r="A107" s="1">
        <v>42611</v>
      </c>
      <c r="B107">
        <v>1.57</v>
      </c>
    </row>
    <row r="108" spans="1:2">
      <c r="A108" s="1">
        <v>42612</v>
      </c>
      <c r="B108">
        <v>1.57</v>
      </c>
    </row>
    <row r="109" spans="1:2">
      <c r="A109" s="1">
        <v>42613</v>
      </c>
      <c r="B109">
        <v>1.58</v>
      </c>
    </row>
    <row r="110" spans="1:2">
      <c r="A110" s="1">
        <v>42614</v>
      </c>
      <c r="B110">
        <v>1.57</v>
      </c>
    </row>
    <row r="111" spans="1:2">
      <c r="A111" s="1">
        <v>42615</v>
      </c>
      <c r="B111">
        <v>1.6</v>
      </c>
    </row>
    <row r="112" spans="1:2">
      <c r="A112" s="1">
        <v>42618</v>
      </c>
    </row>
    <row r="113" spans="1:2">
      <c r="A113" s="1">
        <v>42619</v>
      </c>
      <c r="B113">
        <v>1.55</v>
      </c>
    </row>
    <row r="114" spans="1:2">
      <c r="A114" s="1">
        <v>42620</v>
      </c>
      <c r="B114">
        <v>1.54</v>
      </c>
    </row>
    <row r="115" spans="1:2">
      <c r="A115" s="1">
        <v>42621</v>
      </c>
      <c r="B115">
        <v>1.61</v>
      </c>
    </row>
    <row r="116" spans="1:2">
      <c r="A116" s="1">
        <v>42622</v>
      </c>
      <c r="B116">
        <v>1.67</v>
      </c>
    </row>
    <row r="117" spans="1:2">
      <c r="A117" s="1">
        <v>42625</v>
      </c>
      <c r="B117">
        <v>1.68</v>
      </c>
    </row>
    <row r="118" spans="1:2">
      <c r="A118" s="1">
        <v>42626</v>
      </c>
      <c r="B118">
        <v>1.73</v>
      </c>
    </row>
    <row r="119" spans="1:2">
      <c r="A119" s="1">
        <v>42627</v>
      </c>
      <c r="B119">
        <v>1.7</v>
      </c>
    </row>
    <row r="120" spans="1:2">
      <c r="A120" s="1">
        <v>42628</v>
      </c>
      <c r="B120">
        <v>1.71</v>
      </c>
    </row>
    <row r="121" spans="1:2">
      <c r="A121" s="1">
        <v>42629</v>
      </c>
      <c r="B121">
        <v>1.7</v>
      </c>
    </row>
    <row r="122" spans="1:2">
      <c r="A122" s="1">
        <v>42632</v>
      </c>
      <c r="B122">
        <v>1.7</v>
      </c>
    </row>
    <row r="123" spans="1:2">
      <c r="A123" s="1">
        <v>42633</v>
      </c>
      <c r="B123">
        <v>1.69</v>
      </c>
    </row>
    <row r="124" spans="1:2">
      <c r="A124" s="1">
        <v>42634</v>
      </c>
      <c r="B124">
        <v>1.66</v>
      </c>
    </row>
    <row r="125" spans="1:2">
      <c r="A125" s="1">
        <v>42635</v>
      </c>
      <c r="B125">
        <v>1.63</v>
      </c>
    </row>
    <row r="126" spans="1:2">
      <c r="A126" s="1">
        <v>42636</v>
      </c>
      <c r="B126">
        <v>1.62</v>
      </c>
    </row>
    <row r="127" spans="1:2">
      <c r="A127" s="1">
        <v>42639</v>
      </c>
      <c r="B127">
        <v>1.59</v>
      </c>
    </row>
    <row r="128" spans="1:2">
      <c r="A128" s="1">
        <v>42640</v>
      </c>
      <c r="B128">
        <v>1.56</v>
      </c>
    </row>
    <row r="129" spans="1:2">
      <c r="A129" s="1">
        <v>42641</v>
      </c>
      <c r="B129">
        <v>1.57</v>
      </c>
    </row>
    <row r="130" spans="1:2">
      <c r="A130" s="1">
        <v>42642</v>
      </c>
      <c r="B130">
        <v>1.56</v>
      </c>
    </row>
    <row r="131" spans="1:2">
      <c r="A131" s="1">
        <v>42643</v>
      </c>
      <c r="B131">
        <v>1.6</v>
      </c>
    </row>
    <row r="132" spans="1:2">
      <c r="A132" s="1">
        <v>42646</v>
      </c>
      <c r="B132">
        <v>1.63</v>
      </c>
    </row>
    <row r="133" spans="1:2">
      <c r="A133" s="1">
        <v>42647</v>
      </c>
      <c r="B133">
        <v>1.69</v>
      </c>
    </row>
    <row r="134" spans="1:2">
      <c r="A134" s="1">
        <v>42648</v>
      </c>
      <c r="B134">
        <v>1.72</v>
      </c>
    </row>
    <row r="135" spans="1:2">
      <c r="A135" s="1">
        <v>42649</v>
      </c>
      <c r="B135">
        <v>1.75</v>
      </c>
    </row>
    <row r="136" spans="1:2">
      <c r="A136" s="1">
        <v>42650</v>
      </c>
      <c r="B136">
        <v>1.73</v>
      </c>
    </row>
    <row r="137" spans="1:2">
      <c r="A137" s="1">
        <v>42653</v>
      </c>
    </row>
    <row r="138" spans="1:2">
      <c r="A138" s="1">
        <v>42654</v>
      </c>
      <c r="B138">
        <v>1.77</v>
      </c>
    </row>
    <row r="139" spans="1:2">
      <c r="A139" s="1">
        <v>42655</v>
      </c>
      <c r="B139">
        <v>1.79</v>
      </c>
    </row>
    <row r="140" spans="1:2">
      <c r="A140" s="1">
        <v>42656</v>
      </c>
      <c r="B140">
        <v>1.75</v>
      </c>
    </row>
    <row r="141" spans="1:2">
      <c r="A141" s="1">
        <v>42657</v>
      </c>
      <c r="B141">
        <v>1.8</v>
      </c>
    </row>
    <row r="142" spans="1:2">
      <c r="A142" s="1">
        <v>42660</v>
      </c>
      <c r="B142">
        <v>1.77</v>
      </c>
    </row>
    <row r="143" spans="1:2">
      <c r="A143" s="1">
        <v>42661</v>
      </c>
      <c r="B143">
        <v>1.75</v>
      </c>
    </row>
    <row r="144" spans="1:2">
      <c r="A144" s="1">
        <v>42662</v>
      </c>
      <c r="B144">
        <v>1.76</v>
      </c>
    </row>
    <row r="145" spans="1:2">
      <c r="A145" s="1">
        <v>42663</v>
      </c>
      <c r="B145">
        <v>1.76</v>
      </c>
    </row>
    <row r="146" spans="1:2">
      <c r="A146" s="1">
        <v>42664</v>
      </c>
      <c r="B146">
        <v>1.74</v>
      </c>
    </row>
    <row r="147" spans="1:2">
      <c r="A147" s="1">
        <v>42667</v>
      </c>
      <c r="B147">
        <v>1.77</v>
      </c>
    </row>
    <row r="148" spans="1:2">
      <c r="A148" s="1">
        <v>42668</v>
      </c>
      <c r="B148">
        <v>1.77</v>
      </c>
    </row>
    <row r="149" spans="1:2">
      <c r="A149" s="1">
        <v>42669</v>
      </c>
      <c r="B149">
        <v>1.79</v>
      </c>
    </row>
    <row r="150" spans="1:2">
      <c r="A150" s="1">
        <v>42670</v>
      </c>
      <c r="B150">
        <v>1.85</v>
      </c>
    </row>
    <row r="151" spans="1:2">
      <c r="A151" s="1">
        <v>42671</v>
      </c>
      <c r="B151">
        <v>1.86</v>
      </c>
    </row>
    <row r="152" spans="1:2">
      <c r="A152" s="1">
        <v>42674</v>
      </c>
      <c r="B152">
        <v>1.84</v>
      </c>
    </row>
    <row r="153" spans="1:2">
      <c r="A153" s="1">
        <v>42675</v>
      </c>
      <c r="B153">
        <v>1.83</v>
      </c>
    </row>
    <row r="154" spans="1:2">
      <c r="A154" s="1">
        <v>42676</v>
      </c>
      <c r="B154">
        <v>1.81</v>
      </c>
    </row>
    <row r="155" spans="1:2">
      <c r="A155" s="1">
        <v>42677</v>
      </c>
      <c r="B155">
        <v>1.82</v>
      </c>
    </row>
    <row r="156" spans="1:2">
      <c r="A156" s="1">
        <v>42678</v>
      </c>
      <c r="B156">
        <v>1.79</v>
      </c>
    </row>
    <row r="157" spans="1:2">
      <c r="A157" s="1">
        <v>42681</v>
      </c>
      <c r="B157">
        <v>1.83</v>
      </c>
    </row>
    <row r="158" spans="1:2">
      <c r="A158" s="1">
        <v>42682</v>
      </c>
      <c r="B158">
        <v>1.88</v>
      </c>
    </row>
    <row r="159" spans="1:2">
      <c r="A159" s="1">
        <v>42683</v>
      </c>
      <c r="B159">
        <v>2.0699999999999998</v>
      </c>
    </row>
    <row r="160" spans="1:2">
      <c r="A160" s="1">
        <v>42684</v>
      </c>
      <c r="B160">
        <v>2.15</v>
      </c>
    </row>
    <row r="161" spans="1:2">
      <c r="A161" s="1">
        <v>42685</v>
      </c>
    </row>
    <row r="162" spans="1:2">
      <c r="A162" s="1">
        <v>42688</v>
      </c>
      <c r="B162">
        <v>2.23</v>
      </c>
    </row>
    <row r="163" spans="1:2">
      <c r="A163" s="1">
        <v>42689</v>
      </c>
      <c r="B163">
        <v>2.23</v>
      </c>
    </row>
    <row r="164" spans="1:2">
      <c r="A164" s="1">
        <v>42690</v>
      </c>
      <c r="B164">
        <v>2.2200000000000002</v>
      </c>
    </row>
    <row r="165" spans="1:2">
      <c r="A165" s="1">
        <v>42691</v>
      </c>
      <c r="B165">
        <v>2.29</v>
      </c>
    </row>
    <row r="166" spans="1:2">
      <c r="A166" s="1">
        <v>42692</v>
      </c>
      <c r="B166">
        <v>2.34</v>
      </c>
    </row>
    <row r="167" spans="1:2">
      <c r="A167" s="1">
        <v>42695</v>
      </c>
      <c r="B167">
        <v>2.33</v>
      </c>
    </row>
    <row r="168" spans="1:2">
      <c r="A168" s="1">
        <v>42696</v>
      </c>
      <c r="B168">
        <v>2.31</v>
      </c>
    </row>
    <row r="169" spans="1:2">
      <c r="A169" s="1">
        <v>42697</v>
      </c>
      <c r="B169">
        <v>2.36</v>
      </c>
    </row>
    <row r="170" spans="1:2">
      <c r="A170" s="1">
        <v>42698</v>
      </c>
    </row>
    <row r="171" spans="1:2">
      <c r="A171" s="1">
        <v>42699</v>
      </c>
      <c r="B171">
        <v>2.36</v>
      </c>
    </row>
    <row r="172" spans="1:2">
      <c r="A172" s="1">
        <v>42702</v>
      </c>
      <c r="B172">
        <v>2.3199999999999998</v>
      </c>
    </row>
    <row r="173" spans="1:2">
      <c r="A173" s="1">
        <v>42703</v>
      </c>
      <c r="B173">
        <v>2.2999999999999998</v>
      </c>
    </row>
    <row r="174" spans="1:2">
      <c r="A174" s="1">
        <v>42704</v>
      </c>
      <c r="B174">
        <v>2.37</v>
      </c>
    </row>
    <row r="175" spans="1:2">
      <c r="A175" s="1">
        <v>42705</v>
      </c>
      <c r="B175">
        <v>2.4500000000000002</v>
      </c>
    </row>
    <row r="176" spans="1:2">
      <c r="A176" s="1">
        <v>42706</v>
      </c>
      <c r="B176">
        <v>2.4</v>
      </c>
    </row>
    <row r="177" spans="1:2">
      <c r="A177" s="1">
        <v>42709</v>
      </c>
      <c r="B177">
        <v>2.39</v>
      </c>
    </row>
    <row r="178" spans="1:2">
      <c r="A178" s="1">
        <v>42710</v>
      </c>
      <c r="B178">
        <v>2.39</v>
      </c>
    </row>
    <row r="179" spans="1:2">
      <c r="A179" s="1">
        <v>42711</v>
      </c>
      <c r="B179">
        <v>2.34</v>
      </c>
    </row>
    <row r="180" spans="1:2">
      <c r="A180" s="1">
        <v>42712</v>
      </c>
      <c r="B180">
        <v>2.4</v>
      </c>
    </row>
    <row r="181" spans="1:2">
      <c r="A181" s="1">
        <v>42713</v>
      </c>
      <c r="B181">
        <v>2.4700000000000002</v>
      </c>
    </row>
    <row r="182" spans="1:2">
      <c r="A182" s="1">
        <v>42716</v>
      </c>
      <c r="B182">
        <v>2.4900000000000002</v>
      </c>
    </row>
    <row r="183" spans="1:2">
      <c r="A183" s="1">
        <v>42717</v>
      </c>
      <c r="B183">
        <v>2.48</v>
      </c>
    </row>
    <row r="184" spans="1:2">
      <c r="A184" s="1">
        <v>42718</v>
      </c>
      <c r="B184">
        <v>2.54</v>
      </c>
    </row>
    <row r="185" spans="1:2">
      <c r="A185" s="1">
        <v>42719</v>
      </c>
      <c r="B185">
        <v>2.6</v>
      </c>
    </row>
    <row r="186" spans="1:2">
      <c r="A186" s="1">
        <v>42720</v>
      </c>
      <c r="B186">
        <v>2.6</v>
      </c>
    </row>
    <row r="187" spans="1:2">
      <c r="A187" s="1">
        <v>42723</v>
      </c>
      <c r="B187">
        <v>2.54</v>
      </c>
    </row>
    <row r="188" spans="1:2">
      <c r="A188" s="1">
        <v>42724</v>
      </c>
      <c r="B188">
        <v>2.57</v>
      </c>
    </row>
    <row r="189" spans="1:2">
      <c r="A189" s="1">
        <v>42725</v>
      </c>
      <c r="B189">
        <v>2.5499999999999998</v>
      </c>
    </row>
    <row r="190" spans="1:2">
      <c r="A190" s="1">
        <v>42726</v>
      </c>
      <c r="B190">
        <v>2.5499999999999998</v>
      </c>
    </row>
    <row r="191" spans="1:2">
      <c r="A191" s="1">
        <v>42727</v>
      </c>
      <c r="B191">
        <v>2.5499999999999998</v>
      </c>
    </row>
    <row r="192" spans="1:2">
      <c r="A192" s="1">
        <v>42730</v>
      </c>
    </row>
    <row r="193" spans="1:2">
      <c r="A193" s="1">
        <v>42731</v>
      </c>
      <c r="B193">
        <v>2.57</v>
      </c>
    </row>
    <row r="194" spans="1:2">
      <c r="A194" s="1">
        <v>42732</v>
      </c>
      <c r="B194">
        <v>2.5099999999999998</v>
      </c>
    </row>
    <row r="195" spans="1:2">
      <c r="A195" s="1">
        <v>42733</v>
      </c>
      <c r="B195">
        <v>2.4900000000000002</v>
      </c>
    </row>
    <row r="196" spans="1:2">
      <c r="A196" s="1">
        <v>42734</v>
      </c>
      <c r="B196">
        <v>2.4500000000000002</v>
      </c>
    </row>
    <row r="197" spans="1:2">
      <c r="A197" s="1">
        <v>42737</v>
      </c>
    </row>
    <row r="198" spans="1:2">
      <c r="A198" s="1">
        <v>42738</v>
      </c>
      <c r="B198">
        <v>2.4500000000000002</v>
      </c>
    </row>
    <row r="199" spans="1:2">
      <c r="A199" s="1">
        <v>42739</v>
      </c>
      <c r="B199">
        <v>2.46</v>
      </c>
    </row>
    <row r="200" spans="1:2">
      <c r="A200" s="1">
        <v>42740</v>
      </c>
      <c r="B200">
        <v>2.37</v>
      </c>
    </row>
    <row r="201" spans="1:2">
      <c r="A201" s="1">
        <v>42741</v>
      </c>
      <c r="B201">
        <v>2.42</v>
      </c>
    </row>
    <row r="202" spans="1:2">
      <c r="A202" s="1">
        <v>42744</v>
      </c>
      <c r="B202">
        <v>2.38</v>
      </c>
    </row>
    <row r="203" spans="1:2">
      <c r="A203" s="1">
        <v>42745</v>
      </c>
      <c r="B203">
        <v>2.38</v>
      </c>
    </row>
    <row r="204" spans="1:2">
      <c r="A204" s="1">
        <v>42746</v>
      </c>
      <c r="B204">
        <v>2.38</v>
      </c>
    </row>
    <row r="205" spans="1:2">
      <c r="A205" s="1">
        <v>42747</v>
      </c>
      <c r="B205">
        <v>2.36</v>
      </c>
    </row>
    <row r="206" spans="1:2">
      <c r="A206" s="1">
        <v>42748</v>
      </c>
      <c r="B206">
        <v>2.4</v>
      </c>
    </row>
    <row r="207" spans="1:2">
      <c r="A207" s="1">
        <v>42751</v>
      </c>
    </row>
    <row r="208" spans="1:2">
      <c r="A208" s="1">
        <v>42752</v>
      </c>
      <c r="B208">
        <v>2.33</v>
      </c>
    </row>
    <row r="209" spans="1:2">
      <c r="A209" s="1">
        <v>42753</v>
      </c>
      <c r="B209">
        <v>2.42</v>
      </c>
    </row>
    <row r="210" spans="1:2">
      <c r="A210" s="1">
        <v>42754</v>
      </c>
      <c r="B210">
        <v>2.4700000000000002</v>
      </c>
    </row>
    <row r="211" spans="1:2">
      <c r="A211" s="1">
        <v>42755</v>
      </c>
      <c r="B211">
        <v>2.48</v>
      </c>
    </row>
    <row r="212" spans="1:2">
      <c r="A212" s="1">
        <v>42758</v>
      </c>
      <c r="B212">
        <v>2.41</v>
      </c>
    </row>
    <row r="213" spans="1:2">
      <c r="A213" s="1">
        <v>42759</v>
      </c>
      <c r="B213">
        <v>2.4700000000000002</v>
      </c>
    </row>
    <row r="214" spans="1:2">
      <c r="A214" s="1">
        <v>42760</v>
      </c>
      <c r="B214">
        <v>2.5299999999999998</v>
      </c>
    </row>
    <row r="215" spans="1:2">
      <c r="A215" s="1">
        <v>42761</v>
      </c>
      <c r="B215">
        <v>2.5099999999999998</v>
      </c>
    </row>
    <row r="216" spans="1:2">
      <c r="A216" s="1">
        <v>42762</v>
      </c>
      <c r="B216">
        <v>2.4900000000000002</v>
      </c>
    </row>
    <row r="217" spans="1:2">
      <c r="A217" s="1">
        <v>42765</v>
      </c>
      <c r="B217">
        <v>2.4900000000000002</v>
      </c>
    </row>
    <row r="218" spans="1:2">
      <c r="A218" s="1">
        <v>42766</v>
      </c>
      <c r="B218">
        <v>2.4500000000000002</v>
      </c>
    </row>
    <row r="219" spans="1:2">
      <c r="A219" s="1">
        <v>42767</v>
      </c>
      <c r="B219">
        <v>2.48</v>
      </c>
    </row>
    <row r="220" spans="1:2">
      <c r="A220" s="1">
        <v>42768</v>
      </c>
      <c r="B220">
        <v>2.48</v>
      </c>
    </row>
    <row r="221" spans="1:2">
      <c r="A221" s="1">
        <v>42769</v>
      </c>
      <c r="B221">
        <v>2.4900000000000002</v>
      </c>
    </row>
    <row r="222" spans="1:2">
      <c r="A222" s="1">
        <v>42772</v>
      </c>
      <c r="B222">
        <v>2.42</v>
      </c>
    </row>
    <row r="223" spans="1:2">
      <c r="A223" s="1">
        <v>42773</v>
      </c>
      <c r="B223">
        <v>2.4</v>
      </c>
    </row>
    <row r="224" spans="1:2">
      <c r="A224" s="1">
        <v>42774</v>
      </c>
      <c r="B224">
        <v>2.34</v>
      </c>
    </row>
    <row r="225" spans="1:2">
      <c r="A225" s="1">
        <v>42775</v>
      </c>
      <c r="B225">
        <v>2.4</v>
      </c>
    </row>
    <row r="226" spans="1:2">
      <c r="A226" s="1">
        <v>42776</v>
      </c>
      <c r="B226">
        <v>2.41</v>
      </c>
    </row>
    <row r="227" spans="1:2">
      <c r="A227" s="1">
        <v>42779</v>
      </c>
      <c r="B227">
        <v>2.4300000000000002</v>
      </c>
    </row>
    <row r="228" spans="1:2">
      <c r="A228" s="1">
        <v>42780</v>
      </c>
      <c r="B228">
        <v>2.4700000000000002</v>
      </c>
    </row>
    <row r="229" spans="1:2">
      <c r="A229" s="1">
        <v>42781</v>
      </c>
      <c r="B229">
        <v>2.5099999999999998</v>
      </c>
    </row>
    <row r="230" spans="1:2">
      <c r="A230" s="1">
        <v>42782</v>
      </c>
      <c r="B230">
        <v>2.4500000000000002</v>
      </c>
    </row>
    <row r="231" spans="1:2">
      <c r="A231" s="1">
        <v>42783</v>
      </c>
      <c r="B231">
        <v>2.42</v>
      </c>
    </row>
    <row r="232" spans="1:2">
      <c r="A232" s="1">
        <v>42786</v>
      </c>
    </row>
    <row r="233" spans="1:2">
      <c r="A233" s="1">
        <v>42787</v>
      </c>
      <c r="B233">
        <v>2.4300000000000002</v>
      </c>
    </row>
    <row r="234" spans="1:2">
      <c r="A234" s="1">
        <v>42788</v>
      </c>
      <c r="B234">
        <v>2.42</v>
      </c>
    </row>
    <row r="235" spans="1:2">
      <c r="A235" s="1">
        <v>42789</v>
      </c>
      <c r="B235">
        <v>2.38</v>
      </c>
    </row>
    <row r="236" spans="1:2">
      <c r="A236" s="1">
        <v>42790</v>
      </c>
      <c r="B236">
        <v>2.31</v>
      </c>
    </row>
    <row r="237" spans="1:2">
      <c r="A237" s="1">
        <v>42793</v>
      </c>
      <c r="B237">
        <v>2.36</v>
      </c>
    </row>
    <row r="238" spans="1:2">
      <c r="A238" s="1">
        <v>42794</v>
      </c>
      <c r="B238">
        <v>2.36</v>
      </c>
    </row>
    <row r="239" spans="1:2">
      <c r="A239" s="1">
        <v>42795</v>
      </c>
      <c r="B239">
        <v>2.46</v>
      </c>
    </row>
    <row r="240" spans="1:2">
      <c r="A240" s="1">
        <v>42796</v>
      </c>
      <c r="B240">
        <v>2.4900000000000002</v>
      </c>
    </row>
    <row r="241" spans="1:2">
      <c r="A241" s="1">
        <v>42797</v>
      </c>
      <c r="B241">
        <v>2.4900000000000002</v>
      </c>
    </row>
    <row r="242" spans="1:2">
      <c r="A242" s="1">
        <v>42800</v>
      </c>
      <c r="B242">
        <v>2.4900000000000002</v>
      </c>
    </row>
    <row r="243" spans="1:2">
      <c r="A243" s="1">
        <v>42801</v>
      </c>
      <c r="B243">
        <v>2.52</v>
      </c>
    </row>
    <row r="244" spans="1:2">
      <c r="A244" s="1">
        <v>42802</v>
      </c>
      <c r="B244">
        <v>2.57</v>
      </c>
    </row>
    <row r="245" spans="1:2">
      <c r="A245" s="1">
        <v>42803</v>
      </c>
      <c r="B245">
        <v>2.6</v>
      </c>
    </row>
    <row r="246" spans="1:2">
      <c r="A246" s="1">
        <v>42804</v>
      </c>
      <c r="B246">
        <v>2.58</v>
      </c>
    </row>
    <row r="247" spans="1:2">
      <c r="A247" s="1">
        <v>42807</v>
      </c>
      <c r="B247">
        <v>2.62</v>
      </c>
    </row>
    <row r="248" spans="1:2">
      <c r="A248" s="1">
        <v>42808</v>
      </c>
      <c r="B248">
        <v>2.6</v>
      </c>
    </row>
    <row r="249" spans="1:2">
      <c r="A249" s="1">
        <v>42809</v>
      </c>
      <c r="B249">
        <v>2.5099999999999998</v>
      </c>
    </row>
    <row r="250" spans="1:2">
      <c r="A250" s="1">
        <v>42810</v>
      </c>
      <c r="B250">
        <v>2.5299999999999998</v>
      </c>
    </row>
    <row r="251" spans="1:2">
      <c r="A251" s="1">
        <v>42811</v>
      </c>
      <c r="B251">
        <v>2.5</v>
      </c>
    </row>
    <row r="252" spans="1:2">
      <c r="A252" s="1">
        <v>42814</v>
      </c>
      <c r="B252">
        <v>2.4700000000000002</v>
      </c>
    </row>
    <row r="253" spans="1:2">
      <c r="A253" s="1">
        <v>42815</v>
      </c>
      <c r="B253">
        <v>2.4300000000000002</v>
      </c>
    </row>
    <row r="254" spans="1:2">
      <c r="A254" s="1">
        <v>42816</v>
      </c>
      <c r="B254">
        <v>2.4</v>
      </c>
    </row>
    <row r="255" spans="1:2">
      <c r="A255" s="1">
        <v>42817</v>
      </c>
      <c r="B255">
        <v>2.41</v>
      </c>
    </row>
    <row r="256" spans="1:2">
      <c r="A256" s="1">
        <v>42818</v>
      </c>
      <c r="B256">
        <v>2.4</v>
      </c>
    </row>
    <row r="257" spans="1:2">
      <c r="A257" s="1">
        <v>42821</v>
      </c>
      <c r="B257">
        <v>2.38</v>
      </c>
    </row>
    <row r="258" spans="1:2">
      <c r="A258" s="1">
        <v>42822</v>
      </c>
      <c r="B258">
        <v>2.42</v>
      </c>
    </row>
    <row r="259" spans="1:2">
      <c r="A259" s="1">
        <v>42823</v>
      </c>
      <c r="B259">
        <v>2.39</v>
      </c>
    </row>
    <row r="260" spans="1:2">
      <c r="A260" s="1">
        <v>42824</v>
      </c>
      <c r="B260">
        <v>2.42</v>
      </c>
    </row>
    <row r="261" spans="1:2">
      <c r="A261" s="1">
        <v>42825</v>
      </c>
      <c r="B261">
        <v>2.4</v>
      </c>
    </row>
    <row r="262" spans="1:2">
      <c r="A262" s="1">
        <v>42828</v>
      </c>
      <c r="B262">
        <v>2.35</v>
      </c>
    </row>
    <row r="263" spans="1:2">
      <c r="A263" s="1">
        <v>42829</v>
      </c>
      <c r="B263">
        <v>2.36</v>
      </c>
    </row>
    <row r="264" spans="1:2">
      <c r="A264" s="1">
        <v>42830</v>
      </c>
      <c r="B264">
        <v>2.34</v>
      </c>
    </row>
    <row r="265" spans="1:2">
      <c r="A265" s="1">
        <v>42831</v>
      </c>
      <c r="B265">
        <v>2.34</v>
      </c>
    </row>
    <row r="266" spans="1:2">
      <c r="A266" s="1">
        <v>42832</v>
      </c>
      <c r="B266">
        <v>2.38</v>
      </c>
    </row>
    <row r="267" spans="1:2">
      <c r="A267" s="1">
        <v>42835</v>
      </c>
      <c r="B267">
        <v>2.37</v>
      </c>
    </row>
    <row r="268" spans="1:2">
      <c r="A268" s="1">
        <v>42836</v>
      </c>
      <c r="B268">
        <v>2.3199999999999998</v>
      </c>
    </row>
    <row r="269" spans="1:2">
      <c r="A269" s="1">
        <v>42837</v>
      </c>
      <c r="B269">
        <v>2.2799999999999998</v>
      </c>
    </row>
    <row r="270" spans="1:2">
      <c r="A270" s="1">
        <v>42838</v>
      </c>
      <c r="B270">
        <v>2.2400000000000002</v>
      </c>
    </row>
    <row r="271" spans="1:2">
      <c r="A271" s="1">
        <v>42839</v>
      </c>
    </row>
    <row r="272" spans="1:2">
      <c r="A272" s="1">
        <v>42842</v>
      </c>
      <c r="B272">
        <v>2.2599999999999998</v>
      </c>
    </row>
    <row r="273" spans="1:2">
      <c r="A273" s="1">
        <v>42843</v>
      </c>
      <c r="B273">
        <v>2.1800000000000002</v>
      </c>
    </row>
    <row r="274" spans="1:2">
      <c r="A274" s="1">
        <v>42844</v>
      </c>
      <c r="B274">
        <v>2.21</v>
      </c>
    </row>
    <row r="275" spans="1:2">
      <c r="A275" s="1">
        <v>42845</v>
      </c>
      <c r="B275">
        <v>2.2400000000000002</v>
      </c>
    </row>
    <row r="276" spans="1:2">
      <c r="A276" s="1">
        <v>42846</v>
      </c>
      <c r="B276">
        <v>2.2400000000000002</v>
      </c>
    </row>
    <row r="277" spans="1:2">
      <c r="A277" s="1">
        <v>42849</v>
      </c>
      <c r="B277">
        <v>2.2799999999999998</v>
      </c>
    </row>
    <row r="278" spans="1:2">
      <c r="A278" s="1">
        <v>42850</v>
      </c>
      <c r="B278">
        <v>2.35</v>
      </c>
    </row>
    <row r="279" spans="1:2">
      <c r="A279" s="1">
        <v>42851</v>
      </c>
      <c r="B279">
        <v>2.3199999999999998</v>
      </c>
    </row>
    <row r="280" spans="1:2">
      <c r="A280" s="1">
        <v>42852</v>
      </c>
      <c r="B280">
        <v>2.2999999999999998</v>
      </c>
    </row>
    <row r="281" spans="1:2">
      <c r="A281" s="1">
        <v>42853</v>
      </c>
      <c r="B281">
        <v>2.29</v>
      </c>
    </row>
    <row r="282" spans="1:2">
      <c r="A282" s="1">
        <v>42856</v>
      </c>
      <c r="B282">
        <v>2.33</v>
      </c>
    </row>
    <row r="283" spans="1:2">
      <c r="A283" s="1">
        <v>42857</v>
      </c>
      <c r="B283">
        <v>2.29</v>
      </c>
    </row>
    <row r="284" spans="1:2">
      <c r="A284" s="1">
        <v>42858</v>
      </c>
      <c r="B284">
        <v>2.33</v>
      </c>
    </row>
    <row r="285" spans="1:2">
      <c r="A285" s="1">
        <v>42859</v>
      </c>
      <c r="B285">
        <v>2.36</v>
      </c>
    </row>
    <row r="286" spans="1:2">
      <c r="A286" s="1">
        <v>42860</v>
      </c>
      <c r="B286">
        <v>2.36</v>
      </c>
    </row>
    <row r="287" spans="1:2">
      <c r="A287" s="1">
        <v>42863</v>
      </c>
      <c r="B287">
        <v>2.39</v>
      </c>
    </row>
    <row r="288" spans="1:2">
      <c r="A288" s="1">
        <v>42864</v>
      </c>
      <c r="B288">
        <v>2.42</v>
      </c>
    </row>
    <row r="289" spans="1:2">
      <c r="A289" s="1">
        <v>42865</v>
      </c>
      <c r="B289">
        <v>2.41</v>
      </c>
    </row>
    <row r="290" spans="1:2">
      <c r="A290" s="1">
        <v>42866</v>
      </c>
      <c r="B290">
        <v>2.39</v>
      </c>
    </row>
    <row r="291" spans="1:2">
      <c r="A291" s="1">
        <v>42867</v>
      </c>
      <c r="B291">
        <v>2.33</v>
      </c>
    </row>
    <row r="292" spans="1:2">
      <c r="A292" s="1">
        <v>42870</v>
      </c>
      <c r="B292">
        <v>2.34</v>
      </c>
    </row>
    <row r="293" spans="1:2">
      <c r="A293" s="1">
        <v>42871</v>
      </c>
      <c r="B293">
        <v>2.33</v>
      </c>
    </row>
    <row r="294" spans="1:2">
      <c r="A294" s="1">
        <v>42872</v>
      </c>
      <c r="B294">
        <v>2.2200000000000002</v>
      </c>
    </row>
    <row r="295" spans="1:2">
      <c r="A295" s="1">
        <v>42873</v>
      </c>
      <c r="B295">
        <v>2.23</v>
      </c>
    </row>
    <row r="296" spans="1:2">
      <c r="A296" s="1">
        <v>42874</v>
      </c>
      <c r="B296">
        <v>2.23</v>
      </c>
    </row>
    <row r="297" spans="1:2">
      <c r="A297" s="1">
        <v>42877</v>
      </c>
      <c r="B297">
        <v>2.25</v>
      </c>
    </row>
    <row r="298" spans="1:2">
      <c r="A298" s="1">
        <v>42878</v>
      </c>
      <c r="B298">
        <v>2.29</v>
      </c>
    </row>
    <row r="299" spans="1:2">
      <c r="A299" s="1">
        <v>42879</v>
      </c>
      <c r="B299">
        <v>2.2599999999999998</v>
      </c>
    </row>
    <row r="300" spans="1:2">
      <c r="A300" s="1">
        <v>42880</v>
      </c>
      <c r="B300">
        <v>2.25</v>
      </c>
    </row>
    <row r="301" spans="1:2">
      <c r="A301" s="1">
        <v>42881</v>
      </c>
      <c r="B301">
        <v>2.25</v>
      </c>
    </row>
    <row r="302" spans="1:2">
      <c r="A302" s="1">
        <v>42884</v>
      </c>
    </row>
    <row r="303" spans="1:2">
      <c r="A303" s="1">
        <v>42885</v>
      </c>
      <c r="B303">
        <v>2.21</v>
      </c>
    </row>
    <row r="304" spans="1:2">
      <c r="A304" s="1">
        <v>42886</v>
      </c>
      <c r="B304">
        <v>2.21</v>
      </c>
    </row>
    <row r="305" spans="1:2">
      <c r="A305" s="1">
        <v>42887</v>
      </c>
      <c r="B305">
        <v>2.21</v>
      </c>
    </row>
    <row r="306" spans="1:2">
      <c r="A306" s="1">
        <v>42888</v>
      </c>
      <c r="B306">
        <v>2.15</v>
      </c>
    </row>
    <row r="307" spans="1:2">
      <c r="A307" s="1">
        <v>42891</v>
      </c>
      <c r="B307">
        <v>2.1800000000000002</v>
      </c>
    </row>
    <row r="308" spans="1:2">
      <c r="A308" s="1">
        <v>42892</v>
      </c>
      <c r="B308">
        <v>2.14</v>
      </c>
    </row>
    <row r="309" spans="1:2">
      <c r="A309" s="1">
        <v>42893</v>
      </c>
      <c r="B309">
        <v>2.1800000000000002</v>
      </c>
    </row>
    <row r="310" spans="1:2">
      <c r="A310" s="1">
        <v>42894</v>
      </c>
      <c r="B310">
        <v>2.19</v>
      </c>
    </row>
    <row r="311" spans="1:2">
      <c r="A311" s="1">
        <v>42895</v>
      </c>
      <c r="B311">
        <v>2.21</v>
      </c>
    </row>
    <row r="312" spans="1:2">
      <c r="A312" s="1">
        <v>42898</v>
      </c>
      <c r="B312">
        <v>2.21</v>
      </c>
    </row>
    <row r="313" spans="1:2">
      <c r="A313" s="1">
        <v>42899</v>
      </c>
      <c r="B313">
        <v>2.21</v>
      </c>
    </row>
    <row r="314" spans="1:2">
      <c r="A314" s="1">
        <v>42900</v>
      </c>
      <c r="B314">
        <v>2.15</v>
      </c>
    </row>
    <row r="315" spans="1:2">
      <c r="A315" s="1">
        <v>42901</v>
      </c>
      <c r="B315">
        <v>2.16</v>
      </c>
    </row>
    <row r="316" spans="1:2">
      <c r="A316" s="1">
        <v>42902</v>
      </c>
      <c r="B316">
        <v>2.16</v>
      </c>
    </row>
    <row r="317" spans="1:2">
      <c r="A317" s="1">
        <v>42905</v>
      </c>
      <c r="B317">
        <v>2.19</v>
      </c>
    </row>
    <row r="318" spans="1:2">
      <c r="A318" s="1">
        <v>42906</v>
      </c>
      <c r="B318">
        <v>2.16</v>
      </c>
    </row>
    <row r="319" spans="1:2">
      <c r="A319" s="1">
        <v>42907</v>
      </c>
      <c r="B319">
        <v>2.16</v>
      </c>
    </row>
    <row r="320" spans="1:2">
      <c r="A320" s="1">
        <v>42908</v>
      </c>
      <c r="B320">
        <v>2.15</v>
      </c>
    </row>
    <row r="321" spans="1:2">
      <c r="A321" s="1">
        <v>42909</v>
      </c>
      <c r="B321">
        <v>2.15</v>
      </c>
    </row>
    <row r="322" spans="1:2">
      <c r="A322" s="1">
        <v>42912</v>
      </c>
      <c r="B322">
        <v>2.14</v>
      </c>
    </row>
    <row r="323" spans="1:2">
      <c r="A323" s="1">
        <v>42913</v>
      </c>
      <c r="B323">
        <v>2.21</v>
      </c>
    </row>
    <row r="324" spans="1:2">
      <c r="A324" s="1">
        <v>42914</v>
      </c>
      <c r="B324">
        <v>2.2200000000000002</v>
      </c>
    </row>
    <row r="325" spans="1:2">
      <c r="A325" s="1">
        <v>42915</v>
      </c>
      <c r="B325">
        <v>2.27</v>
      </c>
    </row>
    <row r="326" spans="1:2">
      <c r="A326" s="1">
        <v>42916</v>
      </c>
      <c r="B326">
        <v>2.31</v>
      </c>
    </row>
    <row r="327" spans="1:2">
      <c r="A327" s="1">
        <v>42919</v>
      </c>
      <c r="B327">
        <v>2.35</v>
      </c>
    </row>
    <row r="328" spans="1:2">
      <c r="A328" s="1">
        <v>42920</v>
      </c>
    </row>
    <row r="329" spans="1:2">
      <c r="A329" s="1">
        <v>42921</v>
      </c>
      <c r="B329">
        <v>2.33</v>
      </c>
    </row>
    <row r="330" spans="1:2">
      <c r="A330" s="1">
        <v>42922</v>
      </c>
      <c r="B330">
        <v>2.37</v>
      </c>
    </row>
    <row r="331" spans="1:2">
      <c r="A331" s="1">
        <v>42923</v>
      </c>
      <c r="B331">
        <v>2.39</v>
      </c>
    </row>
    <row r="332" spans="1:2">
      <c r="A332" s="1">
        <v>42926</v>
      </c>
      <c r="B332">
        <v>2.38</v>
      </c>
    </row>
    <row r="333" spans="1:2">
      <c r="A333" s="1">
        <v>42927</v>
      </c>
      <c r="B333">
        <v>2.37</v>
      </c>
    </row>
    <row r="334" spans="1:2">
      <c r="A334" s="1">
        <v>42928</v>
      </c>
      <c r="B334">
        <v>2.33</v>
      </c>
    </row>
    <row r="335" spans="1:2">
      <c r="A335" s="1">
        <v>42929</v>
      </c>
      <c r="B335">
        <v>2.35</v>
      </c>
    </row>
    <row r="336" spans="1:2">
      <c r="A336" s="1">
        <v>42930</v>
      </c>
      <c r="B336">
        <v>2.33</v>
      </c>
    </row>
    <row r="337" spans="1:2">
      <c r="A337" s="1">
        <v>42933</v>
      </c>
      <c r="B337">
        <v>2.31</v>
      </c>
    </row>
    <row r="338" spans="1:2">
      <c r="A338" s="1">
        <v>42934</v>
      </c>
      <c r="B338">
        <v>2.27</v>
      </c>
    </row>
    <row r="339" spans="1:2">
      <c r="A339" s="1">
        <v>42935</v>
      </c>
      <c r="B339">
        <v>2.27</v>
      </c>
    </row>
    <row r="340" spans="1:2">
      <c r="A340" s="1">
        <v>42936</v>
      </c>
      <c r="B340">
        <v>2.27</v>
      </c>
    </row>
    <row r="341" spans="1:2">
      <c r="A341" s="1">
        <v>42937</v>
      </c>
      <c r="B341">
        <v>2.2400000000000002</v>
      </c>
    </row>
    <row r="342" spans="1:2">
      <c r="A342" s="1">
        <v>42940</v>
      </c>
      <c r="B342">
        <v>2.2599999999999998</v>
      </c>
    </row>
    <row r="343" spans="1:2">
      <c r="A343" s="1">
        <v>42941</v>
      </c>
      <c r="B343">
        <v>2.33</v>
      </c>
    </row>
    <row r="344" spans="1:2">
      <c r="A344" s="1">
        <v>42942</v>
      </c>
      <c r="B344">
        <v>2.29</v>
      </c>
    </row>
    <row r="345" spans="1:2">
      <c r="A345" s="1">
        <v>42943</v>
      </c>
      <c r="B345">
        <v>2.3199999999999998</v>
      </c>
    </row>
    <row r="346" spans="1:2">
      <c r="A346" s="1">
        <v>42944</v>
      </c>
      <c r="B346">
        <v>2.2999999999999998</v>
      </c>
    </row>
    <row r="347" spans="1:2">
      <c r="A347" s="1">
        <v>42947</v>
      </c>
      <c r="B347">
        <v>2.2999999999999998</v>
      </c>
    </row>
    <row r="348" spans="1:2">
      <c r="A348" s="1">
        <v>42948</v>
      </c>
      <c r="B348">
        <v>2.2599999999999998</v>
      </c>
    </row>
    <row r="349" spans="1:2">
      <c r="A349" s="1">
        <v>42949</v>
      </c>
      <c r="B349">
        <v>2.27</v>
      </c>
    </row>
    <row r="350" spans="1:2">
      <c r="A350" s="1">
        <v>42950</v>
      </c>
      <c r="B350">
        <v>2.2400000000000002</v>
      </c>
    </row>
    <row r="351" spans="1:2">
      <c r="A351" s="1">
        <v>42951</v>
      </c>
      <c r="B351">
        <v>2.27</v>
      </c>
    </row>
    <row r="352" spans="1:2">
      <c r="A352" s="1">
        <v>42954</v>
      </c>
      <c r="B352">
        <v>2.2599999999999998</v>
      </c>
    </row>
    <row r="353" spans="1:2">
      <c r="A353" s="1">
        <v>42955</v>
      </c>
      <c r="B353">
        <v>2.29</v>
      </c>
    </row>
    <row r="354" spans="1:2">
      <c r="A354" s="1">
        <v>42956</v>
      </c>
      <c r="B354">
        <v>2.2400000000000002</v>
      </c>
    </row>
    <row r="355" spans="1:2">
      <c r="A355" s="1">
        <v>42957</v>
      </c>
      <c r="B355">
        <v>2.2000000000000002</v>
      </c>
    </row>
    <row r="356" spans="1:2">
      <c r="A356" s="1">
        <v>42958</v>
      </c>
      <c r="B356">
        <v>2.19</v>
      </c>
    </row>
    <row r="357" spans="1:2">
      <c r="A357" s="1">
        <v>42961</v>
      </c>
      <c r="B357">
        <v>2.2200000000000002</v>
      </c>
    </row>
    <row r="358" spans="1:2">
      <c r="A358" s="1">
        <v>42962</v>
      </c>
      <c r="B358">
        <v>2.27</v>
      </c>
    </row>
    <row r="359" spans="1:2">
      <c r="A359" s="1">
        <v>42963</v>
      </c>
      <c r="B359">
        <v>2.23</v>
      </c>
    </row>
    <row r="360" spans="1:2">
      <c r="A360" s="1">
        <v>42964</v>
      </c>
      <c r="B360">
        <v>2.19</v>
      </c>
    </row>
    <row r="361" spans="1:2">
      <c r="A361" s="1">
        <v>42965</v>
      </c>
      <c r="B361">
        <v>2.19</v>
      </c>
    </row>
    <row r="362" spans="1:2">
      <c r="A362" s="1">
        <v>42968</v>
      </c>
      <c r="B362">
        <v>2.1800000000000002</v>
      </c>
    </row>
    <row r="363" spans="1:2">
      <c r="A363" s="1">
        <v>42969</v>
      </c>
      <c r="B363">
        <v>2.2200000000000002</v>
      </c>
    </row>
    <row r="364" spans="1:2">
      <c r="A364" s="1">
        <v>42970</v>
      </c>
      <c r="B364">
        <v>2.17</v>
      </c>
    </row>
    <row r="365" spans="1:2">
      <c r="A365" s="1">
        <v>42971</v>
      </c>
      <c r="B365">
        <v>2.19</v>
      </c>
    </row>
    <row r="366" spans="1:2">
      <c r="A366" s="1">
        <v>42972</v>
      </c>
      <c r="B366">
        <v>2.17</v>
      </c>
    </row>
    <row r="367" spans="1:2">
      <c r="A367" s="1">
        <v>42975</v>
      </c>
      <c r="B367">
        <v>2.16</v>
      </c>
    </row>
    <row r="368" spans="1:2">
      <c r="A368" s="1">
        <v>42976</v>
      </c>
      <c r="B368">
        <v>2.13</v>
      </c>
    </row>
    <row r="369" spans="1:2">
      <c r="A369" s="1">
        <v>42977</v>
      </c>
      <c r="B369">
        <v>2.15</v>
      </c>
    </row>
    <row r="370" spans="1:2">
      <c r="A370" s="1">
        <v>42978</v>
      </c>
      <c r="B370">
        <v>2.12</v>
      </c>
    </row>
    <row r="371" spans="1:2">
      <c r="A371" s="1">
        <v>42979</v>
      </c>
      <c r="B371">
        <v>2.16</v>
      </c>
    </row>
    <row r="372" spans="1:2">
      <c r="A372" s="1">
        <v>42982</v>
      </c>
    </row>
    <row r="373" spans="1:2">
      <c r="A373" s="1">
        <v>42983</v>
      </c>
      <c r="B373">
        <v>2.0699999999999998</v>
      </c>
    </row>
    <row r="374" spans="1:2">
      <c r="A374" s="1">
        <v>42984</v>
      </c>
      <c r="B374">
        <v>2.1</v>
      </c>
    </row>
    <row r="375" spans="1:2">
      <c r="A375" s="1">
        <v>42985</v>
      </c>
      <c r="B375">
        <v>2.0499999999999998</v>
      </c>
    </row>
    <row r="376" spans="1:2">
      <c r="A376" s="1">
        <v>42986</v>
      </c>
      <c r="B376">
        <v>2.06</v>
      </c>
    </row>
    <row r="377" spans="1:2">
      <c r="A377" s="1">
        <v>42989</v>
      </c>
      <c r="B377">
        <v>2.14</v>
      </c>
    </row>
    <row r="378" spans="1:2">
      <c r="A378" s="1">
        <v>42990</v>
      </c>
      <c r="B378">
        <v>2.17</v>
      </c>
    </row>
    <row r="379" spans="1:2">
      <c r="A379" s="1">
        <v>42991</v>
      </c>
      <c r="B379">
        <v>2.2000000000000002</v>
      </c>
    </row>
    <row r="380" spans="1:2">
      <c r="A380" s="1">
        <v>42992</v>
      </c>
      <c r="B380">
        <v>2.2000000000000002</v>
      </c>
    </row>
    <row r="381" spans="1:2">
      <c r="A381" s="1">
        <v>42993</v>
      </c>
      <c r="B381">
        <v>2.2000000000000002</v>
      </c>
    </row>
    <row r="382" spans="1:2">
      <c r="A382" s="1">
        <v>42996</v>
      </c>
      <c r="B382">
        <v>2.23</v>
      </c>
    </row>
    <row r="383" spans="1:2">
      <c r="A383" s="1">
        <v>42997</v>
      </c>
      <c r="B383">
        <v>2.2400000000000002</v>
      </c>
    </row>
    <row r="384" spans="1:2">
      <c r="A384" s="1">
        <v>42998</v>
      </c>
      <c r="B384">
        <v>2.2799999999999998</v>
      </c>
    </row>
    <row r="385" spans="1:2">
      <c r="A385" s="1">
        <v>42999</v>
      </c>
      <c r="B385">
        <v>2.27</v>
      </c>
    </row>
    <row r="386" spans="1:2">
      <c r="A386" s="1">
        <v>43000</v>
      </c>
      <c r="B386">
        <v>2.2599999999999998</v>
      </c>
    </row>
    <row r="387" spans="1:2">
      <c r="A387" s="1">
        <v>43003</v>
      </c>
      <c r="B387">
        <v>2.2200000000000002</v>
      </c>
    </row>
    <row r="388" spans="1:2">
      <c r="A388" s="1">
        <v>43004</v>
      </c>
      <c r="B388">
        <v>2.2400000000000002</v>
      </c>
    </row>
    <row r="389" spans="1:2">
      <c r="A389" s="1">
        <v>43005</v>
      </c>
      <c r="B389">
        <v>2.31</v>
      </c>
    </row>
    <row r="390" spans="1:2">
      <c r="A390" s="1">
        <v>43006</v>
      </c>
      <c r="B390">
        <v>2.31</v>
      </c>
    </row>
    <row r="391" spans="1:2">
      <c r="A391" s="1">
        <v>43007</v>
      </c>
      <c r="B391">
        <v>2.33</v>
      </c>
    </row>
    <row r="392" spans="1:2">
      <c r="A392" s="1">
        <v>43010</v>
      </c>
      <c r="B392">
        <v>2.34</v>
      </c>
    </row>
    <row r="393" spans="1:2">
      <c r="A393" s="1">
        <v>43011</v>
      </c>
      <c r="B393">
        <v>2.33</v>
      </c>
    </row>
    <row r="394" spans="1:2">
      <c r="A394" s="1">
        <v>43012</v>
      </c>
      <c r="B394">
        <v>2.33</v>
      </c>
    </row>
    <row r="395" spans="1:2">
      <c r="A395" s="1">
        <v>43013</v>
      </c>
      <c r="B395">
        <v>2.35</v>
      </c>
    </row>
    <row r="396" spans="1:2">
      <c r="A396" s="1">
        <v>43014</v>
      </c>
      <c r="B396">
        <v>2.37</v>
      </c>
    </row>
    <row r="397" spans="1:2">
      <c r="A397" s="1">
        <v>43017</v>
      </c>
    </row>
    <row r="398" spans="1:2">
      <c r="A398" s="1">
        <v>43018</v>
      </c>
      <c r="B398">
        <v>2.35</v>
      </c>
    </row>
    <row r="399" spans="1:2">
      <c r="A399" s="1">
        <v>43019</v>
      </c>
      <c r="B399">
        <v>2.35</v>
      </c>
    </row>
    <row r="400" spans="1:2">
      <c r="A400" s="1">
        <v>43020</v>
      </c>
      <c r="B400">
        <v>2.33</v>
      </c>
    </row>
    <row r="401" spans="1:2">
      <c r="A401" s="1">
        <v>43021</v>
      </c>
      <c r="B401">
        <v>2.2799999999999998</v>
      </c>
    </row>
    <row r="402" spans="1:2">
      <c r="A402" s="1">
        <v>43024</v>
      </c>
      <c r="B402">
        <v>2.2999999999999998</v>
      </c>
    </row>
    <row r="403" spans="1:2">
      <c r="A403" s="1">
        <v>43025</v>
      </c>
      <c r="B403">
        <v>2.2999999999999998</v>
      </c>
    </row>
    <row r="404" spans="1:2">
      <c r="A404" s="1">
        <v>43026</v>
      </c>
      <c r="B404">
        <v>2.34</v>
      </c>
    </row>
    <row r="405" spans="1:2">
      <c r="A405" s="1">
        <v>43027</v>
      </c>
      <c r="B405">
        <v>2.33</v>
      </c>
    </row>
    <row r="406" spans="1:2">
      <c r="A406" s="1">
        <v>43028</v>
      </c>
      <c r="B406">
        <v>2.39</v>
      </c>
    </row>
    <row r="407" spans="1:2">
      <c r="A407" s="1">
        <v>43031</v>
      </c>
      <c r="B407">
        <v>2.38</v>
      </c>
    </row>
    <row r="408" spans="1:2">
      <c r="A408" s="1">
        <v>43032</v>
      </c>
      <c r="B408">
        <v>2.42</v>
      </c>
    </row>
    <row r="409" spans="1:2">
      <c r="A409" s="1">
        <v>43033</v>
      </c>
      <c r="B409">
        <v>2.44</v>
      </c>
    </row>
    <row r="410" spans="1:2">
      <c r="A410" s="1">
        <v>43034</v>
      </c>
      <c r="B410">
        <v>2.46</v>
      </c>
    </row>
    <row r="411" spans="1:2">
      <c r="A411" s="1">
        <v>43035</v>
      </c>
      <c r="B411">
        <v>2.42</v>
      </c>
    </row>
    <row r="412" spans="1:2">
      <c r="A412" s="1">
        <v>43038</v>
      </c>
      <c r="B412">
        <v>2.37</v>
      </c>
    </row>
    <row r="413" spans="1:2">
      <c r="A413" s="1">
        <v>43039</v>
      </c>
      <c r="B413">
        <v>2.38</v>
      </c>
    </row>
    <row r="414" spans="1:2">
      <c r="A414" s="1">
        <v>43040</v>
      </c>
      <c r="B414">
        <v>2.37</v>
      </c>
    </row>
    <row r="415" spans="1:2">
      <c r="A415" s="1">
        <v>43041</v>
      </c>
      <c r="B415">
        <v>2.35</v>
      </c>
    </row>
    <row r="416" spans="1:2">
      <c r="A416" s="1">
        <v>43042</v>
      </c>
      <c r="B416">
        <v>2.34</v>
      </c>
    </row>
    <row r="417" spans="1:2">
      <c r="A417" s="1">
        <v>43045</v>
      </c>
      <c r="B417">
        <v>2.3199999999999998</v>
      </c>
    </row>
    <row r="418" spans="1:2">
      <c r="A418" s="1">
        <v>43046</v>
      </c>
      <c r="B418">
        <v>2.3199999999999998</v>
      </c>
    </row>
    <row r="419" spans="1:2">
      <c r="A419" s="1">
        <v>43047</v>
      </c>
      <c r="B419">
        <v>2.3199999999999998</v>
      </c>
    </row>
    <row r="420" spans="1:2">
      <c r="A420" s="1">
        <v>43048</v>
      </c>
      <c r="B420">
        <v>2.33</v>
      </c>
    </row>
    <row r="421" spans="1:2">
      <c r="A421" s="1">
        <v>43049</v>
      </c>
      <c r="B421">
        <v>2.4</v>
      </c>
    </row>
    <row r="422" spans="1:2">
      <c r="A422" s="1">
        <v>43052</v>
      </c>
      <c r="B422">
        <v>2.4</v>
      </c>
    </row>
    <row r="423" spans="1:2">
      <c r="A423" s="1">
        <v>43053</v>
      </c>
      <c r="B423">
        <v>2.38</v>
      </c>
    </row>
    <row r="424" spans="1:2">
      <c r="A424" s="1">
        <v>43054</v>
      </c>
      <c r="B424">
        <v>2.33</v>
      </c>
    </row>
    <row r="425" spans="1:2">
      <c r="A425" s="1">
        <v>43055</v>
      </c>
      <c r="B425">
        <v>2.37</v>
      </c>
    </row>
    <row r="426" spans="1:2">
      <c r="A426" s="1">
        <v>43056</v>
      </c>
      <c r="B426">
        <v>2.35</v>
      </c>
    </row>
    <row r="427" spans="1:2">
      <c r="A427" s="1">
        <v>43059</v>
      </c>
      <c r="B427">
        <v>2.37</v>
      </c>
    </row>
    <row r="428" spans="1:2">
      <c r="A428" s="1">
        <v>43060</v>
      </c>
      <c r="B428">
        <v>2.36</v>
      </c>
    </row>
    <row r="429" spans="1:2">
      <c r="A429" s="1">
        <v>43061</v>
      </c>
      <c r="B429">
        <v>2.3199999999999998</v>
      </c>
    </row>
    <row r="430" spans="1:2">
      <c r="A430" s="1">
        <v>43062</v>
      </c>
    </row>
    <row r="431" spans="1:2">
      <c r="A431" s="1">
        <v>43063</v>
      </c>
      <c r="B431">
        <v>2.34</v>
      </c>
    </row>
    <row r="432" spans="1:2">
      <c r="A432" s="1">
        <v>43066</v>
      </c>
      <c r="B432">
        <v>2.3199999999999998</v>
      </c>
    </row>
    <row r="433" spans="1:2">
      <c r="A433" s="1">
        <v>43067</v>
      </c>
      <c r="B433">
        <v>2.34</v>
      </c>
    </row>
    <row r="434" spans="1:2">
      <c r="A434" s="1">
        <v>43068</v>
      </c>
      <c r="B434">
        <v>2.37</v>
      </c>
    </row>
    <row r="435" spans="1:2">
      <c r="A435" s="1">
        <v>43069</v>
      </c>
      <c r="B435">
        <v>2.42</v>
      </c>
    </row>
    <row r="436" spans="1:2">
      <c r="A436" s="1">
        <v>43070</v>
      </c>
      <c r="B436">
        <v>2.37</v>
      </c>
    </row>
    <row r="437" spans="1:2">
      <c r="A437" s="1">
        <v>43073</v>
      </c>
      <c r="B437">
        <v>2.37</v>
      </c>
    </row>
    <row r="438" spans="1:2">
      <c r="A438" s="1">
        <v>43074</v>
      </c>
      <c r="B438">
        <v>2.36</v>
      </c>
    </row>
    <row r="439" spans="1:2">
      <c r="A439" s="1">
        <v>43075</v>
      </c>
      <c r="B439">
        <v>2.33</v>
      </c>
    </row>
    <row r="440" spans="1:2">
      <c r="A440" s="1">
        <v>43076</v>
      </c>
      <c r="B440">
        <v>2.37</v>
      </c>
    </row>
    <row r="441" spans="1:2">
      <c r="A441" s="1">
        <v>43077</v>
      </c>
      <c r="B441">
        <v>2.38</v>
      </c>
    </row>
    <row r="442" spans="1:2">
      <c r="A442" s="1">
        <v>43080</v>
      </c>
      <c r="B442">
        <v>2.39</v>
      </c>
    </row>
    <row r="443" spans="1:2">
      <c r="A443" s="1">
        <v>43081</v>
      </c>
      <c r="B443">
        <v>2.4</v>
      </c>
    </row>
    <row r="444" spans="1:2">
      <c r="A444" s="1">
        <v>43082</v>
      </c>
      <c r="B444">
        <v>2.36</v>
      </c>
    </row>
    <row r="445" spans="1:2">
      <c r="A445" s="1">
        <v>43083</v>
      </c>
      <c r="B445">
        <v>2.35</v>
      </c>
    </row>
    <row r="446" spans="1:2">
      <c r="A446" s="1">
        <v>43084</v>
      </c>
      <c r="B446">
        <v>2.35</v>
      </c>
    </row>
    <row r="447" spans="1:2">
      <c r="A447" s="1">
        <v>43087</v>
      </c>
      <c r="B447">
        <v>2.39</v>
      </c>
    </row>
    <row r="448" spans="1:2">
      <c r="A448" s="1">
        <v>43088</v>
      </c>
      <c r="B448">
        <v>2.46</v>
      </c>
    </row>
    <row r="449" spans="1:2">
      <c r="A449" s="1">
        <v>43089</v>
      </c>
      <c r="B449">
        <v>2.4900000000000002</v>
      </c>
    </row>
    <row r="450" spans="1:2">
      <c r="A450" s="1">
        <v>43090</v>
      </c>
      <c r="B450">
        <v>2.48</v>
      </c>
    </row>
    <row r="451" spans="1:2">
      <c r="A451" s="1">
        <v>43091</v>
      </c>
      <c r="B451">
        <v>2.48</v>
      </c>
    </row>
    <row r="452" spans="1:2">
      <c r="A452" s="1">
        <v>43094</v>
      </c>
    </row>
    <row r="453" spans="1:2">
      <c r="A453" s="1">
        <v>43095</v>
      </c>
      <c r="B453">
        <v>2.4700000000000002</v>
      </c>
    </row>
    <row r="454" spans="1:2">
      <c r="A454" s="1">
        <v>43096</v>
      </c>
      <c r="B454">
        <v>2.42</v>
      </c>
    </row>
    <row r="455" spans="1:2">
      <c r="A455" s="1">
        <v>43097</v>
      </c>
      <c r="B455">
        <v>2.4300000000000002</v>
      </c>
    </row>
    <row r="456" spans="1:2">
      <c r="A456" s="1">
        <v>43098</v>
      </c>
      <c r="B456">
        <v>2.4</v>
      </c>
    </row>
    <row r="457" spans="1:2">
      <c r="A457" s="1">
        <v>43101</v>
      </c>
    </row>
    <row r="458" spans="1:2">
      <c r="A458" s="1">
        <v>43102</v>
      </c>
      <c r="B458">
        <v>2.46</v>
      </c>
    </row>
    <row r="459" spans="1:2">
      <c r="A459" s="1">
        <v>43103</v>
      </c>
      <c r="B459">
        <v>2.44</v>
      </c>
    </row>
    <row r="460" spans="1:2">
      <c r="A460" s="1">
        <v>43104</v>
      </c>
      <c r="B460">
        <v>2.46</v>
      </c>
    </row>
    <row r="461" spans="1:2">
      <c r="A461" s="1">
        <v>43105</v>
      </c>
      <c r="B461">
        <v>2.4700000000000002</v>
      </c>
    </row>
    <row r="462" spans="1:2">
      <c r="A462" s="1">
        <v>43108</v>
      </c>
      <c r="B462">
        <v>2.4900000000000002</v>
      </c>
    </row>
    <row r="463" spans="1:2">
      <c r="A463" s="1">
        <v>43109</v>
      </c>
      <c r="B463">
        <v>2.5499999999999998</v>
      </c>
    </row>
    <row r="464" spans="1:2">
      <c r="A464" s="1">
        <v>43110</v>
      </c>
      <c r="B464">
        <v>2.5499999999999998</v>
      </c>
    </row>
    <row r="465" spans="1:2">
      <c r="A465" s="1">
        <v>43111</v>
      </c>
      <c r="B465">
        <v>2.54</v>
      </c>
    </row>
    <row r="466" spans="1:2">
      <c r="A466" s="1">
        <v>43112</v>
      </c>
      <c r="B466">
        <v>2.5499999999999998</v>
      </c>
    </row>
    <row r="467" spans="1:2">
      <c r="A467" s="1">
        <v>43115</v>
      </c>
    </row>
    <row r="468" spans="1:2">
      <c r="A468" s="1">
        <v>43116</v>
      </c>
      <c r="B468">
        <v>2.54</v>
      </c>
    </row>
    <row r="469" spans="1:2">
      <c r="A469" s="1">
        <v>43117</v>
      </c>
      <c r="B469">
        <v>2.57</v>
      </c>
    </row>
    <row r="470" spans="1:2">
      <c r="A470" s="1">
        <v>43118</v>
      </c>
      <c r="B470">
        <v>2.62</v>
      </c>
    </row>
    <row r="471" spans="1:2">
      <c r="A471" s="1">
        <v>43119</v>
      </c>
      <c r="B471">
        <v>2.64</v>
      </c>
    </row>
    <row r="472" spans="1:2">
      <c r="A472" s="1">
        <v>43122</v>
      </c>
      <c r="B472">
        <v>2.66</v>
      </c>
    </row>
    <row r="473" spans="1:2">
      <c r="A473" s="1">
        <v>43123</v>
      </c>
      <c r="B473">
        <v>2.63</v>
      </c>
    </row>
    <row r="474" spans="1:2">
      <c r="A474" s="1">
        <v>43124</v>
      </c>
      <c r="B474">
        <v>2.65</v>
      </c>
    </row>
    <row r="475" spans="1:2">
      <c r="A475" s="1">
        <v>43125</v>
      </c>
      <c r="B475">
        <v>2.63</v>
      </c>
    </row>
    <row r="476" spans="1:2">
      <c r="A476" s="1">
        <v>43126</v>
      </c>
      <c r="B476">
        <v>2.66</v>
      </c>
    </row>
    <row r="477" spans="1:2">
      <c r="A477" s="1">
        <v>43129</v>
      </c>
      <c r="B477">
        <v>2.7</v>
      </c>
    </row>
    <row r="478" spans="1:2">
      <c r="A478" s="1">
        <v>43130</v>
      </c>
      <c r="B478">
        <v>2.73</v>
      </c>
    </row>
    <row r="479" spans="1:2">
      <c r="A479" s="1">
        <v>43131</v>
      </c>
      <c r="B479">
        <v>2.72</v>
      </c>
    </row>
    <row r="480" spans="1:2">
      <c r="A480" s="1">
        <v>43132</v>
      </c>
      <c r="B480">
        <v>2.78</v>
      </c>
    </row>
    <row r="481" spans="1:2">
      <c r="A481" s="1">
        <v>43133</v>
      </c>
      <c r="B481">
        <v>2.84</v>
      </c>
    </row>
    <row r="482" spans="1:2">
      <c r="A482" s="1">
        <v>43136</v>
      </c>
      <c r="B482">
        <v>2.77</v>
      </c>
    </row>
    <row r="483" spans="1:2">
      <c r="A483" s="1">
        <v>43137</v>
      </c>
      <c r="B483">
        <v>2.79</v>
      </c>
    </row>
    <row r="484" spans="1:2">
      <c r="A484" s="1">
        <v>43138</v>
      </c>
      <c r="B484">
        <v>2.84</v>
      </c>
    </row>
    <row r="485" spans="1:2">
      <c r="A485" s="1">
        <v>43139</v>
      </c>
      <c r="B485">
        <v>2.85</v>
      </c>
    </row>
    <row r="486" spans="1:2">
      <c r="A486" s="1">
        <v>43140</v>
      </c>
      <c r="B486">
        <v>2.83</v>
      </c>
    </row>
    <row r="487" spans="1:2">
      <c r="A487" s="1">
        <v>43143</v>
      </c>
      <c r="B487">
        <v>2.86</v>
      </c>
    </row>
    <row r="488" spans="1:2">
      <c r="A488" s="1">
        <v>43144</v>
      </c>
      <c r="B488">
        <v>2.83</v>
      </c>
    </row>
    <row r="489" spans="1:2">
      <c r="A489" s="1">
        <v>43145</v>
      </c>
      <c r="B489">
        <v>2.91</v>
      </c>
    </row>
    <row r="490" spans="1:2">
      <c r="A490" s="1">
        <v>43146</v>
      </c>
      <c r="B490">
        <v>2.9</v>
      </c>
    </row>
    <row r="491" spans="1:2">
      <c r="A491" s="1">
        <v>43147</v>
      </c>
      <c r="B491">
        <v>2.87</v>
      </c>
    </row>
    <row r="492" spans="1:2">
      <c r="A492" s="1">
        <v>43150</v>
      </c>
    </row>
    <row r="493" spans="1:2">
      <c r="A493" s="1">
        <v>43151</v>
      </c>
      <c r="B493">
        <v>2.88</v>
      </c>
    </row>
    <row r="494" spans="1:2">
      <c r="A494" s="1">
        <v>43152</v>
      </c>
      <c r="B494">
        <v>2.94</v>
      </c>
    </row>
    <row r="495" spans="1:2">
      <c r="A495" s="1">
        <v>43153</v>
      </c>
      <c r="B495">
        <v>2.92</v>
      </c>
    </row>
    <row r="496" spans="1:2">
      <c r="A496" s="1">
        <v>43154</v>
      </c>
      <c r="B496">
        <v>2.88</v>
      </c>
    </row>
    <row r="497" spans="1:2">
      <c r="A497" s="1">
        <v>43157</v>
      </c>
      <c r="B497">
        <v>2.86</v>
      </c>
    </row>
    <row r="498" spans="1:2">
      <c r="A498" s="1">
        <v>43158</v>
      </c>
      <c r="B498">
        <v>2.9</v>
      </c>
    </row>
    <row r="499" spans="1:2">
      <c r="A499" s="1">
        <v>43159</v>
      </c>
      <c r="B499">
        <v>2.87</v>
      </c>
    </row>
    <row r="500" spans="1:2">
      <c r="A500" s="1">
        <v>43160</v>
      </c>
      <c r="B500">
        <v>2.81</v>
      </c>
    </row>
    <row r="501" spans="1:2">
      <c r="A501" s="1">
        <v>43161</v>
      </c>
      <c r="B501">
        <v>2.86</v>
      </c>
    </row>
    <row r="502" spans="1:2">
      <c r="A502" s="1">
        <v>43164</v>
      </c>
      <c r="B502">
        <v>2.88</v>
      </c>
    </row>
    <row r="503" spans="1:2">
      <c r="A503" s="1">
        <v>43165</v>
      </c>
      <c r="B503">
        <v>2.88</v>
      </c>
    </row>
    <row r="504" spans="1:2">
      <c r="A504" s="1">
        <v>43166</v>
      </c>
      <c r="B504">
        <v>2.89</v>
      </c>
    </row>
    <row r="505" spans="1:2">
      <c r="A505" s="1">
        <v>43167</v>
      </c>
      <c r="B505">
        <v>2.86</v>
      </c>
    </row>
    <row r="506" spans="1:2">
      <c r="A506" s="1">
        <v>43168</v>
      </c>
      <c r="B506">
        <v>2.9</v>
      </c>
    </row>
    <row r="507" spans="1:2">
      <c r="A507" s="1">
        <v>43171</v>
      </c>
      <c r="B507">
        <v>2.87</v>
      </c>
    </row>
    <row r="508" spans="1:2">
      <c r="A508" s="1">
        <v>43172</v>
      </c>
      <c r="B508">
        <v>2.84</v>
      </c>
    </row>
    <row r="509" spans="1:2">
      <c r="A509" s="1">
        <v>43173</v>
      </c>
      <c r="B509">
        <v>2.81</v>
      </c>
    </row>
    <row r="510" spans="1:2">
      <c r="A510" s="1">
        <v>43174</v>
      </c>
      <c r="B510">
        <v>2.82</v>
      </c>
    </row>
    <row r="511" spans="1:2">
      <c r="A511" s="1">
        <v>43175</v>
      </c>
      <c r="B511">
        <v>2.85</v>
      </c>
    </row>
    <row r="512" spans="1:2">
      <c r="A512" s="1">
        <v>43178</v>
      </c>
      <c r="B512">
        <v>2.85</v>
      </c>
    </row>
    <row r="513" spans="1:2">
      <c r="A513" s="1">
        <v>43179</v>
      </c>
      <c r="B513">
        <v>2.89</v>
      </c>
    </row>
    <row r="514" spans="1:2">
      <c r="A514" s="1">
        <v>43180</v>
      </c>
      <c r="B514">
        <v>2.89</v>
      </c>
    </row>
    <row r="515" spans="1:2">
      <c r="A515" s="1">
        <v>43181</v>
      </c>
      <c r="B515">
        <v>2.83</v>
      </c>
    </row>
    <row r="516" spans="1:2">
      <c r="A516" s="1">
        <v>43182</v>
      </c>
      <c r="B516">
        <v>2.82</v>
      </c>
    </row>
    <row r="517" spans="1:2">
      <c r="A517" s="1">
        <v>43185</v>
      </c>
      <c r="B517">
        <v>2.85</v>
      </c>
    </row>
    <row r="518" spans="1:2">
      <c r="A518" s="1">
        <v>43186</v>
      </c>
      <c r="B518">
        <v>2.78</v>
      </c>
    </row>
    <row r="519" spans="1:2">
      <c r="A519" s="1">
        <v>43187</v>
      </c>
      <c r="B519">
        <v>2.77</v>
      </c>
    </row>
    <row r="520" spans="1:2">
      <c r="A520" s="1">
        <v>43188</v>
      </c>
      <c r="B520">
        <v>2.74</v>
      </c>
    </row>
    <row r="521" spans="1:2">
      <c r="A521" s="1">
        <v>43189</v>
      </c>
    </row>
    <row r="522" spans="1:2">
      <c r="A522" s="1">
        <v>43192</v>
      </c>
      <c r="B522">
        <v>2.73</v>
      </c>
    </row>
    <row r="523" spans="1:2">
      <c r="A523" s="1">
        <v>43193</v>
      </c>
      <c r="B523">
        <v>2.79</v>
      </c>
    </row>
    <row r="524" spans="1:2">
      <c r="A524" s="1">
        <v>43194</v>
      </c>
      <c r="B524">
        <v>2.79</v>
      </c>
    </row>
    <row r="525" spans="1:2">
      <c r="A525" s="1">
        <v>43195</v>
      </c>
      <c r="B525">
        <v>2.83</v>
      </c>
    </row>
    <row r="526" spans="1:2">
      <c r="A526" s="1">
        <v>43196</v>
      </c>
      <c r="B526">
        <v>2.77</v>
      </c>
    </row>
    <row r="527" spans="1:2">
      <c r="A527" s="1">
        <v>43199</v>
      </c>
      <c r="B527">
        <v>2.78</v>
      </c>
    </row>
    <row r="528" spans="1:2">
      <c r="A528" s="1">
        <v>43200</v>
      </c>
      <c r="B528">
        <v>2.8</v>
      </c>
    </row>
    <row r="529" spans="1:2">
      <c r="A529" s="1">
        <v>43201</v>
      </c>
      <c r="B529">
        <v>2.79</v>
      </c>
    </row>
    <row r="530" spans="1:2">
      <c r="A530" s="1">
        <v>43202</v>
      </c>
      <c r="B530">
        <v>2.83</v>
      </c>
    </row>
    <row r="531" spans="1:2">
      <c r="A531" s="1">
        <v>43203</v>
      </c>
      <c r="B531">
        <v>2.82</v>
      </c>
    </row>
    <row r="532" spans="1:2">
      <c r="A532" s="1">
        <v>43206</v>
      </c>
      <c r="B532">
        <v>2.83</v>
      </c>
    </row>
    <row r="533" spans="1:2">
      <c r="A533" s="1">
        <v>43207</v>
      </c>
      <c r="B533">
        <v>2.82</v>
      </c>
    </row>
    <row r="534" spans="1:2">
      <c r="A534" s="1">
        <v>43208</v>
      </c>
      <c r="B534">
        <v>2.87</v>
      </c>
    </row>
    <row r="535" spans="1:2">
      <c r="A535" s="1">
        <v>43209</v>
      </c>
      <c r="B535">
        <v>2.92</v>
      </c>
    </row>
    <row r="536" spans="1:2">
      <c r="A536" s="1">
        <v>43210</v>
      </c>
      <c r="B536">
        <v>2.96</v>
      </c>
    </row>
    <row r="537" spans="1:2">
      <c r="A537" s="1">
        <v>43213</v>
      </c>
      <c r="B537">
        <v>2.98</v>
      </c>
    </row>
    <row r="538" spans="1:2">
      <c r="A538" s="1">
        <v>43214</v>
      </c>
      <c r="B538">
        <v>3</v>
      </c>
    </row>
    <row r="539" spans="1:2">
      <c r="A539" s="1">
        <v>43215</v>
      </c>
      <c r="B539">
        <v>3.03</v>
      </c>
    </row>
    <row r="540" spans="1:2">
      <c r="A540" s="1">
        <v>43216</v>
      </c>
      <c r="B540">
        <v>3</v>
      </c>
    </row>
    <row r="541" spans="1:2">
      <c r="A541" s="1">
        <v>43217</v>
      </c>
      <c r="B541">
        <v>2.96</v>
      </c>
    </row>
    <row r="542" spans="1:2">
      <c r="A542" s="1">
        <v>43220</v>
      </c>
      <c r="B542">
        <v>2.95</v>
      </c>
    </row>
    <row r="543" spans="1:2">
      <c r="A543" s="1">
        <v>43221</v>
      </c>
      <c r="B543">
        <v>2.97</v>
      </c>
    </row>
    <row r="544" spans="1:2">
      <c r="A544" s="1">
        <v>43222</v>
      </c>
      <c r="B544">
        <v>2.97</v>
      </c>
    </row>
    <row r="545" spans="1:2">
      <c r="A545" s="1">
        <v>43223</v>
      </c>
      <c r="B545">
        <v>2.94</v>
      </c>
    </row>
    <row r="546" spans="1:2">
      <c r="A546" s="1">
        <v>43224</v>
      </c>
      <c r="B546">
        <v>2.95</v>
      </c>
    </row>
    <row r="547" spans="1:2">
      <c r="A547" s="1">
        <v>43227</v>
      </c>
      <c r="B547">
        <v>2.95</v>
      </c>
    </row>
    <row r="548" spans="1:2">
      <c r="A548" s="1">
        <v>43228</v>
      </c>
      <c r="B548">
        <v>2.97</v>
      </c>
    </row>
    <row r="549" spans="1:2">
      <c r="A549" s="1">
        <v>43229</v>
      </c>
      <c r="B549">
        <v>3</v>
      </c>
    </row>
    <row r="550" spans="1:2">
      <c r="A550" s="1">
        <v>43230</v>
      </c>
      <c r="B550">
        <v>2.97</v>
      </c>
    </row>
    <row r="551" spans="1:2">
      <c r="A551" s="1">
        <v>43231</v>
      </c>
      <c r="B551">
        <v>2.97</v>
      </c>
    </row>
    <row r="552" spans="1:2">
      <c r="A552" s="1">
        <v>43234</v>
      </c>
      <c r="B552">
        <v>3</v>
      </c>
    </row>
    <row r="553" spans="1:2">
      <c r="A553" s="1">
        <v>43235</v>
      </c>
      <c r="B553">
        <v>3.08</v>
      </c>
    </row>
    <row r="554" spans="1:2">
      <c r="A554" s="1">
        <v>43236</v>
      </c>
      <c r="B554">
        <v>3.09</v>
      </c>
    </row>
    <row r="555" spans="1:2">
      <c r="A555" s="1">
        <v>43237</v>
      </c>
      <c r="B555">
        <v>3.11</v>
      </c>
    </row>
    <row r="556" spans="1:2">
      <c r="A556" s="1">
        <v>43238</v>
      </c>
      <c r="B556">
        <v>3.06</v>
      </c>
    </row>
    <row r="557" spans="1:2">
      <c r="A557" s="1">
        <v>43241</v>
      </c>
      <c r="B557">
        <v>3.06</v>
      </c>
    </row>
    <row r="558" spans="1:2">
      <c r="A558" s="1">
        <v>43242</v>
      </c>
      <c r="B558">
        <v>3.06</v>
      </c>
    </row>
    <row r="559" spans="1:2">
      <c r="A559" s="1">
        <v>43243</v>
      </c>
      <c r="B559">
        <v>3.01</v>
      </c>
    </row>
    <row r="560" spans="1:2">
      <c r="A560" s="1">
        <v>43244</v>
      </c>
      <c r="B560">
        <v>2.98</v>
      </c>
    </row>
    <row r="561" spans="1:2">
      <c r="A561" s="1">
        <v>43245</v>
      </c>
      <c r="B561">
        <v>2.93</v>
      </c>
    </row>
    <row r="562" spans="1:2">
      <c r="A562" s="1">
        <v>43248</v>
      </c>
    </row>
    <row r="563" spans="1:2">
      <c r="A563" s="1">
        <v>43249</v>
      </c>
      <c r="B563">
        <v>2.77</v>
      </c>
    </row>
    <row r="564" spans="1:2">
      <c r="A564" s="1">
        <v>43250</v>
      </c>
      <c r="B564">
        <v>2.84</v>
      </c>
    </row>
    <row r="565" spans="1:2">
      <c r="A565" s="1">
        <v>43251</v>
      </c>
      <c r="B565">
        <v>2.83</v>
      </c>
    </row>
    <row r="566" spans="1:2">
      <c r="A566" s="1">
        <v>43252</v>
      </c>
      <c r="B566">
        <v>2.89</v>
      </c>
    </row>
    <row r="567" spans="1:2">
      <c r="A567" s="1">
        <v>43255</v>
      </c>
      <c r="B567">
        <v>2.94</v>
      </c>
    </row>
    <row r="568" spans="1:2">
      <c r="A568" s="1">
        <v>43256</v>
      </c>
      <c r="B568">
        <v>2.92</v>
      </c>
    </row>
    <row r="569" spans="1:2">
      <c r="A569" s="1">
        <v>43257</v>
      </c>
      <c r="B569">
        <v>2.97</v>
      </c>
    </row>
    <row r="570" spans="1:2">
      <c r="A570" s="1">
        <v>43258</v>
      </c>
      <c r="B570">
        <v>2.93</v>
      </c>
    </row>
    <row r="571" spans="1:2">
      <c r="A571" s="1">
        <v>43259</v>
      </c>
      <c r="B571">
        <v>2.93</v>
      </c>
    </row>
    <row r="572" spans="1:2">
      <c r="A572" s="1">
        <v>43262</v>
      </c>
      <c r="B572">
        <v>2.96</v>
      </c>
    </row>
    <row r="573" spans="1:2">
      <c r="A573" s="1">
        <v>43263</v>
      </c>
      <c r="B573">
        <v>2.96</v>
      </c>
    </row>
    <row r="574" spans="1:2">
      <c r="A574" s="1">
        <v>43264</v>
      </c>
      <c r="B574">
        <v>2.98</v>
      </c>
    </row>
    <row r="575" spans="1:2">
      <c r="A575" s="1">
        <v>43265</v>
      </c>
      <c r="B575">
        <v>2.94</v>
      </c>
    </row>
    <row r="576" spans="1:2">
      <c r="A576" s="1">
        <v>43266</v>
      </c>
      <c r="B576">
        <v>2.93</v>
      </c>
    </row>
    <row r="577" spans="1:2">
      <c r="A577" s="1">
        <v>43269</v>
      </c>
      <c r="B577">
        <v>2.92</v>
      </c>
    </row>
    <row r="578" spans="1:2">
      <c r="A578" s="1">
        <v>43270</v>
      </c>
      <c r="B578">
        <v>2.89</v>
      </c>
    </row>
    <row r="579" spans="1:2">
      <c r="A579" s="1">
        <v>43271</v>
      </c>
      <c r="B579">
        <v>2.93</v>
      </c>
    </row>
    <row r="580" spans="1:2">
      <c r="A580" s="1">
        <v>43272</v>
      </c>
      <c r="B580">
        <v>2.9</v>
      </c>
    </row>
    <row r="581" spans="1:2">
      <c r="A581" s="1">
        <v>43273</v>
      </c>
      <c r="B581">
        <v>2.9</v>
      </c>
    </row>
    <row r="582" spans="1:2">
      <c r="A582" s="1">
        <v>43276</v>
      </c>
      <c r="B582">
        <v>2.87</v>
      </c>
    </row>
    <row r="583" spans="1:2">
      <c r="A583" s="1">
        <v>43277</v>
      </c>
      <c r="B583">
        <v>2.88</v>
      </c>
    </row>
    <row r="584" spans="1:2">
      <c r="A584" s="1">
        <v>43278</v>
      </c>
      <c r="B584">
        <v>2.83</v>
      </c>
    </row>
    <row r="585" spans="1:2">
      <c r="A585" s="1">
        <v>43279</v>
      </c>
      <c r="B585">
        <v>2.84</v>
      </c>
    </row>
    <row r="586" spans="1:2">
      <c r="A586" s="1">
        <v>43280</v>
      </c>
      <c r="B586">
        <v>2.85</v>
      </c>
    </row>
    <row r="587" spans="1:2">
      <c r="A587" s="1">
        <v>43283</v>
      </c>
      <c r="B587">
        <v>2.87</v>
      </c>
    </row>
    <row r="588" spans="1:2">
      <c r="A588" s="1">
        <v>43284</v>
      </c>
      <c r="B588">
        <v>2.83</v>
      </c>
    </row>
    <row r="589" spans="1:2">
      <c r="A589" s="1">
        <v>43285</v>
      </c>
    </row>
    <row r="590" spans="1:2">
      <c r="A590" s="1">
        <v>43286</v>
      </c>
      <c r="B590">
        <v>2.84</v>
      </c>
    </row>
    <row r="591" spans="1:2">
      <c r="A591" s="1">
        <v>43287</v>
      </c>
      <c r="B591">
        <v>2.82</v>
      </c>
    </row>
    <row r="592" spans="1:2">
      <c r="A592" s="1">
        <v>43290</v>
      </c>
      <c r="B592">
        <v>2.86</v>
      </c>
    </row>
    <row r="593" spans="1:2">
      <c r="A593" s="1">
        <v>43291</v>
      </c>
      <c r="B593">
        <v>2.87</v>
      </c>
    </row>
    <row r="594" spans="1:2">
      <c r="A594" s="1">
        <v>43292</v>
      </c>
      <c r="B594">
        <v>2.85</v>
      </c>
    </row>
    <row r="595" spans="1:2">
      <c r="A595" s="1">
        <v>43293</v>
      </c>
      <c r="B595">
        <v>2.85</v>
      </c>
    </row>
    <row r="596" spans="1:2">
      <c r="A596" s="1">
        <v>43294</v>
      </c>
      <c r="B596">
        <v>2.83</v>
      </c>
    </row>
    <row r="597" spans="1:2">
      <c r="A597" s="1">
        <v>43297</v>
      </c>
      <c r="B597">
        <v>2.85</v>
      </c>
    </row>
    <row r="598" spans="1:2">
      <c r="A598" s="1">
        <v>43298</v>
      </c>
      <c r="B598">
        <v>2.86</v>
      </c>
    </row>
    <row r="599" spans="1:2">
      <c r="A599" s="1">
        <v>43299</v>
      </c>
      <c r="B599">
        <v>2.88</v>
      </c>
    </row>
    <row r="600" spans="1:2">
      <c r="A600" s="1">
        <v>43300</v>
      </c>
      <c r="B600">
        <v>2.84</v>
      </c>
    </row>
    <row r="601" spans="1:2">
      <c r="A601" s="1">
        <v>43301</v>
      </c>
      <c r="B601">
        <v>2.89</v>
      </c>
    </row>
    <row r="602" spans="1:2">
      <c r="A602" s="1">
        <v>43304</v>
      </c>
      <c r="B602">
        <v>2.96</v>
      </c>
    </row>
    <row r="603" spans="1:2">
      <c r="A603" s="1">
        <v>43305</v>
      </c>
      <c r="B603">
        <v>2.95</v>
      </c>
    </row>
    <row r="604" spans="1:2">
      <c r="A604" s="1">
        <v>43306</v>
      </c>
      <c r="B604">
        <v>2.94</v>
      </c>
    </row>
    <row r="605" spans="1:2">
      <c r="A605" s="1">
        <v>43307</v>
      </c>
      <c r="B605">
        <v>2.98</v>
      </c>
    </row>
    <row r="606" spans="1:2">
      <c r="A606" s="1">
        <v>43308</v>
      </c>
      <c r="B606">
        <v>2.96</v>
      </c>
    </row>
    <row r="607" spans="1:2">
      <c r="A607" s="1">
        <v>43311</v>
      </c>
      <c r="B607">
        <v>2.98</v>
      </c>
    </row>
    <row r="608" spans="1:2">
      <c r="A608" s="1">
        <v>43312</v>
      </c>
      <c r="B608">
        <v>2.96</v>
      </c>
    </row>
    <row r="609" spans="1:2">
      <c r="A609" s="1">
        <v>43313</v>
      </c>
      <c r="B609">
        <v>3</v>
      </c>
    </row>
    <row r="610" spans="1:2">
      <c r="A610" s="1">
        <v>43314</v>
      </c>
      <c r="B610">
        <v>2.98</v>
      </c>
    </row>
    <row r="611" spans="1:2">
      <c r="A611" s="1">
        <v>43315</v>
      </c>
      <c r="B611">
        <v>2.95</v>
      </c>
    </row>
    <row r="612" spans="1:2">
      <c r="A612" s="1">
        <v>43318</v>
      </c>
      <c r="B612">
        <v>2.94</v>
      </c>
    </row>
    <row r="613" spans="1:2">
      <c r="A613" s="1">
        <v>43319</v>
      </c>
      <c r="B613">
        <v>2.98</v>
      </c>
    </row>
    <row r="614" spans="1:2">
      <c r="A614" s="1">
        <v>43320</v>
      </c>
      <c r="B614">
        <v>2.96</v>
      </c>
    </row>
    <row r="615" spans="1:2">
      <c r="A615" s="1">
        <v>43321</v>
      </c>
      <c r="B615">
        <v>2.93</v>
      </c>
    </row>
    <row r="616" spans="1:2">
      <c r="A616" s="1">
        <v>43322</v>
      </c>
      <c r="B616">
        <v>2.87</v>
      </c>
    </row>
    <row r="617" spans="1:2">
      <c r="A617" s="1">
        <v>43325</v>
      </c>
      <c r="B617">
        <v>2.88</v>
      </c>
    </row>
    <row r="618" spans="1:2">
      <c r="A618" s="1">
        <v>43326</v>
      </c>
      <c r="B618">
        <v>2.89</v>
      </c>
    </row>
    <row r="619" spans="1:2">
      <c r="A619" s="1">
        <v>43327</v>
      </c>
      <c r="B619">
        <v>2.86</v>
      </c>
    </row>
    <row r="620" spans="1:2">
      <c r="A620" s="1">
        <v>43328</v>
      </c>
      <c r="B620">
        <v>2.87</v>
      </c>
    </row>
    <row r="621" spans="1:2">
      <c r="A621" s="1">
        <v>43329</v>
      </c>
      <c r="B621">
        <v>2.87</v>
      </c>
    </row>
    <row r="622" spans="1:2">
      <c r="A622" s="1">
        <v>43332</v>
      </c>
      <c r="B622">
        <v>2.82</v>
      </c>
    </row>
    <row r="623" spans="1:2">
      <c r="A623" s="1">
        <v>43333</v>
      </c>
      <c r="B623">
        <v>2.85</v>
      </c>
    </row>
    <row r="624" spans="1:2">
      <c r="A624" s="1">
        <v>43334</v>
      </c>
      <c r="B624">
        <v>2.82</v>
      </c>
    </row>
    <row r="625" spans="1:2">
      <c r="A625" s="1">
        <v>43335</v>
      </c>
      <c r="B625">
        <v>2.82</v>
      </c>
    </row>
    <row r="626" spans="1:2">
      <c r="A626" s="1">
        <v>43336</v>
      </c>
      <c r="B626">
        <v>2.82</v>
      </c>
    </row>
    <row r="627" spans="1:2">
      <c r="A627" s="1">
        <v>43339</v>
      </c>
      <c r="B627">
        <v>2.85</v>
      </c>
    </row>
    <row r="628" spans="1:2">
      <c r="A628" s="1">
        <v>43340</v>
      </c>
      <c r="B628">
        <v>2.88</v>
      </c>
    </row>
    <row r="629" spans="1:2">
      <c r="A629" s="1">
        <v>43341</v>
      </c>
      <c r="B629">
        <v>2.89</v>
      </c>
    </row>
    <row r="630" spans="1:2">
      <c r="A630" s="1">
        <v>43342</v>
      </c>
      <c r="B630">
        <v>2.86</v>
      </c>
    </row>
    <row r="631" spans="1:2">
      <c r="A631" s="1">
        <v>43343</v>
      </c>
      <c r="B631">
        <v>2.86</v>
      </c>
    </row>
    <row r="632" spans="1:2">
      <c r="A632" s="1">
        <v>43346</v>
      </c>
    </row>
    <row r="633" spans="1:2">
      <c r="A633" s="1">
        <v>43347</v>
      </c>
      <c r="B633">
        <v>2.9</v>
      </c>
    </row>
    <row r="634" spans="1:2">
      <c r="A634" s="1">
        <v>43348</v>
      </c>
      <c r="B634">
        <v>2.9</v>
      </c>
    </row>
    <row r="635" spans="1:2">
      <c r="A635" s="1">
        <v>43349</v>
      </c>
      <c r="B635">
        <v>2.88</v>
      </c>
    </row>
    <row r="636" spans="1:2">
      <c r="A636" s="1">
        <v>43350</v>
      </c>
      <c r="B636">
        <v>2.94</v>
      </c>
    </row>
    <row r="637" spans="1:2">
      <c r="A637" s="1">
        <v>43353</v>
      </c>
      <c r="B637">
        <v>2.94</v>
      </c>
    </row>
    <row r="638" spans="1:2">
      <c r="A638" s="1">
        <v>43354</v>
      </c>
      <c r="B638">
        <v>2.98</v>
      </c>
    </row>
    <row r="639" spans="1:2">
      <c r="A639" s="1">
        <v>43355</v>
      </c>
      <c r="B639">
        <v>2.97</v>
      </c>
    </row>
    <row r="640" spans="1:2">
      <c r="A640" s="1">
        <v>43356</v>
      </c>
      <c r="B640">
        <v>2.97</v>
      </c>
    </row>
    <row r="641" spans="1:2">
      <c r="A641" s="1">
        <v>43357</v>
      </c>
      <c r="B641">
        <v>2.99</v>
      </c>
    </row>
    <row r="642" spans="1:2">
      <c r="A642" s="1">
        <v>43360</v>
      </c>
      <c r="B642">
        <v>2.99</v>
      </c>
    </row>
    <row r="643" spans="1:2">
      <c r="A643" s="1">
        <v>43361</v>
      </c>
      <c r="B643">
        <v>3.05</v>
      </c>
    </row>
    <row r="644" spans="1:2">
      <c r="A644" s="1">
        <v>43362</v>
      </c>
      <c r="B644">
        <v>3.08</v>
      </c>
    </row>
    <row r="645" spans="1:2">
      <c r="A645" s="1">
        <v>43363</v>
      </c>
      <c r="B645">
        <v>3.07</v>
      </c>
    </row>
    <row r="646" spans="1:2">
      <c r="A646" s="1">
        <v>43364</v>
      </c>
      <c r="B646">
        <v>3.07</v>
      </c>
    </row>
    <row r="647" spans="1:2">
      <c r="A647" s="1">
        <v>43367</v>
      </c>
      <c r="B647">
        <v>3.08</v>
      </c>
    </row>
    <row r="648" spans="1:2">
      <c r="A648" s="1">
        <v>43368</v>
      </c>
      <c r="B648">
        <v>3.1</v>
      </c>
    </row>
    <row r="649" spans="1:2">
      <c r="A649" s="1">
        <v>43369</v>
      </c>
      <c r="B649">
        <v>3.06</v>
      </c>
    </row>
    <row r="650" spans="1:2">
      <c r="A650" s="1">
        <v>43370</v>
      </c>
      <c r="B650">
        <v>3.06</v>
      </c>
    </row>
    <row r="651" spans="1:2">
      <c r="A651" s="1">
        <v>43371</v>
      </c>
      <c r="B651">
        <v>3.05</v>
      </c>
    </row>
    <row r="652" spans="1:2">
      <c r="A652" s="1">
        <v>43374</v>
      </c>
      <c r="B652">
        <v>3.09</v>
      </c>
    </row>
    <row r="653" spans="1:2">
      <c r="A653" s="1">
        <v>43375</v>
      </c>
      <c r="B653">
        <v>3.05</v>
      </c>
    </row>
    <row r="654" spans="1:2">
      <c r="A654" s="1">
        <v>43376</v>
      </c>
      <c r="B654">
        <v>3.15</v>
      </c>
    </row>
    <row r="655" spans="1:2">
      <c r="A655" s="1">
        <v>43377</v>
      </c>
      <c r="B655">
        <v>3.19</v>
      </c>
    </row>
    <row r="656" spans="1:2">
      <c r="A656" s="1">
        <v>43378</v>
      </c>
      <c r="B656">
        <v>3.23</v>
      </c>
    </row>
    <row r="657" spans="1:2">
      <c r="A657" s="1">
        <v>43381</v>
      </c>
    </row>
    <row r="658" spans="1:2">
      <c r="A658" s="1">
        <v>43382</v>
      </c>
      <c r="B658">
        <v>3.21</v>
      </c>
    </row>
    <row r="659" spans="1:2">
      <c r="A659" s="1">
        <v>43383</v>
      </c>
      <c r="B659">
        <v>3.22</v>
      </c>
    </row>
    <row r="660" spans="1:2">
      <c r="A660" s="1">
        <v>43384</v>
      </c>
      <c r="B660">
        <v>3.14</v>
      </c>
    </row>
    <row r="661" spans="1:2">
      <c r="A661" s="1">
        <v>43385</v>
      </c>
      <c r="B661">
        <v>3.15</v>
      </c>
    </row>
    <row r="662" spans="1:2">
      <c r="A662" s="1">
        <v>43388</v>
      </c>
      <c r="B662">
        <v>3.16</v>
      </c>
    </row>
    <row r="663" spans="1:2">
      <c r="A663" s="1">
        <v>43389</v>
      </c>
      <c r="B663">
        <v>3.16</v>
      </c>
    </row>
    <row r="664" spans="1:2">
      <c r="A664" s="1">
        <v>43390</v>
      </c>
      <c r="B664">
        <v>3.19</v>
      </c>
    </row>
    <row r="665" spans="1:2">
      <c r="A665" s="1">
        <v>43391</v>
      </c>
      <c r="B665">
        <v>3.17</v>
      </c>
    </row>
    <row r="666" spans="1:2">
      <c r="A666" s="1">
        <v>43392</v>
      </c>
      <c r="B666">
        <v>3.2</v>
      </c>
    </row>
    <row r="667" spans="1:2">
      <c r="A667" s="1">
        <v>43395</v>
      </c>
      <c r="B667">
        <v>3.2</v>
      </c>
    </row>
    <row r="668" spans="1:2">
      <c r="A668" s="1">
        <v>43396</v>
      </c>
      <c r="B668">
        <v>3.17</v>
      </c>
    </row>
    <row r="669" spans="1:2">
      <c r="A669" s="1">
        <v>43397</v>
      </c>
      <c r="B669">
        <v>3.1</v>
      </c>
    </row>
    <row r="670" spans="1:2">
      <c r="A670" s="1">
        <v>43398</v>
      </c>
      <c r="B670">
        <v>3.14</v>
      </c>
    </row>
    <row r="671" spans="1:2">
      <c r="A671" s="1">
        <v>43399</v>
      </c>
      <c r="B671">
        <v>3.08</v>
      </c>
    </row>
    <row r="672" spans="1:2">
      <c r="A672" s="1">
        <v>43402</v>
      </c>
      <c r="B672">
        <v>3.08</v>
      </c>
    </row>
    <row r="673" spans="1:2">
      <c r="A673" s="1">
        <v>43403</v>
      </c>
      <c r="B673">
        <v>3.12</v>
      </c>
    </row>
    <row r="674" spans="1:2">
      <c r="A674" s="1">
        <v>43404</v>
      </c>
      <c r="B674">
        <v>3.15</v>
      </c>
    </row>
    <row r="675" spans="1:2">
      <c r="A675" s="1">
        <v>43405</v>
      </c>
      <c r="B675">
        <v>3.14</v>
      </c>
    </row>
    <row r="676" spans="1:2">
      <c r="A676" s="1">
        <v>43406</v>
      </c>
      <c r="B676">
        <v>3.22</v>
      </c>
    </row>
    <row r="677" spans="1:2">
      <c r="A677" s="1">
        <v>43409</v>
      </c>
      <c r="B677">
        <v>3.2</v>
      </c>
    </row>
    <row r="678" spans="1:2">
      <c r="A678" s="1">
        <v>43410</v>
      </c>
      <c r="B678">
        <v>3.22</v>
      </c>
    </row>
    <row r="679" spans="1:2">
      <c r="A679" s="1">
        <v>43411</v>
      </c>
      <c r="B679">
        <v>3.22</v>
      </c>
    </row>
    <row r="680" spans="1:2">
      <c r="A680" s="1">
        <v>43412</v>
      </c>
      <c r="B680">
        <v>3.24</v>
      </c>
    </row>
    <row r="681" spans="1:2">
      <c r="A681" s="1">
        <v>43413</v>
      </c>
      <c r="B681">
        <v>3.19</v>
      </c>
    </row>
    <row r="682" spans="1:2">
      <c r="A682" s="1">
        <v>43416</v>
      </c>
    </row>
    <row r="683" spans="1:2">
      <c r="A683" s="1">
        <v>43417</v>
      </c>
      <c r="B683">
        <v>3.14</v>
      </c>
    </row>
    <row r="684" spans="1:2">
      <c r="A684" s="1">
        <v>43418</v>
      </c>
      <c r="B684">
        <v>3.12</v>
      </c>
    </row>
    <row r="685" spans="1:2">
      <c r="A685" s="1">
        <v>43419</v>
      </c>
      <c r="B685">
        <v>3.11</v>
      </c>
    </row>
    <row r="686" spans="1:2">
      <c r="A686" s="1">
        <v>43420</v>
      </c>
      <c r="B686">
        <v>3.08</v>
      </c>
    </row>
    <row r="687" spans="1:2">
      <c r="A687" s="1">
        <v>43423</v>
      </c>
      <c r="B687">
        <v>3.06</v>
      </c>
    </row>
    <row r="688" spans="1:2">
      <c r="A688" s="1">
        <v>43424</v>
      </c>
      <c r="B688">
        <v>3.06</v>
      </c>
    </row>
    <row r="689" spans="1:2">
      <c r="A689" s="1">
        <v>43425</v>
      </c>
      <c r="B689">
        <v>3.06</v>
      </c>
    </row>
    <row r="690" spans="1:2">
      <c r="A690" s="1">
        <v>43426</v>
      </c>
    </row>
    <row r="691" spans="1:2">
      <c r="A691" s="1">
        <v>43427</v>
      </c>
      <c r="B691">
        <v>3.05</v>
      </c>
    </row>
    <row r="692" spans="1:2">
      <c r="A692" s="1">
        <v>43430</v>
      </c>
      <c r="B692">
        <v>3.07</v>
      </c>
    </row>
    <row r="693" spans="1:2">
      <c r="A693" s="1">
        <v>43431</v>
      </c>
      <c r="B693">
        <v>3.06</v>
      </c>
    </row>
    <row r="694" spans="1:2">
      <c r="A694" s="1">
        <v>43432</v>
      </c>
      <c r="B694">
        <v>3.06</v>
      </c>
    </row>
    <row r="695" spans="1:2">
      <c r="A695" s="1">
        <v>43433</v>
      </c>
      <c r="B695">
        <v>3.03</v>
      </c>
    </row>
    <row r="696" spans="1:2">
      <c r="A696" s="1">
        <v>43434</v>
      </c>
      <c r="B696">
        <v>3.01</v>
      </c>
    </row>
    <row r="697" spans="1:2">
      <c r="A697" s="1">
        <v>43437</v>
      </c>
      <c r="B697">
        <v>2.98</v>
      </c>
    </row>
    <row r="698" spans="1:2">
      <c r="A698" s="1">
        <v>43438</v>
      </c>
      <c r="B698">
        <v>2.91</v>
      </c>
    </row>
    <row r="699" spans="1:2">
      <c r="A699" s="1">
        <v>43439</v>
      </c>
    </row>
    <row r="700" spans="1:2">
      <c r="A700" s="1">
        <v>43440</v>
      </c>
      <c r="B700">
        <v>2.87</v>
      </c>
    </row>
    <row r="701" spans="1:2">
      <c r="A701" s="1">
        <v>43441</v>
      </c>
      <c r="B701">
        <v>2.85</v>
      </c>
    </row>
    <row r="702" spans="1:2">
      <c r="A702" s="1">
        <v>43444</v>
      </c>
      <c r="B702">
        <v>2.85</v>
      </c>
    </row>
    <row r="703" spans="1:2">
      <c r="A703" s="1">
        <v>43445</v>
      </c>
      <c r="B703">
        <v>2.89</v>
      </c>
    </row>
    <row r="704" spans="1:2">
      <c r="A704" s="1">
        <v>43446</v>
      </c>
      <c r="B704">
        <v>2.91</v>
      </c>
    </row>
    <row r="705" spans="1:2">
      <c r="A705" s="1">
        <v>43447</v>
      </c>
      <c r="B705">
        <v>2.91</v>
      </c>
    </row>
    <row r="706" spans="1:2">
      <c r="A706" s="1">
        <v>43448</v>
      </c>
      <c r="B706">
        <v>2.89</v>
      </c>
    </row>
    <row r="707" spans="1:2">
      <c r="A707" s="1">
        <v>43451</v>
      </c>
      <c r="B707">
        <v>2.86</v>
      </c>
    </row>
    <row r="708" spans="1:2">
      <c r="A708" s="1">
        <v>43452</v>
      </c>
      <c r="B708">
        <v>2.82</v>
      </c>
    </row>
    <row r="709" spans="1:2">
      <c r="A709" s="1">
        <v>43453</v>
      </c>
      <c r="B709">
        <v>2.77</v>
      </c>
    </row>
    <row r="710" spans="1:2">
      <c r="A710" s="1">
        <v>43454</v>
      </c>
      <c r="B710">
        <v>2.79</v>
      </c>
    </row>
    <row r="711" spans="1:2">
      <c r="A711" s="1">
        <v>43455</v>
      </c>
      <c r="B711">
        <v>2.79</v>
      </c>
    </row>
    <row r="712" spans="1:2">
      <c r="A712" s="1">
        <v>43458</v>
      </c>
      <c r="B712">
        <v>2.74</v>
      </c>
    </row>
    <row r="713" spans="1:2">
      <c r="A713" s="1">
        <v>43459</v>
      </c>
    </row>
    <row r="714" spans="1:2">
      <c r="A714" s="1">
        <v>43460</v>
      </c>
      <c r="B714">
        <v>2.81</v>
      </c>
    </row>
    <row r="715" spans="1:2">
      <c r="A715" s="1">
        <v>43461</v>
      </c>
      <c r="B715">
        <v>2.77</v>
      </c>
    </row>
    <row r="716" spans="1:2">
      <c r="A716" s="1">
        <v>43462</v>
      </c>
      <c r="B716">
        <v>2.72</v>
      </c>
    </row>
    <row r="717" spans="1:2">
      <c r="A717" s="1">
        <v>43465</v>
      </c>
      <c r="B717">
        <v>2.69</v>
      </c>
    </row>
    <row r="718" spans="1:2">
      <c r="A718" s="1">
        <v>43466</v>
      </c>
    </row>
    <row r="719" spans="1:2">
      <c r="A719" s="1">
        <v>43467</v>
      </c>
      <c r="B719">
        <v>2.66</v>
      </c>
    </row>
    <row r="720" spans="1:2">
      <c r="A720" s="1">
        <v>43468</v>
      </c>
      <c r="B720">
        <v>2.56</v>
      </c>
    </row>
    <row r="721" spans="1:2">
      <c r="A721" s="1">
        <v>43469</v>
      </c>
      <c r="B721">
        <v>2.67</v>
      </c>
    </row>
    <row r="722" spans="1:2">
      <c r="A722" s="1">
        <v>43472</v>
      </c>
      <c r="B722">
        <v>2.7</v>
      </c>
    </row>
    <row r="723" spans="1:2">
      <c r="A723" s="1">
        <v>43473</v>
      </c>
      <c r="B723">
        <v>2.73</v>
      </c>
    </row>
    <row r="724" spans="1:2">
      <c r="A724" s="1">
        <v>43474</v>
      </c>
      <c r="B724">
        <v>2.74</v>
      </c>
    </row>
    <row r="725" spans="1:2">
      <c r="A725" s="1">
        <v>43475</v>
      </c>
      <c r="B725">
        <v>2.74</v>
      </c>
    </row>
    <row r="726" spans="1:2">
      <c r="A726" s="1">
        <v>43476</v>
      </c>
      <c r="B726">
        <v>2.71</v>
      </c>
    </row>
    <row r="727" spans="1:2">
      <c r="A727" s="1">
        <v>43479</v>
      </c>
      <c r="B727">
        <v>2.71</v>
      </c>
    </row>
    <row r="728" spans="1:2">
      <c r="A728" s="1">
        <v>43480</v>
      </c>
      <c r="B728">
        <v>2.72</v>
      </c>
    </row>
    <row r="729" spans="1:2">
      <c r="A729" s="1">
        <v>43481</v>
      </c>
      <c r="B729">
        <v>2.73</v>
      </c>
    </row>
    <row r="730" spans="1:2">
      <c r="A730" s="1">
        <v>43482</v>
      </c>
      <c r="B730">
        <v>2.75</v>
      </c>
    </row>
    <row r="731" spans="1:2">
      <c r="A731" s="1">
        <v>43483</v>
      </c>
      <c r="B731">
        <v>2.79</v>
      </c>
    </row>
    <row r="732" spans="1:2">
      <c r="A732" s="1">
        <v>43486</v>
      </c>
    </row>
    <row r="733" spans="1:2">
      <c r="A733" s="1">
        <v>43487</v>
      </c>
      <c r="B733">
        <v>2.74</v>
      </c>
    </row>
    <row r="734" spans="1:2">
      <c r="A734" s="1">
        <v>43488</v>
      </c>
      <c r="B734">
        <v>2.76</v>
      </c>
    </row>
    <row r="735" spans="1:2">
      <c r="A735" s="1">
        <v>43489</v>
      </c>
      <c r="B735">
        <v>2.72</v>
      </c>
    </row>
    <row r="736" spans="1:2">
      <c r="A736" s="1">
        <v>43490</v>
      </c>
      <c r="B736">
        <v>2.76</v>
      </c>
    </row>
    <row r="737" spans="1:2">
      <c r="A737" s="1">
        <v>43493</v>
      </c>
      <c r="B737">
        <v>2.75</v>
      </c>
    </row>
    <row r="738" spans="1:2">
      <c r="A738" s="1">
        <v>43494</v>
      </c>
      <c r="B738">
        <v>2.72</v>
      </c>
    </row>
    <row r="739" spans="1:2">
      <c r="A739" s="1">
        <v>43495</v>
      </c>
      <c r="B739">
        <v>2.7</v>
      </c>
    </row>
    <row r="740" spans="1:2">
      <c r="A740" s="1">
        <v>43496</v>
      </c>
      <c r="B740">
        <v>2.63</v>
      </c>
    </row>
    <row r="741" spans="1:2">
      <c r="A741" s="1">
        <v>43497</v>
      </c>
      <c r="B741">
        <v>2.7</v>
      </c>
    </row>
    <row r="742" spans="1:2">
      <c r="A742" s="1">
        <v>43500</v>
      </c>
      <c r="B742">
        <v>2.73</v>
      </c>
    </row>
    <row r="743" spans="1:2">
      <c r="A743" s="1">
        <v>43501</v>
      </c>
      <c r="B743">
        <v>2.71</v>
      </c>
    </row>
    <row r="744" spans="1:2">
      <c r="A744" s="1">
        <v>43502</v>
      </c>
      <c r="B744">
        <v>2.7</v>
      </c>
    </row>
    <row r="745" spans="1:2">
      <c r="A745" s="1">
        <v>43503</v>
      </c>
      <c r="B745">
        <v>2.65</v>
      </c>
    </row>
    <row r="746" spans="1:2">
      <c r="A746" s="1">
        <v>43504</v>
      </c>
      <c r="B746">
        <v>2.63</v>
      </c>
    </row>
    <row r="747" spans="1:2">
      <c r="A747" s="1">
        <v>43507</v>
      </c>
      <c r="B747">
        <v>2.65</v>
      </c>
    </row>
    <row r="748" spans="1:2">
      <c r="A748" s="1">
        <v>43508</v>
      </c>
      <c r="B748">
        <v>2.68</v>
      </c>
    </row>
    <row r="749" spans="1:2">
      <c r="A749" s="1">
        <v>43509</v>
      </c>
      <c r="B749">
        <v>2.71</v>
      </c>
    </row>
    <row r="750" spans="1:2">
      <c r="A750" s="1">
        <v>43510</v>
      </c>
      <c r="B750">
        <v>2.66</v>
      </c>
    </row>
    <row r="751" spans="1:2">
      <c r="A751" s="1">
        <v>43511</v>
      </c>
      <c r="B751">
        <v>2.66</v>
      </c>
    </row>
    <row r="752" spans="1:2">
      <c r="A752" s="1">
        <v>43514</v>
      </c>
    </row>
    <row r="753" spans="1:2">
      <c r="A753" s="1">
        <v>43515</v>
      </c>
      <c r="B753">
        <v>2.65</v>
      </c>
    </row>
    <row r="754" spans="1:2">
      <c r="A754" s="1">
        <v>43516</v>
      </c>
      <c r="B754">
        <v>2.65</v>
      </c>
    </row>
    <row r="755" spans="1:2">
      <c r="A755" s="1">
        <v>43517</v>
      </c>
      <c r="B755">
        <v>2.69</v>
      </c>
    </row>
    <row r="756" spans="1:2">
      <c r="A756" s="1">
        <v>43518</v>
      </c>
      <c r="B756">
        <v>2.65</v>
      </c>
    </row>
    <row r="757" spans="1:2">
      <c r="A757" s="1">
        <v>43521</v>
      </c>
      <c r="B757">
        <v>2.67</v>
      </c>
    </row>
    <row r="758" spans="1:2">
      <c r="A758" s="1">
        <v>43522</v>
      </c>
      <c r="B758">
        <v>2.64</v>
      </c>
    </row>
    <row r="759" spans="1:2">
      <c r="A759" s="1">
        <v>43523</v>
      </c>
      <c r="B759">
        <v>2.69</v>
      </c>
    </row>
    <row r="760" spans="1:2">
      <c r="A760" s="1">
        <v>43524</v>
      </c>
      <c r="B760">
        <v>2.73</v>
      </c>
    </row>
    <row r="761" spans="1:2">
      <c r="A761" s="1">
        <v>43525</v>
      </c>
      <c r="B761">
        <v>2.76</v>
      </c>
    </row>
    <row r="762" spans="1:2">
      <c r="A762" s="1">
        <v>43528</v>
      </c>
      <c r="B762">
        <v>2.72</v>
      </c>
    </row>
    <row r="763" spans="1:2">
      <c r="A763" s="1">
        <v>43529</v>
      </c>
      <c r="B763">
        <v>2.72</v>
      </c>
    </row>
    <row r="764" spans="1:2">
      <c r="A764" s="1">
        <v>43530</v>
      </c>
      <c r="B764">
        <v>2.69</v>
      </c>
    </row>
    <row r="765" spans="1:2">
      <c r="A765" s="1">
        <v>43531</v>
      </c>
      <c r="B765">
        <v>2.64</v>
      </c>
    </row>
    <row r="766" spans="1:2">
      <c r="A766" s="1">
        <v>43532</v>
      </c>
      <c r="B766">
        <v>2.62</v>
      </c>
    </row>
    <row r="767" spans="1:2">
      <c r="A767" s="1">
        <v>43535</v>
      </c>
      <c r="B767">
        <v>2.64</v>
      </c>
    </row>
    <row r="768" spans="1:2">
      <c r="A768" s="1">
        <v>43536</v>
      </c>
      <c r="B768">
        <v>2.61</v>
      </c>
    </row>
    <row r="769" spans="1:2">
      <c r="A769" s="1">
        <v>43537</v>
      </c>
      <c r="B769">
        <v>2.61</v>
      </c>
    </row>
    <row r="770" spans="1:2">
      <c r="A770" s="1">
        <v>43538</v>
      </c>
      <c r="B770">
        <v>2.63</v>
      </c>
    </row>
    <row r="771" spans="1:2">
      <c r="A771" s="1">
        <v>43539</v>
      </c>
      <c r="B771">
        <v>2.59</v>
      </c>
    </row>
    <row r="772" spans="1:2">
      <c r="A772" s="1">
        <v>43542</v>
      </c>
      <c r="B772">
        <v>2.6</v>
      </c>
    </row>
    <row r="773" spans="1:2">
      <c r="A773" s="1">
        <v>43543</v>
      </c>
      <c r="B773">
        <v>2.61</v>
      </c>
    </row>
    <row r="774" spans="1:2">
      <c r="A774" s="1">
        <v>43544</v>
      </c>
      <c r="B774">
        <v>2.54</v>
      </c>
    </row>
    <row r="775" spans="1:2">
      <c r="A775" s="1">
        <v>43545</v>
      </c>
      <c r="B775">
        <v>2.54</v>
      </c>
    </row>
    <row r="776" spans="1:2">
      <c r="A776" s="1">
        <v>43546</v>
      </c>
      <c r="B776">
        <v>2.44</v>
      </c>
    </row>
    <row r="777" spans="1:2">
      <c r="A777" s="1">
        <v>43549</v>
      </c>
      <c r="B777">
        <v>2.4300000000000002</v>
      </c>
    </row>
    <row r="778" spans="1:2">
      <c r="A778" s="1">
        <v>43550</v>
      </c>
      <c r="B778">
        <v>2.41</v>
      </c>
    </row>
    <row r="779" spans="1:2">
      <c r="A779" s="1">
        <v>43551</v>
      </c>
      <c r="B779">
        <v>2.39</v>
      </c>
    </row>
    <row r="780" spans="1:2">
      <c r="A780" s="1">
        <v>43552</v>
      </c>
      <c r="B780">
        <v>2.39</v>
      </c>
    </row>
    <row r="781" spans="1:2">
      <c r="A781" s="1">
        <v>43553</v>
      </c>
      <c r="B781">
        <v>2.41</v>
      </c>
    </row>
    <row r="782" spans="1:2">
      <c r="A782" s="1">
        <v>43556</v>
      </c>
      <c r="B782">
        <v>2.4900000000000002</v>
      </c>
    </row>
    <row r="783" spans="1:2">
      <c r="A783" s="1">
        <v>43557</v>
      </c>
      <c r="B783">
        <v>2.48</v>
      </c>
    </row>
    <row r="784" spans="1:2">
      <c r="A784" s="1">
        <v>43558</v>
      </c>
      <c r="B784">
        <v>2.52</v>
      </c>
    </row>
    <row r="785" spans="1:2">
      <c r="A785" s="1">
        <v>43559</v>
      </c>
      <c r="B785">
        <v>2.5099999999999998</v>
      </c>
    </row>
    <row r="786" spans="1:2">
      <c r="A786" s="1">
        <v>43560</v>
      </c>
      <c r="B786">
        <v>2.5</v>
      </c>
    </row>
    <row r="787" spans="1:2">
      <c r="A787" s="1">
        <v>43563</v>
      </c>
      <c r="B787">
        <v>2.52</v>
      </c>
    </row>
    <row r="788" spans="1:2">
      <c r="A788" s="1">
        <v>43564</v>
      </c>
      <c r="B788">
        <v>2.5099999999999998</v>
      </c>
    </row>
    <row r="789" spans="1:2">
      <c r="A789" s="1">
        <v>43565</v>
      </c>
      <c r="B789">
        <v>2.48</v>
      </c>
    </row>
    <row r="790" spans="1:2">
      <c r="A790" s="1">
        <v>43566</v>
      </c>
      <c r="B790">
        <v>2.5099999999999998</v>
      </c>
    </row>
    <row r="791" spans="1:2">
      <c r="A791" s="1">
        <v>43567</v>
      </c>
      <c r="B791">
        <v>2.56</v>
      </c>
    </row>
    <row r="792" spans="1:2">
      <c r="A792" s="1">
        <v>43570</v>
      </c>
      <c r="B792">
        <v>2.5499999999999998</v>
      </c>
    </row>
    <row r="793" spans="1:2">
      <c r="A793" s="1">
        <v>43571</v>
      </c>
      <c r="B793">
        <v>2.6</v>
      </c>
    </row>
    <row r="794" spans="1:2">
      <c r="A794" s="1">
        <v>43572</v>
      </c>
      <c r="B794">
        <v>2.59</v>
      </c>
    </row>
    <row r="795" spans="1:2">
      <c r="A795" s="1">
        <v>43573</v>
      </c>
      <c r="B795">
        <v>2.57</v>
      </c>
    </row>
    <row r="796" spans="1:2">
      <c r="A796" s="1">
        <v>43574</v>
      </c>
    </row>
    <row r="797" spans="1:2">
      <c r="A797" s="1">
        <v>43577</v>
      </c>
      <c r="B797">
        <v>2.59</v>
      </c>
    </row>
    <row r="798" spans="1:2">
      <c r="A798" s="1">
        <v>43578</v>
      </c>
      <c r="B798">
        <v>2.57</v>
      </c>
    </row>
    <row r="799" spans="1:2">
      <c r="A799" s="1">
        <v>43579</v>
      </c>
      <c r="B799">
        <v>2.5299999999999998</v>
      </c>
    </row>
    <row r="800" spans="1:2">
      <c r="A800" s="1">
        <v>43580</v>
      </c>
      <c r="B800">
        <v>2.54</v>
      </c>
    </row>
    <row r="801" spans="1:2">
      <c r="A801" s="1">
        <v>43581</v>
      </c>
      <c r="B801">
        <v>2.5099999999999998</v>
      </c>
    </row>
    <row r="802" spans="1:2">
      <c r="A802" s="1">
        <v>43584</v>
      </c>
      <c r="B802">
        <v>2.54</v>
      </c>
    </row>
    <row r="803" spans="1:2">
      <c r="A803" s="1">
        <v>43585</v>
      </c>
      <c r="B803">
        <v>2.5099999999999998</v>
      </c>
    </row>
    <row r="804" spans="1:2">
      <c r="A804" s="1">
        <v>43586</v>
      </c>
      <c r="B804">
        <v>2.52</v>
      </c>
    </row>
    <row r="805" spans="1:2">
      <c r="A805" s="1">
        <v>43587</v>
      </c>
      <c r="B805">
        <v>2.5499999999999998</v>
      </c>
    </row>
    <row r="806" spans="1:2">
      <c r="A806" s="1">
        <v>43588</v>
      </c>
      <c r="B806">
        <v>2.54</v>
      </c>
    </row>
    <row r="807" spans="1:2">
      <c r="A807" s="1">
        <v>43591</v>
      </c>
      <c r="B807">
        <v>2.5099999999999998</v>
      </c>
    </row>
    <row r="808" spans="1:2">
      <c r="A808" s="1">
        <v>43592</v>
      </c>
      <c r="B808">
        <v>2.4500000000000002</v>
      </c>
    </row>
    <row r="809" spans="1:2">
      <c r="A809" s="1">
        <v>43593</v>
      </c>
      <c r="B809">
        <v>2.4900000000000002</v>
      </c>
    </row>
    <row r="810" spans="1:2">
      <c r="A810" s="1">
        <v>43594</v>
      </c>
      <c r="B810">
        <v>2.4500000000000002</v>
      </c>
    </row>
    <row r="811" spans="1:2">
      <c r="A811" s="1">
        <v>43595</v>
      </c>
      <c r="B811">
        <v>2.4700000000000002</v>
      </c>
    </row>
    <row r="812" spans="1:2">
      <c r="A812" s="1">
        <v>43598</v>
      </c>
      <c r="B812">
        <v>2.4</v>
      </c>
    </row>
    <row r="813" spans="1:2">
      <c r="A813" s="1">
        <v>43599</v>
      </c>
      <c r="B813">
        <v>2.42</v>
      </c>
    </row>
    <row r="814" spans="1:2">
      <c r="A814" s="1">
        <v>43600</v>
      </c>
      <c r="B814">
        <v>2.37</v>
      </c>
    </row>
    <row r="815" spans="1:2">
      <c r="A815" s="1">
        <v>43601</v>
      </c>
      <c r="B815">
        <v>2.4</v>
      </c>
    </row>
    <row r="816" spans="1:2">
      <c r="A816" s="1">
        <v>43602</v>
      </c>
      <c r="B816">
        <v>2.39</v>
      </c>
    </row>
    <row r="817" spans="1:2">
      <c r="A817" s="1">
        <v>43605</v>
      </c>
      <c r="B817">
        <v>2.41</v>
      </c>
    </row>
    <row r="818" spans="1:2">
      <c r="A818" s="1">
        <v>43606</v>
      </c>
      <c r="B818">
        <v>2.4300000000000002</v>
      </c>
    </row>
    <row r="819" spans="1:2">
      <c r="A819" s="1">
        <v>43607</v>
      </c>
      <c r="B819">
        <v>2.39</v>
      </c>
    </row>
    <row r="820" spans="1:2">
      <c r="A820" s="1">
        <v>43608</v>
      </c>
      <c r="B820">
        <v>2.31</v>
      </c>
    </row>
    <row r="821" spans="1:2">
      <c r="A821" s="1">
        <v>43609</v>
      </c>
      <c r="B821">
        <v>2.3199999999999998</v>
      </c>
    </row>
    <row r="822" spans="1:2">
      <c r="A822" s="1">
        <v>43612</v>
      </c>
    </row>
    <row r="823" spans="1:2">
      <c r="A823" s="1">
        <v>43613</v>
      </c>
      <c r="B823">
        <v>2.2599999999999998</v>
      </c>
    </row>
    <row r="824" spans="1:2">
      <c r="A824" s="1">
        <v>43614</v>
      </c>
      <c r="B824">
        <v>2.25</v>
      </c>
    </row>
    <row r="825" spans="1:2">
      <c r="A825" s="1">
        <v>43615</v>
      </c>
      <c r="B825">
        <v>2.2200000000000002</v>
      </c>
    </row>
    <row r="826" spans="1:2">
      <c r="A826" s="1">
        <v>43616</v>
      </c>
      <c r="B826">
        <v>2.14</v>
      </c>
    </row>
    <row r="827" spans="1:2">
      <c r="A827" s="1">
        <v>43619</v>
      </c>
      <c r="B827">
        <v>2.0699999999999998</v>
      </c>
    </row>
    <row r="828" spans="1:2">
      <c r="A828" s="1">
        <v>43620</v>
      </c>
      <c r="B828">
        <v>2.12</v>
      </c>
    </row>
    <row r="829" spans="1:2">
      <c r="A829" s="1">
        <v>43621</v>
      </c>
      <c r="B829">
        <v>2.12</v>
      </c>
    </row>
    <row r="830" spans="1:2">
      <c r="A830" s="1">
        <v>43622</v>
      </c>
      <c r="B830">
        <v>2.12</v>
      </c>
    </row>
    <row r="831" spans="1:2">
      <c r="A831" s="1">
        <v>43623</v>
      </c>
      <c r="B831">
        <v>2.09</v>
      </c>
    </row>
    <row r="832" spans="1:2">
      <c r="A832" s="1">
        <v>43626</v>
      </c>
      <c r="B832">
        <v>2.15</v>
      </c>
    </row>
    <row r="833" spans="1:2">
      <c r="A833" s="1">
        <v>43627</v>
      </c>
      <c r="B833">
        <v>2.15</v>
      </c>
    </row>
    <row r="834" spans="1:2">
      <c r="A834" s="1">
        <v>43628</v>
      </c>
      <c r="B834">
        <v>2.13</v>
      </c>
    </row>
    <row r="835" spans="1:2">
      <c r="A835" s="1">
        <v>43629</v>
      </c>
      <c r="B835">
        <v>2.1</v>
      </c>
    </row>
    <row r="836" spans="1:2">
      <c r="A836" s="1">
        <v>43630</v>
      </c>
      <c r="B836">
        <v>2.09</v>
      </c>
    </row>
    <row r="837" spans="1:2">
      <c r="A837" s="1">
        <v>43633</v>
      </c>
      <c r="B837">
        <v>2.09</v>
      </c>
    </row>
    <row r="838" spans="1:2">
      <c r="A838" s="1">
        <v>43634</v>
      </c>
      <c r="B838">
        <v>2.06</v>
      </c>
    </row>
    <row r="839" spans="1:2">
      <c r="A839" s="1">
        <v>43635</v>
      </c>
      <c r="B839">
        <v>2.0299999999999998</v>
      </c>
    </row>
    <row r="840" spans="1:2">
      <c r="A840" s="1">
        <v>43636</v>
      </c>
      <c r="B840">
        <v>2.0099999999999998</v>
      </c>
    </row>
    <row r="841" spans="1:2">
      <c r="A841" s="1">
        <v>43637</v>
      </c>
      <c r="B841">
        <v>2.0699999999999998</v>
      </c>
    </row>
    <row r="842" spans="1:2">
      <c r="A842" s="1">
        <v>43640</v>
      </c>
      <c r="B842">
        <v>2.02</v>
      </c>
    </row>
    <row r="843" spans="1:2">
      <c r="A843" s="1">
        <v>43641</v>
      </c>
      <c r="B843">
        <v>2</v>
      </c>
    </row>
    <row r="844" spans="1:2">
      <c r="A844" s="1">
        <v>43642</v>
      </c>
      <c r="B844">
        <v>2.0499999999999998</v>
      </c>
    </row>
    <row r="845" spans="1:2">
      <c r="A845" s="1">
        <v>43643</v>
      </c>
      <c r="B845">
        <v>2.0099999999999998</v>
      </c>
    </row>
    <row r="846" spans="1:2">
      <c r="A846" s="1">
        <v>43644</v>
      </c>
      <c r="B846">
        <v>2</v>
      </c>
    </row>
    <row r="847" spans="1:2">
      <c r="A847" s="1">
        <v>43647</v>
      </c>
      <c r="B847">
        <v>2.0299999999999998</v>
      </c>
    </row>
    <row r="848" spans="1:2">
      <c r="A848" s="1">
        <v>43648</v>
      </c>
      <c r="B848">
        <v>1.98</v>
      </c>
    </row>
    <row r="849" spans="1:2">
      <c r="A849" s="1">
        <v>43649</v>
      </c>
      <c r="B849">
        <v>1.96</v>
      </c>
    </row>
    <row r="850" spans="1:2">
      <c r="A850" s="1">
        <v>43650</v>
      </c>
    </row>
    <row r="851" spans="1:2">
      <c r="A851" s="1">
        <v>43651</v>
      </c>
      <c r="B851">
        <v>2.04</v>
      </c>
    </row>
    <row r="852" spans="1:2">
      <c r="A852" s="1">
        <v>43654</v>
      </c>
      <c r="B852">
        <v>2.0499999999999998</v>
      </c>
    </row>
    <row r="853" spans="1:2">
      <c r="A853" s="1">
        <v>43655</v>
      </c>
      <c r="B853">
        <v>2.0699999999999998</v>
      </c>
    </row>
    <row r="854" spans="1:2">
      <c r="A854" s="1">
        <v>43656</v>
      </c>
      <c r="B854">
        <v>2.0699999999999998</v>
      </c>
    </row>
    <row r="855" spans="1:2">
      <c r="A855" s="1">
        <v>43657</v>
      </c>
      <c r="B855">
        <v>2.13</v>
      </c>
    </row>
    <row r="856" spans="1:2">
      <c r="A856" s="1">
        <v>43658</v>
      </c>
      <c r="B856">
        <v>2.12</v>
      </c>
    </row>
    <row r="857" spans="1:2">
      <c r="A857" s="1">
        <v>43661</v>
      </c>
      <c r="B857">
        <v>2.09</v>
      </c>
    </row>
    <row r="858" spans="1:2">
      <c r="A858" s="1">
        <v>43662</v>
      </c>
      <c r="B858">
        <v>2.13</v>
      </c>
    </row>
    <row r="859" spans="1:2">
      <c r="A859" s="1">
        <v>43663</v>
      </c>
      <c r="B859">
        <v>2.06</v>
      </c>
    </row>
    <row r="860" spans="1:2">
      <c r="A860" s="1">
        <v>43664</v>
      </c>
      <c r="B860">
        <v>2.04</v>
      </c>
    </row>
    <row r="861" spans="1:2">
      <c r="A861" s="1">
        <v>43665</v>
      </c>
      <c r="B861">
        <v>2.0499999999999998</v>
      </c>
    </row>
    <row r="862" spans="1:2">
      <c r="A862" s="1">
        <v>43668</v>
      </c>
      <c r="B862">
        <v>2.0499999999999998</v>
      </c>
    </row>
    <row r="863" spans="1:2">
      <c r="A863" s="1">
        <v>43669</v>
      </c>
      <c r="B863">
        <v>2.08</v>
      </c>
    </row>
    <row r="864" spans="1:2">
      <c r="A864" s="1">
        <v>43670</v>
      </c>
      <c r="B864">
        <v>2.0499999999999998</v>
      </c>
    </row>
    <row r="865" spans="1:2">
      <c r="A865" s="1">
        <v>43671</v>
      </c>
      <c r="B865">
        <v>2.08</v>
      </c>
    </row>
    <row r="866" spans="1:2">
      <c r="A866" s="1">
        <v>43672</v>
      </c>
      <c r="B866">
        <v>2.08</v>
      </c>
    </row>
    <row r="867" spans="1:2">
      <c r="A867" s="1">
        <v>43675</v>
      </c>
      <c r="B867">
        <v>2.06</v>
      </c>
    </row>
    <row r="868" spans="1:2">
      <c r="A868" s="1">
        <v>43676</v>
      </c>
      <c r="B868">
        <v>2.06</v>
      </c>
    </row>
    <row r="869" spans="1:2">
      <c r="A869" s="1">
        <v>43677</v>
      </c>
      <c r="B869">
        <v>2.02</v>
      </c>
    </row>
    <row r="870" spans="1:2">
      <c r="A870" s="1">
        <v>43678</v>
      </c>
      <c r="B870">
        <v>1.9</v>
      </c>
    </row>
    <row r="871" spans="1:2">
      <c r="A871" s="1">
        <v>43679</v>
      </c>
      <c r="B871">
        <v>1.86</v>
      </c>
    </row>
    <row r="872" spans="1:2">
      <c r="A872" s="1">
        <v>43682</v>
      </c>
      <c r="B872">
        <v>1.75</v>
      </c>
    </row>
    <row r="873" spans="1:2">
      <c r="A873" s="1">
        <v>43683</v>
      </c>
      <c r="B873">
        <v>1.73</v>
      </c>
    </row>
    <row r="874" spans="1:2">
      <c r="A874" s="1">
        <v>43684</v>
      </c>
      <c r="B874">
        <v>1.71</v>
      </c>
    </row>
    <row r="875" spans="1:2">
      <c r="A875" s="1">
        <v>43685</v>
      </c>
      <c r="B875">
        <v>1.72</v>
      </c>
    </row>
    <row r="876" spans="1:2">
      <c r="A876" s="1">
        <v>43686</v>
      </c>
      <c r="B876">
        <v>1.74</v>
      </c>
    </row>
    <row r="877" spans="1:2">
      <c r="A877" s="1">
        <v>43689</v>
      </c>
      <c r="B877">
        <v>1.65</v>
      </c>
    </row>
    <row r="878" spans="1:2">
      <c r="A878" s="1">
        <v>43690</v>
      </c>
      <c r="B878">
        <v>1.68</v>
      </c>
    </row>
    <row r="879" spans="1:2">
      <c r="A879" s="1">
        <v>43691</v>
      </c>
      <c r="B879">
        <v>1.59</v>
      </c>
    </row>
    <row r="880" spans="1:2">
      <c r="A880" s="1">
        <v>43692</v>
      </c>
      <c r="B880">
        <v>1.52</v>
      </c>
    </row>
    <row r="881" spans="1:2">
      <c r="A881" s="1">
        <v>43693</v>
      </c>
      <c r="B881">
        <v>1.55</v>
      </c>
    </row>
    <row r="882" spans="1:2">
      <c r="A882" s="1">
        <v>43696</v>
      </c>
      <c r="B882">
        <v>1.6</v>
      </c>
    </row>
    <row r="883" spans="1:2">
      <c r="A883" s="1">
        <v>43697</v>
      </c>
      <c r="B883">
        <v>1.55</v>
      </c>
    </row>
    <row r="884" spans="1:2">
      <c r="A884" s="1">
        <v>43698</v>
      </c>
      <c r="B884">
        <v>1.59</v>
      </c>
    </row>
    <row r="885" spans="1:2">
      <c r="A885" s="1">
        <v>43699</v>
      </c>
      <c r="B885">
        <v>1.62</v>
      </c>
    </row>
    <row r="886" spans="1:2">
      <c r="A886" s="1">
        <v>43700</v>
      </c>
      <c r="B886">
        <v>1.52</v>
      </c>
    </row>
    <row r="887" spans="1:2">
      <c r="A887" s="1">
        <v>43703</v>
      </c>
      <c r="B887">
        <v>1.54</v>
      </c>
    </row>
    <row r="888" spans="1:2">
      <c r="A888" s="1">
        <v>43704</v>
      </c>
      <c r="B888">
        <v>1.49</v>
      </c>
    </row>
    <row r="889" spans="1:2">
      <c r="A889" s="1">
        <v>43705</v>
      </c>
      <c r="B889">
        <v>1.47</v>
      </c>
    </row>
    <row r="890" spans="1:2">
      <c r="A890" s="1">
        <v>43706</v>
      </c>
      <c r="B890">
        <v>1.5</v>
      </c>
    </row>
    <row r="891" spans="1:2">
      <c r="A891" s="1">
        <v>43707</v>
      </c>
      <c r="B891">
        <v>1.5</v>
      </c>
    </row>
    <row r="892" spans="1:2">
      <c r="A892" s="1">
        <v>43710</v>
      </c>
    </row>
    <row r="893" spans="1:2">
      <c r="A893" s="1">
        <v>43711</v>
      </c>
      <c r="B893">
        <v>1.47</v>
      </c>
    </row>
    <row r="894" spans="1:2">
      <c r="A894" s="1">
        <v>43712</v>
      </c>
      <c r="B894">
        <v>1.47</v>
      </c>
    </row>
    <row r="895" spans="1:2">
      <c r="A895" s="1">
        <v>43713</v>
      </c>
      <c r="B895">
        <v>1.57</v>
      </c>
    </row>
    <row r="896" spans="1:2">
      <c r="A896" s="1">
        <v>43714</v>
      </c>
      <c r="B896">
        <v>1.55</v>
      </c>
    </row>
    <row r="897" spans="1:2">
      <c r="A897" s="1">
        <v>43717</v>
      </c>
      <c r="B897">
        <v>1.63</v>
      </c>
    </row>
    <row r="898" spans="1:2">
      <c r="A898" s="1">
        <v>43718</v>
      </c>
      <c r="B898">
        <v>1.72</v>
      </c>
    </row>
    <row r="899" spans="1:2">
      <c r="A899" s="1">
        <v>43719</v>
      </c>
      <c r="B899">
        <v>1.75</v>
      </c>
    </row>
    <row r="900" spans="1:2">
      <c r="A900" s="1">
        <v>43720</v>
      </c>
      <c r="B900">
        <v>1.79</v>
      </c>
    </row>
    <row r="901" spans="1:2">
      <c r="A901" s="1">
        <v>43721</v>
      </c>
      <c r="B901">
        <v>1.9</v>
      </c>
    </row>
    <row r="902" spans="1:2">
      <c r="A902" s="1">
        <v>43724</v>
      </c>
      <c r="B902">
        <v>1.84</v>
      </c>
    </row>
    <row r="903" spans="1:2">
      <c r="A903" s="1">
        <v>43725</v>
      </c>
      <c r="B903">
        <v>1.81</v>
      </c>
    </row>
    <row r="904" spans="1:2">
      <c r="A904" s="1">
        <v>43726</v>
      </c>
      <c r="B904">
        <v>1.8</v>
      </c>
    </row>
    <row r="905" spans="1:2">
      <c r="A905" s="1">
        <v>43727</v>
      </c>
      <c r="B905">
        <v>1.79</v>
      </c>
    </row>
    <row r="906" spans="1:2">
      <c r="A906" s="1">
        <v>43728</v>
      </c>
      <c r="B906">
        <v>1.74</v>
      </c>
    </row>
    <row r="907" spans="1:2">
      <c r="A907" s="1">
        <v>43731</v>
      </c>
      <c r="B907">
        <v>1.72</v>
      </c>
    </row>
    <row r="908" spans="1:2">
      <c r="A908" s="1">
        <v>43732</v>
      </c>
      <c r="B908">
        <v>1.64</v>
      </c>
    </row>
    <row r="909" spans="1:2">
      <c r="A909" s="1">
        <v>43733</v>
      </c>
      <c r="B909">
        <v>1.73</v>
      </c>
    </row>
    <row r="910" spans="1:2">
      <c r="A910" s="1">
        <v>43734</v>
      </c>
      <c r="B910">
        <v>1.7</v>
      </c>
    </row>
    <row r="911" spans="1:2">
      <c r="A911" s="1">
        <v>43735</v>
      </c>
      <c r="B911">
        <v>1.69</v>
      </c>
    </row>
    <row r="912" spans="1:2">
      <c r="A912" s="1">
        <v>43738</v>
      </c>
      <c r="B912">
        <v>1.68</v>
      </c>
    </row>
    <row r="913" spans="1:2">
      <c r="A913" s="1">
        <v>43739</v>
      </c>
      <c r="B913">
        <v>1.65</v>
      </c>
    </row>
    <row r="914" spans="1:2">
      <c r="A914" s="1">
        <v>43740</v>
      </c>
      <c r="B914">
        <v>1.6</v>
      </c>
    </row>
    <row r="915" spans="1:2">
      <c r="A915" s="1">
        <v>43741</v>
      </c>
      <c r="B915">
        <v>1.54</v>
      </c>
    </row>
    <row r="916" spans="1:2">
      <c r="A916" s="1">
        <v>43742</v>
      </c>
      <c r="B916">
        <v>1.52</v>
      </c>
    </row>
    <row r="917" spans="1:2">
      <c r="A917" s="1">
        <v>43745</v>
      </c>
      <c r="B917">
        <v>1.56</v>
      </c>
    </row>
    <row r="918" spans="1:2">
      <c r="A918" s="1">
        <v>43746</v>
      </c>
      <c r="B918">
        <v>1.54</v>
      </c>
    </row>
    <row r="919" spans="1:2">
      <c r="A919" s="1">
        <v>43747</v>
      </c>
      <c r="B919">
        <v>1.59</v>
      </c>
    </row>
    <row r="920" spans="1:2">
      <c r="A920" s="1">
        <v>43748</v>
      </c>
      <c r="B920">
        <v>1.67</v>
      </c>
    </row>
    <row r="921" spans="1:2">
      <c r="A921" s="1">
        <v>43749</v>
      </c>
      <c r="B921">
        <v>1.76</v>
      </c>
    </row>
    <row r="922" spans="1:2">
      <c r="A922" s="1">
        <v>43752</v>
      </c>
    </row>
    <row r="923" spans="1:2">
      <c r="A923" s="1">
        <v>43753</v>
      </c>
      <c r="B923">
        <v>1.77</v>
      </c>
    </row>
    <row r="924" spans="1:2">
      <c r="A924" s="1">
        <v>43754</v>
      </c>
      <c r="B924">
        <v>1.75</v>
      </c>
    </row>
    <row r="925" spans="1:2">
      <c r="A925" s="1">
        <v>43755</v>
      </c>
      <c r="B925">
        <v>1.76</v>
      </c>
    </row>
    <row r="926" spans="1:2">
      <c r="A926" s="1">
        <v>43756</v>
      </c>
      <c r="B926">
        <v>1.76</v>
      </c>
    </row>
    <row r="927" spans="1:2">
      <c r="A927" s="1">
        <v>43759</v>
      </c>
      <c r="B927">
        <v>1.8</v>
      </c>
    </row>
    <row r="928" spans="1:2">
      <c r="A928" s="1">
        <v>43760</v>
      </c>
      <c r="B928">
        <v>1.78</v>
      </c>
    </row>
    <row r="929" spans="1:2">
      <c r="A929" s="1">
        <v>43761</v>
      </c>
      <c r="B929">
        <v>1.77</v>
      </c>
    </row>
    <row r="930" spans="1:2">
      <c r="A930" s="1">
        <v>43762</v>
      </c>
      <c r="B930">
        <v>1.77</v>
      </c>
    </row>
    <row r="931" spans="1:2">
      <c r="A931" s="1">
        <v>43763</v>
      </c>
      <c r="B931">
        <v>1.8</v>
      </c>
    </row>
    <row r="932" spans="1:2">
      <c r="A932" s="1">
        <v>43766</v>
      </c>
      <c r="B932">
        <v>1.85</v>
      </c>
    </row>
    <row r="933" spans="1:2">
      <c r="A933" s="1">
        <v>43767</v>
      </c>
      <c r="B933">
        <v>1.84</v>
      </c>
    </row>
    <row r="934" spans="1:2">
      <c r="A934" s="1">
        <v>43768</v>
      </c>
      <c r="B934">
        <v>1.78</v>
      </c>
    </row>
    <row r="935" spans="1:2">
      <c r="A935" s="1">
        <v>43769</v>
      </c>
      <c r="B935">
        <v>1.69</v>
      </c>
    </row>
    <row r="936" spans="1:2">
      <c r="A936" s="1">
        <v>43770</v>
      </c>
      <c r="B936">
        <v>1.73</v>
      </c>
    </row>
    <row r="937" spans="1:2">
      <c r="A937" s="1">
        <v>43773</v>
      </c>
      <c r="B937">
        <v>1.79</v>
      </c>
    </row>
    <row r="938" spans="1:2">
      <c r="A938" s="1">
        <v>43774</v>
      </c>
      <c r="B938">
        <v>1.86</v>
      </c>
    </row>
    <row r="939" spans="1:2">
      <c r="A939" s="1">
        <v>43775</v>
      </c>
      <c r="B939">
        <v>1.81</v>
      </c>
    </row>
    <row r="940" spans="1:2">
      <c r="A940" s="1">
        <v>43776</v>
      </c>
      <c r="B940">
        <v>1.92</v>
      </c>
    </row>
    <row r="941" spans="1:2">
      <c r="A941" s="1">
        <v>43777</v>
      </c>
      <c r="B941">
        <v>1.94</v>
      </c>
    </row>
    <row r="942" spans="1:2">
      <c r="A942" s="1">
        <v>43780</v>
      </c>
    </row>
    <row r="943" spans="1:2">
      <c r="A943" s="1">
        <v>43781</v>
      </c>
      <c r="B943">
        <v>1.92</v>
      </c>
    </row>
    <row r="944" spans="1:2">
      <c r="A944" s="1">
        <v>43782</v>
      </c>
      <c r="B944">
        <v>1.88</v>
      </c>
    </row>
    <row r="945" spans="1:2">
      <c r="A945" s="1">
        <v>43783</v>
      </c>
      <c r="B945">
        <v>1.82</v>
      </c>
    </row>
    <row r="946" spans="1:2">
      <c r="A946" s="1">
        <v>43784</v>
      </c>
      <c r="B946">
        <v>1.84</v>
      </c>
    </row>
    <row r="947" spans="1:2">
      <c r="A947" s="1">
        <v>43787</v>
      </c>
      <c r="B947">
        <v>1.81</v>
      </c>
    </row>
    <row r="948" spans="1:2">
      <c r="A948" s="1">
        <v>43788</v>
      </c>
      <c r="B948">
        <v>1.79</v>
      </c>
    </row>
    <row r="949" spans="1:2">
      <c r="A949" s="1">
        <v>43789</v>
      </c>
      <c r="B949">
        <v>1.73</v>
      </c>
    </row>
    <row r="950" spans="1:2">
      <c r="A950" s="1">
        <v>43790</v>
      </c>
      <c r="B950">
        <v>1.77</v>
      </c>
    </row>
    <row r="951" spans="1:2">
      <c r="A951" s="1">
        <v>43791</v>
      </c>
      <c r="B951">
        <v>1.77</v>
      </c>
    </row>
    <row r="952" spans="1:2">
      <c r="A952" s="1">
        <v>43794</v>
      </c>
      <c r="B952">
        <v>1.76</v>
      </c>
    </row>
    <row r="953" spans="1:2">
      <c r="A953" s="1">
        <v>43795</v>
      </c>
      <c r="B953">
        <v>1.74</v>
      </c>
    </row>
    <row r="954" spans="1:2">
      <c r="A954" s="1">
        <v>43796</v>
      </c>
      <c r="B954">
        <v>1.77</v>
      </c>
    </row>
    <row r="955" spans="1:2">
      <c r="A955" s="1">
        <v>43797</v>
      </c>
    </row>
    <row r="956" spans="1:2">
      <c r="A956" s="1">
        <v>43798</v>
      </c>
      <c r="B956">
        <v>1.78</v>
      </c>
    </row>
    <row r="957" spans="1:2">
      <c r="A957" s="1">
        <v>43801</v>
      </c>
      <c r="B957">
        <v>1.83</v>
      </c>
    </row>
    <row r="958" spans="1:2">
      <c r="A958" s="1">
        <v>43802</v>
      </c>
      <c r="B958">
        <v>1.72</v>
      </c>
    </row>
    <row r="959" spans="1:2">
      <c r="A959" s="1">
        <v>43803</v>
      </c>
      <c r="B959">
        <v>1.77</v>
      </c>
    </row>
    <row r="960" spans="1:2">
      <c r="A960" s="1">
        <v>43804</v>
      </c>
      <c r="B960">
        <v>1.8</v>
      </c>
    </row>
    <row r="961" spans="1:2">
      <c r="A961" s="1">
        <v>43805</v>
      </c>
      <c r="B961">
        <v>1.84</v>
      </c>
    </row>
    <row r="962" spans="1:2">
      <c r="A962" s="1">
        <v>43808</v>
      </c>
      <c r="B962">
        <v>1.83</v>
      </c>
    </row>
    <row r="963" spans="1:2">
      <c r="A963" s="1">
        <v>43809</v>
      </c>
      <c r="B963">
        <v>1.85</v>
      </c>
    </row>
    <row r="964" spans="1:2">
      <c r="A964" s="1">
        <v>43810</v>
      </c>
      <c r="B964">
        <v>1.79</v>
      </c>
    </row>
    <row r="965" spans="1:2">
      <c r="A965" s="1">
        <v>43811</v>
      </c>
      <c r="B965">
        <v>1.9</v>
      </c>
    </row>
    <row r="966" spans="1:2">
      <c r="A966" s="1">
        <v>43812</v>
      </c>
      <c r="B966">
        <v>1.82</v>
      </c>
    </row>
    <row r="967" spans="1:2">
      <c r="A967" s="1">
        <v>43815</v>
      </c>
      <c r="B967">
        <v>1.89</v>
      </c>
    </row>
    <row r="968" spans="1:2">
      <c r="A968" s="1">
        <v>43816</v>
      </c>
      <c r="B968">
        <v>1.89</v>
      </c>
    </row>
    <row r="969" spans="1:2">
      <c r="A969" s="1">
        <v>43817</v>
      </c>
      <c r="B969">
        <v>1.92</v>
      </c>
    </row>
    <row r="970" spans="1:2">
      <c r="A970" s="1">
        <v>43818</v>
      </c>
      <c r="B970">
        <v>1.92</v>
      </c>
    </row>
    <row r="971" spans="1:2">
      <c r="A971" s="1">
        <v>43819</v>
      </c>
      <c r="B971">
        <v>1.92</v>
      </c>
    </row>
    <row r="972" spans="1:2">
      <c r="A972" s="1">
        <v>43822</v>
      </c>
      <c r="B972">
        <v>1.93</v>
      </c>
    </row>
    <row r="973" spans="1:2">
      <c r="A973" s="1">
        <v>43823</v>
      </c>
      <c r="B973">
        <v>1.9</v>
      </c>
    </row>
    <row r="974" spans="1:2">
      <c r="A974" s="1">
        <v>43824</v>
      </c>
    </row>
    <row r="975" spans="1:2">
      <c r="A975" s="1">
        <v>43825</v>
      </c>
      <c r="B975">
        <v>1.9</v>
      </c>
    </row>
    <row r="976" spans="1:2">
      <c r="A976" s="1">
        <v>43826</v>
      </c>
      <c r="B976">
        <v>1.88</v>
      </c>
    </row>
    <row r="977" spans="1:2">
      <c r="A977" s="1">
        <v>43829</v>
      </c>
      <c r="B977">
        <v>1.9</v>
      </c>
    </row>
    <row r="978" spans="1:2">
      <c r="A978" s="1">
        <v>43830</v>
      </c>
      <c r="B978">
        <v>1.92</v>
      </c>
    </row>
    <row r="979" spans="1:2">
      <c r="A979" s="1">
        <v>43831</v>
      </c>
    </row>
    <row r="980" spans="1:2">
      <c r="A980" s="1">
        <v>43832</v>
      </c>
      <c r="B980">
        <v>1.88</v>
      </c>
    </row>
    <row r="981" spans="1:2">
      <c r="A981" s="1">
        <v>43833</v>
      </c>
      <c r="B981">
        <v>1.8</v>
      </c>
    </row>
    <row r="982" spans="1:2">
      <c r="A982" s="1">
        <v>43836</v>
      </c>
      <c r="B982">
        <v>1.81</v>
      </c>
    </row>
    <row r="983" spans="1:2">
      <c r="A983" s="1">
        <v>43837</v>
      </c>
      <c r="B983">
        <v>1.83</v>
      </c>
    </row>
    <row r="984" spans="1:2">
      <c r="A984" s="1">
        <v>43838</v>
      </c>
      <c r="B984">
        <v>1.87</v>
      </c>
    </row>
    <row r="985" spans="1:2">
      <c r="A985" s="1">
        <v>43839</v>
      </c>
      <c r="B985">
        <v>1.85</v>
      </c>
    </row>
    <row r="986" spans="1:2">
      <c r="A986" s="1">
        <v>43840</v>
      </c>
      <c r="B986">
        <v>1.83</v>
      </c>
    </row>
    <row r="987" spans="1:2">
      <c r="A987" s="1">
        <v>43843</v>
      </c>
      <c r="B987">
        <v>1.85</v>
      </c>
    </row>
    <row r="988" spans="1:2">
      <c r="A988" s="1">
        <v>43844</v>
      </c>
      <c r="B988">
        <v>1.82</v>
      </c>
    </row>
    <row r="989" spans="1:2">
      <c r="A989" s="1">
        <v>43845</v>
      </c>
      <c r="B989">
        <v>1.79</v>
      </c>
    </row>
    <row r="990" spans="1:2">
      <c r="A990" s="1">
        <v>43846</v>
      </c>
      <c r="B990">
        <v>1.81</v>
      </c>
    </row>
    <row r="991" spans="1:2">
      <c r="A991" s="1">
        <v>43847</v>
      </c>
      <c r="B991">
        <v>1.84</v>
      </c>
    </row>
    <row r="992" spans="1:2">
      <c r="A992" s="1">
        <v>43850</v>
      </c>
    </row>
    <row r="993" spans="1:2">
      <c r="A993" s="1">
        <v>43851</v>
      </c>
      <c r="B993">
        <v>1.78</v>
      </c>
    </row>
    <row r="994" spans="1:2">
      <c r="A994" s="1">
        <v>43852</v>
      </c>
      <c r="B994">
        <v>1.77</v>
      </c>
    </row>
    <row r="995" spans="1:2">
      <c r="A995" s="1">
        <v>43853</v>
      </c>
      <c r="B995">
        <v>1.74</v>
      </c>
    </row>
    <row r="996" spans="1:2">
      <c r="A996" s="1">
        <v>43854</v>
      </c>
      <c r="B996">
        <v>1.7</v>
      </c>
    </row>
    <row r="997" spans="1:2">
      <c r="A997" s="1">
        <v>43857</v>
      </c>
      <c r="B997">
        <v>1.61</v>
      </c>
    </row>
    <row r="998" spans="1:2">
      <c r="A998" s="1">
        <v>43858</v>
      </c>
      <c r="B998">
        <v>1.65</v>
      </c>
    </row>
    <row r="999" spans="1:2">
      <c r="A999" s="1">
        <v>43859</v>
      </c>
      <c r="B999">
        <v>1.6</v>
      </c>
    </row>
    <row r="1000" spans="1:2">
      <c r="A1000" s="1">
        <v>43860</v>
      </c>
      <c r="B1000">
        <v>1.57</v>
      </c>
    </row>
    <row r="1001" spans="1:2">
      <c r="A1001" s="1">
        <v>43861</v>
      </c>
      <c r="B1001">
        <v>1.51</v>
      </c>
    </row>
    <row r="1002" spans="1:2">
      <c r="A1002" s="1">
        <v>43864</v>
      </c>
      <c r="B1002">
        <v>1.54</v>
      </c>
    </row>
    <row r="1003" spans="1:2">
      <c r="A1003" s="1">
        <v>43865</v>
      </c>
      <c r="B1003">
        <v>1.61</v>
      </c>
    </row>
    <row r="1004" spans="1:2">
      <c r="A1004" s="1">
        <v>43866</v>
      </c>
      <c r="B1004">
        <v>1.66</v>
      </c>
    </row>
    <row r="1005" spans="1:2">
      <c r="A1005" s="1">
        <v>43867</v>
      </c>
      <c r="B1005">
        <v>1.65</v>
      </c>
    </row>
    <row r="1006" spans="1:2">
      <c r="A1006" s="1">
        <v>43868</v>
      </c>
      <c r="B1006">
        <v>1.59</v>
      </c>
    </row>
    <row r="1007" spans="1:2">
      <c r="A1007" s="1">
        <v>43871</v>
      </c>
      <c r="B1007">
        <v>1.56</v>
      </c>
    </row>
    <row r="1008" spans="1:2">
      <c r="A1008" s="1">
        <v>43872</v>
      </c>
      <c r="B1008">
        <v>1.59</v>
      </c>
    </row>
    <row r="1009" spans="1:2">
      <c r="A1009" s="1">
        <v>43873</v>
      </c>
      <c r="B1009">
        <v>1.62</v>
      </c>
    </row>
    <row r="1010" spans="1:2">
      <c r="A1010" s="1">
        <v>43874</v>
      </c>
      <c r="B1010">
        <v>1.61</v>
      </c>
    </row>
    <row r="1011" spans="1:2">
      <c r="A1011" s="1">
        <v>43875</v>
      </c>
      <c r="B1011">
        <v>1.59</v>
      </c>
    </row>
    <row r="1012" spans="1:2">
      <c r="A1012" s="1">
        <v>43878</v>
      </c>
    </row>
    <row r="1013" spans="1:2">
      <c r="A1013" s="1">
        <v>43879</v>
      </c>
      <c r="B1013">
        <v>1.55</v>
      </c>
    </row>
    <row r="1014" spans="1:2">
      <c r="A1014" s="1">
        <v>43880</v>
      </c>
      <c r="B1014">
        <v>1.56</v>
      </c>
    </row>
    <row r="1015" spans="1:2">
      <c r="A1015" s="1">
        <v>43881</v>
      </c>
      <c r="B1015">
        <v>1.52</v>
      </c>
    </row>
    <row r="1016" spans="1:2">
      <c r="A1016" s="1">
        <v>43882</v>
      </c>
      <c r="B1016">
        <v>1.46</v>
      </c>
    </row>
    <row r="1017" spans="1:2">
      <c r="A1017" s="1">
        <v>43885</v>
      </c>
      <c r="B1017">
        <v>1.38</v>
      </c>
    </row>
    <row r="1018" spans="1:2">
      <c r="A1018" s="1">
        <v>43886</v>
      </c>
      <c r="B1018">
        <v>1.33</v>
      </c>
    </row>
    <row r="1019" spans="1:2">
      <c r="A1019" s="1">
        <v>43887</v>
      </c>
      <c r="B1019">
        <v>1.33</v>
      </c>
    </row>
    <row r="1020" spans="1:2">
      <c r="A1020" s="1">
        <v>43888</v>
      </c>
      <c r="B1020">
        <v>1.3</v>
      </c>
    </row>
    <row r="1021" spans="1:2">
      <c r="A1021" s="1">
        <v>43889</v>
      </c>
      <c r="B1021">
        <v>1.1299999999999999</v>
      </c>
    </row>
    <row r="1022" spans="1:2">
      <c r="A1022" s="1">
        <v>43892</v>
      </c>
      <c r="B1022">
        <v>1.1000000000000001</v>
      </c>
    </row>
    <row r="1023" spans="1:2">
      <c r="A1023" s="1">
        <v>43893</v>
      </c>
      <c r="B1023">
        <v>1.02</v>
      </c>
    </row>
    <row r="1024" spans="1:2">
      <c r="A1024" s="1">
        <v>43894</v>
      </c>
      <c r="B1024">
        <v>1.02</v>
      </c>
    </row>
    <row r="1025" spans="1:2">
      <c r="A1025" s="1">
        <v>43895</v>
      </c>
      <c r="B1025">
        <v>0.92</v>
      </c>
    </row>
    <row r="1026" spans="1:2">
      <c r="A1026" s="1">
        <v>43896</v>
      </c>
      <c r="B1026">
        <v>0.74</v>
      </c>
    </row>
    <row r="1027" spans="1:2">
      <c r="A1027" s="1">
        <v>43899</v>
      </c>
      <c r="B1027">
        <v>0.54</v>
      </c>
    </row>
    <row r="1028" spans="1:2">
      <c r="A1028" s="1">
        <v>43900</v>
      </c>
      <c r="B1028">
        <v>0.76</v>
      </c>
    </row>
    <row r="1029" spans="1:2">
      <c r="A1029" s="1">
        <v>43901</v>
      </c>
      <c r="B1029">
        <v>0.82</v>
      </c>
    </row>
    <row r="1030" spans="1:2">
      <c r="A1030" s="1">
        <v>43902</v>
      </c>
      <c r="B1030">
        <v>0.88</v>
      </c>
    </row>
    <row r="1031" spans="1:2">
      <c r="A1031" s="1">
        <v>43903</v>
      </c>
      <c r="B1031">
        <v>0.94</v>
      </c>
    </row>
    <row r="1032" spans="1:2">
      <c r="A1032" s="1">
        <v>43906</v>
      </c>
      <c r="B1032">
        <v>0.73</v>
      </c>
    </row>
    <row r="1033" spans="1:2">
      <c r="A1033" s="1">
        <v>43907</v>
      </c>
      <c r="B1033">
        <v>1.02</v>
      </c>
    </row>
    <row r="1034" spans="1:2">
      <c r="A1034" s="1">
        <v>43908</v>
      </c>
      <c r="B1034">
        <v>1.18</v>
      </c>
    </row>
    <row r="1035" spans="1:2">
      <c r="A1035" s="1">
        <v>43909</v>
      </c>
      <c r="B1035">
        <v>1.1200000000000001</v>
      </c>
    </row>
    <row r="1036" spans="1:2">
      <c r="A1036" s="1">
        <v>43910</v>
      </c>
      <c r="B1036">
        <v>0.92</v>
      </c>
    </row>
    <row r="1037" spans="1:2">
      <c r="A1037" s="1">
        <v>43913</v>
      </c>
      <c r="B1037">
        <v>0.76</v>
      </c>
    </row>
    <row r="1038" spans="1:2">
      <c r="A1038" s="1">
        <v>43914</v>
      </c>
      <c r="B1038">
        <v>0.84</v>
      </c>
    </row>
    <row r="1039" spans="1:2">
      <c r="A1039" s="1">
        <v>43915</v>
      </c>
      <c r="B1039">
        <v>0.88</v>
      </c>
    </row>
    <row r="1040" spans="1:2">
      <c r="A1040" s="1">
        <v>43916</v>
      </c>
      <c r="B1040">
        <v>0.83</v>
      </c>
    </row>
    <row r="1041" spans="1:2">
      <c r="A1041" s="1">
        <v>43917</v>
      </c>
      <c r="B1041">
        <v>0.72</v>
      </c>
    </row>
    <row r="1042" spans="1:2">
      <c r="A1042" s="1">
        <v>43920</v>
      </c>
      <c r="B1042">
        <v>0.7</v>
      </c>
    </row>
    <row r="1043" spans="1:2">
      <c r="A1043" s="1">
        <v>43921</v>
      </c>
      <c r="B1043">
        <v>0.7</v>
      </c>
    </row>
    <row r="1044" spans="1:2">
      <c r="A1044" s="1">
        <v>43922</v>
      </c>
      <c r="B1044">
        <v>0.62</v>
      </c>
    </row>
    <row r="1045" spans="1:2">
      <c r="A1045" s="1">
        <v>43923</v>
      </c>
      <c r="B1045">
        <v>0.63</v>
      </c>
    </row>
    <row r="1046" spans="1:2">
      <c r="A1046" s="1">
        <v>43924</v>
      </c>
      <c r="B1046">
        <v>0.62</v>
      </c>
    </row>
    <row r="1047" spans="1:2">
      <c r="A1047" s="1">
        <v>43927</v>
      </c>
      <c r="B1047">
        <v>0.67</v>
      </c>
    </row>
    <row r="1048" spans="1:2">
      <c r="A1048" s="1">
        <v>43928</v>
      </c>
      <c r="B1048">
        <v>0.75</v>
      </c>
    </row>
    <row r="1049" spans="1:2">
      <c r="A1049" s="1">
        <v>43929</v>
      </c>
      <c r="B1049">
        <v>0.77</v>
      </c>
    </row>
    <row r="1050" spans="1:2">
      <c r="A1050" s="1">
        <v>43930</v>
      </c>
      <c r="B1050">
        <v>0.73</v>
      </c>
    </row>
    <row r="1051" spans="1:2">
      <c r="A1051" s="1">
        <v>43931</v>
      </c>
    </row>
    <row r="1052" spans="1:2">
      <c r="A1052" s="1">
        <v>43934</v>
      </c>
      <c r="B1052">
        <v>0.76</v>
      </c>
    </row>
    <row r="1053" spans="1:2">
      <c r="A1053" s="1">
        <v>43935</v>
      </c>
      <c r="B1053">
        <v>0.76</v>
      </c>
    </row>
    <row r="1054" spans="1:2">
      <c r="A1054" s="1">
        <v>43936</v>
      </c>
      <c r="B1054">
        <v>0.63</v>
      </c>
    </row>
    <row r="1055" spans="1:2">
      <c r="A1055" s="1">
        <v>43937</v>
      </c>
      <c r="B1055">
        <v>0.61</v>
      </c>
    </row>
    <row r="1056" spans="1:2">
      <c r="A1056" s="1">
        <v>43938</v>
      </c>
      <c r="B1056">
        <v>0.65</v>
      </c>
    </row>
    <row r="1057" spans="1:2">
      <c r="A1057" s="1">
        <v>43941</v>
      </c>
      <c r="B1057">
        <v>0.63</v>
      </c>
    </row>
    <row r="1058" spans="1:2">
      <c r="A1058" s="1">
        <v>43942</v>
      </c>
      <c r="B1058">
        <v>0.57999999999999996</v>
      </c>
    </row>
    <row r="1059" spans="1:2">
      <c r="A1059" s="1">
        <v>43943</v>
      </c>
      <c r="B1059">
        <v>0.63</v>
      </c>
    </row>
    <row r="1060" spans="1:2">
      <c r="A1060" s="1">
        <v>43944</v>
      </c>
      <c r="B1060">
        <v>0.61</v>
      </c>
    </row>
    <row r="1061" spans="1:2">
      <c r="A1061" s="1">
        <v>43945</v>
      </c>
      <c r="B1061">
        <v>0.6</v>
      </c>
    </row>
    <row r="1062" spans="1:2">
      <c r="A1062" s="1">
        <v>43948</v>
      </c>
      <c r="B1062">
        <v>0.67</v>
      </c>
    </row>
    <row r="1063" spans="1:2">
      <c r="A1063" s="1">
        <v>43949</v>
      </c>
      <c r="B1063">
        <v>0.62</v>
      </c>
    </row>
    <row r="1064" spans="1:2">
      <c r="A1064" s="1">
        <v>43950</v>
      </c>
      <c r="B1064">
        <v>0.63</v>
      </c>
    </row>
    <row r="1065" spans="1:2">
      <c r="A1065" s="1">
        <v>43951</v>
      </c>
      <c r="B1065">
        <v>0.64</v>
      </c>
    </row>
    <row r="1066" spans="1:2">
      <c r="A1066" s="1">
        <v>43952</v>
      </c>
      <c r="B1066">
        <v>0.64</v>
      </c>
    </row>
    <row r="1067" spans="1:2">
      <c r="A1067" s="1">
        <v>43955</v>
      </c>
      <c r="B1067">
        <v>0.64</v>
      </c>
    </row>
    <row r="1068" spans="1:2">
      <c r="A1068" s="1">
        <v>43956</v>
      </c>
      <c r="B1068">
        <v>0.66</v>
      </c>
    </row>
    <row r="1069" spans="1:2">
      <c r="A1069" s="1">
        <v>43957</v>
      </c>
      <c r="B1069">
        <v>0.72</v>
      </c>
    </row>
    <row r="1070" spans="1:2">
      <c r="A1070" s="1">
        <v>43958</v>
      </c>
      <c r="B1070">
        <v>0.63</v>
      </c>
    </row>
    <row r="1071" spans="1:2">
      <c r="A1071" s="1">
        <v>43959</v>
      </c>
      <c r="B1071">
        <v>0.69</v>
      </c>
    </row>
    <row r="1072" spans="1:2">
      <c r="A1072" s="1">
        <v>43962</v>
      </c>
      <c r="B1072">
        <v>0.73</v>
      </c>
    </row>
    <row r="1073" spans="1:2">
      <c r="A1073" s="1">
        <v>43963</v>
      </c>
      <c r="B1073">
        <v>0.69</v>
      </c>
    </row>
    <row r="1074" spans="1:2">
      <c r="A1074" s="1">
        <v>43964</v>
      </c>
      <c r="B1074">
        <v>0.64</v>
      </c>
    </row>
    <row r="1075" spans="1:2">
      <c r="A1075" s="1">
        <v>43965</v>
      </c>
      <c r="B1075">
        <v>0.63</v>
      </c>
    </row>
    <row r="1076" spans="1:2">
      <c r="A1076" s="1">
        <v>43966</v>
      </c>
      <c r="B1076">
        <v>0.64</v>
      </c>
    </row>
    <row r="1077" spans="1:2">
      <c r="A1077" s="1">
        <v>43969</v>
      </c>
      <c r="B1077">
        <v>0.73</v>
      </c>
    </row>
    <row r="1078" spans="1:2">
      <c r="A1078" s="1">
        <v>43970</v>
      </c>
      <c r="B1078">
        <v>0.7</v>
      </c>
    </row>
    <row r="1079" spans="1:2">
      <c r="A1079" s="1">
        <v>43971</v>
      </c>
      <c r="B1079">
        <v>0.68</v>
      </c>
    </row>
    <row r="1080" spans="1:2">
      <c r="A1080" s="1">
        <v>43972</v>
      </c>
      <c r="B1080">
        <v>0.68</v>
      </c>
    </row>
    <row r="1081" spans="1:2">
      <c r="A1081" s="1">
        <v>43973</v>
      </c>
      <c r="B1081">
        <v>0.66</v>
      </c>
    </row>
    <row r="1082" spans="1:2">
      <c r="A1082" s="1">
        <v>43976</v>
      </c>
    </row>
    <row r="1083" spans="1:2">
      <c r="A1083" s="1">
        <v>43977</v>
      </c>
      <c r="B1083">
        <v>0.69</v>
      </c>
    </row>
    <row r="1084" spans="1:2">
      <c r="A1084" s="1">
        <v>43978</v>
      </c>
      <c r="B1084">
        <v>0.68</v>
      </c>
    </row>
    <row r="1085" spans="1:2">
      <c r="A1085" s="1">
        <v>43979</v>
      </c>
      <c r="B1085">
        <v>0.7</v>
      </c>
    </row>
    <row r="1086" spans="1:2">
      <c r="A1086" s="1">
        <v>43980</v>
      </c>
      <c r="B1086">
        <v>0.65</v>
      </c>
    </row>
    <row r="1087" spans="1:2">
      <c r="A1087" s="1">
        <v>43983</v>
      </c>
      <c r="B1087">
        <v>0.66</v>
      </c>
    </row>
    <row r="1088" spans="1:2">
      <c r="A1088" s="1">
        <v>43984</v>
      </c>
      <c r="B1088">
        <v>0.68</v>
      </c>
    </row>
    <row r="1089" spans="1:2">
      <c r="A1089" s="1">
        <v>43985</v>
      </c>
      <c r="B1089">
        <v>0.77</v>
      </c>
    </row>
    <row r="1090" spans="1:2">
      <c r="A1090" s="1">
        <v>43986</v>
      </c>
      <c r="B1090">
        <v>0.82</v>
      </c>
    </row>
    <row r="1091" spans="1:2">
      <c r="A1091" s="1">
        <v>43987</v>
      </c>
      <c r="B1091">
        <v>0.91</v>
      </c>
    </row>
    <row r="1092" spans="1:2">
      <c r="A1092" s="1">
        <v>43990</v>
      </c>
      <c r="B1092">
        <v>0.88</v>
      </c>
    </row>
    <row r="1093" spans="1:2">
      <c r="A1093" s="1">
        <v>43991</v>
      </c>
      <c r="B1093">
        <v>0.84</v>
      </c>
    </row>
    <row r="1094" spans="1:2">
      <c r="A1094" s="1">
        <v>43992</v>
      </c>
      <c r="B1094">
        <v>0.75</v>
      </c>
    </row>
    <row r="1095" spans="1:2">
      <c r="A1095" s="1">
        <v>43993</v>
      </c>
      <c r="B1095">
        <v>0.66</v>
      </c>
    </row>
    <row r="1096" spans="1:2">
      <c r="A1096" s="1">
        <v>43994</v>
      </c>
      <c r="B1096">
        <v>0.71</v>
      </c>
    </row>
    <row r="1097" spans="1:2">
      <c r="A1097" s="1">
        <v>43997</v>
      </c>
      <c r="B1097">
        <v>0.71</v>
      </c>
    </row>
    <row r="1098" spans="1:2">
      <c r="A1098" s="1">
        <v>43998</v>
      </c>
      <c r="B1098">
        <v>0.75</v>
      </c>
    </row>
    <row r="1099" spans="1:2">
      <c r="A1099" s="1">
        <v>43999</v>
      </c>
      <c r="B1099">
        <v>0.74</v>
      </c>
    </row>
    <row r="1100" spans="1:2">
      <c r="A1100" s="1">
        <v>44000</v>
      </c>
      <c r="B1100">
        <v>0.71</v>
      </c>
    </row>
    <row r="1101" spans="1:2">
      <c r="A1101" s="1">
        <v>44001</v>
      </c>
      <c r="B1101">
        <v>0.7</v>
      </c>
    </row>
    <row r="1102" spans="1:2">
      <c r="A1102" s="1">
        <v>44004</v>
      </c>
      <c r="B1102">
        <v>0.71</v>
      </c>
    </row>
    <row r="1103" spans="1:2">
      <c r="A1103" s="1">
        <v>44005</v>
      </c>
      <c r="B1103">
        <v>0.72</v>
      </c>
    </row>
    <row r="1104" spans="1:2">
      <c r="A1104" s="1">
        <v>44006</v>
      </c>
      <c r="B1104">
        <v>0.69</v>
      </c>
    </row>
    <row r="1105" spans="1:2">
      <c r="A1105" s="1">
        <v>44007</v>
      </c>
      <c r="B1105">
        <v>0.68</v>
      </c>
    </row>
    <row r="1106" spans="1:2">
      <c r="A1106" s="1">
        <v>44008</v>
      </c>
      <c r="B1106">
        <v>0.64</v>
      </c>
    </row>
    <row r="1107" spans="1:2">
      <c r="A1107" s="1">
        <v>44011</v>
      </c>
      <c r="B1107">
        <v>0.64</v>
      </c>
    </row>
    <row r="1108" spans="1:2">
      <c r="A1108" s="1">
        <v>44012</v>
      </c>
      <c r="B1108">
        <v>0.66</v>
      </c>
    </row>
    <row r="1109" spans="1:2">
      <c r="A1109" s="1">
        <v>44013</v>
      </c>
      <c r="B1109">
        <v>0.69</v>
      </c>
    </row>
    <row r="1110" spans="1:2">
      <c r="A1110" s="1">
        <v>44014</v>
      </c>
      <c r="B1110">
        <v>0.68</v>
      </c>
    </row>
    <row r="1111" spans="1:2">
      <c r="A1111" s="1">
        <v>44015</v>
      </c>
    </row>
    <row r="1112" spans="1:2">
      <c r="A1112" s="1">
        <v>44018</v>
      </c>
      <c r="B1112">
        <v>0.69</v>
      </c>
    </row>
    <row r="1113" spans="1:2">
      <c r="A1113" s="1">
        <v>44019</v>
      </c>
      <c r="B1113">
        <v>0.65</v>
      </c>
    </row>
    <row r="1114" spans="1:2">
      <c r="A1114" s="1">
        <v>44020</v>
      </c>
      <c r="B1114">
        <v>0.67</v>
      </c>
    </row>
    <row r="1115" spans="1:2">
      <c r="A1115" s="1">
        <v>44021</v>
      </c>
      <c r="B1115">
        <v>0.62</v>
      </c>
    </row>
    <row r="1116" spans="1:2">
      <c r="A1116" s="1">
        <v>44022</v>
      </c>
      <c r="B1116">
        <v>0.65</v>
      </c>
    </row>
    <row r="1117" spans="1:2">
      <c r="A1117" s="1">
        <v>44025</v>
      </c>
      <c r="B1117">
        <v>0.64</v>
      </c>
    </row>
    <row r="1118" spans="1:2">
      <c r="A1118" s="1">
        <v>44026</v>
      </c>
      <c r="B1118">
        <v>0.63</v>
      </c>
    </row>
    <row r="1119" spans="1:2">
      <c r="A1119" s="1">
        <v>44027</v>
      </c>
      <c r="B1119">
        <v>0.64</v>
      </c>
    </row>
    <row r="1120" spans="1:2">
      <c r="A1120" s="1">
        <v>44028</v>
      </c>
      <c r="B1120">
        <v>0.62</v>
      </c>
    </row>
    <row r="1121" spans="1:2">
      <c r="A1121" s="1">
        <v>44029</v>
      </c>
      <c r="B1121">
        <v>0.64</v>
      </c>
    </row>
    <row r="1122" spans="1:2">
      <c r="A1122" s="1">
        <v>44032</v>
      </c>
      <c r="B1122">
        <v>0.62</v>
      </c>
    </row>
    <row r="1123" spans="1:2">
      <c r="A1123" s="1">
        <v>44033</v>
      </c>
      <c r="B1123">
        <v>0.61</v>
      </c>
    </row>
    <row r="1124" spans="1:2">
      <c r="A1124" s="1">
        <v>44034</v>
      </c>
      <c r="B1124">
        <v>0.6</v>
      </c>
    </row>
    <row r="1125" spans="1:2">
      <c r="A1125" s="1">
        <v>44035</v>
      </c>
      <c r="B1125">
        <v>0.59</v>
      </c>
    </row>
    <row r="1126" spans="1:2">
      <c r="A1126" s="1">
        <v>44036</v>
      </c>
      <c r="B1126">
        <v>0.59</v>
      </c>
    </row>
    <row r="1127" spans="1:2">
      <c r="A1127" s="1">
        <v>44039</v>
      </c>
      <c r="B1127">
        <v>0.62</v>
      </c>
    </row>
    <row r="1128" spans="1:2">
      <c r="A1128" s="1">
        <v>44040</v>
      </c>
      <c r="B1128">
        <v>0.59</v>
      </c>
    </row>
    <row r="1129" spans="1:2">
      <c r="A1129" s="1">
        <v>44041</v>
      </c>
      <c r="B1129">
        <v>0.57999999999999996</v>
      </c>
    </row>
    <row r="1130" spans="1:2">
      <c r="A1130" s="1">
        <v>44042</v>
      </c>
      <c r="B1130">
        <v>0.55000000000000004</v>
      </c>
    </row>
    <row r="1131" spans="1:2">
      <c r="A1131" s="1">
        <v>44043</v>
      </c>
      <c r="B1131">
        <v>0.55000000000000004</v>
      </c>
    </row>
    <row r="1132" spans="1:2">
      <c r="A1132" s="1">
        <v>44046</v>
      </c>
      <c r="B1132">
        <v>0.56000000000000005</v>
      </c>
    </row>
    <row r="1133" spans="1:2">
      <c r="A1133" s="1">
        <v>44047</v>
      </c>
      <c r="B1133">
        <v>0.52</v>
      </c>
    </row>
    <row r="1134" spans="1:2">
      <c r="A1134" s="1">
        <v>44048</v>
      </c>
      <c r="B1134">
        <v>0.55000000000000004</v>
      </c>
    </row>
    <row r="1135" spans="1:2">
      <c r="A1135" s="1">
        <v>44049</v>
      </c>
      <c r="B1135">
        <v>0.55000000000000004</v>
      </c>
    </row>
    <row r="1136" spans="1:2">
      <c r="A1136" s="1">
        <v>44050</v>
      </c>
      <c r="B1136">
        <v>0.56999999999999995</v>
      </c>
    </row>
    <row r="1137" spans="1:2">
      <c r="A1137" s="1">
        <v>44053</v>
      </c>
      <c r="B1137">
        <v>0.59</v>
      </c>
    </row>
    <row r="1138" spans="1:2">
      <c r="A1138" s="1">
        <v>44054</v>
      </c>
      <c r="B1138">
        <v>0.64</v>
      </c>
    </row>
    <row r="1139" spans="1:2">
      <c r="A1139" s="1">
        <v>44055</v>
      </c>
      <c r="B1139">
        <v>0.69</v>
      </c>
    </row>
    <row r="1140" spans="1:2">
      <c r="A1140" s="1">
        <v>44056</v>
      </c>
      <c r="B1140">
        <v>0.71</v>
      </c>
    </row>
    <row r="1141" spans="1:2">
      <c r="A1141" s="1">
        <v>44057</v>
      </c>
      <c r="B1141">
        <v>0.71</v>
      </c>
    </row>
    <row r="1142" spans="1:2">
      <c r="A1142" s="1">
        <v>44060</v>
      </c>
      <c r="B1142">
        <v>0.69</v>
      </c>
    </row>
    <row r="1143" spans="1:2">
      <c r="A1143" s="1">
        <v>44061</v>
      </c>
      <c r="B1143">
        <v>0.67</v>
      </c>
    </row>
    <row r="1144" spans="1:2">
      <c r="A1144" s="1">
        <v>44062</v>
      </c>
      <c r="B1144">
        <v>0.68</v>
      </c>
    </row>
    <row r="1145" spans="1:2">
      <c r="A1145" s="1">
        <v>44063</v>
      </c>
      <c r="B1145">
        <v>0.65</v>
      </c>
    </row>
    <row r="1146" spans="1:2">
      <c r="A1146" s="1">
        <v>44064</v>
      </c>
      <c r="B1146">
        <v>0.64</v>
      </c>
    </row>
    <row r="1147" spans="1:2">
      <c r="A1147" s="1">
        <v>44067</v>
      </c>
      <c r="B1147">
        <v>0.65</v>
      </c>
    </row>
    <row r="1148" spans="1:2">
      <c r="A1148" s="1">
        <v>44068</v>
      </c>
      <c r="B1148">
        <v>0.69</v>
      </c>
    </row>
    <row r="1149" spans="1:2">
      <c r="A1149" s="1">
        <v>44069</v>
      </c>
      <c r="B1149">
        <v>0.69</v>
      </c>
    </row>
    <row r="1150" spans="1:2">
      <c r="A1150" s="1">
        <v>44070</v>
      </c>
      <c r="B1150">
        <v>0.74</v>
      </c>
    </row>
    <row r="1151" spans="1:2">
      <c r="A1151" s="1">
        <v>44071</v>
      </c>
      <c r="B1151">
        <v>0.74</v>
      </c>
    </row>
    <row r="1152" spans="1:2">
      <c r="A1152" s="1">
        <v>44074</v>
      </c>
      <c r="B1152">
        <v>0.72</v>
      </c>
    </row>
    <row r="1153" spans="1:2">
      <c r="A1153" s="1">
        <v>44075</v>
      </c>
      <c r="B1153">
        <v>0.68</v>
      </c>
    </row>
    <row r="1154" spans="1:2">
      <c r="A1154" s="1">
        <v>44076</v>
      </c>
      <c r="B1154">
        <v>0.66</v>
      </c>
    </row>
    <row r="1155" spans="1:2">
      <c r="A1155" s="1">
        <v>44077</v>
      </c>
      <c r="B1155">
        <v>0.63</v>
      </c>
    </row>
    <row r="1156" spans="1:2">
      <c r="A1156" s="1">
        <v>44078</v>
      </c>
      <c r="B1156">
        <v>0.72</v>
      </c>
    </row>
    <row r="1157" spans="1:2">
      <c r="A1157" s="1">
        <v>44081</v>
      </c>
    </row>
    <row r="1158" spans="1:2">
      <c r="A1158" s="1">
        <v>44082</v>
      </c>
      <c r="B1158">
        <v>0.69</v>
      </c>
    </row>
    <row r="1159" spans="1:2">
      <c r="A1159" s="1">
        <v>44083</v>
      </c>
      <c r="B1159">
        <v>0.71</v>
      </c>
    </row>
    <row r="1160" spans="1:2">
      <c r="A1160" s="1">
        <v>44084</v>
      </c>
      <c r="B1160">
        <v>0.68</v>
      </c>
    </row>
    <row r="1161" spans="1:2">
      <c r="A1161" s="1">
        <v>44085</v>
      </c>
      <c r="B1161">
        <v>0.67</v>
      </c>
    </row>
    <row r="1162" spans="1:2">
      <c r="A1162" s="1">
        <v>44088</v>
      </c>
      <c r="B1162">
        <v>0.68</v>
      </c>
    </row>
    <row r="1163" spans="1:2">
      <c r="A1163" s="1">
        <v>44089</v>
      </c>
      <c r="B1163">
        <v>0.68</v>
      </c>
    </row>
    <row r="1164" spans="1:2">
      <c r="A1164" s="1">
        <v>44090</v>
      </c>
      <c r="B1164">
        <v>0.69</v>
      </c>
    </row>
    <row r="1165" spans="1:2">
      <c r="A1165" s="1">
        <v>44091</v>
      </c>
      <c r="B1165">
        <v>0.69</v>
      </c>
    </row>
    <row r="1166" spans="1:2">
      <c r="A1166" s="1">
        <v>44092</v>
      </c>
      <c r="B1166">
        <v>0.7</v>
      </c>
    </row>
    <row r="1167" spans="1:2">
      <c r="A1167" s="1">
        <v>44095</v>
      </c>
      <c r="B1167">
        <v>0.68</v>
      </c>
    </row>
    <row r="1168" spans="1:2">
      <c r="A1168" s="1">
        <v>44096</v>
      </c>
      <c r="B1168">
        <v>0.68</v>
      </c>
    </row>
    <row r="1169" spans="1:2">
      <c r="A1169" s="1">
        <v>44097</v>
      </c>
      <c r="B1169">
        <v>0.68</v>
      </c>
    </row>
    <row r="1170" spans="1:2">
      <c r="A1170" s="1">
        <v>44098</v>
      </c>
      <c r="B1170">
        <v>0.67</v>
      </c>
    </row>
    <row r="1171" spans="1:2">
      <c r="A1171" s="1">
        <v>44099</v>
      </c>
      <c r="B1171">
        <v>0.66</v>
      </c>
    </row>
    <row r="1172" spans="1:2">
      <c r="A1172" s="1">
        <v>44102</v>
      </c>
      <c r="B1172">
        <v>0.67</v>
      </c>
    </row>
    <row r="1173" spans="1:2">
      <c r="A1173" s="1">
        <v>44103</v>
      </c>
      <c r="B1173">
        <v>0.66</v>
      </c>
    </row>
    <row r="1174" spans="1:2">
      <c r="A1174" s="1">
        <v>44104</v>
      </c>
      <c r="B1174">
        <v>0.69</v>
      </c>
    </row>
    <row r="1175" spans="1:2">
      <c r="A1175" s="1">
        <v>44105</v>
      </c>
      <c r="B1175">
        <v>0.68</v>
      </c>
    </row>
    <row r="1176" spans="1:2">
      <c r="A1176" s="1">
        <v>44106</v>
      </c>
      <c r="B1176">
        <v>0.7</v>
      </c>
    </row>
    <row r="1177" spans="1:2">
      <c r="A1177" s="1">
        <v>44109</v>
      </c>
      <c r="B1177">
        <v>0.78</v>
      </c>
    </row>
    <row r="1178" spans="1:2">
      <c r="A1178" s="1">
        <v>44110</v>
      </c>
      <c r="B1178">
        <v>0.76</v>
      </c>
    </row>
    <row r="1179" spans="1:2">
      <c r="A1179" s="1">
        <v>44111</v>
      </c>
      <c r="B1179">
        <v>0.81</v>
      </c>
    </row>
    <row r="1180" spans="1:2">
      <c r="A1180" s="1">
        <v>44112</v>
      </c>
      <c r="B1180">
        <v>0.78</v>
      </c>
    </row>
    <row r="1181" spans="1:2">
      <c r="A1181" s="1">
        <v>44113</v>
      </c>
      <c r="B1181">
        <v>0.79</v>
      </c>
    </row>
    <row r="1182" spans="1:2">
      <c r="A1182" s="1">
        <v>44116</v>
      </c>
    </row>
    <row r="1183" spans="1:2">
      <c r="A1183" s="1">
        <v>44117</v>
      </c>
      <c r="B1183">
        <v>0.74</v>
      </c>
    </row>
    <row r="1184" spans="1:2">
      <c r="A1184" s="1">
        <v>44118</v>
      </c>
      <c r="B1184">
        <v>0.73</v>
      </c>
    </row>
    <row r="1185" spans="1:2">
      <c r="A1185" s="1">
        <v>44119</v>
      </c>
      <c r="B1185">
        <v>0.74</v>
      </c>
    </row>
    <row r="1186" spans="1:2">
      <c r="A1186" s="1">
        <v>44120</v>
      </c>
      <c r="B1186">
        <v>0.76</v>
      </c>
    </row>
    <row r="1187" spans="1:2">
      <c r="A1187" s="1">
        <v>44123</v>
      </c>
      <c r="B1187">
        <v>0.78</v>
      </c>
    </row>
    <row r="1188" spans="1:2">
      <c r="A1188" s="1">
        <v>44124</v>
      </c>
      <c r="B1188">
        <v>0.81</v>
      </c>
    </row>
    <row r="1189" spans="1:2">
      <c r="A1189" s="1">
        <v>44125</v>
      </c>
      <c r="B1189">
        <v>0.83</v>
      </c>
    </row>
    <row r="1190" spans="1:2">
      <c r="A1190" s="1">
        <v>44126</v>
      </c>
      <c r="B1190">
        <v>0.87</v>
      </c>
    </row>
    <row r="1191" spans="1:2">
      <c r="A1191" s="1">
        <v>44127</v>
      </c>
      <c r="B1191">
        <v>0.85</v>
      </c>
    </row>
    <row r="1192" spans="1:2">
      <c r="A1192" s="1">
        <v>44130</v>
      </c>
      <c r="B1192">
        <v>0.81</v>
      </c>
    </row>
    <row r="1193" spans="1:2">
      <c r="A1193" s="1">
        <v>44131</v>
      </c>
      <c r="B1193">
        <v>0.79</v>
      </c>
    </row>
    <row r="1194" spans="1:2">
      <c r="A1194" s="1">
        <v>44132</v>
      </c>
      <c r="B1194">
        <v>0.79</v>
      </c>
    </row>
    <row r="1195" spans="1:2">
      <c r="A1195" s="1">
        <v>44133</v>
      </c>
      <c r="B1195">
        <v>0.85</v>
      </c>
    </row>
    <row r="1196" spans="1:2">
      <c r="A1196" s="1">
        <v>44134</v>
      </c>
      <c r="B1196">
        <v>0.88</v>
      </c>
    </row>
    <row r="1197" spans="1:2">
      <c r="A1197" s="1">
        <v>44137</v>
      </c>
      <c r="B1197">
        <v>0.87</v>
      </c>
    </row>
    <row r="1198" spans="1:2">
      <c r="A1198" s="1">
        <v>44138</v>
      </c>
      <c r="B1198">
        <v>0.9</v>
      </c>
    </row>
    <row r="1199" spans="1:2">
      <c r="A1199" s="1">
        <v>44139</v>
      </c>
      <c r="B1199">
        <v>0.78</v>
      </c>
    </row>
    <row r="1200" spans="1:2">
      <c r="A1200" s="1">
        <v>44140</v>
      </c>
      <c r="B1200">
        <v>0.79</v>
      </c>
    </row>
    <row r="1201" spans="1:2">
      <c r="A1201" s="1">
        <v>44141</v>
      </c>
      <c r="B1201">
        <v>0.83</v>
      </c>
    </row>
    <row r="1202" spans="1:2">
      <c r="A1202" s="1">
        <v>44144</v>
      </c>
      <c r="B1202">
        <v>0.96</v>
      </c>
    </row>
    <row r="1203" spans="1:2">
      <c r="A1203" s="1">
        <v>44145</v>
      </c>
      <c r="B1203">
        <v>0.98</v>
      </c>
    </row>
    <row r="1204" spans="1:2">
      <c r="A1204" s="1">
        <v>44146</v>
      </c>
    </row>
    <row r="1205" spans="1:2">
      <c r="A1205" s="1">
        <v>44147</v>
      </c>
      <c r="B1205">
        <v>0.88</v>
      </c>
    </row>
    <row r="1206" spans="1:2">
      <c r="A1206" s="1">
        <v>44148</v>
      </c>
      <c r="B1206">
        <v>0.89</v>
      </c>
    </row>
    <row r="1207" spans="1:2">
      <c r="A1207" s="1">
        <v>44151</v>
      </c>
      <c r="B1207">
        <v>0.91</v>
      </c>
    </row>
    <row r="1208" spans="1:2">
      <c r="A1208" s="1">
        <v>44152</v>
      </c>
      <c r="B1208">
        <v>0.87</v>
      </c>
    </row>
    <row r="1209" spans="1:2">
      <c r="A1209" s="1">
        <v>44153</v>
      </c>
      <c r="B1209">
        <v>0.88</v>
      </c>
    </row>
    <row r="1210" spans="1:2">
      <c r="A1210" s="1">
        <v>44154</v>
      </c>
      <c r="B1210">
        <v>0.86</v>
      </c>
    </row>
    <row r="1211" spans="1:2">
      <c r="A1211" s="1">
        <v>44155</v>
      </c>
      <c r="B1211">
        <v>0.83</v>
      </c>
    </row>
    <row r="1212" spans="1:2">
      <c r="A1212" s="1">
        <v>44158</v>
      </c>
      <c r="B1212">
        <v>0.86</v>
      </c>
    </row>
    <row r="1213" spans="1:2">
      <c r="A1213" s="1">
        <v>44159</v>
      </c>
      <c r="B1213">
        <v>0.88</v>
      </c>
    </row>
    <row r="1214" spans="1:2">
      <c r="A1214" s="1">
        <v>44160</v>
      </c>
      <c r="B1214">
        <v>0.88</v>
      </c>
    </row>
    <row r="1215" spans="1:2">
      <c r="A1215" s="1">
        <v>44161</v>
      </c>
    </row>
    <row r="1216" spans="1:2">
      <c r="A1216" s="1">
        <v>44162</v>
      </c>
      <c r="B1216">
        <v>0.84</v>
      </c>
    </row>
    <row r="1217" spans="1:2">
      <c r="A1217" s="1">
        <v>44165</v>
      </c>
      <c r="B1217">
        <v>0.84</v>
      </c>
    </row>
    <row r="1218" spans="1:2">
      <c r="A1218" s="1">
        <v>44166</v>
      </c>
      <c r="B1218">
        <v>0.92</v>
      </c>
    </row>
    <row r="1219" spans="1:2">
      <c r="A1219" s="1">
        <v>44167</v>
      </c>
      <c r="B1219">
        <v>0.95</v>
      </c>
    </row>
    <row r="1220" spans="1:2">
      <c r="A1220" s="1">
        <v>44168</v>
      </c>
      <c r="B1220">
        <v>0.92</v>
      </c>
    </row>
    <row r="1221" spans="1:2">
      <c r="A1221" s="1">
        <v>44169</v>
      </c>
      <c r="B1221">
        <v>0.97</v>
      </c>
    </row>
    <row r="1222" spans="1:2">
      <c r="A1222" s="1">
        <v>44172</v>
      </c>
      <c r="B1222">
        <v>0.94</v>
      </c>
    </row>
    <row r="1223" spans="1:2">
      <c r="A1223" s="1">
        <v>44173</v>
      </c>
      <c r="B1223">
        <v>0.92</v>
      </c>
    </row>
    <row r="1224" spans="1:2">
      <c r="A1224" s="1">
        <v>44174</v>
      </c>
      <c r="B1224">
        <v>0.95</v>
      </c>
    </row>
    <row r="1225" spans="1:2">
      <c r="A1225" s="1">
        <v>44175</v>
      </c>
      <c r="B1225">
        <v>0.92</v>
      </c>
    </row>
    <row r="1226" spans="1:2">
      <c r="A1226" s="1">
        <v>44176</v>
      </c>
      <c r="B1226">
        <v>0.9</v>
      </c>
    </row>
    <row r="1227" spans="1:2">
      <c r="A1227" s="1">
        <v>44179</v>
      </c>
      <c r="B1227">
        <v>0.9</v>
      </c>
    </row>
    <row r="1228" spans="1:2">
      <c r="A1228" s="1">
        <v>44180</v>
      </c>
      <c r="B1228">
        <v>0.92</v>
      </c>
    </row>
    <row r="1229" spans="1:2">
      <c r="A1229" s="1">
        <v>44181</v>
      </c>
      <c r="B1229">
        <v>0.92</v>
      </c>
    </row>
    <row r="1230" spans="1:2">
      <c r="A1230" s="1">
        <v>44182</v>
      </c>
      <c r="B1230">
        <v>0.94</v>
      </c>
    </row>
    <row r="1231" spans="1:2">
      <c r="A1231" s="1">
        <v>44183</v>
      </c>
      <c r="B1231">
        <v>0.95</v>
      </c>
    </row>
    <row r="1232" spans="1:2">
      <c r="A1232" s="1">
        <v>44186</v>
      </c>
      <c r="B1232">
        <v>0.95</v>
      </c>
    </row>
    <row r="1233" spans="1:2">
      <c r="A1233" s="1">
        <v>44187</v>
      </c>
      <c r="B1233">
        <v>0.93</v>
      </c>
    </row>
    <row r="1234" spans="1:2">
      <c r="A1234" s="1">
        <v>44188</v>
      </c>
      <c r="B1234">
        <v>0.96</v>
      </c>
    </row>
    <row r="1235" spans="1:2">
      <c r="A1235" s="1">
        <v>44189</v>
      </c>
      <c r="B1235">
        <v>0.94</v>
      </c>
    </row>
    <row r="1236" spans="1:2">
      <c r="A1236" s="1">
        <v>44190</v>
      </c>
    </row>
    <row r="1237" spans="1:2">
      <c r="A1237" s="1">
        <v>44193</v>
      </c>
      <c r="B1237">
        <v>0.94</v>
      </c>
    </row>
    <row r="1238" spans="1:2">
      <c r="A1238" s="1">
        <v>44194</v>
      </c>
      <c r="B1238">
        <v>0.94</v>
      </c>
    </row>
    <row r="1239" spans="1:2">
      <c r="A1239" s="1">
        <v>44195</v>
      </c>
      <c r="B1239">
        <v>0.93</v>
      </c>
    </row>
    <row r="1240" spans="1:2">
      <c r="A1240" s="1">
        <v>44196</v>
      </c>
      <c r="B1240">
        <v>0.93</v>
      </c>
    </row>
    <row r="1241" spans="1:2">
      <c r="A1241" s="1">
        <v>44197</v>
      </c>
    </row>
    <row r="1242" spans="1:2">
      <c r="A1242" s="1">
        <v>44200</v>
      </c>
      <c r="B1242">
        <v>0.93</v>
      </c>
    </row>
    <row r="1243" spans="1:2">
      <c r="A1243" s="1">
        <v>44201</v>
      </c>
      <c r="B1243">
        <v>0.96</v>
      </c>
    </row>
    <row r="1244" spans="1:2">
      <c r="A1244" s="1">
        <v>44202</v>
      </c>
      <c r="B1244">
        <v>1.04</v>
      </c>
    </row>
    <row r="1245" spans="1:2">
      <c r="A1245" s="1">
        <v>44203</v>
      </c>
      <c r="B1245">
        <v>1.08</v>
      </c>
    </row>
    <row r="1246" spans="1:2">
      <c r="A1246" s="1">
        <v>44204</v>
      </c>
      <c r="B1246">
        <v>1.1299999999999999</v>
      </c>
    </row>
    <row r="1247" spans="1:2">
      <c r="A1247" s="1">
        <v>44207</v>
      </c>
      <c r="B1247">
        <v>1.1499999999999999</v>
      </c>
    </row>
    <row r="1248" spans="1:2">
      <c r="A1248" s="1">
        <v>44208</v>
      </c>
      <c r="B1248">
        <v>1.1499999999999999</v>
      </c>
    </row>
    <row r="1249" spans="1:2">
      <c r="A1249" s="1">
        <v>44209</v>
      </c>
      <c r="B1249">
        <v>1.1000000000000001</v>
      </c>
    </row>
    <row r="1250" spans="1:2">
      <c r="A1250" s="1">
        <v>44210</v>
      </c>
      <c r="B1250">
        <v>1.1499999999999999</v>
      </c>
    </row>
    <row r="1251" spans="1:2">
      <c r="A1251" s="1">
        <v>44211</v>
      </c>
      <c r="B1251">
        <v>1.1100000000000001</v>
      </c>
    </row>
    <row r="1252" spans="1:2">
      <c r="A1252" s="1">
        <v>44214</v>
      </c>
    </row>
    <row r="1253" spans="1:2">
      <c r="A1253" s="1">
        <v>44215</v>
      </c>
      <c r="B1253">
        <v>1.1000000000000001</v>
      </c>
    </row>
    <row r="1254" spans="1:2">
      <c r="A1254" s="1">
        <v>44216</v>
      </c>
      <c r="B1254">
        <v>1.1000000000000001</v>
      </c>
    </row>
    <row r="1255" spans="1:2">
      <c r="A1255" s="1">
        <v>44217</v>
      </c>
      <c r="B1255">
        <v>1.1200000000000001</v>
      </c>
    </row>
    <row r="1256" spans="1:2">
      <c r="A1256" s="1">
        <v>44218</v>
      </c>
      <c r="B1256">
        <v>1.1000000000000001</v>
      </c>
    </row>
    <row r="1257" spans="1:2">
      <c r="A1257" s="1">
        <v>44221</v>
      </c>
      <c r="B1257">
        <v>1.05</v>
      </c>
    </row>
    <row r="1258" spans="1:2">
      <c r="A1258" s="1">
        <v>44222</v>
      </c>
      <c r="B1258">
        <v>1.05</v>
      </c>
    </row>
    <row r="1259" spans="1:2">
      <c r="A1259" s="1">
        <v>44223</v>
      </c>
      <c r="B1259">
        <v>1.04</v>
      </c>
    </row>
    <row r="1260" spans="1:2">
      <c r="A1260" s="1">
        <v>44224</v>
      </c>
      <c r="B1260">
        <v>1.07</v>
      </c>
    </row>
    <row r="1261" spans="1:2">
      <c r="A1261" s="1">
        <v>44225</v>
      </c>
      <c r="B1261">
        <v>1.1100000000000001</v>
      </c>
    </row>
    <row r="1262" spans="1:2">
      <c r="A1262" s="1">
        <v>44228</v>
      </c>
      <c r="B1262">
        <v>1.0900000000000001</v>
      </c>
    </row>
    <row r="1263" spans="1:2">
      <c r="A1263" s="1">
        <v>44229</v>
      </c>
      <c r="B1263">
        <v>1.1200000000000001</v>
      </c>
    </row>
    <row r="1264" spans="1:2">
      <c r="A1264" s="1">
        <v>44230</v>
      </c>
      <c r="B1264">
        <v>1.1499999999999999</v>
      </c>
    </row>
    <row r="1265" spans="1:2">
      <c r="A1265" s="1">
        <v>44231</v>
      </c>
      <c r="B1265">
        <v>1.1499999999999999</v>
      </c>
    </row>
    <row r="1266" spans="1:2">
      <c r="A1266" s="1">
        <v>44232</v>
      </c>
      <c r="B1266">
        <v>1.19</v>
      </c>
    </row>
    <row r="1267" spans="1:2">
      <c r="A1267" s="1">
        <v>44235</v>
      </c>
      <c r="B1267">
        <v>1.19</v>
      </c>
    </row>
    <row r="1268" spans="1:2">
      <c r="A1268" s="1">
        <v>44236</v>
      </c>
      <c r="B1268">
        <v>1.18</v>
      </c>
    </row>
    <row r="1269" spans="1:2">
      <c r="A1269" s="1">
        <v>44237</v>
      </c>
      <c r="B1269">
        <v>1.1499999999999999</v>
      </c>
    </row>
    <row r="1270" spans="1:2">
      <c r="A1270" s="1">
        <v>44238</v>
      </c>
      <c r="B1270">
        <v>1.1599999999999999</v>
      </c>
    </row>
    <row r="1271" spans="1:2">
      <c r="A1271" s="1">
        <v>44239</v>
      </c>
      <c r="B1271">
        <v>1.2</v>
      </c>
    </row>
    <row r="1272" spans="1:2">
      <c r="A1272" s="1">
        <v>44242</v>
      </c>
    </row>
    <row r="1273" spans="1:2">
      <c r="A1273" s="1">
        <v>44243</v>
      </c>
      <c r="B1273">
        <v>1.3</v>
      </c>
    </row>
    <row r="1274" spans="1:2">
      <c r="A1274" s="1">
        <v>44244</v>
      </c>
      <c r="B1274">
        <v>1.29</v>
      </c>
    </row>
    <row r="1275" spans="1:2">
      <c r="A1275" s="1">
        <v>44245</v>
      </c>
      <c r="B1275">
        <v>1.29</v>
      </c>
    </row>
    <row r="1276" spans="1:2">
      <c r="A1276" s="1">
        <v>44246</v>
      </c>
      <c r="B1276">
        <v>1.34</v>
      </c>
    </row>
    <row r="1277" spans="1:2">
      <c r="A1277" s="1">
        <v>44249</v>
      </c>
      <c r="B1277">
        <v>1.37</v>
      </c>
    </row>
    <row r="1278" spans="1:2">
      <c r="A1278" s="1">
        <v>44250</v>
      </c>
      <c r="B1278">
        <v>1.37</v>
      </c>
    </row>
    <row r="1279" spans="1:2">
      <c r="A1279" s="1">
        <v>44251</v>
      </c>
      <c r="B1279">
        <v>1.38</v>
      </c>
    </row>
    <row r="1280" spans="1:2">
      <c r="A1280" s="1">
        <v>44252</v>
      </c>
      <c r="B1280">
        <v>1.54</v>
      </c>
    </row>
    <row r="1281" spans="1:2">
      <c r="A1281" s="1">
        <v>44253</v>
      </c>
      <c r="B1281">
        <v>1.44</v>
      </c>
    </row>
    <row r="1282" spans="1:2">
      <c r="A1282" s="1">
        <v>44256</v>
      </c>
      <c r="B1282">
        <v>1.45</v>
      </c>
    </row>
    <row r="1283" spans="1:2">
      <c r="A1283" s="1">
        <v>44257</v>
      </c>
      <c r="B1283">
        <v>1.42</v>
      </c>
    </row>
    <row r="1284" spans="1:2">
      <c r="A1284" s="1">
        <v>44258</v>
      </c>
      <c r="B1284">
        <v>1.47</v>
      </c>
    </row>
    <row r="1285" spans="1:2">
      <c r="A1285" s="1">
        <v>44259</v>
      </c>
      <c r="B1285">
        <v>1.54</v>
      </c>
    </row>
    <row r="1286" spans="1:2">
      <c r="A1286" s="1">
        <v>44260</v>
      </c>
      <c r="B1286">
        <v>1.56</v>
      </c>
    </row>
    <row r="1287" spans="1:2">
      <c r="A1287" s="1">
        <v>44263</v>
      </c>
      <c r="B1287">
        <v>1.59</v>
      </c>
    </row>
    <row r="1288" spans="1:2">
      <c r="A1288" s="1">
        <v>44264</v>
      </c>
      <c r="B1288">
        <v>1.55</v>
      </c>
    </row>
    <row r="1289" spans="1:2">
      <c r="A1289" s="1">
        <v>44265</v>
      </c>
      <c r="B1289">
        <v>1.53</v>
      </c>
    </row>
    <row r="1290" spans="1:2">
      <c r="A1290" s="1">
        <v>44266</v>
      </c>
      <c r="B1290">
        <v>1.54</v>
      </c>
    </row>
    <row r="1291" spans="1:2">
      <c r="A1291" s="1">
        <v>44267</v>
      </c>
      <c r="B1291">
        <v>1.64</v>
      </c>
    </row>
    <row r="1292" spans="1:2">
      <c r="A1292" s="1">
        <v>44270</v>
      </c>
      <c r="B1292">
        <v>1.62</v>
      </c>
    </row>
    <row r="1293" spans="1:2">
      <c r="A1293" s="1">
        <v>44271</v>
      </c>
      <c r="B1293">
        <v>1.62</v>
      </c>
    </row>
    <row r="1294" spans="1:2">
      <c r="A1294" s="1">
        <v>44272</v>
      </c>
      <c r="B1294">
        <v>1.63</v>
      </c>
    </row>
    <row r="1295" spans="1:2">
      <c r="A1295" s="1">
        <v>44273</v>
      </c>
      <c r="B1295">
        <v>1.71</v>
      </c>
    </row>
    <row r="1296" spans="1:2">
      <c r="A1296" s="1">
        <v>44274</v>
      </c>
      <c r="B1296">
        <v>1.74</v>
      </c>
    </row>
    <row r="1297" spans="1:2">
      <c r="A1297" s="1">
        <v>44277</v>
      </c>
      <c r="B1297">
        <v>1.69</v>
      </c>
    </row>
    <row r="1298" spans="1:2">
      <c r="A1298" s="1">
        <v>44278</v>
      </c>
      <c r="B1298">
        <v>1.63</v>
      </c>
    </row>
    <row r="1299" spans="1:2">
      <c r="A1299" s="1">
        <v>44279</v>
      </c>
      <c r="B1299">
        <v>1.62</v>
      </c>
    </row>
    <row r="1300" spans="1:2">
      <c r="A1300" s="1">
        <v>44280</v>
      </c>
      <c r="B1300">
        <v>1.63</v>
      </c>
    </row>
    <row r="1301" spans="1:2">
      <c r="A1301" s="1">
        <v>44281</v>
      </c>
      <c r="B1301">
        <v>1.67</v>
      </c>
    </row>
    <row r="1302" spans="1:2">
      <c r="A1302" s="1">
        <v>44284</v>
      </c>
      <c r="B1302">
        <v>1.73</v>
      </c>
    </row>
    <row r="1303" spans="1:2">
      <c r="A1303" s="1">
        <v>44285</v>
      </c>
      <c r="B1303">
        <v>1.73</v>
      </c>
    </row>
    <row r="1304" spans="1:2">
      <c r="A1304" s="1">
        <v>44286</v>
      </c>
      <c r="B1304">
        <v>1.74</v>
      </c>
    </row>
    <row r="1305" spans="1:2">
      <c r="A1305" s="1">
        <v>44287</v>
      </c>
      <c r="B1305">
        <v>1.69</v>
      </c>
    </row>
    <row r="1306" spans="1:2">
      <c r="A1306" s="1">
        <v>44288</v>
      </c>
      <c r="B1306">
        <v>1.72</v>
      </c>
    </row>
    <row r="1307" spans="1:2">
      <c r="A1307" s="1">
        <v>44291</v>
      </c>
      <c r="B1307">
        <v>1.73</v>
      </c>
    </row>
    <row r="1308" spans="1:2">
      <c r="A1308" s="1">
        <v>44292</v>
      </c>
      <c r="B1308">
        <v>1.67</v>
      </c>
    </row>
    <row r="1309" spans="1:2">
      <c r="A1309" s="1">
        <v>44293</v>
      </c>
      <c r="B1309">
        <v>1.68</v>
      </c>
    </row>
    <row r="1310" spans="1:2">
      <c r="A1310" s="1">
        <v>44294</v>
      </c>
      <c r="B1310">
        <v>1.64</v>
      </c>
    </row>
    <row r="1311" spans="1:2">
      <c r="A1311" s="1">
        <v>44295</v>
      </c>
      <c r="B1311">
        <v>1.67</v>
      </c>
    </row>
    <row r="1312" spans="1:2">
      <c r="A1312" s="1">
        <v>44298</v>
      </c>
      <c r="B1312">
        <v>1.69</v>
      </c>
    </row>
    <row r="1313" spans="1:2">
      <c r="A1313" s="1">
        <v>44299</v>
      </c>
      <c r="B1313">
        <v>1.64</v>
      </c>
    </row>
    <row r="1314" spans="1:2">
      <c r="A1314" s="1">
        <v>44300</v>
      </c>
      <c r="B1314">
        <v>1.64</v>
      </c>
    </row>
    <row r="1315" spans="1:2">
      <c r="A1315" s="1">
        <v>44301</v>
      </c>
      <c r="B1315">
        <v>1.56</v>
      </c>
    </row>
    <row r="1316" spans="1:2">
      <c r="A1316" s="1">
        <v>44302</v>
      </c>
      <c r="B1316">
        <v>1.59</v>
      </c>
    </row>
    <row r="1317" spans="1:2">
      <c r="A1317" s="1">
        <v>44305</v>
      </c>
      <c r="B1317">
        <v>1.61</v>
      </c>
    </row>
    <row r="1318" spans="1:2">
      <c r="A1318" s="1">
        <v>44306</v>
      </c>
      <c r="B1318">
        <v>1.58</v>
      </c>
    </row>
    <row r="1319" spans="1:2">
      <c r="A1319" s="1">
        <v>44307</v>
      </c>
      <c r="B1319">
        <v>1.57</v>
      </c>
    </row>
    <row r="1320" spans="1:2">
      <c r="A1320" s="1">
        <v>44308</v>
      </c>
      <c r="B1320">
        <v>1.57</v>
      </c>
    </row>
    <row r="1321" spans="1:2">
      <c r="A1321" s="1">
        <v>44309</v>
      </c>
      <c r="B1321">
        <v>1.58</v>
      </c>
    </row>
    <row r="1322" spans="1:2">
      <c r="A1322" s="1">
        <v>44312</v>
      </c>
      <c r="B1322">
        <v>1.58</v>
      </c>
    </row>
    <row r="1323" spans="1:2">
      <c r="A1323" s="1">
        <v>44313</v>
      </c>
      <c r="B1323">
        <v>1.63</v>
      </c>
    </row>
    <row r="1324" spans="1:2">
      <c r="A1324" s="1">
        <v>44314</v>
      </c>
      <c r="B1324">
        <v>1.63</v>
      </c>
    </row>
    <row r="1325" spans="1:2">
      <c r="A1325" s="1">
        <v>44315</v>
      </c>
      <c r="B1325">
        <v>1.65</v>
      </c>
    </row>
    <row r="1326" spans="1:2">
      <c r="A1326" s="1">
        <v>44316</v>
      </c>
      <c r="B1326">
        <v>1.65</v>
      </c>
    </row>
    <row r="1327" spans="1:2">
      <c r="A1327" s="1">
        <v>44319</v>
      </c>
      <c r="B1327">
        <v>1.63</v>
      </c>
    </row>
    <row r="1328" spans="1:2">
      <c r="A1328" s="1">
        <v>44320</v>
      </c>
      <c r="B1328">
        <v>1.61</v>
      </c>
    </row>
    <row r="1329" spans="1:2">
      <c r="A1329" s="1">
        <v>44321</v>
      </c>
      <c r="B1329">
        <v>1.59</v>
      </c>
    </row>
    <row r="1330" spans="1:2">
      <c r="A1330" s="1">
        <v>44322</v>
      </c>
      <c r="B1330">
        <v>1.58</v>
      </c>
    </row>
    <row r="1331" spans="1:2">
      <c r="A1331" s="1">
        <v>44323</v>
      </c>
      <c r="B1331">
        <v>1.6</v>
      </c>
    </row>
    <row r="1332" spans="1:2">
      <c r="A1332" s="1">
        <v>44326</v>
      </c>
      <c r="B1332">
        <v>1.63</v>
      </c>
    </row>
    <row r="1333" spans="1:2">
      <c r="A1333" s="1">
        <v>44327</v>
      </c>
      <c r="B1333">
        <v>1.64</v>
      </c>
    </row>
    <row r="1334" spans="1:2">
      <c r="A1334" s="1">
        <v>44328</v>
      </c>
      <c r="B1334">
        <v>1.69</v>
      </c>
    </row>
    <row r="1335" spans="1:2">
      <c r="A1335" s="1">
        <v>44329</v>
      </c>
      <c r="B1335">
        <v>1.66</v>
      </c>
    </row>
    <row r="1336" spans="1:2">
      <c r="A1336" s="1">
        <v>44330</v>
      </c>
      <c r="B1336">
        <v>1.63</v>
      </c>
    </row>
    <row r="1337" spans="1:2">
      <c r="A1337" s="1">
        <v>44333</v>
      </c>
      <c r="B1337">
        <v>1.64</v>
      </c>
    </row>
    <row r="1338" spans="1:2">
      <c r="A1338" s="1">
        <v>44334</v>
      </c>
      <c r="B1338">
        <v>1.64</v>
      </c>
    </row>
    <row r="1339" spans="1:2">
      <c r="A1339" s="1">
        <v>44335</v>
      </c>
      <c r="B1339">
        <v>1.68</v>
      </c>
    </row>
    <row r="1340" spans="1:2">
      <c r="A1340" s="1">
        <v>44336</v>
      </c>
      <c r="B1340">
        <v>1.63</v>
      </c>
    </row>
    <row r="1341" spans="1:2">
      <c r="A1341" s="1">
        <v>44337</v>
      </c>
      <c r="B1341">
        <v>1.63</v>
      </c>
    </row>
    <row r="1342" spans="1:2">
      <c r="A1342" s="1">
        <v>44340</v>
      </c>
      <c r="B1342">
        <v>1.61</v>
      </c>
    </row>
    <row r="1343" spans="1:2">
      <c r="A1343" s="1">
        <v>44341</v>
      </c>
      <c r="B1343">
        <v>1.56</v>
      </c>
    </row>
    <row r="1344" spans="1:2">
      <c r="A1344" s="1">
        <v>44342</v>
      </c>
      <c r="B1344">
        <v>1.58</v>
      </c>
    </row>
    <row r="1345" spans="1:2">
      <c r="A1345" s="1">
        <v>44343</v>
      </c>
      <c r="B1345">
        <v>1.61</v>
      </c>
    </row>
    <row r="1346" spans="1:2">
      <c r="A1346" s="1">
        <v>44344</v>
      </c>
      <c r="B1346">
        <v>1.58</v>
      </c>
    </row>
    <row r="1347" spans="1:2">
      <c r="A1347" s="1">
        <v>44347</v>
      </c>
    </row>
    <row r="1348" spans="1:2">
      <c r="A1348" s="1">
        <v>44348</v>
      </c>
      <c r="B1348">
        <v>1.62</v>
      </c>
    </row>
    <row r="1349" spans="1:2">
      <c r="A1349" s="1">
        <v>44349</v>
      </c>
      <c r="B1349">
        <v>1.59</v>
      </c>
    </row>
    <row r="1350" spans="1:2">
      <c r="A1350" s="1">
        <v>44350</v>
      </c>
      <c r="B1350">
        <v>1.63</v>
      </c>
    </row>
    <row r="1351" spans="1:2">
      <c r="A1351" s="1">
        <v>44351</v>
      </c>
      <c r="B1351">
        <v>1.56</v>
      </c>
    </row>
    <row r="1352" spans="1:2">
      <c r="A1352" s="1">
        <v>44354</v>
      </c>
      <c r="B1352">
        <v>1.57</v>
      </c>
    </row>
    <row r="1353" spans="1:2">
      <c r="A1353" s="1">
        <v>44355</v>
      </c>
      <c r="B1353">
        <v>1.53</v>
      </c>
    </row>
    <row r="1354" spans="1:2">
      <c r="A1354" s="1">
        <v>44356</v>
      </c>
      <c r="B1354">
        <v>1.5</v>
      </c>
    </row>
    <row r="1355" spans="1:2">
      <c r="A1355" s="1">
        <v>44357</v>
      </c>
      <c r="B1355">
        <v>1.45</v>
      </c>
    </row>
    <row r="1356" spans="1:2">
      <c r="A1356" s="1">
        <v>44358</v>
      </c>
      <c r="B1356">
        <v>1.47</v>
      </c>
    </row>
    <row r="1357" spans="1:2">
      <c r="A1357" s="1">
        <v>44361</v>
      </c>
      <c r="B1357">
        <v>1.51</v>
      </c>
    </row>
    <row r="1358" spans="1:2">
      <c r="A1358" s="1">
        <v>44362</v>
      </c>
      <c r="B1358">
        <v>1.51</v>
      </c>
    </row>
    <row r="1359" spans="1:2">
      <c r="A1359" s="1">
        <v>44363</v>
      </c>
      <c r="B1359">
        <v>1.57</v>
      </c>
    </row>
    <row r="1360" spans="1:2">
      <c r="A1360" s="1">
        <v>44364</v>
      </c>
      <c r="B1360">
        <v>1.52</v>
      </c>
    </row>
    <row r="1361" spans="1:2">
      <c r="A1361" s="1">
        <v>44365</v>
      </c>
      <c r="B1361">
        <v>1.45</v>
      </c>
    </row>
    <row r="1362" spans="1:2">
      <c r="A1362" s="1">
        <v>44368</v>
      </c>
      <c r="B1362">
        <v>1.5</v>
      </c>
    </row>
    <row r="1363" spans="1:2">
      <c r="A1363" s="1">
        <v>44369</v>
      </c>
      <c r="B1363">
        <v>1.48</v>
      </c>
    </row>
    <row r="1364" spans="1:2">
      <c r="A1364" s="1">
        <v>44370</v>
      </c>
      <c r="B1364">
        <v>1.5</v>
      </c>
    </row>
    <row r="1365" spans="1:2">
      <c r="A1365" s="1">
        <v>44371</v>
      </c>
      <c r="B1365">
        <v>1.49</v>
      </c>
    </row>
    <row r="1366" spans="1:2">
      <c r="A1366" s="1">
        <v>44372</v>
      </c>
      <c r="B1366">
        <v>1.54</v>
      </c>
    </row>
    <row r="1367" spans="1:2">
      <c r="A1367" s="1">
        <v>44375</v>
      </c>
      <c r="B1367">
        <v>1.49</v>
      </c>
    </row>
    <row r="1368" spans="1:2">
      <c r="A1368" s="1">
        <v>44376</v>
      </c>
      <c r="B1368">
        <v>1.49</v>
      </c>
    </row>
    <row r="1369" spans="1:2">
      <c r="A1369" s="1">
        <v>44377</v>
      </c>
      <c r="B1369">
        <v>1.45</v>
      </c>
    </row>
    <row r="1370" spans="1:2">
      <c r="A1370" s="1">
        <v>44378</v>
      </c>
      <c r="B1370">
        <v>1.48</v>
      </c>
    </row>
    <row r="1371" spans="1:2">
      <c r="A1371" s="1">
        <v>44379</v>
      </c>
      <c r="B1371">
        <v>1.44</v>
      </c>
    </row>
    <row r="1372" spans="1:2">
      <c r="A1372" s="1">
        <v>44382</v>
      </c>
    </row>
    <row r="1373" spans="1:2">
      <c r="A1373" s="1">
        <v>44383</v>
      </c>
      <c r="B1373">
        <v>1.37</v>
      </c>
    </row>
    <row r="1374" spans="1:2">
      <c r="A1374" s="1">
        <v>44384</v>
      </c>
      <c r="B1374">
        <v>1.33</v>
      </c>
    </row>
    <row r="1375" spans="1:2">
      <c r="A1375" s="1">
        <v>44385</v>
      </c>
      <c r="B1375">
        <v>1.3</v>
      </c>
    </row>
    <row r="1376" spans="1:2">
      <c r="A1376" s="1">
        <v>44386</v>
      </c>
      <c r="B1376">
        <v>1.37</v>
      </c>
    </row>
    <row r="1377" spans="1:2">
      <c r="A1377" s="1">
        <v>44389</v>
      </c>
      <c r="B1377">
        <v>1.38</v>
      </c>
    </row>
    <row r="1378" spans="1:2">
      <c r="A1378" s="1">
        <v>44390</v>
      </c>
      <c r="B1378">
        <v>1.42</v>
      </c>
    </row>
    <row r="1379" spans="1:2">
      <c r="A1379" s="1">
        <v>44391</v>
      </c>
      <c r="B1379">
        <v>1.37</v>
      </c>
    </row>
    <row r="1380" spans="1:2">
      <c r="A1380" s="1">
        <v>44392</v>
      </c>
      <c r="B1380">
        <v>1.31</v>
      </c>
    </row>
    <row r="1381" spans="1:2">
      <c r="A1381" s="1">
        <v>44393</v>
      </c>
      <c r="B1381">
        <v>1.31</v>
      </c>
    </row>
    <row r="1382" spans="1:2">
      <c r="A1382" s="1">
        <v>44396</v>
      </c>
      <c r="B1382">
        <v>1.19</v>
      </c>
    </row>
    <row r="1383" spans="1:2">
      <c r="A1383" s="1">
        <v>44397</v>
      </c>
      <c r="B1383">
        <v>1.23</v>
      </c>
    </row>
    <row r="1384" spans="1:2">
      <c r="A1384" s="1">
        <v>44398</v>
      </c>
      <c r="B1384">
        <v>1.3</v>
      </c>
    </row>
    <row r="1385" spans="1:2">
      <c r="A1385" s="1">
        <v>44399</v>
      </c>
      <c r="B1385">
        <v>1.27</v>
      </c>
    </row>
    <row r="1386" spans="1:2">
      <c r="A1386" s="1">
        <v>44400</v>
      </c>
      <c r="B1386">
        <v>1.3</v>
      </c>
    </row>
    <row r="1387" spans="1:2">
      <c r="A1387" s="1">
        <v>44403</v>
      </c>
      <c r="B1387">
        <v>1.29</v>
      </c>
    </row>
    <row r="1388" spans="1:2">
      <c r="A1388" s="1">
        <v>44404</v>
      </c>
      <c r="B1388">
        <v>1.25</v>
      </c>
    </row>
    <row r="1389" spans="1:2">
      <c r="A1389" s="1">
        <v>44405</v>
      </c>
      <c r="B1389">
        <v>1.26</v>
      </c>
    </row>
    <row r="1390" spans="1:2">
      <c r="A1390" s="1">
        <v>44406</v>
      </c>
      <c r="B1390">
        <v>1.28</v>
      </c>
    </row>
    <row r="1391" spans="1:2">
      <c r="A1391" s="1">
        <v>44407</v>
      </c>
      <c r="B1391">
        <v>1.24</v>
      </c>
    </row>
    <row r="1392" spans="1:2">
      <c r="A1392" s="1">
        <v>44410</v>
      </c>
      <c r="B1392">
        <v>1.2</v>
      </c>
    </row>
    <row r="1393" spans="1:2">
      <c r="A1393" s="1">
        <v>44411</v>
      </c>
      <c r="B1393">
        <v>1.19</v>
      </c>
    </row>
    <row r="1394" spans="1:2">
      <c r="A1394" s="1">
        <v>44412</v>
      </c>
      <c r="B1394">
        <v>1.19</v>
      </c>
    </row>
    <row r="1395" spans="1:2">
      <c r="A1395" s="1">
        <v>44413</v>
      </c>
      <c r="B1395">
        <v>1.23</v>
      </c>
    </row>
    <row r="1396" spans="1:2">
      <c r="A1396" s="1">
        <v>44414</v>
      </c>
      <c r="B1396">
        <v>1.31</v>
      </c>
    </row>
    <row r="1397" spans="1:2">
      <c r="A1397" s="1">
        <v>44417</v>
      </c>
      <c r="B1397">
        <v>1.33</v>
      </c>
    </row>
    <row r="1398" spans="1:2">
      <c r="A1398" s="1">
        <v>44418</v>
      </c>
      <c r="B1398">
        <v>1.36</v>
      </c>
    </row>
    <row r="1399" spans="1:2">
      <c r="A1399" s="1">
        <v>44419</v>
      </c>
      <c r="B1399">
        <v>1.35</v>
      </c>
    </row>
    <row r="1400" spans="1:2">
      <c r="A1400" s="1">
        <v>44420</v>
      </c>
      <c r="B1400">
        <v>1.36</v>
      </c>
    </row>
    <row r="1401" spans="1:2">
      <c r="A1401" s="1">
        <v>44421</v>
      </c>
      <c r="B1401">
        <v>1.29</v>
      </c>
    </row>
    <row r="1402" spans="1:2">
      <c r="A1402" s="1">
        <v>44424</v>
      </c>
      <c r="B1402">
        <v>1.26</v>
      </c>
    </row>
    <row r="1403" spans="1:2">
      <c r="A1403" s="1">
        <v>44425</v>
      </c>
      <c r="B1403">
        <v>1.26</v>
      </c>
    </row>
    <row r="1404" spans="1:2">
      <c r="A1404" s="1">
        <v>44426</v>
      </c>
      <c r="B1404">
        <v>1.27</v>
      </c>
    </row>
    <row r="1405" spans="1:2">
      <c r="A1405" s="1">
        <v>44427</v>
      </c>
      <c r="B1405">
        <v>1.24</v>
      </c>
    </row>
    <row r="1406" spans="1:2">
      <c r="A1406" s="1">
        <v>44428</v>
      </c>
      <c r="B1406">
        <v>1.26</v>
      </c>
    </row>
    <row r="1407" spans="1:2">
      <c r="A1407" s="1">
        <v>44431</v>
      </c>
      <c r="B1407">
        <v>1.25</v>
      </c>
    </row>
    <row r="1408" spans="1:2">
      <c r="A1408" s="1">
        <v>44432</v>
      </c>
      <c r="B1408">
        <v>1.29</v>
      </c>
    </row>
    <row r="1409" spans="1:2">
      <c r="A1409" s="1">
        <v>44433</v>
      </c>
      <c r="B1409">
        <v>1.35</v>
      </c>
    </row>
    <row r="1410" spans="1:2">
      <c r="A1410" s="1">
        <v>44434</v>
      </c>
      <c r="B1410">
        <v>1.34</v>
      </c>
    </row>
    <row r="1411" spans="1:2">
      <c r="A1411" s="1">
        <v>44435</v>
      </c>
      <c r="B1411">
        <v>1.31</v>
      </c>
    </row>
    <row r="1412" spans="1:2">
      <c r="A1412" s="1">
        <v>44438</v>
      </c>
      <c r="B1412">
        <v>1.29</v>
      </c>
    </row>
    <row r="1413" spans="1:2">
      <c r="A1413" s="1">
        <v>44439</v>
      </c>
      <c r="B1413">
        <v>1.3</v>
      </c>
    </row>
    <row r="1414" spans="1:2">
      <c r="A1414" s="1">
        <v>44440</v>
      </c>
      <c r="B1414">
        <v>1.31</v>
      </c>
    </row>
    <row r="1415" spans="1:2">
      <c r="A1415" s="1">
        <v>44441</v>
      </c>
      <c r="B1415">
        <v>1.29</v>
      </c>
    </row>
    <row r="1416" spans="1:2">
      <c r="A1416" s="1">
        <v>44442</v>
      </c>
      <c r="B1416">
        <v>1.33</v>
      </c>
    </row>
    <row r="1417" spans="1:2">
      <c r="A1417" s="1">
        <v>44445</v>
      </c>
    </row>
    <row r="1418" spans="1:2">
      <c r="A1418" s="1">
        <v>44446</v>
      </c>
      <c r="B1418">
        <v>1.38</v>
      </c>
    </row>
    <row r="1419" spans="1:2">
      <c r="A1419" s="1">
        <v>44447</v>
      </c>
      <c r="B1419">
        <v>1.35</v>
      </c>
    </row>
    <row r="1420" spans="1:2">
      <c r="A1420" s="1">
        <v>44448</v>
      </c>
      <c r="B1420">
        <v>1.3</v>
      </c>
    </row>
    <row r="1421" spans="1:2">
      <c r="A1421" s="1">
        <v>44449</v>
      </c>
      <c r="B1421">
        <v>1.35</v>
      </c>
    </row>
    <row r="1422" spans="1:2">
      <c r="A1422" s="1">
        <v>44452</v>
      </c>
      <c r="B1422">
        <v>1.33</v>
      </c>
    </row>
    <row r="1423" spans="1:2">
      <c r="A1423" s="1">
        <v>44453</v>
      </c>
      <c r="B1423">
        <v>1.28</v>
      </c>
    </row>
    <row r="1424" spans="1:2">
      <c r="A1424" s="1">
        <v>44454</v>
      </c>
      <c r="B1424">
        <v>1.31</v>
      </c>
    </row>
    <row r="1425" spans="1:2">
      <c r="A1425" s="1">
        <v>44455</v>
      </c>
      <c r="B1425">
        <v>1.34</v>
      </c>
    </row>
    <row r="1426" spans="1:2">
      <c r="A1426" s="1">
        <v>44456</v>
      </c>
      <c r="B1426">
        <v>1.37</v>
      </c>
    </row>
    <row r="1427" spans="1:2">
      <c r="A1427" s="1">
        <v>44459</v>
      </c>
      <c r="B1427">
        <v>1.31</v>
      </c>
    </row>
    <row r="1428" spans="1:2">
      <c r="A1428" s="1">
        <v>44460</v>
      </c>
      <c r="B1428">
        <v>1.33</v>
      </c>
    </row>
    <row r="1429" spans="1:2">
      <c r="A1429" s="1">
        <v>44461</v>
      </c>
      <c r="B1429">
        <v>1.32</v>
      </c>
    </row>
    <row r="1430" spans="1:2">
      <c r="A1430" s="1">
        <v>44462</v>
      </c>
      <c r="B1430">
        <v>1.41</v>
      </c>
    </row>
    <row r="1431" spans="1:2">
      <c r="A1431" s="1">
        <v>44463</v>
      </c>
      <c r="B1431">
        <v>1.47</v>
      </c>
    </row>
    <row r="1432" spans="1:2">
      <c r="A1432" s="1">
        <v>44466</v>
      </c>
      <c r="B1432">
        <v>1.48</v>
      </c>
    </row>
    <row r="1433" spans="1:2">
      <c r="A1433" s="1">
        <v>44467</v>
      </c>
      <c r="B1433">
        <v>1.54</v>
      </c>
    </row>
    <row r="1434" spans="1:2">
      <c r="A1434" s="1">
        <v>44468</v>
      </c>
      <c r="B1434">
        <v>1.55</v>
      </c>
    </row>
    <row r="1435" spans="1:2">
      <c r="A1435" s="1">
        <v>44469</v>
      </c>
      <c r="B1435">
        <v>1.52</v>
      </c>
    </row>
    <row r="1436" spans="1:2">
      <c r="A1436" s="1">
        <v>44470</v>
      </c>
      <c r="B1436">
        <v>1.48</v>
      </c>
    </row>
    <row r="1437" spans="1:2">
      <c r="A1437" s="1">
        <v>44473</v>
      </c>
      <c r="B1437">
        <v>1.49</v>
      </c>
    </row>
    <row r="1438" spans="1:2">
      <c r="A1438" s="1">
        <v>44474</v>
      </c>
      <c r="B1438">
        <v>1.54</v>
      </c>
    </row>
    <row r="1439" spans="1:2">
      <c r="A1439" s="1">
        <v>44475</v>
      </c>
      <c r="B1439">
        <v>1.53</v>
      </c>
    </row>
    <row r="1440" spans="1:2">
      <c r="A1440" s="1">
        <v>44476</v>
      </c>
      <c r="B1440">
        <v>1.58</v>
      </c>
    </row>
    <row r="1441" spans="1:2">
      <c r="A1441" s="1">
        <v>44477</v>
      </c>
      <c r="B1441">
        <v>1.61</v>
      </c>
    </row>
    <row r="1442" spans="1:2">
      <c r="A1442" s="1">
        <v>44480</v>
      </c>
    </row>
    <row r="1443" spans="1:2">
      <c r="A1443" s="1">
        <v>44481</v>
      </c>
      <c r="B1443">
        <v>1.59</v>
      </c>
    </row>
    <row r="1444" spans="1:2">
      <c r="A1444" s="1">
        <v>44482</v>
      </c>
      <c r="B1444">
        <v>1.56</v>
      </c>
    </row>
    <row r="1445" spans="1:2">
      <c r="A1445" s="1">
        <v>44483</v>
      </c>
      <c r="B1445">
        <v>1.52</v>
      </c>
    </row>
    <row r="1446" spans="1:2">
      <c r="A1446" s="1">
        <v>44484</v>
      </c>
      <c r="B1446">
        <v>1.59</v>
      </c>
    </row>
    <row r="1447" spans="1:2">
      <c r="A1447" s="1">
        <v>44487</v>
      </c>
      <c r="B1447">
        <v>1.59</v>
      </c>
    </row>
    <row r="1448" spans="1:2">
      <c r="A1448" s="1">
        <v>44488</v>
      </c>
      <c r="B1448">
        <v>1.65</v>
      </c>
    </row>
    <row r="1449" spans="1:2">
      <c r="A1449" s="1">
        <v>44489</v>
      </c>
      <c r="B1449">
        <v>1.65</v>
      </c>
    </row>
    <row r="1450" spans="1:2">
      <c r="A1450" s="1">
        <v>44490</v>
      </c>
      <c r="B1450">
        <v>1.68</v>
      </c>
    </row>
    <row r="1451" spans="1:2">
      <c r="A1451" s="1">
        <v>44491</v>
      </c>
      <c r="B1451">
        <v>1.66</v>
      </c>
    </row>
    <row r="1452" spans="1:2">
      <c r="A1452" s="1">
        <v>44494</v>
      </c>
      <c r="B1452">
        <v>1.64</v>
      </c>
    </row>
    <row r="1453" spans="1:2">
      <c r="A1453" s="1">
        <v>44495</v>
      </c>
      <c r="B1453">
        <v>1.63</v>
      </c>
    </row>
    <row r="1454" spans="1:2">
      <c r="A1454" s="1">
        <v>44496</v>
      </c>
      <c r="B1454">
        <v>1.54</v>
      </c>
    </row>
    <row r="1455" spans="1:2">
      <c r="A1455" s="1">
        <v>44497</v>
      </c>
      <c r="B1455">
        <v>1.57</v>
      </c>
    </row>
    <row r="1456" spans="1:2">
      <c r="A1456" s="1">
        <v>44498</v>
      </c>
      <c r="B1456">
        <v>1.55</v>
      </c>
    </row>
    <row r="1457" spans="1:2">
      <c r="A1457" s="1">
        <v>44501</v>
      </c>
      <c r="B1457">
        <v>1.58</v>
      </c>
    </row>
    <row r="1458" spans="1:2">
      <c r="A1458" s="1">
        <v>44502</v>
      </c>
      <c r="B1458">
        <v>1.56</v>
      </c>
    </row>
    <row r="1459" spans="1:2">
      <c r="A1459" s="1">
        <v>44503</v>
      </c>
      <c r="B1459">
        <v>1.6</v>
      </c>
    </row>
    <row r="1460" spans="1:2">
      <c r="A1460" s="1">
        <v>44504</v>
      </c>
      <c r="B1460">
        <v>1.53</v>
      </c>
    </row>
    <row r="1461" spans="1:2">
      <c r="A1461" s="1">
        <v>44505</v>
      </c>
      <c r="B1461">
        <v>1.45</v>
      </c>
    </row>
    <row r="1462" spans="1:2">
      <c r="A1462" s="1">
        <v>44508</v>
      </c>
      <c r="B1462">
        <v>1.51</v>
      </c>
    </row>
    <row r="1463" spans="1:2">
      <c r="A1463" s="1">
        <v>44509</v>
      </c>
      <c r="B1463">
        <v>1.46</v>
      </c>
    </row>
    <row r="1464" spans="1:2">
      <c r="A1464" s="1">
        <v>44510</v>
      </c>
      <c r="B1464">
        <v>1.56</v>
      </c>
    </row>
    <row r="1465" spans="1:2">
      <c r="A1465" s="1">
        <v>44511</v>
      </c>
    </row>
    <row r="1466" spans="1:2">
      <c r="A1466" s="1">
        <v>44512</v>
      </c>
      <c r="B1466">
        <v>1.58</v>
      </c>
    </row>
    <row r="1467" spans="1:2">
      <c r="A1467" s="1">
        <v>44515</v>
      </c>
      <c r="B1467">
        <v>1.63</v>
      </c>
    </row>
    <row r="1468" spans="1:2">
      <c r="A1468" s="1">
        <v>44516</v>
      </c>
      <c r="B1468">
        <v>1.63</v>
      </c>
    </row>
    <row r="1469" spans="1:2">
      <c r="A1469" s="1">
        <v>44517</v>
      </c>
      <c r="B1469">
        <v>1.6</v>
      </c>
    </row>
    <row r="1470" spans="1:2">
      <c r="A1470" s="1">
        <v>44518</v>
      </c>
      <c r="B1470">
        <v>1.59</v>
      </c>
    </row>
    <row r="1471" spans="1:2">
      <c r="A1471" s="1">
        <v>44519</v>
      </c>
      <c r="B1471">
        <v>1.54</v>
      </c>
    </row>
    <row r="1472" spans="1:2">
      <c r="A1472" s="1">
        <v>44522</v>
      </c>
      <c r="B1472">
        <v>1.63</v>
      </c>
    </row>
    <row r="1473" spans="1:2">
      <c r="A1473" s="1">
        <v>44523</v>
      </c>
      <c r="B1473">
        <v>1.67</v>
      </c>
    </row>
    <row r="1474" spans="1:2">
      <c r="A1474" s="1">
        <v>44524</v>
      </c>
      <c r="B1474">
        <v>1.64</v>
      </c>
    </row>
    <row r="1475" spans="1:2">
      <c r="A1475" s="1">
        <v>44525</v>
      </c>
    </row>
    <row r="1476" spans="1:2">
      <c r="A1476" s="1">
        <v>44526</v>
      </c>
      <c r="B1476">
        <v>1.48</v>
      </c>
    </row>
    <row r="1477" spans="1:2">
      <c r="A1477" s="1">
        <v>44529</v>
      </c>
      <c r="B1477">
        <v>1.52</v>
      </c>
    </row>
    <row r="1478" spans="1:2">
      <c r="A1478" s="1">
        <v>44530</v>
      </c>
      <c r="B1478">
        <v>1.43</v>
      </c>
    </row>
    <row r="1479" spans="1:2">
      <c r="A1479" s="1">
        <v>44531</v>
      </c>
      <c r="B1479">
        <v>1.43</v>
      </c>
    </row>
    <row r="1480" spans="1:2">
      <c r="A1480" s="1">
        <v>44532</v>
      </c>
      <c r="B1480">
        <v>1.44</v>
      </c>
    </row>
    <row r="1481" spans="1:2">
      <c r="A1481" s="1">
        <v>44533</v>
      </c>
      <c r="B1481">
        <v>1.35</v>
      </c>
    </row>
    <row r="1482" spans="1:2">
      <c r="A1482" s="1">
        <v>44536</v>
      </c>
      <c r="B1482">
        <v>1.43</v>
      </c>
    </row>
    <row r="1483" spans="1:2">
      <c r="A1483" s="1">
        <v>44537</v>
      </c>
      <c r="B1483">
        <v>1.48</v>
      </c>
    </row>
    <row r="1484" spans="1:2">
      <c r="A1484" s="1">
        <v>44538</v>
      </c>
      <c r="B1484">
        <v>1.52</v>
      </c>
    </row>
    <row r="1485" spans="1:2">
      <c r="A1485" s="1">
        <v>44539</v>
      </c>
      <c r="B1485">
        <v>1.49</v>
      </c>
    </row>
    <row r="1486" spans="1:2">
      <c r="A1486" s="1">
        <v>44540</v>
      </c>
      <c r="B1486">
        <v>1.48</v>
      </c>
    </row>
    <row r="1487" spans="1:2">
      <c r="A1487" s="1">
        <v>44543</v>
      </c>
      <c r="B1487">
        <v>1.42</v>
      </c>
    </row>
    <row r="1488" spans="1:2">
      <c r="A1488" s="1">
        <v>44544</v>
      </c>
      <c r="B1488">
        <v>1.44</v>
      </c>
    </row>
    <row r="1489" spans="1:2">
      <c r="A1489" s="1">
        <v>44545</v>
      </c>
      <c r="B1489">
        <v>1.47</v>
      </c>
    </row>
    <row r="1490" spans="1:2">
      <c r="A1490" s="1">
        <v>44546</v>
      </c>
      <c r="B1490">
        <v>1.44</v>
      </c>
    </row>
    <row r="1491" spans="1:2">
      <c r="A1491" s="1">
        <v>44547</v>
      </c>
      <c r="B1491">
        <v>1.41</v>
      </c>
    </row>
    <row r="1492" spans="1:2">
      <c r="A1492" s="1">
        <v>44550</v>
      </c>
      <c r="B1492">
        <v>1.43</v>
      </c>
    </row>
    <row r="1493" spans="1:2">
      <c r="A1493" s="1">
        <v>44551</v>
      </c>
      <c r="B1493">
        <v>1.48</v>
      </c>
    </row>
    <row r="1494" spans="1:2">
      <c r="A1494" s="1">
        <v>44552</v>
      </c>
      <c r="B1494">
        <v>1.46</v>
      </c>
    </row>
    <row r="1495" spans="1:2">
      <c r="A1495" s="1">
        <v>44553</v>
      </c>
      <c r="B1495">
        <v>1.5</v>
      </c>
    </row>
    <row r="1496" spans="1:2">
      <c r="A1496" s="1">
        <v>44554</v>
      </c>
    </row>
    <row r="1497" spans="1:2">
      <c r="A1497" s="1">
        <v>44557</v>
      </c>
      <c r="B1497">
        <v>1.48</v>
      </c>
    </row>
    <row r="1498" spans="1:2">
      <c r="A1498" s="1">
        <v>44558</v>
      </c>
      <c r="B1498">
        <v>1.49</v>
      </c>
    </row>
    <row r="1499" spans="1:2">
      <c r="A1499" s="1">
        <v>44559</v>
      </c>
      <c r="B1499">
        <v>1.55</v>
      </c>
    </row>
    <row r="1500" spans="1:2">
      <c r="A1500" s="1">
        <v>44560</v>
      </c>
      <c r="B1500">
        <v>1.52</v>
      </c>
    </row>
    <row r="1501" spans="1:2">
      <c r="A1501" s="1">
        <v>44561</v>
      </c>
      <c r="B1501">
        <v>1.52</v>
      </c>
    </row>
    <row r="1502" spans="1:2">
      <c r="A1502" s="1">
        <v>44564</v>
      </c>
      <c r="B1502">
        <v>1.63</v>
      </c>
    </row>
    <row r="1503" spans="1:2">
      <c r="A1503" s="1">
        <v>44565</v>
      </c>
      <c r="B1503">
        <v>1.66</v>
      </c>
    </row>
    <row r="1504" spans="1:2">
      <c r="A1504" s="1">
        <v>44566</v>
      </c>
      <c r="B1504">
        <v>1.71</v>
      </c>
    </row>
    <row r="1505" spans="1:2">
      <c r="A1505" s="1">
        <v>44567</v>
      </c>
      <c r="B1505">
        <v>1.73</v>
      </c>
    </row>
    <row r="1506" spans="1:2">
      <c r="A1506" s="1">
        <v>44568</v>
      </c>
      <c r="B1506">
        <v>1.76</v>
      </c>
    </row>
    <row r="1507" spans="1:2">
      <c r="A1507" s="1">
        <v>44571</v>
      </c>
      <c r="B1507">
        <v>1.78</v>
      </c>
    </row>
    <row r="1508" spans="1:2">
      <c r="A1508" s="1">
        <v>44572</v>
      </c>
      <c r="B1508">
        <v>1.75</v>
      </c>
    </row>
    <row r="1509" spans="1:2">
      <c r="A1509" s="1">
        <v>44573</v>
      </c>
      <c r="B1509">
        <v>1.74</v>
      </c>
    </row>
    <row r="1510" spans="1:2">
      <c r="A1510" s="1">
        <v>44574</v>
      </c>
      <c r="B1510">
        <v>1.7</v>
      </c>
    </row>
    <row r="1511" spans="1:2">
      <c r="A1511" s="1">
        <v>44575</v>
      </c>
      <c r="B1511">
        <v>1.78</v>
      </c>
    </row>
    <row r="1512" spans="1:2">
      <c r="A1512" s="1">
        <v>44578</v>
      </c>
    </row>
    <row r="1513" spans="1:2">
      <c r="A1513" s="1">
        <v>44579</v>
      </c>
      <c r="B1513">
        <v>1.87</v>
      </c>
    </row>
    <row r="1514" spans="1:2">
      <c r="A1514" s="1">
        <v>44580</v>
      </c>
      <c r="B1514">
        <v>1.83</v>
      </c>
    </row>
    <row r="1515" spans="1:2">
      <c r="A1515" s="1">
        <v>44581</v>
      </c>
      <c r="B1515">
        <v>1.83</v>
      </c>
    </row>
    <row r="1516" spans="1:2">
      <c r="A1516" s="1">
        <v>44582</v>
      </c>
      <c r="B1516">
        <v>1.75</v>
      </c>
    </row>
    <row r="1517" spans="1:2">
      <c r="A1517" s="1">
        <v>44585</v>
      </c>
      <c r="B1517">
        <v>1.75</v>
      </c>
    </row>
    <row r="1518" spans="1:2">
      <c r="A1518" s="1">
        <v>44586</v>
      </c>
      <c r="B1518">
        <v>1.78</v>
      </c>
    </row>
    <row r="1519" spans="1:2">
      <c r="A1519" s="1">
        <v>44587</v>
      </c>
      <c r="B1519">
        <v>1.85</v>
      </c>
    </row>
    <row r="1520" spans="1:2">
      <c r="A1520" s="1">
        <v>44588</v>
      </c>
      <c r="B1520">
        <v>1.81</v>
      </c>
    </row>
    <row r="1521" spans="1:2">
      <c r="A1521" s="1">
        <v>44589</v>
      </c>
      <c r="B1521">
        <v>1.78</v>
      </c>
    </row>
    <row r="1522" spans="1:2">
      <c r="A1522" s="1">
        <v>44592</v>
      </c>
      <c r="B1522">
        <v>1.79</v>
      </c>
    </row>
    <row r="1523" spans="1:2">
      <c r="A1523" s="1">
        <v>44593</v>
      </c>
      <c r="B1523">
        <v>1.81</v>
      </c>
    </row>
    <row r="1524" spans="1:2">
      <c r="A1524" s="1">
        <v>44594</v>
      </c>
      <c r="B1524">
        <v>1.78</v>
      </c>
    </row>
    <row r="1525" spans="1:2">
      <c r="A1525" s="1">
        <v>44595</v>
      </c>
      <c r="B1525">
        <v>1.82</v>
      </c>
    </row>
    <row r="1526" spans="1:2">
      <c r="A1526" s="1">
        <v>44596</v>
      </c>
      <c r="B1526">
        <v>1.93</v>
      </c>
    </row>
    <row r="1527" spans="1:2">
      <c r="A1527" s="1">
        <v>44599</v>
      </c>
      <c r="B1527">
        <v>1.92</v>
      </c>
    </row>
    <row r="1528" spans="1:2">
      <c r="A1528" s="1">
        <v>44600</v>
      </c>
      <c r="B1528">
        <v>1.96</v>
      </c>
    </row>
    <row r="1529" spans="1:2">
      <c r="A1529" s="1">
        <v>44601</v>
      </c>
      <c r="B1529">
        <v>1.94</v>
      </c>
    </row>
    <row r="1530" spans="1:2">
      <c r="A1530" s="1">
        <v>44602</v>
      </c>
      <c r="B1530">
        <v>2.0299999999999998</v>
      </c>
    </row>
    <row r="1531" spans="1:2">
      <c r="A1531" s="1">
        <v>44603</v>
      </c>
      <c r="B1531">
        <v>1.92</v>
      </c>
    </row>
    <row r="1532" spans="1:2">
      <c r="A1532" s="1">
        <v>44606</v>
      </c>
      <c r="B1532">
        <v>1.98</v>
      </c>
    </row>
    <row r="1533" spans="1:2">
      <c r="A1533" s="1">
        <v>44607</v>
      </c>
      <c r="B1533">
        <v>2.0499999999999998</v>
      </c>
    </row>
    <row r="1534" spans="1:2">
      <c r="A1534" s="1">
        <v>44608</v>
      </c>
      <c r="B1534">
        <v>2.0299999999999998</v>
      </c>
    </row>
    <row r="1535" spans="1:2">
      <c r="A1535" s="1">
        <v>44609</v>
      </c>
      <c r="B1535">
        <v>1.97</v>
      </c>
    </row>
    <row r="1536" spans="1:2">
      <c r="A1536" s="1">
        <v>44610</v>
      </c>
      <c r="B1536">
        <v>1.92</v>
      </c>
    </row>
    <row r="1537" spans="1:2">
      <c r="A1537" s="1">
        <v>44613</v>
      </c>
    </row>
    <row r="1538" spans="1:2">
      <c r="A1538" s="1">
        <v>44614</v>
      </c>
      <c r="B1538">
        <v>1.94</v>
      </c>
    </row>
    <row r="1539" spans="1:2">
      <c r="A1539" s="1">
        <v>44615</v>
      </c>
      <c r="B1539">
        <v>1.99</v>
      </c>
    </row>
    <row r="1540" spans="1:2">
      <c r="A1540" s="1">
        <v>44616</v>
      </c>
      <c r="B1540">
        <v>1.96</v>
      </c>
    </row>
    <row r="1541" spans="1:2">
      <c r="A1541" s="1">
        <v>44617</v>
      </c>
      <c r="B1541">
        <v>1.97</v>
      </c>
    </row>
    <row r="1542" spans="1:2">
      <c r="A1542" s="1">
        <v>44620</v>
      </c>
      <c r="B1542">
        <v>1.83</v>
      </c>
    </row>
    <row r="1543" spans="1:2">
      <c r="A1543" s="1">
        <v>44621</v>
      </c>
      <c r="B1543">
        <v>1.72</v>
      </c>
    </row>
    <row r="1544" spans="1:2">
      <c r="A1544" s="1">
        <v>44622</v>
      </c>
      <c r="B1544">
        <v>1.86</v>
      </c>
    </row>
    <row r="1545" spans="1:2">
      <c r="A1545" s="1">
        <v>44623</v>
      </c>
      <c r="B1545">
        <v>1.86</v>
      </c>
    </row>
    <row r="1546" spans="1:2">
      <c r="A1546" s="1">
        <v>44624</v>
      </c>
      <c r="B1546">
        <v>1.74</v>
      </c>
    </row>
    <row r="1547" spans="1:2">
      <c r="A1547" s="1">
        <v>44627</v>
      </c>
      <c r="B1547">
        <v>1.78</v>
      </c>
    </row>
    <row r="1548" spans="1:2">
      <c r="A1548" s="1">
        <v>44628</v>
      </c>
      <c r="B1548">
        <v>1.86</v>
      </c>
    </row>
    <row r="1549" spans="1:2">
      <c r="A1549" s="1">
        <v>44629</v>
      </c>
      <c r="B1549">
        <v>1.94</v>
      </c>
    </row>
    <row r="1550" spans="1:2">
      <c r="A1550" s="1">
        <v>44630</v>
      </c>
      <c r="B1550">
        <v>1.98</v>
      </c>
    </row>
    <row r="1551" spans="1:2">
      <c r="A1551" s="1">
        <v>44631</v>
      </c>
      <c r="B1551">
        <v>2</v>
      </c>
    </row>
    <row r="1552" spans="1:2">
      <c r="A1552" s="1">
        <v>44634</v>
      </c>
      <c r="B1552">
        <v>2.14</v>
      </c>
    </row>
    <row r="1553" spans="1:2">
      <c r="A1553" s="1">
        <v>44635</v>
      </c>
      <c r="B1553">
        <v>2.15</v>
      </c>
    </row>
    <row r="1554" spans="1:2">
      <c r="A1554" s="1">
        <v>44636</v>
      </c>
      <c r="B1554">
        <v>2.19</v>
      </c>
    </row>
    <row r="1555" spans="1:2">
      <c r="A1555" s="1">
        <v>44637</v>
      </c>
      <c r="B1555">
        <v>2.2000000000000002</v>
      </c>
    </row>
    <row r="1556" spans="1:2">
      <c r="A1556" s="1">
        <v>44638</v>
      </c>
      <c r="B1556">
        <v>2.14</v>
      </c>
    </row>
    <row r="1557" spans="1:2">
      <c r="A1557" s="1">
        <v>44641</v>
      </c>
      <c r="B1557">
        <v>2.3199999999999998</v>
      </c>
    </row>
    <row r="1558" spans="1:2">
      <c r="A1558" s="1">
        <v>44642</v>
      </c>
      <c r="B1558">
        <v>2.38</v>
      </c>
    </row>
    <row r="1559" spans="1:2">
      <c r="A1559" s="1">
        <v>44643</v>
      </c>
      <c r="B1559">
        <v>2.3199999999999998</v>
      </c>
    </row>
    <row r="1560" spans="1:2">
      <c r="A1560" s="1">
        <v>44644</v>
      </c>
      <c r="B1560">
        <v>2.34</v>
      </c>
    </row>
    <row r="1561" spans="1:2">
      <c r="A1561" s="1">
        <v>44645</v>
      </c>
      <c r="B1561">
        <v>2.48</v>
      </c>
    </row>
    <row r="1562" spans="1:2">
      <c r="A1562" s="1">
        <v>44648</v>
      </c>
      <c r="B1562">
        <v>2.46</v>
      </c>
    </row>
    <row r="1563" spans="1:2">
      <c r="A1563" s="1">
        <v>44649</v>
      </c>
      <c r="B1563">
        <v>2.41</v>
      </c>
    </row>
    <row r="1564" spans="1:2">
      <c r="A1564" s="1">
        <v>44650</v>
      </c>
      <c r="B1564">
        <v>2.35</v>
      </c>
    </row>
    <row r="1565" spans="1:2">
      <c r="A1565" s="1">
        <v>44651</v>
      </c>
      <c r="B1565">
        <v>2.3199999999999998</v>
      </c>
    </row>
    <row r="1566" spans="1:2">
      <c r="A1566" s="1">
        <v>44652</v>
      </c>
      <c r="B1566">
        <v>2.39</v>
      </c>
    </row>
    <row r="1567" spans="1:2">
      <c r="A1567" s="1">
        <v>44655</v>
      </c>
      <c r="B1567">
        <v>2.42</v>
      </c>
    </row>
    <row r="1568" spans="1:2">
      <c r="A1568" s="1">
        <v>44656</v>
      </c>
      <c r="B1568">
        <v>2.54</v>
      </c>
    </row>
    <row r="1569" spans="1:2">
      <c r="A1569" s="1">
        <v>44657</v>
      </c>
      <c r="B1569">
        <v>2.61</v>
      </c>
    </row>
    <row r="1570" spans="1:2">
      <c r="A1570" s="1">
        <v>44658</v>
      </c>
      <c r="B1570">
        <v>2.66</v>
      </c>
    </row>
    <row r="1571" spans="1:2">
      <c r="A1571" s="1">
        <v>44659</v>
      </c>
      <c r="B1571">
        <v>2.72</v>
      </c>
    </row>
    <row r="1572" spans="1:2">
      <c r="A1572" s="1">
        <v>44662</v>
      </c>
      <c r="B1572">
        <v>2.79</v>
      </c>
    </row>
    <row r="1573" spans="1:2">
      <c r="A1573" s="1">
        <v>44663</v>
      </c>
      <c r="B1573">
        <v>2.72</v>
      </c>
    </row>
    <row r="1574" spans="1:2">
      <c r="A1574" s="1">
        <v>44664</v>
      </c>
      <c r="B1574">
        <v>2.7</v>
      </c>
    </row>
    <row r="1575" spans="1:2">
      <c r="A1575" s="1">
        <v>44665</v>
      </c>
      <c r="B1575">
        <v>2.83</v>
      </c>
    </row>
    <row r="1576" spans="1:2">
      <c r="A1576" s="1">
        <v>44666</v>
      </c>
    </row>
    <row r="1577" spans="1:2">
      <c r="A1577" s="1">
        <v>44669</v>
      </c>
      <c r="B1577">
        <v>2.85</v>
      </c>
    </row>
    <row r="1578" spans="1:2">
      <c r="A1578" s="1">
        <v>44670</v>
      </c>
      <c r="B1578">
        <v>2.93</v>
      </c>
    </row>
    <row r="1579" spans="1:2">
      <c r="A1579" s="1">
        <v>44671</v>
      </c>
      <c r="B1579">
        <v>2.85</v>
      </c>
    </row>
    <row r="1580" spans="1:2">
      <c r="A1580" s="1">
        <v>44672</v>
      </c>
      <c r="B1580">
        <v>2.9</v>
      </c>
    </row>
    <row r="1581" spans="1:2">
      <c r="A1581" s="1">
        <v>44673</v>
      </c>
      <c r="B1581">
        <v>2.9</v>
      </c>
    </row>
    <row r="1582" spans="1:2">
      <c r="A1582" s="1">
        <v>44676</v>
      </c>
      <c r="B1582">
        <v>2.81</v>
      </c>
    </row>
    <row r="1583" spans="1:2">
      <c r="A1583" s="1">
        <v>44677</v>
      </c>
      <c r="B1583">
        <v>2.77</v>
      </c>
    </row>
    <row r="1584" spans="1:2">
      <c r="A1584" s="1">
        <v>44678</v>
      </c>
      <c r="B1584">
        <v>2.82</v>
      </c>
    </row>
    <row r="1585" spans="1:2">
      <c r="A1585" s="1">
        <v>44679</v>
      </c>
      <c r="B1585">
        <v>2.85</v>
      </c>
    </row>
    <row r="1586" spans="1:2">
      <c r="A1586" s="1">
        <v>44680</v>
      </c>
      <c r="B1586">
        <v>2.89</v>
      </c>
    </row>
    <row r="1587" spans="1:2">
      <c r="A1587" s="1">
        <v>44683</v>
      </c>
      <c r="B1587">
        <v>2.99</v>
      </c>
    </row>
    <row r="1588" spans="1:2">
      <c r="A1588" s="1">
        <v>44684</v>
      </c>
      <c r="B1588">
        <v>2.97</v>
      </c>
    </row>
    <row r="1589" spans="1:2">
      <c r="A1589" s="1">
        <v>44685</v>
      </c>
      <c r="B1589">
        <v>2.93</v>
      </c>
    </row>
    <row r="1590" spans="1:2">
      <c r="A1590" s="1">
        <v>44686</v>
      </c>
      <c r="B1590">
        <v>3.05</v>
      </c>
    </row>
    <row r="1591" spans="1:2">
      <c r="A1591" s="1">
        <v>44687</v>
      </c>
      <c r="B1591">
        <v>3.12</v>
      </c>
    </row>
    <row r="1592" spans="1:2">
      <c r="A1592" s="1">
        <v>44690</v>
      </c>
      <c r="B1592">
        <v>3.05</v>
      </c>
    </row>
    <row r="1593" spans="1:2">
      <c r="A1593" s="1">
        <v>44691</v>
      </c>
      <c r="B1593">
        <v>2.99</v>
      </c>
    </row>
    <row r="1594" spans="1:2">
      <c r="A1594" s="1">
        <v>44692</v>
      </c>
      <c r="B1594">
        <v>2.91</v>
      </c>
    </row>
    <row r="1595" spans="1:2">
      <c r="A1595" s="1">
        <v>44693</v>
      </c>
      <c r="B1595">
        <v>2.84</v>
      </c>
    </row>
    <row r="1596" spans="1:2">
      <c r="A1596" s="1">
        <v>44694</v>
      </c>
      <c r="B1596">
        <v>2.93</v>
      </c>
    </row>
    <row r="1597" spans="1:2">
      <c r="A1597" s="1">
        <v>44697</v>
      </c>
      <c r="B1597">
        <v>2.88</v>
      </c>
    </row>
    <row r="1598" spans="1:2">
      <c r="A1598" s="1">
        <v>44698</v>
      </c>
      <c r="B1598">
        <v>2.98</v>
      </c>
    </row>
    <row r="1599" spans="1:2">
      <c r="A1599" s="1">
        <v>44699</v>
      </c>
      <c r="B1599">
        <v>2.89</v>
      </c>
    </row>
    <row r="1600" spans="1:2">
      <c r="A1600" s="1">
        <v>44700</v>
      </c>
      <c r="B1600">
        <v>2.84</v>
      </c>
    </row>
    <row r="1601" spans="1:2">
      <c r="A1601" s="1">
        <v>44701</v>
      </c>
      <c r="B1601">
        <v>2.78</v>
      </c>
    </row>
    <row r="1602" spans="1:2">
      <c r="A1602" s="1">
        <v>44704</v>
      </c>
      <c r="B1602">
        <v>2.86</v>
      </c>
    </row>
    <row r="1603" spans="1:2">
      <c r="A1603" s="1">
        <v>44705</v>
      </c>
      <c r="B1603">
        <v>2.76</v>
      </c>
    </row>
    <row r="1604" spans="1:2">
      <c r="A1604" s="1">
        <v>44706</v>
      </c>
      <c r="B1604">
        <v>2.75</v>
      </c>
    </row>
    <row r="1605" spans="1:2">
      <c r="A1605" s="1">
        <v>44707</v>
      </c>
      <c r="B1605">
        <v>2.75</v>
      </c>
    </row>
    <row r="1606" spans="1:2">
      <c r="A1606" s="1">
        <v>44708</v>
      </c>
      <c r="B1606">
        <v>2.74</v>
      </c>
    </row>
    <row r="1607" spans="1:2">
      <c r="A1607" s="1">
        <v>44711</v>
      </c>
    </row>
    <row r="1608" spans="1:2">
      <c r="A1608" s="1">
        <v>44712</v>
      </c>
      <c r="B1608">
        <v>2.85</v>
      </c>
    </row>
    <row r="1609" spans="1:2">
      <c r="A1609" s="1">
        <v>44713</v>
      </c>
      <c r="B1609">
        <v>2.94</v>
      </c>
    </row>
    <row r="1610" spans="1:2">
      <c r="A1610" s="1">
        <v>44714</v>
      </c>
      <c r="B1610">
        <v>2.92</v>
      </c>
    </row>
    <row r="1611" spans="1:2">
      <c r="A1611" s="1">
        <v>44715</v>
      </c>
      <c r="B1611">
        <v>2.96</v>
      </c>
    </row>
    <row r="1612" spans="1:2">
      <c r="A1612" s="1">
        <v>44718</v>
      </c>
      <c r="B1612">
        <v>3.04</v>
      </c>
    </row>
    <row r="1613" spans="1:2">
      <c r="A1613" s="1">
        <v>44719</v>
      </c>
      <c r="B1613">
        <v>2.98</v>
      </c>
    </row>
    <row r="1614" spans="1:2">
      <c r="A1614" s="1">
        <v>44720</v>
      </c>
      <c r="B1614">
        <v>3.03</v>
      </c>
    </row>
    <row r="1615" spans="1:2">
      <c r="A1615" s="1">
        <v>44721</v>
      </c>
      <c r="B1615">
        <v>3.04</v>
      </c>
    </row>
    <row r="1616" spans="1:2">
      <c r="A1616" s="1">
        <v>44722</v>
      </c>
      <c r="B1616">
        <v>3.15</v>
      </c>
    </row>
    <row r="1617" spans="1:2">
      <c r="A1617" s="1">
        <v>44725</v>
      </c>
      <c r="B1617">
        <v>3.43</v>
      </c>
    </row>
    <row r="1618" spans="1:2">
      <c r="A1618" s="1">
        <v>44726</v>
      </c>
      <c r="B1618">
        <v>3.49</v>
      </c>
    </row>
    <row r="1619" spans="1:2">
      <c r="A1619" s="1">
        <v>44727</v>
      </c>
      <c r="B1619">
        <v>3.33</v>
      </c>
    </row>
    <row r="1620" spans="1:2">
      <c r="A1620" s="1">
        <v>44728</v>
      </c>
      <c r="B1620">
        <v>3.28</v>
      </c>
    </row>
    <row r="1621" spans="1:2">
      <c r="A1621" s="1">
        <v>44729</v>
      </c>
      <c r="B1621">
        <v>3.25</v>
      </c>
    </row>
    <row r="1622" spans="1:2">
      <c r="A1622" s="1">
        <v>44732</v>
      </c>
    </row>
    <row r="1623" spans="1:2">
      <c r="A1623" s="1">
        <v>44733</v>
      </c>
      <c r="B1623">
        <v>3.31</v>
      </c>
    </row>
    <row r="1624" spans="1:2">
      <c r="A1624" s="1">
        <v>44734</v>
      </c>
      <c r="B1624">
        <v>3.16</v>
      </c>
    </row>
    <row r="1625" spans="1:2">
      <c r="A1625" s="1">
        <v>44735</v>
      </c>
      <c r="B1625">
        <v>3.09</v>
      </c>
    </row>
    <row r="1626" spans="1:2">
      <c r="A1626" s="1">
        <v>44736</v>
      </c>
      <c r="B1626">
        <v>3.13</v>
      </c>
    </row>
    <row r="1627" spans="1:2">
      <c r="A1627" s="1">
        <v>44739</v>
      </c>
      <c r="B1627">
        <v>3.2</v>
      </c>
    </row>
    <row r="1628" spans="1:2">
      <c r="A1628" s="1">
        <v>44740</v>
      </c>
      <c r="B1628">
        <v>3.2</v>
      </c>
    </row>
    <row r="1629" spans="1:2">
      <c r="A1629" s="1">
        <v>44741</v>
      </c>
      <c r="B1629">
        <v>3.1</v>
      </c>
    </row>
    <row r="1630" spans="1:2">
      <c r="A1630" s="1">
        <v>44742</v>
      </c>
      <c r="B1630">
        <v>2.98</v>
      </c>
    </row>
    <row r="1631" spans="1:2">
      <c r="A1631" s="1">
        <v>44743</v>
      </c>
      <c r="B1631">
        <v>2.88</v>
      </c>
    </row>
    <row r="1632" spans="1:2">
      <c r="A1632" s="1">
        <v>44746</v>
      </c>
    </row>
    <row r="1633" spans="1:2">
      <c r="A1633" s="1">
        <v>44747</v>
      </c>
      <c r="B1633">
        <v>2.82</v>
      </c>
    </row>
    <row r="1634" spans="1:2">
      <c r="A1634" s="1">
        <v>44748</v>
      </c>
      <c r="B1634">
        <v>2.93</v>
      </c>
    </row>
    <row r="1635" spans="1:2">
      <c r="A1635" s="1">
        <v>44749</v>
      </c>
      <c r="B1635">
        <v>3.01</v>
      </c>
    </row>
    <row r="1636" spans="1:2">
      <c r="A1636" s="1">
        <v>44750</v>
      </c>
      <c r="B1636">
        <v>3.09</v>
      </c>
    </row>
    <row r="1637" spans="1:2">
      <c r="A1637" s="1">
        <v>44753</v>
      </c>
      <c r="B1637">
        <v>2.99</v>
      </c>
    </row>
    <row r="1638" spans="1:2">
      <c r="A1638" s="1">
        <v>44754</v>
      </c>
      <c r="B1638">
        <v>2.96</v>
      </c>
    </row>
    <row r="1639" spans="1:2">
      <c r="A1639" s="1">
        <v>44755</v>
      </c>
      <c r="B1639">
        <v>2.91</v>
      </c>
    </row>
    <row r="1640" spans="1:2">
      <c r="A1640" s="1">
        <v>44756</v>
      </c>
      <c r="B1640">
        <v>2.96</v>
      </c>
    </row>
    <row r="1641" spans="1:2">
      <c r="A1641" s="1">
        <v>44757</v>
      </c>
      <c r="B1641">
        <v>2.93</v>
      </c>
    </row>
    <row r="1642" spans="1:2">
      <c r="A1642" s="1">
        <v>44760</v>
      </c>
      <c r="B1642">
        <v>2.96</v>
      </c>
    </row>
    <row r="1643" spans="1:2">
      <c r="A1643" s="1">
        <v>44761</v>
      </c>
      <c r="B1643">
        <v>3.01</v>
      </c>
    </row>
    <row r="1644" spans="1:2">
      <c r="A1644" s="1">
        <v>44762</v>
      </c>
      <c r="B1644">
        <v>3.04</v>
      </c>
    </row>
    <row r="1645" spans="1:2">
      <c r="A1645" s="1">
        <v>44763</v>
      </c>
      <c r="B1645">
        <v>2.91</v>
      </c>
    </row>
    <row r="1646" spans="1:2">
      <c r="A1646" s="1">
        <v>44764</v>
      </c>
      <c r="B1646">
        <v>2.77</v>
      </c>
    </row>
    <row r="1647" spans="1:2">
      <c r="A1647" s="1">
        <v>44767</v>
      </c>
      <c r="B1647">
        <v>2.81</v>
      </c>
    </row>
    <row r="1648" spans="1:2">
      <c r="A1648" s="1">
        <v>44768</v>
      </c>
      <c r="B1648">
        <v>2.81</v>
      </c>
    </row>
    <row r="1649" spans="1:2">
      <c r="A1649" s="1">
        <v>44769</v>
      </c>
      <c r="B1649">
        <v>2.78</v>
      </c>
    </row>
    <row r="1650" spans="1:2">
      <c r="A1650" s="1">
        <v>44770</v>
      </c>
      <c r="B1650">
        <v>2.68</v>
      </c>
    </row>
    <row r="1651" spans="1:2">
      <c r="A1651" s="1">
        <v>44771</v>
      </c>
      <c r="B1651">
        <v>2.67</v>
      </c>
    </row>
    <row r="1652" spans="1:2">
      <c r="A1652" s="1">
        <v>44774</v>
      </c>
      <c r="B1652">
        <v>2.6</v>
      </c>
    </row>
    <row r="1653" spans="1:2">
      <c r="A1653" s="1">
        <v>44775</v>
      </c>
      <c r="B1653">
        <v>2.75</v>
      </c>
    </row>
    <row r="1654" spans="1:2">
      <c r="A1654" s="1">
        <v>44776</v>
      </c>
      <c r="B1654">
        <v>2.73</v>
      </c>
    </row>
    <row r="1655" spans="1:2">
      <c r="A1655" s="1">
        <v>44777</v>
      </c>
      <c r="B1655">
        <v>2.68</v>
      </c>
    </row>
    <row r="1656" spans="1:2">
      <c r="A1656" s="1">
        <v>44778</v>
      </c>
      <c r="B1656">
        <v>2.83</v>
      </c>
    </row>
    <row r="1657" spans="1:2">
      <c r="A1657" s="1">
        <v>44781</v>
      </c>
      <c r="B1657">
        <v>2.77</v>
      </c>
    </row>
    <row r="1658" spans="1:2">
      <c r="A1658" s="1">
        <v>44782</v>
      </c>
      <c r="B1658">
        <v>2.8</v>
      </c>
    </row>
    <row r="1659" spans="1:2">
      <c r="A1659" s="1">
        <v>44783</v>
      </c>
      <c r="B1659">
        <v>2.78</v>
      </c>
    </row>
    <row r="1660" spans="1:2">
      <c r="A1660" s="1">
        <v>44784</v>
      </c>
      <c r="B1660">
        <v>2.87</v>
      </c>
    </row>
    <row r="1661" spans="1:2">
      <c r="A1661" s="1">
        <v>44785</v>
      </c>
      <c r="B1661">
        <v>2.84</v>
      </c>
    </row>
    <row r="1662" spans="1:2">
      <c r="A1662" s="1">
        <v>44788</v>
      </c>
      <c r="B1662">
        <v>2.79</v>
      </c>
    </row>
    <row r="1663" spans="1:2">
      <c r="A1663" s="1">
        <v>44789</v>
      </c>
      <c r="B1663">
        <v>2.82</v>
      </c>
    </row>
    <row r="1664" spans="1:2">
      <c r="A1664" s="1">
        <v>44790</v>
      </c>
      <c r="B1664">
        <v>2.89</v>
      </c>
    </row>
    <row r="1665" spans="1:2">
      <c r="A1665" s="1">
        <v>44791</v>
      </c>
      <c r="B1665">
        <v>2.88</v>
      </c>
    </row>
    <row r="1666" spans="1:2">
      <c r="A1666" s="1">
        <v>44792</v>
      </c>
      <c r="B1666">
        <v>2.98</v>
      </c>
    </row>
    <row r="1667" spans="1:2">
      <c r="A1667" s="1">
        <v>44795</v>
      </c>
      <c r="B1667">
        <v>3.03</v>
      </c>
    </row>
    <row r="1668" spans="1:2">
      <c r="A1668" s="1">
        <v>44796</v>
      </c>
      <c r="B1668">
        <v>3.05</v>
      </c>
    </row>
    <row r="1669" spans="1:2">
      <c r="A1669" s="1">
        <v>44797</v>
      </c>
      <c r="B1669">
        <v>3.11</v>
      </c>
    </row>
    <row r="1670" spans="1:2">
      <c r="A1670" s="1">
        <v>44798</v>
      </c>
      <c r="B1670">
        <v>3.03</v>
      </c>
    </row>
    <row r="1671" spans="1:2">
      <c r="A1671" s="1">
        <v>44799</v>
      </c>
      <c r="B1671">
        <v>3.04</v>
      </c>
    </row>
    <row r="1672" spans="1:2">
      <c r="A1672" s="1">
        <v>44802</v>
      </c>
      <c r="B1672">
        <v>3.12</v>
      </c>
    </row>
    <row r="1673" spans="1:2">
      <c r="A1673" s="1">
        <v>44803</v>
      </c>
      <c r="B1673">
        <v>3.11</v>
      </c>
    </row>
    <row r="1674" spans="1:2">
      <c r="A1674" s="1">
        <v>44804</v>
      </c>
      <c r="B1674">
        <v>3.15</v>
      </c>
    </row>
    <row r="1675" spans="1:2">
      <c r="A1675" s="1">
        <v>44805</v>
      </c>
      <c r="B1675">
        <v>3.26</v>
      </c>
    </row>
    <row r="1676" spans="1:2">
      <c r="A1676" s="1">
        <v>44806</v>
      </c>
      <c r="B1676">
        <v>3.2</v>
      </c>
    </row>
    <row r="1677" spans="1:2">
      <c r="A1677" s="1">
        <v>44809</v>
      </c>
    </row>
    <row r="1678" spans="1:2">
      <c r="A1678" s="1">
        <v>44810</v>
      </c>
      <c r="B1678">
        <v>3.33</v>
      </c>
    </row>
    <row r="1679" spans="1:2">
      <c r="A1679" s="1">
        <v>44811</v>
      </c>
      <c r="B1679">
        <v>3.27</v>
      </c>
    </row>
    <row r="1680" spans="1:2">
      <c r="A1680" s="1">
        <v>44812</v>
      </c>
      <c r="B1680">
        <v>3.29</v>
      </c>
    </row>
    <row r="1681" spans="1:2">
      <c r="A1681" s="1">
        <v>44813</v>
      </c>
      <c r="B1681">
        <v>3.33</v>
      </c>
    </row>
    <row r="1682" spans="1:2">
      <c r="A1682" s="1">
        <v>44816</v>
      </c>
      <c r="B1682">
        <v>3.37</v>
      </c>
    </row>
    <row r="1683" spans="1:2">
      <c r="A1683" s="1">
        <v>44817</v>
      </c>
      <c r="B1683">
        <v>3.42</v>
      </c>
    </row>
    <row r="1684" spans="1:2">
      <c r="A1684" s="1">
        <v>44818</v>
      </c>
      <c r="B1684">
        <v>3.41</v>
      </c>
    </row>
    <row r="1685" spans="1:2">
      <c r="A1685" s="1">
        <v>44819</v>
      </c>
      <c r="B1685">
        <v>3.45</v>
      </c>
    </row>
    <row r="1686" spans="1:2">
      <c r="A1686" s="1">
        <v>44820</v>
      </c>
      <c r="B1686">
        <v>3.45</v>
      </c>
    </row>
    <row r="1687" spans="1:2">
      <c r="A1687" s="1">
        <v>44823</v>
      </c>
      <c r="B1687">
        <v>3.49</v>
      </c>
    </row>
    <row r="1688" spans="1:2">
      <c r="A1688" s="1">
        <v>44824</v>
      </c>
      <c r="B1688">
        <v>3.57</v>
      </c>
    </row>
    <row r="1689" spans="1:2">
      <c r="A1689" s="1">
        <v>44825</v>
      </c>
      <c r="B1689">
        <v>3.51</v>
      </c>
    </row>
    <row r="1690" spans="1:2">
      <c r="A1690" s="1">
        <v>44826</v>
      </c>
      <c r="B1690">
        <v>3.7</v>
      </c>
    </row>
    <row r="1691" spans="1:2">
      <c r="A1691" s="1">
        <v>44827</v>
      </c>
      <c r="B1691">
        <v>3.69</v>
      </c>
    </row>
    <row r="1692" spans="1:2">
      <c r="A1692" s="1">
        <v>44830</v>
      </c>
      <c r="B1692">
        <v>3.88</v>
      </c>
    </row>
    <row r="1693" spans="1:2">
      <c r="A1693" s="1">
        <v>44831</v>
      </c>
      <c r="B1693">
        <v>3.97</v>
      </c>
    </row>
    <row r="1694" spans="1:2">
      <c r="A1694" s="1">
        <v>44832</v>
      </c>
      <c r="B1694">
        <v>3.72</v>
      </c>
    </row>
    <row r="1695" spans="1:2">
      <c r="A1695" s="1">
        <v>44833</v>
      </c>
      <c r="B1695">
        <v>3.76</v>
      </c>
    </row>
    <row r="1696" spans="1:2">
      <c r="A1696" s="1">
        <v>44834</v>
      </c>
      <c r="B1696">
        <v>3.83</v>
      </c>
    </row>
    <row r="1697" spans="1:2">
      <c r="A1697" s="1">
        <v>44837</v>
      </c>
      <c r="B1697">
        <v>3.67</v>
      </c>
    </row>
    <row r="1698" spans="1:2">
      <c r="A1698" s="1">
        <v>44838</v>
      </c>
      <c r="B1698">
        <v>3.62</v>
      </c>
    </row>
    <row r="1699" spans="1:2">
      <c r="A1699" s="1">
        <v>44839</v>
      </c>
      <c r="B1699">
        <v>3.76</v>
      </c>
    </row>
    <row r="1700" spans="1:2">
      <c r="A1700" s="1">
        <v>44840</v>
      </c>
      <c r="B1700">
        <v>3.83</v>
      </c>
    </row>
    <row r="1701" spans="1:2">
      <c r="A1701" s="1">
        <v>44841</v>
      </c>
      <c r="B1701">
        <v>3.89</v>
      </c>
    </row>
    <row r="1702" spans="1:2">
      <c r="A1702" s="1">
        <v>44844</v>
      </c>
    </row>
    <row r="1703" spans="1:2">
      <c r="A1703" s="1">
        <v>44845</v>
      </c>
      <c r="B1703">
        <v>3.93</v>
      </c>
    </row>
    <row r="1704" spans="1:2">
      <c r="A1704" s="1">
        <v>44846</v>
      </c>
      <c r="B1704">
        <v>3.91</v>
      </c>
    </row>
    <row r="1705" spans="1:2">
      <c r="A1705" s="1">
        <v>44847</v>
      </c>
      <c r="B1705">
        <v>3.97</v>
      </c>
    </row>
    <row r="1706" spans="1:2">
      <c r="A1706" s="1">
        <v>44848</v>
      </c>
      <c r="B1706">
        <v>4</v>
      </c>
    </row>
    <row r="1707" spans="1:2">
      <c r="A1707" s="1">
        <v>44851</v>
      </c>
      <c r="B1707">
        <v>4.0199999999999996</v>
      </c>
    </row>
    <row r="1708" spans="1:2">
      <c r="A1708" s="1">
        <v>44852</v>
      </c>
      <c r="B1708">
        <v>4.01</v>
      </c>
    </row>
    <row r="1709" spans="1:2">
      <c r="A1709" s="1">
        <v>44853</v>
      </c>
      <c r="B1709">
        <v>4.1399999999999997</v>
      </c>
    </row>
    <row r="1710" spans="1:2">
      <c r="A1710" s="1">
        <v>44854</v>
      </c>
      <c r="B1710">
        <v>4.24</v>
      </c>
    </row>
    <row r="1711" spans="1:2">
      <c r="A1711" s="1">
        <v>44855</v>
      </c>
      <c r="B1711">
        <v>4.21</v>
      </c>
    </row>
    <row r="1712" spans="1:2">
      <c r="A1712" s="1">
        <v>44858</v>
      </c>
      <c r="B1712">
        <v>4.25</v>
      </c>
    </row>
    <row r="1713" spans="1:2">
      <c r="A1713" s="1">
        <v>44859</v>
      </c>
      <c r="B1713">
        <v>4.0999999999999996</v>
      </c>
    </row>
    <row r="1714" spans="1:2">
      <c r="A1714" s="1">
        <v>44860</v>
      </c>
      <c r="B1714">
        <v>4.04</v>
      </c>
    </row>
    <row r="1715" spans="1:2">
      <c r="A1715" s="1">
        <v>44861</v>
      </c>
      <c r="B1715">
        <v>3.96</v>
      </c>
    </row>
    <row r="1716" spans="1:2">
      <c r="A1716" s="1">
        <v>44862</v>
      </c>
      <c r="B1716">
        <v>4.0199999999999996</v>
      </c>
    </row>
    <row r="1717" spans="1:2">
      <c r="A1717" s="1">
        <v>44865</v>
      </c>
      <c r="B1717">
        <v>4.0999999999999996</v>
      </c>
    </row>
    <row r="1718" spans="1:2">
      <c r="A1718" s="1">
        <v>44866</v>
      </c>
      <c r="B1718">
        <v>4.07</v>
      </c>
    </row>
    <row r="1719" spans="1:2">
      <c r="A1719" s="1">
        <v>44867</v>
      </c>
      <c r="B1719">
        <v>4.0999999999999996</v>
      </c>
    </row>
    <row r="1720" spans="1:2">
      <c r="A1720" s="1">
        <v>44868</v>
      </c>
      <c r="B1720">
        <v>4.1399999999999997</v>
      </c>
    </row>
    <row r="1721" spans="1:2">
      <c r="A1721" s="1">
        <v>44869</v>
      </c>
      <c r="B1721">
        <v>4.17</v>
      </c>
    </row>
    <row r="1722" spans="1:2">
      <c r="A1722" s="1">
        <v>44872</v>
      </c>
      <c r="B1722">
        <v>4.22</v>
      </c>
    </row>
    <row r="1723" spans="1:2">
      <c r="A1723" s="1">
        <v>44873</v>
      </c>
      <c r="B1723">
        <v>4.1399999999999997</v>
      </c>
    </row>
    <row r="1724" spans="1:2">
      <c r="A1724" s="1">
        <v>44874</v>
      </c>
      <c r="B1724">
        <v>4.12</v>
      </c>
    </row>
    <row r="1725" spans="1:2">
      <c r="A1725" s="1">
        <v>44875</v>
      </c>
      <c r="B1725">
        <v>3.82</v>
      </c>
    </row>
    <row r="1726" spans="1:2">
      <c r="A1726" s="1">
        <v>44876</v>
      </c>
    </row>
    <row r="1727" spans="1:2">
      <c r="A1727" s="1">
        <v>44879</v>
      </c>
      <c r="B1727">
        <v>3.88</v>
      </c>
    </row>
    <row r="1728" spans="1:2">
      <c r="A1728" s="1">
        <v>44880</v>
      </c>
      <c r="B1728">
        <v>3.8</v>
      </c>
    </row>
    <row r="1729" spans="1:2">
      <c r="A1729" s="1">
        <v>44881</v>
      </c>
      <c r="B1729">
        <v>3.67</v>
      </c>
    </row>
    <row r="1730" spans="1:2">
      <c r="A1730" s="1">
        <v>44882</v>
      </c>
      <c r="B1730">
        <v>3.77</v>
      </c>
    </row>
    <row r="1731" spans="1:2">
      <c r="A1731" s="1">
        <v>44883</v>
      </c>
      <c r="B1731">
        <v>3.82</v>
      </c>
    </row>
    <row r="1732" spans="1:2">
      <c r="A1732" s="1">
        <v>44886</v>
      </c>
      <c r="B1732">
        <v>3.83</v>
      </c>
    </row>
    <row r="1733" spans="1:2">
      <c r="A1733" s="1">
        <v>44887</v>
      </c>
      <c r="B1733">
        <v>3.76</v>
      </c>
    </row>
    <row r="1734" spans="1:2">
      <c r="A1734" s="1">
        <v>44888</v>
      </c>
      <c r="B1734">
        <v>3.71</v>
      </c>
    </row>
    <row r="1735" spans="1:2">
      <c r="A1735" s="1">
        <v>44889</v>
      </c>
    </row>
    <row r="1736" spans="1:2">
      <c r="A1736" s="1">
        <v>44890</v>
      </c>
      <c r="B1736">
        <v>3.68</v>
      </c>
    </row>
    <row r="1737" spans="1:2">
      <c r="A1737" s="1">
        <v>44893</v>
      </c>
      <c r="B1737">
        <v>3.69</v>
      </c>
    </row>
    <row r="1738" spans="1:2">
      <c r="A1738" s="1">
        <v>44894</v>
      </c>
      <c r="B1738">
        <v>3.75</v>
      </c>
    </row>
    <row r="1739" spans="1:2">
      <c r="A1739" s="1">
        <v>44895</v>
      </c>
      <c r="B1739">
        <v>3.68</v>
      </c>
    </row>
    <row r="1740" spans="1:2">
      <c r="A1740" s="1">
        <v>44896</v>
      </c>
      <c r="B1740">
        <v>3.53</v>
      </c>
    </row>
    <row r="1741" spans="1:2">
      <c r="A1741" s="1">
        <v>44897</v>
      </c>
      <c r="B1741">
        <v>3.51</v>
      </c>
    </row>
    <row r="1742" spans="1:2">
      <c r="A1742" s="1">
        <v>44900</v>
      </c>
      <c r="B1742">
        <v>3.6</v>
      </c>
    </row>
    <row r="1743" spans="1:2">
      <c r="A1743" s="1">
        <v>44901</v>
      </c>
      <c r="B1743">
        <v>3.51</v>
      </c>
    </row>
    <row r="1744" spans="1:2">
      <c r="A1744" s="1">
        <v>44902</v>
      </c>
      <c r="B1744">
        <v>3.42</v>
      </c>
    </row>
    <row r="1745" spans="1:2">
      <c r="A1745" s="1">
        <v>44903</v>
      </c>
      <c r="B1745">
        <v>3.48</v>
      </c>
    </row>
    <row r="1746" spans="1:2">
      <c r="A1746" s="1">
        <v>44904</v>
      </c>
      <c r="B1746">
        <v>3.57</v>
      </c>
    </row>
    <row r="1747" spans="1:2">
      <c r="A1747" s="1">
        <v>44907</v>
      </c>
      <c r="B1747">
        <v>3.61</v>
      </c>
    </row>
    <row r="1748" spans="1:2">
      <c r="A1748" s="1">
        <v>44908</v>
      </c>
      <c r="B1748">
        <v>3.51</v>
      </c>
    </row>
    <row r="1749" spans="1:2">
      <c r="A1749" s="1">
        <v>44909</v>
      </c>
      <c r="B1749">
        <v>3.49</v>
      </c>
    </row>
    <row r="1750" spans="1:2">
      <c r="A1750" s="1">
        <v>44910</v>
      </c>
      <c r="B1750">
        <v>3.44</v>
      </c>
    </row>
    <row r="1751" spans="1:2">
      <c r="A1751" s="1">
        <v>44911</v>
      </c>
      <c r="B1751">
        <v>3.48</v>
      </c>
    </row>
    <row r="1752" spans="1:2">
      <c r="A1752" s="1">
        <v>44914</v>
      </c>
      <c r="B1752">
        <v>3.57</v>
      </c>
    </row>
    <row r="1753" spans="1:2">
      <c r="A1753" s="1">
        <v>44915</v>
      </c>
      <c r="B1753">
        <v>3.69</v>
      </c>
    </row>
    <row r="1754" spans="1:2">
      <c r="A1754" s="1">
        <v>44916</v>
      </c>
      <c r="B1754">
        <v>3.68</v>
      </c>
    </row>
    <row r="1755" spans="1:2">
      <c r="A1755" s="1">
        <v>44917</v>
      </c>
      <c r="B1755">
        <v>3.67</v>
      </c>
    </row>
    <row r="1756" spans="1:2">
      <c r="A1756" s="1">
        <v>44918</v>
      </c>
      <c r="B1756">
        <v>3.75</v>
      </c>
    </row>
    <row r="1757" spans="1:2">
      <c r="A1757" s="1">
        <v>44921</v>
      </c>
    </row>
    <row r="1758" spans="1:2">
      <c r="A1758" s="1">
        <v>44922</v>
      </c>
      <c r="B1758">
        <v>3.84</v>
      </c>
    </row>
    <row r="1759" spans="1:2">
      <c r="A1759" s="1">
        <v>44923</v>
      </c>
      <c r="B1759">
        <v>3.88</v>
      </c>
    </row>
    <row r="1760" spans="1:2">
      <c r="A1760" s="1">
        <v>44924</v>
      </c>
      <c r="B1760">
        <v>3.83</v>
      </c>
    </row>
    <row r="1761" spans="1:2">
      <c r="A1761" s="1">
        <v>44925</v>
      </c>
      <c r="B1761">
        <v>3.88</v>
      </c>
    </row>
    <row r="1762" spans="1:2">
      <c r="A1762" s="1">
        <v>44928</v>
      </c>
    </row>
    <row r="1763" spans="1:2">
      <c r="A1763" s="1">
        <v>44929</v>
      </c>
      <c r="B1763">
        <v>3.79</v>
      </c>
    </row>
    <row r="1764" spans="1:2">
      <c r="A1764" s="1">
        <v>44930</v>
      </c>
      <c r="B1764">
        <v>3.69</v>
      </c>
    </row>
    <row r="1765" spans="1:2">
      <c r="A1765" s="1">
        <v>44931</v>
      </c>
      <c r="B1765">
        <v>3.71</v>
      </c>
    </row>
    <row r="1766" spans="1:2">
      <c r="A1766" s="1">
        <v>44932</v>
      </c>
      <c r="B1766">
        <v>3.55</v>
      </c>
    </row>
    <row r="1767" spans="1:2">
      <c r="A1767" s="1">
        <v>44935</v>
      </c>
      <c r="B1767">
        <v>3.53</v>
      </c>
    </row>
    <row r="1768" spans="1:2">
      <c r="A1768" s="1">
        <v>44936</v>
      </c>
      <c r="B1768">
        <v>3.61</v>
      </c>
    </row>
    <row r="1769" spans="1:2">
      <c r="A1769" s="1">
        <v>44937</v>
      </c>
      <c r="B1769">
        <v>3.54</v>
      </c>
    </row>
    <row r="1770" spans="1:2">
      <c r="A1770" s="1">
        <v>44938</v>
      </c>
      <c r="B1770">
        <v>3.43</v>
      </c>
    </row>
    <row r="1771" spans="1:2">
      <c r="A1771" s="1">
        <v>44939</v>
      </c>
      <c r="B1771">
        <v>3.49</v>
      </c>
    </row>
    <row r="1772" spans="1:2">
      <c r="A1772" s="1">
        <v>44942</v>
      </c>
    </row>
    <row r="1773" spans="1:2">
      <c r="A1773" s="1">
        <v>44943</v>
      </c>
      <c r="B1773">
        <v>3.53</v>
      </c>
    </row>
    <row r="1774" spans="1:2">
      <c r="A1774" s="1">
        <v>44944</v>
      </c>
      <c r="B1774">
        <v>3.37</v>
      </c>
    </row>
    <row r="1775" spans="1:2">
      <c r="A1775" s="1">
        <v>44945</v>
      </c>
      <c r="B1775">
        <v>3.39</v>
      </c>
    </row>
    <row r="1776" spans="1:2">
      <c r="A1776" s="1">
        <v>44946</v>
      </c>
      <c r="B1776">
        <v>3.48</v>
      </c>
    </row>
    <row r="1777" spans="1:2">
      <c r="A1777" s="1">
        <v>44949</v>
      </c>
      <c r="B1777">
        <v>3.52</v>
      </c>
    </row>
    <row r="1778" spans="1:2">
      <c r="A1778" s="1">
        <v>44950</v>
      </c>
      <c r="B1778">
        <v>3.46</v>
      </c>
    </row>
    <row r="1779" spans="1:2">
      <c r="A1779" s="1">
        <v>44951</v>
      </c>
      <c r="B1779">
        <v>3.46</v>
      </c>
    </row>
    <row r="1780" spans="1:2">
      <c r="A1780" s="1">
        <v>44952</v>
      </c>
      <c r="B1780">
        <v>3.49</v>
      </c>
    </row>
    <row r="1781" spans="1:2">
      <c r="A1781" s="1">
        <v>44953</v>
      </c>
      <c r="B1781">
        <v>3.52</v>
      </c>
    </row>
    <row r="1782" spans="1:2">
      <c r="A1782" s="1">
        <v>44956</v>
      </c>
      <c r="B1782">
        <v>3.55</v>
      </c>
    </row>
    <row r="1783" spans="1:2">
      <c r="A1783" s="1">
        <v>44957</v>
      </c>
      <c r="B1783">
        <v>3.52</v>
      </c>
    </row>
    <row r="1784" spans="1:2">
      <c r="A1784" s="1">
        <v>44958</v>
      </c>
      <c r="B1784">
        <v>3.39</v>
      </c>
    </row>
    <row r="1785" spans="1:2">
      <c r="A1785" s="1">
        <v>44959</v>
      </c>
      <c r="B1785">
        <v>3.4</v>
      </c>
    </row>
    <row r="1786" spans="1:2">
      <c r="A1786" s="1">
        <v>44960</v>
      </c>
      <c r="B1786">
        <v>3.53</v>
      </c>
    </row>
    <row r="1787" spans="1:2">
      <c r="A1787" s="1">
        <v>44963</v>
      </c>
      <c r="B1787">
        <v>3.63</v>
      </c>
    </row>
    <row r="1788" spans="1:2">
      <c r="A1788" s="1">
        <v>44964</v>
      </c>
      <c r="B1788">
        <v>3.67</v>
      </c>
    </row>
    <row r="1789" spans="1:2">
      <c r="A1789" s="1">
        <v>44965</v>
      </c>
      <c r="B1789">
        <v>3.63</v>
      </c>
    </row>
    <row r="1790" spans="1:2">
      <c r="A1790" s="1">
        <v>44966</v>
      </c>
      <c r="B1790">
        <v>3.67</v>
      </c>
    </row>
    <row r="1791" spans="1:2">
      <c r="A1791" s="1">
        <v>44967</v>
      </c>
      <c r="B1791">
        <v>3.74</v>
      </c>
    </row>
    <row r="1792" spans="1:2">
      <c r="A1792" s="1">
        <v>44970</v>
      </c>
      <c r="B1792">
        <v>3.72</v>
      </c>
    </row>
    <row r="1793" spans="1:2">
      <c r="A1793" s="1">
        <v>44971</v>
      </c>
      <c r="B1793">
        <v>3.77</v>
      </c>
    </row>
    <row r="1794" spans="1:2">
      <c r="A1794" s="1">
        <v>44972</v>
      </c>
      <c r="B1794">
        <v>3.81</v>
      </c>
    </row>
    <row r="1795" spans="1:2">
      <c r="A1795" s="1">
        <v>44973</v>
      </c>
      <c r="B1795">
        <v>3.86</v>
      </c>
    </row>
    <row r="1796" spans="1:2">
      <c r="A1796" s="1">
        <v>44974</v>
      </c>
      <c r="B1796">
        <v>3.82</v>
      </c>
    </row>
    <row r="1797" spans="1:2">
      <c r="A1797" s="1">
        <v>44977</v>
      </c>
    </row>
    <row r="1798" spans="1:2">
      <c r="A1798" s="1">
        <v>44978</v>
      </c>
      <c r="B1798">
        <v>3.95</v>
      </c>
    </row>
    <row r="1799" spans="1:2">
      <c r="A1799" s="1">
        <v>44979</v>
      </c>
      <c r="B1799">
        <v>3.93</v>
      </c>
    </row>
    <row r="1800" spans="1:2">
      <c r="A1800" s="1">
        <v>44980</v>
      </c>
      <c r="B1800">
        <v>3.88</v>
      </c>
    </row>
    <row r="1801" spans="1:2">
      <c r="A1801" s="1">
        <v>44981</v>
      </c>
      <c r="B1801">
        <v>3.95</v>
      </c>
    </row>
    <row r="1802" spans="1:2">
      <c r="A1802" s="1">
        <v>44984</v>
      </c>
      <c r="B1802">
        <v>3.92</v>
      </c>
    </row>
    <row r="1803" spans="1:2">
      <c r="A1803" s="1">
        <v>44985</v>
      </c>
      <c r="B1803">
        <v>3.92</v>
      </c>
    </row>
    <row r="1804" spans="1:2">
      <c r="A1804" s="1">
        <v>44986</v>
      </c>
      <c r="B1804">
        <v>4.01</v>
      </c>
    </row>
    <row r="1805" spans="1:2">
      <c r="A1805" s="1">
        <v>44987</v>
      </c>
      <c r="B1805">
        <v>4.08</v>
      </c>
    </row>
    <row r="1806" spans="1:2">
      <c r="A1806" s="1">
        <v>44988</v>
      </c>
      <c r="B1806">
        <v>3.97</v>
      </c>
    </row>
    <row r="1807" spans="1:2">
      <c r="A1807" s="1">
        <v>44991</v>
      </c>
      <c r="B1807">
        <v>3.98</v>
      </c>
    </row>
    <row r="1808" spans="1:2">
      <c r="A1808" s="1">
        <v>44992</v>
      </c>
      <c r="B1808">
        <v>3.97</v>
      </c>
    </row>
    <row r="1809" spans="1:2">
      <c r="A1809" s="1">
        <v>44993</v>
      </c>
      <c r="B1809">
        <v>3.98</v>
      </c>
    </row>
    <row r="1810" spans="1:2">
      <c r="A1810" s="1">
        <v>44994</v>
      </c>
      <c r="B1810">
        <v>3.93</v>
      </c>
    </row>
    <row r="1811" spans="1:2">
      <c r="A1811" s="1">
        <v>44995</v>
      </c>
      <c r="B1811">
        <v>3.7</v>
      </c>
    </row>
    <row r="1812" spans="1:2">
      <c r="A1812" s="1">
        <v>44998</v>
      </c>
      <c r="B1812">
        <v>3.55</v>
      </c>
    </row>
    <row r="1813" spans="1:2">
      <c r="A1813" s="1">
        <v>44999</v>
      </c>
      <c r="B1813">
        <v>3.64</v>
      </c>
    </row>
    <row r="1814" spans="1:2">
      <c r="A1814" s="1">
        <v>45000</v>
      </c>
      <c r="B1814">
        <v>3.51</v>
      </c>
    </row>
    <row r="1815" spans="1:2">
      <c r="A1815" s="1">
        <v>45001</v>
      </c>
      <c r="B1815">
        <v>3.56</v>
      </c>
    </row>
    <row r="1816" spans="1:2">
      <c r="A1816" s="1">
        <v>45002</v>
      </c>
      <c r="B1816">
        <v>3.39</v>
      </c>
    </row>
    <row r="1817" spans="1:2">
      <c r="A1817" s="1">
        <v>45005</v>
      </c>
      <c r="B1817">
        <v>3.47</v>
      </c>
    </row>
    <row r="1818" spans="1:2">
      <c r="A1818" s="1">
        <v>45006</v>
      </c>
      <c r="B1818">
        <v>3.59</v>
      </c>
    </row>
    <row r="1819" spans="1:2">
      <c r="A1819" s="1">
        <v>45007</v>
      </c>
      <c r="B1819">
        <v>3.48</v>
      </c>
    </row>
    <row r="1820" spans="1:2">
      <c r="A1820" s="1">
        <v>45008</v>
      </c>
      <c r="B1820">
        <v>3.38</v>
      </c>
    </row>
    <row r="1821" spans="1:2">
      <c r="A1821" s="1">
        <v>45009</v>
      </c>
      <c r="B1821">
        <v>3.38</v>
      </c>
    </row>
    <row r="1822" spans="1:2">
      <c r="A1822" s="1">
        <v>45012</v>
      </c>
      <c r="B1822">
        <v>3.53</v>
      </c>
    </row>
    <row r="1823" spans="1:2">
      <c r="A1823" s="1">
        <v>45013</v>
      </c>
      <c r="B1823">
        <v>3.55</v>
      </c>
    </row>
    <row r="1824" spans="1:2">
      <c r="A1824" s="1">
        <v>45014</v>
      </c>
      <c r="B1824">
        <v>3.57</v>
      </c>
    </row>
    <row r="1825" spans="1:2">
      <c r="A1825" s="1">
        <v>45015</v>
      </c>
      <c r="B1825">
        <v>3.55</v>
      </c>
    </row>
    <row r="1826" spans="1:2">
      <c r="A1826" s="1">
        <v>45016</v>
      </c>
      <c r="B1826">
        <v>3.48</v>
      </c>
    </row>
    <row r="1827" spans="1:2">
      <c r="A1827" s="1">
        <v>45019</v>
      </c>
      <c r="B1827">
        <v>3.43</v>
      </c>
    </row>
    <row r="1828" spans="1:2">
      <c r="A1828" s="1">
        <v>45020</v>
      </c>
      <c r="B1828">
        <v>3.35</v>
      </c>
    </row>
    <row r="1829" spans="1:2">
      <c r="A1829" s="1">
        <v>45021</v>
      </c>
      <c r="B1829">
        <v>3.3</v>
      </c>
    </row>
    <row r="1830" spans="1:2">
      <c r="A1830" s="1">
        <v>45022</v>
      </c>
      <c r="B1830">
        <v>3.3</v>
      </c>
    </row>
    <row r="1831" spans="1:2">
      <c r="A1831" s="1">
        <v>45023</v>
      </c>
      <c r="B1831">
        <v>3.39</v>
      </c>
    </row>
    <row r="1832" spans="1:2">
      <c r="A1832" s="1">
        <v>45026</v>
      </c>
      <c r="B1832">
        <v>3.41</v>
      </c>
    </row>
    <row r="1833" spans="1:2">
      <c r="A1833" s="1">
        <v>45027</v>
      </c>
      <c r="B1833">
        <v>3.43</v>
      </c>
    </row>
    <row r="1834" spans="1:2">
      <c r="A1834" s="1">
        <v>45028</v>
      </c>
      <c r="B1834">
        <v>3.41</v>
      </c>
    </row>
    <row r="1835" spans="1:2">
      <c r="A1835" s="1">
        <v>45029</v>
      </c>
      <c r="B1835">
        <v>3.45</v>
      </c>
    </row>
    <row r="1836" spans="1:2">
      <c r="A1836" s="1">
        <v>45030</v>
      </c>
      <c r="B1836">
        <v>3.52</v>
      </c>
    </row>
    <row r="1837" spans="1:2">
      <c r="A1837" s="1">
        <v>45033</v>
      </c>
      <c r="B1837">
        <v>3.6</v>
      </c>
    </row>
    <row r="1838" spans="1:2">
      <c r="A1838" s="1">
        <v>45034</v>
      </c>
      <c r="B1838">
        <v>3.58</v>
      </c>
    </row>
    <row r="1839" spans="1:2">
      <c r="A1839" s="1">
        <v>45035</v>
      </c>
      <c r="B1839">
        <v>3.6</v>
      </c>
    </row>
    <row r="1840" spans="1:2">
      <c r="A1840" s="1">
        <v>45036</v>
      </c>
      <c r="B1840">
        <v>3.54</v>
      </c>
    </row>
    <row r="1841" spans="1:2">
      <c r="A1841" s="1">
        <v>45037</v>
      </c>
      <c r="B1841">
        <v>3.57</v>
      </c>
    </row>
    <row r="1842" spans="1:2">
      <c r="A1842" s="1">
        <v>45040</v>
      </c>
      <c r="B1842">
        <v>3.52</v>
      </c>
    </row>
    <row r="1843" spans="1:2">
      <c r="A1843" s="1">
        <v>45041</v>
      </c>
      <c r="B1843">
        <v>3.4</v>
      </c>
    </row>
    <row r="1844" spans="1:2">
      <c r="A1844" s="1">
        <v>45042</v>
      </c>
      <c r="B1844">
        <v>3.43</v>
      </c>
    </row>
    <row r="1845" spans="1:2">
      <c r="A1845" s="1">
        <v>45043</v>
      </c>
      <c r="B1845">
        <v>3.53</v>
      </c>
    </row>
    <row r="1846" spans="1:2">
      <c r="A1846" s="1">
        <v>45044</v>
      </c>
      <c r="B1846">
        <v>3.44</v>
      </c>
    </row>
    <row r="1847" spans="1:2">
      <c r="A1847" s="1">
        <v>45047</v>
      </c>
      <c r="B1847">
        <v>3.59</v>
      </c>
    </row>
    <row r="1848" spans="1:2">
      <c r="A1848" s="1">
        <v>45048</v>
      </c>
      <c r="B1848">
        <v>3.44</v>
      </c>
    </row>
    <row r="1849" spans="1:2">
      <c r="A1849" s="1">
        <v>45049</v>
      </c>
      <c r="B1849">
        <v>3.38</v>
      </c>
    </row>
    <row r="1850" spans="1:2">
      <c r="A1850" s="1">
        <v>45050</v>
      </c>
      <c r="B1850">
        <v>3.37</v>
      </c>
    </row>
    <row r="1851" spans="1:2">
      <c r="A1851" s="1">
        <v>45051</v>
      </c>
      <c r="B1851">
        <v>3.44</v>
      </c>
    </row>
    <row r="1852" spans="1:2">
      <c r="A1852" s="1">
        <v>45054</v>
      </c>
      <c r="B1852">
        <v>3.52</v>
      </c>
    </row>
    <row r="1853" spans="1:2">
      <c r="A1853" s="1">
        <v>45055</v>
      </c>
      <c r="B1853">
        <v>3.53</v>
      </c>
    </row>
    <row r="1854" spans="1:2">
      <c r="A1854" s="1">
        <v>45056</v>
      </c>
      <c r="B1854">
        <v>3.43</v>
      </c>
    </row>
    <row r="1855" spans="1:2">
      <c r="A1855" s="1">
        <v>45057</v>
      </c>
      <c r="B1855">
        <v>3.39</v>
      </c>
    </row>
    <row r="1856" spans="1:2">
      <c r="A1856" s="1">
        <v>45058</v>
      </c>
      <c r="B1856">
        <v>3.46</v>
      </c>
    </row>
    <row r="1857" spans="1:2">
      <c r="A1857" s="1">
        <v>45061</v>
      </c>
      <c r="B1857">
        <v>3.5</v>
      </c>
    </row>
    <row r="1858" spans="1:2">
      <c r="A1858" s="1">
        <v>45062</v>
      </c>
      <c r="B1858">
        <v>3.54</v>
      </c>
    </row>
    <row r="1859" spans="1:2">
      <c r="A1859" s="1">
        <v>45063</v>
      </c>
      <c r="B1859">
        <v>3.57</v>
      </c>
    </row>
    <row r="1860" spans="1:2">
      <c r="A1860" s="1">
        <v>45064</v>
      </c>
      <c r="B1860">
        <v>3.65</v>
      </c>
    </row>
    <row r="1861" spans="1:2">
      <c r="A1861" s="1">
        <v>45065</v>
      </c>
      <c r="B1861">
        <v>3.7</v>
      </c>
    </row>
    <row r="1862" spans="1:2">
      <c r="A1862" s="1">
        <v>45068</v>
      </c>
      <c r="B1862">
        <v>3.72</v>
      </c>
    </row>
    <row r="1863" spans="1:2">
      <c r="A1863" s="1">
        <v>45069</v>
      </c>
      <c r="B1863">
        <v>3.7</v>
      </c>
    </row>
    <row r="1864" spans="1:2">
      <c r="A1864" s="1">
        <v>45070</v>
      </c>
      <c r="B1864">
        <v>3.73</v>
      </c>
    </row>
    <row r="1865" spans="1:2">
      <c r="A1865" s="1">
        <v>45071</v>
      </c>
      <c r="B1865">
        <v>3.83</v>
      </c>
    </row>
    <row r="1866" spans="1:2">
      <c r="A1866" s="1">
        <v>45072</v>
      </c>
      <c r="B1866">
        <v>3.8</v>
      </c>
    </row>
    <row r="1867" spans="1:2">
      <c r="A1867" s="1">
        <v>45075</v>
      </c>
    </row>
    <row r="1868" spans="1:2">
      <c r="A1868" s="1">
        <v>45076</v>
      </c>
      <c r="B1868">
        <v>3.69</v>
      </c>
    </row>
    <row r="1869" spans="1:2">
      <c r="A1869" s="1">
        <v>45077</v>
      </c>
      <c r="B1869">
        <v>3.64</v>
      </c>
    </row>
    <row r="1870" spans="1:2">
      <c r="A1870" s="1">
        <v>45078</v>
      </c>
      <c r="B1870">
        <v>3.61</v>
      </c>
    </row>
    <row r="1871" spans="1:2">
      <c r="A1871" s="1">
        <v>45079</v>
      </c>
      <c r="B1871">
        <v>3.69</v>
      </c>
    </row>
    <row r="1872" spans="1:2">
      <c r="A1872" s="1">
        <v>45082</v>
      </c>
      <c r="B1872">
        <v>3.69</v>
      </c>
    </row>
    <row r="1873" spans="1:2">
      <c r="A1873" s="1">
        <v>45083</v>
      </c>
      <c r="B1873">
        <v>3.7</v>
      </c>
    </row>
    <row r="1874" spans="1:2">
      <c r="A1874" s="1">
        <v>45084</v>
      </c>
      <c r="B1874">
        <v>3.79</v>
      </c>
    </row>
    <row r="1875" spans="1:2">
      <c r="A1875" s="1">
        <v>45085</v>
      </c>
      <c r="B1875">
        <v>3.73</v>
      </c>
    </row>
    <row r="1876" spans="1:2">
      <c r="A1876" s="1">
        <v>45086</v>
      </c>
      <c r="B1876">
        <v>3.75</v>
      </c>
    </row>
    <row r="1877" spans="1:2">
      <c r="A1877" s="1">
        <v>45089</v>
      </c>
      <c r="B1877">
        <v>3.73</v>
      </c>
    </row>
    <row r="1878" spans="1:2">
      <c r="A1878" s="1">
        <v>45090</v>
      </c>
      <c r="B1878">
        <v>3.84</v>
      </c>
    </row>
    <row r="1879" spans="1:2">
      <c r="A1879" s="1">
        <v>45091</v>
      </c>
      <c r="B1879">
        <v>3.83</v>
      </c>
    </row>
    <row r="1880" spans="1:2">
      <c r="A1880" s="1">
        <v>45092</v>
      </c>
      <c r="B1880">
        <v>3.72</v>
      </c>
    </row>
    <row r="1881" spans="1:2">
      <c r="A1881" s="1">
        <v>45093</v>
      </c>
      <c r="B1881">
        <v>3.77</v>
      </c>
    </row>
    <row r="1882" spans="1:2">
      <c r="A1882" s="1">
        <v>45096</v>
      </c>
    </row>
    <row r="1883" spans="1:2">
      <c r="A1883" s="1">
        <v>45097</v>
      </c>
      <c r="B1883">
        <v>3.74</v>
      </c>
    </row>
    <row r="1884" spans="1:2">
      <c r="A1884" s="1">
        <v>45098</v>
      </c>
      <c r="B1884">
        <v>3.72</v>
      </c>
    </row>
    <row r="1885" spans="1:2">
      <c r="A1885" s="1">
        <v>45099</v>
      </c>
      <c r="B1885">
        <v>3.8</v>
      </c>
    </row>
    <row r="1886" spans="1:2">
      <c r="A1886" s="1">
        <v>45100</v>
      </c>
      <c r="B1886">
        <v>3.74</v>
      </c>
    </row>
    <row r="1887" spans="1:2">
      <c r="A1887" s="1">
        <v>45103</v>
      </c>
      <c r="B1887">
        <v>3.72</v>
      </c>
    </row>
    <row r="1888" spans="1:2">
      <c r="A1888" s="1">
        <v>45104</v>
      </c>
      <c r="B1888">
        <v>3.77</v>
      </c>
    </row>
    <row r="1889" spans="1:2">
      <c r="A1889" s="1">
        <v>45105</v>
      </c>
      <c r="B1889">
        <v>3.71</v>
      </c>
    </row>
    <row r="1890" spans="1:2">
      <c r="A1890" s="1">
        <v>45106</v>
      </c>
      <c r="B1890">
        <v>3.85</v>
      </c>
    </row>
    <row r="1891" spans="1:2">
      <c r="A1891" s="1">
        <v>45107</v>
      </c>
      <c r="B1891">
        <v>3.81</v>
      </c>
    </row>
    <row r="1892" spans="1:2">
      <c r="A1892" s="1">
        <v>45110</v>
      </c>
      <c r="B1892">
        <v>3.86</v>
      </c>
    </row>
    <row r="1893" spans="1:2">
      <c r="A1893" s="1">
        <v>45111</v>
      </c>
    </row>
    <row r="1894" spans="1:2">
      <c r="A1894" s="1">
        <v>45112</v>
      </c>
      <c r="B1894">
        <v>3.95</v>
      </c>
    </row>
    <row r="1895" spans="1:2">
      <c r="A1895" s="1">
        <v>45113</v>
      </c>
      <c r="B1895">
        <v>4.05</v>
      </c>
    </row>
    <row r="1896" spans="1:2">
      <c r="A1896" s="1">
        <v>45114</v>
      </c>
      <c r="B1896">
        <v>4.0599999999999996</v>
      </c>
    </row>
    <row r="1897" spans="1:2">
      <c r="A1897" s="1">
        <v>45117</v>
      </c>
      <c r="B1897">
        <v>4.01</v>
      </c>
    </row>
    <row r="1898" spans="1:2">
      <c r="A1898" s="1">
        <v>45118</v>
      </c>
      <c r="B1898">
        <v>3.99</v>
      </c>
    </row>
    <row r="1899" spans="1:2">
      <c r="A1899" s="1">
        <v>45119</v>
      </c>
      <c r="B1899">
        <v>3.86</v>
      </c>
    </row>
    <row r="1900" spans="1:2">
      <c r="A1900" s="1">
        <v>45120</v>
      </c>
      <c r="B1900">
        <v>3.76</v>
      </c>
    </row>
    <row r="1901" spans="1:2">
      <c r="A1901" s="1">
        <v>45121</v>
      </c>
      <c r="B1901">
        <v>3.83</v>
      </c>
    </row>
    <row r="1902" spans="1:2">
      <c r="A1902" s="1">
        <v>45124</v>
      </c>
      <c r="B1902">
        <v>3.81</v>
      </c>
    </row>
    <row r="1903" spans="1:2">
      <c r="A1903" s="1">
        <v>45125</v>
      </c>
      <c r="B1903">
        <v>3.8</v>
      </c>
    </row>
    <row r="1904" spans="1:2">
      <c r="A1904" s="1">
        <v>45126</v>
      </c>
      <c r="B1904">
        <v>3.75</v>
      </c>
    </row>
    <row r="1905" spans="1:2">
      <c r="A1905" s="1">
        <v>45127</v>
      </c>
      <c r="B1905">
        <v>3.85</v>
      </c>
    </row>
    <row r="1906" spans="1:2">
      <c r="A1906" s="1">
        <v>45128</v>
      </c>
      <c r="B1906">
        <v>3.84</v>
      </c>
    </row>
    <row r="1907" spans="1:2">
      <c r="A1907" s="1">
        <v>45131</v>
      </c>
      <c r="B1907">
        <v>3.86</v>
      </c>
    </row>
    <row r="1908" spans="1:2">
      <c r="A1908" s="1">
        <v>45132</v>
      </c>
      <c r="B1908">
        <v>3.91</v>
      </c>
    </row>
    <row r="1909" spans="1:2">
      <c r="A1909" s="1">
        <v>45133</v>
      </c>
      <c r="B1909">
        <v>3.86</v>
      </c>
    </row>
    <row r="1910" spans="1:2">
      <c r="A1910" s="1">
        <v>45134</v>
      </c>
      <c r="B1910">
        <v>4.01</v>
      </c>
    </row>
    <row r="1911" spans="1:2">
      <c r="A1911" s="1">
        <v>45135</v>
      </c>
      <c r="B1911">
        <v>3.96</v>
      </c>
    </row>
    <row r="1912" spans="1:2">
      <c r="A1912" s="1">
        <v>45138</v>
      </c>
      <c r="B1912">
        <v>3.97</v>
      </c>
    </row>
    <row r="1913" spans="1:2">
      <c r="A1913" s="1">
        <v>45139</v>
      </c>
      <c r="B1913">
        <v>4.05</v>
      </c>
    </row>
    <row r="1914" spans="1:2">
      <c r="A1914" s="1">
        <v>45140</v>
      </c>
      <c r="B1914">
        <v>4.08</v>
      </c>
    </row>
    <row r="1915" spans="1:2">
      <c r="A1915" s="1">
        <v>45141</v>
      </c>
      <c r="B1915">
        <v>4.2</v>
      </c>
    </row>
    <row r="1916" spans="1:2">
      <c r="A1916" s="1">
        <v>45142</v>
      </c>
      <c r="B1916">
        <v>4.05</v>
      </c>
    </row>
    <row r="1917" spans="1:2">
      <c r="A1917" s="1">
        <v>45145</v>
      </c>
      <c r="B1917">
        <v>4.09</v>
      </c>
    </row>
    <row r="1918" spans="1:2">
      <c r="A1918" s="1">
        <v>45146</v>
      </c>
      <c r="B1918">
        <v>4.0199999999999996</v>
      </c>
    </row>
    <row r="1919" spans="1:2">
      <c r="A1919" s="1">
        <v>45147</v>
      </c>
      <c r="B1919">
        <v>4</v>
      </c>
    </row>
    <row r="1920" spans="1:2">
      <c r="A1920" s="1">
        <v>45148</v>
      </c>
      <c r="B1920">
        <v>4.09</v>
      </c>
    </row>
    <row r="1921" spans="1:2">
      <c r="A1921" s="1">
        <v>45149</v>
      </c>
      <c r="B1921">
        <v>4.16</v>
      </c>
    </row>
    <row r="1922" spans="1:2">
      <c r="A1922" s="1">
        <v>45152</v>
      </c>
      <c r="B1922">
        <v>4.1900000000000004</v>
      </c>
    </row>
    <row r="1923" spans="1:2">
      <c r="A1923" s="1">
        <v>45153</v>
      </c>
      <c r="B1923">
        <v>4.21</v>
      </c>
    </row>
    <row r="1924" spans="1:2">
      <c r="A1924" s="1">
        <v>45154</v>
      </c>
      <c r="B1924">
        <v>4.28</v>
      </c>
    </row>
    <row r="1925" spans="1:2">
      <c r="A1925" s="1">
        <v>45155</v>
      </c>
      <c r="B1925">
        <v>4.3</v>
      </c>
    </row>
    <row r="1926" spans="1:2">
      <c r="A1926" s="1">
        <v>45156</v>
      </c>
      <c r="B1926">
        <v>4.26</v>
      </c>
    </row>
    <row r="1927" spans="1:2">
      <c r="A1927" s="1">
        <v>45159</v>
      </c>
      <c r="B1927">
        <v>4.34</v>
      </c>
    </row>
    <row r="1928" spans="1:2">
      <c r="A1928" s="1">
        <v>45160</v>
      </c>
      <c r="B1928">
        <v>4.34</v>
      </c>
    </row>
    <row r="1929" spans="1:2">
      <c r="A1929" s="1">
        <v>45161</v>
      </c>
      <c r="B1929">
        <v>4.1900000000000004</v>
      </c>
    </row>
    <row r="1930" spans="1:2">
      <c r="A1930" s="1">
        <v>45162</v>
      </c>
      <c r="B1930">
        <v>4.2300000000000004</v>
      </c>
    </row>
    <row r="1931" spans="1:2">
      <c r="A1931" s="1">
        <v>45163</v>
      </c>
      <c r="B1931">
        <v>4.25</v>
      </c>
    </row>
    <row r="1932" spans="1:2">
      <c r="A1932" s="1">
        <v>45166</v>
      </c>
      <c r="B1932">
        <v>4.2</v>
      </c>
    </row>
    <row r="1933" spans="1:2">
      <c r="A1933" s="1">
        <v>45167</v>
      </c>
      <c r="B1933">
        <v>4.12</v>
      </c>
    </row>
    <row r="1934" spans="1:2">
      <c r="A1934" s="1">
        <v>45168</v>
      </c>
      <c r="B1934">
        <v>4.12</v>
      </c>
    </row>
    <row r="1935" spans="1:2">
      <c r="A1935" s="1">
        <v>45169</v>
      </c>
      <c r="B1935">
        <v>4.09</v>
      </c>
    </row>
    <row r="1936" spans="1:2">
      <c r="A1936" s="1">
        <v>45170</v>
      </c>
      <c r="B1936">
        <v>4.18</v>
      </c>
    </row>
    <row r="1937" spans="1:2">
      <c r="A1937" s="1">
        <v>45173</v>
      </c>
    </row>
    <row r="1938" spans="1:2">
      <c r="A1938" s="1">
        <v>45174</v>
      </c>
      <c r="B1938">
        <v>4.2699999999999996</v>
      </c>
    </row>
    <row r="1939" spans="1:2">
      <c r="A1939" s="1">
        <v>45175</v>
      </c>
      <c r="B1939">
        <v>4.3</v>
      </c>
    </row>
    <row r="1940" spans="1:2">
      <c r="A1940" s="1">
        <v>45176</v>
      </c>
      <c r="B1940">
        <v>4.2699999999999996</v>
      </c>
    </row>
    <row r="1941" spans="1:2">
      <c r="A1941" s="1">
        <v>45177</v>
      </c>
      <c r="B1941">
        <v>4.26</v>
      </c>
    </row>
    <row r="1942" spans="1:2">
      <c r="A1942" s="1">
        <v>45180</v>
      </c>
      <c r="B1942">
        <v>4.29</v>
      </c>
    </row>
    <row r="1943" spans="1:2">
      <c r="A1943" s="1">
        <v>45181</v>
      </c>
      <c r="B1943">
        <v>4.2699999999999996</v>
      </c>
    </row>
    <row r="1944" spans="1:2">
      <c r="A1944" s="1">
        <v>45182</v>
      </c>
      <c r="B1944">
        <v>4.25</v>
      </c>
    </row>
    <row r="1945" spans="1:2">
      <c r="A1945" s="1">
        <v>45183</v>
      </c>
      <c r="B1945">
        <v>4.29</v>
      </c>
    </row>
    <row r="1946" spans="1:2">
      <c r="A1946" s="1">
        <v>45184</v>
      </c>
      <c r="B1946">
        <v>4.33</v>
      </c>
    </row>
    <row r="1947" spans="1:2">
      <c r="A1947" s="1">
        <v>45187</v>
      </c>
      <c r="B1947">
        <v>4.32</v>
      </c>
    </row>
    <row r="1948" spans="1:2">
      <c r="A1948" s="1">
        <v>45188</v>
      </c>
      <c r="B1948">
        <v>4.37</v>
      </c>
    </row>
    <row r="1949" spans="1:2">
      <c r="A1949" s="1">
        <v>45189</v>
      </c>
      <c r="B1949">
        <v>4.3499999999999996</v>
      </c>
    </row>
    <row r="1950" spans="1:2">
      <c r="A1950" s="1">
        <v>45190</v>
      </c>
      <c r="B1950">
        <v>4.49</v>
      </c>
    </row>
    <row r="1951" spans="1:2">
      <c r="A1951" s="1">
        <v>45191</v>
      </c>
      <c r="B1951">
        <v>4.4400000000000004</v>
      </c>
    </row>
    <row r="1952" spans="1:2">
      <c r="A1952" s="1">
        <v>45194</v>
      </c>
      <c r="B1952">
        <v>4.55</v>
      </c>
    </row>
    <row r="1953" spans="1:2">
      <c r="A1953" s="1">
        <v>45195</v>
      </c>
      <c r="B1953">
        <v>4.5599999999999996</v>
      </c>
    </row>
    <row r="1954" spans="1:2">
      <c r="A1954" s="1">
        <v>45196</v>
      </c>
      <c r="B1954">
        <v>4.6100000000000003</v>
      </c>
    </row>
    <row r="1955" spans="1:2">
      <c r="A1955" s="1">
        <v>45197</v>
      </c>
      <c r="B1955">
        <v>4.59</v>
      </c>
    </row>
    <row r="1956" spans="1:2">
      <c r="A1956" s="1">
        <v>45198</v>
      </c>
      <c r="B1956">
        <v>4.59</v>
      </c>
    </row>
    <row r="1957" spans="1:2">
      <c r="A1957" s="1">
        <v>45201</v>
      </c>
      <c r="B1957">
        <v>4.6900000000000004</v>
      </c>
    </row>
    <row r="1958" spans="1:2">
      <c r="A1958" s="1">
        <v>45202</v>
      </c>
      <c r="B1958">
        <v>4.8099999999999996</v>
      </c>
    </row>
    <row r="1959" spans="1:2">
      <c r="A1959" s="1">
        <v>45203</v>
      </c>
      <c r="B1959">
        <v>4.7300000000000004</v>
      </c>
    </row>
    <row r="1960" spans="1:2">
      <c r="A1960" s="1">
        <v>45204</v>
      </c>
      <c r="B1960">
        <v>4.72</v>
      </c>
    </row>
    <row r="1961" spans="1:2">
      <c r="A1961" s="1">
        <v>45205</v>
      </c>
      <c r="B1961">
        <v>4.78</v>
      </c>
    </row>
    <row r="1962" spans="1:2">
      <c r="A1962" s="1">
        <v>45208</v>
      </c>
    </row>
    <row r="1963" spans="1:2">
      <c r="A1963" s="1">
        <v>45209</v>
      </c>
      <c r="B1963">
        <v>4.66</v>
      </c>
    </row>
    <row r="1964" spans="1:2">
      <c r="A1964" s="1">
        <v>45210</v>
      </c>
      <c r="B1964">
        <v>4.58</v>
      </c>
    </row>
    <row r="1965" spans="1:2">
      <c r="A1965" s="1">
        <v>45211</v>
      </c>
      <c r="B1965">
        <v>4.7</v>
      </c>
    </row>
    <row r="1966" spans="1:2">
      <c r="A1966" s="1">
        <v>45212</v>
      </c>
      <c r="B1966">
        <v>4.63</v>
      </c>
    </row>
    <row r="1967" spans="1:2">
      <c r="A1967" s="1">
        <v>45215</v>
      </c>
      <c r="B1967">
        <v>4.71</v>
      </c>
    </row>
    <row r="1968" spans="1:2">
      <c r="A1968" s="1">
        <v>45216</v>
      </c>
      <c r="B1968">
        <v>4.83</v>
      </c>
    </row>
    <row r="1969" spans="1:2">
      <c r="A1969" s="1">
        <v>45217</v>
      </c>
      <c r="B1969">
        <v>4.91</v>
      </c>
    </row>
    <row r="1970" spans="1:2">
      <c r="A1970" s="1">
        <v>45218</v>
      </c>
      <c r="B1970">
        <v>4.9800000000000004</v>
      </c>
    </row>
    <row r="1971" spans="1:2">
      <c r="A1971" s="1">
        <v>45219</v>
      </c>
      <c r="B1971">
        <v>4.93</v>
      </c>
    </row>
    <row r="1972" spans="1:2">
      <c r="A1972" s="1">
        <v>45222</v>
      </c>
      <c r="B1972">
        <v>4.8600000000000003</v>
      </c>
    </row>
    <row r="1973" spans="1:2">
      <c r="A1973" s="1">
        <v>45223</v>
      </c>
      <c r="B1973">
        <v>4.83</v>
      </c>
    </row>
    <row r="1974" spans="1:2">
      <c r="A1974" s="1">
        <v>45224</v>
      </c>
      <c r="B1974">
        <v>4.95</v>
      </c>
    </row>
    <row r="1975" spans="1:2">
      <c r="A1975" s="1">
        <v>45225</v>
      </c>
      <c r="B1975">
        <v>4.8600000000000003</v>
      </c>
    </row>
    <row r="1976" spans="1:2">
      <c r="A1976" s="1">
        <v>45226</v>
      </c>
      <c r="B1976">
        <v>4.84</v>
      </c>
    </row>
    <row r="1977" spans="1:2">
      <c r="A1977" s="1">
        <v>45229</v>
      </c>
      <c r="B1977">
        <v>4.88</v>
      </c>
    </row>
    <row r="1978" spans="1:2">
      <c r="A1978" s="1">
        <v>45230</v>
      </c>
      <c r="B1978">
        <v>4.88</v>
      </c>
    </row>
    <row r="1979" spans="1:2">
      <c r="A1979" s="1">
        <v>45231</v>
      </c>
      <c r="B1979">
        <v>4.7699999999999996</v>
      </c>
    </row>
    <row r="1980" spans="1:2">
      <c r="A1980" s="1">
        <v>45232</v>
      </c>
      <c r="B1980">
        <v>4.67</v>
      </c>
    </row>
    <row r="1981" spans="1:2">
      <c r="A1981" s="1">
        <v>45233</v>
      </c>
      <c r="B1981">
        <v>4.57</v>
      </c>
    </row>
    <row r="1982" spans="1:2">
      <c r="A1982" s="1">
        <v>45236</v>
      </c>
      <c r="B1982">
        <v>4.67</v>
      </c>
    </row>
    <row r="1983" spans="1:2">
      <c r="A1983" s="1">
        <v>45237</v>
      </c>
      <c r="B1983">
        <v>4.58</v>
      </c>
    </row>
    <row r="1984" spans="1:2">
      <c r="A1984" s="1">
        <v>45238</v>
      </c>
      <c r="B1984">
        <v>4.49</v>
      </c>
    </row>
    <row r="1985" spans="1:2">
      <c r="A1985" s="1">
        <v>45239</v>
      </c>
      <c r="B1985">
        <v>4.62</v>
      </c>
    </row>
    <row r="1986" spans="1:2">
      <c r="A1986" s="1">
        <v>45240</v>
      </c>
      <c r="B1986">
        <v>4.6100000000000003</v>
      </c>
    </row>
    <row r="1987" spans="1:2">
      <c r="A1987" s="1">
        <v>45243</v>
      </c>
      <c r="B1987">
        <v>4.63</v>
      </c>
    </row>
    <row r="1988" spans="1:2">
      <c r="A1988" s="1">
        <v>45244</v>
      </c>
      <c r="B1988">
        <v>4.4400000000000004</v>
      </c>
    </row>
    <row r="1989" spans="1:2">
      <c r="A1989" s="1">
        <v>45245</v>
      </c>
      <c r="B1989">
        <v>4.53</v>
      </c>
    </row>
    <row r="1990" spans="1:2">
      <c r="A1990" s="1">
        <v>45246</v>
      </c>
      <c r="B1990">
        <v>4.45</v>
      </c>
    </row>
    <row r="1991" spans="1:2">
      <c r="A1991" s="1">
        <v>45247</v>
      </c>
      <c r="B1991">
        <v>4.4400000000000004</v>
      </c>
    </row>
    <row r="1992" spans="1:2">
      <c r="A1992" s="1">
        <v>45250</v>
      </c>
      <c r="B1992">
        <v>4.42</v>
      </c>
    </row>
    <row r="1993" spans="1:2">
      <c r="A1993" s="1">
        <v>45251</v>
      </c>
      <c r="B1993">
        <v>4.41</v>
      </c>
    </row>
    <row r="1994" spans="1:2">
      <c r="A1994" s="1">
        <v>45252</v>
      </c>
      <c r="B1994">
        <v>4.42</v>
      </c>
    </row>
    <row r="1995" spans="1:2">
      <c r="A1995" s="1">
        <v>45253</v>
      </c>
    </row>
    <row r="1996" spans="1:2">
      <c r="A1996" s="1">
        <v>45254</v>
      </c>
      <c r="B1996">
        <v>4.47</v>
      </c>
    </row>
    <row r="1997" spans="1:2">
      <c r="A1997" s="1">
        <v>45257</v>
      </c>
      <c r="B1997">
        <v>4.3899999999999997</v>
      </c>
    </row>
    <row r="1998" spans="1:2">
      <c r="A1998" s="1">
        <v>45258</v>
      </c>
      <c r="B1998">
        <v>4.34</v>
      </c>
    </row>
    <row r="1999" spans="1:2">
      <c r="A1999" s="1">
        <v>45259</v>
      </c>
      <c r="B1999">
        <v>4.2699999999999996</v>
      </c>
    </row>
    <row r="2000" spans="1:2">
      <c r="A2000" s="1">
        <v>45260</v>
      </c>
      <c r="B2000">
        <v>4.37</v>
      </c>
    </row>
    <row r="2001" spans="1:2">
      <c r="A2001" s="1">
        <v>45261</v>
      </c>
      <c r="B2001">
        <v>4.22</v>
      </c>
    </row>
    <row r="2002" spans="1:2">
      <c r="A2002" s="1">
        <v>45264</v>
      </c>
      <c r="B2002">
        <v>4.28</v>
      </c>
    </row>
    <row r="2003" spans="1:2">
      <c r="A2003" s="1">
        <v>45265</v>
      </c>
      <c r="B2003">
        <v>4.18</v>
      </c>
    </row>
    <row r="2004" spans="1:2">
      <c r="A2004" s="1">
        <v>45266</v>
      </c>
      <c r="B2004">
        <v>4.12</v>
      </c>
    </row>
    <row r="2005" spans="1:2">
      <c r="A2005" s="1">
        <v>45267</v>
      </c>
      <c r="B2005">
        <v>4.1399999999999997</v>
      </c>
    </row>
    <row r="2006" spans="1:2">
      <c r="A2006" s="1">
        <v>45268</v>
      </c>
      <c r="B2006">
        <v>4.2300000000000004</v>
      </c>
    </row>
    <row r="2007" spans="1:2">
      <c r="A2007" s="1">
        <v>45271</v>
      </c>
      <c r="B2007">
        <v>4.2300000000000004</v>
      </c>
    </row>
    <row r="2008" spans="1:2">
      <c r="A2008" s="1">
        <v>45272</v>
      </c>
      <c r="B2008">
        <v>4.2</v>
      </c>
    </row>
    <row r="2009" spans="1:2">
      <c r="A2009" s="1">
        <v>45273</v>
      </c>
      <c r="B2009">
        <v>4.04</v>
      </c>
    </row>
    <row r="2010" spans="1:2">
      <c r="A2010" s="1">
        <v>45274</v>
      </c>
      <c r="B2010">
        <v>3.92</v>
      </c>
    </row>
    <row r="2011" spans="1:2">
      <c r="A2011" s="1">
        <v>45275</v>
      </c>
      <c r="B2011">
        <v>3.91</v>
      </c>
    </row>
    <row r="2012" spans="1:2">
      <c r="A2012" s="1">
        <v>45278</v>
      </c>
      <c r="B2012">
        <v>3.95</v>
      </c>
    </row>
    <row r="2013" spans="1:2">
      <c r="A2013" s="1">
        <v>45279</v>
      </c>
      <c r="B2013">
        <v>3.93</v>
      </c>
    </row>
    <row r="2014" spans="1:2">
      <c r="A2014" s="1">
        <v>45280</v>
      </c>
      <c r="B2014">
        <v>3.86</v>
      </c>
    </row>
    <row r="2015" spans="1:2">
      <c r="A2015" s="1">
        <v>45281</v>
      </c>
      <c r="B2015">
        <v>3.89</v>
      </c>
    </row>
    <row r="2016" spans="1:2">
      <c r="A2016" s="1">
        <v>45282</v>
      </c>
      <c r="B2016">
        <v>3.9</v>
      </c>
    </row>
    <row r="2017" spans="1:2">
      <c r="A2017" s="1">
        <v>45285</v>
      </c>
    </row>
    <row r="2018" spans="1:2">
      <c r="A2018" s="1">
        <v>45286</v>
      </c>
      <c r="B2018">
        <v>3.89</v>
      </c>
    </row>
    <row r="2019" spans="1:2">
      <c r="A2019" s="1">
        <v>45287</v>
      </c>
      <c r="B2019">
        <v>3.79</v>
      </c>
    </row>
    <row r="2020" spans="1:2">
      <c r="A2020" s="1">
        <v>45288</v>
      </c>
      <c r="B2020">
        <v>3.84</v>
      </c>
    </row>
    <row r="2021" spans="1:2">
      <c r="A2021" s="1">
        <v>45289</v>
      </c>
      <c r="B2021">
        <v>3.88</v>
      </c>
    </row>
    <row r="2022" spans="1:2">
      <c r="A2022" s="1">
        <v>45292</v>
      </c>
    </row>
    <row r="2023" spans="1:2">
      <c r="A2023" s="1">
        <v>45293</v>
      </c>
      <c r="B2023">
        <v>3.95</v>
      </c>
    </row>
    <row r="2024" spans="1:2">
      <c r="A2024" s="1">
        <v>45294</v>
      </c>
      <c r="B2024">
        <v>3.91</v>
      </c>
    </row>
    <row r="2025" spans="1:2">
      <c r="A2025" s="1">
        <v>45295</v>
      </c>
      <c r="B2025">
        <v>3.99</v>
      </c>
    </row>
    <row r="2026" spans="1:2">
      <c r="A2026" s="1">
        <v>45296</v>
      </c>
      <c r="B2026">
        <v>4.05</v>
      </c>
    </row>
    <row r="2027" spans="1:2">
      <c r="A2027" s="1">
        <v>45299</v>
      </c>
      <c r="B2027">
        <v>4.01</v>
      </c>
    </row>
    <row r="2028" spans="1:2">
      <c r="A2028" s="1">
        <v>45300</v>
      </c>
      <c r="B2028">
        <v>4.0199999999999996</v>
      </c>
    </row>
    <row r="2029" spans="1:2">
      <c r="A2029" s="1">
        <v>45301</v>
      </c>
      <c r="B2029">
        <v>4.04</v>
      </c>
    </row>
    <row r="2030" spans="1:2">
      <c r="A2030" s="1">
        <v>45302</v>
      </c>
      <c r="B2030">
        <v>3.98</v>
      </c>
    </row>
    <row r="2031" spans="1:2">
      <c r="A2031" s="1">
        <v>45303</v>
      </c>
      <c r="B2031">
        <v>3.96</v>
      </c>
    </row>
    <row r="2032" spans="1:2">
      <c r="A2032" s="1">
        <v>45306</v>
      </c>
    </row>
    <row r="2033" spans="1:2">
      <c r="A2033" s="1">
        <v>45307</v>
      </c>
      <c r="B2033">
        <v>4.07</v>
      </c>
    </row>
    <row r="2034" spans="1:2">
      <c r="A2034" s="1">
        <v>45308</v>
      </c>
      <c r="B2034">
        <v>4.0999999999999996</v>
      </c>
    </row>
    <row r="2035" spans="1:2">
      <c r="A2035" s="1">
        <v>45309</v>
      </c>
      <c r="B2035">
        <v>4.1399999999999997</v>
      </c>
    </row>
    <row r="2036" spans="1:2">
      <c r="A2036" s="1">
        <v>45310</v>
      </c>
      <c r="B2036">
        <v>4.1500000000000004</v>
      </c>
    </row>
    <row r="2037" spans="1:2">
      <c r="A2037" s="1">
        <v>45313</v>
      </c>
      <c r="B2037">
        <v>4.1100000000000003</v>
      </c>
    </row>
    <row r="2038" spans="1:2">
      <c r="A2038" s="1">
        <v>45314</v>
      </c>
      <c r="B2038">
        <v>4.1399999999999997</v>
      </c>
    </row>
    <row r="2039" spans="1:2">
      <c r="A2039" s="1">
        <v>45315</v>
      </c>
      <c r="B2039">
        <v>4.18</v>
      </c>
    </row>
    <row r="2040" spans="1:2">
      <c r="A2040" s="1">
        <v>45316</v>
      </c>
      <c r="B2040">
        <v>4.1399999999999997</v>
      </c>
    </row>
    <row r="2041" spans="1:2">
      <c r="A2041" s="1">
        <v>45317</v>
      </c>
      <c r="B2041">
        <v>4.1500000000000004</v>
      </c>
    </row>
    <row r="2042" spans="1:2">
      <c r="A2042" s="1">
        <v>45320</v>
      </c>
      <c r="B2042">
        <v>4.08</v>
      </c>
    </row>
    <row r="2043" spans="1:2">
      <c r="A2043" s="1">
        <v>45321</v>
      </c>
      <c r="B2043">
        <v>4.0599999999999996</v>
      </c>
    </row>
    <row r="2044" spans="1:2">
      <c r="A2044" s="1">
        <v>45322</v>
      </c>
      <c r="B2044">
        <v>3.99</v>
      </c>
    </row>
    <row r="2045" spans="1:2">
      <c r="A2045" s="1">
        <v>45323</v>
      </c>
      <c r="B2045">
        <v>3.87</v>
      </c>
    </row>
    <row r="2046" spans="1:2">
      <c r="A2046" s="1">
        <v>45324</v>
      </c>
      <c r="B2046">
        <v>4.03</v>
      </c>
    </row>
    <row r="2047" spans="1:2">
      <c r="A2047" s="1">
        <v>45327</v>
      </c>
      <c r="B2047">
        <v>4.17</v>
      </c>
    </row>
    <row r="2048" spans="1:2">
      <c r="A2048" s="1">
        <v>45328</v>
      </c>
      <c r="B2048">
        <v>4.09</v>
      </c>
    </row>
    <row r="2049" spans="1:2">
      <c r="A2049" s="1">
        <v>45329</v>
      </c>
      <c r="B2049">
        <v>4.09</v>
      </c>
    </row>
    <row r="2050" spans="1:2">
      <c r="A2050" s="1">
        <v>45330</v>
      </c>
      <c r="B2050">
        <v>4.1500000000000004</v>
      </c>
    </row>
    <row r="2051" spans="1:2">
      <c r="A2051" s="1">
        <v>45331</v>
      </c>
      <c r="B2051">
        <v>4.17</v>
      </c>
    </row>
    <row r="2052" spans="1:2">
      <c r="A2052" s="1">
        <v>45334</v>
      </c>
      <c r="B2052">
        <v>4.17</v>
      </c>
    </row>
    <row r="2053" spans="1:2">
      <c r="A2053" s="1">
        <v>45335</v>
      </c>
      <c r="B2053">
        <v>4.3099999999999996</v>
      </c>
    </row>
    <row r="2054" spans="1:2">
      <c r="A2054" s="1">
        <v>45336</v>
      </c>
      <c r="B2054">
        <v>4.2699999999999996</v>
      </c>
    </row>
    <row r="2055" spans="1:2">
      <c r="A2055" s="1">
        <v>45337</v>
      </c>
      <c r="B2055">
        <v>4.24</v>
      </c>
    </row>
    <row r="2056" spans="1:2">
      <c r="A2056" s="1">
        <v>45338</v>
      </c>
      <c r="B2056">
        <v>4.3</v>
      </c>
    </row>
    <row r="2057" spans="1:2">
      <c r="A2057" s="1">
        <v>45341</v>
      </c>
    </row>
    <row r="2058" spans="1:2">
      <c r="A2058" s="1">
        <v>45342</v>
      </c>
      <c r="B2058">
        <v>4.2699999999999996</v>
      </c>
    </row>
    <row r="2059" spans="1:2">
      <c r="A2059" s="1">
        <v>45343</v>
      </c>
      <c r="B2059">
        <v>4.32</v>
      </c>
    </row>
    <row r="2060" spans="1:2">
      <c r="A2060" s="1">
        <v>45344</v>
      </c>
      <c r="B2060">
        <v>4.33</v>
      </c>
    </row>
    <row r="2061" spans="1:2">
      <c r="A2061" s="1">
        <v>45345</v>
      </c>
      <c r="B2061">
        <v>4.26</v>
      </c>
    </row>
    <row r="2062" spans="1:2">
      <c r="A2062" s="1">
        <v>45348</v>
      </c>
      <c r="B2062">
        <v>4.28</v>
      </c>
    </row>
    <row r="2063" spans="1:2">
      <c r="A2063" s="1">
        <v>45349</v>
      </c>
      <c r="B2063">
        <v>4.3099999999999996</v>
      </c>
    </row>
    <row r="2064" spans="1:2">
      <c r="A2064" s="1">
        <v>45350</v>
      </c>
      <c r="B2064">
        <v>4.2699999999999996</v>
      </c>
    </row>
    <row r="2065" spans="1:2">
      <c r="A2065" s="1">
        <v>45351</v>
      </c>
      <c r="B2065">
        <v>4.25</v>
      </c>
    </row>
    <row r="2066" spans="1:2">
      <c r="A2066" s="1">
        <v>45352</v>
      </c>
      <c r="B2066">
        <v>4.1900000000000004</v>
      </c>
    </row>
    <row r="2067" spans="1:2">
      <c r="A2067" s="1">
        <v>45355</v>
      </c>
      <c r="B2067">
        <v>4.22</v>
      </c>
    </row>
    <row r="2068" spans="1:2">
      <c r="A2068" s="1">
        <v>45356</v>
      </c>
      <c r="B2068">
        <v>4.13</v>
      </c>
    </row>
    <row r="2069" spans="1:2">
      <c r="A2069" s="1">
        <v>45357</v>
      </c>
      <c r="B2069">
        <v>4.1100000000000003</v>
      </c>
    </row>
    <row r="2070" spans="1:2">
      <c r="A2070" s="1">
        <v>45358</v>
      </c>
      <c r="B2070">
        <v>4.09</v>
      </c>
    </row>
    <row r="2071" spans="1:2">
      <c r="A2071" s="1">
        <v>45359</v>
      </c>
      <c r="B2071">
        <v>4.09</v>
      </c>
    </row>
    <row r="2072" spans="1:2">
      <c r="A2072" s="1">
        <v>45362</v>
      </c>
      <c r="B2072">
        <v>4.0999999999999996</v>
      </c>
    </row>
    <row r="2073" spans="1:2">
      <c r="A2073" s="1">
        <v>45363</v>
      </c>
      <c r="B2073">
        <v>4.16</v>
      </c>
    </row>
    <row r="2074" spans="1:2">
      <c r="A2074" s="1">
        <v>45364</v>
      </c>
      <c r="B2074">
        <v>4.1900000000000004</v>
      </c>
    </row>
    <row r="2075" spans="1:2">
      <c r="A2075" s="1">
        <v>45365</v>
      </c>
      <c r="B2075">
        <v>4.29</v>
      </c>
    </row>
    <row r="2076" spans="1:2">
      <c r="A2076" s="1">
        <v>45366</v>
      </c>
      <c r="B2076">
        <v>4.3099999999999996</v>
      </c>
    </row>
    <row r="2077" spans="1:2">
      <c r="A2077" s="1">
        <v>45369</v>
      </c>
      <c r="B2077">
        <v>4.34</v>
      </c>
    </row>
    <row r="2078" spans="1:2">
      <c r="A2078" s="1">
        <v>45370</v>
      </c>
      <c r="B2078">
        <v>4.3</v>
      </c>
    </row>
    <row r="2079" spans="1:2">
      <c r="A2079" s="1">
        <v>45371</v>
      </c>
      <c r="B2079">
        <v>4.2699999999999996</v>
      </c>
    </row>
    <row r="2080" spans="1:2">
      <c r="A2080" s="1">
        <v>45372</v>
      </c>
      <c r="B2080">
        <v>4.2699999999999996</v>
      </c>
    </row>
    <row r="2081" spans="1:2">
      <c r="A2081" s="1">
        <v>45373</v>
      </c>
      <c r="B2081">
        <v>4.22</v>
      </c>
    </row>
    <row r="2082" spans="1:2">
      <c r="A2082" s="1">
        <v>45376</v>
      </c>
      <c r="B2082">
        <v>4.25</v>
      </c>
    </row>
    <row r="2083" spans="1:2">
      <c r="A2083" s="1">
        <v>45377</v>
      </c>
      <c r="B2083">
        <v>4.24</v>
      </c>
    </row>
    <row r="2084" spans="1:2">
      <c r="A2084" s="1">
        <v>45378</v>
      </c>
      <c r="B2084">
        <v>4.2</v>
      </c>
    </row>
    <row r="2085" spans="1:2">
      <c r="A2085" s="1">
        <v>45379</v>
      </c>
      <c r="B2085">
        <v>4.2</v>
      </c>
    </row>
    <row r="2086" spans="1:2">
      <c r="A2086" s="1">
        <v>45380</v>
      </c>
    </row>
    <row r="2087" spans="1:2">
      <c r="A2087" s="1">
        <v>45383</v>
      </c>
      <c r="B2087">
        <v>4.33</v>
      </c>
    </row>
    <row r="2088" spans="1:2">
      <c r="A2088" s="1">
        <v>45384</v>
      </c>
      <c r="B2088">
        <v>4.3600000000000003</v>
      </c>
    </row>
    <row r="2089" spans="1:2">
      <c r="A2089" s="1">
        <v>45385</v>
      </c>
      <c r="B2089">
        <v>4.3600000000000003</v>
      </c>
    </row>
    <row r="2090" spans="1:2">
      <c r="A2090" s="1">
        <v>45386</v>
      </c>
      <c r="B2090">
        <v>4.3099999999999996</v>
      </c>
    </row>
    <row r="2091" spans="1:2">
      <c r="A2091" s="1">
        <v>45387</v>
      </c>
      <c r="B2091">
        <v>4.3899999999999997</v>
      </c>
    </row>
    <row r="2092" spans="1:2">
      <c r="A2092" s="1">
        <v>45390</v>
      </c>
      <c r="B2092">
        <v>4.42</v>
      </c>
    </row>
    <row r="2093" spans="1:2">
      <c r="A2093" s="1">
        <v>45391</v>
      </c>
      <c r="B2093">
        <v>4.3600000000000003</v>
      </c>
    </row>
    <row r="2094" spans="1:2">
      <c r="A2094" s="1">
        <v>45392</v>
      </c>
      <c r="B2094">
        <v>4.55</v>
      </c>
    </row>
    <row r="2095" spans="1:2">
      <c r="A2095" s="1">
        <v>45393</v>
      </c>
      <c r="B2095">
        <v>4.5599999999999996</v>
      </c>
    </row>
    <row r="2096" spans="1:2">
      <c r="A2096" s="1">
        <v>45394</v>
      </c>
      <c r="B2096">
        <v>4.5</v>
      </c>
    </row>
    <row r="2097" spans="1:2">
      <c r="A2097" s="1">
        <v>45397</v>
      </c>
      <c r="B2097">
        <v>4.63</v>
      </c>
    </row>
    <row r="2098" spans="1:2">
      <c r="A2098" s="1">
        <v>45398</v>
      </c>
      <c r="B2098">
        <v>4.67</v>
      </c>
    </row>
    <row r="2099" spans="1:2">
      <c r="A2099" s="1">
        <v>45399</v>
      </c>
      <c r="B2099">
        <v>4.59</v>
      </c>
    </row>
    <row r="2100" spans="1:2">
      <c r="A2100" s="1">
        <v>45400</v>
      </c>
      <c r="B2100">
        <v>4.6399999999999997</v>
      </c>
    </row>
    <row r="2101" spans="1:2">
      <c r="A2101" s="1">
        <v>45401</v>
      </c>
      <c r="B2101">
        <v>4.62</v>
      </c>
    </row>
    <row r="2102" spans="1:2">
      <c r="A2102" s="1">
        <v>45404</v>
      </c>
      <c r="B2102">
        <v>4.62</v>
      </c>
    </row>
    <row r="2103" spans="1:2">
      <c r="A2103" s="1">
        <v>45405</v>
      </c>
      <c r="B2103">
        <v>4.6100000000000003</v>
      </c>
    </row>
    <row r="2104" spans="1:2">
      <c r="A2104" s="1">
        <v>45406</v>
      </c>
      <c r="B2104">
        <v>4.6500000000000004</v>
      </c>
    </row>
    <row r="2105" spans="1:2">
      <c r="A2105" s="1">
        <v>45407</v>
      </c>
      <c r="B2105">
        <v>4.7</v>
      </c>
    </row>
    <row r="2106" spans="1:2">
      <c r="A2106" s="1">
        <v>45408</v>
      </c>
      <c r="B2106">
        <v>4.67</v>
      </c>
    </row>
    <row r="2107" spans="1:2">
      <c r="A2107" s="1">
        <v>45411</v>
      </c>
      <c r="B2107">
        <v>4.63</v>
      </c>
    </row>
    <row r="2108" spans="1:2">
      <c r="A2108" s="1">
        <v>45412</v>
      </c>
      <c r="B2108">
        <v>4.6900000000000004</v>
      </c>
    </row>
    <row r="2109" spans="1:2">
      <c r="A2109" s="1">
        <v>45413</v>
      </c>
      <c r="B2109">
        <v>4.63</v>
      </c>
    </row>
    <row r="2110" spans="1:2">
      <c r="A2110" s="1">
        <v>45414</v>
      </c>
      <c r="B2110">
        <v>4.58</v>
      </c>
    </row>
    <row r="2111" spans="1:2">
      <c r="A2111" s="1">
        <v>45415</v>
      </c>
      <c r="B2111">
        <v>4.5</v>
      </c>
    </row>
    <row r="2112" spans="1:2">
      <c r="A2112" s="1">
        <v>45418</v>
      </c>
      <c r="B2112">
        <v>4.49</v>
      </c>
    </row>
    <row r="2113" spans="1:2">
      <c r="A2113" s="1">
        <v>45419</v>
      </c>
      <c r="B2113">
        <v>4.47</v>
      </c>
    </row>
    <row r="2114" spans="1:2">
      <c r="A2114" s="1">
        <v>45420</v>
      </c>
      <c r="B2114">
        <v>4.4800000000000004</v>
      </c>
    </row>
    <row r="2115" spans="1:2">
      <c r="A2115" s="1">
        <v>45421</v>
      </c>
      <c r="B2115">
        <v>4.45</v>
      </c>
    </row>
    <row r="2116" spans="1:2">
      <c r="A2116" s="1">
        <v>45422</v>
      </c>
      <c r="B2116">
        <v>4.5</v>
      </c>
    </row>
    <row r="2117" spans="1:2">
      <c r="A2117" s="1">
        <v>45425</v>
      </c>
      <c r="B2117">
        <v>4.4800000000000004</v>
      </c>
    </row>
    <row r="2118" spans="1:2">
      <c r="A2118" s="1">
        <v>45426</v>
      </c>
      <c r="B2118">
        <v>4.45</v>
      </c>
    </row>
    <row r="2119" spans="1:2">
      <c r="A2119" s="1">
        <v>45427</v>
      </c>
      <c r="B2119">
        <v>4.3600000000000003</v>
      </c>
    </row>
    <row r="2120" spans="1:2">
      <c r="A2120" s="1">
        <v>45428</v>
      </c>
      <c r="B2120">
        <v>4.38</v>
      </c>
    </row>
    <row r="2121" spans="1:2">
      <c r="A2121" s="1">
        <v>45429</v>
      </c>
      <c r="B2121">
        <v>4.42</v>
      </c>
    </row>
    <row r="2122" spans="1:2">
      <c r="A2122" s="1">
        <v>45432</v>
      </c>
      <c r="B2122">
        <v>4.4400000000000004</v>
      </c>
    </row>
    <row r="2123" spans="1:2">
      <c r="A2123" s="1">
        <v>45433</v>
      </c>
      <c r="B2123">
        <v>4.41</v>
      </c>
    </row>
    <row r="2124" spans="1:2">
      <c r="A2124" s="1">
        <v>45434</v>
      </c>
      <c r="B2124">
        <v>4.43</v>
      </c>
    </row>
    <row r="2125" spans="1:2">
      <c r="A2125" s="1">
        <v>45435</v>
      </c>
      <c r="B2125">
        <v>4.47</v>
      </c>
    </row>
    <row r="2126" spans="1:2">
      <c r="A2126" s="1">
        <v>45436</v>
      </c>
      <c r="B2126">
        <v>4.46</v>
      </c>
    </row>
    <row r="2127" spans="1:2">
      <c r="A2127" s="1">
        <v>45439</v>
      </c>
    </row>
    <row r="2128" spans="1:2">
      <c r="A2128" s="1">
        <v>45440</v>
      </c>
      <c r="B2128">
        <v>4.54</v>
      </c>
    </row>
    <row r="2129" spans="1:2">
      <c r="A2129" s="1">
        <v>45441</v>
      </c>
      <c r="B2129">
        <v>4.6100000000000003</v>
      </c>
    </row>
    <row r="2130" spans="1:2">
      <c r="A2130" s="1">
        <v>45442</v>
      </c>
      <c r="B2130">
        <v>4.55</v>
      </c>
    </row>
    <row r="2131" spans="1:2">
      <c r="A2131" s="1">
        <v>45443</v>
      </c>
      <c r="B2131">
        <v>4.51</v>
      </c>
    </row>
    <row r="2132" spans="1:2">
      <c r="A2132" s="1">
        <v>45446</v>
      </c>
      <c r="B2132">
        <v>4.41</v>
      </c>
    </row>
    <row r="2133" spans="1:2">
      <c r="A2133" s="1">
        <v>45447</v>
      </c>
      <c r="B2133">
        <v>4.33</v>
      </c>
    </row>
    <row r="2134" spans="1:2">
      <c r="A2134" s="1">
        <v>45448</v>
      </c>
      <c r="B2134">
        <v>4.29</v>
      </c>
    </row>
    <row r="2135" spans="1:2">
      <c r="A2135" s="1">
        <v>45449</v>
      </c>
      <c r="B2135">
        <v>4.28</v>
      </c>
    </row>
    <row r="2136" spans="1:2">
      <c r="A2136" s="1">
        <v>45450</v>
      </c>
      <c r="B2136">
        <v>4.43</v>
      </c>
    </row>
    <row r="2137" spans="1:2">
      <c r="A2137" s="1">
        <v>45453</v>
      </c>
      <c r="B2137">
        <v>4.47</v>
      </c>
    </row>
    <row r="2138" spans="1:2">
      <c r="A2138" s="1">
        <v>45454</v>
      </c>
      <c r="B2138">
        <v>4.3899999999999997</v>
      </c>
    </row>
    <row r="2139" spans="1:2">
      <c r="A2139" s="1">
        <v>45455</v>
      </c>
      <c r="B2139">
        <v>4.3099999999999996</v>
      </c>
    </row>
    <row r="2140" spans="1:2">
      <c r="A2140" s="1">
        <v>45456</v>
      </c>
      <c r="B2140">
        <v>4.24</v>
      </c>
    </row>
    <row r="2141" spans="1:2">
      <c r="A2141" s="1">
        <v>45457</v>
      </c>
      <c r="B2141">
        <v>4.2</v>
      </c>
    </row>
    <row r="2142" spans="1:2">
      <c r="A2142" s="1">
        <v>45460</v>
      </c>
      <c r="B2142">
        <v>4.28</v>
      </c>
    </row>
    <row r="2143" spans="1:2">
      <c r="A2143" s="1">
        <v>45461</v>
      </c>
      <c r="B2143">
        <v>4.22</v>
      </c>
    </row>
    <row r="2144" spans="1:2">
      <c r="A2144" s="1">
        <v>45462</v>
      </c>
    </row>
    <row r="2145" spans="1:2">
      <c r="A2145" s="1">
        <v>45463</v>
      </c>
      <c r="B2145">
        <v>4.25</v>
      </c>
    </row>
    <row r="2146" spans="1:2">
      <c r="A2146" s="1">
        <v>45464</v>
      </c>
      <c r="B2146">
        <v>4.25</v>
      </c>
    </row>
    <row r="2147" spans="1:2">
      <c r="A2147" s="1">
        <v>45467</v>
      </c>
      <c r="B2147">
        <v>4.25</v>
      </c>
    </row>
    <row r="2148" spans="1:2">
      <c r="A2148" s="1">
        <v>45468</v>
      </c>
      <c r="B2148">
        <v>4.2300000000000004</v>
      </c>
    </row>
    <row r="2149" spans="1:2">
      <c r="A2149" s="1">
        <v>45469</v>
      </c>
      <c r="B2149">
        <v>4.32</v>
      </c>
    </row>
    <row r="2150" spans="1:2">
      <c r="A2150" s="1">
        <v>45470</v>
      </c>
      <c r="B2150">
        <v>4.29</v>
      </c>
    </row>
    <row r="2151" spans="1:2">
      <c r="A2151" s="1">
        <v>45471</v>
      </c>
      <c r="B2151">
        <v>4.3600000000000003</v>
      </c>
    </row>
    <row r="2152" spans="1:2">
      <c r="A2152" s="1">
        <v>45474</v>
      </c>
      <c r="B2152">
        <v>4.4800000000000004</v>
      </c>
    </row>
    <row r="2153" spans="1:2">
      <c r="A2153" s="1">
        <v>45475</v>
      </c>
      <c r="B2153">
        <v>4.43</v>
      </c>
    </row>
    <row r="2154" spans="1:2">
      <c r="A2154" s="1">
        <v>45476</v>
      </c>
      <c r="B2154">
        <v>4.3600000000000003</v>
      </c>
    </row>
    <row r="2155" spans="1:2">
      <c r="A2155" s="1">
        <v>45477</v>
      </c>
    </row>
    <row r="2156" spans="1:2">
      <c r="A2156" s="1">
        <v>45478</v>
      </c>
      <c r="B2156">
        <v>4.28</v>
      </c>
    </row>
    <row r="2157" spans="1:2">
      <c r="A2157" s="1">
        <v>45481</v>
      </c>
      <c r="B2157">
        <v>4.28</v>
      </c>
    </row>
    <row r="2158" spans="1:2">
      <c r="A2158" s="1">
        <v>45482</v>
      </c>
      <c r="B2158">
        <v>4.3</v>
      </c>
    </row>
    <row r="2159" spans="1:2">
      <c r="A2159" s="1">
        <v>45483</v>
      </c>
      <c r="B2159">
        <v>4.28</v>
      </c>
    </row>
    <row r="2160" spans="1:2">
      <c r="A2160" s="1">
        <v>45484</v>
      </c>
      <c r="B2160">
        <v>4.2</v>
      </c>
    </row>
    <row r="2161" spans="1:2">
      <c r="A2161" s="1">
        <v>45485</v>
      </c>
      <c r="B2161">
        <v>4.18</v>
      </c>
    </row>
    <row r="2162" spans="1:2">
      <c r="A2162" s="1">
        <v>45488</v>
      </c>
      <c r="B2162">
        <v>4.2300000000000004</v>
      </c>
    </row>
    <row r="2163" spans="1:2">
      <c r="A2163" s="1">
        <v>45489</v>
      </c>
      <c r="B2163">
        <v>4.17</v>
      </c>
    </row>
    <row r="2164" spans="1:2">
      <c r="A2164" s="1">
        <v>45490</v>
      </c>
      <c r="B2164">
        <v>4.16</v>
      </c>
    </row>
    <row r="2165" spans="1:2">
      <c r="A2165" s="1">
        <v>45491</v>
      </c>
      <c r="B2165">
        <v>4.2</v>
      </c>
    </row>
    <row r="2166" spans="1:2">
      <c r="A2166" s="1">
        <v>45492</v>
      </c>
      <c r="B2166">
        <v>4.25</v>
      </c>
    </row>
    <row r="2167" spans="1:2">
      <c r="A2167" s="1">
        <v>45495</v>
      </c>
      <c r="B2167">
        <v>4.26</v>
      </c>
    </row>
    <row r="2168" spans="1:2">
      <c r="A2168" s="1">
        <v>45496</v>
      </c>
      <c r="B2168">
        <v>4.25</v>
      </c>
    </row>
    <row r="2169" spans="1:2">
      <c r="A2169" s="1">
        <v>45497</v>
      </c>
      <c r="B2169">
        <v>4.28</v>
      </c>
    </row>
    <row r="2170" spans="1:2">
      <c r="A2170" s="1">
        <v>45498</v>
      </c>
      <c r="B2170">
        <v>4.2699999999999996</v>
      </c>
    </row>
    <row r="2171" spans="1:2">
      <c r="A2171" s="1">
        <v>45499</v>
      </c>
      <c r="B2171">
        <v>4.2</v>
      </c>
    </row>
    <row r="2172" spans="1:2">
      <c r="A2172" s="1">
        <v>45502</v>
      </c>
      <c r="B2172">
        <v>4.17</v>
      </c>
    </row>
    <row r="2173" spans="1:2">
      <c r="A2173" s="1">
        <v>45503</v>
      </c>
      <c r="B2173">
        <v>4.1500000000000004</v>
      </c>
    </row>
    <row r="2174" spans="1:2">
      <c r="A2174" s="1">
        <v>45504</v>
      </c>
      <c r="B2174">
        <v>4.09</v>
      </c>
    </row>
    <row r="2175" spans="1:2">
      <c r="A2175" s="1">
        <v>45505</v>
      </c>
      <c r="B2175">
        <v>3.99</v>
      </c>
    </row>
    <row r="2176" spans="1:2">
      <c r="A2176" s="1">
        <v>45506</v>
      </c>
      <c r="B2176">
        <v>3.8</v>
      </c>
    </row>
    <row r="2177" spans="1:2">
      <c r="A2177" s="1">
        <v>45509</v>
      </c>
      <c r="B2177">
        <v>3.78</v>
      </c>
    </row>
    <row r="2178" spans="1:2">
      <c r="A2178" s="1">
        <v>45510</v>
      </c>
      <c r="B2178">
        <v>3.9</v>
      </c>
    </row>
    <row r="2179" spans="1:2">
      <c r="A2179" s="1">
        <v>45511</v>
      </c>
      <c r="B2179">
        <v>3.96</v>
      </c>
    </row>
    <row r="2180" spans="1:2">
      <c r="A2180" s="1">
        <v>45512</v>
      </c>
      <c r="B2180">
        <v>3.99</v>
      </c>
    </row>
    <row r="2181" spans="1:2">
      <c r="A2181" s="1">
        <v>45513</v>
      </c>
      <c r="B2181">
        <v>3.94</v>
      </c>
    </row>
    <row r="2182" spans="1:2">
      <c r="A2182" s="1">
        <v>45516</v>
      </c>
      <c r="B2182">
        <v>3.9</v>
      </c>
    </row>
    <row r="2183" spans="1:2">
      <c r="A2183" s="1">
        <v>45517</v>
      </c>
      <c r="B2183">
        <v>3.85</v>
      </c>
    </row>
    <row r="2184" spans="1:2">
      <c r="A2184" s="1">
        <v>45518</v>
      </c>
      <c r="B2184">
        <v>3.83</v>
      </c>
    </row>
    <row r="2185" spans="1:2">
      <c r="A2185" s="1">
        <v>45519</v>
      </c>
      <c r="B2185">
        <v>3.92</v>
      </c>
    </row>
    <row r="2186" spans="1:2">
      <c r="A2186" s="1">
        <v>45520</v>
      </c>
      <c r="B2186">
        <v>3.89</v>
      </c>
    </row>
    <row r="2187" spans="1:2">
      <c r="A2187" s="1">
        <v>45523</v>
      </c>
      <c r="B2187">
        <v>3.86</v>
      </c>
    </row>
    <row r="2188" spans="1:2">
      <c r="A2188" s="1">
        <v>45524</v>
      </c>
      <c r="B2188">
        <v>3.82</v>
      </c>
    </row>
    <row r="2189" spans="1:2">
      <c r="A2189" s="1">
        <v>45525</v>
      </c>
      <c r="B2189">
        <v>3.79</v>
      </c>
    </row>
    <row r="2190" spans="1:2">
      <c r="A2190" s="1">
        <v>45526</v>
      </c>
      <c r="B2190">
        <v>3.86</v>
      </c>
    </row>
    <row r="2191" spans="1:2">
      <c r="A2191" s="1">
        <v>45527</v>
      </c>
      <c r="B2191">
        <v>3.81</v>
      </c>
    </row>
    <row r="2192" spans="1:2">
      <c r="A2192" s="1">
        <v>45530</v>
      </c>
      <c r="B2192">
        <v>3.82</v>
      </c>
    </row>
    <row r="2193" spans="1:2">
      <c r="A2193" s="1">
        <v>45531</v>
      </c>
      <c r="B2193">
        <v>3.83</v>
      </c>
    </row>
    <row r="2194" spans="1:2">
      <c r="A2194" s="1">
        <v>45532</v>
      </c>
      <c r="B2194">
        <v>3.84</v>
      </c>
    </row>
    <row r="2195" spans="1:2">
      <c r="A2195" s="1">
        <v>45533</v>
      </c>
      <c r="B2195">
        <v>3.87</v>
      </c>
    </row>
    <row r="2196" spans="1:2">
      <c r="A2196" s="1">
        <v>45534</v>
      </c>
      <c r="B2196">
        <v>3.91</v>
      </c>
    </row>
    <row r="2197" spans="1:2">
      <c r="A2197" s="1">
        <v>45537</v>
      </c>
    </row>
    <row r="2198" spans="1:2">
      <c r="A2198" s="1">
        <v>45538</v>
      </c>
      <c r="B2198">
        <v>3.84</v>
      </c>
    </row>
    <row r="2199" spans="1:2">
      <c r="A2199" s="1">
        <v>45539</v>
      </c>
      <c r="B2199">
        <v>3.77</v>
      </c>
    </row>
    <row r="2200" spans="1:2">
      <c r="A2200" s="1">
        <v>45540</v>
      </c>
      <c r="B2200">
        <v>3.73</v>
      </c>
    </row>
    <row r="2201" spans="1:2">
      <c r="A2201" s="1">
        <v>45541</v>
      </c>
      <c r="B2201">
        <v>3.72</v>
      </c>
    </row>
    <row r="2202" spans="1:2">
      <c r="A2202" s="1">
        <v>45544</v>
      </c>
      <c r="B2202">
        <v>3.7</v>
      </c>
    </row>
    <row r="2203" spans="1:2">
      <c r="A2203" s="1">
        <v>45545</v>
      </c>
      <c r="B2203">
        <v>3.65</v>
      </c>
    </row>
    <row r="2204" spans="1:2">
      <c r="A2204" s="1">
        <v>45546</v>
      </c>
      <c r="B2204">
        <v>3.65</v>
      </c>
    </row>
    <row r="2205" spans="1:2">
      <c r="A2205" s="1">
        <v>45547</v>
      </c>
      <c r="B2205">
        <v>3.68</v>
      </c>
    </row>
    <row r="2206" spans="1:2">
      <c r="A2206" s="1">
        <v>45548</v>
      </c>
      <c r="B2206">
        <v>3.66</v>
      </c>
    </row>
    <row r="2207" spans="1:2">
      <c r="A2207" s="1">
        <v>45551</v>
      </c>
      <c r="B2207">
        <v>3.63</v>
      </c>
    </row>
    <row r="2208" spans="1:2">
      <c r="A2208" s="1">
        <v>45552</v>
      </c>
      <c r="B2208">
        <v>3.65</v>
      </c>
    </row>
    <row r="2209" spans="1:2">
      <c r="A2209" s="1">
        <v>45553</v>
      </c>
      <c r="B2209">
        <v>3.7</v>
      </c>
    </row>
    <row r="2210" spans="1:2">
      <c r="A2210" s="1">
        <v>45554</v>
      </c>
      <c r="B2210">
        <v>3.73</v>
      </c>
    </row>
    <row r="2211" spans="1:2">
      <c r="A2211" s="1">
        <v>45555</v>
      </c>
      <c r="B2211">
        <v>3.73</v>
      </c>
    </row>
    <row r="2212" spans="1:2">
      <c r="A2212" s="1">
        <v>45558</v>
      </c>
      <c r="B2212">
        <v>3.75</v>
      </c>
    </row>
    <row r="2213" spans="1:2">
      <c r="A2213" s="1">
        <v>45559</v>
      </c>
      <c r="B2213">
        <v>3.74</v>
      </c>
    </row>
    <row r="2214" spans="1:2">
      <c r="A2214" s="1">
        <v>45560</v>
      </c>
      <c r="B2214">
        <v>3.79</v>
      </c>
    </row>
    <row r="2215" spans="1:2">
      <c r="A2215" s="1">
        <v>45561</v>
      </c>
      <c r="B2215">
        <v>3.79</v>
      </c>
    </row>
    <row r="2216" spans="1:2">
      <c r="A2216" s="1">
        <v>45562</v>
      </c>
      <c r="B2216">
        <v>3.75</v>
      </c>
    </row>
    <row r="2217" spans="1:2">
      <c r="A2217" s="1">
        <v>45565</v>
      </c>
      <c r="B2217">
        <v>3.81</v>
      </c>
    </row>
    <row r="2218" spans="1:2">
      <c r="A2218" s="1">
        <v>45566</v>
      </c>
      <c r="B2218">
        <v>3.74</v>
      </c>
    </row>
    <row r="2219" spans="1:2">
      <c r="A2219" s="1">
        <v>45567</v>
      </c>
      <c r="B2219">
        <v>3.79</v>
      </c>
    </row>
    <row r="2220" spans="1:2">
      <c r="A2220" s="1">
        <v>45568</v>
      </c>
      <c r="B2220">
        <v>3.85</v>
      </c>
    </row>
    <row r="2221" spans="1:2">
      <c r="A2221" s="1">
        <v>45569</v>
      </c>
      <c r="B2221">
        <v>3.98</v>
      </c>
    </row>
    <row r="2222" spans="1:2">
      <c r="A2222" s="1">
        <v>45572</v>
      </c>
      <c r="B2222">
        <v>4.03</v>
      </c>
    </row>
    <row r="2223" spans="1:2">
      <c r="A2223" s="1">
        <v>45573</v>
      </c>
      <c r="B2223">
        <v>4.04</v>
      </c>
    </row>
    <row r="2224" spans="1:2">
      <c r="A2224" s="1">
        <v>45574</v>
      </c>
      <c r="B2224">
        <v>4.0599999999999996</v>
      </c>
    </row>
    <row r="2225" spans="1:2">
      <c r="A2225" s="1">
        <v>45575</v>
      </c>
      <c r="B2225">
        <v>4.09</v>
      </c>
    </row>
    <row r="2226" spans="1:2">
      <c r="A2226" s="1">
        <v>45576</v>
      </c>
      <c r="B2226">
        <v>4.08</v>
      </c>
    </row>
    <row r="2227" spans="1:2">
      <c r="A2227" s="1">
        <v>45579</v>
      </c>
    </row>
    <row r="2228" spans="1:2">
      <c r="A2228" s="1">
        <v>45580</v>
      </c>
      <c r="B2228">
        <v>4.03</v>
      </c>
    </row>
    <row r="2229" spans="1:2">
      <c r="A2229" s="1">
        <v>45581</v>
      </c>
      <c r="B2229">
        <v>4.0199999999999996</v>
      </c>
    </row>
    <row r="2230" spans="1:2">
      <c r="A2230" s="1">
        <v>45582</v>
      </c>
      <c r="B2230">
        <v>4.09</v>
      </c>
    </row>
    <row r="2231" spans="1:2">
      <c r="A2231" s="1">
        <v>45583</v>
      </c>
      <c r="B2231">
        <v>4.08</v>
      </c>
    </row>
    <row r="2232" spans="1:2">
      <c r="A2232" s="1">
        <v>45586</v>
      </c>
      <c r="B2232">
        <v>4.1900000000000004</v>
      </c>
    </row>
    <row r="2233" spans="1:2">
      <c r="A2233" s="1">
        <v>45587</v>
      </c>
      <c r="B2233">
        <v>4.2</v>
      </c>
    </row>
    <row r="2234" spans="1:2">
      <c r="A2234" s="1">
        <v>45588</v>
      </c>
      <c r="B2234">
        <v>4.24</v>
      </c>
    </row>
    <row r="2235" spans="1:2">
      <c r="A2235" s="1">
        <v>45589</v>
      </c>
      <c r="B2235">
        <v>4.21</v>
      </c>
    </row>
    <row r="2236" spans="1:2">
      <c r="A2236" s="1">
        <v>45590</v>
      </c>
      <c r="B2236">
        <v>4.25</v>
      </c>
    </row>
    <row r="2237" spans="1:2">
      <c r="A2237" s="1">
        <v>45593</v>
      </c>
      <c r="B2237">
        <v>4.28</v>
      </c>
    </row>
    <row r="2238" spans="1:2">
      <c r="A2238" s="1">
        <v>45594</v>
      </c>
      <c r="B2238">
        <v>4.28</v>
      </c>
    </row>
    <row r="2239" spans="1:2">
      <c r="A2239" s="1">
        <v>45595</v>
      </c>
      <c r="B2239">
        <v>4.29</v>
      </c>
    </row>
    <row r="2240" spans="1:2">
      <c r="A2240" s="1">
        <v>45596</v>
      </c>
      <c r="B2240">
        <v>4.28</v>
      </c>
    </row>
    <row r="2241" spans="1:2">
      <c r="A2241" s="1">
        <v>45597</v>
      </c>
      <c r="B2241">
        <v>4.37</v>
      </c>
    </row>
    <row r="2242" spans="1:2">
      <c r="A2242" s="1">
        <v>45600</v>
      </c>
      <c r="B2242">
        <v>4.3099999999999996</v>
      </c>
    </row>
    <row r="2243" spans="1:2">
      <c r="A2243" s="1">
        <v>45601</v>
      </c>
      <c r="B2243">
        <v>4.26</v>
      </c>
    </row>
    <row r="2244" spans="1:2">
      <c r="A2244" s="1">
        <v>45602</v>
      </c>
      <c r="B2244">
        <v>4.42</v>
      </c>
    </row>
    <row r="2245" spans="1:2">
      <c r="A2245" s="1">
        <v>45603</v>
      </c>
      <c r="B2245">
        <v>4.3099999999999996</v>
      </c>
    </row>
    <row r="2246" spans="1:2">
      <c r="A2246" s="1">
        <v>45604</v>
      </c>
      <c r="B2246">
        <v>4.3</v>
      </c>
    </row>
    <row r="2247" spans="1:2">
      <c r="A2247" s="1">
        <v>45607</v>
      </c>
    </row>
    <row r="2248" spans="1:2">
      <c r="A2248" s="1">
        <v>45608</v>
      </c>
      <c r="B2248">
        <v>4.43</v>
      </c>
    </row>
    <row r="2249" spans="1:2">
      <c r="A2249" s="1">
        <v>45609</v>
      </c>
      <c r="B2249">
        <v>4.4400000000000004</v>
      </c>
    </row>
    <row r="2250" spans="1:2">
      <c r="A2250" s="1">
        <v>45610</v>
      </c>
      <c r="B2250">
        <v>4.43</v>
      </c>
    </row>
    <row r="2251" spans="1:2">
      <c r="A2251" s="1">
        <v>45611</v>
      </c>
      <c r="B2251">
        <v>4.43</v>
      </c>
    </row>
    <row r="2252" spans="1:2">
      <c r="A2252" s="1">
        <v>45614</v>
      </c>
      <c r="B2252">
        <v>4.42</v>
      </c>
    </row>
    <row r="2253" spans="1:2">
      <c r="A2253" s="1">
        <v>45615</v>
      </c>
      <c r="B2253">
        <v>4.3899999999999997</v>
      </c>
    </row>
    <row r="2254" spans="1:2">
      <c r="A2254" s="1">
        <v>45616</v>
      </c>
      <c r="B2254">
        <v>4.41</v>
      </c>
    </row>
    <row r="2255" spans="1:2">
      <c r="A2255" s="1">
        <v>45617</v>
      </c>
      <c r="B2255">
        <v>4.43</v>
      </c>
    </row>
    <row r="2256" spans="1:2">
      <c r="A2256" s="1">
        <v>45618</v>
      </c>
      <c r="B2256">
        <v>4.41</v>
      </c>
    </row>
    <row r="2257" spans="1:2">
      <c r="A2257" s="1">
        <v>45621</v>
      </c>
      <c r="B2257">
        <v>4.2699999999999996</v>
      </c>
    </row>
    <row r="2258" spans="1:2">
      <c r="A2258" s="1">
        <v>45622</v>
      </c>
      <c r="B2258">
        <v>4.3</v>
      </c>
    </row>
    <row r="2259" spans="1:2">
      <c r="A2259" s="1">
        <v>45623</v>
      </c>
      <c r="B2259">
        <v>4.25</v>
      </c>
    </row>
    <row r="2260" spans="1:2">
      <c r="A2260" s="1">
        <v>45624</v>
      </c>
    </row>
    <row r="2261" spans="1:2">
      <c r="A2261" s="1">
        <v>45625</v>
      </c>
      <c r="B2261">
        <v>4.18</v>
      </c>
    </row>
    <row r="2262" spans="1:2">
      <c r="A2262" s="1">
        <v>45628</v>
      </c>
      <c r="B2262">
        <v>4.1900000000000004</v>
      </c>
    </row>
    <row r="2263" spans="1:2">
      <c r="A2263" s="1">
        <v>45629</v>
      </c>
      <c r="B2263">
        <v>4.2300000000000004</v>
      </c>
    </row>
    <row r="2264" spans="1:2">
      <c r="A2264" s="1">
        <v>45630</v>
      </c>
      <c r="B2264">
        <v>4.1900000000000004</v>
      </c>
    </row>
    <row r="2265" spans="1:2">
      <c r="A2265" s="1">
        <v>45631</v>
      </c>
      <c r="B2265">
        <v>4.17</v>
      </c>
    </row>
    <row r="2266" spans="1:2">
      <c r="A2266" s="1">
        <v>45632</v>
      </c>
      <c r="B2266">
        <v>4.1500000000000004</v>
      </c>
    </row>
    <row r="2267" spans="1:2">
      <c r="A2267" s="1">
        <v>45635</v>
      </c>
      <c r="B2267">
        <v>4.2</v>
      </c>
    </row>
    <row r="2268" spans="1:2">
      <c r="A2268" s="1">
        <v>45636</v>
      </c>
      <c r="B2268">
        <v>4.22</v>
      </c>
    </row>
    <row r="2269" spans="1:2">
      <c r="A2269" s="1">
        <v>45637</v>
      </c>
      <c r="B2269">
        <v>4.26</v>
      </c>
    </row>
    <row r="2270" spans="1:2">
      <c r="A2270" s="1">
        <v>45638</v>
      </c>
      <c r="B2270">
        <v>4.32</v>
      </c>
    </row>
    <row r="2271" spans="1:2">
      <c r="A2271" s="1">
        <v>45639</v>
      </c>
      <c r="B2271">
        <v>4.4000000000000004</v>
      </c>
    </row>
    <row r="2272" spans="1:2">
      <c r="A2272" s="1">
        <v>45642</v>
      </c>
      <c r="B2272">
        <v>4.3899999999999997</v>
      </c>
    </row>
    <row r="2273" spans="1:2">
      <c r="A2273" s="1">
        <v>45643</v>
      </c>
      <c r="B2273">
        <v>4.4000000000000004</v>
      </c>
    </row>
    <row r="2274" spans="1:2">
      <c r="A2274" s="1">
        <v>45644</v>
      </c>
      <c r="B2274">
        <v>4.5</v>
      </c>
    </row>
    <row r="2275" spans="1:2">
      <c r="A2275" s="1">
        <v>45645</v>
      </c>
      <c r="B2275">
        <v>4.57</v>
      </c>
    </row>
    <row r="2276" spans="1:2">
      <c r="A2276" s="1">
        <v>45646</v>
      </c>
      <c r="B2276">
        <v>4.5199999999999996</v>
      </c>
    </row>
    <row r="2277" spans="1:2">
      <c r="A2277" s="1">
        <v>45649</v>
      </c>
      <c r="B2277">
        <v>4.59</v>
      </c>
    </row>
    <row r="2278" spans="1:2">
      <c r="A2278" s="1">
        <v>45650</v>
      </c>
      <c r="B2278">
        <v>4.59</v>
      </c>
    </row>
    <row r="2279" spans="1:2">
      <c r="A2279" s="1">
        <v>45651</v>
      </c>
    </row>
    <row r="2280" spans="1:2">
      <c r="A2280" s="1">
        <v>45652</v>
      </c>
      <c r="B2280">
        <v>4.58</v>
      </c>
    </row>
    <row r="2281" spans="1:2">
      <c r="A2281" s="1">
        <v>45653</v>
      </c>
      <c r="B2281">
        <v>4.62</v>
      </c>
    </row>
    <row r="2282" spans="1:2">
      <c r="A2282" s="1">
        <v>45656</v>
      </c>
      <c r="B2282">
        <v>4.55</v>
      </c>
    </row>
    <row r="2283" spans="1:2">
      <c r="A2283" s="1">
        <v>45657</v>
      </c>
      <c r="B2283">
        <v>4.58</v>
      </c>
    </row>
    <row r="2284" spans="1:2">
      <c r="A2284" s="1">
        <v>45658</v>
      </c>
    </row>
    <row r="2285" spans="1:2">
      <c r="A2285" s="1">
        <v>45659</v>
      </c>
      <c r="B2285">
        <v>4.57</v>
      </c>
    </row>
    <row r="2286" spans="1:2">
      <c r="A2286" s="1">
        <v>45660</v>
      </c>
      <c r="B2286">
        <v>4.5999999999999996</v>
      </c>
    </row>
    <row r="2287" spans="1:2">
      <c r="A2287" s="1">
        <v>45663</v>
      </c>
      <c r="B2287">
        <v>4.62</v>
      </c>
    </row>
    <row r="2288" spans="1:2">
      <c r="A2288" s="1">
        <v>45664</v>
      </c>
      <c r="B2288">
        <v>4.67</v>
      </c>
    </row>
    <row r="2289" spans="1:2">
      <c r="A2289" s="1">
        <v>45665</v>
      </c>
      <c r="B2289">
        <v>4.67</v>
      </c>
    </row>
    <row r="2290" spans="1:2">
      <c r="A2290" s="1">
        <v>45666</v>
      </c>
      <c r="B2290">
        <v>4.68</v>
      </c>
    </row>
    <row r="2291" spans="1:2">
      <c r="A2291" s="1">
        <v>45667</v>
      </c>
      <c r="B2291">
        <v>4.7699999999999996</v>
      </c>
    </row>
    <row r="2292" spans="1:2">
      <c r="A2292" s="1">
        <v>45670</v>
      </c>
      <c r="B2292">
        <v>4.79</v>
      </c>
    </row>
    <row r="2293" spans="1:2">
      <c r="A2293" s="1">
        <v>45671</v>
      </c>
      <c r="B2293">
        <v>4.78</v>
      </c>
    </row>
    <row r="2294" spans="1:2">
      <c r="A2294" s="1">
        <v>45672</v>
      </c>
      <c r="B2294">
        <v>4.66</v>
      </c>
    </row>
    <row r="2295" spans="1:2">
      <c r="A2295" s="1">
        <v>45673</v>
      </c>
      <c r="B2295">
        <v>4.6100000000000003</v>
      </c>
    </row>
    <row r="2296" spans="1:2">
      <c r="A2296" s="1">
        <v>45674</v>
      </c>
      <c r="B2296">
        <v>4.6100000000000003</v>
      </c>
    </row>
    <row r="2297" spans="1:2">
      <c r="A2297" s="1">
        <v>45677</v>
      </c>
    </row>
    <row r="2298" spans="1:2">
      <c r="A2298" s="1">
        <v>45678</v>
      </c>
      <c r="B2298">
        <v>4.57</v>
      </c>
    </row>
    <row r="2299" spans="1:2">
      <c r="A2299" s="1">
        <v>45679</v>
      </c>
      <c r="B2299">
        <v>4.5999999999999996</v>
      </c>
    </row>
    <row r="2300" spans="1:2">
      <c r="A2300" s="1">
        <v>45680</v>
      </c>
      <c r="B2300">
        <v>4.6500000000000004</v>
      </c>
    </row>
    <row r="2301" spans="1:2">
      <c r="A2301" s="1">
        <v>45681</v>
      </c>
      <c r="B2301">
        <v>4.63</v>
      </c>
    </row>
    <row r="2302" spans="1:2">
      <c r="A2302" s="1">
        <v>45684</v>
      </c>
      <c r="B2302">
        <v>4.53</v>
      </c>
    </row>
    <row r="2303" spans="1:2">
      <c r="A2303" s="1">
        <v>45685</v>
      </c>
      <c r="B2303">
        <v>4.55</v>
      </c>
    </row>
    <row r="2304" spans="1:2">
      <c r="A2304" s="1">
        <v>45686</v>
      </c>
      <c r="B2304">
        <v>4.55</v>
      </c>
    </row>
    <row r="2305" spans="1:2">
      <c r="A2305" s="1">
        <v>45687</v>
      </c>
      <c r="B2305">
        <v>4.5199999999999996</v>
      </c>
    </row>
    <row r="2306" spans="1:2">
      <c r="A2306" s="1">
        <v>45688</v>
      </c>
      <c r="B2306">
        <v>4.58</v>
      </c>
    </row>
    <row r="2307" spans="1:2">
      <c r="A2307" s="1">
        <v>45691</v>
      </c>
      <c r="B2307">
        <v>4.54</v>
      </c>
    </row>
    <row r="2308" spans="1:2">
      <c r="A2308" s="1">
        <v>45692</v>
      </c>
      <c r="B2308">
        <v>4.5199999999999996</v>
      </c>
    </row>
    <row r="2309" spans="1:2">
      <c r="A2309" s="1">
        <v>45693</v>
      </c>
      <c r="B2309">
        <v>4.43</v>
      </c>
    </row>
    <row r="2310" spans="1:2">
      <c r="A2310" s="1">
        <v>45694</v>
      </c>
      <c r="B2310">
        <v>4.45</v>
      </c>
    </row>
    <row r="2311" spans="1:2">
      <c r="A2311" s="1">
        <v>45695</v>
      </c>
      <c r="B2311">
        <v>4.49</v>
      </c>
    </row>
    <row r="2312" spans="1:2">
      <c r="A2312" s="1">
        <v>45698</v>
      </c>
      <c r="B2312">
        <v>4.51</v>
      </c>
    </row>
    <row r="2313" spans="1:2">
      <c r="A2313" s="1">
        <v>45699</v>
      </c>
      <c r="B2313">
        <v>4.54</v>
      </c>
    </row>
    <row r="2314" spans="1:2">
      <c r="A2314" s="1">
        <v>45700</v>
      </c>
      <c r="B2314">
        <v>4.62</v>
      </c>
    </row>
    <row r="2315" spans="1:2">
      <c r="A2315" s="1">
        <v>45701</v>
      </c>
      <c r="B2315">
        <v>4.5199999999999996</v>
      </c>
    </row>
    <row r="2316" spans="1:2">
      <c r="A2316" s="1">
        <v>45702</v>
      </c>
      <c r="B2316">
        <v>4.47</v>
      </c>
    </row>
    <row r="2317" spans="1:2">
      <c r="A2317" s="1">
        <v>45705</v>
      </c>
    </row>
    <row r="2318" spans="1:2">
      <c r="A2318" s="1">
        <v>45706</v>
      </c>
      <c r="B2318">
        <v>4.55</v>
      </c>
    </row>
    <row r="2319" spans="1:2">
      <c r="A2319" s="1">
        <v>45707</v>
      </c>
      <c r="B2319">
        <v>4.53</v>
      </c>
    </row>
    <row r="2320" spans="1:2">
      <c r="A2320" s="1">
        <v>45708</v>
      </c>
      <c r="B2320">
        <v>4.5</v>
      </c>
    </row>
    <row r="2321" spans="1:2">
      <c r="A2321" s="1">
        <v>45709</v>
      </c>
      <c r="B2321">
        <v>4.42</v>
      </c>
    </row>
    <row r="2322" spans="1:2">
      <c r="A2322" s="1">
        <v>45712</v>
      </c>
      <c r="B2322">
        <v>4.4000000000000004</v>
      </c>
    </row>
    <row r="2323" spans="1:2">
      <c r="A2323" s="1">
        <v>45713</v>
      </c>
      <c r="B2323">
        <v>4.3</v>
      </c>
    </row>
    <row r="2324" spans="1:2">
      <c r="A2324" s="1">
        <v>45714</v>
      </c>
      <c r="B2324">
        <v>4.25</v>
      </c>
    </row>
    <row r="2325" spans="1:2">
      <c r="A2325" s="1">
        <v>45715</v>
      </c>
      <c r="B2325">
        <v>4.29</v>
      </c>
    </row>
    <row r="2326" spans="1:2">
      <c r="A2326" s="1">
        <v>45716</v>
      </c>
      <c r="B2326">
        <v>4.24</v>
      </c>
    </row>
    <row r="2327" spans="1:2">
      <c r="A2327" s="1">
        <v>45719</v>
      </c>
      <c r="B2327">
        <v>4.16</v>
      </c>
    </row>
    <row r="2328" spans="1:2">
      <c r="A2328" s="1">
        <v>45720</v>
      </c>
      <c r="B2328">
        <v>4.22</v>
      </c>
    </row>
    <row r="2329" spans="1:2">
      <c r="A2329" s="1">
        <v>45721</v>
      </c>
      <c r="B2329">
        <v>4.28</v>
      </c>
    </row>
    <row r="2330" spans="1:2">
      <c r="A2330" s="1">
        <v>45722</v>
      </c>
      <c r="B2330">
        <v>4.29</v>
      </c>
    </row>
    <row r="2331" spans="1:2">
      <c r="A2331" s="1">
        <v>45723</v>
      </c>
      <c r="B2331">
        <v>4.32</v>
      </c>
    </row>
    <row r="2332" spans="1:2">
      <c r="A2332" s="1">
        <v>45726</v>
      </c>
      <c r="B2332">
        <v>4.22</v>
      </c>
    </row>
    <row r="2333" spans="1:2">
      <c r="A2333" s="1">
        <v>45727</v>
      </c>
      <c r="B2333">
        <v>4.28</v>
      </c>
    </row>
    <row r="2334" spans="1:2">
      <c r="A2334" s="1">
        <v>45728</v>
      </c>
      <c r="B2334">
        <v>4.32</v>
      </c>
    </row>
    <row r="2335" spans="1:2">
      <c r="A2335" s="1">
        <v>45729</v>
      </c>
      <c r="B2335">
        <v>4.2699999999999996</v>
      </c>
    </row>
    <row r="2336" spans="1:2">
      <c r="A2336" s="1">
        <v>45730</v>
      </c>
      <c r="B2336">
        <v>4.3099999999999996</v>
      </c>
    </row>
    <row r="2337" spans="1:2">
      <c r="A2337" s="1">
        <v>45733</v>
      </c>
      <c r="B2337">
        <v>4.3099999999999996</v>
      </c>
    </row>
    <row r="2338" spans="1:2">
      <c r="A2338" s="1">
        <v>45734</v>
      </c>
      <c r="B2338">
        <v>4.29</v>
      </c>
    </row>
    <row r="2339" spans="1:2">
      <c r="A2339" s="1">
        <v>45735</v>
      </c>
      <c r="B2339">
        <v>4.25</v>
      </c>
    </row>
    <row r="2340" spans="1:2">
      <c r="A2340" s="1">
        <v>45736</v>
      </c>
      <c r="B2340">
        <v>4.24</v>
      </c>
    </row>
    <row r="2341" spans="1:2">
      <c r="A2341" s="1">
        <v>45737</v>
      </c>
      <c r="B2341">
        <v>4.25</v>
      </c>
    </row>
    <row r="2342" spans="1:2">
      <c r="A2342" s="1">
        <v>45740</v>
      </c>
      <c r="B2342">
        <v>4.34</v>
      </c>
    </row>
    <row r="2343" spans="1:2">
      <c r="A2343" s="1">
        <v>45741</v>
      </c>
      <c r="B2343">
        <v>4.3099999999999996</v>
      </c>
    </row>
    <row r="2344" spans="1:2">
      <c r="A2344" s="1">
        <v>45742</v>
      </c>
      <c r="B2344">
        <v>4.3499999999999996</v>
      </c>
    </row>
    <row r="2345" spans="1:2">
      <c r="A2345" s="1">
        <v>45743</v>
      </c>
      <c r="B2345">
        <v>4.38</v>
      </c>
    </row>
    <row r="2346" spans="1:2">
      <c r="A2346" s="1">
        <v>45744</v>
      </c>
      <c r="B2346">
        <v>4.2699999999999996</v>
      </c>
    </row>
    <row r="2347" spans="1:2">
      <c r="A2347" s="1">
        <v>45747</v>
      </c>
      <c r="B2347">
        <v>4.2300000000000004</v>
      </c>
    </row>
    <row r="2348" spans="1:2">
      <c r="A2348" s="1">
        <v>45748</v>
      </c>
      <c r="B2348">
        <v>4.17</v>
      </c>
    </row>
    <row r="2349" spans="1:2">
      <c r="A2349" s="1">
        <v>45749</v>
      </c>
      <c r="B2349">
        <v>4.2</v>
      </c>
    </row>
    <row r="2350" spans="1:2">
      <c r="A2350" s="1">
        <v>45750</v>
      </c>
      <c r="B2350">
        <v>4.0599999999999996</v>
      </c>
    </row>
    <row r="2351" spans="1:2">
      <c r="A2351" s="1">
        <v>45751</v>
      </c>
      <c r="B2351">
        <v>4.01</v>
      </c>
    </row>
    <row r="2352" spans="1:2">
      <c r="A2352" s="1">
        <v>45754</v>
      </c>
      <c r="B2352">
        <v>4.1500000000000004</v>
      </c>
    </row>
    <row r="2353" spans="1:2">
      <c r="A2353" s="1">
        <v>45755</v>
      </c>
      <c r="B2353">
        <v>4.26</v>
      </c>
    </row>
    <row r="2354" spans="1:2">
      <c r="A2354" s="1">
        <v>45756</v>
      </c>
      <c r="B2354">
        <v>4.34</v>
      </c>
    </row>
    <row r="2355" spans="1:2">
      <c r="A2355" s="1">
        <v>45757</v>
      </c>
      <c r="B2355">
        <v>4.4000000000000004</v>
      </c>
    </row>
    <row r="2356" spans="1:2">
      <c r="A2356" s="1">
        <v>45758</v>
      </c>
      <c r="B2356">
        <v>4.4800000000000004</v>
      </c>
    </row>
    <row r="2357" spans="1:2">
      <c r="A2357" s="1">
        <v>45761</v>
      </c>
      <c r="B2357">
        <v>4.38</v>
      </c>
    </row>
    <row r="2358" spans="1:2">
      <c r="A2358" s="1">
        <v>45762</v>
      </c>
      <c r="B2358">
        <v>4.3499999999999996</v>
      </c>
    </row>
    <row r="2359" spans="1:2">
      <c r="A2359" s="1">
        <v>45763</v>
      </c>
      <c r="B2359">
        <v>4.29</v>
      </c>
    </row>
    <row r="2360" spans="1:2">
      <c r="A2360" s="1">
        <v>45764</v>
      </c>
      <c r="B2360">
        <v>4.34</v>
      </c>
    </row>
    <row r="2361" spans="1:2">
      <c r="A2361" s="1">
        <v>45765</v>
      </c>
    </row>
    <row r="2362" spans="1:2">
      <c r="A2362" s="1">
        <v>45768</v>
      </c>
      <c r="B2362">
        <v>4.42</v>
      </c>
    </row>
    <row r="2363" spans="1:2">
      <c r="A2363" s="1">
        <v>45769</v>
      </c>
      <c r="B2363">
        <v>4.41</v>
      </c>
    </row>
    <row r="2364" spans="1:2">
      <c r="A2364" s="1">
        <v>45770</v>
      </c>
      <c r="B2364">
        <v>4.4000000000000004</v>
      </c>
    </row>
    <row r="2365" spans="1:2">
      <c r="A2365" s="1">
        <v>45771</v>
      </c>
      <c r="B2365">
        <v>4.32</v>
      </c>
    </row>
    <row r="2366" spans="1:2">
      <c r="A2366" s="1">
        <v>45772</v>
      </c>
      <c r="B2366">
        <v>4.29</v>
      </c>
    </row>
    <row r="2367" spans="1:2">
      <c r="A2367" s="1">
        <v>45775</v>
      </c>
      <c r="B2367">
        <v>4.2300000000000004</v>
      </c>
    </row>
    <row r="2368" spans="1:2">
      <c r="A2368" s="1">
        <v>45776</v>
      </c>
      <c r="B2368">
        <v>4.1900000000000004</v>
      </c>
    </row>
    <row r="2369" spans="1:2">
      <c r="A2369" s="1">
        <v>45777</v>
      </c>
      <c r="B2369">
        <v>4.17</v>
      </c>
    </row>
    <row r="2370" spans="1:2">
      <c r="A2370" s="1">
        <v>45778</v>
      </c>
      <c r="B2370">
        <v>4.25</v>
      </c>
    </row>
    <row r="2371" spans="1:2">
      <c r="A2371" s="1">
        <v>45779</v>
      </c>
      <c r="B2371">
        <v>4.33</v>
      </c>
    </row>
    <row r="2372" spans="1:2">
      <c r="A2372" s="1">
        <v>45782</v>
      </c>
      <c r="B2372">
        <v>4.3600000000000003</v>
      </c>
    </row>
    <row r="2373" spans="1:2">
      <c r="A2373" s="1">
        <v>45783</v>
      </c>
      <c r="B2373">
        <v>4.3</v>
      </c>
    </row>
    <row r="2374" spans="1:2">
      <c r="A2374" s="1">
        <v>45784</v>
      </c>
      <c r="B2374">
        <v>4.26</v>
      </c>
    </row>
    <row r="2375" spans="1:2">
      <c r="A2375" s="1">
        <v>45785</v>
      </c>
      <c r="B2375">
        <v>4.37</v>
      </c>
    </row>
    <row r="2376" spans="1:2">
      <c r="A2376" s="1">
        <v>45786</v>
      </c>
      <c r="B2376">
        <v>4.37</v>
      </c>
    </row>
    <row r="2377" spans="1:2">
      <c r="A2377" s="1">
        <v>45789</v>
      </c>
      <c r="B2377">
        <v>4.45</v>
      </c>
    </row>
    <row r="2378" spans="1:2">
      <c r="A2378" s="1">
        <v>45790</v>
      </c>
      <c r="B2378">
        <v>4.49</v>
      </c>
    </row>
    <row r="2379" spans="1:2">
      <c r="A2379" s="1">
        <v>45791</v>
      </c>
      <c r="B2379">
        <v>4.53</v>
      </c>
    </row>
    <row r="2380" spans="1:2">
      <c r="A2380" s="1">
        <v>45792</v>
      </c>
      <c r="B2380">
        <v>4.45</v>
      </c>
    </row>
    <row r="2381" spans="1:2">
      <c r="A2381" s="1">
        <v>45793</v>
      </c>
      <c r="B2381">
        <v>4.43</v>
      </c>
    </row>
    <row r="2382" spans="1:2">
      <c r="A2382" s="1">
        <v>45796</v>
      </c>
      <c r="B2382">
        <v>4.46</v>
      </c>
    </row>
    <row r="2383" spans="1:2">
      <c r="A2383" s="1">
        <v>45797</v>
      </c>
      <c r="B2383">
        <v>4.4800000000000004</v>
      </c>
    </row>
    <row r="2384" spans="1:2">
      <c r="A2384" s="1">
        <v>45798</v>
      </c>
      <c r="B2384">
        <v>4.58</v>
      </c>
    </row>
    <row r="2385" spans="1:2">
      <c r="A2385" s="1">
        <v>45799</v>
      </c>
      <c r="B2385">
        <v>4.54</v>
      </c>
    </row>
    <row r="2386" spans="1:2">
      <c r="A2386" s="1">
        <v>45800</v>
      </c>
      <c r="B2386">
        <v>4.51</v>
      </c>
    </row>
    <row r="2387" spans="1:2">
      <c r="A2387" s="1">
        <v>45803</v>
      </c>
    </row>
    <row r="2388" spans="1:2">
      <c r="A2388" s="1">
        <v>45804</v>
      </c>
      <c r="B2388">
        <v>4.43</v>
      </c>
    </row>
    <row r="2389" spans="1:2">
      <c r="A2389" s="1">
        <v>45805</v>
      </c>
      <c r="B2389">
        <v>4.47</v>
      </c>
    </row>
    <row r="2390" spans="1:2">
      <c r="A2390" s="1">
        <v>45806</v>
      </c>
      <c r="B2390">
        <v>4.43</v>
      </c>
    </row>
    <row r="2391" spans="1:2">
      <c r="A2391" s="1">
        <v>45807</v>
      </c>
      <c r="B2391">
        <v>4.41</v>
      </c>
    </row>
    <row r="2392" spans="1:2">
      <c r="A2392" s="1">
        <v>45810</v>
      </c>
      <c r="B2392">
        <v>4.46</v>
      </c>
    </row>
    <row r="2393" spans="1:2">
      <c r="A2393" s="1">
        <v>45811</v>
      </c>
      <c r="B2393">
        <v>4.46</v>
      </c>
    </row>
    <row r="2394" spans="1:2">
      <c r="A2394" s="1">
        <v>45812</v>
      </c>
      <c r="B2394">
        <v>4.37</v>
      </c>
    </row>
    <row r="2395" spans="1:2">
      <c r="A2395" s="1">
        <v>45813</v>
      </c>
      <c r="B2395">
        <v>4.4000000000000004</v>
      </c>
    </row>
    <row r="2396" spans="1:2">
      <c r="A2396" s="1">
        <v>45814</v>
      </c>
      <c r="B2396">
        <v>4.51</v>
      </c>
    </row>
    <row r="2397" spans="1:2">
      <c r="A2397" s="1">
        <v>45817</v>
      </c>
      <c r="B2397">
        <v>4.49</v>
      </c>
    </row>
    <row r="2398" spans="1:2">
      <c r="A2398" s="1">
        <v>45818</v>
      </c>
      <c r="B2398">
        <v>4.47</v>
      </c>
    </row>
    <row r="2399" spans="1:2">
      <c r="A2399" s="1">
        <v>45819</v>
      </c>
      <c r="B2399">
        <v>4.41</v>
      </c>
    </row>
    <row r="2400" spans="1:2">
      <c r="A2400" s="1">
        <v>45820</v>
      </c>
      <c r="B2400">
        <v>4.3600000000000003</v>
      </c>
    </row>
    <row r="2401" spans="1:2">
      <c r="A2401" s="1">
        <v>45821</v>
      </c>
      <c r="B2401">
        <v>4.41</v>
      </c>
    </row>
    <row r="2402" spans="1:2">
      <c r="A2402" s="1">
        <v>45824</v>
      </c>
      <c r="B2402">
        <v>4.46</v>
      </c>
    </row>
    <row r="2403" spans="1:2">
      <c r="A2403" s="1">
        <v>45825</v>
      </c>
      <c r="B2403">
        <v>4.3899999999999997</v>
      </c>
    </row>
    <row r="2404" spans="1:2">
      <c r="A2404" s="1">
        <v>45826</v>
      </c>
      <c r="B2404">
        <v>4.38</v>
      </c>
    </row>
    <row r="2405" spans="1:2">
      <c r="A2405" s="1">
        <v>45827</v>
      </c>
    </row>
    <row r="2406" spans="1:2">
      <c r="A2406" s="1">
        <v>45828</v>
      </c>
      <c r="B2406">
        <v>4.38</v>
      </c>
    </row>
    <row r="2407" spans="1:2">
      <c r="A2407" s="1">
        <v>45831</v>
      </c>
      <c r="B2407">
        <v>4.34</v>
      </c>
    </row>
    <row r="2408" spans="1:2">
      <c r="A2408" s="1">
        <v>45832</v>
      </c>
      <c r="B2408">
        <v>4.3</v>
      </c>
    </row>
    <row r="2409" spans="1:2">
      <c r="A2409" s="1">
        <v>45833</v>
      </c>
      <c r="B2409">
        <v>4.29</v>
      </c>
    </row>
    <row r="2410" spans="1:2">
      <c r="A2410" s="1">
        <v>45834</v>
      </c>
      <c r="B2410">
        <v>4.26</v>
      </c>
    </row>
    <row r="2411" spans="1:2">
      <c r="A2411" s="1">
        <v>45835</v>
      </c>
      <c r="B2411">
        <v>4.29</v>
      </c>
    </row>
    <row r="2412" spans="1:2">
      <c r="A2412" s="1">
        <v>45838</v>
      </c>
      <c r="B2412">
        <v>4.24</v>
      </c>
    </row>
    <row r="2413" spans="1:2">
      <c r="A2413" s="1">
        <v>45839</v>
      </c>
      <c r="B2413">
        <v>4.26</v>
      </c>
    </row>
    <row r="2414" spans="1:2">
      <c r="A2414" s="1">
        <v>45840</v>
      </c>
      <c r="B2414">
        <v>4.3</v>
      </c>
    </row>
    <row r="2415" spans="1:2">
      <c r="A2415" s="1">
        <v>45841</v>
      </c>
      <c r="B2415">
        <v>4.3499999999999996</v>
      </c>
    </row>
    <row r="2416" spans="1:2">
      <c r="A2416" s="1">
        <v>45842</v>
      </c>
    </row>
    <row r="2417" spans="1:2">
      <c r="A2417" s="1">
        <v>45845</v>
      </c>
      <c r="B2417">
        <v>4.4000000000000004</v>
      </c>
    </row>
    <row r="2418" spans="1:2">
      <c r="A2418" s="1">
        <v>45846</v>
      </c>
      <c r="B2418">
        <v>4.42</v>
      </c>
    </row>
    <row r="2419" spans="1:2">
      <c r="A2419" s="1">
        <v>45847</v>
      </c>
      <c r="B2419">
        <v>4.34</v>
      </c>
    </row>
    <row r="2420" spans="1:2">
      <c r="A2420" s="1">
        <v>45848</v>
      </c>
      <c r="B2420">
        <v>4.3499999999999996</v>
      </c>
    </row>
    <row r="2421" spans="1:2">
      <c r="A2421" s="1">
        <v>45849</v>
      </c>
      <c r="B2421">
        <v>4.43</v>
      </c>
    </row>
    <row r="2422" spans="1:2">
      <c r="A2422" s="1">
        <v>45852</v>
      </c>
      <c r="B2422">
        <v>4.43</v>
      </c>
    </row>
    <row r="2423" spans="1:2">
      <c r="A2423" s="1">
        <v>45853</v>
      </c>
      <c r="B2423">
        <v>4.5</v>
      </c>
    </row>
    <row r="2424" spans="1:2">
      <c r="A2424" s="1">
        <v>45854</v>
      </c>
      <c r="B2424">
        <v>4.46</v>
      </c>
    </row>
    <row r="2425" spans="1:2">
      <c r="A2425" s="1">
        <v>45855</v>
      </c>
      <c r="B2425">
        <v>4.47</v>
      </c>
    </row>
    <row r="2426" spans="1:2">
      <c r="A2426" s="1">
        <v>45856</v>
      </c>
      <c r="B2426">
        <v>4.4400000000000004</v>
      </c>
    </row>
    <row r="2427" spans="1:2">
      <c r="A2427" s="1">
        <v>45859</v>
      </c>
      <c r="B2427">
        <v>4.38</v>
      </c>
    </row>
    <row r="2428" spans="1:2">
      <c r="A2428" s="1">
        <v>45860</v>
      </c>
      <c r="B2428">
        <v>4.3499999999999996</v>
      </c>
    </row>
    <row r="2429" spans="1:2">
      <c r="A2429" s="1">
        <v>45861</v>
      </c>
      <c r="B2429">
        <v>4.4000000000000004</v>
      </c>
    </row>
    <row r="2430" spans="1:2">
      <c r="A2430" s="1">
        <v>45862</v>
      </c>
      <c r="B2430">
        <v>4.43</v>
      </c>
    </row>
    <row r="2431" spans="1:2">
      <c r="A2431" s="1">
        <v>45863</v>
      </c>
      <c r="B2431">
        <v>4.4000000000000004</v>
      </c>
    </row>
    <row r="2432" spans="1:2">
      <c r="A2432" s="1">
        <v>45866</v>
      </c>
      <c r="B2432">
        <v>4.42</v>
      </c>
    </row>
    <row r="2433" spans="1:2">
      <c r="A2433" s="1">
        <v>45867</v>
      </c>
      <c r="B2433">
        <v>4.34</v>
      </c>
    </row>
    <row r="2434" spans="1:2">
      <c r="A2434" s="1">
        <v>45868</v>
      </c>
      <c r="B2434">
        <v>4.38</v>
      </c>
    </row>
    <row r="2435" spans="1:2">
      <c r="A2435" s="1">
        <v>45869</v>
      </c>
      <c r="B2435">
        <v>4.37</v>
      </c>
    </row>
    <row r="2436" spans="1:2">
      <c r="A2436" s="1">
        <v>45870</v>
      </c>
      <c r="B2436">
        <v>4.2300000000000004</v>
      </c>
    </row>
    <row r="2437" spans="1:2">
      <c r="A2437" s="1">
        <v>45873</v>
      </c>
      <c r="B2437">
        <v>4.22</v>
      </c>
    </row>
    <row r="2438" spans="1:2">
      <c r="A2438" s="1">
        <v>45874</v>
      </c>
      <c r="B2438">
        <v>4.22</v>
      </c>
    </row>
    <row r="2439" spans="1:2">
      <c r="A2439" s="1">
        <v>45875</v>
      </c>
      <c r="B2439">
        <v>4.22</v>
      </c>
    </row>
    <row r="2440" spans="1:2">
      <c r="A2440" s="1">
        <v>45876</v>
      </c>
      <c r="B2440">
        <v>4.2300000000000004</v>
      </c>
    </row>
    <row r="2441" spans="1:2">
      <c r="A2441" s="1">
        <v>45877</v>
      </c>
      <c r="B2441">
        <v>4.2699999999999996</v>
      </c>
    </row>
    <row r="2442" spans="1:2">
      <c r="A2442" s="1">
        <v>45880</v>
      </c>
      <c r="B2442">
        <v>4.2699999999999996</v>
      </c>
    </row>
    <row r="2443" spans="1:2">
      <c r="A2443" s="1">
        <v>45881</v>
      </c>
      <c r="B2443">
        <v>4.29</v>
      </c>
    </row>
    <row r="2444" spans="1:2">
      <c r="A2444" s="1">
        <v>45882</v>
      </c>
      <c r="B2444">
        <v>4.24</v>
      </c>
    </row>
    <row r="2445" spans="1:2">
      <c r="A2445" s="1">
        <v>45883</v>
      </c>
      <c r="B2445">
        <v>4.29</v>
      </c>
    </row>
    <row r="2446" spans="1:2">
      <c r="A2446" s="1">
        <v>45884</v>
      </c>
      <c r="B2446">
        <v>4.33</v>
      </c>
    </row>
    <row r="2447" spans="1:2">
      <c r="A2447" s="1">
        <v>45887</v>
      </c>
      <c r="B2447">
        <v>4.34</v>
      </c>
    </row>
    <row r="2448" spans="1:2">
      <c r="A2448" s="1">
        <v>45888</v>
      </c>
      <c r="B2448">
        <v>4.3</v>
      </c>
    </row>
    <row r="2449" spans="1:2">
      <c r="A2449" s="1">
        <v>45889</v>
      </c>
      <c r="B2449">
        <v>4.29</v>
      </c>
    </row>
    <row r="2450" spans="1:2">
      <c r="A2450" s="1">
        <v>45890</v>
      </c>
      <c r="B2450">
        <v>4.33</v>
      </c>
    </row>
    <row r="2451" spans="1:2">
      <c r="A2451" s="1">
        <v>45891</v>
      </c>
      <c r="B2451">
        <v>4.26</v>
      </c>
    </row>
    <row r="2452" spans="1:2">
      <c r="A2452" s="1">
        <v>45894</v>
      </c>
      <c r="B2452">
        <v>4.28</v>
      </c>
    </row>
    <row r="2453" spans="1:2">
      <c r="A2453" s="1">
        <v>45895</v>
      </c>
      <c r="B2453">
        <v>4.26</v>
      </c>
    </row>
    <row r="2454" spans="1:2">
      <c r="A2454" s="1">
        <v>45896</v>
      </c>
      <c r="B2454">
        <v>4.24</v>
      </c>
    </row>
    <row r="2455" spans="1:2">
      <c r="A2455" s="1">
        <v>45897</v>
      </c>
      <c r="B2455">
        <v>4.22</v>
      </c>
    </row>
    <row r="2456" spans="1:2">
      <c r="A2456" s="1">
        <v>45898</v>
      </c>
      <c r="B2456">
        <v>4.2300000000000004</v>
      </c>
    </row>
    <row r="2457" spans="1:2">
      <c r="A2457" s="1">
        <v>45901</v>
      </c>
    </row>
    <row r="2458" spans="1:2">
      <c r="A2458" s="1">
        <v>45902</v>
      </c>
      <c r="B2458">
        <v>4.28</v>
      </c>
    </row>
    <row r="2459" spans="1:2">
      <c r="A2459" s="1">
        <v>45903</v>
      </c>
      <c r="B2459">
        <v>4.22</v>
      </c>
    </row>
    <row r="2460" spans="1:2">
      <c r="A2460" s="1">
        <v>45904</v>
      </c>
      <c r="B2460">
        <v>4.17</v>
      </c>
    </row>
    <row r="2461" spans="1:2">
      <c r="A2461" s="1">
        <v>45905</v>
      </c>
      <c r="B2461">
        <v>4.0999999999999996</v>
      </c>
    </row>
    <row r="2462" spans="1:2">
      <c r="A2462" s="1">
        <v>45908</v>
      </c>
      <c r="B2462">
        <v>4.05</v>
      </c>
    </row>
    <row r="2463" spans="1:2">
      <c r="A2463" s="1">
        <v>45909</v>
      </c>
      <c r="B2463">
        <v>4.08</v>
      </c>
    </row>
    <row r="2464" spans="1:2">
      <c r="A2464" s="1">
        <v>45910</v>
      </c>
      <c r="B2464">
        <v>4.04</v>
      </c>
    </row>
    <row r="2465" spans="1:2">
      <c r="A2465" s="1">
        <v>45911</v>
      </c>
      <c r="B2465">
        <v>4.01</v>
      </c>
    </row>
    <row r="2466" spans="1:2">
      <c r="A2466" s="1">
        <v>45912</v>
      </c>
      <c r="B2466">
        <v>4.0599999999999996</v>
      </c>
    </row>
    <row r="2467" spans="1:2">
      <c r="A2467" s="1">
        <v>45915</v>
      </c>
      <c r="B2467">
        <v>4.05</v>
      </c>
    </row>
    <row r="2468" spans="1:2">
      <c r="A2468" s="1">
        <v>45916</v>
      </c>
      <c r="B2468">
        <v>4.04</v>
      </c>
    </row>
    <row r="2469" spans="1:2">
      <c r="A2469" s="1">
        <v>45917</v>
      </c>
      <c r="B2469">
        <v>4.0599999999999996</v>
      </c>
    </row>
    <row r="2470" spans="1:2">
      <c r="A2470" s="1">
        <v>45918</v>
      </c>
      <c r="B2470">
        <v>4.1100000000000003</v>
      </c>
    </row>
    <row r="2471" spans="1:2">
      <c r="A2471" s="1">
        <v>45919</v>
      </c>
      <c r="B2471">
        <v>4.1399999999999997</v>
      </c>
    </row>
    <row r="2472" spans="1:2">
      <c r="A2472" s="1">
        <v>45922</v>
      </c>
      <c r="B2472">
        <v>4.1500000000000004</v>
      </c>
    </row>
    <row r="2473" spans="1:2">
      <c r="A2473" s="1">
        <v>45923</v>
      </c>
      <c r="B2473">
        <v>4.12</v>
      </c>
    </row>
    <row r="2474" spans="1:2">
      <c r="A2474" s="1">
        <v>45924</v>
      </c>
      <c r="B2474">
        <v>4.16</v>
      </c>
    </row>
    <row r="2475" spans="1:2">
      <c r="A2475" s="1">
        <v>45925</v>
      </c>
      <c r="B2475">
        <v>4.18</v>
      </c>
    </row>
    <row r="2476" spans="1:2">
      <c r="A2476" s="1">
        <v>45926</v>
      </c>
      <c r="B2476">
        <v>4.2</v>
      </c>
    </row>
    <row r="2477" spans="1:2">
      <c r="A2477" s="1">
        <v>45929</v>
      </c>
      <c r="B2477">
        <v>4.1500000000000004</v>
      </c>
    </row>
    <row r="2478" spans="1:2">
      <c r="A2478" s="1">
        <v>45930</v>
      </c>
      <c r="B2478">
        <v>4.16</v>
      </c>
    </row>
    <row r="2479" spans="1:2">
      <c r="A2479" s="1">
        <v>45931</v>
      </c>
      <c r="B2479">
        <v>4.12</v>
      </c>
    </row>
    <row r="2480" spans="1:2">
      <c r="A2480" s="1">
        <v>45932</v>
      </c>
      <c r="B2480">
        <v>4.0999999999999996</v>
      </c>
    </row>
    <row r="2481" spans="1:2">
      <c r="A2481" s="1">
        <v>45933</v>
      </c>
      <c r="B2481">
        <v>4.13</v>
      </c>
    </row>
    <row r="2482" spans="1:2">
      <c r="A2482" s="1">
        <v>45936</v>
      </c>
      <c r="B2482">
        <v>4.18</v>
      </c>
    </row>
    <row r="2483" spans="1:2">
      <c r="A2483" s="1">
        <v>45937</v>
      </c>
      <c r="B2483">
        <v>4.1399999999999997</v>
      </c>
    </row>
    <row r="2484" spans="1:2">
      <c r="A2484" s="1">
        <v>45938</v>
      </c>
      <c r="B2484">
        <v>4.13</v>
      </c>
    </row>
    <row r="2485" spans="1:2">
      <c r="A2485" s="1">
        <v>45939</v>
      </c>
      <c r="B2485">
        <v>4.1399999999999997</v>
      </c>
    </row>
    <row r="2486" spans="1:2">
      <c r="A2486" s="1">
        <v>45940</v>
      </c>
      <c r="B2486">
        <v>4.05</v>
      </c>
    </row>
    <row r="2487" spans="1:2">
      <c r="A2487" s="1">
        <v>45943</v>
      </c>
    </row>
    <row r="2488" spans="1:2">
      <c r="A2488" s="1">
        <v>45944</v>
      </c>
      <c r="B2488">
        <v>4.03</v>
      </c>
    </row>
    <row r="2489" spans="1:2">
      <c r="A2489" s="1">
        <v>45945</v>
      </c>
      <c r="B2489">
        <v>4.05</v>
      </c>
    </row>
    <row r="2490" spans="1:2">
      <c r="A2490" s="1">
        <v>45946</v>
      </c>
      <c r="B2490">
        <v>3.99</v>
      </c>
    </row>
    <row r="2491" spans="1:2">
      <c r="A2491" s="1">
        <v>45947</v>
      </c>
      <c r="B2491">
        <v>4.0199999999999996</v>
      </c>
    </row>
    <row r="2492" spans="1:2">
      <c r="A2492" s="1">
        <v>45950</v>
      </c>
      <c r="B2492">
        <v>4</v>
      </c>
    </row>
    <row r="2493" spans="1:2">
      <c r="A2493" s="1">
        <v>45951</v>
      </c>
      <c r="B2493">
        <v>3.98</v>
      </c>
    </row>
    <row r="2494" spans="1:2">
      <c r="A2494" s="1">
        <v>45952</v>
      </c>
      <c r="B2494">
        <v>3.97</v>
      </c>
    </row>
    <row r="2495" spans="1:2">
      <c r="A2495" s="1">
        <v>45953</v>
      </c>
      <c r="B2495">
        <v>4.01</v>
      </c>
    </row>
    <row r="2496" spans="1:2">
      <c r="A2496" s="1">
        <v>45954</v>
      </c>
      <c r="B2496">
        <v>4.0199999999999996</v>
      </c>
    </row>
    <row r="2497" spans="1:2">
      <c r="A2497" s="1">
        <v>45957</v>
      </c>
      <c r="B2497">
        <v>4.01</v>
      </c>
    </row>
    <row r="2498" spans="1:2">
      <c r="A2498" s="1">
        <v>45958</v>
      </c>
      <c r="B2498">
        <v>3.99</v>
      </c>
    </row>
    <row r="2499" spans="1:2">
      <c r="A2499" s="1">
        <v>45959</v>
      </c>
      <c r="B2499">
        <v>4.08</v>
      </c>
    </row>
    <row r="2500" spans="1:2">
      <c r="A2500" s="1">
        <v>45960</v>
      </c>
      <c r="B2500">
        <v>4.1100000000000003</v>
      </c>
    </row>
    <row r="2501" spans="1:2">
      <c r="A2501" s="1">
        <v>45961</v>
      </c>
      <c r="B2501">
        <v>4.1100000000000003</v>
      </c>
    </row>
    <row r="2502" spans="1:2">
      <c r="A2502" s="1">
        <v>45964</v>
      </c>
      <c r="B2502">
        <v>4.13</v>
      </c>
    </row>
    <row r="2503" spans="1:2">
      <c r="A2503" s="1">
        <v>45965</v>
      </c>
      <c r="B2503">
        <v>4.0999999999999996</v>
      </c>
    </row>
    <row r="2504" spans="1:2">
      <c r="A2504" s="1">
        <v>45966</v>
      </c>
      <c r="B2504">
        <v>4.17</v>
      </c>
    </row>
    <row r="2505" spans="1:2">
      <c r="A2505" s="1">
        <v>45967</v>
      </c>
      <c r="B2505">
        <v>4.1100000000000003</v>
      </c>
    </row>
    <row r="2506" spans="1:2">
      <c r="A2506" s="1">
        <v>45968</v>
      </c>
      <c r="B2506">
        <v>4.1100000000000003</v>
      </c>
    </row>
    <row r="2507" spans="1:2">
      <c r="A2507" s="1">
        <v>45971</v>
      </c>
      <c r="B2507">
        <v>4.13</v>
      </c>
    </row>
    <row r="2508" spans="1:2">
      <c r="A2508" s="1">
        <v>45972</v>
      </c>
    </row>
    <row r="2509" spans="1:2">
      <c r="A2509" s="1">
        <v>45973</v>
      </c>
      <c r="B2509">
        <v>4.08</v>
      </c>
    </row>
    <row r="2510" spans="1:2">
      <c r="A2510" s="1">
        <v>45974</v>
      </c>
      <c r="B2510">
        <v>4.1100000000000003</v>
      </c>
    </row>
    <row r="2511" spans="1:2">
      <c r="A2511" s="1">
        <v>45975</v>
      </c>
      <c r="B2511">
        <v>4.1399999999999997</v>
      </c>
    </row>
    <row r="2512" spans="1:2">
      <c r="A2512" s="1">
        <v>45978</v>
      </c>
      <c r="B2512">
        <v>4.13</v>
      </c>
    </row>
    <row r="2513" spans="1:2">
      <c r="A2513" s="1">
        <v>45979</v>
      </c>
      <c r="B2513">
        <v>4.12</v>
      </c>
    </row>
    <row r="2514" spans="1:2">
      <c r="A2514" s="1">
        <v>45980</v>
      </c>
      <c r="B2514">
        <v>4.13</v>
      </c>
    </row>
    <row r="2515" spans="1:2">
      <c r="A2515" s="1">
        <v>45981</v>
      </c>
      <c r="B2515">
        <v>4.0999999999999996</v>
      </c>
    </row>
    <row r="2516" spans="1:2">
      <c r="A2516" s="1">
        <v>45982</v>
      </c>
      <c r="B2516">
        <v>4.0599999999999996</v>
      </c>
    </row>
    <row r="2517" spans="1:2">
      <c r="A2517" s="1">
        <v>45985</v>
      </c>
      <c r="B2517">
        <v>4.04</v>
      </c>
    </row>
    <row r="2518" spans="1:2">
      <c r="A2518" s="1">
        <v>45986</v>
      </c>
      <c r="B2518">
        <v>4.01</v>
      </c>
    </row>
    <row r="2519" spans="1:2">
      <c r="A2519" s="1">
        <v>45987</v>
      </c>
      <c r="B2519">
        <v>4</v>
      </c>
    </row>
    <row r="2520" spans="1:2">
      <c r="A2520" s="1">
        <v>45988</v>
      </c>
    </row>
    <row r="2521" spans="1:2">
      <c r="A2521" s="1">
        <v>45989</v>
      </c>
      <c r="B2521">
        <v>4.0199999999999996</v>
      </c>
    </row>
    <row r="2522" spans="1:2">
      <c r="A2522" s="1">
        <v>45992</v>
      </c>
      <c r="B2522">
        <v>4.09</v>
      </c>
    </row>
    <row r="2523" spans="1:2">
      <c r="A2523" s="1">
        <v>45993</v>
      </c>
      <c r="B2523">
        <v>4.09</v>
      </c>
    </row>
    <row r="2524" spans="1:2">
      <c r="A2524" s="1">
        <v>45994</v>
      </c>
      <c r="B2524">
        <v>4.0599999999999996</v>
      </c>
    </row>
    <row r="2525" spans="1:2">
      <c r="A2525" s="1">
        <v>45995</v>
      </c>
      <c r="B2525">
        <v>4.1100000000000003</v>
      </c>
    </row>
    <row r="2526" spans="1:2">
      <c r="A2526" s="1">
        <v>45996</v>
      </c>
      <c r="B2526">
        <v>4.1399999999999997</v>
      </c>
    </row>
    <row r="2527" spans="1:2">
      <c r="A2527" s="1">
        <v>45999</v>
      </c>
      <c r="B2527">
        <v>4.17</v>
      </c>
    </row>
    <row r="2528" spans="1:2">
      <c r="A2528" s="1">
        <v>46000</v>
      </c>
      <c r="B2528">
        <v>4.18</v>
      </c>
    </row>
    <row r="2529" spans="1:2">
      <c r="A2529" s="1">
        <v>46001</v>
      </c>
      <c r="B2529">
        <v>4.13</v>
      </c>
    </row>
    <row r="2530" spans="1:2">
      <c r="A2530" s="1">
        <v>46002</v>
      </c>
      <c r="B2530">
        <v>4.1399999999999997</v>
      </c>
    </row>
    <row r="2531" spans="1:2">
      <c r="A2531" s="1">
        <v>46003</v>
      </c>
      <c r="B2531">
        <v>4.1900000000000004</v>
      </c>
    </row>
    <row r="2532" spans="1:2">
      <c r="A2532" s="1">
        <v>46006</v>
      </c>
      <c r="B2532">
        <v>4.18</v>
      </c>
    </row>
    <row r="2533" spans="1:2">
      <c r="A2533" s="1">
        <v>46007</v>
      </c>
      <c r="B2533">
        <v>4.1500000000000004</v>
      </c>
    </row>
    <row r="2534" spans="1:2">
      <c r="A2534" s="1">
        <v>46008</v>
      </c>
      <c r="B2534">
        <v>4.16</v>
      </c>
    </row>
    <row r="2535" spans="1:2">
      <c r="A2535" s="1">
        <v>46009</v>
      </c>
      <c r="B2535">
        <v>4.12</v>
      </c>
    </row>
    <row r="2536" spans="1:2">
      <c r="A2536" s="1">
        <v>46010</v>
      </c>
      <c r="B2536">
        <v>4.16</v>
      </c>
    </row>
    <row r="2537" spans="1:2">
      <c r="A2537" s="1">
        <v>46013</v>
      </c>
      <c r="B2537">
        <v>4.17</v>
      </c>
    </row>
    <row r="2538" spans="1:2">
      <c r="A2538" s="1">
        <v>46014</v>
      </c>
      <c r="B2538">
        <v>4.18</v>
      </c>
    </row>
    <row r="2539" spans="1:2">
      <c r="A2539" s="1">
        <v>46015</v>
      </c>
      <c r="B2539">
        <v>4.1500000000000004</v>
      </c>
    </row>
    <row r="2540" spans="1:2">
      <c r="A2540" s="1">
        <v>46016</v>
      </c>
    </row>
    <row r="2541" spans="1:2">
      <c r="A2541" s="1">
        <v>46017</v>
      </c>
      <c r="B2541">
        <v>4.1399999999999997</v>
      </c>
    </row>
    <row r="2542" spans="1:2">
      <c r="A2542" s="1">
        <v>46020</v>
      </c>
      <c r="B2542">
        <v>4.12</v>
      </c>
    </row>
    <row r="2543" spans="1:2">
      <c r="A2543" s="1">
        <v>46021</v>
      </c>
      <c r="B2543">
        <v>4.1399999999999997</v>
      </c>
    </row>
    <row r="2544" spans="1:2">
      <c r="A2544" s="1">
        <v>46022</v>
      </c>
      <c r="B2544">
        <v>4.18</v>
      </c>
    </row>
    <row r="2545" spans="1:2">
      <c r="A2545" s="1">
        <v>46023</v>
      </c>
    </row>
    <row r="2546" spans="1:2">
      <c r="A2546" s="1">
        <v>46024</v>
      </c>
      <c r="B2546">
        <v>4.1900000000000004</v>
      </c>
    </row>
    <row r="2547" spans="1:2">
      <c r="A2547" s="1">
        <v>46027</v>
      </c>
      <c r="B2547">
        <v>4.17</v>
      </c>
    </row>
    <row r="2548" spans="1:2">
      <c r="A2548" s="1">
        <v>46028</v>
      </c>
      <c r="B2548">
        <v>4.18</v>
      </c>
    </row>
    <row r="2549" spans="1:2">
      <c r="A2549" s="1">
        <v>46029</v>
      </c>
      <c r="B2549">
        <v>4.1500000000000004</v>
      </c>
    </row>
    <row r="2550" spans="1:2">
      <c r="A2550" s="1">
        <v>46030</v>
      </c>
      <c r="B2550">
        <v>4.1900000000000004</v>
      </c>
    </row>
    <row r="2551" spans="1:2">
      <c r="A2551" s="1">
        <v>46031</v>
      </c>
      <c r="B2551">
        <v>4.18</v>
      </c>
    </row>
    <row r="2552" spans="1:2">
      <c r="A2552" s="1">
        <v>46034</v>
      </c>
      <c r="B2552">
        <v>4.1900000000000004</v>
      </c>
    </row>
    <row r="2553" spans="1:2">
      <c r="A2553" s="1">
        <v>46035</v>
      </c>
      <c r="B2553">
        <v>4.18</v>
      </c>
    </row>
    <row r="2554" spans="1:2">
      <c r="A2554" s="1">
        <v>46036</v>
      </c>
      <c r="B2554">
        <v>4.1500000000000004</v>
      </c>
    </row>
    <row r="2555" spans="1:2">
      <c r="A2555" s="1">
        <v>46037</v>
      </c>
      <c r="B2555">
        <v>4.17</v>
      </c>
    </row>
    <row r="2556" spans="1:2">
      <c r="A2556" s="1">
        <v>46038</v>
      </c>
      <c r="B2556">
        <v>4.24</v>
      </c>
    </row>
    <row r="2557" spans="1:2">
      <c r="A2557" s="1">
        <v>46041</v>
      </c>
    </row>
    <row r="2558" spans="1:2">
      <c r="A2558" s="1">
        <v>46042</v>
      </c>
      <c r="B2558">
        <v>4.3</v>
      </c>
    </row>
    <row r="2559" spans="1:2">
      <c r="A2559" s="1">
        <v>46043</v>
      </c>
      <c r="B2559">
        <v>4.26</v>
      </c>
    </row>
    <row r="2560" spans="1:2">
      <c r="A2560" s="1">
        <v>46044</v>
      </c>
      <c r="B2560">
        <v>4.26</v>
      </c>
    </row>
    <row r="2561" spans="1:2">
      <c r="A2561" s="1">
        <v>46045</v>
      </c>
      <c r="B2561">
        <v>4.24</v>
      </c>
    </row>
    <row r="2562" spans="1:2">
      <c r="A2562" s="1">
        <v>46048</v>
      </c>
      <c r="B2562">
        <v>4.22</v>
      </c>
    </row>
    <row r="2563" spans="1:2">
      <c r="A2563" s="1">
        <v>46049</v>
      </c>
      <c r="B2563">
        <v>4.24</v>
      </c>
    </row>
    <row r="2564" spans="1:2">
      <c r="A2564" s="1">
        <v>46050</v>
      </c>
      <c r="B2564">
        <v>4.26</v>
      </c>
    </row>
    <row r="2565" spans="1:2">
      <c r="A2565" s="1">
        <v>46051</v>
      </c>
      <c r="B2565">
        <v>4.24</v>
      </c>
    </row>
    <row r="2566" spans="1:2">
      <c r="A2566" s="1">
        <v>46052</v>
      </c>
      <c r="B2566">
        <v>4.26</v>
      </c>
    </row>
    <row r="2567" spans="1:2">
      <c r="A2567" s="1">
        <v>46055</v>
      </c>
      <c r="B2567">
        <v>4.29</v>
      </c>
    </row>
    <row r="2568" spans="1:2">
      <c r="A2568" s="1">
        <v>46056</v>
      </c>
      <c r="B2568">
        <v>4.28</v>
      </c>
    </row>
    <row r="2569" spans="1:2">
      <c r="A2569" s="1">
        <v>46057</v>
      </c>
      <c r="B2569">
        <v>4.29</v>
      </c>
    </row>
    <row r="2570" spans="1:2">
      <c r="A2570" s="1">
        <v>46058</v>
      </c>
      <c r="B2570">
        <v>4.21</v>
      </c>
    </row>
    <row r="2571" spans="1:2">
      <c r="A2571" s="1">
        <v>46059</v>
      </c>
      <c r="B2571">
        <v>4.22</v>
      </c>
    </row>
    <row r="2572" spans="1:2">
      <c r="A2572" s="1">
        <v>46062</v>
      </c>
      <c r="B2572">
        <v>4.22</v>
      </c>
    </row>
    <row r="2573" spans="1:2">
      <c r="A2573" s="1">
        <v>46063</v>
      </c>
      <c r="B2573">
        <v>4.16</v>
      </c>
    </row>
    <row r="2574" spans="1:2">
      <c r="A2574" s="1">
        <v>46064</v>
      </c>
      <c r="B2574">
        <v>4.18</v>
      </c>
    </row>
    <row r="2575" spans="1:2">
      <c r="A2575" s="1">
        <v>46065</v>
      </c>
      <c r="B2575">
        <v>4.09</v>
      </c>
    </row>
    <row r="2576" spans="1:2">
      <c r="A2576" s="1">
        <v>46066</v>
      </c>
      <c r="B2576">
        <v>4.04</v>
      </c>
    </row>
    <row r="2577" spans="1:2">
      <c r="A2577" s="1">
        <v>46069</v>
      </c>
    </row>
    <row r="2578" spans="1:2">
      <c r="A2578" s="1">
        <v>46070</v>
      </c>
      <c r="B2578">
        <v>4.05</v>
      </c>
    </row>
    <row r="2579" spans="1:2">
      <c r="A2579" s="1">
        <v>46071</v>
      </c>
      <c r="B2579">
        <v>4.09</v>
      </c>
    </row>
    <row r="2580" spans="1:2">
      <c r="A2580" s="1">
        <v>46072</v>
      </c>
      <c r="B2580">
        <v>4.08</v>
      </c>
    </row>
    <row r="2581" spans="1:2">
      <c r="A2581" s="1">
        <v>46073</v>
      </c>
      <c r="B2581">
        <v>4.08</v>
      </c>
    </row>
    <row r="2582" spans="1:2">
      <c r="A2582" s="1">
        <v>46076</v>
      </c>
      <c r="B2582">
        <v>4.03</v>
      </c>
    </row>
    <row r="2583" spans="1:2">
      <c r="A2583" s="1">
        <v>46077</v>
      </c>
      <c r="B2583">
        <v>4.04</v>
      </c>
    </row>
    <row r="2584" spans="1:2">
      <c r="A2584" s="1">
        <v>46078</v>
      </c>
      <c r="B2584">
        <v>4.05</v>
      </c>
    </row>
    <row r="2585" spans="1:2">
      <c r="A2585" s="1">
        <v>46079</v>
      </c>
      <c r="B2585">
        <v>4.0199999999999996</v>
      </c>
    </row>
    <row r="2586" spans="1:2">
      <c r="A2586" s="1">
        <v>46080</v>
      </c>
      <c r="B2586">
        <v>3.97</v>
      </c>
    </row>
    <row r="2587" spans="1:2">
      <c r="A2587" s="1">
        <v>46083</v>
      </c>
      <c r="B2587">
        <v>4.05</v>
      </c>
    </row>
    <row r="2588" spans="1:2">
      <c r="A2588" s="1">
        <v>46084</v>
      </c>
      <c r="B2588">
        <v>4.0599999999999996</v>
      </c>
    </row>
    <row r="2589" spans="1:2">
      <c r="A2589" s="1">
        <v>46085</v>
      </c>
      <c r="B2589">
        <v>4.09</v>
      </c>
    </row>
    <row r="2590" spans="1:2">
      <c r="A2590" s="1">
        <v>46086</v>
      </c>
      <c r="B2590">
        <v>4.13</v>
      </c>
    </row>
    <row r="2591" spans="1:2">
      <c r="A2591" s="1">
        <v>46087</v>
      </c>
      <c r="B2591">
        <v>4.1500000000000004</v>
      </c>
    </row>
    <row r="2592" spans="1:2">
      <c r="A2592" s="1">
        <v>46090</v>
      </c>
      <c r="B2592">
        <v>4.12</v>
      </c>
    </row>
    <row r="2593" spans="1:2">
      <c r="A2593" s="1">
        <v>46091</v>
      </c>
      <c r="B2593">
        <v>4.1500000000000004</v>
      </c>
    </row>
    <row r="2594" spans="1:2">
      <c r="A2594" s="1">
        <v>46092</v>
      </c>
      <c r="B2594">
        <v>4.21</v>
      </c>
    </row>
    <row r="2595" spans="1:2">
      <c r="A2595" s="1">
        <v>46093</v>
      </c>
      <c r="B2595">
        <v>4.2699999999999996</v>
      </c>
    </row>
    <row r="2596" spans="1:2">
      <c r="A2596" s="1">
        <v>46094</v>
      </c>
      <c r="B2596">
        <v>4.28</v>
      </c>
    </row>
    <row r="2597" spans="1:2">
      <c r="A2597" s="1">
        <v>46097</v>
      </c>
      <c r="B2597">
        <v>4.2300000000000004</v>
      </c>
    </row>
    <row r="2598" spans="1:2">
      <c r="A2598" s="1">
        <v>46098</v>
      </c>
      <c r="B2598">
        <v>4.2</v>
      </c>
    </row>
    <row r="2599" spans="1:2">
      <c r="A2599" s="1">
        <v>46099</v>
      </c>
      <c r="B2599">
        <v>4.26</v>
      </c>
    </row>
    <row r="2600" spans="1:2">
      <c r="A2600" s="1">
        <v>46100</v>
      </c>
      <c r="B2600">
        <v>4.25</v>
      </c>
    </row>
    <row r="2601" spans="1:2">
      <c r="A2601" s="1">
        <v>46101</v>
      </c>
      <c r="B2601">
        <v>4.3899999999999997</v>
      </c>
    </row>
    <row r="2602" spans="1:2">
      <c r="A2602" s="1">
        <v>46104</v>
      </c>
      <c r="B2602">
        <v>4.34</v>
      </c>
    </row>
    <row r="2603" spans="1:2">
      <c r="A2603" s="1">
        <v>46105</v>
      </c>
      <c r="B2603">
        <v>4.3899999999999997</v>
      </c>
    </row>
    <row r="2604" spans="1:2">
      <c r="A2604" s="1">
        <v>46106</v>
      </c>
      <c r="B2604">
        <v>4.33</v>
      </c>
    </row>
    <row r="2605" spans="1:2">
      <c r="A2605" s="1">
        <v>46107</v>
      </c>
      <c r="B2605">
        <v>4.42</v>
      </c>
    </row>
    <row r="2606" spans="1:2">
      <c r="A2606" s="1">
        <v>46108</v>
      </c>
      <c r="B2606">
        <v>4.4400000000000004</v>
      </c>
    </row>
    <row r="2607" spans="1:2">
      <c r="A2607" s="1">
        <v>46111</v>
      </c>
      <c r="B2607">
        <v>4.3499999999999996</v>
      </c>
    </row>
    <row r="2608" spans="1:2">
      <c r="A2608" s="1">
        <v>46112</v>
      </c>
      <c r="B2608">
        <v>4.3</v>
      </c>
    </row>
    <row r="2609" spans="1:2">
      <c r="A2609" s="1">
        <v>46113</v>
      </c>
      <c r="B2609">
        <v>4.33</v>
      </c>
    </row>
    <row r="2610" spans="1:2">
      <c r="A2610" s="1">
        <v>46114</v>
      </c>
      <c r="B2610">
        <v>4.3099999999999996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D5B67-57A0-4D14-BF96-254ABFBAB339}">
  <dimension ref="A1:B2611"/>
  <sheetViews>
    <sheetView workbookViewId="0"/>
  </sheetViews>
  <sheetFormatPr defaultRowHeight="14.4"/>
  <sheetData>
    <row r="1" spans="1:2">
      <c r="A1" t="s">
        <v>0</v>
      </c>
      <c r="B1" t="s">
        <v>9</v>
      </c>
    </row>
    <row r="2" spans="1:2">
      <c r="A2" s="1">
        <v>42464</v>
      </c>
      <c r="B2">
        <v>1.55</v>
      </c>
    </row>
    <row r="3" spans="1:2">
      <c r="A3" s="1">
        <v>42465</v>
      </c>
      <c r="B3">
        <v>1.5</v>
      </c>
    </row>
    <row r="4" spans="1:2">
      <c r="A4" s="1">
        <v>42466</v>
      </c>
      <c r="B4">
        <v>1.53</v>
      </c>
    </row>
    <row r="5" spans="1:2">
      <c r="A5" s="1">
        <v>42467</v>
      </c>
      <c r="B5">
        <v>1.47</v>
      </c>
    </row>
    <row r="6" spans="1:2">
      <c r="A6" s="1">
        <v>42468</v>
      </c>
      <c r="B6">
        <v>1.49</v>
      </c>
    </row>
    <row r="7" spans="1:2">
      <c r="A7" s="1">
        <v>42471</v>
      </c>
      <c r="B7">
        <v>1.5</v>
      </c>
    </row>
    <row r="8" spans="1:2">
      <c r="A8" s="1">
        <v>42472</v>
      </c>
      <c r="B8">
        <v>1.57</v>
      </c>
    </row>
    <row r="9" spans="1:2">
      <c r="A9" s="1">
        <v>42473</v>
      </c>
      <c r="B9">
        <v>1.54</v>
      </c>
    </row>
    <row r="10" spans="1:2">
      <c r="A10" s="1">
        <v>42474</v>
      </c>
      <c r="B10">
        <v>1.58</v>
      </c>
    </row>
    <row r="11" spans="1:2">
      <c r="A11" s="1">
        <v>42475</v>
      </c>
      <c r="B11">
        <v>1.54</v>
      </c>
    </row>
    <row r="12" spans="1:2">
      <c r="A12" s="1">
        <v>42478</v>
      </c>
      <c r="B12">
        <v>1.56</v>
      </c>
    </row>
    <row r="13" spans="1:2">
      <c r="A13" s="1">
        <v>42479</v>
      </c>
      <c r="B13">
        <v>1.58</v>
      </c>
    </row>
    <row r="14" spans="1:2">
      <c r="A14" s="1">
        <v>42480</v>
      </c>
      <c r="B14">
        <v>1.62</v>
      </c>
    </row>
    <row r="15" spans="1:2">
      <c r="A15" s="1">
        <v>42481</v>
      </c>
      <c r="B15">
        <v>1.65</v>
      </c>
    </row>
    <row r="16" spans="1:2">
      <c r="A16" s="1">
        <v>42482</v>
      </c>
      <c r="B16">
        <v>1.66</v>
      </c>
    </row>
    <row r="17" spans="1:2">
      <c r="A17" s="1">
        <v>42485</v>
      </c>
      <c r="B17">
        <v>1.66</v>
      </c>
    </row>
    <row r="18" spans="1:2">
      <c r="A18" s="1">
        <v>42486</v>
      </c>
      <c r="B18">
        <v>1.7</v>
      </c>
    </row>
    <row r="19" spans="1:2">
      <c r="A19" s="1">
        <v>42487</v>
      </c>
      <c r="B19">
        <v>1.63</v>
      </c>
    </row>
    <row r="20" spans="1:2">
      <c r="A20" s="1">
        <v>42488</v>
      </c>
      <c r="B20">
        <v>1.62</v>
      </c>
    </row>
    <row r="21" spans="1:2">
      <c r="A21" s="1">
        <v>42489</v>
      </c>
      <c r="B21">
        <v>1.61</v>
      </c>
    </row>
    <row r="22" spans="1:2">
      <c r="A22" s="1">
        <v>42492</v>
      </c>
      <c r="B22">
        <v>1.66</v>
      </c>
    </row>
    <row r="23" spans="1:2">
      <c r="A23" s="1">
        <v>42493</v>
      </c>
      <c r="B23">
        <v>1.6</v>
      </c>
    </row>
    <row r="24" spans="1:2">
      <c r="A24" s="1">
        <v>42494</v>
      </c>
      <c r="B24">
        <v>1.6</v>
      </c>
    </row>
    <row r="25" spans="1:2">
      <c r="A25" s="1">
        <v>42495</v>
      </c>
      <c r="B25">
        <v>1.56</v>
      </c>
    </row>
    <row r="26" spans="1:2">
      <c r="A26" s="1">
        <v>42496</v>
      </c>
      <c r="B26">
        <v>1.6</v>
      </c>
    </row>
    <row r="27" spans="1:2">
      <c r="A27" s="1">
        <v>42499</v>
      </c>
      <c r="B27">
        <v>1.53</v>
      </c>
    </row>
    <row r="28" spans="1:2">
      <c r="A28" s="1">
        <v>42500</v>
      </c>
      <c r="B28">
        <v>1.53</v>
      </c>
    </row>
    <row r="29" spans="1:2">
      <c r="A29" s="1">
        <v>42501</v>
      </c>
      <c r="B29">
        <v>1.47</v>
      </c>
    </row>
    <row r="30" spans="1:2">
      <c r="A30" s="1">
        <v>42502</v>
      </c>
      <c r="B30">
        <v>1.48</v>
      </c>
    </row>
    <row r="31" spans="1:2">
      <c r="A31" s="1">
        <v>42503</v>
      </c>
      <c r="B31">
        <v>1.42</v>
      </c>
    </row>
    <row r="32" spans="1:2">
      <c r="A32" s="1">
        <v>42506</v>
      </c>
      <c r="B32">
        <v>1.47</v>
      </c>
    </row>
    <row r="33" spans="1:2">
      <c r="A33" s="1">
        <v>42507</v>
      </c>
      <c r="B33">
        <v>1.48</v>
      </c>
    </row>
    <row r="34" spans="1:2">
      <c r="A34" s="1">
        <v>42508</v>
      </c>
      <c r="B34">
        <v>1.57</v>
      </c>
    </row>
    <row r="35" spans="1:2">
      <c r="A35" s="1">
        <v>42509</v>
      </c>
      <c r="B35">
        <v>1.54</v>
      </c>
    </row>
    <row r="36" spans="1:2">
      <c r="A36" s="1">
        <v>42510</v>
      </c>
      <c r="B36">
        <v>1.52</v>
      </c>
    </row>
    <row r="37" spans="1:2">
      <c r="A37" s="1">
        <v>42513</v>
      </c>
      <c r="B37">
        <v>1.49</v>
      </c>
    </row>
    <row r="38" spans="1:2">
      <c r="A38" s="1">
        <v>42514</v>
      </c>
      <c r="B38">
        <v>1.51</v>
      </c>
    </row>
    <row r="39" spans="1:2">
      <c r="A39" s="1">
        <v>42515</v>
      </c>
      <c r="B39">
        <v>1.54</v>
      </c>
    </row>
    <row r="40" spans="1:2">
      <c r="A40" s="1">
        <v>42516</v>
      </c>
      <c r="B40">
        <v>1.52</v>
      </c>
    </row>
    <row r="41" spans="1:2">
      <c r="A41" s="1">
        <v>42517</v>
      </c>
      <c r="B41">
        <v>1.53</v>
      </c>
    </row>
    <row r="42" spans="1:2">
      <c r="A42" s="1">
        <v>42520</v>
      </c>
    </row>
    <row r="43" spans="1:2">
      <c r="A43" s="1">
        <v>42521</v>
      </c>
      <c r="B43">
        <v>1.5</v>
      </c>
    </row>
    <row r="44" spans="1:2">
      <c r="A44" s="1">
        <v>42522</v>
      </c>
      <c r="B44">
        <v>1.55</v>
      </c>
    </row>
    <row r="45" spans="1:2">
      <c r="A45" s="1">
        <v>42523</v>
      </c>
      <c r="B45">
        <v>1.52</v>
      </c>
    </row>
    <row r="46" spans="1:2">
      <c r="A46" s="1">
        <v>42524</v>
      </c>
      <c r="B46">
        <v>1.41</v>
      </c>
    </row>
    <row r="47" spans="1:2">
      <c r="A47" s="1">
        <v>42527</v>
      </c>
      <c r="B47">
        <v>1.45</v>
      </c>
    </row>
    <row r="48" spans="1:2">
      <c r="A48" s="1">
        <v>42528</v>
      </c>
      <c r="B48">
        <v>1.44</v>
      </c>
    </row>
    <row r="49" spans="1:2">
      <c r="A49" s="1">
        <v>42529</v>
      </c>
      <c r="B49">
        <v>1.47</v>
      </c>
    </row>
    <row r="50" spans="1:2">
      <c r="A50" s="1">
        <v>42530</v>
      </c>
      <c r="B50">
        <v>1.42</v>
      </c>
    </row>
    <row r="51" spans="1:2">
      <c r="A51" s="1">
        <v>42531</v>
      </c>
      <c r="B51">
        <v>1.38</v>
      </c>
    </row>
    <row r="52" spans="1:2">
      <c r="A52" s="1">
        <v>42534</v>
      </c>
      <c r="B52">
        <v>1.35</v>
      </c>
    </row>
    <row r="53" spans="1:2">
      <c r="A53" s="1">
        <v>42535</v>
      </c>
      <c r="B53">
        <v>1.35</v>
      </c>
    </row>
    <row r="54" spans="1:2">
      <c r="A54" s="1">
        <v>42536</v>
      </c>
      <c r="B54">
        <v>1.34</v>
      </c>
    </row>
    <row r="55" spans="1:2">
      <c r="A55" s="1">
        <v>42537</v>
      </c>
      <c r="B55">
        <v>1.3</v>
      </c>
    </row>
    <row r="56" spans="1:2">
      <c r="A56" s="1">
        <v>42538</v>
      </c>
      <c r="B56">
        <v>1.35</v>
      </c>
    </row>
    <row r="57" spans="1:2">
      <c r="A57" s="1">
        <v>42541</v>
      </c>
      <c r="B57">
        <v>1.39</v>
      </c>
    </row>
    <row r="58" spans="1:2">
      <c r="A58" s="1">
        <v>42542</v>
      </c>
      <c r="B58">
        <v>1.44</v>
      </c>
    </row>
    <row r="59" spans="1:2">
      <c r="A59" s="1">
        <v>42543</v>
      </c>
      <c r="B59">
        <v>1.42</v>
      </c>
    </row>
    <row r="60" spans="1:2">
      <c r="A60" s="1">
        <v>42544</v>
      </c>
      <c r="B60">
        <v>1.43</v>
      </c>
    </row>
    <row r="61" spans="1:2">
      <c r="A61" s="1">
        <v>42545</v>
      </c>
      <c r="B61">
        <v>1.3</v>
      </c>
    </row>
    <row r="62" spans="1:2">
      <c r="A62" s="1">
        <v>42548</v>
      </c>
      <c r="B62">
        <v>1.19</v>
      </c>
    </row>
    <row r="63" spans="1:2">
      <c r="A63" s="1">
        <v>42549</v>
      </c>
      <c r="B63">
        <v>1.2</v>
      </c>
    </row>
    <row r="64" spans="1:2">
      <c r="A64" s="1">
        <v>42550</v>
      </c>
      <c r="B64">
        <v>1.24</v>
      </c>
    </row>
    <row r="65" spans="1:2">
      <c r="A65" s="1">
        <v>42551</v>
      </c>
      <c r="B65">
        <v>1.23</v>
      </c>
    </row>
    <row r="66" spans="1:2">
      <c r="A66" s="1">
        <v>42552</v>
      </c>
      <c r="B66">
        <v>1.18</v>
      </c>
    </row>
    <row r="67" spans="1:2">
      <c r="A67" s="1">
        <v>42555</v>
      </c>
    </row>
    <row r="68" spans="1:2">
      <c r="A68" s="1">
        <v>42556</v>
      </c>
      <c r="B68">
        <v>1.0900000000000001</v>
      </c>
    </row>
    <row r="69" spans="1:2">
      <c r="A69" s="1">
        <v>42557</v>
      </c>
      <c r="B69">
        <v>1.1100000000000001</v>
      </c>
    </row>
    <row r="70" spans="1:2">
      <c r="A70" s="1">
        <v>42558</v>
      </c>
      <c r="B70">
        <v>1.1100000000000001</v>
      </c>
    </row>
    <row r="71" spans="1:2">
      <c r="A71" s="1">
        <v>42559</v>
      </c>
      <c r="B71">
        <v>1.0900000000000001</v>
      </c>
    </row>
    <row r="72" spans="1:2">
      <c r="A72" s="1">
        <v>42562</v>
      </c>
      <c r="B72">
        <v>1.1200000000000001</v>
      </c>
    </row>
    <row r="73" spans="1:2">
      <c r="A73" s="1">
        <v>42563</v>
      </c>
      <c r="B73">
        <v>1.24</v>
      </c>
    </row>
    <row r="74" spans="1:2">
      <c r="A74" s="1">
        <v>42564</v>
      </c>
      <c r="B74">
        <v>1.17</v>
      </c>
    </row>
    <row r="75" spans="1:2">
      <c r="A75" s="1">
        <v>42565</v>
      </c>
      <c r="B75">
        <v>1.21</v>
      </c>
    </row>
    <row r="76" spans="1:2">
      <c r="A76" s="1">
        <v>42566</v>
      </c>
      <c r="B76">
        <v>1.28</v>
      </c>
    </row>
    <row r="77" spans="1:2">
      <c r="A77" s="1">
        <v>42569</v>
      </c>
      <c r="B77">
        <v>1.27</v>
      </c>
    </row>
    <row r="78" spans="1:2">
      <c r="A78" s="1">
        <v>42570</v>
      </c>
      <c r="B78">
        <v>1.25</v>
      </c>
    </row>
    <row r="79" spans="1:2">
      <c r="A79" s="1">
        <v>42571</v>
      </c>
      <c r="B79">
        <v>1.27</v>
      </c>
    </row>
    <row r="80" spans="1:2">
      <c r="A80" s="1">
        <v>42572</v>
      </c>
      <c r="B80">
        <v>1.25</v>
      </c>
    </row>
    <row r="81" spans="1:2">
      <c r="A81" s="1">
        <v>42573</v>
      </c>
      <c r="B81">
        <v>1.24</v>
      </c>
    </row>
    <row r="82" spans="1:2">
      <c r="A82" s="1">
        <v>42576</v>
      </c>
      <c r="B82">
        <v>1.26</v>
      </c>
    </row>
    <row r="83" spans="1:2">
      <c r="A83" s="1">
        <v>42577</v>
      </c>
      <c r="B83">
        <v>1.26</v>
      </c>
    </row>
    <row r="84" spans="1:2">
      <c r="A84" s="1">
        <v>42578</v>
      </c>
      <c r="B84">
        <v>1.21</v>
      </c>
    </row>
    <row r="85" spans="1:2">
      <c r="A85" s="1">
        <v>42579</v>
      </c>
      <c r="B85">
        <v>1.27</v>
      </c>
    </row>
    <row r="86" spans="1:2">
      <c r="A86" s="1">
        <v>42580</v>
      </c>
      <c r="B86">
        <v>1.18</v>
      </c>
    </row>
    <row r="87" spans="1:2">
      <c r="A87" s="1">
        <v>42583</v>
      </c>
      <c r="B87">
        <v>1.22</v>
      </c>
    </row>
    <row r="88" spans="1:2">
      <c r="A88" s="1">
        <v>42584</v>
      </c>
      <c r="B88">
        <v>1.26</v>
      </c>
    </row>
    <row r="89" spans="1:2">
      <c r="A89" s="1">
        <v>42585</v>
      </c>
      <c r="B89">
        <v>1.27</v>
      </c>
    </row>
    <row r="90" spans="1:2">
      <c r="A90" s="1">
        <v>42586</v>
      </c>
      <c r="B90">
        <v>1.25</v>
      </c>
    </row>
    <row r="91" spans="1:2">
      <c r="A91" s="1">
        <v>42587</v>
      </c>
      <c r="B91">
        <v>1.31</v>
      </c>
    </row>
    <row r="92" spans="1:2">
      <c r="A92" s="1">
        <v>42590</v>
      </c>
      <c r="B92">
        <v>1.28</v>
      </c>
    </row>
    <row r="93" spans="1:2">
      <c r="A93" s="1">
        <v>42591</v>
      </c>
      <c r="B93">
        <v>1.26</v>
      </c>
    </row>
    <row r="94" spans="1:2">
      <c r="A94" s="1">
        <v>42592</v>
      </c>
      <c r="B94">
        <v>1.22</v>
      </c>
    </row>
    <row r="95" spans="1:2">
      <c r="A95" s="1">
        <v>42593</v>
      </c>
      <c r="B95">
        <v>1.29</v>
      </c>
    </row>
    <row r="96" spans="1:2">
      <c r="A96" s="1">
        <v>42594</v>
      </c>
      <c r="B96">
        <v>1.22</v>
      </c>
    </row>
    <row r="97" spans="1:2">
      <c r="A97" s="1">
        <v>42597</v>
      </c>
      <c r="B97">
        <v>1.24</v>
      </c>
    </row>
    <row r="98" spans="1:2">
      <c r="A98" s="1">
        <v>42598</v>
      </c>
      <c r="B98">
        <v>1.3</v>
      </c>
    </row>
    <row r="99" spans="1:2">
      <c r="A99" s="1">
        <v>42599</v>
      </c>
      <c r="B99">
        <v>1.26</v>
      </c>
    </row>
    <row r="100" spans="1:2">
      <c r="A100" s="1">
        <v>42600</v>
      </c>
      <c r="B100">
        <v>1.23</v>
      </c>
    </row>
    <row r="101" spans="1:2">
      <c r="A101" s="1">
        <v>42601</v>
      </c>
      <c r="B101">
        <v>1.28</v>
      </c>
    </row>
    <row r="102" spans="1:2">
      <c r="A102" s="1">
        <v>42604</v>
      </c>
      <c r="B102">
        <v>1.26</v>
      </c>
    </row>
    <row r="103" spans="1:2">
      <c r="A103" s="1">
        <v>42605</v>
      </c>
      <c r="B103">
        <v>1.25</v>
      </c>
    </row>
    <row r="104" spans="1:2">
      <c r="A104" s="1">
        <v>42606</v>
      </c>
      <c r="B104">
        <v>1.25</v>
      </c>
    </row>
    <row r="105" spans="1:2">
      <c r="A105" s="1">
        <v>42607</v>
      </c>
      <c r="B105">
        <v>1.25</v>
      </c>
    </row>
    <row r="106" spans="1:2">
      <c r="A106" s="1">
        <v>42608</v>
      </c>
      <c r="B106">
        <v>1.28</v>
      </c>
    </row>
    <row r="107" spans="1:2">
      <c r="A107" s="1">
        <v>42611</v>
      </c>
      <c r="B107">
        <v>1.24</v>
      </c>
    </row>
    <row r="108" spans="1:2">
      <c r="A108" s="1">
        <v>42612</v>
      </c>
      <c r="B108">
        <v>1.24</v>
      </c>
    </row>
    <row r="109" spans="1:2">
      <c r="A109" s="1">
        <v>42613</v>
      </c>
      <c r="B109">
        <v>1.25</v>
      </c>
    </row>
    <row r="110" spans="1:2">
      <c r="A110" s="1">
        <v>42614</v>
      </c>
      <c r="B110">
        <v>1.24</v>
      </c>
    </row>
    <row r="111" spans="1:2">
      <c r="A111" s="1">
        <v>42615</v>
      </c>
      <c r="B111">
        <v>1.27</v>
      </c>
    </row>
    <row r="112" spans="1:2">
      <c r="A112" s="1">
        <v>42618</v>
      </c>
    </row>
    <row r="113" spans="1:2">
      <c r="A113" s="1">
        <v>42619</v>
      </c>
      <c r="B113">
        <v>1.23</v>
      </c>
    </row>
    <row r="114" spans="1:2">
      <c r="A114" s="1">
        <v>42620</v>
      </c>
      <c r="B114">
        <v>1.2</v>
      </c>
    </row>
    <row r="115" spans="1:2">
      <c r="A115" s="1">
        <v>42621</v>
      </c>
      <c r="B115">
        <v>1.26</v>
      </c>
    </row>
    <row r="116" spans="1:2">
      <c r="A116" s="1">
        <v>42622</v>
      </c>
      <c r="B116">
        <v>1.32</v>
      </c>
    </row>
    <row r="117" spans="1:2">
      <c r="A117" s="1">
        <v>42625</v>
      </c>
      <c r="B117">
        <v>1.31</v>
      </c>
    </row>
    <row r="118" spans="1:2">
      <c r="A118" s="1">
        <v>42626</v>
      </c>
      <c r="B118">
        <v>1.37</v>
      </c>
    </row>
    <row r="119" spans="1:2">
      <c r="A119" s="1">
        <v>42627</v>
      </c>
      <c r="B119">
        <v>1.37</v>
      </c>
    </row>
    <row r="120" spans="1:2">
      <c r="A120" s="1">
        <v>42628</v>
      </c>
      <c r="B120">
        <v>1.42</v>
      </c>
    </row>
    <row r="121" spans="1:2">
      <c r="A121" s="1">
        <v>42629</v>
      </c>
      <c r="B121">
        <v>1.4</v>
      </c>
    </row>
    <row r="122" spans="1:2">
      <c r="A122" s="1">
        <v>42632</v>
      </c>
      <c r="B122">
        <v>1.4</v>
      </c>
    </row>
    <row r="123" spans="1:2">
      <c r="A123" s="1">
        <v>42633</v>
      </c>
      <c r="B123">
        <v>1.39</v>
      </c>
    </row>
    <row r="124" spans="1:2">
      <c r="A124" s="1">
        <v>42634</v>
      </c>
      <c r="B124">
        <v>1.44</v>
      </c>
    </row>
    <row r="125" spans="1:2">
      <c r="A125" s="1">
        <v>42635</v>
      </c>
      <c r="B125">
        <v>1.45</v>
      </c>
    </row>
    <row r="126" spans="1:2">
      <c r="A126" s="1">
        <v>42636</v>
      </c>
      <c r="B126">
        <v>1.44</v>
      </c>
    </row>
    <row r="127" spans="1:2">
      <c r="A127" s="1">
        <v>42639</v>
      </c>
      <c r="B127">
        <v>1.34</v>
      </c>
    </row>
    <row r="128" spans="1:2">
      <c r="A128" s="1">
        <v>42640</v>
      </c>
      <c r="B128">
        <v>1.3</v>
      </c>
    </row>
    <row r="129" spans="1:2">
      <c r="A129" s="1">
        <v>42641</v>
      </c>
      <c r="B129">
        <v>1.3</v>
      </c>
    </row>
    <row r="130" spans="1:2">
      <c r="A130" s="1">
        <v>42642</v>
      </c>
      <c r="B130">
        <v>1.3</v>
      </c>
    </row>
    <row r="131" spans="1:2">
      <c r="A131" s="1">
        <v>42643</v>
      </c>
      <c r="B131">
        <v>1.31</v>
      </c>
    </row>
    <row r="132" spans="1:2">
      <c r="A132" s="1">
        <v>42646</v>
      </c>
      <c r="B132">
        <v>1.31</v>
      </c>
    </row>
    <row r="133" spans="1:2">
      <c r="A133" s="1">
        <v>42647</v>
      </c>
      <c r="B133">
        <v>1.36</v>
      </c>
    </row>
    <row r="134" spans="1:2">
      <c r="A134" s="1">
        <v>42648</v>
      </c>
      <c r="B134">
        <v>1.4</v>
      </c>
    </row>
    <row r="135" spans="1:2">
      <c r="A135" s="1">
        <v>42649</v>
      </c>
      <c r="B135">
        <v>1.42</v>
      </c>
    </row>
    <row r="136" spans="1:2">
      <c r="A136" s="1">
        <v>42650</v>
      </c>
      <c r="B136">
        <v>1.4</v>
      </c>
    </row>
    <row r="137" spans="1:2">
      <c r="A137" s="1">
        <v>42653</v>
      </c>
    </row>
    <row r="138" spans="1:2">
      <c r="A138" s="1">
        <v>42654</v>
      </c>
      <c r="B138">
        <v>1.42</v>
      </c>
    </row>
    <row r="139" spans="1:2">
      <c r="A139" s="1">
        <v>42655</v>
      </c>
      <c r="B139">
        <v>1.42</v>
      </c>
    </row>
    <row r="140" spans="1:2">
      <c r="A140" s="1">
        <v>42656</v>
      </c>
      <c r="B140">
        <v>1.45</v>
      </c>
    </row>
    <row r="141" spans="1:2">
      <c r="A141" s="1">
        <v>42657</v>
      </c>
      <c r="B141">
        <v>1.48</v>
      </c>
    </row>
    <row r="142" spans="1:2">
      <c r="A142" s="1">
        <v>42660</v>
      </c>
      <c r="B142">
        <v>1.43</v>
      </c>
    </row>
    <row r="143" spans="1:2">
      <c r="A143" s="1">
        <v>42661</v>
      </c>
      <c r="B143">
        <v>1.41</v>
      </c>
    </row>
    <row r="144" spans="1:2">
      <c r="A144" s="1">
        <v>42662</v>
      </c>
      <c r="B144">
        <v>1.41</v>
      </c>
    </row>
    <row r="145" spans="1:2">
      <c r="A145" s="1">
        <v>42663</v>
      </c>
      <c r="B145">
        <v>1.41</v>
      </c>
    </row>
    <row r="146" spans="1:2">
      <c r="A146" s="1">
        <v>42664</v>
      </c>
      <c r="B146">
        <v>1.4</v>
      </c>
    </row>
    <row r="147" spans="1:2">
      <c r="A147" s="1">
        <v>42667</v>
      </c>
      <c r="B147">
        <v>1.44</v>
      </c>
    </row>
    <row r="148" spans="1:2">
      <c r="A148" s="1">
        <v>42668</v>
      </c>
      <c r="B148">
        <v>1.43</v>
      </c>
    </row>
    <row r="149" spans="1:2">
      <c r="A149" s="1">
        <v>42669</v>
      </c>
      <c r="B149">
        <v>1.46</v>
      </c>
    </row>
    <row r="150" spans="1:2">
      <c r="A150" s="1">
        <v>42670</v>
      </c>
      <c r="B150">
        <v>1.55</v>
      </c>
    </row>
    <row r="151" spans="1:2">
      <c r="A151" s="1">
        <v>42671</v>
      </c>
      <c r="B151">
        <v>1.56</v>
      </c>
    </row>
    <row r="152" spans="1:2">
      <c r="A152" s="1">
        <v>42674</v>
      </c>
      <c r="B152">
        <v>1.5</v>
      </c>
    </row>
    <row r="153" spans="1:2">
      <c r="A153" s="1">
        <v>42675</v>
      </c>
      <c r="B153">
        <v>1.48</v>
      </c>
    </row>
    <row r="154" spans="1:2">
      <c r="A154" s="1">
        <v>42676</v>
      </c>
      <c r="B154">
        <v>1.44</v>
      </c>
    </row>
    <row r="155" spans="1:2">
      <c r="A155" s="1">
        <v>42677</v>
      </c>
      <c r="B155">
        <v>1.44</v>
      </c>
    </row>
    <row r="156" spans="1:2">
      <c r="A156" s="1">
        <v>42678</v>
      </c>
      <c r="B156">
        <v>1.41</v>
      </c>
    </row>
    <row r="157" spans="1:2">
      <c r="A157" s="1">
        <v>42681</v>
      </c>
      <c r="B157">
        <v>1.42</v>
      </c>
    </row>
    <row r="158" spans="1:2">
      <c r="A158" s="1">
        <v>42682</v>
      </c>
      <c r="B158">
        <v>1.45</v>
      </c>
    </row>
    <row r="159" spans="1:2">
      <c r="A159" s="1">
        <v>42683</v>
      </c>
      <c r="B159">
        <v>1.62</v>
      </c>
    </row>
    <row r="160" spans="1:2">
      <c r="A160" s="1">
        <v>42684</v>
      </c>
      <c r="B160">
        <v>1.67</v>
      </c>
    </row>
    <row r="161" spans="1:2">
      <c r="A161" s="1">
        <v>42685</v>
      </c>
    </row>
    <row r="162" spans="1:2">
      <c r="A162" s="1">
        <v>42688</v>
      </c>
      <c r="B162">
        <v>1.68</v>
      </c>
    </row>
    <row r="163" spans="1:2">
      <c r="A163" s="1">
        <v>42689</v>
      </c>
      <c r="B163">
        <v>1.72</v>
      </c>
    </row>
    <row r="164" spans="1:2">
      <c r="A164" s="1">
        <v>42690</v>
      </c>
      <c r="B164">
        <v>1.75</v>
      </c>
    </row>
    <row r="165" spans="1:2">
      <c r="A165" s="1">
        <v>42691</v>
      </c>
      <c r="B165">
        <v>1.85</v>
      </c>
    </row>
    <row r="166" spans="1:2">
      <c r="A166" s="1">
        <v>42692</v>
      </c>
      <c r="B166">
        <v>1.9</v>
      </c>
    </row>
    <row r="167" spans="1:2">
      <c r="A167" s="1">
        <v>42695</v>
      </c>
      <c r="B167">
        <v>1.87</v>
      </c>
    </row>
    <row r="168" spans="1:2">
      <c r="A168" s="1">
        <v>42696</v>
      </c>
      <c r="B168">
        <v>1.82</v>
      </c>
    </row>
    <row r="169" spans="1:2">
      <c r="A169" s="1">
        <v>42697</v>
      </c>
      <c r="B169">
        <v>1.85</v>
      </c>
    </row>
    <row r="170" spans="1:2">
      <c r="A170" s="1">
        <v>42698</v>
      </c>
    </row>
    <row r="171" spans="1:2">
      <c r="A171" s="1">
        <v>42699</v>
      </c>
      <c r="B171">
        <v>1.87</v>
      </c>
    </row>
    <row r="172" spans="1:2">
      <c r="A172" s="1">
        <v>42702</v>
      </c>
      <c r="B172">
        <v>1.84</v>
      </c>
    </row>
    <row r="173" spans="1:2">
      <c r="A173" s="1">
        <v>42703</v>
      </c>
      <c r="B173">
        <v>1.82</v>
      </c>
    </row>
    <row r="174" spans="1:2">
      <c r="A174" s="1">
        <v>42704</v>
      </c>
      <c r="B174">
        <v>1.89</v>
      </c>
    </row>
    <row r="175" spans="1:2">
      <c r="A175" s="1">
        <v>42705</v>
      </c>
      <c r="B175">
        <v>1.97</v>
      </c>
    </row>
    <row r="176" spans="1:2">
      <c r="A176" s="1">
        <v>42706</v>
      </c>
      <c r="B176">
        <v>1.91</v>
      </c>
    </row>
    <row r="177" spans="1:2">
      <c r="A177" s="1">
        <v>42709</v>
      </c>
      <c r="B177">
        <v>1.9</v>
      </c>
    </row>
    <row r="178" spans="1:2">
      <c r="A178" s="1">
        <v>42710</v>
      </c>
      <c r="B178">
        <v>1.9</v>
      </c>
    </row>
    <row r="179" spans="1:2">
      <c r="A179" s="1">
        <v>42711</v>
      </c>
      <c r="B179">
        <v>1.82</v>
      </c>
    </row>
    <row r="180" spans="1:2">
      <c r="A180" s="1">
        <v>42712</v>
      </c>
      <c r="B180">
        <v>1.89</v>
      </c>
    </row>
    <row r="181" spans="1:2">
      <c r="A181" s="1">
        <v>42713</v>
      </c>
      <c r="B181">
        <v>1.93</v>
      </c>
    </row>
    <row r="182" spans="1:2">
      <c r="A182" s="1">
        <v>42716</v>
      </c>
      <c r="B182">
        <v>1.98</v>
      </c>
    </row>
    <row r="183" spans="1:2">
      <c r="A183" s="1">
        <v>42717</v>
      </c>
      <c r="B183">
        <v>1.94</v>
      </c>
    </row>
    <row r="184" spans="1:2">
      <c r="A184" s="1">
        <v>42718</v>
      </c>
      <c r="B184">
        <v>1.99</v>
      </c>
    </row>
    <row r="185" spans="1:2">
      <c r="A185" s="1">
        <v>42719</v>
      </c>
      <c r="B185">
        <v>2.09</v>
      </c>
    </row>
    <row r="186" spans="1:2">
      <c r="A186" s="1">
        <v>42720</v>
      </c>
      <c r="B186">
        <v>2.09</v>
      </c>
    </row>
    <row r="187" spans="1:2">
      <c r="A187" s="1">
        <v>42723</v>
      </c>
      <c r="B187">
        <v>2.02</v>
      </c>
    </row>
    <row r="188" spans="1:2">
      <c r="A188" s="1">
        <v>42724</v>
      </c>
      <c r="B188">
        <v>2.0499999999999998</v>
      </c>
    </row>
    <row r="189" spans="1:2">
      <c r="A189" s="1">
        <v>42725</v>
      </c>
      <c r="B189">
        <v>2.0299999999999998</v>
      </c>
    </row>
    <row r="190" spans="1:2">
      <c r="A190" s="1">
        <v>42726</v>
      </c>
      <c r="B190">
        <v>2.04</v>
      </c>
    </row>
    <row r="191" spans="1:2">
      <c r="A191" s="1">
        <v>42727</v>
      </c>
      <c r="B191">
        <v>2.0299999999999998</v>
      </c>
    </row>
    <row r="192" spans="1:2">
      <c r="A192" s="1">
        <v>42730</v>
      </c>
    </row>
    <row r="193" spans="1:2">
      <c r="A193" s="1">
        <v>42731</v>
      </c>
      <c r="B193">
        <v>2.06</v>
      </c>
    </row>
    <row r="194" spans="1:2">
      <c r="A194" s="1">
        <v>42732</v>
      </c>
      <c r="B194">
        <v>1.98</v>
      </c>
    </row>
    <row r="195" spans="1:2">
      <c r="A195" s="1">
        <v>42733</v>
      </c>
      <c r="B195">
        <v>2.02</v>
      </c>
    </row>
    <row r="196" spans="1:2">
      <c r="A196" s="1">
        <v>42734</v>
      </c>
      <c r="B196">
        <v>1.94</v>
      </c>
    </row>
    <row r="197" spans="1:2">
      <c r="A197" s="1">
        <v>42737</v>
      </c>
    </row>
    <row r="198" spans="1:2">
      <c r="A198" s="1">
        <v>42738</v>
      </c>
      <c r="B198">
        <v>1.92</v>
      </c>
    </row>
    <row r="199" spans="1:2">
      <c r="A199" s="1">
        <v>42739</v>
      </c>
      <c r="B199">
        <v>1.93</v>
      </c>
    </row>
    <row r="200" spans="1:2">
      <c r="A200" s="1">
        <v>42740</v>
      </c>
      <c r="B200">
        <v>1.85</v>
      </c>
    </row>
    <row r="201" spans="1:2">
      <c r="A201" s="1">
        <v>42741</v>
      </c>
      <c r="B201">
        <v>1.89</v>
      </c>
    </row>
    <row r="202" spans="1:2">
      <c r="A202" s="1">
        <v>42744</v>
      </c>
      <c r="B202">
        <v>1.88</v>
      </c>
    </row>
    <row r="203" spans="1:2">
      <c r="A203" s="1">
        <v>42745</v>
      </c>
      <c r="B203">
        <v>1.86</v>
      </c>
    </row>
    <row r="204" spans="1:2">
      <c r="A204" s="1">
        <v>42746</v>
      </c>
      <c r="B204">
        <v>1.86</v>
      </c>
    </row>
    <row r="205" spans="1:2">
      <c r="A205" s="1">
        <v>42747</v>
      </c>
      <c r="B205">
        <v>1.84</v>
      </c>
    </row>
    <row r="206" spans="1:2">
      <c r="A206" s="1">
        <v>42748</v>
      </c>
      <c r="B206">
        <v>1.87</v>
      </c>
    </row>
    <row r="207" spans="1:2">
      <c r="A207" s="1">
        <v>42751</v>
      </c>
    </row>
    <row r="208" spans="1:2">
      <c r="A208" s="1">
        <v>42752</v>
      </c>
      <c r="B208">
        <v>1.78</v>
      </c>
    </row>
    <row r="209" spans="1:2">
      <c r="A209" s="1">
        <v>42753</v>
      </c>
      <c r="B209">
        <v>1.89</v>
      </c>
    </row>
    <row r="210" spans="1:2">
      <c r="A210" s="1">
        <v>42754</v>
      </c>
      <c r="B210">
        <v>1.95</v>
      </c>
    </row>
    <row r="211" spans="1:2">
      <c r="A211" s="1">
        <v>42755</v>
      </c>
      <c r="B211">
        <v>1.98</v>
      </c>
    </row>
    <row r="212" spans="1:2">
      <c r="A212" s="1">
        <v>42758</v>
      </c>
      <c r="B212">
        <v>1.9</v>
      </c>
    </row>
    <row r="213" spans="1:2">
      <c r="A213" s="1">
        <v>42759</v>
      </c>
      <c r="B213">
        <v>1.96</v>
      </c>
    </row>
    <row r="214" spans="1:2">
      <c r="A214" s="1">
        <v>42760</v>
      </c>
      <c r="B214">
        <v>2.0299999999999998</v>
      </c>
    </row>
    <row r="215" spans="1:2">
      <c r="A215" s="1">
        <v>42761</v>
      </c>
      <c r="B215">
        <v>2</v>
      </c>
    </row>
    <row r="216" spans="1:2">
      <c r="A216" s="1">
        <v>42762</v>
      </c>
      <c r="B216">
        <v>1.97</v>
      </c>
    </row>
    <row r="217" spans="1:2">
      <c r="A217" s="1">
        <v>42765</v>
      </c>
      <c r="B217">
        <v>1.98</v>
      </c>
    </row>
    <row r="218" spans="1:2">
      <c r="A218" s="1">
        <v>42766</v>
      </c>
      <c r="B218">
        <v>1.93</v>
      </c>
    </row>
    <row r="219" spans="1:2">
      <c r="A219" s="1">
        <v>42767</v>
      </c>
      <c r="B219">
        <v>1.97</v>
      </c>
    </row>
    <row r="220" spans="1:2">
      <c r="A220" s="1">
        <v>42768</v>
      </c>
      <c r="B220">
        <v>1.96</v>
      </c>
    </row>
    <row r="221" spans="1:2">
      <c r="A221" s="1">
        <v>42769</v>
      </c>
      <c r="B221">
        <v>1.98</v>
      </c>
    </row>
    <row r="222" spans="1:2">
      <c r="A222" s="1">
        <v>42772</v>
      </c>
      <c r="B222">
        <v>1.89</v>
      </c>
    </row>
    <row r="223" spans="1:2">
      <c r="A223" s="1">
        <v>42773</v>
      </c>
      <c r="B223">
        <v>1.87</v>
      </c>
    </row>
    <row r="224" spans="1:2">
      <c r="A224" s="1">
        <v>42774</v>
      </c>
      <c r="B224">
        <v>1.8</v>
      </c>
    </row>
    <row r="225" spans="1:2">
      <c r="A225" s="1">
        <v>42775</v>
      </c>
      <c r="B225">
        <v>1.86</v>
      </c>
    </row>
    <row r="226" spans="1:2">
      <c r="A226" s="1">
        <v>42776</v>
      </c>
      <c r="B226">
        <v>1.86</v>
      </c>
    </row>
    <row r="227" spans="1:2">
      <c r="A227" s="1">
        <v>42779</v>
      </c>
      <c r="B227">
        <v>1.91</v>
      </c>
    </row>
    <row r="228" spans="1:2">
      <c r="A228" s="1">
        <v>42780</v>
      </c>
      <c r="B228">
        <v>1.93</v>
      </c>
    </row>
    <row r="229" spans="1:2">
      <c r="A229" s="1">
        <v>42781</v>
      </c>
      <c r="B229">
        <v>1.97</v>
      </c>
    </row>
    <row r="230" spans="1:2">
      <c r="A230" s="1">
        <v>42782</v>
      </c>
      <c r="B230">
        <v>1.92</v>
      </c>
    </row>
    <row r="231" spans="1:2">
      <c r="A231" s="1">
        <v>42783</v>
      </c>
      <c r="B231">
        <v>1.89</v>
      </c>
    </row>
    <row r="232" spans="1:2">
      <c r="A232" s="1">
        <v>42786</v>
      </c>
    </row>
    <row r="233" spans="1:2">
      <c r="A233" s="1">
        <v>42787</v>
      </c>
      <c r="B233">
        <v>1.9</v>
      </c>
    </row>
    <row r="234" spans="1:2">
      <c r="A234" s="1">
        <v>42788</v>
      </c>
      <c r="B234">
        <v>1.9</v>
      </c>
    </row>
    <row r="235" spans="1:2">
      <c r="A235" s="1">
        <v>42789</v>
      </c>
      <c r="B235">
        <v>1.87</v>
      </c>
    </row>
    <row r="236" spans="1:2">
      <c r="A236" s="1">
        <v>42790</v>
      </c>
      <c r="B236">
        <v>1.79</v>
      </c>
    </row>
    <row r="237" spans="1:2">
      <c r="A237" s="1">
        <v>42793</v>
      </c>
      <c r="B237">
        <v>1.86</v>
      </c>
    </row>
    <row r="238" spans="1:2">
      <c r="A238" s="1">
        <v>42794</v>
      </c>
      <c r="B238">
        <v>1.83</v>
      </c>
    </row>
    <row r="239" spans="1:2">
      <c r="A239" s="1">
        <v>42795</v>
      </c>
      <c r="B239">
        <v>1.83</v>
      </c>
    </row>
    <row r="240" spans="1:2">
      <c r="A240" s="1">
        <v>42796</v>
      </c>
      <c r="B240">
        <v>1.82</v>
      </c>
    </row>
    <row r="241" spans="1:2">
      <c r="A241" s="1">
        <v>42797</v>
      </c>
      <c r="B241">
        <v>1.78</v>
      </c>
    </row>
    <row r="242" spans="1:2">
      <c r="A242" s="1">
        <v>42800</v>
      </c>
      <c r="B242">
        <v>1.75</v>
      </c>
    </row>
    <row r="243" spans="1:2">
      <c r="A243" s="1">
        <v>42801</v>
      </c>
      <c r="B243">
        <v>1.76</v>
      </c>
    </row>
    <row r="244" spans="1:2">
      <c r="A244" s="1">
        <v>42802</v>
      </c>
      <c r="B244">
        <v>1.84</v>
      </c>
    </row>
    <row r="245" spans="1:2">
      <c r="A245" s="1">
        <v>42803</v>
      </c>
      <c r="B245">
        <v>1.87</v>
      </c>
    </row>
    <row r="246" spans="1:2">
      <c r="A246" s="1">
        <v>42804</v>
      </c>
      <c r="B246">
        <v>1.83</v>
      </c>
    </row>
    <row r="247" spans="1:2">
      <c r="A247" s="1">
        <v>42807</v>
      </c>
      <c r="B247">
        <v>1.83</v>
      </c>
    </row>
    <row r="248" spans="1:2">
      <c r="A248" s="1">
        <v>42808</v>
      </c>
      <c r="B248">
        <v>1.82</v>
      </c>
    </row>
    <row r="249" spans="1:2">
      <c r="A249" s="1">
        <v>42809</v>
      </c>
      <c r="B249">
        <v>1.78</v>
      </c>
    </row>
    <row r="250" spans="1:2">
      <c r="A250" s="1">
        <v>42810</v>
      </c>
      <c r="B250">
        <v>1.8</v>
      </c>
    </row>
    <row r="251" spans="1:2">
      <c r="A251" s="1">
        <v>42811</v>
      </c>
      <c r="B251">
        <v>1.77</v>
      </c>
    </row>
    <row r="252" spans="1:2">
      <c r="A252" s="1">
        <v>42814</v>
      </c>
      <c r="B252">
        <v>1.71</v>
      </c>
    </row>
    <row r="253" spans="1:2">
      <c r="A253" s="1">
        <v>42815</v>
      </c>
      <c r="B253">
        <v>1.66</v>
      </c>
    </row>
    <row r="254" spans="1:2">
      <c r="A254" s="1">
        <v>42816</v>
      </c>
      <c r="B254">
        <v>1.63</v>
      </c>
    </row>
    <row r="255" spans="1:2">
      <c r="A255" s="1">
        <v>42817</v>
      </c>
      <c r="B255">
        <v>1.65</v>
      </c>
    </row>
    <row r="256" spans="1:2">
      <c r="A256" s="1">
        <v>42818</v>
      </c>
      <c r="B256">
        <v>1.62</v>
      </c>
    </row>
    <row r="257" spans="1:2">
      <c r="A257" s="1">
        <v>42821</v>
      </c>
      <c r="B257">
        <v>1.6</v>
      </c>
    </row>
    <row r="258" spans="1:2">
      <c r="A258" s="1">
        <v>42822</v>
      </c>
      <c r="B258">
        <v>1.64</v>
      </c>
    </row>
    <row r="259" spans="1:2">
      <c r="A259" s="1">
        <v>42823</v>
      </c>
      <c r="B259">
        <v>1.61</v>
      </c>
    </row>
    <row r="260" spans="1:2">
      <c r="A260" s="1">
        <v>42824</v>
      </c>
      <c r="B260">
        <v>1.64</v>
      </c>
    </row>
    <row r="261" spans="1:2">
      <c r="A261" s="1">
        <v>42825</v>
      </c>
      <c r="B261">
        <v>1.64</v>
      </c>
    </row>
    <row r="262" spans="1:2">
      <c r="A262" s="1">
        <v>42828</v>
      </c>
      <c r="B262">
        <v>1.56</v>
      </c>
    </row>
    <row r="263" spans="1:2">
      <c r="A263" s="1">
        <v>42829</v>
      </c>
      <c r="B263">
        <v>1.57</v>
      </c>
    </row>
    <row r="264" spans="1:2">
      <c r="A264" s="1">
        <v>42830</v>
      </c>
      <c r="B264">
        <v>1.54</v>
      </c>
    </row>
    <row r="265" spans="1:2">
      <c r="A265" s="1">
        <v>42831</v>
      </c>
      <c r="B265">
        <v>1.55</v>
      </c>
    </row>
    <row r="266" spans="1:2">
      <c r="A266" s="1">
        <v>42832</v>
      </c>
      <c r="B266">
        <v>1.56</v>
      </c>
    </row>
    <row r="267" spans="1:2">
      <c r="A267" s="1">
        <v>42835</v>
      </c>
      <c r="B267">
        <v>1.55</v>
      </c>
    </row>
    <row r="268" spans="1:2">
      <c r="A268" s="1">
        <v>42836</v>
      </c>
      <c r="B268">
        <v>1.5</v>
      </c>
    </row>
    <row r="269" spans="1:2">
      <c r="A269" s="1">
        <v>42837</v>
      </c>
      <c r="B269">
        <v>1.47</v>
      </c>
    </row>
    <row r="270" spans="1:2">
      <c r="A270" s="1">
        <v>42838</v>
      </c>
      <c r="B270">
        <v>1.43</v>
      </c>
    </row>
    <row r="271" spans="1:2">
      <c r="A271" s="1">
        <v>42839</v>
      </c>
    </row>
    <row r="272" spans="1:2">
      <c r="A272" s="1">
        <v>42842</v>
      </c>
      <c r="B272">
        <v>1.43</v>
      </c>
    </row>
    <row r="273" spans="1:2">
      <c r="A273" s="1">
        <v>42843</v>
      </c>
      <c r="B273">
        <v>1.36</v>
      </c>
    </row>
    <row r="274" spans="1:2">
      <c r="A274" s="1">
        <v>42844</v>
      </c>
      <c r="B274">
        <v>1.4</v>
      </c>
    </row>
    <row r="275" spans="1:2">
      <c r="A275" s="1">
        <v>42845</v>
      </c>
      <c r="B275">
        <v>1.45</v>
      </c>
    </row>
    <row r="276" spans="1:2">
      <c r="A276" s="1">
        <v>42846</v>
      </c>
      <c r="B276">
        <v>1.45</v>
      </c>
    </row>
    <row r="277" spans="1:2">
      <c r="A277" s="1">
        <v>42849</v>
      </c>
      <c r="B277">
        <v>1.47</v>
      </c>
    </row>
    <row r="278" spans="1:2">
      <c r="A278" s="1">
        <v>42850</v>
      </c>
      <c r="B278">
        <v>1.53</v>
      </c>
    </row>
    <row r="279" spans="1:2">
      <c r="A279" s="1">
        <v>42851</v>
      </c>
      <c r="B279">
        <v>1.49</v>
      </c>
    </row>
    <row r="280" spans="1:2">
      <c r="A280" s="1">
        <v>42852</v>
      </c>
      <c r="B280">
        <v>1.49</v>
      </c>
    </row>
    <row r="281" spans="1:2">
      <c r="A281" s="1">
        <v>42853</v>
      </c>
      <c r="B281">
        <v>1.49</v>
      </c>
    </row>
    <row r="282" spans="1:2">
      <c r="A282" s="1">
        <v>42856</v>
      </c>
      <c r="B282">
        <v>1.5</v>
      </c>
    </row>
    <row r="283" spans="1:2">
      <c r="A283" s="1">
        <v>42857</v>
      </c>
      <c r="B283">
        <v>1.47</v>
      </c>
    </row>
    <row r="284" spans="1:2">
      <c r="A284" s="1">
        <v>42858</v>
      </c>
      <c r="B284">
        <v>1.48</v>
      </c>
    </row>
    <row r="285" spans="1:2">
      <c r="A285" s="1">
        <v>42859</v>
      </c>
      <c r="B285">
        <v>1.5</v>
      </c>
    </row>
    <row r="286" spans="1:2">
      <c r="A286" s="1">
        <v>42860</v>
      </c>
      <c r="B286">
        <v>1.46</v>
      </c>
    </row>
    <row r="287" spans="1:2">
      <c r="A287" s="1">
        <v>42863</v>
      </c>
      <c r="B287">
        <v>1.48</v>
      </c>
    </row>
    <row r="288" spans="1:2">
      <c r="A288" s="1">
        <v>42864</v>
      </c>
      <c r="B288">
        <v>1.51</v>
      </c>
    </row>
    <row r="289" spans="1:2">
      <c r="A289" s="1">
        <v>42865</v>
      </c>
      <c r="B289">
        <v>1.51</v>
      </c>
    </row>
    <row r="290" spans="1:2">
      <c r="A290" s="1">
        <v>42866</v>
      </c>
      <c r="B290">
        <v>1.5</v>
      </c>
    </row>
    <row r="291" spans="1:2">
      <c r="A291" s="1">
        <v>42867</v>
      </c>
      <c r="B291">
        <v>1.45</v>
      </c>
    </row>
    <row r="292" spans="1:2">
      <c r="A292" s="1">
        <v>42870</v>
      </c>
      <c r="B292">
        <v>1.44</v>
      </c>
    </row>
    <row r="293" spans="1:2">
      <c r="A293" s="1">
        <v>42871</v>
      </c>
      <c r="B293">
        <v>1.43</v>
      </c>
    </row>
    <row r="294" spans="1:2">
      <c r="A294" s="1">
        <v>42872</v>
      </c>
      <c r="B294">
        <v>1.32</v>
      </c>
    </row>
    <row r="295" spans="1:2">
      <c r="A295" s="1">
        <v>42873</v>
      </c>
      <c r="B295">
        <v>1.3</v>
      </c>
    </row>
    <row r="296" spans="1:2">
      <c r="A296" s="1">
        <v>42874</v>
      </c>
      <c r="B296">
        <v>1.31</v>
      </c>
    </row>
    <row r="297" spans="1:2">
      <c r="A297" s="1">
        <v>42877</v>
      </c>
      <c r="B297">
        <v>1.32</v>
      </c>
    </row>
    <row r="298" spans="1:2">
      <c r="A298" s="1">
        <v>42878</v>
      </c>
      <c r="B298">
        <v>1.37</v>
      </c>
    </row>
    <row r="299" spans="1:2">
      <c r="A299" s="1">
        <v>42879</v>
      </c>
      <c r="B299">
        <v>1.33</v>
      </c>
    </row>
    <row r="300" spans="1:2">
      <c r="A300" s="1">
        <v>42880</v>
      </c>
      <c r="B300">
        <v>1.31</v>
      </c>
    </row>
    <row r="301" spans="1:2">
      <c r="A301" s="1">
        <v>42881</v>
      </c>
      <c r="B301">
        <v>1.31</v>
      </c>
    </row>
    <row r="302" spans="1:2">
      <c r="A302" s="1">
        <v>42884</v>
      </c>
    </row>
    <row r="303" spans="1:2">
      <c r="A303" s="1">
        <v>42885</v>
      </c>
      <c r="B303">
        <v>1.28</v>
      </c>
    </row>
    <row r="304" spans="1:2">
      <c r="A304" s="1">
        <v>42886</v>
      </c>
      <c r="B304">
        <v>1.23</v>
      </c>
    </row>
    <row r="305" spans="1:2">
      <c r="A305" s="1">
        <v>42887</v>
      </c>
      <c r="B305">
        <v>1.23</v>
      </c>
    </row>
    <row r="306" spans="1:2">
      <c r="A306" s="1">
        <v>42888</v>
      </c>
      <c r="B306">
        <v>1.17</v>
      </c>
    </row>
    <row r="307" spans="1:2">
      <c r="A307" s="1">
        <v>42891</v>
      </c>
      <c r="B307">
        <v>1.22</v>
      </c>
    </row>
    <row r="308" spans="1:2">
      <c r="A308" s="1">
        <v>42892</v>
      </c>
      <c r="B308">
        <v>1.17</v>
      </c>
    </row>
    <row r="309" spans="1:2">
      <c r="A309" s="1">
        <v>42893</v>
      </c>
      <c r="B309">
        <v>1.18</v>
      </c>
    </row>
    <row r="310" spans="1:2">
      <c r="A310" s="1">
        <v>42894</v>
      </c>
      <c r="B310">
        <v>1.18</v>
      </c>
    </row>
    <row r="311" spans="1:2">
      <c r="A311" s="1">
        <v>42895</v>
      </c>
      <c r="B311">
        <v>1.2</v>
      </c>
    </row>
    <row r="312" spans="1:2">
      <c r="A312" s="1">
        <v>42898</v>
      </c>
      <c r="B312">
        <v>1.23</v>
      </c>
    </row>
    <row r="313" spans="1:2">
      <c r="A313" s="1">
        <v>42899</v>
      </c>
      <c r="B313">
        <v>1.21</v>
      </c>
    </row>
    <row r="314" spans="1:2">
      <c r="A314" s="1">
        <v>42900</v>
      </c>
      <c r="B314">
        <v>1.1399999999999999</v>
      </c>
    </row>
    <row r="315" spans="1:2">
      <c r="A315" s="1">
        <v>42901</v>
      </c>
      <c r="B315">
        <v>1.1399999999999999</v>
      </c>
    </row>
    <row r="316" spans="1:2">
      <c r="A316" s="1">
        <v>42902</v>
      </c>
      <c r="B316">
        <v>1.1299999999999999</v>
      </c>
    </row>
    <row r="317" spans="1:2">
      <c r="A317" s="1">
        <v>42905</v>
      </c>
      <c r="B317">
        <v>1.17</v>
      </c>
    </row>
    <row r="318" spans="1:2">
      <c r="A318" s="1">
        <v>42906</v>
      </c>
      <c r="B318">
        <v>1.1499999999999999</v>
      </c>
    </row>
    <row r="319" spans="1:2">
      <c r="A319" s="1">
        <v>42907</v>
      </c>
      <c r="B319">
        <v>1.17</v>
      </c>
    </row>
    <row r="320" spans="1:2">
      <c r="A320" s="1">
        <v>42908</v>
      </c>
      <c r="B320">
        <v>1.19</v>
      </c>
    </row>
    <row r="321" spans="1:2">
      <c r="A321" s="1">
        <v>42909</v>
      </c>
      <c r="B321">
        <v>1.18</v>
      </c>
    </row>
    <row r="322" spans="1:2">
      <c r="A322" s="1">
        <v>42912</v>
      </c>
      <c r="B322">
        <v>1.1499999999999999</v>
      </c>
    </row>
    <row r="323" spans="1:2">
      <c r="A323" s="1">
        <v>42913</v>
      </c>
      <c r="B323">
        <v>1.21</v>
      </c>
    </row>
    <row r="324" spans="1:2">
      <c r="A324" s="1">
        <v>42914</v>
      </c>
      <c r="B324">
        <v>1.2</v>
      </c>
    </row>
    <row r="325" spans="1:2">
      <c r="A325" s="1">
        <v>42915</v>
      </c>
      <c r="B325">
        <v>1.23</v>
      </c>
    </row>
    <row r="326" spans="1:2">
      <c r="A326" s="1">
        <v>42916</v>
      </c>
      <c r="B326">
        <v>1.28</v>
      </c>
    </row>
    <row r="327" spans="1:2">
      <c r="A327" s="1">
        <v>42919</v>
      </c>
      <c r="B327">
        <v>1.29</v>
      </c>
    </row>
    <row r="328" spans="1:2">
      <c r="A328" s="1">
        <v>42920</v>
      </c>
    </row>
    <row r="329" spans="1:2">
      <c r="A329" s="1">
        <v>42921</v>
      </c>
      <c r="B329">
        <v>1.28</v>
      </c>
    </row>
    <row r="330" spans="1:2">
      <c r="A330" s="1">
        <v>42922</v>
      </c>
      <c r="B330">
        <v>1.33</v>
      </c>
    </row>
    <row r="331" spans="1:2">
      <c r="A331" s="1">
        <v>42923</v>
      </c>
      <c r="B331">
        <v>1.34</v>
      </c>
    </row>
    <row r="332" spans="1:2">
      <c r="A332" s="1">
        <v>42926</v>
      </c>
      <c r="B332">
        <v>1.34</v>
      </c>
    </row>
    <row r="333" spans="1:2">
      <c r="A333" s="1">
        <v>42927</v>
      </c>
      <c r="B333">
        <v>1.32</v>
      </c>
    </row>
    <row r="334" spans="1:2">
      <c r="A334" s="1">
        <v>42928</v>
      </c>
      <c r="B334">
        <v>1.28</v>
      </c>
    </row>
    <row r="335" spans="1:2">
      <c r="A335" s="1">
        <v>42929</v>
      </c>
      <c r="B335">
        <v>1.3</v>
      </c>
    </row>
    <row r="336" spans="1:2">
      <c r="A336" s="1">
        <v>42930</v>
      </c>
      <c r="B336">
        <v>1.29</v>
      </c>
    </row>
    <row r="337" spans="1:2">
      <c r="A337" s="1">
        <v>42933</v>
      </c>
      <c r="B337">
        <v>1.24</v>
      </c>
    </row>
    <row r="338" spans="1:2">
      <c r="A338" s="1">
        <v>42934</v>
      </c>
      <c r="B338">
        <v>1.2</v>
      </c>
    </row>
    <row r="339" spans="1:2">
      <c r="A339" s="1">
        <v>42935</v>
      </c>
      <c r="B339">
        <v>1.1599999999999999</v>
      </c>
    </row>
    <row r="340" spans="1:2">
      <c r="A340" s="1">
        <v>42936</v>
      </c>
      <c r="B340">
        <v>1.1200000000000001</v>
      </c>
    </row>
    <row r="341" spans="1:2">
      <c r="A341" s="1">
        <v>42937</v>
      </c>
      <c r="B341">
        <v>1.08</v>
      </c>
    </row>
    <row r="342" spans="1:2">
      <c r="A342" s="1">
        <v>42940</v>
      </c>
      <c r="B342">
        <v>1.0900000000000001</v>
      </c>
    </row>
    <row r="343" spans="1:2">
      <c r="A343" s="1">
        <v>42941</v>
      </c>
      <c r="B343">
        <v>1.1499999999999999</v>
      </c>
    </row>
    <row r="344" spans="1:2">
      <c r="A344" s="1">
        <v>42942</v>
      </c>
      <c r="B344">
        <v>1.1599999999999999</v>
      </c>
    </row>
    <row r="345" spans="1:2">
      <c r="A345" s="1">
        <v>42943</v>
      </c>
      <c r="B345">
        <v>1.21</v>
      </c>
    </row>
    <row r="346" spans="1:2">
      <c r="A346" s="1">
        <v>42944</v>
      </c>
      <c r="B346">
        <v>1.22</v>
      </c>
    </row>
    <row r="347" spans="1:2">
      <c r="A347" s="1">
        <v>42947</v>
      </c>
      <c r="B347">
        <v>1.23</v>
      </c>
    </row>
    <row r="348" spans="1:2">
      <c r="A348" s="1">
        <v>42948</v>
      </c>
      <c r="B348">
        <v>1.18</v>
      </c>
    </row>
    <row r="349" spans="1:2">
      <c r="A349" s="1">
        <v>42949</v>
      </c>
      <c r="B349">
        <v>1.19</v>
      </c>
    </row>
    <row r="350" spans="1:2">
      <c r="A350" s="1">
        <v>42950</v>
      </c>
      <c r="B350">
        <v>1.1599999999999999</v>
      </c>
    </row>
    <row r="351" spans="1:2">
      <c r="A351" s="1">
        <v>42951</v>
      </c>
      <c r="B351">
        <v>1.19</v>
      </c>
    </row>
    <row r="352" spans="1:2">
      <c r="A352" s="1">
        <v>42954</v>
      </c>
      <c r="B352">
        <v>1.24</v>
      </c>
    </row>
    <row r="353" spans="1:2">
      <c r="A353" s="1">
        <v>42955</v>
      </c>
      <c r="B353">
        <v>1.23</v>
      </c>
    </row>
    <row r="354" spans="1:2">
      <c r="A354" s="1">
        <v>42956</v>
      </c>
      <c r="B354">
        <v>1.18</v>
      </c>
    </row>
    <row r="355" spans="1:2">
      <c r="A355" s="1">
        <v>42957</v>
      </c>
      <c r="B355">
        <v>1.1499999999999999</v>
      </c>
    </row>
    <row r="356" spans="1:2">
      <c r="A356" s="1">
        <v>42958</v>
      </c>
      <c r="B356">
        <v>1.1599999999999999</v>
      </c>
    </row>
    <row r="357" spans="1:2">
      <c r="A357" s="1">
        <v>42961</v>
      </c>
      <c r="B357">
        <v>1.2</v>
      </c>
    </row>
    <row r="358" spans="1:2">
      <c r="A358" s="1">
        <v>42962</v>
      </c>
      <c r="B358">
        <v>1.23</v>
      </c>
    </row>
    <row r="359" spans="1:2">
      <c r="A359" s="1">
        <v>42963</v>
      </c>
      <c r="B359">
        <v>1.21</v>
      </c>
    </row>
    <row r="360" spans="1:2">
      <c r="A360" s="1">
        <v>42964</v>
      </c>
      <c r="B360">
        <v>1.19</v>
      </c>
    </row>
    <row r="361" spans="1:2">
      <c r="A361" s="1">
        <v>42965</v>
      </c>
      <c r="B361">
        <v>1.17</v>
      </c>
    </row>
    <row r="362" spans="1:2">
      <c r="A362" s="1">
        <v>42968</v>
      </c>
      <c r="B362">
        <v>1.18</v>
      </c>
    </row>
    <row r="363" spans="1:2">
      <c r="A363" s="1">
        <v>42969</v>
      </c>
      <c r="B363">
        <v>1.22</v>
      </c>
    </row>
    <row r="364" spans="1:2">
      <c r="A364" s="1">
        <v>42970</v>
      </c>
      <c r="B364">
        <v>1.17</v>
      </c>
    </row>
    <row r="365" spans="1:2">
      <c r="A365" s="1">
        <v>42971</v>
      </c>
      <c r="B365">
        <v>1.17</v>
      </c>
    </row>
    <row r="366" spans="1:2">
      <c r="A366" s="1">
        <v>42972</v>
      </c>
      <c r="B366">
        <v>1.1399999999999999</v>
      </c>
    </row>
    <row r="367" spans="1:2">
      <c r="A367" s="1">
        <v>42975</v>
      </c>
      <c r="B367">
        <v>1.18</v>
      </c>
    </row>
    <row r="368" spans="1:2">
      <c r="A368" s="1">
        <v>42976</v>
      </c>
      <c r="B368">
        <v>1.1000000000000001</v>
      </c>
    </row>
    <row r="369" spans="1:2">
      <c r="A369" s="1">
        <v>42977</v>
      </c>
      <c r="B369">
        <v>1.1200000000000001</v>
      </c>
    </row>
    <row r="370" spans="1:2">
      <c r="A370" s="1">
        <v>42978</v>
      </c>
      <c r="B370">
        <v>1.1100000000000001</v>
      </c>
    </row>
    <row r="371" spans="1:2">
      <c r="A371" s="1">
        <v>42979</v>
      </c>
      <c r="B371">
        <v>1.1399999999999999</v>
      </c>
    </row>
    <row r="372" spans="1:2">
      <c r="A372" s="1">
        <v>42982</v>
      </c>
    </row>
    <row r="373" spans="1:2">
      <c r="A373" s="1">
        <v>42983</v>
      </c>
      <c r="B373">
        <v>1.04</v>
      </c>
    </row>
    <row r="374" spans="1:2">
      <c r="A374" s="1">
        <v>42984</v>
      </c>
      <c r="B374">
        <v>1.03</v>
      </c>
    </row>
    <row r="375" spans="1:2">
      <c r="A375" s="1">
        <v>42985</v>
      </c>
      <c r="B375">
        <v>1</v>
      </c>
    </row>
    <row r="376" spans="1:2">
      <c r="A376" s="1">
        <v>42986</v>
      </c>
      <c r="B376">
        <v>1.02</v>
      </c>
    </row>
    <row r="377" spans="1:2">
      <c r="A377" s="1">
        <v>42989</v>
      </c>
      <c r="B377">
        <v>1.0900000000000001</v>
      </c>
    </row>
    <row r="378" spans="1:2">
      <c r="A378" s="1">
        <v>42990</v>
      </c>
      <c r="B378">
        <v>1.1399999999999999</v>
      </c>
    </row>
    <row r="379" spans="1:2">
      <c r="A379" s="1">
        <v>42991</v>
      </c>
      <c r="B379">
        <v>1.1599999999999999</v>
      </c>
    </row>
    <row r="380" spans="1:2">
      <c r="A380" s="1">
        <v>42992</v>
      </c>
      <c r="B380">
        <v>1.1499999999999999</v>
      </c>
    </row>
    <row r="381" spans="1:2">
      <c r="A381" s="1">
        <v>42993</v>
      </c>
      <c r="B381">
        <v>1.1499999999999999</v>
      </c>
    </row>
    <row r="382" spans="1:2">
      <c r="A382" s="1">
        <v>42996</v>
      </c>
      <c r="B382">
        <v>1.18</v>
      </c>
    </row>
    <row r="383" spans="1:2">
      <c r="A383" s="1">
        <v>42997</v>
      </c>
      <c r="B383">
        <v>1.2</v>
      </c>
    </row>
    <row r="384" spans="1:2">
      <c r="A384" s="1">
        <v>42998</v>
      </c>
      <c r="B384">
        <v>1.24</v>
      </c>
    </row>
    <row r="385" spans="1:2">
      <c r="A385" s="1">
        <v>42999</v>
      </c>
      <c r="B385">
        <v>1.23</v>
      </c>
    </row>
    <row r="386" spans="1:2">
      <c r="A386" s="1">
        <v>43000</v>
      </c>
      <c r="B386">
        <v>1.23</v>
      </c>
    </row>
    <row r="387" spans="1:2">
      <c r="A387" s="1">
        <v>43003</v>
      </c>
      <c r="B387">
        <v>1.17</v>
      </c>
    </row>
    <row r="388" spans="1:2">
      <c r="A388" s="1">
        <v>43004</v>
      </c>
      <c r="B388">
        <v>1.18</v>
      </c>
    </row>
    <row r="389" spans="1:2">
      <c r="A389" s="1">
        <v>43005</v>
      </c>
      <c r="B389">
        <v>1.24</v>
      </c>
    </row>
    <row r="390" spans="1:2">
      <c r="A390" s="1">
        <v>43006</v>
      </c>
      <c r="B390">
        <v>1.25</v>
      </c>
    </row>
    <row r="391" spans="1:2">
      <c r="A391" s="1">
        <v>43007</v>
      </c>
      <c r="B391">
        <v>1.27</v>
      </c>
    </row>
    <row r="392" spans="1:2">
      <c r="A392" s="1">
        <v>43010</v>
      </c>
      <c r="B392">
        <v>1.33</v>
      </c>
    </row>
    <row r="393" spans="1:2">
      <c r="A393" s="1">
        <v>43011</v>
      </c>
      <c r="B393">
        <v>1.26</v>
      </c>
    </row>
    <row r="394" spans="1:2">
      <c r="A394" s="1">
        <v>43012</v>
      </c>
      <c r="B394">
        <v>1.25</v>
      </c>
    </row>
    <row r="395" spans="1:2">
      <c r="A395" s="1">
        <v>43013</v>
      </c>
      <c r="B395">
        <v>1.28</v>
      </c>
    </row>
    <row r="396" spans="1:2">
      <c r="A396" s="1">
        <v>43014</v>
      </c>
      <c r="B396">
        <v>1.3</v>
      </c>
    </row>
    <row r="397" spans="1:2">
      <c r="A397" s="1">
        <v>43017</v>
      </c>
    </row>
    <row r="398" spans="1:2">
      <c r="A398" s="1">
        <v>43018</v>
      </c>
      <c r="B398">
        <v>1.27</v>
      </c>
    </row>
    <row r="399" spans="1:2">
      <c r="A399" s="1">
        <v>43019</v>
      </c>
      <c r="B399">
        <v>1.25</v>
      </c>
    </row>
    <row r="400" spans="1:2">
      <c r="A400" s="1">
        <v>43020</v>
      </c>
      <c r="B400">
        <v>1.24</v>
      </c>
    </row>
    <row r="401" spans="1:2">
      <c r="A401" s="1">
        <v>43021</v>
      </c>
      <c r="B401">
        <v>1.19</v>
      </c>
    </row>
    <row r="402" spans="1:2">
      <c r="A402" s="1">
        <v>43024</v>
      </c>
      <c r="B402">
        <v>1.2</v>
      </c>
    </row>
    <row r="403" spans="1:2">
      <c r="A403" s="1">
        <v>43025</v>
      </c>
      <c r="B403">
        <v>1.21</v>
      </c>
    </row>
    <row r="404" spans="1:2">
      <c r="A404" s="1">
        <v>43026</v>
      </c>
      <c r="B404">
        <v>1.25</v>
      </c>
    </row>
    <row r="405" spans="1:2">
      <c r="A405" s="1">
        <v>43027</v>
      </c>
      <c r="B405">
        <v>1.23</v>
      </c>
    </row>
    <row r="406" spans="1:2">
      <c r="A406" s="1">
        <v>43028</v>
      </c>
      <c r="B406">
        <v>1.28</v>
      </c>
    </row>
    <row r="407" spans="1:2">
      <c r="A407" s="1">
        <v>43031</v>
      </c>
      <c r="B407">
        <v>1.29</v>
      </c>
    </row>
    <row r="408" spans="1:2">
      <c r="A408" s="1">
        <v>43032</v>
      </c>
      <c r="B408">
        <v>1.3</v>
      </c>
    </row>
    <row r="409" spans="1:2">
      <c r="A409" s="1">
        <v>43033</v>
      </c>
      <c r="B409">
        <v>1.32</v>
      </c>
    </row>
    <row r="410" spans="1:2">
      <c r="A410" s="1">
        <v>43034</v>
      </c>
      <c r="B410">
        <v>1.35</v>
      </c>
    </row>
    <row r="411" spans="1:2">
      <c r="A411" s="1">
        <v>43035</v>
      </c>
      <c r="B411">
        <v>1.32</v>
      </c>
    </row>
    <row r="412" spans="1:2">
      <c r="A412" s="1">
        <v>43038</v>
      </c>
      <c r="B412">
        <v>1.25</v>
      </c>
    </row>
    <row r="413" spans="1:2">
      <c r="A413" s="1">
        <v>43039</v>
      </c>
      <c r="B413">
        <v>1.23</v>
      </c>
    </row>
    <row r="414" spans="1:2">
      <c r="A414" s="1">
        <v>43040</v>
      </c>
      <c r="B414">
        <v>1.19</v>
      </c>
    </row>
    <row r="415" spans="1:2">
      <c r="A415" s="1">
        <v>43041</v>
      </c>
      <c r="B415">
        <v>1.18</v>
      </c>
    </row>
    <row r="416" spans="1:2">
      <c r="A416" s="1">
        <v>43042</v>
      </c>
      <c r="B416">
        <v>1.1599999999999999</v>
      </c>
    </row>
    <row r="417" spans="1:2">
      <c r="A417" s="1">
        <v>43045</v>
      </c>
      <c r="B417">
        <v>1.1299999999999999</v>
      </c>
    </row>
    <row r="418" spans="1:2">
      <c r="A418" s="1">
        <v>43046</v>
      </c>
      <c r="B418">
        <v>1.1000000000000001</v>
      </c>
    </row>
    <row r="419" spans="1:2">
      <c r="A419" s="1">
        <v>43047</v>
      </c>
      <c r="B419">
        <v>1.0900000000000001</v>
      </c>
    </row>
    <row r="420" spans="1:2">
      <c r="A420" s="1">
        <v>43048</v>
      </c>
      <c r="B420">
        <v>1.0900000000000001</v>
      </c>
    </row>
    <row r="421" spans="1:2">
      <c r="A421" s="1">
        <v>43049</v>
      </c>
      <c r="B421">
        <v>1.17</v>
      </c>
    </row>
    <row r="422" spans="1:2">
      <c r="A422" s="1">
        <v>43052</v>
      </c>
      <c r="B422">
        <v>1.1599999999999999</v>
      </c>
    </row>
    <row r="423" spans="1:2">
      <c r="A423" s="1">
        <v>43053</v>
      </c>
      <c r="B423">
        <v>1.1200000000000001</v>
      </c>
    </row>
    <row r="424" spans="1:2">
      <c r="A424" s="1">
        <v>43054</v>
      </c>
      <c r="B424">
        <v>1.08</v>
      </c>
    </row>
    <row r="425" spans="1:2">
      <c r="A425" s="1">
        <v>43055</v>
      </c>
      <c r="B425">
        <v>1.1000000000000001</v>
      </c>
    </row>
    <row r="426" spans="1:2">
      <c r="A426" s="1">
        <v>43056</v>
      </c>
      <c r="B426">
        <v>1.06</v>
      </c>
    </row>
    <row r="427" spans="1:2">
      <c r="A427" s="1">
        <v>43059</v>
      </c>
      <c r="B427">
        <v>1.07</v>
      </c>
    </row>
    <row r="428" spans="1:2">
      <c r="A428" s="1">
        <v>43060</v>
      </c>
      <c r="B428">
        <v>1.06</v>
      </c>
    </row>
    <row r="429" spans="1:2">
      <c r="A429" s="1">
        <v>43061</v>
      </c>
      <c r="B429">
        <v>1.03</v>
      </c>
    </row>
    <row r="430" spans="1:2">
      <c r="A430" s="1">
        <v>43062</v>
      </c>
    </row>
    <row r="431" spans="1:2">
      <c r="A431" s="1">
        <v>43063</v>
      </c>
      <c r="B431">
        <v>1.05</v>
      </c>
    </row>
    <row r="432" spans="1:2">
      <c r="A432" s="1">
        <v>43066</v>
      </c>
      <c r="B432">
        <v>1.05</v>
      </c>
    </row>
    <row r="433" spans="1:2">
      <c r="A433" s="1">
        <v>43067</v>
      </c>
      <c r="B433">
        <v>1.04</v>
      </c>
    </row>
    <row r="434" spans="1:2">
      <c r="A434" s="1">
        <v>43068</v>
      </c>
      <c r="B434">
        <v>1.08</v>
      </c>
    </row>
    <row r="435" spans="1:2">
      <c r="A435" s="1">
        <v>43069</v>
      </c>
      <c r="B435">
        <v>1.1499999999999999</v>
      </c>
    </row>
    <row r="436" spans="1:2">
      <c r="A436" s="1">
        <v>43070</v>
      </c>
      <c r="B436">
        <v>1.1000000000000001</v>
      </c>
    </row>
    <row r="437" spans="1:2">
      <c r="A437" s="1">
        <v>43073</v>
      </c>
      <c r="B437">
        <v>1.08</v>
      </c>
    </row>
    <row r="438" spans="1:2">
      <c r="A438" s="1">
        <v>43074</v>
      </c>
      <c r="B438">
        <v>1.06</v>
      </c>
    </row>
    <row r="439" spans="1:2">
      <c r="A439" s="1">
        <v>43075</v>
      </c>
      <c r="B439">
        <v>1.03</v>
      </c>
    </row>
    <row r="440" spans="1:2">
      <c r="A440" s="1">
        <v>43076</v>
      </c>
      <c r="B440">
        <v>1.08</v>
      </c>
    </row>
    <row r="441" spans="1:2">
      <c r="A441" s="1">
        <v>43077</v>
      </c>
      <c r="B441">
        <v>1.1000000000000001</v>
      </c>
    </row>
    <row r="442" spans="1:2">
      <c r="A442" s="1">
        <v>43080</v>
      </c>
      <c r="B442">
        <v>1.06</v>
      </c>
    </row>
    <row r="443" spans="1:2">
      <c r="A443" s="1">
        <v>43081</v>
      </c>
      <c r="B443">
        <v>1.06</v>
      </c>
    </row>
    <row r="444" spans="1:2">
      <c r="A444" s="1">
        <v>43082</v>
      </c>
      <c r="B444">
        <v>1.06</v>
      </c>
    </row>
    <row r="445" spans="1:2">
      <c r="A445" s="1">
        <v>43083</v>
      </c>
      <c r="B445">
        <v>1.03</v>
      </c>
    </row>
    <row r="446" spans="1:2">
      <c r="A446" s="1">
        <v>43084</v>
      </c>
      <c r="B446">
        <v>1.04</v>
      </c>
    </row>
    <row r="447" spans="1:2">
      <c r="A447" s="1">
        <v>43087</v>
      </c>
      <c r="B447">
        <v>1.01</v>
      </c>
    </row>
    <row r="448" spans="1:2">
      <c r="A448" s="1">
        <v>43088</v>
      </c>
      <c r="B448">
        <v>1.0900000000000001</v>
      </c>
    </row>
    <row r="449" spans="1:2">
      <c r="A449" s="1">
        <v>43089</v>
      </c>
      <c r="B449">
        <v>1.1100000000000001</v>
      </c>
    </row>
    <row r="450" spans="1:2">
      <c r="A450" s="1">
        <v>43090</v>
      </c>
      <c r="B450">
        <v>1.1299999999999999</v>
      </c>
    </row>
    <row r="451" spans="1:2">
      <c r="A451" s="1">
        <v>43091</v>
      </c>
      <c r="B451">
        <v>1.1499999999999999</v>
      </c>
    </row>
    <row r="452" spans="1:2">
      <c r="A452" s="1">
        <v>43094</v>
      </c>
    </row>
    <row r="453" spans="1:2">
      <c r="A453" s="1">
        <v>43095</v>
      </c>
      <c r="B453">
        <v>1</v>
      </c>
    </row>
    <row r="454" spans="1:2">
      <c r="A454" s="1">
        <v>43096</v>
      </c>
      <c r="B454">
        <v>0.98</v>
      </c>
    </row>
    <row r="455" spans="1:2">
      <c r="A455" s="1">
        <v>43097</v>
      </c>
      <c r="B455">
        <v>1.04</v>
      </c>
    </row>
    <row r="456" spans="1:2">
      <c r="A456" s="1">
        <v>43098</v>
      </c>
      <c r="B456">
        <v>1.01</v>
      </c>
    </row>
    <row r="457" spans="1:2">
      <c r="A457" s="1">
        <v>43101</v>
      </c>
    </row>
    <row r="458" spans="1:2">
      <c r="A458" s="1">
        <v>43102</v>
      </c>
      <c r="B458">
        <v>1.02</v>
      </c>
    </row>
    <row r="459" spans="1:2">
      <c r="A459" s="1">
        <v>43103</v>
      </c>
      <c r="B459">
        <v>1.03</v>
      </c>
    </row>
    <row r="460" spans="1:2">
      <c r="A460" s="1">
        <v>43104</v>
      </c>
      <c r="B460">
        <v>1.05</v>
      </c>
    </row>
    <row r="461" spans="1:2">
      <c r="A461" s="1">
        <v>43105</v>
      </c>
      <c r="B461">
        <v>1.08</v>
      </c>
    </row>
    <row r="462" spans="1:2">
      <c r="A462" s="1">
        <v>43108</v>
      </c>
      <c r="B462">
        <v>1.04</v>
      </c>
    </row>
    <row r="463" spans="1:2">
      <c r="A463" s="1">
        <v>43109</v>
      </c>
      <c r="B463">
        <v>1.1100000000000001</v>
      </c>
    </row>
    <row r="464" spans="1:2">
      <c r="A464" s="1">
        <v>43110</v>
      </c>
      <c r="B464">
        <v>1.1299999999999999</v>
      </c>
    </row>
    <row r="465" spans="1:2">
      <c r="A465" s="1">
        <v>43111</v>
      </c>
      <c r="B465">
        <v>1.1100000000000001</v>
      </c>
    </row>
    <row r="466" spans="1:2">
      <c r="A466" s="1">
        <v>43112</v>
      </c>
      <c r="B466">
        <v>1.1200000000000001</v>
      </c>
    </row>
    <row r="467" spans="1:2">
      <c r="A467" s="1">
        <v>43115</v>
      </c>
    </row>
    <row r="468" spans="1:2">
      <c r="A468" s="1">
        <v>43116</v>
      </c>
      <c r="B468">
        <v>1.0900000000000001</v>
      </c>
    </row>
    <row r="469" spans="1:2">
      <c r="A469" s="1">
        <v>43117</v>
      </c>
      <c r="B469">
        <v>1.1299999999999999</v>
      </c>
    </row>
    <row r="470" spans="1:2">
      <c r="A470" s="1">
        <v>43118</v>
      </c>
      <c r="B470">
        <v>1.17</v>
      </c>
    </row>
    <row r="471" spans="1:2">
      <c r="A471" s="1">
        <v>43119</v>
      </c>
      <c r="B471">
        <v>1.2</v>
      </c>
    </row>
    <row r="472" spans="1:2">
      <c r="A472" s="1">
        <v>43122</v>
      </c>
      <c r="B472">
        <v>1.22</v>
      </c>
    </row>
    <row r="473" spans="1:2">
      <c r="A473" s="1">
        <v>43123</v>
      </c>
      <c r="B473">
        <v>1.19</v>
      </c>
    </row>
    <row r="474" spans="1:2">
      <c r="A474" s="1">
        <v>43124</v>
      </c>
      <c r="B474">
        <v>1.22</v>
      </c>
    </row>
    <row r="475" spans="1:2">
      <c r="A475" s="1">
        <v>43125</v>
      </c>
      <c r="B475">
        <v>1.21</v>
      </c>
    </row>
    <row r="476" spans="1:2">
      <c r="A476" s="1">
        <v>43126</v>
      </c>
      <c r="B476">
        <v>1.25</v>
      </c>
    </row>
    <row r="477" spans="1:2">
      <c r="A477" s="1">
        <v>43129</v>
      </c>
      <c r="B477">
        <v>1.26</v>
      </c>
    </row>
    <row r="478" spans="1:2">
      <c r="A478" s="1">
        <v>43130</v>
      </c>
      <c r="B478">
        <v>1.29</v>
      </c>
    </row>
    <row r="479" spans="1:2">
      <c r="A479" s="1">
        <v>43131</v>
      </c>
      <c r="B479">
        <v>1.26</v>
      </c>
    </row>
    <row r="480" spans="1:2">
      <c r="A480" s="1">
        <v>43132</v>
      </c>
      <c r="B480">
        <v>1.3</v>
      </c>
    </row>
    <row r="481" spans="1:2">
      <c r="A481" s="1">
        <v>43133</v>
      </c>
      <c r="B481">
        <v>1.36</v>
      </c>
    </row>
    <row r="482" spans="1:2">
      <c r="A482" s="1">
        <v>43136</v>
      </c>
      <c r="B482">
        <v>1.26</v>
      </c>
    </row>
    <row r="483" spans="1:2">
      <c r="A483" s="1">
        <v>43137</v>
      </c>
      <c r="B483">
        <v>1.27</v>
      </c>
    </row>
    <row r="484" spans="1:2">
      <c r="A484" s="1">
        <v>43138</v>
      </c>
      <c r="B484">
        <v>1.29</v>
      </c>
    </row>
    <row r="485" spans="1:2">
      <c r="A485" s="1">
        <v>43139</v>
      </c>
      <c r="B485">
        <v>1.3</v>
      </c>
    </row>
    <row r="486" spans="1:2">
      <c r="A486" s="1">
        <v>43140</v>
      </c>
      <c r="B486">
        <v>1.28</v>
      </c>
    </row>
    <row r="487" spans="1:2">
      <c r="A487" s="1">
        <v>43143</v>
      </c>
      <c r="B487">
        <v>1.24</v>
      </c>
    </row>
    <row r="488" spans="1:2">
      <c r="A488" s="1">
        <v>43144</v>
      </c>
      <c r="B488">
        <v>1.24</v>
      </c>
    </row>
    <row r="489" spans="1:2">
      <c r="A489" s="1">
        <v>43145</v>
      </c>
      <c r="B489">
        <v>1.33</v>
      </c>
    </row>
    <row r="490" spans="1:2">
      <c r="A490" s="1">
        <v>43146</v>
      </c>
      <c r="B490">
        <v>1.32</v>
      </c>
    </row>
    <row r="491" spans="1:2">
      <c r="A491" s="1">
        <v>43147</v>
      </c>
      <c r="B491">
        <v>1.25</v>
      </c>
    </row>
    <row r="492" spans="1:2">
      <c r="A492" s="1">
        <v>43150</v>
      </c>
    </row>
    <row r="493" spans="1:2">
      <c r="A493" s="1">
        <v>43151</v>
      </c>
      <c r="B493">
        <v>1.22</v>
      </c>
    </row>
    <row r="494" spans="1:2">
      <c r="A494" s="1">
        <v>43152</v>
      </c>
      <c r="B494">
        <v>1.3</v>
      </c>
    </row>
    <row r="495" spans="1:2">
      <c r="A495" s="1">
        <v>43153</v>
      </c>
      <c r="B495">
        <v>1.29</v>
      </c>
    </row>
    <row r="496" spans="1:2">
      <c r="A496" s="1">
        <v>43154</v>
      </c>
      <c r="B496">
        <v>1.24</v>
      </c>
    </row>
    <row r="497" spans="1:2">
      <c r="A497" s="1">
        <v>43157</v>
      </c>
      <c r="B497">
        <v>1.2</v>
      </c>
    </row>
    <row r="498" spans="1:2">
      <c r="A498" s="1">
        <v>43158</v>
      </c>
      <c r="B498">
        <v>1.24</v>
      </c>
    </row>
    <row r="499" spans="1:2">
      <c r="A499" s="1">
        <v>43159</v>
      </c>
      <c r="B499">
        <v>1.22</v>
      </c>
    </row>
    <row r="500" spans="1:2">
      <c r="A500" s="1">
        <v>43160</v>
      </c>
      <c r="B500">
        <v>1.18</v>
      </c>
    </row>
    <row r="501" spans="1:2">
      <c r="A501" s="1">
        <v>43161</v>
      </c>
      <c r="B501">
        <v>1.21</v>
      </c>
    </row>
    <row r="502" spans="1:2">
      <c r="A502" s="1">
        <v>43164</v>
      </c>
      <c r="B502">
        <v>1.18</v>
      </c>
    </row>
    <row r="503" spans="1:2">
      <c r="A503" s="1">
        <v>43165</v>
      </c>
      <c r="B503">
        <v>1.2</v>
      </c>
    </row>
    <row r="504" spans="1:2">
      <c r="A504" s="1">
        <v>43166</v>
      </c>
      <c r="B504">
        <v>1.21</v>
      </c>
    </row>
    <row r="505" spans="1:2">
      <c r="A505" s="1">
        <v>43167</v>
      </c>
      <c r="B505">
        <v>1.19</v>
      </c>
    </row>
    <row r="506" spans="1:2">
      <c r="A506" s="1">
        <v>43168</v>
      </c>
      <c r="B506">
        <v>1.23</v>
      </c>
    </row>
    <row r="507" spans="1:2">
      <c r="A507" s="1">
        <v>43171</v>
      </c>
      <c r="B507">
        <v>1.1599999999999999</v>
      </c>
    </row>
    <row r="508" spans="1:2">
      <c r="A508" s="1">
        <v>43172</v>
      </c>
      <c r="B508">
        <v>1.1100000000000001</v>
      </c>
    </row>
    <row r="509" spans="1:2">
      <c r="A509" s="1">
        <v>43173</v>
      </c>
      <c r="B509">
        <v>1.05</v>
      </c>
    </row>
    <row r="510" spans="1:2">
      <c r="A510" s="1">
        <v>43174</v>
      </c>
      <c r="B510">
        <v>1.05</v>
      </c>
    </row>
    <row r="511" spans="1:2">
      <c r="A511" s="1">
        <v>43175</v>
      </c>
      <c r="B511">
        <v>1.07</v>
      </c>
    </row>
    <row r="512" spans="1:2">
      <c r="A512" s="1">
        <v>43178</v>
      </c>
      <c r="B512">
        <v>1.05</v>
      </c>
    </row>
    <row r="513" spans="1:2">
      <c r="A513" s="1">
        <v>43179</v>
      </c>
      <c r="B513">
        <v>1.08</v>
      </c>
    </row>
    <row r="514" spans="1:2">
      <c r="A514" s="1">
        <v>43180</v>
      </c>
      <c r="B514">
        <v>1.1499999999999999</v>
      </c>
    </row>
    <row r="515" spans="1:2">
      <c r="A515" s="1">
        <v>43181</v>
      </c>
      <c r="B515">
        <v>1.1100000000000001</v>
      </c>
    </row>
    <row r="516" spans="1:2">
      <c r="A516" s="1">
        <v>43182</v>
      </c>
      <c r="B516">
        <v>1.08</v>
      </c>
    </row>
    <row r="517" spans="1:2">
      <c r="A517" s="1">
        <v>43185</v>
      </c>
      <c r="B517">
        <v>1.06</v>
      </c>
    </row>
    <row r="518" spans="1:2">
      <c r="A518" s="1">
        <v>43186</v>
      </c>
      <c r="B518">
        <v>1.01</v>
      </c>
    </row>
    <row r="519" spans="1:2">
      <c r="A519" s="1">
        <v>43187</v>
      </c>
      <c r="B519">
        <v>1.04</v>
      </c>
    </row>
    <row r="520" spans="1:2">
      <c r="A520" s="1">
        <v>43188</v>
      </c>
      <c r="B520">
        <v>1.01</v>
      </c>
    </row>
    <row r="521" spans="1:2">
      <c r="A521" s="1">
        <v>43189</v>
      </c>
    </row>
    <row r="522" spans="1:2">
      <c r="A522" s="1">
        <v>43192</v>
      </c>
      <c r="B522">
        <v>0.96</v>
      </c>
    </row>
    <row r="523" spans="1:2">
      <c r="A523" s="1">
        <v>43193</v>
      </c>
      <c r="B523">
        <v>1.04</v>
      </c>
    </row>
    <row r="524" spans="1:2">
      <c r="A524" s="1">
        <v>43194</v>
      </c>
      <c r="B524">
        <v>1.08</v>
      </c>
    </row>
    <row r="525" spans="1:2">
      <c r="A525" s="1">
        <v>43195</v>
      </c>
      <c r="B525">
        <v>1.1100000000000001</v>
      </c>
    </row>
    <row r="526" spans="1:2">
      <c r="A526" s="1">
        <v>43196</v>
      </c>
      <c r="B526">
        <v>1.04</v>
      </c>
    </row>
    <row r="527" spans="1:2">
      <c r="A527" s="1">
        <v>43199</v>
      </c>
      <c r="B527">
        <v>1.02</v>
      </c>
    </row>
    <row r="528" spans="1:2">
      <c r="A528" s="1">
        <v>43200</v>
      </c>
      <c r="B528">
        <v>1.06</v>
      </c>
    </row>
    <row r="529" spans="1:2">
      <c r="A529" s="1">
        <v>43201</v>
      </c>
      <c r="B529">
        <v>1.06</v>
      </c>
    </row>
    <row r="530" spans="1:2">
      <c r="A530" s="1">
        <v>43202</v>
      </c>
      <c r="B530">
        <v>1.08</v>
      </c>
    </row>
    <row r="531" spans="1:2">
      <c r="A531" s="1">
        <v>43203</v>
      </c>
      <c r="B531">
        <v>1.06</v>
      </c>
    </row>
    <row r="532" spans="1:2">
      <c r="A532" s="1">
        <v>43206</v>
      </c>
      <c r="B532">
        <v>1.04</v>
      </c>
    </row>
    <row r="533" spans="1:2">
      <c r="A533" s="1">
        <v>43207</v>
      </c>
      <c r="B533">
        <v>1.02</v>
      </c>
    </row>
    <row r="534" spans="1:2">
      <c r="A534" s="1">
        <v>43208</v>
      </c>
      <c r="B534">
        <v>1.06</v>
      </c>
    </row>
    <row r="535" spans="1:2">
      <c r="A535" s="1">
        <v>43209</v>
      </c>
      <c r="B535">
        <v>1.1000000000000001</v>
      </c>
    </row>
    <row r="536" spans="1:2">
      <c r="A536" s="1">
        <v>43210</v>
      </c>
      <c r="B536">
        <v>1.1499999999999999</v>
      </c>
    </row>
    <row r="537" spans="1:2">
      <c r="A537" s="1">
        <v>43213</v>
      </c>
      <c r="B537">
        <v>1.1100000000000001</v>
      </c>
    </row>
    <row r="538" spans="1:2">
      <c r="A538" s="1">
        <v>43214</v>
      </c>
      <c r="B538">
        <v>1.1299999999999999</v>
      </c>
    </row>
    <row r="539" spans="1:2">
      <c r="A539" s="1">
        <v>43215</v>
      </c>
      <c r="B539">
        <v>1.18</v>
      </c>
    </row>
    <row r="540" spans="1:2">
      <c r="A540" s="1">
        <v>43216</v>
      </c>
      <c r="B540">
        <v>1.18</v>
      </c>
    </row>
    <row r="541" spans="1:2">
      <c r="A541" s="1">
        <v>43217</v>
      </c>
      <c r="B541">
        <v>1.1399999999999999</v>
      </c>
    </row>
    <row r="542" spans="1:2">
      <c r="A542" s="1">
        <v>43220</v>
      </c>
      <c r="B542">
        <v>1.08</v>
      </c>
    </row>
    <row r="543" spans="1:2">
      <c r="A543" s="1">
        <v>43221</v>
      </c>
      <c r="B543">
        <v>1.1200000000000001</v>
      </c>
    </row>
    <row r="544" spans="1:2">
      <c r="A544" s="1">
        <v>43222</v>
      </c>
      <c r="B544">
        <v>1.1299999999999999</v>
      </c>
    </row>
    <row r="545" spans="1:2">
      <c r="A545" s="1">
        <v>43223</v>
      </c>
      <c r="B545">
        <v>1.1000000000000001</v>
      </c>
    </row>
    <row r="546" spans="1:2">
      <c r="A546" s="1">
        <v>43224</v>
      </c>
      <c r="B546">
        <v>1.1100000000000001</v>
      </c>
    </row>
    <row r="547" spans="1:2">
      <c r="A547" s="1">
        <v>43227</v>
      </c>
      <c r="B547">
        <v>1.0900000000000001</v>
      </c>
    </row>
    <row r="548" spans="1:2">
      <c r="A548" s="1">
        <v>43228</v>
      </c>
      <c r="B548">
        <v>1.1000000000000001</v>
      </c>
    </row>
    <row r="549" spans="1:2">
      <c r="A549" s="1">
        <v>43229</v>
      </c>
      <c r="B549">
        <v>1.1200000000000001</v>
      </c>
    </row>
    <row r="550" spans="1:2">
      <c r="A550" s="1">
        <v>43230</v>
      </c>
      <c r="B550">
        <v>1.07</v>
      </c>
    </row>
    <row r="551" spans="1:2">
      <c r="A551" s="1">
        <v>43231</v>
      </c>
      <c r="B551">
        <v>1.05</v>
      </c>
    </row>
    <row r="552" spans="1:2">
      <c r="A552" s="1">
        <v>43234</v>
      </c>
      <c r="B552">
        <v>1.07</v>
      </c>
    </row>
    <row r="553" spans="1:2">
      <c r="A553" s="1">
        <v>43235</v>
      </c>
      <c r="B553">
        <v>1.1599999999999999</v>
      </c>
    </row>
    <row r="554" spans="1:2">
      <c r="A554" s="1">
        <v>43236</v>
      </c>
      <c r="B554">
        <v>1.17</v>
      </c>
    </row>
    <row r="555" spans="1:2">
      <c r="A555" s="1">
        <v>43237</v>
      </c>
      <c r="B555">
        <v>1.19</v>
      </c>
    </row>
    <row r="556" spans="1:2">
      <c r="A556" s="1">
        <v>43238</v>
      </c>
      <c r="B556">
        <v>1.1499999999999999</v>
      </c>
    </row>
    <row r="557" spans="1:2">
      <c r="A557" s="1">
        <v>43241</v>
      </c>
      <c r="B557">
        <v>1.1299999999999999</v>
      </c>
    </row>
    <row r="558" spans="1:2">
      <c r="A558" s="1">
        <v>43242</v>
      </c>
      <c r="B558">
        <v>1.1299999999999999</v>
      </c>
    </row>
    <row r="559" spans="1:2">
      <c r="A559" s="1">
        <v>43243</v>
      </c>
      <c r="B559">
        <v>1.0900000000000001</v>
      </c>
    </row>
    <row r="560" spans="1:2">
      <c r="A560" s="1">
        <v>43244</v>
      </c>
      <c r="B560">
        <v>1.07</v>
      </c>
    </row>
    <row r="561" spans="1:2">
      <c r="A561" s="1">
        <v>43245</v>
      </c>
      <c r="B561">
        <v>1.03</v>
      </c>
    </row>
    <row r="562" spans="1:2">
      <c r="A562" s="1">
        <v>43248</v>
      </c>
    </row>
    <row r="563" spans="1:2">
      <c r="A563" s="1">
        <v>43249</v>
      </c>
      <c r="B563">
        <v>0.84</v>
      </c>
    </row>
    <row r="564" spans="1:2">
      <c r="A564" s="1">
        <v>43250</v>
      </c>
      <c r="B564">
        <v>0.9</v>
      </c>
    </row>
    <row r="565" spans="1:2">
      <c r="A565" s="1">
        <v>43251</v>
      </c>
      <c r="B565">
        <v>0.9</v>
      </c>
    </row>
    <row r="566" spans="1:2">
      <c r="A566" s="1">
        <v>43252</v>
      </c>
      <c r="B566">
        <v>0.97</v>
      </c>
    </row>
    <row r="567" spans="1:2">
      <c r="A567" s="1">
        <v>43255</v>
      </c>
      <c r="B567">
        <v>1</v>
      </c>
    </row>
    <row r="568" spans="1:2">
      <c r="A568" s="1">
        <v>43256</v>
      </c>
      <c r="B568">
        <v>0.98</v>
      </c>
    </row>
    <row r="569" spans="1:2">
      <c r="A569" s="1">
        <v>43257</v>
      </c>
      <c r="B569">
        <v>1.02</v>
      </c>
    </row>
    <row r="570" spans="1:2">
      <c r="A570" s="1">
        <v>43258</v>
      </c>
      <c r="B570">
        <v>0.99</v>
      </c>
    </row>
    <row r="571" spans="1:2">
      <c r="A571" s="1">
        <v>43259</v>
      </c>
      <c r="B571">
        <v>1</v>
      </c>
    </row>
    <row r="572" spans="1:2">
      <c r="A572" s="1">
        <v>43262</v>
      </c>
      <c r="B572">
        <v>1.02</v>
      </c>
    </row>
    <row r="573" spans="1:2">
      <c r="A573" s="1">
        <v>43263</v>
      </c>
      <c r="B573">
        <v>1.04</v>
      </c>
    </row>
    <row r="574" spans="1:2">
      <c r="A574" s="1">
        <v>43264</v>
      </c>
      <c r="B574">
        <v>1.04</v>
      </c>
    </row>
    <row r="575" spans="1:2">
      <c r="A575" s="1">
        <v>43265</v>
      </c>
      <c r="B575">
        <v>1</v>
      </c>
    </row>
    <row r="576" spans="1:2">
      <c r="A576" s="1">
        <v>43266</v>
      </c>
      <c r="B576">
        <v>0.99</v>
      </c>
    </row>
    <row r="577" spans="1:2">
      <c r="A577" s="1">
        <v>43269</v>
      </c>
      <c r="B577">
        <v>0.98</v>
      </c>
    </row>
    <row r="578" spans="1:2">
      <c r="A578" s="1">
        <v>43270</v>
      </c>
      <c r="B578">
        <v>0.95</v>
      </c>
    </row>
    <row r="579" spans="1:2">
      <c r="A579" s="1">
        <v>43271</v>
      </c>
      <c r="B579">
        <v>0.99</v>
      </c>
    </row>
    <row r="580" spans="1:2">
      <c r="A580" s="1">
        <v>43272</v>
      </c>
      <c r="B580">
        <v>0.96</v>
      </c>
    </row>
    <row r="581" spans="1:2">
      <c r="A581" s="1">
        <v>43273</v>
      </c>
      <c r="B581">
        <v>0.97</v>
      </c>
    </row>
    <row r="582" spans="1:2">
      <c r="A582" s="1">
        <v>43276</v>
      </c>
      <c r="B582">
        <v>0.94</v>
      </c>
    </row>
    <row r="583" spans="1:2">
      <c r="A583" s="1">
        <v>43277</v>
      </c>
      <c r="B583">
        <v>0.95</v>
      </c>
    </row>
    <row r="584" spans="1:2">
      <c r="A584" s="1">
        <v>43278</v>
      </c>
      <c r="B584">
        <v>0.9</v>
      </c>
    </row>
    <row r="585" spans="1:2">
      <c r="A585" s="1">
        <v>43279</v>
      </c>
      <c r="B585">
        <v>0.91</v>
      </c>
    </row>
    <row r="586" spans="1:2">
      <c r="A586" s="1">
        <v>43280</v>
      </c>
      <c r="B586">
        <v>0.92</v>
      </c>
    </row>
    <row r="587" spans="1:2">
      <c r="A587" s="1">
        <v>43283</v>
      </c>
      <c r="B587">
        <v>0.89</v>
      </c>
    </row>
    <row r="588" spans="1:2">
      <c r="A588" s="1">
        <v>43284</v>
      </c>
      <c r="B588">
        <v>0.85</v>
      </c>
    </row>
    <row r="589" spans="1:2">
      <c r="A589" s="1">
        <v>43285</v>
      </c>
    </row>
    <row r="590" spans="1:2">
      <c r="A590" s="1">
        <v>43286</v>
      </c>
      <c r="B590">
        <v>0.88</v>
      </c>
    </row>
    <row r="591" spans="1:2">
      <c r="A591" s="1">
        <v>43287</v>
      </c>
      <c r="B591">
        <v>0.85</v>
      </c>
    </row>
    <row r="592" spans="1:2">
      <c r="A592" s="1">
        <v>43290</v>
      </c>
      <c r="B592">
        <v>0.88</v>
      </c>
    </row>
    <row r="593" spans="1:2">
      <c r="A593" s="1">
        <v>43291</v>
      </c>
      <c r="B593">
        <v>0.88</v>
      </c>
    </row>
    <row r="594" spans="1:2">
      <c r="A594" s="1">
        <v>43292</v>
      </c>
      <c r="B594">
        <v>0.88</v>
      </c>
    </row>
    <row r="595" spans="1:2">
      <c r="A595" s="1">
        <v>43293</v>
      </c>
      <c r="B595">
        <v>0.87</v>
      </c>
    </row>
    <row r="596" spans="1:2">
      <c r="A596" s="1">
        <v>43294</v>
      </c>
      <c r="B596">
        <v>0.85</v>
      </c>
    </row>
    <row r="597" spans="1:2">
      <c r="A597" s="1">
        <v>43297</v>
      </c>
      <c r="B597">
        <v>0.84</v>
      </c>
    </row>
    <row r="598" spans="1:2">
      <c r="A598" s="1">
        <v>43298</v>
      </c>
      <c r="B598">
        <v>0.84</v>
      </c>
    </row>
    <row r="599" spans="1:2">
      <c r="A599" s="1">
        <v>43299</v>
      </c>
      <c r="B599">
        <v>0.88</v>
      </c>
    </row>
    <row r="600" spans="1:2">
      <c r="A600" s="1">
        <v>43300</v>
      </c>
      <c r="B600">
        <v>0.84</v>
      </c>
    </row>
    <row r="601" spans="1:2">
      <c r="A601" s="1">
        <v>43301</v>
      </c>
      <c r="B601">
        <v>0.9</v>
      </c>
    </row>
    <row r="602" spans="1:2">
      <c r="A602" s="1">
        <v>43304</v>
      </c>
      <c r="B602">
        <v>0.97</v>
      </c>
    </row>
    <row r="603" spans="1:2">
      <c r="A603" s="1">
        <v>43305</v>
      </c>
      <c r="B603">
        <v>0.93</v>
      </c>
    </row>
    <row r="604" spans="1:2">
      <c r="A604" s="1">
        <v>43306</v>
      </c>
      <c r="B604">
        <v>0.93</v>
      </c>
    </row>
    <row r="605" spans="1:2">
      <c r="A605" s="1">
        <v>43307</v>
      </c>
      <c r="B605">
        <v>0.99</v>
      </c>
    </row>
    <row r="606" spans="1:2">
      <c r="A606" s="1">
        <v>43308</v>
      </c>
      <c r="B606">
        <v>0.96</v>
      </c>
    </row>
    <row r="607" spans="1:2">
      <c r="A607" s="1">
        <v>43311</v>
      </c>
      <c r="B607">
        <v>0.94</v>
      </c>
    </row>
    <row r="608" spans="1:2">
      <c r="A608" s="1">
        <v>43312</v>
      </c>
      <c r="B608">
        <v>0.93</v>
      </c>
    </row>
    <row r="609" spans="1:2">
      <c r="A609" s="1">
        <v>43313</v>
      </c>
      <c r="B609">
        <v>0.97</v>
      </c>
    </row>
    <row r="610" spans="1:2">
      <c r="A610" s="1">
        <v>43314</v>
      </c>
      <c r="B610">
        <v>0.96</v>
      </c>
    </row>
    <row r="611" spans="1:2">
      <c r="A611" s="1">
        <v>43315</v>
      </c>
      <c r="B611">
        <v>0.94</v>
      </c>
    </row>
    <row r="612" spans="1:2">
      <c r="A612" s="1">
        <v>43318</v>
      </c>
      <c r="B612">
        <v>0.89</v>
      </c>
    </row>
    <row r="613" spans="1:2">
      <c r="A613" s="1">
        <v>43319</v>
      </c>
      <c r="B613">
        <v>0.92</v>
      </c>
    </row>
    <row r="614" spans="1:2">
      <c r="A614" s="1">
        <v>43320</v>
      </c>
      <c r="B614">
        <v>0.9</v>
      </c>
    </row>
    <row r="615" spans="1:2">
      <c r="A615" s="1">
        <v>43321</v>
      </c>
      <c r="B615">
        <v>0.87</v>
      </c>
    </row>
    <row r="616" spans="1:2">
      <c r="A616" s="1">
        <v>43322</v>
      </c>
      <c r="B616">
        <v>0.82</v>
      </c>
    </row>
    <row r="617" spans="1:2">
      <c r="A617" s="1">
        <v>43325</v>
      </c>
      <c r="B617">
        <v>0.82</v>
      </c>
    </row>
    <row r="618" spans="1:2">
      <c r="A618" s="1">
        <v>43326</v>
      </c>
      <c r="B618">
        <v>0.81</v>
      </c>
    </row>
    <row r="619" spans="1:2">
      <c r="A619" s="1">
        <v>43327</v>
      </c>
      <c r="B619">
        <v>0.79</v>
      </c>
    </row>
    <row r="620" spans="1:2">
      <c r="A620" s="1">
        <v>43328</v>
      </c>
      <c r="B620">
        <v>0.8</v>
      </c>
    </row>
    <row r="621" spans="1:2">
      <c r="A621" s="1">
        <v>43329</v>
      </c>
      <c r="B621">
        <v>0.82</v>
      </c>
    </row>
    <row r="622" spans="1:2">
      <c r="A622" s="1">
        <v>43332</v>
      </c>
      <c r="B622">
        <v>0.76</v>
      </c>
    </row>
    <row r="623" spans="1:2">
      <c r="A623" s="1">
        <v>43333</v>
      </c>
      <c r="B623">
        <v>0.77</v>
      </c>
    </row>
    <row r="624" spans="1:2">
      <c r="A624" s="1">
        <v>43334</v>
      </c>
      <c r="B624">
        <v>0.73</v>
      </c>
    </row>
    <row r="625" spans="1:2">
      <c r="A625" s="1">
        <v>43335</v>
      </c>
      <c r="B625">
        <v>0.74</v>
      </c>
    </row>
    <row r="626" spans="1:2">
      <c r="A626" s="1">
        <v>43336</v>
      </c>
      <c r="B626">
        <v>0.73</v>
      </c>
    </row>
    <row r="627" spans="1:2">
      <c r="A627" s="1">
        <v>43339</v>
      </c>
      <c r="B627">
        <v>0.73</v>
      </c>
    </row>
    <row r="628" spans="1:2">
      <c r="A628" s="1">
        <v>43340</v>
      </c>
      <c r="B628">
        <v>0.75</v>
      </c>
    </row>
    <row r="629" spans="1:2">
      <c r="A629" s="1">
        <v>43341</v>
      </c>
      <c r="B629">
        <v>0.76</v>
      </c>
    </row>
    <row r="630" spans="1:2">
      <c r="A630" s="1">
        <v>43342</v>
      </c>
      <c r="B630">
        <v>0.75</v>
      </c>
    </row>
    <row r="631" spans="1:2">
      <c r="A631" s="1">
        <v>43343</v>
      </c>
      <c r="B631">
        <v>0.75</v>
      </c>
    </row>
    <row r="632" spans="1:2">
      <c r="A632" s="1">
        <v>43346</v>
      </c>
    </row>
    <row r="633" spans="1:2">
      <c r="A633" s="1">
        <v>43347</v>
      </c>
      <c r="B633">
        <v>0.77</v>
      </c>
    </row>
    <row r="634" spans="1:2">
      <c r="A634" s="1">
        <v>43348</v>
      </c>
      <c r="B634">
        <v>0.76</v>
      </c>
    </row>
    <row r="635" spans="1:2">
      <c r="A635" s="1">
        <v>43349</v>
      </c>
      <c r="B635">
        <v>0.75</v>
      </c>
    </row>
    <row r="636" spans="1:2">
      <c r="A636" s="1">
        <v>43350</v>
      </c>
      <c r="B636">
        <v>0.8</v>
      </c>
    </row>
    <row r="637" spans="1:2">
      <c r="A637" s="1">
        <v>43353</v>
      </c>
      <c r="B637">
        <v>0.8</v>
      </c>
    </row>
    <row r="638" spans="1:2">
      <c r="A638" s="1">
        <v>43354</v>
      </c>
      <c r="B638">
        <v>0.83</v>
      </c>
    </row>
    <row r="639" spans="1:2">
      <c r="A639" s="1">
        <v>43355</v>
      </c>
      <c r="B639">
        <v>0.81</v>
      </c>
    </row>
    <row r="640" spans="1:2">
      <c r="A640" s="1">
        <v>43356</v>
      </c>
      <c r="B640">
        <v>0.82</v>
      </c>
    </row>
    <row r="641" spans="1:2">
      <c r="A641" s="1">
        <v>43357</v>
      </c>
      <c r="B641">
        <v>0.83</v>
      </c>
    </row>
    <row r="642" spans="1:2">
      <c r="A642" s="1">
        <v>43360</v>
      </c>
      <c r="B642">
        <v>0.83</v>
      </c>
    </row>
    <row r="643" spans="1:2">
      <c r="A643" s="1">
        <v>43361</v>
      </c>
      <c r="B643">
        <v>0.88</v>
      </c>
    </row>
    <row r="644" spans="1:2">
      <c r="A644" s="1">
        <v>43362</v>
      </c>
      <c r="B644">
        <v>0.92</v>
      </c>
    </row>
    <row r="645" spans="1:2">
      <c r="A645" s="1">
        <v>43363</v>
      </c>
      <c r="B645">
        <v>0.9</v>
      </c>
    </row>
    <row r="646" spans="1:2">
      <c r="A646" s="1">
        <v>43364</v>
      </c>
      <c r="B646">
        <v>0.89</v>
      </c>
    </row>
    <row r="647" spans="1:2">
      <c r="A647" s="1">
        <v>43367</v>
      </c>
      <c r="B647">
        <v>0.86</v>
      </c>
    </row>
    <row r="648" spans="1:2">
      <c r="A648" s="1">
        <v>43368</v>
      </c>
      <c r="B648">
        <v>0.89</v>
      </c>
    </row>
    <row r="649" spans="1:2">
      <c r="A649" s="1">
        <v>43369</v>
      </c>
      <c r="B649">
        <v>0.86</v>
      </c>
    </row>
    <row r="650" spans="1:2">
      <c r="A650" s="1">
        <v>43370</v>
      </c>
      <c r="B650">
        <v>0.88</v>
      </c>
    </row>
    <row r="651" spans="1:2">
      <c r="A651" s="1">
        <v>43371</v>
      </c>
      <c r="B651">
        <v>0.86</v>
      </c>
    </row>
    <row r="652" spans="1:2">
      <c r="A652" s="1">
        <v>43374</v>
      </c>
      <c r="B652">
        <v>0.86</v>
      </c>
    </row>
    <row r="653" spans="1:2">
      <c r="A653" s="1">
        <v>43375</v>
      </c>
      <c r="B653">
        <v>0.82</v>
      </c>
    </row>
    <row r="654" spans="1:2">
      <c r="A654" s="1">
        <v>43376</v>
      </c>
      <c r="B654">
        <v>0.92</v>
      </c>
    </row>
    <row r="655" spans="1:2">
      <c r="A655" s="1">
        <v>43377</v>
      </c>
      <c r="B655">
        <v>0.97</v>
      </c>
    </row>
    <row r="656" spans="1:2">
      <c r="A656" s="1">
        <v>43378</v>
      </c>
      <c r="B656">
        <v>1</v>
      </c>
    </row>
    <row r="657" spans="1:2">
      <c r="A657" s="1">
        <v>43381</v>
      </c>
    </row>
    <row r="658" spans="1:2">
      <c r="A658" s="1">
        <v>43382</v>
      </c>
      <c r="B658">
        <v>0.96</v>
      </c>
    </row>
    <row r="659" spans="1:2">
      <c r="A659" s="1">
        <v>43383</v>
      </c>
      <c r="B659">
        <v>0.95</v>
      </c>
    </row>
    <row r="660" spans="1:2">
      <c r="A660" s="1">
        <v>43384</v>
      </c>
      <c r="B660">
        <v>0.87</v>
      </c>
    </row>
    <row r="661" spans="1:2">
      <c r="A661" s="1">
        <v>43385</v>
      </c>
      <c r="B661">
        <v>0.87</v>
      </c>
    </row>
    <row r="662" spans="1:2">
      <c r="A662" s="1">
        <v>43388</v>
      </c>
      <c r="B662">
        <v>0.85</v>
      </c>
    </row>
    <row r="663" spans="1:2">
      <c r="A663" s="1">
        <v>43389</v>
      </c>
      <c r="B663">
        <v>0.86</v>
      </c>
    </row>
    <row r="664" spans="1:2">
      <c r="A664" s="1">
        <v>43390</v>
      </c>
      <c r="B664">
        <v>0.88</v>
      </c>
    </row>
    <row r="665" spans="1:2">
      <c r="A665" s="1">
        <v>43391</v>
      </c>
      <c r="B665">
        <v>0.85</v>
      </c>
    </row>
    <row r="666" spans="1:2">
      <c r="A666" s="1">
        <v>43392</v>
      </c>
      <c r="B666">
        <v>0.89</v>
      </c>
    </row>
    <row r="667" spans="1:2">
      <c r="A667" s="1">
        <v>43395</v>
      </c>
      <c r="B667">
        <v>0.86</v>
      </c>
    </row>
    <row r="668" spans="1:2">
      <c r="A668" s="1">
        <v>43396</v>
      </c>
      <c r="B668">
        <v>0.84</v>
      </c>
    </row>
    <row r="669" spans="1:2">
      <c r="A669" s="1">
        <v>43397</v>
      </c>
      <c r="B669">
        <v>0.76</v>
      </c>
    </row>
    <row r="670" spans="1:2">
      <c r="A670" s="1">
        <v>43398</v>
      </c>
      <c r="B670">
        <v>0.8</v>
      </c>
    </row>
    <row r="671" spans="1:2">
      <c r="A671" s="1">
        <v>43399</v>
      </c>
      <c r="B671">
        <v>0.75</v>
      </c>
    </row>
    <row r="672" spans="1:2">
      <c r="A672" s="1">
        <v>43402</v>
      </c>
      <c r="B672">
        <v>0.74</v>
      </c>
    </row>
    <row r="673" spans="1:2">
      <c r="A673" s="1">
        <v>43403</v>
      </c>
      <c r="B673">
        <v>0.79</v>
      </c>
    </row>
    <row r="674" spans="1:2">
      <c r="A674" s="1">
        <v>43404</v>
      </c>
      <c r="B674">
        <v>0.81</v>
      </c>
    </row>
    <row r="675" spans="1:2">
      <c r="A675" s="1">
        <v>43405</v>
      </c>
      <c r="B675">
        <v>0.82</v>
      </c>
    </row>
    <row r="676" spans="1:2">
      <c r="A676" s="1">
        <v>43406</v>
      </c>
      <c r="B676">
        <v>0.89</v>
      </c>
    </row>
    <row r="677" spans="1:2">
      <c r="A677" s="1">
        <v>43409</v>
      </c>
      <c r="B677">
        <v>0.84</v>
      </c>
    </row>
    <row r="678" spans="1:2">
      <c r="A678" s="1">
        <v>43410</v>
      </c>
      <c r="B678">
        <v>0.87</v>
      </c>
    </row>
    <row r="679" spans="1:2">
      <c r="A679" s="1">
        <v>43411</v>
      </c>
      <c r="B679">
        <v>0.85</v>
      </c>
    </row>
    <row r="680" spans="1:2">
      <c r="A680" s="1">
        <v>43412</v>
      </c>
      <c r="B680">
        <v>0.89</v>
      </c>
    </row>
    <row r="681" spans="1:2">
      <c r="A681" s="1">
        <v>43413</v>
      </c>
      <c r="B681">
        <v>0.83</v>
      </c>
    </row>
    <row r="682" spans="1:2">
      <c r="A682" s="1">
        <v>43416</v>
      </c>
    </row>
    <row r="683" spans="1:2">
      <c r="A683" s="1">
        <v>43417</v>
      </c>
      <c r="B683">
        <v>0.76</v>
      </c>
    </row>
    <row r="684" spans="1:2">
      <c r="A684" s="1">
        <v>43418</v>
      </c>
      <c r="B684">
        <v>0.74</v>
      </c>
    </row>
    <row r="685" spans="1:2">
      <c r="A685" s="1">
        <v>43419</v>
      </c>
      <c r="B685">
        <v>0.74</v>
      </c>
    </row>
    <row r="686" spans="1:2">
      <c r="A686" s="1">
        <v>43420</v>
      </c>
      <c r="B686">
        <v>0.72</v>
      </c>
    </row>
    <row r="687" spans="1:2">
      <c r="A687" s="1">
        <v>43423</v>
      </c>
      <c r="B687">
        <v>0.68</v>
      </c>
    </row>
    <row r="688" spans="1:2">
      <c r="A688" s="1">
        <v>43424</v>
      </c>
      <c r="B688">
        <v>0.67</v>
      </c>
    </row>
    <row r="689" spans="1:2">
      <c r="A689" s="1">
        <v>43425</v>
      </c>
      <c r="B689">
        <v>0.65</v>
      </c>
    </row>
    <row r="690" spans="1:2">
      <c r="A690" s="1">
        <v>43426</v>
      </c>
    </row>
    <row r="691" spans="1:2">
      <c r="A691" s="1">
        <v>43427</v>
      </c>
      <c r="B691">
        <v>0.64</v>
      </c>
    </row>
    <row r="692" spans="1:2">
      <c r="A692" s="1">
        <v>43430</v>
      </c>
      <c r="B692">
        <v>0.66</v>
      </c>
    </row>
    <row r="693" spans="1:2">
      <c r="A693" s="1">
        <v>43431</v>
      </c>
      <c r="B693">
        <v>0.65</v>
      </c>
    </row>
    <row r="694" spans="1:2">
      <c r="A694" s="1">
        <v>43432</v>
      </c>
      <c r="B694">
        <v>0.66</v>
      </c>
    </row>
    <row r="695" spans="1:2">
      <c r="A695" s="1">
        <v>43433</v>
      </c>
      <c r="B695">
        <v>0.66</v>
      </c>
    </row>
    <row r="696" spans="1:2">
      <c r="A696" s="1">
        <v>43434</v>
      </c>
      <c r="B696">
        <v>0.64</v>
      </c>
    </row>
    <row r="697" spans="1:2">
      <c r="A697" s="1">
        <v>43437</v>
      </c>
      <c r="B697">
        <v>0.6</v>
      </c>
    </row>
    <row r="698" spans="1:2">
      <c r="A698" s="1">
        <v>43438</v>
      </c>
      <c r="B698">
        <v>0.49</v>
      </c>
    </row>
    <row r="699" spans="1:2">
      <c r="A699" s="1">
        <v>43439</v>
      </c>
    </row>
    <row r="700" spans="1:2">
      <c r="A700" s="1">
        <v>43440</v>
      </c>
      <c r="B700">
        <v>0.46</v>
      </c>
    </row>
    <row r="701" spans="1:2">
      <c r="A701" s="1">
        <v>43441</v>
      </c>
      <c r="B701">
        <v>0.45</v>
      </c>
    </row>
    <row r="702" spans="1:2">
      <c r="A702" s="1">
        <v>43444</v>
      </c>
      <c r="B702">
        <v>0.44</v>
      </c>
    </row>
    <row r="703" spans="1:2">
      <c r="A703" s="1">
        <v>43445</v>
      </c>
      <c r="B703">
        <v>0.48</v>
      </c>
    </row>
    <row r="704" spans="1:2">
      <c r="A704" s="1">
        <v>43446</v>
      </c>
      <c r="B704">
        <v>0.48</v>
      </c>
    </row>
    <row r="705" spans="1:2">
      <c r="A705" s="1">
        <v>43447</v>
      </c>
      <c r="B705">
        <v>0.48</v>
      </c>
    </row>
    <row r="706" spans="1:2">
      <c r="A706" s="1">
        <v>43448</v>
      </c>
      <c r="B706">
        <v>0.47</v>
      </c>
    </row>
    <row r="707" spans="1:2">
      <c r="A707" s="1">
        <v>43451</v>
      </c>
      <c r="B707">
        <v>0.46</v>
      </c>
    </row>
    <row r="708" spans="1:2">
      <c r="A708" s="1">
        <v>43452</v>
      </c>
      <c r="B708">
        <v>0.43</v>
      </c>
    </row>
    <row r="709" spans="1:2">
      <c r="A709" s="1">
        <v>43453</v>
      </c>
      <c r="B709">
        <v>0.37</v>
      </c>
    </row>
    <row r="710" spans="1:2">
      <c r="A710" s="1">
        <v>43454</v>
      </c>
      <c r="B710">
        <v>0.4</v>
      </c>
    </row>
    <row r="711" spans="1:2">
      <c r="A711" s="1">
        <v>43455</v>
      </c>
      <c r="B711">
        <v>0.4</v>
      </c>
    </row>
    <row r="712" spans="1:2">
      <c r="A712" s="1">
        <v>43458</v>
      </c>
      <c r="B712">
        <v>0.28999999999999998</v>
      </c>
    </row>
    <row r="713" spans="1:2">
      <c r="A713" s="1">
        <v>43459</v>
      </c>
    </row>
    <row r="714" spans="1:2">
      <c r="A714" s="1">
        <v>43460</v>
      </c>
      <c r="B714">
        <v>0.37</v>
      </c>
    </row>
    <row r="715" spans="1:2">
      <c r="A715" s="1">
        <v>43461</v>
      </c>
      <c r="B715">
        <v>0.36</v>
      </c>
    </row>
    <row r="716" spans="1:2">
      <c r="A716" s="1">
        <v>43462</v>
      </c>
      <c r="B716">
        <v>0.32</v>
      </c>
    </row>
    <row r="717" spans="1:2">
      <c r="A717" s="1">
        <v>43465</v>
      </c>
      <c r="B717">
        <v>0.24</v>
      </c>
    </row>
    <row r="718" spans="1:2">
      <c r="A718" s="1">
        <v>43466</v>
      </c>
    </row>
    <row r="719" spans="1:2">
      <c r="A719" s="1">
        <v>43467</v>
      </c>
      <c r="B719">
        <v>0.24</v>
      </c>
    </row>
    <row r="720" spans="1:2">
      <c r="A720" s="1">
        <v>43468</v>
      </c>
      <c r="B720">
        <v>0.15</v>
      </c>
    </row>
    <row r="721" spans="1:2">
      <c r="A721" s="1">
        <v>43469</v>
      </c>
      <c r="B721">
        <v>0.25</v>
      </c>
    </row>
    <row r="722" spans="1:2">
      <c r="A722" s="1">
        <v>43472</v>
      </c>
      <c r="B722">
        <v>0.25</v>
      </c>
    </row>
    <row r="723" spans="1:2">
      <c r="A723" s="1">
        <v>43473</v>
      </c>
      <c r="B723">
        <v>0.27</v>
      </c>
    </row>
    <row r="724" spans="1:2">
      <c r="A724" s="1">
        <v>43474</v>
      </c>
      <c r="B724">
        <v>0.28999999999999998</v>
      </c>
    </row>
    <row r="725" spans="1:2">
      <c r="A725" s="1">
        <v>43475</v>
      </c>
      <c r="B725">
        <v>0.31</v>
      </c>
    </row>
    <row r="726" spans="1:2">
      <c r="A726" s="1">
        <v>43476</v>
      </c>
      <c r="B726">
        <v>0.28000000000000003</v>
      </c>
    </row>
    <row r="727" spans="1:2">
      <c r="A727" s="1">
        <v>43479</v>
      </c>
      <c r="B727">
        <v>0.26</v>
      </c>
    </row>
    <row r="728" spans="1:2">
      <c r="A728" s="1">
        <v>43480</v>
      </c>
      <c r="B728">
        <v>0.27</v>
      </c>
    </row>
    <row r="729" spans="1:2">
      <c r="A729" s="1">
        <v>43481</v>
      </c>
      <c r="B729">
        <v>0.3</v>
      </c>
    </row>
    <row r="730" spans="1:2">
      <c r="A730" s="1">
        <v>43482</v>
      </c>
      <c r="B730">
        <v>0.33</v>
      </c>
    </row>
    <row r="731" spans="1:2">
      <c r="A731" s="1">
        <v>43483</v>
      </c>
      <c r="B731">
        <v>0.38</v>
      </c>
    </row>
    <row r="732" spans="1:2">
      <c r="A732" s="1">
        <v>43486</v>
      </c>
    </row>
    <row r="733" spans="1:2">
      <c r="A733" s="1">
        <v>43487</v>
      </c>
      <c r="B733">
        <v>0.31</v>
      </c>
    </row>
    <row r="734" spans="1:2">
      <c r="A734" s="1">
        <v>43488</v>
      </c>
      <c r="B734">
        <v>0.35</v>
      </c>
    </row>
    <row r="735" spans="1:2">
      <c r="A735" s="1">
        <v>43489</v>
      </c>
      <c r="B735">
        <v>0.35</v>
      </c>
    </row>
    <row r="736" spans="1:2">
      <c r="A736" s="1">
        <v>43490</v>
      </c>
      <c r="B736">
        <v>0.37</v>
      </c>
    </row>
    <row r="737" spans="1:2">
      <c r="A737" s="1">
        <v>43493</v>
      </c>
      <c r="B737">
        <v>0.33</v>
      </c>
    </row>
    <row r="738" spans="1:2">
      <c r="A738" s="1">
        <v>43494</v>
      </c>
      <c r="B738">
        <v>0.3</v>
      </c>
    </row>
    <row r="739" spans="1:2">
      <c r="A739" s="1">
        <v>43495</v>
      </c>
      <c r="B739">
        <v>0.28000000000000003</v>
      </c>
    </row>
    <row r="740" spans="1:2">
      <c r="A740" s="1">
        <v>43496</v>
      </c>
      <c r="B740">
        <v>0.22</v>
      </c>
    </row>
    <row r="741" spans="1:2">
      <c r="A741" s="1">
        <v>43497</v>
      </c>
      <c r="B741">
        <v>0.3</v>
      </c>
    </row>
    <row r="742" spans="1:2">
      <c r="A742" s="1">
        <v>43500</v>
      </c>
      <c r="B742">
        <v>0.31</v>
      </c>
    </row>
    <row r="743" spans="1:2">
      <c r="A743" s="1">
        <v>43501</v>
      </c>
      <c r="B743">
        <v>0.28999999999999998</v>
      </c>
    </row>
    <row r="744" spans="1:2">
      <c r="A744" s="1">
        <v>43502</v>
      </c>
      <c r="B744">
        <v>0.28000000000000003</v>
      </c>
    </row>
    <row r="745" spans="1:2">
      <c r="A745" s="1">
        <v>43503</v>
      </c>
      <c r="B745">
        <v>0.23</v>
      </c>
    </row>
    <row r="746" spans="1:2">
      <c r="A746" s="1">
        <v>43504</v>
      </c>
      <c r="B746">
        <v>0.2</v>
      </c>
    </row>
    <row r="747" spans="1:2">
      <c r="A747" s="1">
        <v>43507</v>
      </c>
      <c r="B747">
        <v>0.2</v>
      </c>
    </row>
    <row r="748" spans="1:2">
      <c r="A748" s="1">
        <v>43508</v>
      </c>
      <c r="B748">
        <v>0.25</v>
      </c>
    </row>
    <row r="749" spans="1:2">
      <c r="A749" s="1">
        <v>43509</v>
      </c>
      <c r="B749">
        <v>0.27</v>
      </c>
    </row>
    <row r="750" spans="1:2">
      <c r="A750" s="1">
        <v>43510</v>
      </c>
      <c r="B750">
        <v>0.23</v>
      </c>
    </row>
    <row r="751" spans="1:2">
      <c r="A751" s="1">
        <v>43511</v>
      </c>
      <c r="B751">
        <v>0.23</v>
      </c>
    </row>
    <row r="752" spans="1:2">
      <c r="A752" s="1">
        <v>43514</v>
      </c>
    </row>
    <row r="753" spans="1:2">
      <c r="A753" s="1">
        <v>43515</v>
      </c>
      <c r="B753">
        <v>0.2</v>
      </c>
    </row>
    <row r="754" spans="1:2">
      <c r="A754" s="1">
        <v>43516</v>
      </c>
      <c r="B754">
        <v>0.2</v>
      </c>
    </row>
    <row r="755" spans="1:2">
      <c r="A755" s="1">
        <v>43517</v>
      </c>
      <c r="B755">
        <v>0.24</v>
      </c>
    </row>
    <row r="756" spans="1:2">
      <c r="A756" s="1">
        <v>43518</v>
      </c>
      <c r="B756">
        <v>0.19</v>
      </c>
    </row>
    <row r="757" spans="1:2">
      <c r="A757" s="1">
        <v>43521</v>
      </c>
      <c r="B757">
        <v>0.2</v>
      </c>
    </row>
    <row r="758" spans="1:2">
      <c r="A758" s="1">
        <v>43522</v>
      </c>
      <c r="B758">
        <v>0.19</v>
      </c>
    </row>
    <row r="759" spans="1:2">
      <c r="A759" s="1">
        <v>43523</v>
      </c>
      <c r="B759">
        <v>0.24</v>
      </c>
    </row>
    <row r="760" spans="1:2">
      <c r="A760" s="1">
        <v>43524</v>
      </c>
      <c r="B760">
        <v>0.28000000000000003</v>
      </c>
    </row>
    <row r="761" spans="1:2">
      <c r="A761" s="1">
        <v>43525</v>
      </c>
      <c r="B761">
        <v>0.32</v>
      </c>
    </row>
    <row r="762" spans="1:2">
      <c r="A762" s="1">
        <v>43528</v>
      </c>
      <c r="B762">
        <v>0.26</v>
      </c>
    </row>
    <row r="763" spans="1:2">
      <c r="A763" s="1">
        <v>43529</v>
      </c>
      <c r="B763">
        <v>0.26</v>
      </c>
    </row>
    <row r="764" spans="1:2">
      <c r="A764" s="1">
        <v>43530</v>
      </c>
      <c r="B764">
        <v>0.22</v>
      </c>
    </row>
    <row r="765" spans="1:2">
      <c r="A765" s="1">
        <v>43531</v>
      </c>
      <c r="B765">
        <v>0.19</v>
      </c>
    </row>
    <row r="766" spans="1:2">
      <c r="A766" s="1">
        <v>43532</v>
      </c>
      <c r="B766">
        <v>0.16</v>
      </c>
    </row>
    <row r="767" spans="1:2">
      <c r="A767" s="1">
        <v>43535</v>
      </c>
      <c r="B767">
        <v>0.18</v>
      </c>
    </row>
    <row r="768" spans="1:2">
      <c r="A768" s="1">
        <v>43536</v>
      </c>
      <c r="B768">
        <v>0.15</v>
      </c>
    </row>
    <row r="769" spans="1:2">
      <c r="A769" s="1">
        <v>43537</v>
      </c>
      <c r="B769">
        <v>0.16</v>
      </c>
    </row>
    <row r="770" spans="1:2">
      <c r="A770" s="1">
        <v>43538</v>
      </c>
      <c r="B770">
        <v>0.18</v>
      </c>
    </row>
    <row r="771" spans="1:2">
      <c r="A771" s="1">
        <v>43539</v>
      </c>
      <c r="B771">
        <v>0.14000000000000001</v>
      </c>
    </row>
    <row r="772" spans="1:2">
      <c r="A772" s="1">
        <v>43542</v>
      </c>
      <c r="B772">
        <v>0.16</v>
      </c>
    </row>
    <row r="773" spans="1:2">
      <c r="A773" s="1">
        <v>43543</v>
      </c>
      <c r="B773">
        <v>0.15</v>
      </c>
    </row>
    <row r="774" spans="1:2">
      <c r="A774" s="1">
        <v>43544</v>
      </c>
      <c r="B774">
        <v>0.06</v>
      </c>
    </row>
    <row r="775" spans="1:2">
      <c r="A775" s="1">
        <v>43545</v>
      </c>
      <c r="B775">
        <v>0.05</v>
      </c>
    </row>
    <row r="776" spans="1:2">
      <c r="A776" s="1">
        <v>43546</v>
      </c>
      <c r="B776">
        <v>-0.02</v>
      </c>
    </row>
    <row r="777" spans="1:2">
      <c r="A777" s="1">
        <v>43549</v>
      </c>
      <c r="B777">
        <v>-0.03</v>
      </c>
    </row>
    <row r="778" spans="1:2">
      <c r="A778" s="1">
        <v>43550</v>
      </c>
      <c r="B778">
        <v>-0.05</v>
      </c>
    </row>
    <row r="779" spans="1:2">
      <c r="A779" s="1">
        <v>43551</v>
      </c>
      <c r="B779">
        <v>-0.05</v>
      </c>
    </row>
    <row r="780" spans="1:2">
      <c r="A780" s="1">
        <v>43552</v>
      </c>
      <c r="B780">
        <v>-0.04</v>
      </c>
    </row>
    <row r="781" spans="1:2">
      <c r="A781" s="1">
        <v>43553</v>
      </c>
      <c r="B781">
        <v>0.01</v>
      </c>
    </row>
    <row r="782" spans="1:2">
      <c r="A782" s="1">
        <v>43556</v>
      </c>
      <c r="B782">
        <v>0.06</v>
      </c>
    </row>
    <row r="783" spans="1:2">
      <c r="A783" s="1">
        <v>43557</v>
      </c>
      <c r="B783">
        <v>0.06</v>
      </c>
    </row>
    <row r="784" spans="1:2">
      <c r="A784" s="1">
        <v>43558</v>
      </c>
      <c r="B784">
        <v>0.08</v>
      </c>
    </row>
    <row r="785" spans="1:2">
      <c r="A785" s="1">
        <v>43559</v>
      </c>
      <c r="B785">
        <v>7.0000000000000007E-2</v>
      </c>
    </row>
    <row r="786" spans="1:2">
      <c r="A786" s="1">
        <v>43560</v>
      </c>
      <c r="B786">
        <v>0.06</v>
      </c>
    </row>
    <row r="787" spans="1:2">
      <c r="A787" s="1">
        <v>43563</v>
      </c>
      <c r="B787">
        <v>0.09</v>
      </c>
    </row>
    <row r="788" spans="1:2">
      <c r="A788" s="1">
        <v>43564</v>
      </c>
      <c r="B788">
        <v>0.09</v>
      </c>
    </row>
    <row r="789" spans="1:2">
      <c r="A789" s="1">
        <v>43565</v>
      </c>
      <c r="B789">
        <v>0.05</v>
      </c>
    </row>
    <row r="790" spans="1:2">
      <c r="A790" s="1">
        <v>43566</v>
      </c>
      <c r="B790">
        <v>0.08</v>
      </c>
    </row>
    <row r="791" spans="1:2">
      <c r="A791" s="1">
        <v>43567</v>
      </c>
      <c r="B791">
        <v>0.12</v>
      </c>
    </row>
    <row r="792" spans="1:2">
      <c r="A792" s="1">
        <v>43570</v>
      </c>
      <c r="B792">
        <v>0.12</v>
      </c>
    </row>
    <row r="793" spans="1:2">
      <c r="A793" s="1">
        <v>43571</v>
      </c>
      <c r="B793">
        <v>0.17</v>
      </c>
    </row>
    <row r="794" spans="1:2">
      <c r="A794" s="1">
        <v>43572</v>
      </c>
      <c r="B794">
        <v>0.15</v>
      </c>
    </row>
    <row r="795" spans="1:2">
      <c r="A795" s="1">
        <v>43573</v>
      </c>
      <c r="B795">
        <v>0.15</v>
      </c>
    </row>
    <row r="796" spans="1:2">
      <c r="A796" s="1">
        <v>43574</v>
      </c>
    </row>
    <row r="797" spans="1:2">
      <c r="A797" s="1">
        <v>43577</v>
      </c>
      <c r="B797">
        <v>0.15</v>
      </c>
    </row>
    <row r="798" spans="1:2">
      <c r="A798" s="1">
        <v>43578</v>
      </c>
      <c r="B798">
        <v>0.12</v>
      </c>
    </row>
    <row r="799" spans="1:2">
      <c r="A799" s="1">
        <v>43579</v>
      </c>
      <c r="B799">
        <v>0.09</v>
      </c>
    </row>
    <row r="800" spans="1:2">
      <c r="A800" s="1">
        <v>43580</v>
      </c>
      <c r="B800">
        <v>0.11</v>
      </c>
    </row>
    <row r="801" spans="1:2">
      <c r="A801" s="1">
        <v>43581</v>
      </c>
      <c r="B801">
        <v>0.09</v>
      </c>
    </row>
    <row r="802" spans="1:2">
      <c r="A802" s="1">
        <v>43584</v>
      </c>
      <c r="B802">
        <v>0.1</v>
      </c>
    </row>
    <row r="803" spans="1:2">
      <c r="A803" s="1">
        <v>43585</v>
      </c>
      <c r="B803">
        <v>0.08</v>
      </c>
    </row>
    <row r="804" spans="1:2">
      <c r="A804" s="1">
        <v>43586</v>
      </c>
      <c r="B804">
        <v>0.09</v>
      </c>
    </row>
    <row r="805" spans="1:2">
      <c r="A805" s="1">
        <v>43587</v>
      </c>
      <c r="B805">
        <v>0.08</v>
      </c>
    </row>
    <row r="806" spans="1:2">
      <c r="A806" s="1">
        <v>43588</v>
      </c>
      <c r="B806">
        <v>0.11</v>
      </c>
    </row>
    <row r="807" spans="1:2">
      <c r="A807" s="1">
        <v>43591</v>
      </c>
      <c r="B807">
        <v>7.0000000000000007E-2</v>
      </c>
    </row>
    <row r="808" spans="1:2">
      <c r="A808" s="1">
        <v>43592</v>
      </c>
      <c r="B808">
        <v>0.02</v>
      </c>
    </row>
    <row r="809" spans="1:2">
      <c r="A809" s="1">
        <v>43593</v>
      </c>
      <c r="B809">
        <v>0.06</v>
      </c>
    </row>
    <row r="810" spans="1:2">
      <c r="A810" s="1">
        <v>43594</v>
      </c>
      <c r="B810">
        <v>0.02</v>
      </c>
    </row>
    <row r="811" spans="1:2">
      <c r="A811" s="1">
        <v>43595</v>
      </c>
      <c r="B811">
        <v>0.04</v>
      </c>
    </row>
    <row r="812" spans="1:2">
      <c r="A812" s="1">
        <v>43598</v>
      </c>
      <c r="B812">
        <v>-0.01</v>
      </c>
    </row>
    <row r="813" spans="1:2">
      <c r="A813" s="1">
        <v>43599</v>
      </c>
      <c r="B813">
        <v>0.01</v>
      </c>
    </row>
    <row r="814" spans="1:2">
      <c r="A814" s="1">
        <v>43600</v>
      </c>
      <c r="B814">
        <v>-0.05</v>
      </c>
    </row>
    <row r="815" spans="1:2">
      <c r="A815" s="1">
        <v>43601</v>
      </c>
      <c r="B815">
        <v>0</v>
      </c>
    </row>
    <row r="816" spans="1:2">
      <c r="A816" s="1">
        <v>43602</v>
      </c>
      <c r="B816">
        <v>0</v>
      </c>
    </row>
    <row r="817" spans="1:2">
      <c r="A817" s="1">
        <v>43605</v>
      </c>
      <c r="B817">
        <v>0.02</v>
      </c>
    </row>
    <row r="818" spans="1:2">
      <c r="A818" s="1">
        <v>43606</v>
      </c>
      <c r="B818">
        <v>0.04</v>
      </c>
    </row>
    <row r="819" spans="1:2">
      <c r="A819" s="1">
        <v>43607</v>
      </c>
      <c r="B819">
        <v>0.01</v>
      </c>
    </row>
    <row r="820" spans="1:2">
      <c r="A820" s="1">
        <v>43608</v>
      </c>
      <c r="B820">
        <v>-0.06</v>
      </c>
    </row>
    <row r="821" spans="1:2">
      <c r="A821" s="1">
        <v>43609</v>
      </c>
      <c r="B821">
        <v>-0.03</v>
      </c>
    </row>
    <row r="822" spans="1:2">
      <c r="A822" s="1">
        <v>43612</v>
      </c>
    </row>
    <row r="823" spans="1:2">
      <c r="A823" s="1">
        <v>43613</v>
      </c>
      <c r="B823">
        <v>-0.11</v>
      </c>
    </row>
    <row r="824" spans="1:2">
      <c r="A824" s="1">
        <v>43614</v>
      </c>
      <c r="B824">
        <v>-0.12</v>
      </c>
    </row>
    <row r="825" spans="1:2">
      <c r="A825" s="1">
        <v>43615</v>
      </c>
      <c r="B825">
        <v>-0.16</v>
      </c>
    </row>
    <row r="826" spans="1:2">
      <c r="A826" s="1">
        <v>43616</v>
      </c>
      <c r="B826">
        <v>-0.21</v>
      </c>
    </row>
    <row r="827" spans="1:2">
      <c r="A827" s="1">
        <v>43619</v>
      </c>
      <c r="B827">
        <v>-0.28000000000000003</v>
      </c>
    </row>
    <row r="828" spans="1:2">
      <c r="A828" s="1">
        <v>43620</v>
      </c>
      <c r="B828">
        <v>-0.23</v>
      </c>
    </row>
    <row r="829" spans="1:2">
      <c r="A829" s="1">
        <v>43621</v>
      </c>
      <c r="B829">
        <v>-0.23</v>
      </c>
    </row>
    <row r="830" spans="1:2">
      <c r="A830" s="1">
        <v>43622</v>
      </c>
      <c r="B830">
        <v>-0.21</v>
      </c>
    </row>
    <row r="831" spans="1:2">
      <c r="A831" s="1">
        <v>43623</v>
      </c>
      <c r="B831">
        <v>-0.19</v>
      </c>
    </row>
    <row r="832" spans="1:2">
      <c r="A832" s="1">
        <v>43626</v>
      </c>
      <c r="B832">
        <v>-0.14000000000000001</v>
      </c>
    </row>
    <row r="833" spans="1:2">
      <c r="A833" s="1">
        <v>43627</v>
      </c>
      <c r="B833">
        <v>-0.12</v>
      </c>
    </row>
    <row r="834" spans="1:2">
      <c r="A834" s="1">
        <v>43628</v>
      </c>
      <c r="B834">
        <v>-0.11</v>
      </c>
    </row>
    <row r="835" spans="1:2">
      <c r="A835" s="1">
        <v>43629</v>
      </c>
      <c r="B835">
        <v>-0.09</v>
      </c>
    </row>
    <row r="836" spans="1:2">
      <c r="A836" s="1">
        <v>43630</v>
      </c>
      <c r="B836">
        <v>-0.11</v>
      </c>
    </row>
    <row r="837" spans="1:2">
      <c r="A837" s="1">
        <v>43633</v>
      </c>
      <c r="B837">
        <v>-0.14000000000000001</v>
      </c>
    </row>
    <row r="838" spans="1:2">
      <c r="A838" s="1">
        <v>43634</v>
      </c>
      <c r="B838">
        <v>-0.16</v>
      </c>
    </row>
    <row r="839" spans="1:2">
      <c r="A839" s="1">
        <v>43635</v>
      </c>
      <c r="B839">
        <v>-0.15</v>
      </c>
    </row>
    <row r="840" spans="1:2">
      <c r="A840" s="1">
        <v>43636</v>
      </c>
      <c r="B840">
        <v>-0.13</v>
      </c>
    </row>
    <row r="841" spans="1:2">
      <c r="A841" s="1">
        <v>43637</v>
      </c>
      <c r="B841">
        <v>-0.04</v>
      </c>
    </row>
    <row r="842" spans="1:2">
      <c r="A842" s="1">
        <v>43640</v>
      </c>
      <c r="B842">
        <v>-0.11</v>
      </c>
    </row>
    <row r="843" spans="1:2">
      <c r="A843" s="1">
        <v>43641</v>
      </c>
      <c r="B843">
        <v>-0.12</v>
      </c>
    </row>
    <row r="844" spans="1:2">
      <c r="A844" s="1">
        <v>43642</v>
      </c>
      <c r="B844">
        <v>-0.1</v>
      </c>
    </row>
    <row r="845" spans="1:2">
      <c r="A845" s="1">
        <v>43643</v>
      </c>
      <c r="B845">
        <v>-0.13</v>
      </c>
    </row>
    <row r="846" spans="1:2">
      <c r="A846" s="1">
        <v>43644</v>
      </c>
      <c r="B846">
        <v>-0.12</v>
      </c>
    </row>
    <row r="847" spans="1:2">
      <c r="A847" s="1">
        <v>43647</v>
      </c>
      <c r="B847">
        <v>-0.18</v>
      </c>
    </row>
    <row r="848" spans="1:2">
      <c r="A848" s="1">
        <v>43648</v>
      </c>
      <c r="B848">
        <v>-0.22</v>
      </c>
    </row>
    <row r="849" spans="1:2">
      <c r="A849" s="1">
        <v>43649</v>
      </c>
      <c r="B849">
        <v>-0.25</v>
      </c>
    </row>
    <row r="850" spans="1:2">
      <c r="A850" s="1">
        <v>43650</v>
      </c>
    </row>
    <row r="851" spans="1:2">
      <c r="A851" s="1">
        <v>43651</v>
      </c>
      <c r="B851">
        <v>-0.19</v>
      </c>
    </row>
    <row r="852" spans="1:2">
      <c r="A852" s="1">
        <v>43654</v>
      </c>
      <c r="B852">
        <v>-0.21</v>
      </c>
    </row>
    <row r="853" spans="1:2">
      <c r="A853" s="1">
        <v>43655</v>
      </c>
      <c r="B853">
        <v>-0.19</v>
      </c>
    </row>
    <row r="854" spans="1:2">
      <c r="A854" s="1">
        <v>43656</v>
      </c>
      <c r="B854">
        <v>-0.13</v>
      </c>
    </row>
    <row r="855" spans="1:2">
      <c r="A855" s="1">
        <v>43657</v>
      </c>
      <c r="B855">
        <v>-0.04</v>
      </c>
    </row>
    <row r="856" spans="1:2">
      <c r="A856" s="1">
        <v>43658</v>
      </c>
      <c r="B856">
        <v>-0.02</v>
      </c>
    </row>
    <row r="857" spans="1:2">
      <c r="A857" s="1">
        <v>43661</v>
      </c>
      <c r="B857">
        <v>-7.0000000000000007E-2</v>
      </c>
    </row>
    <row r="858" spans="1:2">
      <c r="A858" s="1">
        <v>43662</v>
      </c>
      <c r="B858">
        <v>-0.02</v>
      </c>
    </row>
    <row r="859" spans="1:2">
      <c r="A859" s="1">
        <v>43663</v>
      </c>
      <c r="B859">
        <v>-0.08</v>
      </c>
    </row>
    <row r="860" spans="1:2">
      <c r="A860" s="1">
        <v>43664</v>
      </c>
      <c r="B860">
        <v>-0.01</v>
      </c>
    </row>
    <row r="861" spans="1:2">
      <c r="A861" s="1">
        <v>43665</v>
      </c>
      <c r="B861">
        <v>-0.01</v>
      </c>
    </row>
    <row r="862" spans="1:2">
      <c r="A862" s="1">
        <v>43668</v>
      </c>
      <c r="B862">
        <v>-0.04</v>
      </c>
    </row>
    <row r="863" spans="1:2">
      <c r="A863" s="1">
        <v>43669</v>
      </c>
      <c r="B863">
        <v>0.02</v>
      </c>
    </row>
    <row r="864" spans="1:2">
      <c r="A864" s="1">
        <v>43670</v>
      </c>
      <c r="B864">
        <v>-0.05</v>
      </c>
    </row>
    <row r="865" spans="1:2">
      <c r="A865" s="1">
        <v>43671</v>
      </c>
      <c r="B865">
        <v>-0.02</v>
      </c>
    </row>
    <row r="866" spans="1:2">
      <c r="A866" s="1">
        <v>43672</v>
      </c>
      <c r="B866">
        <v>-0.04</v>
      </c>
    </row>
    <row r="867" spans="1:2">
      <c r="A867" s="1">
        <v>43675</v>
      </c>
      <c r="B867">
        <v>-0.06</v>
      </c>
    </row>
    <row r="868" spans="1:2">
      <c r="A868" s="1">
        <v>43676</v>
      </c>
      <c r="B868">
        <v>-0.02</v>
      </c>
    </row>
    <row r="869" spans="1:2">
      <c r="A869" s="1">
        <v>43677</v>
      </c>
      <c r="B869">
        <v>-0.06</v>
      </c>
    </row>
    <row r="870" spans="1:2">
      <c r="A870" s="1">
        <v>43678</v>
      </c>
      <c r="B870">
        <v>-0.17</v>
      </c>
    </row>
    <row r="871" spans="1:2">
      <c r="A871" s="1">
        <v>43679</v>
      </c>
      <c r="B871">
        <v>-0.2</v>
      </c>
    </row>
    <row r="872" spans="1:2">
      <c r="A872" s="1">
        <v>43682</v>
      </c>
      <c r="B872">
        <v>-0.3</v>
      </c>
    </row>
    <row r="873" spans="1:2">
      <c r="A873" s="1">
        <v>43683</v>
      </c>
      <c r="B873">
        <v>-0.32</v>
      </c>
    </row>
    <row r="874" spans="1:2">
      <c r="A874" s="1">
        <v>43684</v>
      </c>
      <c r="B874">
        <v>-0.31</v>
      </c>
    </row>
    <row r="875" spans="1:2">
      <c r="A875" s="1">
        <v>43685</v>
      </c>
      <c r="B875">
        <v>-0.3</v>
      </c>
    </row>
    <row r="876" spans="1:2">
      <c r="A876" s="1">
        <v>43686</v>
      </c>
      <c r="B876">
        <v>-0.26</v>
      </c>
    </row>
    <row r="877" spans="1:2">
      <c r="A877" s="1">
        <v>43689</v>
      </c>
      <c r="B877">
        <v>-0.35</v>
      </c>
    </row>
    <row r="878" spans="1:2">
      <c r="A878" s="1">
        <v>43690</v>
      </c>
      <c r="B878">
        <v>-0.32</v>
      </c>
    </row>
    <row r="879" spans="1:2">
      <c r="A879" s="1">
        <v>43691</v>
      </c>
      <c r="B879">
        <v>-0.37</v>
      </c>
    </row>
    <row r="880" spans="1:2">
      <c r="A880" s="1">
        <v>43692</v>
      </c>
      <c r="B880">
        <v>-0.39</v>
      </c>
    </row>
    <row r="881" spans="1:2">
      <c r="A881" s="1">
        <v>43693</v>
      </c>
      <c r="B881">
        <v>-0.32</v>
      </c>
    </row>
    <row r="882" spans="1:2">
      <c r="A882" s="1">
        <v>43696</v>
      </c>
      <c r="B882">
        <v>-0.34</v>
      </c>
    </row>
    <row r="883" spans="1:2">
      <c r="A883" s="1">
        <v>43697</v>
      </c>
      <c r="B883">
        <v>-0.39</v>
      </c>
    </row>
    <row r="884" spans="1:2">
      <c r="A884" s="1">
        <v>43698</v>
      </c>
      <c r="B884">
        <v>-0.38</v>
      </c>
    </row>
    <row r="885" spans="1:2">
      <c r="A885" s="1">
        <v>43699</v>
      </c>
      <c r="B885">
        <v>-0.38</v>
      </c>
    </row>
    <row r="886" spans="1:2">
      <c r="A886" s="1">
        <v>43700</v>
      </c>
      <c r="B886">
        <v>-0.45</v>
      </c>
    </row>
    <row r="887" spans="1:2">
      <c r="A887" s="1">
        <v>43703</v>
      </c>
      <c r="B887">
        <v>-0.47</v>
      </c>
    </row>
    <row r="888" spans="1:2">
      <c r="A888" s="1">
        <v>43704</v>
      </c>
      <c r="B888">
        <v>-0.49</v>
      </c>
    </row>
    <row r="889" spans="1:2">
      <c r="A889" s="1">
        <v>43705</v>
      </c>
      <c r="B889">
        <v>-0.52</v>
      </c>
    </row>
    <row r="890" spans="1:2">
      <c r="A890" s="1">
        <v>43706</v>
      </c>
      <c r="B890">
        <v>-0.49</v>
      </c>
    </row>
    <row r="891" spans="1:2">
      <c r="A891" s="1">
        <v>43707</v>
      </c>
      <c r="B891">
        <v>-0.49</v>
      </c>
    </row>
    <row r="892" spans="1:2">
      <c r="A892" s="1">
        <v>43710</v>
      </c>
    </row>
    <row r="893" spans="1:2">
      <c r="A893" s="1">
        <v>43711</v>
      </c>
      <c r="B893">
        <v>-0.51</v>
      </c>
    </row>
    <row r="894" spans="1:2">
      <c r="A894" s="1">
        <v>43712</v>
      </c>
      <c r="B894">
        <v>-0.5</v>
      </c>
    </row>
    <row r="895" spans="1:2">
      <c r="A895" s="1">
        <v>43713</v>
      </c>
      <c r="B895">
        <v>-0.4</v>
      </c>
    </row>
    <row r="896" spans="1:2">
      <c r="A896" s="1">
        <v>43714</v>
      </c>
      <c r="B896">
        <v>-0.41</v>
      </c>
    </row>
    <row r="897" spans="1:2">
      <c r="A897" s="1">
        <v>43717</v>
      </c>
      <c r="B897">
        <v>-0.33</v>
      </c>
    </row>
    <row r="898" spans="1:2">
      <c r="A898" s="1">
        <v>43718</v>
      </c>
      <c r="B898">
        <v>-0.23</v>
      </c>
    </row>
    <row r="899" spans="1:2">
      <c r="A899" s="1">
        <v>43719</v>
      </c>
      <c r="B899">
        <v>-0.21</v>
      </c>
    </row>
    <row r="900" spans="1:2">
      <c r="A900" s="1">
        <v>43720</v>
      </c>
      <c r="B900">
        <v>-0.16</v>
      </c>
    </row>
    <row r="901" spans="1:2">
      <c r="A901" s="1">
        <v>43721</v>
      </c>
      <c r="B901">
        <v>-0.06</v>
      </c>
    </row>
    <row r="902" spans="1:2">
      <c r="A902" s="1">
        <v>43724</v>
      </c>
      <c r="B902">
        <v>-0.15</v>
      </c>
    </row>
    <row r="903" spans="1:2">
      <c r="A903" s="1">
        <v>43725</v>
      </c>
      <c r="B903">
        <v>-0.18</v>
      </c>
    </row>
    <row r="904" spans="1:2">
      <c r="A904" s="1">
        <v>43726</v>
      </c>
      <c r="B904">
        <v>-0.15</v>
      </c>
    </row>
    <row r="905" spans="1:2">
      <c r="A905" s="1">
        <v>43727</v>
      </c>
      <c r="B905">
        <v>-0.14000000000000001</v>
      </c>
    </row>
    <row r="906" spans="1:2">
      <c r="A906" s="1">
        <v>43728</v>
      </c>
      <c r="B906">
        <v>-0.17</v>
      </c>
    </row>
    <row r="907" spans="1:2">
      <c r="A907" s="1">
        <v>43731</v>
      </c>
      <c r="B907">
        <v>-0.22</v>
      </c>
    </row>
    <row r="908" spans="1:2">
      <c r="A908" s="1">
        <v>43732</v>
      </c>
      <c r="B908">
        <v>-0.28000000000000003</v>
      </c>
    </row>
    <row r="909" spans="1:2">
      <c r="A909" s="1">
        <v>43733</v>
      </c>
      <c r="B909">
        <v>-0.16</v>
      </c>
    </row>
    <row r="910" spans="1:2">
      <c r="A910" s="1">
        <v>43734</v>
      </c>
      <c r="B910">
        <v>-0.13</v>
      </c>
    </row>
    <row r="911" spans="1:2">
      <c r="A911" s="1">
        <v>43735</v>
      </c>
      <c r="B911">
        <v>-0.11</v>
      </c>
    </row>
    <row r="912" spans="1:2">
      <c r="A912" s="1">
        <v>43738</v>
      </c>
      <c r="B912">
        <v>-0.2</v>
      </c>
    </row>
    <row r="913" spans="1:2">
      <c r="A913" s="1">
        <v>43739</v>
      </c>
      <c r="B913">
        <v>-0.17</v>
      </c>
    </row>
    <row r="914" spans="1:2">
      <c r="A914" s="1">
        <v>43740</v>
      </c>
      <c r="B914">
        <v>-0.19</v>
      </c>
    </row>
    <row r="915" spans="1:2">
      <c r="A915" s="1">
        <v>43741</v>
      </c>
      <c r="B915">
        <v>-0.16</v>
      </c>
    </row>
    <row r="916" spans="1:2">
      <c r="A916" s="1">
        <v>43742</v>
      </c>
      <c r="B916">
        <v>-0.19</v>
      </c>
    </row>
    <row r="917" spans="1:2">
      <c r="A917" s="1">
        <v>43745</v>
      </c>
      <c r="B917">
        <v>-0.19</v>
      </c>
    </row>
    <row r="918" spans="1:2">
      <c r="A918" s="1">
        <v>43746</v>
      </c>
      <c r="B918">
        <v>-0.18</v>
      </c>
    </row>
    <row r="919" spans="1:2">
      <c r="A919" s="1">
        <v>43747</v>
      </c>
      <c r="B919">
        <v>-0.1</v>
      </c>
    </row>
    <row r="920" spans="1:2">
      <c r="A920" s="1">
        <v>43748</v>
      </c>
      <c r="B920">
        <v>-0.01</v>
      </c>
    </row>
    <row r="921" spans="1:2">
      <c r="A921" s="1">
        <v>43749</v>
      </c>
      <c r="B921">
        <v>0.08</v>
      </c>
    </row>
    <row r="922" spans="1:2">
      <c r="A922" s="1">
        <v>43752</v>
      </c>
    </row>
    <row r="923" spans="1:2">
      <c r="A923" s="1">
        <v>43753</v>
      </c>
      <c r="B923">
        <v>0.1</v>
      </c>
    </row>
    <row r="924" spans="1:2">
      <c r="A924" s="1">
        <v>43754</v>
      </c>
      <c r="B924">
        <v>0.09</v>
      </c>
    </row>
    <row r="925" spans="1:2">
      <c r="A925" s="1">
        <v>43755</v>
      </c>
      <c r="B925">
        <v>0.1</v>
      </c>
    </row>
    <row r="926" spans="1:2">
      <c r="A926" s="1">
        <v>43756</v>
      </c>
      <c r="B926">
        <v>0.1</v>
      </c>
    </row>
    <row r="927" spans="1:2">
      <c r="A927" s="1">
        <v>43759</v>
      </c>
      <c r="B927">
        <v>0.13</v>
      </c>
    </row>
    <row r="928" spans="1:2">
      <c r="A928" s="1">
        <v>43760</v>
      </c>
      <c r="B928">
        <v>0.13</v>
      </c>
    </row>
    <row r="929" spans="1:2">
      <c r="A929" s="1">
        <v>43761</v>
      </c>
      <c r="B929">
        <v>0.12</v>
      </c>
    </row>
    <row r="930" spans="1:2">
      <c r="A930" s="1">
        <v>43762</v>
      </c>
      <c r="B930">
        <v>0.1</v>
      </c>
    </row>
    <row r="931" spans="1:2">
      <c r="A931" s="1">
        <v>43763</v>
      </c>
      <c r="B931">
        <v>0.14000000000000001</v>
      </c>
    </row>
    <row r="932" spans="1:2">
      <c r="A932" s="1">
        <v>43766</v>
      </c>
      <c r="B932">
        <v>0.2</v>
      </c>
    </row>
    <row r="933" spans="1:2">
      <c r="A933" s="1">
        <v>43767</v>
      </c>
      <c r="B933">
        <v>0.21</v>
      </c>
    </row>
    <row r="934" spans="1:2">
      <c r="A934" s="1">
        <v>43768</v>
      </c>
      <c r="B934">
        <v>0.16</v>
      </c>
    </row>
    <row r="935" spans="1:2">
      <c r="A935" s="1">
        <v>43769</v>
      </c>
      <c r="B935">
        <v>0.15</v>
      </c>
    </row>
    <row r="936" spans="1:2">
      <c r="A936" s="1">
        <v>43770</v>
      </c>
      <c r="B936">
        <v>0.21</v>
      </c>
    </row>
    <row r="937" spans="1:2">
      <c r="A937" s="1">
        <v>43773</v>
      </c>
      <c r="B937">
        <v>0.26</v>
      </c>
    </row>
    <row r="938" spans="1:2">
      <c r="A938" s="1">
        <v>43774</v>
      </c>
      <c r="B938">
        <v>0.3</v>
      </c>
    </row>
    <row r="939" spans="1:2">
      <c r="A939" s="1">
        <v>43775</v>
      </c>
      <c r="B939">
        <v>0.25</v>
      </c>
    </row>
    <row r="940" spans="1:2">
      <c r="A940" s="1">
        <v>43776</v>
      </c>
      <c r="B940">
        <v>0.36</v>
      </c>
    </row>
    <row r="941" spans="1:2">
      <c r="A941" s="1">
        <v>43777</v>
      </c>
      <c r="B941">
        <v>0.39</v>
      </c>
    </row>
    <row r="942" spans="1:2">
      <c r="A942" s="1">
        <v>43780</v>
      </c>
    </row>
    <row r="943" spans="1:2">
      <c r="A943" s="1">
        <v>43781</v>
      </c>
      <c r="B943">
        <v>0.33</v>
      </c>
    </row>
    <row r="944" spans="1:2">
      <c r="A944" s="1">
        <v>43782</v>
      </c>
      <c r="B944">
        <v>0.31</v>
      </c>
    </row>
    <row r="945" spans="1:2">
      <c r="A945" s="1">
        <v>43783</v>
      </c>
      <c r="B945">
        <v>0.25</v>
      </c>
    </row>
    <row r="946" spans="1:2">
      <c r="A946" s="1">
        <v>43784</v>
      </c>
      <c r="B946">
        <v>0.27</v>
      </c>
    </row>
    <row r="947" spans="1:2">
      <c r="A947" s="1">
        <v>43787</v>
      </c>
      <c r="B947">
        <v>0.24</v>
      </c>
    </row>
    <row r="948" spans="1:2">
      <c r="A948" s="1">
        <v>43788</v>
      </c>
      <c r="B948">
        <v>0.22</v>
      </c>
    </row>
    <row r="949" spans="1:2">
      <c r="A949" s="1">
        <v>43789</v>
      </c>
      <c r="B949">
        <v>0.16</v>
      </c>
    </row>
    <row r="950" spans="1:2">
      <c r="A950" s="1">
        <v>43790</v>
      </c>
      <c r="B950">
        <v>0.19</v>
      </c>
    </row>
    <row r="951" spans="1:2">
      <c r="A951" s="1">
        <v>43791</v>
      </c>
      <c r="B951">
        <v>0.19</v>
      </c>
    </row>
    <row r="952" spans="1:2">
      <c r="A952" s="1">
        <v>43794</v>
      </c>
      <c r="B952">
        <v>0.15</v>
      </c>
    </row>
    <row r="953" spans="1:2">
      <c r="A953" s="1">
        <v>43795</v>
      </c>
      <c r="B953">
        <v>0.14000000000000001</v>
      </c>
    </row>
    <row r="954" spans="1:2">
      <c r="A954" s="1">
        <v>43796</v>
      </c>
      <c r="B954">
        <v>0.15</v>
      </c>
    </row>
    <row r="955" spans="1:2">
      <c r="A955" s="1">
        <v>43797</v>
      </c>
    </row>
    <row r="956" spans="1:2">
      <c r="A956" s="1">
        <v>43798</v>
      </c>
      <c r="B956">
        <v>0.19</v>
      </c>
    </row>
    <row r="957" spans="1:2">
      <c r="A957" s="1">
        <v>43801</v>
      </c>
      <c r="B957">
        <v>0.23</v>
      </c>
    </row>
    <row r="958" spans="1:2">
      <c r="A958" s="1">
        <v>43802</v>
      </c>
      <c r="B958">
        <v>0.15</v>
      </c>
    </row>
    <row r="959" spans="1:2">
      <c r="A959" s="1">
        <v>43803</v>
      </c>
      <c r="B959">
        <v>0.22</v>
      </c>
    </row>
    <row r="960" spans="1:2">
      <c r="A960" s="1">
        <v>43804</v>
      </c>
      <c r="B960">
        <v>0.26</v>
      </c>
    </row>
    <row r="961" spans="1:2">
      <c r="A961" s="1">
        <v>43805</v>
      </c>
      <c r="B961">
        <v>0.31</v>
      </c>
    </row>
    <row r="962" spans="1:2">
      <c r="A962" s="1">
        <v>43808</v>
      </c>
      <c r="B962">
        <v>0.28999999999999998</v>
      </c>
    </row>
    <row r="963" spans="1:2">
      <c r="A963" s="1">
        <v>43809</v>
      </c>
      <c r="B963">
        <v>0.28999999999999998</v>
      </c>
    </row>
    <row r="964" spans="1:2">
      <c r="A964" s="1">
        <v>43810</v>
      </c>
      <c r="B964">
        <v>0.22</v>
      </c>
    </row>
    <row r="965" spans="1:2">
      <c r="A965" s="1">
        <v>43811</v>
      </c>
      <c r="B965">
        <v>0.34</v>
      </c>
    </row>
    <row r="966" spans="1:2">
      <c r="A966" s="1">
        <v>43812</v>
      </c>
      <c r="B966">
        <v>0.25</v>
      </c>
    </row>
    <row r="967" spans="1:2">
      <c r="A967" s="1">
        <v>43815</v>
      </c>
      <c r="B967">
        <v>0.32</v>
      </c>
    </row>
    <row r="968" spans="1:2">
      <c r="A968" s="1">
        <v>43816</v>
      </c>
      <c r="B968">
        <v>0.33</v>
      </c>
    </row>
    <row r="969" spans="1:2">
      <c r="A969" s="1">
        <v>43817</v>
      </c>
      <c r="B969">
        <v>0.36</v>
      </c>
    </row>
    <row r="970" spans="1:2">
      <c r="A970" s="1">
        <v>43818</v>
      </c>
      <c r="B970">
        <v>0.35</v>
      </c>
    </row>
    <row r="971" spans="1:2">
      <c r="A971" s="1">
        <v>43819</v>
      </c>
      <c r="B971">
        <v>0.34</v>
      </c>
    </row>
    <row r="972" spans="1:2">
      <c r="A972" s="1">
        <v>43822</v>
      </c>
      <c r="B972">
        <v>0.34</v>
      </c>
    </row>
    <row r="973" spans="1:2">
      <c r="A973" s="1">
        <v>43823</v>
      </c>
      <c r="B973">
        <v>0.32</v>
      </c>
    </row>
    <row r="974" spans="1:2">
      <c r="A974" s="1">
        <v>43824</v>
      </c>
    </row>
    <row r="975" spans="1:2">
      <c r="A975" s="1">
        <v>43825</v>
      </c>
      <c r="B975">
        <v>0.32</v>
      </c>
    </row>
    <row r="976" spans="1:2">
      <c r="A976" s="1">
        <v>43826</v>
      </c>
      <c r="B976">
        <v>0.31</v>
      </c>
    </row>
    <row r="977" spans="1:2">
      <c r="A977" s="1">
        <v>43829</v>
      </c>
      <c r="B977">
        <v>0.33</v>
      </c>
    </row>
    <row r="978" spans="1:2">
      <c r="A978" s="1">
        <v>43830</v>
      </c>
      <c r="B978">
        <v>0.37</v>
      </c>
    </row>
    <row r="979" spans="1:2">
      <c r="A979" s="1">
        <v>43831</v>
      </c>
    </row>
    <row r="980" spans="1:2">
      <c r="A980" s="1">
        <v>43832</v>
      </c>
      <c r="B980">
        <v>0.34</v>
      </c>
    </row>
    <row r="981" spans="1:2">
      <c r="A981" s="1">
        <v>43833</v>
      </c>
      <c r="B981">
        <v>0.28000000000000003</v>
      </c>
    </row>
    <row r="982" spans="1:2">
      <c r="A982" s="1">
        <v>43836</v>
      </c>
      <c r="B982">
        <v>0.25</v>
      </c>
    </row>
    <row r="983" spans="1:2">
      <c r="A983" s="1">
        <v>43837</v>
      </c>
      <c r="B983">
        <v>0.28999999999999998</v>
      </c>
    </row>
    <row r="984" spans="1:2">
      <c r="A984" s="1">
        <v>43838</v>
      </c>
      <c r="B984">
        <v>0.33</v>
      </c>
    </row>
    <row r="985" spans="1:2">
      <c r="A985" s="1">
        <v>43839</v>
      </c>
      <c r="B985">
        <v>0.31</v>
      </c>
    </row>
    <row r="986" spans="1:2">
      <c r="A986" s="1">
        <v>43840</v>
      </c>
      <c r="B986">
        <v>0.28999999999999998</v>
      </c>
    </row>
    <row r="987" spans="1:2">
      <c r="A987" s="1">
        <v>43843</v>
      </c>
      <c r="B987">
        <v>0.28000000000000003</v>
      </c>
    </row>
    <row r="988" spans="1:2">
      <c r="A988" s="1">
        <v>43844</v>
      </c>
      <c r="B988">
        <v>0.25</v>
      </c>
    </row>
    <row r="989" spans="1:2">
      <c r="A989" s="1">
        <v>43845</v>
      </c>
      <c r="B989">
        <v>0.22</v>
      </c>
    </row>
    <row r="990" spans="1:2">
      <c r="A990" s="1">
        <v>43846</v>
      </c>
      <c r="B990">
        <v>0.26</v>
      </c>
    </row>
    <row r="991" spans="1:2">
      <c r="A991" s="1">
        <v>43847</v>
      </c>
      <c r="B991">
        <v>0.28000000000000003</v>
      </c>
    </row>
    <row r="992" spans="1:2">
      <c r="A992" s="1">
        <v>43850</v>
      </c>
    </row>
    <row r="993" spans="1:2">
      <c r="A993" s="1">
        <v>43851</v>
      </c>
      <c r="B993">
        <v>0.22</v>
      </c>
    </row>
    <row r="994" spans="1:2">
      <c r="A994" s="1">
        <v>43852</v>
      </c>
      <c r="B994">
        <v>0.22</v>
      </c>
    </row>
    <row r="995" spans="1:2">
      <c r="A995" s="1">
        <v>43853</v>
      </c>
      <c r="B995">
        <v>0.19</v>
      </c>
    </row>
    <row r="996" spans="1:2">
      <c r="A996" s="1">
        <v>43854</v>
      </c>
      <c r="B996">
        <v>0.16</v>
      </c>
    </row>
    <row r="997" spans="1:2">
      <c r="A997" s="1">
        <v>43857</v>
      </c>
      <c r="B997">
        <v>0.06</v>
      </c>
    </row>
    <row r="998" spans="1:2">
      <c r="A998" s="1">
        <v>43858</v>
      </c>
      <c r="B998">
        <v>0.08</v>
      </c>
    </row>
    <row r="999" spans="1:2">
      <c r="A999" s="1">
        <v>43859</v>
      </c>
      <c r="B999">
        <v>0.04</v>
      </c>
    </row>
    <row r="1000" spans="1:2">
      <c r="A1000" s="1">
        <v>43860</v>
      </c>
      <c r="B1000">
        <v>0</v>
      </c>
    </row>
    <row r="1001" spans="1:2">
      <c r="A1001" s="1">
        <v>43861</v>
      </c>
      <c r="B1001">
        <v>-0.04</v>
      </c>
    </row>
    <row r="1002" spans="1:2">
      <c r="A1002" s="1">
        <v>43864</v>
      </c>
      <c r="B1002">
        <v>-0.03</v>
      </c>
    </row>
    <row r="1003" spans="1:2">
      <c r="A1003" s="1">
        <v>43865</v>
      </c>
      <c r="B1003">
        <v>0.04</v>
      </c>
    </row>
    <row r="1004" spans="1:2">
      <c r="A1004" s="1">
        <v>43866</v>
      </c>
      <c r="B1004">
        <v>0.09</v>
      </c>
    </row>
    <row r="1005" spans="1:2">
      <c r="A1005" s="1">
        <v>43867</v>
      </c>
      <c r="B1005">
        <v>0.08</v>
      </c>
    </row>
    <row r="1006" spans="1:2">
      <c r="A1006" s="1">
        <v>43868</v>
      </c>
      <c r="B1006">
        <v>0.03</v>
      </c>
    </row>
    <row r="1007" spans="1:2">
      <c r="A1007" s="1">
        <v>43871</v>
      </c>
      <c r="B1007">
        <v>-0.02</v>
      </c>
    </row>
    <row r="1008" spans="1:2">
      <c r="A1008" s="1">
        <v>43872</v>
      </c>
      <c r="B1008">
        <v>0.02</v>
      </c>
    </row>
    <row r="1009" spans="1:2">
      <c r="A1009" s="1">
        <v>43873</v>
      </c>
      <c r="B1009">
        <v>0.04</v>
      </c>
    </row>
    <row r="1010" spans="1:2">
      <c r="A1010" s="1">
        <v>43874</v>
      </c>
      <c r="B1010">
        <v>0.02</v>
      </c>
    </row>
    <row r="1011" spans="1:2">
      <c r="A1011" s="1">
        <v>43875</v>
      </c>
      <c r="B1011">
        <v>0.01</v>
      </c>
    </row>
    <row r="1012" spans="1:2">
      <c r="A1012" s="1">
        <v>43878</v>
      </c>
    </row>
    <row r="1013" spans="1:2">
      <c r="A1013" s="1">
        <v>43879</v>
      </c>
      <c r="B1013">
        <v>-0.03</v>
      </c>
    </row>
    <row r="1014" spans="1:2">
      <c r="A1014" s="1">
        <v>43880</v>
      </c>
      <c r="B1014">
        <v>-0.02</v>
      </c>
    </row>
    <row r="1015" spans="1:2">
      <c r="A1015" s="1">
        <v>43881</v>
      </c>
      <c r="B1015">
        <v>-0.06</v>
      </c>
    </row>
    <row r="1016" spans="1:2">
      <c r="A1016" s="1">
        <v>43882</v>
      </c>
      <c r="B1016">
        <v>-0.1</v>
      </c>
    </row>
    <row r="1017" spans="1:2">
      <c r="A1017" s="1">
        <v>43885</v>
      </c>
      <c r="B1017">
        <v>-0.15</v>
      </c>
    </row>
    <row r="1018" spans="1:2">
      <c r="A1018" s="1">
        <v>43886</v>
      </c>
      <c r="B1018">
        <v>-0.2</v>
      </c>
    </row>
    <row r="1019" spans="1:2">
      <c r="A1019" s="1">
        <v>43887</v>
      </c>
      <c r="B1019">
        <v>-0.2</v>
      </c>
    </row>
    <row r="1020" spans="1:2">
      <c r="A1020" s="1">
        <v>43888</v>
      </c>
      <c r="B1020">
        <v>-0.15</v>
      </c>
    </row>
    <row r="1021" spans="1:2">
      <c r="A1021" s="1">
        <v>43889</v>
      </c>
      <c r="B1021">
        <v>-0.14000000000000001</v>
      </c>
    </row>
    <row r="1022" spans="1:2">
      <c r="A1022" s="1">
        <v>43892</v>
      </c>
      <c r="B1022">
        <v>-0.03</v>
      </c>
    </row>
    <row r="1023" spans="1:2">
      <c r="A1023" s="1">
        <v>43893</v>
      </c>
      <c r="B1023">
        <v>7.0000000000000007E-2</v>
      </c>
    </row>
    <row r="1024" spans="1:2">
      <c r="A1024" s="1">
        <v>43894</v>
      </c>
      <c r="B1024">
        <v>0.3</v>
      </c>
    </row>
    <row r="1025" spans="1:2">
      <c r="A1025" s="1">
        <v>43895</v>
      </c>
      <c r="B1025">
        <v>0.3</v>
      </c>
    </row>
    <row r="1026" spans="1:2">
      <c r="A1026" s="1">
        <v>43896</v>
      </c>
      <c r="B1026">
        <v>0.28999999999999998</v>
      </c>
    </row>
    <row r="1027" spans="1:2">
      <c r="A1027" s="1">
        <v>43899</v>
      </c>
      <c r="B1027">
        <v>0.21</v>
      </c>
    </row>
    <row r="1028" spans="1:2">
      <c r="A1028" s="1">
        <v>43900</v>
      </c>
      <c r="B1028">
        <v>0.32</v>
      </c>
    </row>
    <row r="1029" spans="1:2">
      <c r="A1029" s="1">
        <v>43901</v>
      </c>
      <c r="B1029">
        <v>0.4</v>
      </c>
    </row>
    <row r="1030" spans="1:2">
      <c r="A1030" s="1">
        <v>43902</v>
      </c>
      <c r="B1030">
        <v>0.55000000000000004</v>
      </c>
    </row>
    <row r="1031" spans="1:2">
      <c r="A1031" s="1">
        <v>43903</v>
      </c>
      <c r="B1031">
        <v>0.66</v>
      </c>
    </row>
    <row r="1032" spans="1:2">
      <c r="A1032" s="1">
        <v>43906</v>
      </c>
      <c r="B1032">
        <v>0.49</v>
      </c>
    </row>
    <row r="1033" spans="1:2">
      <c r="A1033" s="1">
        <v>43907</v>
      </c>
      <c r="B1033">
        <v>0.83</v>
      </c>
    </row>
    <row r="1034" spans="1:2">
      <c r="A1034" s="1">
        <v>43908</v>
      </c>
      <c r="B1034">
        <v>1.1599999999999999</v>
      </c>
    </row>
    <row r="1035" spans="1:2">
      <c r="A1035" s="1">
        <v>43909</v>
      </c>
      <c r="B1035">
        <v>1.08</v>
      </c>
    </row>
    <row r="1036" spans="1:2">
      <c r="A1036" s="1">
        <v>43910</v>
      </c>
      <c r="B1036">
        <v>0.87</v>
      </c>
    </row>
    <row r="1037" spans="1:2">
      <c r="A1037" s="1">
        <v>43913</v>
      </c>
      <c r="B1037">
        <v>0.74</v>
      </c>
    </row>
    <row r="1038" spans="1:2">
      <c r="A1038" s="1">
        <v>43914</v>
      </c>
      <c r="B1038">
        <v>0.83</v>
      </c>
    </row>
    <row r="1039" spans="1:2">
      <c r="A1039" s="1">
        <v>43915</v>
      </c>
      <c r="B1039">
        <v>0.88</v>
      </c>
    </row>
    <row r="1040" spans="1:2">
      <c r="A1040" s="1">
        <v>43916</v>
      </c>
      <c r="B1040">
        <v>0.83</v>
      </c>
    </row>
    <row r="1041" spans="1:2">
      <c r="A1041" s="1">
        <v>43917</v>
      </c>
      <c r="B1041">
        <v>0.69</v>
      </c>
    </row>
    <row r="1042" spans="1:2">
      <c r="A1042" s="1">
        <v>43920</v>
      </c>
      <c r="B1042">
        <v>0.57999999999999996</v>
      </c>
    </row>
    <row r="1043" spans="1:2">
      <c r="A1043" s="1">
        <v>43921</v>
      </c>
      <c r="B1043">
        <v>0.59</v>
      </c>
    </row>
    <row r="1044" spans="1:2">
      <c r="A1044" s="1">
        <v>43922</v>
      </c>
      <c r="B1044">
        <v>0.53</v>
      </c>
    </row>
    <row r="1045" spans="1:2">
      <c r="A1045" s="1">
        <v>43923</v>
      </c>
      <c r="B1045">
        <v>0.54</v>
      </c>
    </row>
    <row r="1046" spans="1:2">
      <c r="A1046" s="1">
        <v>43924</v>
      </c>
      <c r="B1046">
        <v>0.52</v>
      </c>
    </row>
    <row r="1047" spans="1:2">
      <c r="A1047" s="1">
        <v>43927</v>
      </c>
      <c r="B1047">
        <v>0.52</v>
      </c>
    </row>
    <row r="1048" spans="1:2">
      <c r="A1048" s="1">
        <v>43928</v>
      </c>
      <c r="B1048">
        <v>0.61</v>
      </c>
    </row>
    <row r="1049" spans="1:2">
      <c r="A1049" s="1">
        <v>43929</v>
      </c>
      <c r="B1049">
        <v>0.55000000000000004</v>
      </c>
    </row>
    <row r="1050" spans="1:2">
      <c r="A1050" s="1">
        <v>43930</v>
      </c>
      <c r="B1050">
        <v>0.48</v>
      </c>
    </row>
    <row r="1051" spans="1:2">
      <c r="A1051" s="1">
        <v>43931</v>
      </c>
    </row>
    <row r="1052" spans="1:2">
      <c r="A1052" s="1">
        <v>43934</v>
      </c>
      <c r="B1052">
        <v>0.5</v>
      </c>
    </row>
    <row r="1053" spans="1:2">
      <c r="A1053" s="1">
        <v>43935</v>
      </c>
      <c r="B1053">
        <v>0.56000000000000005</v>
      </c>
    </row>
    <row r="1054" spans="1:2">
      <c r="A1054" s="1">
        <v>43936</v>
      </c>
      <c r="B1054">
        <v>0.49</v>
      </c>
    </row>
    <row r="1055" spans="1:2">
      <c r="A1055" s="1">
        <v>43937</v>
      </c>
      <c r="B1055">
        <v>0.47</v>
      </c>
    </row>
    <row r="1056" spans="1:2">
      <c r="A1056" s="1">
        <v>43938</v>
      </c>
      <c r="B1056">
        <v>0.53</v>
      </c>
    </row>
    <row r="1057" spans="1:2">
      <c r="A1057" s="1">
        <v>43941</v>
      </c>
      <c r="B1057">
        <v>0.51</v>
      </c>
    </row>
    <row r="1058" spans="1:2">
      <c r="A1058" s="1">
        <v>43942</v>
      </c>
      <c r="B1058">
        <v>0.47</v>
      </c>
    </row>
    <row r="1059" spans="1:2">
      <c r="A1059" s="1">
        <v>43943</v>
      </c>
      <c r="B1059">
        <v>0.51</v>
      </c>
    </row>
    <row r="1060" spans="1:2">
      <c r="A1060" s="1">
        <v>43944</v>
      </c>
      <c r="B1060">
        <v>0.5</v>
      </c>
    </row>
    <row r="1061" spans="1:2">
      <c r="A1061" s="1">
        <v>43945</v>
      </c>
      <c r="B1061">
        <v>0.48</v>
      </c>
    </row>
    <row r="1062" spans="1:2">
      <c r="A1062" s="1">
        <v>43948</v>
      </c>
      <c r="B1062">
        <v>0.55000000000000004</v>
      </c>
    </row>
    <row r="1063" spans="1:2">
      <c r="A1063" s="1">
        <v>43949</v>
      </c>
      <c r="B1063">
        <v>0.51</v>
      </c>
    </row>
    <row r="1064" spans="1:2">
      <c r="A1064" s="1">
        <v>43950</v>
      </c>
      <c r="B1064">
        <v>0.53</v>
      </c>
    </row>
    <row r="1065" spans="1:2">
      <c r="A1065" s="1">
        <v>43951</v>
      </c>
      <c r="B1065">
        <v>0.55000000000000004</v>
      </c>
    </row>
    <row r="1066" spans="1:2">
      <c r="A1066" s="1">
        <v>43952</v>
      </c>
      <c r="B1066">
        <v>0.52</v>
      </c>
    </row>
    <row r="1067" spans="1:2">
      <c r="A1067" s="1">
        <v>43955</v>
      </c>
      <c r="B1067">
        <v>0.51</v>
      </c>
    </row>
    <row r="1068" spans="1:2">
      <c r="A1068" s="1">
        <v>43956</v>
      </c>
      <c r="B1068">
        <v>0.53</v>
      </c>
    </row>
    <row r="1069" spans="1:2">
      <c r="A1069" s="1">
        <v>43957</v>
      </c>
      <c r="B1069">
        <v>0.6</v>
      </c>
    </row>
    <row r="1070" spans="1:2">
      <c r="A1070" s="1">
        <v>43958</v>
      </c>
      <c r="B1070">
        <v>0.52</v>
      </c>
    </row>
    <row r="1071" spans="1:2">
      <c r="A1071" s="1">
        <v>43959</v>
      </c>
      <c r="B1071">
        <v>0.56999999999999995</v>
      </c>
    </row>
    <row r="1072" spans="1:2">
      <c r="A1072" s="1">
        <v>43962</v>
      </c>
      <c r="B1072">
        <v>0.61</v>
      </c>
    </row>
    <row r="1073" spans="1:2">
      <c r="A1073" s="1">
        <v>43963</v>
      </c>
      <c r="B1073">
        <v>0.56000000000000005</v>
      </c>
    </row>
    <row r="1074" spans="1:2">
      <c r="A1074" s="1">
        <v>43964</v>
      </c>
      <c r="B1074">
        <v>0.51</v>
      </c>
    </row>
    <row r="1075" spans="1:2">
      <c r="A1075" s="1">
        <v>43965</v>
      </c>
      <c r="B1075">
        <v>0.51</v>
      </c>
    </row>
    <row r="1076" spans="1:2">
      <c r="A1076" s="1">
        <v>43966</v>
      </c>
      <c r="B1076">
        <v>0.52</v>
      </c>
    </row>
    <row r="1077" spans="1:2">
      <c r="A1077" s="1">
        <v>43969</v>
      </c>
      <c r="B1077">
        <v>0.6</v>
      </c>
    </row>
    <row r="1078" spans="1:2">
      <c r="A1078" s="1">
        <v>43970</v>
      </c>
      <c r="B1078">
        <v>0.56999999999999995</v>
      </c>
    </row>
    <row r="1079" spans="1:2">
      <c r="A1079" s="1">
        <v>43971</v>
      </c>
      <c r="B1079">
        <v>0.56000000000000005</v>
      </c>
    </row>
    <row r="1080" spans="1:2">
      <c r="A1080" s="1">
        <v>43972</v>
      </c>
      <c r="B1080">
        <v>0.56000000000000005</v>
      </c>
    </row>
    <row r="1081" spans="1:2">
      <c r="A1081" s="1">
        <v>43973</v>
      </c>
      <c r="B1081">
        <v>0.54</v>
      </c>
    </row>
    <row r="1082" spans="1:2">
      <c r="A1082" s="1">
        <v>43976</v>
      </c>
    </row>
    <row r="1083" spans="1:2">
      <c r="A1083" s="1">
        <v>43977</v>
      </c>
      <c r="B1083">
        <v>0.55000000000000004</v>
      </c>
    </row>
    <row r="1084" spans="1:2">
      <c r="A1084" s="1">
        <v>43978</v>
      </c>
      <c r="B1084">
        <v>0.53</v>
      </c>
    </row>
    <row r="1085" spans="1:2">
      <c r="A1085" s="1">
        <v>43979</v>
      </c>
      <c r="B1085">
        <v>0.55000000000000004</v>
      </c>
    </row>
    <row r="1086" spans="1:2">
      <c r="A1086" s="1">
        <v>43980</v>
      </c>
      <c r="B1086">
        <v>0.51</v>
      </c>
    </row>
    <row r="1087" spans="1:2">
      <c r="A1087" s="1">
        <v>43983</v>
      </c>
      <c r="B1087">
        <v>0.52</v>
      </c>
    </row>
    <row r="1088" spans="1:2">
      <c r="A1088" s="1">
        <v>43984</v>
      </c>
      <c r="B1088">
        <v>0.53</v>
      </c>
    </row>
    <row r="1089" spans="1:2">
      <c r="A1089" s="1">
        <v>43985</v>
      </c>
      <c r="B1089">
        <v>0.61</v>
      </c>
    </row>
    <row r="1090" spans="1:2">
      <c r="A1090" s="1">
        <v>43986</v>
      </c>
      <c r="B1090">
        <v>0.67</v>
      </c>
    </row>
    <row r="1091" spans="1:2">
      <c r="A1091" s="1">
        <v>43987</v>
      </c>
      <c r="B1091">
        <v>0.76</v>
      </c>
    </row>
    <row r="1092" spans="1:2">
      <c r="A1092" s="1">
        <v>43990</v>
      </c>
      <c r="B1092">
        <v>0.71</v>
      </c>
    </row>
    <row r="1093" spans="1:2">
      <c r="A1093" s="1">
        <v>43991</v>
      </c>
      <c r="B1093">
        <v>0.65</v>
      </c>
    </row>
    <row r="1094" spans="1:2">
      <c r="A1094" s="1">
        <v>43992</v>
      </c>
      <c r="B1094">
        <v>0.57999999999999996</v>
      </c>
    </row>
    <row r="1095" spans="1:2">
      <c r="A1095" s="1">
        <v>43993</v>
      </c>
      <c r="B1095">
        <v>0.49</v>
      </c>
    </row>
    <row r="1096" spans="1:2">
      <c r="A1096" s="1">
        <v>43994</v>
      </c>
      <c r="B1096">
        <v>0.55000000000000004</v>
      </c>
    </row>
    <row r="1097" spans="1:2">
      <c r="A1097" s="1">
        <v>43997</v>
      </c>
      <c r="B1097">
        <v>0.53</v>
      </c>
    </row>
    <row r="1098" spans="1:2">
      <c r="A1098" s="1">
        <v>43998</v>
      </c>
      <c r="B1098">
        <v>0.57999999999999996</v>
      </c>
    </row>
    <row r="1099" spans="1:2">
      <c r="A1099" s="1">
        <v>43999</v>
      </c>
      <c r="B1099">
        <v>0.56999999999999995</v>
      </c>
    </row>
    <row r="1100" spans="1:2">
      <c r="A1100" s="1">
        <v>44000</v>
      </c>
      <c r="B1100">
        <v>0.55000000000000004</v>
      </c>
    </row>
    <row r="1101" spans="1:2">
      <c r="A1101" s="1">
        <v>44001</v>
      </c>
      <c r="B1101">
        <v>0.55000000000000004</v>
      </c>
    </row>
    <row r="1102" spans="1:2">
      <c r="A1102" s="1">
        <v>44004</v>
      </c>
      <c r="B1102">
        <v>0.55000000000000004</v>
      </c>
    </row>
    <row r="1103" spans="1:2">
      <c r="A1103" s="1">
        <v>44005</v>
      </c>
      <c r="B1103">
        <v>0.56000000000000005</v>
      </c>
    </row>
    <row r="1104" spans="1:2">
      <c r="A1104" s="1">
        <v>44006</v>
      </c>
      <c r="B1104">
        <v>0.54</v>
      </c>
    </row>
    <row r="1105" spans="1:2">
      <c r="A1105" s="1">
        <v>44007</v>
      </c>
      <c r="B1105">
        <v>0.52</v>
      </c>
    </row>
    <row r="1106" spans="1:2">
      <c r="A1106" s="1">
        <v>44008</v>
      </c>
      <c r="B1106">
        <v>0.5</v>
      </c>
    </row>
    <row r="1107" spans="1:2">
      <c r="A1107" s="1">
        <v>44011</v>
      </c>
      <c r="B1107">
        <v>0.5</v>
      </c>
    </row>
    <row r="1108" spans="1:2">
      <c r="A1108" s="1">
        <v>44012</v>
      </c>
      <c r="B1108">
        <v>0.5</v>
      </c>
    </row>
    <row r="1109" spans="1:2">
      <c r="A1109" s="1">
        <v>44013</v>
      </c>
      <c r="B1109">
        <v>0.55000000000000004</v>
      </c>
    </row>
    <row r="1110" spans="1:2">
      <c r="A1110" s="1">
        <v>44014</v>
      </c>
      <c r="B1110">
        <v>0.54</v>
      </c>
    </row>
    <row r="1111" spans="1:2">
      <c r="A1111" s="1">
        <v>44015</v>
      </c>
    </row>
    <row r="1112" spans="1:2">
      <c r="A1112" s="1">
        <v>44018</v>
      </c>
      <c r="B1112">
        <v>0.54</v>
      </c>
    </row>
    <row r="1113" spans="1:2">
      <c r="A1113" s="1">
        <v>44019</v>
      </c>
      <c r="B1113">
        <v>0.5</v>
      </c>
    </row>
    <row r="1114" spans="1:2">
      <c r="A1114" s="1">
        <v>44020</v>
      </c>
      <c r="B1114">
        <v>0.52</v>
      </c>
    </row>
    <row r="1115" spans="1:2">
      <c r="A1115" s="1">
        <v>44021</v>
      </c>
      <c r="B1115">
        <v>0.49</v>
      </c>
    </row>
    <row r="1116" spans="1:2">
      <c r="A1116" s="1">
        <v>44022</v>
      </c>
      <c r="B1116">
        <v>0.52</v>
      </c>
    </row>
    <row r="1117" spans="1:2">
      <c r="A1117" s="1">
        <v>44025</v>
      </c>
      <c r="B1117">
        <v>0.5</v>
      </c>
    </row>
    <row r="1118" spans="1:2">
      <c r="A1118" s="1">
        <v>44026</v>
      </c>
      <c r="B1118">
        <v>0.48</v>
      </c>
    </row>
    <row r="1119" spans="1:2">
      <c r="A1119" s="1">
        <v>44027</v>
      </c>
      <c r="B1119">
        <v>0.48</v>
      </c>
    </row>
    <row r="1120" spans="1:2">
      <c r="A1120" s="1">
        <v>44028</v>
      </c>
      <c r="B1120">
        <v>0.51</v>
      </c>
    </row>
    <row r="1121" spans="1:2">
      <c r="A1121" s="1">
        <v>44029</v>
      </c>
      <c r="B1121">
        <v>0.53</v>
      </c>
    </row>
    <row r="1122" spans="1:2">
      <c r="A1122" s="1">
        <v>44032</v>
      </c>
      <c r="B1122">
        <v>0.49</v>
      </c>
    </row>
    <row r="1123" spans="1:2">
      <c r="A1123" s="1">
        <v>44033</v>
      </c>
      <c r="B1123">
        <v>0.48</v>
      </c>
    </row>
    <row r="1124" spans="1:2">
      <c r="A1124" s="1">
        <v>44034</v>
      </c>
      <c r="B1124">
        <v>0.47</v>
      </c>
    </row>
    <row r="1125" spans="1:2">
      <c r="A1125" s="1">
        <v>44035</v>
      </c>
      <c r="B1125">
        <v>0.47</v>
      </c>
    </row>
    <row r="1126" spans="1:2">
      <c r="A1126" s="1">
        <v>44036</v>
      </c>
      <c r="B1126">
        <v>0.48</v>
      </c>
    </row>
    <row r="1127" spans="1:2">
      <c r="A1127" s="1">
        <v>44039</v>
      </c>
      <c r="B1127">
        <v>0.51</v>
      </c>
    </row>
    <row r="1128" spans="1:2">
      <c r="A1128" s="1">
        <v>44040</v>
      </c>
      <c r="B1128">
        <v>0.48</v>
      </c>
    </row>
    <row r="1129" spans="1:2">
      <c r="A1129" s="1">
        <v>44041</v>
      </c>
      <c r="B1129">
        <v>0.47</v>
      </c>
    </row>
    <row r="1130" spans="1:2">
      <c r="A1130" s="1">
        <v>44042</v>
      </c>
      <c r="B1130">
        <v>0.46</v>
      </c>
    </row>
    <row r="1131" spans="1:2">
      <c r="A1131" s="1">
        <v>44043</v>
      </c>
      <c r="B1131">
        <v>0.46</v>
      </c>
    </row>
    <row r="1132" spans="1:2">
      <c r="A1132" s="1">
        <v>44046</v>
      </c>
      <c r="B1132">
        <v>0.46</v>
      </c>
    </row>
    <row r="1133" spans="1:2">
      <c r="A1133" s="1">
        <v>44047</v>
      </c>
      <c r="B1133">
        <v>0.43</v>
      </c>
    </row>
    <row r="1134" spans="1:2">
      <c r="A1134" s="1">
        <v>44048</v>
      </c>
      <c r="B1134">
        <v>0.45</v>
      </c>
    </row>
    <row r="1135" spans="1:2">
      <c r="A1135" s="1">
        <v>44049</v>
      </c>
      <c r="B1135">
        <v>0.45</v>
      </c>
    </row>
    <row r="1136" spans="1:2">
      <c r="A1136" s="1">
        <v>44050</v>
      </c>
      <c r="B1136">
        <v>0.47</v>
      </c>
    </row>
    <row r="1137" spans="1:2">
      <c r="A1137" s="1">
        <v>44053</v>
      </c>
      <c r="B1137">
        <v>0.48</v>
      </c>
    </row>
    <row r="1138" spans="1:2">
      <c r="A1138" s="1">
        <v>44054</v>
      </c>
      <c r="B1138">
        <v>0.53</v>
      </c>
    </row>
    <row r="1139" spans="1:2">
      <c r="A1139" s="1">
        <v>44055</v>
      </c>
      <c r="B1139">
        <v>0.57999999999999996</v>
      </c>
    </row>
    <row r="1140" spans="1:2">
      <c r="A1140" s="1">
        <v>44056</v>
      </c>
      <c r="B1140">
        <v>0.61</v>
      </c>
    </row>
    <row r="1141" spans="1:2">
      <c r="A1141" s="1">
        <v>44057</v>
      </c>
      <c r="B1141">
        <v>0.61</v>
      </c>
    </row>
    <row r="1142" spans="1:2">
      <c r="A1142" s="1">
        <v>44060</v>
      </c>
      <c r="B1142">
        <v>0.59</v>
      </c>
    </row>
    <row r="1143" spans="1:2">
      <c r="A1143" s="1">
        <v>44061</v>
      </c>
      <c r="B1143">
        <v>0.57999999999999996</v>
      </c>
    </row>
    <row r="1144" spans="1:2">
      <c r="A1144" s="1">
        <v>44062</v>
      </c>
      <c r="B1144">
        <v>0.56999999999999995</v>
      </c>
    </row>
    <row r="1145" spans="1:2">
      <c r="A1145" s="1">
        <v>44063</v>
      </c>
      <c r="B1145">
        <v>0.54</v>
      </c>
    </row>
    <row r="1146" spans="1:2">
      <c r="A1146" s="1">
        <v>44064</v>
      </c>
      <c r="B1146">
        <v>0.54</v>
      </c>
    </row>
    <row r="1147" spans="1:2">
      <c r="A1147" s="1">
        <v>44067</v>
      </c>
      <c r="B1147">
        <v>0.53</v>
      </c>
    </row>
    <row r="1148" spans="1:2">
      <c r="A1148" s="1">
        <v>44068</v>
      </c>
      <c r="B1148">
        <v>0.57999999999999996</v>
      </c>
    </row>
    <row r="1149" spans="1:2">
      <c r="A1149" s="1">
        <v>44069</v>
      </c>
      <c r="B1149">
        <v>0.57999999999999996</v>
      </c>
    </row>
    <row r="1150" spans="1:2">
      <c r="A1150" s="1">
        <v>44070</v>
      </c>
      <c r="B1150">
        <v>0.63</v>
      </c>
    </row>
    <row r="1151" spans="1:2">
      <c r="A1151" s="1">
        <v>44071</v>
      </c>
      <c r="B1151">
        <v>0.64</v>
      </c>
    </row>
    <row r="1152" spans="1:2">
      <c r="A1152" s="1">
        <v>44074</v>
      </c>
      <c r="B1152">
        <v>0.61</v>
      </c>
    </row>
    <row r="1153" spans="1:2">
      <c r="A1153" s="1">
        <v>44075</v>
      </c>
      <c r="B1153">
        <v>0.56000000000000005</v>
      </c>
    </row>
    <row r="1154" spans="1:2">
      <c r="A1154" s="1">
        <v>44076</v>
      </c>
      <c r="B1154">
        <v>0.54</v>
      </c>
    </row>
    <row r="1155" spans="1:2">
      <c r="A1155" s="1">
        <v>44077</v>
      </c>
      <c r="B1155">
        <v>0.52</v>
      </c>
    </row>
    <row r="1156" spans="1:2">
      <c r="A1156" s="1">
        <v>44078</v>
      </c>
      <c r="B1156">
        <v>0.61</v>
      </c>
    </row>
    <row r="1157" spans="1:2">
      <c r="A1157" s="1">
        <v>44081</v>
      </c>
    </row>
    <row r="1158" spans="1:2">
      <c r="A1158" s="1">
        <v>44082</v>
      </c>
      <c r="B1158">
        <v>0.56000000000000005</v>
      </c>
    </row>
    <row r="1159" spans="1:2">
      <c r="A1159" s="1">
        <v>44083</v>
      </c>
      <c r="B1159">
        <v>0.59</v>
      </c>
    </row>
    <row r="1160" spans="1:2">
      <c r="A1160" s="1">
        <v>44084</v>
      </c>
      <c r="B1160">
        <v>0.56000000000000005</v>
      </c>
    </row>
    <row r="1161" spans="1:2">
      <c r="A1161" s="1">
        <v>44085</v>
      </c>
      <c r="B1161">
        <v>0.56000000000000005</v>
      </c>
    </row>
    <row r="1162" spans="1:2">
      <c r="A1162" s="1">
        <v>44088</v>
      </c>
      <c r="B1162">
        <v>0.56999999999999995</v>
      </c>
    </row>
    <row r="1163" spans="1:2">
      <c r="A1163" s="1">
        <v>44089</v>
      </c>
      <c r="B1163">
        <v>0.56999999999999995</v>
      </c>
    </row>
    <row r="1164" spans="1:2">
      <c r="A1164" s="1">
        <v>44090</v>
      </c>
      <c r="B1164">
        <v>0.56999999999999995</v>
      </c>
    </row>
    <row r="1165" spans="1:2">
      <c r="A1165" s="1">
        <v>44091</v>
      </c>
      <c r="B1165">
        <v>0.6</v>
      </c>
    </row>
    <row r="1166" spans="1:2">
      <c r="A1166" s="1">
        <v>44092</v>
      </c>
      <c r="B1166">
        <v>0.6</v>
      </c>
    </row>
    <row r="1167" spans="1:2">
      <c r="A1167" s="1">
        <v>44095</v>
      </c>
      <c r="B1167">
        <v>0.57999999999999996</v>
      </c>
    </row>
    <row r="1168" spans="1:2">
      <c r="A1168" s="1">
        <v>44096</v>
      </c>
      <c r="B1168">
        <v>0.57999999999999996</v>
      </c>
    </row>
    <row r="1169" spans="1:2">
      <c r="A1169" s="1">
        <v>44097</v>
      </c>
      <c r="B1169">
        <v>0.56999999999999995</v>
      </c>
    </row>
    <row r="1170" spans="1:2">
      <c r="A1170" s="1">
        <v>44098</v>
      </c>
      <c r="B1170">
        <v>0.56999999999999995</v>
      </c>
    </row>
    <row r="1171" spans="1:2">
      <c r="A1171" s="1">
        <v>44099</v>
      </c>
      <c r="B1171">
        <v>0.56000000000000005</v>
      </c>
    </row>
    <row r="1172" spans="1:2">
      <c r="A1172" s="1">
        <v>44102</v>
      </c>
      <c r="B1172">
        <v>0.56000000000000005</v>
      </c>
    </row>
    <row r="1173" spans="1:2">
      <c r="A1173" s="1">
        <v>44103</v>
      </c>
      <c r="B1173">
        <v>0.56999999999999995</v>
      </c>
    </row>
    <row r="1174" spans="1:2">
      <c r="A1174" s="1">
        <v>44104</v>
      </c>
      <c r="B1174">
        <v>0.59</v>
      </c>
    </row>
    <row r="1175" spans="1:2">
      <c r="A1175" s="1">
        <v>44105</v>
      </c>
      <c r="B1175">
        <v>0.59</v>
      </c>
    </row>
    <row r="1176" spans="1:2">
      <c r="A1176" s="1">
        <v>44106</v>
      </c>
      <c r="B1176">
        <v>0.61</v>
      </c>
    </row>
    <row r="1177" spans="1:2">
      <c r="A1177" s="1">
        <v>44109</v>
      </c>
      <c r="B1177">
        <v>0.68</v>
      </c>
    </row>
    <row r="1178" spans="1:2">
      <c r="A1178" s="1">
        <v>44110</v>
      </c>
      <c r="B1178">
        <v>0.66</v>
      </c>
    </row>
    <row r="1179" spans="1:2">
      <c r="A1179" s="1">
        <v>44111</v>
      </c>
      <c r="B1179">
        <v>0.71</v>
      </c>
    </row>
    <row r="1180" spans="1:2">
      <c r="A1180" s="1">
        <v>44112</v>
      </c>
      <c r="B1180">
        <v>0.69</v>
      </c>
    </row>
    <row r="1181" spans="1:2">
      <c r="A1181" s="1">
        <v>44113</v>
      </c>
      <c r="B1181">
        <v>0.69</v>
      </c>
    </row>
    <row r="1182" spans="1:2">
      <c r="A1182" s="1">
        <v>44116</v>
      </c>
    </row>
    <row r="1183" spans="1:2">
      <c r="A1183" s="1">
        <v>44117</v>
      </c>
      <c r="B1183">
        <v>0.63</v>
      </c>
    </row>
    <row r="1184" spans="1:2">
      <c r="A1184" s="1">
        <v>44118</v>
      </c>
      <c r="B1184">
        <v>0.61</v>
      </c>
    </row>
    <row r="1185" spans="1:2">
      <c r="A1185" s="1">
        <v>44119</v>
      </c>
      <c r="B1185">
        <v>0.63</v>
      </c>
    </row>
    <row r="1186" spans="1:2">
      <c r="A1186" s="1">
        <v>44120</v>
      </c>
      <c r="B1186">
        <v>0.65</v>
      </c>
    </row>
    <row r="1187" spans="1:2">
      <c r="A1187" s="1">
        <v>44123</v>
      </c>
      <c r="B1187">
        <v>0.67</v>
      </c>
    </row>
    <row r="1188" spans="1:2">
      <c r="A1188" s="1">
        <v>44124</v>
      </c>
      <c r="B1188">
        <v>0.71</v>
      </c>
    </row>
    <row r="1189" spans="1:2">
      <c r="A1189" s="1">
        <v>44125</v>
      </c>
      <c r="B1189">
        <v>0.73</v>
      </c>
    </row>
    <row r="1190" spans="1:2">
      <c r="A1190" s="1">
        <v>44126</v>
      </c>
      <c r="B1190">
        <v>0.78</v>
      </c>
    </row>
    <row r="1191" spans="1:2">
      <c r="A1191" s="1">
        <v>44127</v>
      </c>
      <c r="B1191">
        <v>0.75</v>
      </c>
    </row>
    <row r="1192" spans="1:2">
      <c r="A1192" s="1">
        <v>44130</v>
      </c>
      <c r="B1192">
        <v>0.7</v>
      </c>
    </row>
    <row r="1193" spans="1:2">
      <c r="A1193" s="1">
        <v>44131</v>
      </c>
      <c r="B1193">
        <v>0.69</v>
      </c>
    </row>
    <row r="1194" spans="1:2">
      <c r="A1194" s="1">
        <v>44132</v>
      </c>
      <c r="B1194">
        <v>0.69</v>
      </c>
    </row>
    <row r="1195" spans="1:2">
      <c r="A1195" s="1">
        <v>44133</v>
      </c>
      <c r="B1195">
        <v>0.76</v>
      </c>
    </row>
    <row r="1196" spans="1:2">
      <c r="A1196" s="1">
        <v>44134</v>
      </c>
      <c r="B1196">
        <v>0.79</v>
      </c>
    </row>
    <row r="1197" spans="1:2">
      <c r="A1197" s="1">
        <v>44137</v>
      </c>
      <c r="B1197">
        <v>0.78</v>
      </c>
    </row>
    <row r="1198" spans="1:2">
      <c r="A1198" s="1">
        <v>44138</v>
      </c>
      <c r="B1198">
        <v>0.8</v>
      </c>
    </row>
    <row r="1199" spans="1:2">
      <c r="A1199" s="1">
        <v>44139</v>
      </c>
      <c r="B1199">
        <v>0.68</v>
      </c>
    </row>
    <row r="1200" spans="1:2">
      <c r="A1200" s="1">
        <v>44140</v>
      </c>
      <c r="B1200">
        <v>0.69</v>
      </c>
    </row>
    <row r="1201" spans="1:2">
      <c r="A1201" s="1">
        <v>44141</v>
      </c>
      <c r="B1201">
        <v>0.73</v>
      </c>
    </row>
    <row r="1202" spans="1:2">
      <c r="A1202" s="1">
        <v>44144</v>
      </c>
      <c r="B1202">
        <v>0.85</v>
      </c>
    </row>
    <row r="1203" spans="1:2">
      <c r="A1203" s="1">
        <v>44145</v>
      </c>
      <c r="B1203">
        <v>0.88</v>
      </c>
    </row>
    <row r="1204" spans="1:2">
      <c r="A1204" s="1">
        <v>44146</v>
      </c>
    </row>
    <row r="1205" spans="1:2">
      <c r="A1205" s="1">
        <v>44147</v>
      </c>
      <c r="B1205">
        <v>0.78</v>
      </c>
    </row>
    <row r="1206" spans="1:2">
      <c r="A1206" s="1">
        <v>44148</v>
      </c>
      <c r="B1206">
        <v>0.8</v>
      </c>
    </row>
    <row r="1207" spans="1:2">
      <c r="A1207" s="1">
        <v>44151</v>
      </c>
      <c r="B1207">
        <v>0.82</v>
      </c>
    </row>
    <row r="1208" spans="1:2">
      <c r="A1208" s="1">
        <v>44152</v>
      </c>
      <c r="B1208">
        <v>0.78</v>
      </c>
    </row>
    <row r="1209" spans="1:2">
      <c r="A1209" s="1">
        <v>44153</v>
      </c>
      <c r="B1209">
        <v>0.79</v>
      </c>
    </row>
    <row r="1210" spans="1:2">
      <c r="A1210" s="1">
        <v>44154</v>
      </c>
      <c r="B1210">
        <v>0.79</v>
      </c>
    </row>
    <row r="1211" spans="1:2">
      <c r="A1211" s="1">
        <v>44155</v>
      </c>
      <c r="B1211">
        <v>0.76</v>
      </c>
    </row>
    <row r="1212" spans="1:2">
      <c r="A1212" s="1">
        <v>44158</v>
      </c>
      <c r="B1212">
        <v>0.78</v>
      </c>
    </row>
    <row r="1213" spans="1:2">
      <c r="A1213" s="1">
        <v>44159</v>
      </c>
      <c r="B1213">
        <v>0.79</v>
      </c>
    </row>
    <row r="1214" spans="1:2">
      <c r="A1214" s="1">
        <v>44160</v>
      </c>
      <c r="B1214">
        <v>0.79</v>
      </c>
    </row>
    <row r="1215" spans="1:2">
      <c r="A1215" s="1">
        <v>44161</v>
      </c>
    </row>
    <row r="1216" spans="1:2">
      <c r="A1216" s="1">
        <v>44162</v>
      </c>
      <c r="B1216">
        <v>0.75</v>
      </c>
    </row>
    <row r="1217" spans="1:2">
      <c r="A1217" s="1">
        <v>44165</v>
      </c>
      <c r="B1217">
        <v>0.76</v>
      </c>
    </row>
    <row r="1218" spans="1:2">
      <c r="A1218" s="1">
        <v>44166</v>
      </c>
      <c r="B1218">
        <v>0.83</v>
      </c>
    </row>
    <row r="1219" spans="1:2">
      <c r="A1219" s="1">
        <v>44167</v>
      </c>
      <c r="B1219">
        <v>0.86</v>
      </c>
    </row>
    <row r="1220" spans="1:2">
      <c r="A1220" s="1">
        <v>44168</v>
      </c>
      <c r="B1220">
        <v>0.84</v>
      </c>
    </row>
    <row r="1221" spans="1:2">
      <c r="A1221" s="1">
        <v>44169</v>
      </c>
      <c r="B1221">
        <v>0.88</v>
      </c>
    </row>
    <row r="1222" spans="1:2">
      <c r="A1222" s="1">
        <v>44172</v>
      </c>
      <c r="B1222">
        <v>0.86</v>
      </c>
    </row>
    <row r="1223" spans="1:2">
      <c r="A1223" s="1">
        <v>44173</v>
      </c>
      <c r="B1223">
        <v>0.83</v>
      </c>
    </row>
    <row r="1224" spans="1:2">
      <c r="A1224" s="1">
        <v>44174</v>
      </c>
      <c r="B1224">
        <v>0.87</v>
      </c>
    </row>
    <row r="1225" spans="1:2">
      <c r="A1225" s="1">
        <v>44175</v>
      </c>
      <c r="B1225">
        <v>0.84</v>
      </c>
    </row>
    <row r="1226" spans="1:2">
      <c r="A1226" s="1">
        <v>44176</v>
      </c>
      <c r="B1226">
        <v>0.82</v>
      </c>
    </row>
    <row r="1227" spans="1:2">
      <c r="A1227" s="1">
        <v>44179</v>
      </c>
      <c r="B1227">
        <v>0.81</v>
      </c>
    </row>
    <row r="1228" spans="1:2">
      <c r="A1228" s="1">
        <v>44180</v>
      </c>
      <c r="B1228">
        <v>0.84</v>
      </c>
    </row>
    <row r="1229" spans="1:2">
      <c r="A1229" s="1">
        <v>44181</v>
      </c>
      <c r="B1229">
        <v>0.83</v>
      </c>
    </row>
    <row r="1230" spans="1:2">
      <c r="A1230" s="1">
        <v>44182</v>
      </c>
      <c r="B1230">
        <v>0.86</v>
      </c>
    </row>
    <row r="1231" spans="1:2">
      <c r="A1231" s="1">
        <v>44183</v>
      </c>
      <c r="B1231">
        <v>0.87</v>
      </c>
    </row>
    <row r="1232" spans="1:2">
      <c r="A1232" s="1">
        <v>44186</v>
      </c>
      <c r="B1232">
        <v>0.86</v>
      </c>
    </row>
    <row r="1233" spans="1:2">
      <c r="A1233" s="1">
        <v>44187</v>
      </c>
      <c r="B1233">
        <v>0.84</v>
      </c>
    </row>
    <row r="1234" spans="1:2">
      <c r="A1234" s="1">
        <v>44188</v>
      </c>
      <c r="B1234">
        <v>0.87</v>
      </c>
    </row>
    <row r="1235" spans="1:2">
      <c r="A1235" s="1">
        <v>44189</v>
      </c>
      <c r="B1235">
        <v>0.85</v>
      </c>
    </row>
    <row r="1236" spans="1:2">
      <c r="A1236" s="1">
        <v>44190</v>
      </c>
    </row>
    <row r="1237" spans="1:2">
      <c r="A1237" s="1">
        <v>44193</v>
      </c>
      <c r="B1237">
        <v>0.83</v>
      </c>
    </row>
    <row r="1238" spans="1:2">
      <c r="A1238" s="1">
        <v>44194</v>
      </c>
      <c r="B1238">
        <v>0.84</v>
      </c>
    </row>
    <row r="1239" spans="1:2">
      <c r="A1239" s="1">
        <v>44195</v>
      </c>
      <c r="B1239">
        <v>0.85</v>
      </c>
    </row>
    <row r="1240" spans="1:2">
      <c r="A1240" s="1">
        <v>44196</v>
      </c>
      <c r="B1240">
        <v>0.84</v>
      </c>
    </row>
    <row r="1241" spans="1:2">
      <c r="A1241" s="1">
        <v>44197</v>
      </c>
    </row>
    <row r="1242" spans="1:2">
      <c r="A1242" s="1">
        <v>44200</v>
      </c>
      <c r="B1242">
        <v>0.84</v>
      </c>
    </row>
    <row r="1243" spans="1:2">
      <c r="A1243" s="1">
        <v>44201</v>
      </c>
      <c r="B1243">
        <v>0.87</v>
      </c>
    </row>
    <row r="1244" spans="1:2">
      <c r="A1244" s="1">
        <v>44202</v>
      </c>
      <c r="B1244">
        <v>0.95</v>
      </c>
    </row>
    <row r="1245" spans="1:2">
      <c r="A1245" s="1">
        <v>44203</v>
      </c>
      <c r="B1245">
        <v>0.99</v>
      </c>
    </row>
    <row r="1246" spans="1:2">
      <c r="A1246" s="1">
        <v>44204</v>
      </c>
      <c r="B1246">
        <v>1.05</v>
      </c>
    </row>
    <row r="1247" spans="1:2">
      <c r="A1247" s="1">
        <v>44207</v>
      </c>
      <c r="B1247">
        <v>1.07</v>
      </c>
    </row>
    <row r="1248" spans="1:2">
      <c r="A1248" s="1">
        <v>44208</v>
      </c>
      <c r="B1248">
        <v>1.06</v>
      </c>
    </row>
    <row r="1249" spans="1:2">
      <c r="A1249" s="1">
        <v>44209</v>
      </c>
      <c r="B1249">
        <v>1.01</v>
      </c>
    </row>
    <row r="1250" spans="1:2">
      <c r="A1250" s="1">
        <v>44210</v>
      </c>
      <c r="B1250">
        <v>1.06</v>
      </c>
    </row>
    <row r="1251" spans="1:2">
      <c r="A1251" s="1">
        <v>44211</v>
      </c>
      <c r="B1251">
        <v>1.02</v>
      </c>
    </row>
    <row r="1252" spans="1:2">
      <c r="A1252" s="1">
        <v>44214</v>
      </c>
    </row>
    <row r="1253" spans="1:2">
      <c r="A1253" s="1">
        <v>44215</v>
      </c>
      <c r="B1253">
        <v>1.01</v>
      </c>
    </row>
    <row r="1254" spans="1:2">
      <c r="A1254" s="1">
        <v>44216</v>
      </c>
      <c r="B1254">
        <v>1.02</v>
      </c>
    </row>
    <row r="1255" spans="1:2">
      <c r="A1255" s="1">
        <v>44217</v>
      </c>
      <c r="B1255">
        <v>1.03</v>
      </c>
    </row>
    <row r="1256" spans="1:2">
      <c r="A1256" s="1">
        <v>44218</v>
      </c>
      <c r="B1256">
        <v>1.02</v>
      </c>
    </row>
    <row r="1257" spans="1:2">
      <c r="A1257" s="1">
        <v>44221</v>
      </c>
      <c r="B1257">
        <v>0.96</v>
      </c>
    </row>
    <row r="1258" spans="1:2">
      <c r="A1258" s="1">
        <v>44222</v>
      </c>
      <c r="B1258">
        <v>0.98</v>
      </c>
    </row>
    <row r="1259" spans="1:2">
      <c r="A1259" s="1">
        <v>44223</v>
      </c>
      <c r="B1259">
        <v>0.96</v>
      </c>
    </row>
    <row r="1260" spans="1:2">
      <c r="A1260" s="1">
        <v>44224</v>
      </c>
      <c r="B1260">
        <v>1</v>
      </c>
    </row>
    <row r="1261" spans="1:2">
      <c r="A1261" s="1">
        <v>44225</v>
      </c>
      <c r="B1261">
        <v>1.05</v>
      </c>
    </row>
    <row r="1262" spans="1:2">
      <c r="A1262" s="1">
        <v>44228</v>
      </c>
      <c r="B1262">
        <v>1.02</v>
      </c>
    </row>
    <row r="1263" spans="1:2">
      <c r="A1263" s="1">
        <v>44229</v>
      </c>
      <c r="B1263">
        <v>1.05</v>
      </c>
    </row>
    <row r="1264" spans="1:2">
      <c r="A1264" s="1">
        <v>44230</v>
      </c>
      <c r="B1264">
        <v>1.1100000000000001</v>
      </c>
    </row>
    <row r="1265" spans="1:2">
      <c r="A1265" s="1">
        <v>44231</v>
      </c>
      <c r="B1265">
        <v>1.1100000000000001</v>
      </c>
    </row>
    <row r="1266" spans="1:2">
      <c r="A1266" s="1">
        <v>44232</v>
      </c>
      <c r="B1266">
        <v>1.1599999999999999</v>
      </c>
    </row>
    <row r="1267" spans="1:2">
      <c r="A1267" s="1">
        <v>44235</v>
      </c>
      <c r="B1267">
        <v>1.1399999999999999</v>
      </c>
    </row>
    <row r="1268" spans="1:2">
      <c r="A1268" s="1">
        <v>44236</v>
      </c>
      <c r="B1268">
        <v>1.1399999999999999</v>
      </c>
    </row>
    <row r="1269" spans="1:2">
      <c r="A1269" s="1">
        <v>44237</v>
      </c>
      <c r="B1269">
        <v>1.1000000000000001</v>
      </c>
    </row>
    <row r="1270" spans="1:2">
      <c r="A1270" s="1">
        <v>44238</v>
      </c>
      <c r="B1270">
        <v>1.1100000000000001</v>
      </c>
    </row>
    <row r="1271" spans="1:2">
      <c r="A1271" s="1">
        <v>44239</v>
      </c>
      <c r="B1271">
        <v>1.1599999999999999</v>
      </c>
    </row>
    <row r="1272" spans="1:2">
      <c r="A1272" s="1">
        <v>44242</v>
      </c>
    </row>
    <row r="1273" spans="1:2">
      <c r="A1273" s="1">
        <v>44243</v>
      </c>
      <c r="B1273">
        <v>1.26</v>
      </c>
    </row>
    <row r="1274" spans="1:2">
      <c r="A1274" s="1">
        <v>44244</v>
      </c>
      <c r="B1274">
        <v>1.25</v>
      </c>
    </row>
    <row r="1275" spans="1:2">
      <c r="A1275" s="1">
        <v>44245</v>
      </c>
      <c r="B1275">
        <v>1.26</v>
      </c>
    </row>
    <row r="1276" spans="1:2">
      <c r="A1276" s="1">
        <v>44246</v>
      </c>
      <c r="B1276">
        <v>1.3</v>
      </c>
    </row>
    <row r="1277" spans="1:2">
      <c r="A1277" s="1">
        <v>44249</v>
      </c>
      <c r="B1277">
        <v>1.34</v>
      </c>
    </row>
    <row r="1278" spans="1:2">
      <c r="A1278" s="1">
        <v>44250</v>
      </c>
      <c r="B1278">
        <v>1.33</v>
      </c>
    </row>
    <row r="1279" spans="1:2">
      <c r="A1279" s="1">
        <v>44251</v>
      </c>
      <c r="B1279">
        <v>1.35</v>
      </c>
    </row>
    <row r="1280" spans="1:2">
      <c r="A1280" s="1">
        <v>44252</v>
      </c>
      <c r="B1280">
        <v>1.5</v>
      </c>
    </row>
    <row r="1281" spans="1:2">
      <c r="A1281" s="1">
        <v>44253</v>
      </c>
      <c r="B1281">
        <v>1.4</v>
      </c>
    </row>
    <row r="1282" spans="1:2">
      <c r="A1282" s="1">
        <v>44256</v>
      </c>
      <c r="B1282">
        <v>1.4</v>
      </c>
    </row>
    <row r="1283" spans="1:2">
      <c r="A1283" s="1">
        <v>44257</v>
      </c>
      <c r="B1283">
        <v>1.38</v>
      </c>
    </row>
    <row r="1284" spans="1:2">
      <c r="A1284" s="1">
        <v>44258</v>
      </c>
      <c r="B1284">
        <v>1.42</v>
      </c>
    </row>
    <row r="1285" spans="1:2">
      <c r="A1285" s="1">
        <v>44259</v>
      </c>
      <c r="B1285">
        <v>1.5</v>
      </c>
    </row>
    <row r="1286" spans="1:2">
      <c r="A1286" s="1">
        <v>44260</v>
      </c>
      <c r="B1286">
        <v>1.52</v>
      </c>
    </row>
    <row r="1287" spans="1:2">
      <c r="A1287" s="1">
        <v>44263</v>
      </c>
      <c r="B1287">
        <v>1.54</v>
      </c>
    </row>
    <row r="1288" spans="1:2">
      <c r="A1288" s="1">
        <v>44264</v>
      </c>
      <c r="B1288">
        <v>1.5</v>
      </c>
    </row>
    <row r="1289" spans="1:2">
      <c r="A1289" s="1">
        <v>44265</v>
      </c>
      <c r="B1289">
        <v>1.49</v>
      </c>
    </row>
    <row r="1290" spans="1:2">
      <c r="A1290" s="1">
        <v>44266</v>
      </c>
      <c r="B1290">
        <v>1.5</v>
      </c>
    </row>
    <row r="1291" spans="1:2">
      <c r="A1291" s="1">
        <v>44267</v>
      </c>
      <c r="B1291">
        <v>1.6</v>
      </c>
    </row>
    <row r="1292" spans="1:2">
      <c r="A1292" s="1">
        <v>44270</v>
      </c>
      <c r="B1292">
        <v>1.58</v>
      </c>
    </row>
    <row r="1293" spans="1:2">
      <c r="A1293" s="1">
        <v>44271</v>
      </c>
      <c r="B1293">
        <v>1.6</v>
      </c>
    </row>
    <row r="1294" spans="1:2">
      <c r="A1294" s="1">
        <v>44272</v>
      </c>
      <c r="B1294">
        <v>1.61</v>
      </c>
    </row>
    <row r="1295" spans="1:2">
      <c r="A1295" s="1">
        <v>44273</v>
      </c>
      <c r="B1295">
        <v>1.7</v>
      </c>
    </row>
    <row r="1296" spans="1:2">
      <c r="A1296" s="1">
        <v>44274</v>
      </c>
      <c r="B1296">
        <v>1.73</v>
      </c>
    </row>
    <row r="1297" spans="1:2">
      <c r="A1297" s="1">
        <v>44277</v>
      </c>
      <c r="B1297">
        <v>1.66</v>
      </c>
    </row>
    <row r="1298" spans="1:2">
      <c r="A1298" s="1">
        <v>44278</v>
      </c>
      <c r="B1298">
        <v>1.62</v>
      </c>
    </row>
    <row r="1299" spans="1:2">
      <c r="A1299" s="1">
        <v>44279</v>
      </c>
      <c r="B1299">
        <v>1.6</v>
      </c>
    </row>
    <row r="1300" spans="1:2">
      <c r="A1300" s="1">
        <v>44280</v>
      </c>
      <c r="B1300">
        <v>1.61</v>
      </c>
    </row>
    <row r="1301" spans="1:2">
      <c r="A1301" s="1">
        <v>44281</v>
      </c>
      <c r="B1301">
        <v>1.65</v>
      </c>
    </row>
    <row r="1302" spans="1:2">
      <c r="A1302" s="1">
        <v>44284</v>
      </c>
      <c r="B1302">
        <v>1.7</v>
      </c>
    </row>
    <row r="1303" spans="1:2">
      <c r="A1303" s="1">
        <v>44285</v>
      </c>
      <c r="B1303">
        <v>1.71</v>
      </c>
    </row>
    <row r="1304" spans="1:2">
      <c r="A1304" s="1">
        <v>44286</v>
      </c>
      <c r="B1304">
        <v>1.71</v>
      </c>
    </row>
    <row r="1305" spans="1:2">
      <c r="A1305" s="1">
        <v>44287</v>
      </c>
      <c r="B1305">
        <v>1.67</v>
      </c>
    </row>
    <row r="1306" spans="1:2">
      <c r="A1306" s="1">
        <v>44288</v>
      </c>
      <c r="B1306">
        <v>1.7</v>
      </c>
    </row>
    <row r="1307" spans="1:2">
      <c r="A1307" s="1">
        <v>44291</v>
      </c>
      <c r="B1307">
        <v>1.7</v>
      </c>
    </row>
    <row r="1308" spans="1:2">
      <c r="A1308" s="1">
        <v>44292</v>
      </c>
      <c r="B1308">
        <v>1.65</v>
      </c>
    </row>
    <row r="1309" spans="1:2">
      <c r="A1309" s="1">
        <v>44293</v>
      </c>
      <c r="B1309">
        <v>1.66</v>
      </c>
    </row>
    <row r="1310" spans="1:2">
      <c r="A1310" s="1">
        <v>44294</v>
      </c>
      <c r="B1310">
        <v>1.63</v>
      </c>
    </row>
    <row r="1311" spans="1:2">
      <c r="A1311" s="1">
        <v>44295</v>
      </c>
      <c r="B1311">
        <v>1.65</v>
      </c>
    </row>
    <row r="1312" spans="1:2">
      <c r="A1312" s="1">
        <v>44298</v>
      </c>
      <c r="B1312">
        <v>1.67</v>
      </c>
    </row>
    <row r="1313" spans="1:2">
      <c r="A1313" s="1">
        <v>44299</v>
      </c>
      <c r="B1313">
        <v>1.61</v>
      </c>
    </row>
    <row r="1314" spans="1:2">
      <c r="A1314" s="1">
        <v>44300</v>
      </c>
      <c r="B1314">
        <v>1.62</v>
      </c>
    </row>
    <row r="1315" spans="1:2">
      <c r="A1315" s="1">
        <v>44301</v>
      </c>
      <c r="B1315">
        <v>1.54</v>
      </c>
    </row>
    <row r="1316" spans="1:2">
      <c r="A1316" s="1">
        <v>44302</v>
      </c>
      <c r="B1316">
        <v>1.57</v>
      </c>
    </row>
    <row r="1317" spans="1:2">
      <c r="A1317" s="1">
        <v>44305</v>
      </c>
      <c r="B1317">
        <v>1.59</v>
      </c>
    </row>
    <row r="1318" spans="1:2">
      <c r="A1318" s="1">
        <v>44306</v>
      </c>
      <c r="B1318">
        <v>1.55</v>
      </c>
    </row>
    <row r="1319" spans="1:2">
      <c r="A1319" s="1">
        <v>44307</v>
      </c>
      <c r="B1319">
        <v>1.54</v>
      </c>
    </row>
    <row r="1320" spans="1:2">
      <c r="A1320" s="1">
        <v>44308</v>
      </c>
      <c r="B1320">
        <v>1.54</v>
      </c>
    </row>
    <row r="1321" spans="1:2">
      <c r="A1321" s="1">
        <v>44309</v>
      </c>
      <c r="B1321">
        <v>1.55</v>
      </c>
    </row>
    <row r="1322" spans="1:2">
      <c r="A1322" s="1">
        <v>44312</v>
      </c>
      <c r="B1322">
        <v>1.55</v>
      </c>
    </row>
    <row r="1323" spans="1:2">
      <c r="A1323" s="1">
        <v>44313</v>
      </c>
      <c r="B1323">
        <v>1.62</v>
      </c>
    </row>
    <row r="1324" spans="1:2">
      <c r="A1324" s="1">
        <v>44314</v>
      </c>
      <c r="B1324">
        <v>1.62</v>
      </c>
    </row>
    <row r="1325" spans="1:2">
      <c r="A1325" s="1">
        <v>44315</v>
      </c>
      <c r="B1325">
        <v>1.64</v>
      </c>
    </row>
    <row r="1326" spans="1:2">
      <c r="A1326" s="1">
        <v>44316</v>
      </c>
      <c r="B1326">
        <v>1.64</v>
      </c>
    </row>
    <row r="1327" spans="1:2">
      <c r="A1327" s="1">
        <v>44319</v>
      </c>
      <c r="B1327">
        <v>1.59</v>
      </c>
    </row>
    <row r="1328" spans="1:2">
      <c r="A1328" s="1">
        <v>44320</v>
      </c>
      <c r="B1328">
        <v>1.59</v>
      </c>
    </row>
    <row r="1329" spans="1:2">
      <c r="A1329" s="1">
        <v>44321</v>
      </c>
      <c r="B1329">
        <v>1.57</v>
      </c>
    </row>
    <row r="1330" spans="1:2">
      <c r="A1330" s="1">
        <v>44322</v>
      </c>
      <c r="B1330">
        <v>1.56</v>
      </c>
    </row>
    <row r="1331" spans="1:2">
      <c r="A1331" s="1">
        <v>44323</v>
      </c>
      <c r="B1331">
        <v>1.58</v>
      </c>
    </row>
    <row r="1332" spans="1:2">
      <c r="A1332" s="1">
        <v>44326</v>
      </c>
      <c r="B1332">
        <v>1.61</v>
      </c>
    </row>
    <row r="1333" spans="1:2">
      <c r="A1333" s="1">
        <v>44327</v>
      </c>
      <c r="B1333">
        <v>1.63</v>
      </c>
    </row>
    <row r="1334" spans="1:2">
      <c r="A1334" s="1">
        <v>44328</v>
      </c>
      <c r="B1334">
        <v>1.67</v>
      </c>
    </row>
    <row r="1335" spans="1:2">
      <c r="A1335" s="1">
        <v>44329</v>
      </c>
      <c r="B1335">
        <v>1.64</v>
      </c>
    </row>
    <row r="1336" spans="1:2">
      <c r="A1336" s="1">
        <v>44330</v>
      </c>
      <c r="B1336">
        <v>1.62</v>
      </c>
    </row>
    <row r="1337" spans="1:2">
      <c r="A1337" s="1">
        <v>44333</v>
      </c>
      <c r="B1337">
        <v>1.62</v>
      </c>
    </row>
    <row r="1338" spans="1:2">
      <c r="A1338" s="1">
        <v>44334</v>
      </c>
      <c r="B1338">
        <v>1.62</v>
      </c>
    </row>
    <row r="1339" spans="1:2">
      <c r="A1339" s="1">
        <v>44335</v>
      </c>
      <c r="B1339">
        <v>1.67</v>
      </c>
    </row>
    <row r="1340" spans="1:2">
      <c r="A1340" s="1">
        <v>44336</v>
      </c>
      <c r="B1340">
        <v>1.62</v>
      </c>
    </row>
    <row r="1341" spans="1:2">
      <c r="A1341" s="1">
        <v>44337</v>
      </c>
      <c r="B1341">
        <v>1.62</v>
      </c>
    </row>
    <row r="1342" spans="1:2">
      <c r="A1342" s="1">
        <v>44340</v>
      </c>
      <c r="B1342">
        <v>1.59</v>
      </c>
    </row>
    <row r="1343" spans="1:2">
      <c r="A1343" s="1">
        <v>44341</v>
      </c>
      <c r="B1343">
        <v>1.54</v>
      </c>
    </row>
    <row r="1344" spans="1:2">
      <c r="A1344" s="1">
        <v>44342</v>
      </c>
      <c r="B1344">
        <v>1.56</v>
      </c>
    </row>
    <row r="1345" spans="1:2">
      <c r="A1345" s="1">
        <v>44343</v>
      </c>
      <c r="B1345">
        <v>1.59</v>
      </c>
    </row>
    <row r="1346" spans="1:2">
      <c r="A1346" s="1">
        <v>44344</v>
      </c>
      <c r="B1346">
        <v>1.57</v>
      </c>
    </row>
    <row r="1347" spans="1:2">
      <c r="A1347" s="1">
        <v>44347</v>
      </c>
    </row>
    <row r="1348" spans="1:2">
      <c r="A1348" s="1">
        <v>44348</v>
      </c>
      <c r="B1348">
        <v>1.6</v>
      </c>
    </row>
    <row r="1349" spans="1:2">
      <c r="A1349" s="1">
        <v>44349</v>
      </c>
      <c r="B1349">
        <v>1.57</v>
      </c>
    </row>
    <row r="1350" spans="1:2">
      <c r="A1350" s="1">
        <v>44350</v>
      </c>
      <c r="B1350">
        <v>1.61</v>
      </c>
    </row>
    <row r="1351" spans="1:2">
      <c r="A1351" s="1">
        <v>44351</v>
      </c>
      <c r="B1351">
        <v>1.54</v>
      </c>
    </row>
    <row r="1352" spans="1:2">
      <c r="A1352" s="1">
        <v>44354</v>
      </c>
      <c r="B1352">
        <v>1.55</v>
      </c>
    </row>
    <row r="1353" spans="1:2">
      <c r="A1353" s="1">
        <v>44355</v>
      </c>
      <c r="B1353">
        <v>1.51</v>
      </c>
    </row>
    <row r="1354" spans="1:2">
      <c r="A1354" s="1">
        <v>44356</v>
      </c>
      <c r="B1354">
        <v>1.47</v>
      </c>
    </row>
    <row r="1355" spans="1:2">
      <c r="A1355" s="1">
        <v>44357</v>
      </c>
      <c r="B1355">
        <v>1.42</v>
      </c>
    </row>
    <row r="1356" spans="1:2">
      <c r="A1356" s="1">
        <v>44358</v>
      </c>
      <c r="B1356">
        <v>1.44</v>
      </c>
    </row>
    <row r="1357" spans="1:2">
      <c r="A1357" s="1">
        <v>44361</v>
      </c>
      <c r="B1357">
        <v>1.48</v>
      </c>
    </row>
    <row r="1358" spans="1:2">
      <c r="A1358" s="1">
        <v>44362</v>
      </c>
      <c r="B1358">
        <v>1.48</v>
      </c>
    </row>
    <row r="1359" spans="1:2">
      <c r="A1359" s="1">
        <v>44363</v>
      </c>
      <c r="B1359">
        <v>1.53</v>
      </c>
    </row>
    <row r="1360" spans="1:2">
      <c r="A1360" s="1">
        <v>44364</v>
      </c>
      <c r="B1360">
        <v>1.48</v>
      </c>
    </row>
    <row r="1361" spans="1:2">
      <c r="A1361" s="1">
        <v>44365</v>
      </c>
      <c r="B1361">
        <v>1.4</v>
      </c>
    </row>
    <row r="1362" spans="1:2">
      <c r="A1362" s="1">
        <v>44368</v>
      </c>
      <c r="B1362">
        <v>1.45</v>
      </c>
    </row>
    <row r="1363" spans="1:2">
      <c r="A1363" s="1">
        <v>44369</v>
      </c>
      <c r="B1363">
        <v>1.44</v>
      </c>
    </row>
    <row r="1364" spans="1:2">
      <c r="A1364" s="1">
        <v>44370</v>
      </c>
      <c r="B1364">
        <v>1.45</v>
      </c>
    </row>
    <row r="1365" spans="1:2">
      <c r="A1365" s="1">
        <v>44371</v>
      </c>
      <c r="B1365">
        <v>1.44</v>
      </c>
    </row>
    <row r="1366" spans="1:2">
      <c r="A1366" s="1">
        <v>44372</v>
      </c>
      <c r="B1366">
        <v>1.48</v>
      </c>
    </row>
    <row r="1367" spans="1:2">
      <c r="A1367" s="1">
        <v>44375</v>
      </c>
      <c r="B1367">
        <v>1.44</v>
      </c>
    </row>
    <row r="1368" spans="1:2">
      <c r="A1368" s="1">
        <v>44376</v>
      </c>
      <c r="B1368">
        <v>1.45</v>
      </c>
    </row>
    <row r="1369" spans="1:2">
      <c r="A1369" s="1">
        <v>44377</v>
      </c>
      <c r="B1369">
        <v>1.4</v>
      </c>
    </row>
    <row r="1370" spans="1:2">
      <c r="A1370" s="1">
        <v>44378</v>
      </c>
      <c r="B1370">
        <v>1.43</v>
      </c>
    </row>
    <row r="1371" spans="1:2">
      <c r="A1371" s="1">
        <v>44379</v>
      </c>
      <c r="B1371">
        <v>1.39</v>
      </c>
    </row>
    <row r="1372" spans="1:2">
      <c r="A1372" s="1">
        <v>44382</v>
      </c>
    </row>
    <row r="1373" spans="1:2">
      <c r="A1373" s="1">
        <v>44383</v>
      </c>
      <c r="B1373">
        <v>1.32</v>
      </c>
    </row>
    <row r="1374" spans="1:2">
      <c r="A1374" s="1">
        <v>44384</v>
      </c>
      <c r="B1374">
        <v>1.28</v>
      </c>
    </row>
    <row r="1375" spans="1:2">
      <c r="A1375" s="1">
        <v>44385</v>
      </c>
      <c r="B1375">
        <v>1.24</v>
      </c>
    </row>
    <row r="1376" spans="1:2">
      <c r="A1376" s="1">
        <v>44386</v>
      </c>
      <c r="B1376">
        <v>1.31</v>
      </c>
    </row>
    <row r="1377" spans="1:2">
      <c r="A1377" s="1">
        <v>44389</v>
      </c>
      <c r="B1377">
        <v>1.33</v>
      </c>
    </row>
    <row r="1378" spans="1:2">
      <c r="A1378" s="1">
        <v>44390</v>
      </c>
      <c r="B1378">
        <v>1.37</v>
      </c>
    </row>
    <row r="1379" spans="1:2">
      <c r="A1379" s="1">
        <v>44391</v>
      </c>
      <c r="B1379">
        <v>1.31</v>
      </c>
    </row>
    <row r="1380" spans="1:2">
      <c r="A1380" s="1">
        <v>44392</v>
      </c>
      <c r="B1380">
        <v>1.26</v>
      </c>
    </row>
    <row r="1381" spans="1:2">
      <c r="A1381" s="1">
        <v>44393</v>
      </c>
      <c r="B1381">
        <v>1.26</v>
      </c>
    </row>
    <row r="1382" spans="1:2">
      <c r="A1382" s="1">
        <v>44396</v>
      </c>
      <c r="B1382">
        <v>1.1399999999999999</v>
      </c>
    </row>
    <row r="1383" spans="1:2">
      <c r="A1383" s="1">
        <v>44397</v>
      </c>
      <c r="B1383">
        <v>1.18</v>
      </c>
    </row>
    <row r="1384" spans="1:2">
      <c r="A1384" s="1">
        <v>44398</v>
      </c>
      <c r="B1384">
        <v>1.25</v>
      </c>
    </row>
    <row r="1385" spans="1:2">
      <c r="A1385" s="1">
        <v>44399</v>
      </c>
      <c r="B1385">
        <v>1.22</v>
      </c>
    </row>
    <row r="1386" spans="1:2">
      <c r="A1386" s="1">
        <v>44400</v>
      </c>
      <c r="B1386">
        <v>1.25</v>
      </c>
    </row>
    <row r="1387" spans="1:2">
      <c r="A1387" s="1">
        <v>44403</v>
      </c>
      <c r="B1387">
        <v>1.24</v>
      </c>
    </row>
    <row r="1388" spans="1:2">
      <c r="A1388" s="1">
        <v>44404</v>
      </c>
      <c r="B1388">
        <v>1.2</v>
      </c>
    </row>
    <row r="1389" spans="1:2">
      <c r="A1389" s="1">
        <v>44405</v>
      </c>
      <c r="B1389">
        <v>1.21</v>
      </c>
    </row>
    <row r="1390" spans="1:2">
      <c r="A1390" s="1">
        <v>44406</v>
      </c>
      <c r="B1390">
        <v>1.22</v>
      </c>
    </row>
    <row r="1391" spans="1:2">
      <c r="A1391" s="1">
        <v>44407</v>
      </c>
      <c r="B1391">
        <v>1.18</v>
      </c>
    </row>
    <row r="1392" spans="1:2">
      <c r="A1392" s="1">
        <v>44410</v>
      </c>
      <c r="B1392">
        <v>1.1499999999999999</v>
      </c>
    </row>
    <row r="1393" spans="1:2">
      <c r="A1393" s="1">
        <v>44411</v>
      </c>
      <c r="B1393">
        <v>1.1399999999999999</v>
      </c>
    </row>
    <row r="1394" spans="1:2">
      <c r="A1394" s="1">
        <v>44412</v>
      </c>
      <c r="B1394">
        <v>1.1399999999999999</v>
      </c>
    </row>
    <row r="1395" spans="1:2">
      <c r="A1395" s="1">
        <v>44413</v>
      </c>
      <c r="B1395">
        <v>1.18</v>
      </c>
    </row>
    <row r="1396" spans="1:2">
      <c r="A1396" s="1">
        <v>44414</v>
      </c>
      <c r="B1396">
        <v>1.25</v>
      </c>
    </row>
    <row r="1397" spans="1:2">
      <c r="A1397" s="1">
        <v>44417</v>
      </c>
      <c r="B1397">
        <v>1.27</v>
      </c>
    </row>
    <row r="1398" spans="1:2">
      <c r="A1398" s="1">
        <v>44418</v>
      </c>
      <c r="B1398">
        <v>1.31</v>
      </c>
    </row>
    <row r="1399" spans="1:2">
      <c r="A1399" s="1">
        <v>44419</v>
      </c>
      <c r="B1399">
        <v>1.3</v>
      </c>
    </row>
    <row r="1400" spans="1:2">
      <c r="A1400" s="1">
        <v>44420</v>
      </c>
      <c r="B1400">
        <v>1.3</v>
      </c>
    </row>
    <row r="1401" spans="1:2">
      <c r="A1401" s="1">
        <v>44421</v>
      </c>
      <c r="B1401">
        <v>1.23</v>
      </c>
    </row>
    <row r="1402" spans="1:2">
      <c r="A1402" s="1">
        <v>44424</v>
      </c>
      <c r="B1402">
        <v>1.2</v>
      </c>
    </row>
    <row r="1403" spans="1:2">
      <c r="A1403" s="1">
        <v>44425</v>
      </c>
      <c r="B1403">
        <v>1.19</v>
      </c>
    </row>
    <row r="1404" spans="1:2">
      <c r="A1404" s="1">
        <v>44426</v>
      </c>
      <c r="B1404">
        <v>1.2</v>
      </c>
    </row>
    <row r="1405" spans="1:2">
      <c r="A1405" s="1">
        <v>44427</v>
      </c>
      <c r="B1405">
        <v>1.18</v>
      </c>
    </row>
    <row r="1406" spans="1:2">
      <c r="A1406" s="1">
        <v>44428</v>
      </c>
      <c r="B1406">
        <v>1.21</v>
      </c>
    </row>
    <row r="1407" spans="1:2">
      <c r="A1407" s="1">
        <v>44431</v>
      </c>
      <c r="B1407">
        <v>1.2</v>
      </c>
    </row>
    <row r="1408" spans="1:2">
      <c r="A1408" s="1">
        <v>44432</v>
      </c>
      <c r="B1408">
        <v>1.24</v>
      </c>
    </row>
    <row r="1409" spans="1:2">
      <c r="A1409" s="1">
        <v>44433</v>
      </c>
      <c r="B1409">
        <v>1.29</v>
      </c>
    </row>
    <row r="1410" spans="1:2">
      <c r="A1410" s="1">
        <v>44434</v>
      </c>
      <c r="B1410">
        <v>1.29</v>
      </c>
    </row>
    <row r="1411" spans="1:2">
      <c r="A1411" s="1">
        <v>44435</v>
      </c>
      <c r="B1411">
        <v>1.26</v>
      </c>
    </row>
    <row r="1412" spans="1:2">
      <c r="A1412" s="1">
        <v>44438</v>
      </c>
      <c r="B1412">
        <v>1.24</v>
      </c>
    </row>
    <row r="1413" spans="1:2">
      <c r="A1413" s="1">
        <v>44439</v>
      </c>
      <c r="B1413">
        <v>1.26</v>
      </c>
    </row>
    <row r="1414" spans="1:2">
      <c r="A1414" s="1">
        <v>44440</v>
      </c>
      <c r="B1414">
        <v>1.26</v>
      </c>
    </row>
    <row r="1415" spans="1:2">
      <c r="A1415" s="1">
        <v>44441</v>
      </c>
      <c r="B1415">
        <v>1.24</v>
      </c>
    </row>
    <row r="1416" spans="1:2">
      <c r="A1416" s="1">
        <v>44442</v>
      </c>
      <c r="B1416">
        <v>1.28</v>
      </c>
    </row>
    <row r="1417" spans="1:2">
      <c r="A1417" s="1">
        <v>44445</v>
      </c>
    </row>
    <row r="1418" spans="1:2">
      <c r="A1418" s="1">
        <v>44446</v>
      </c>
      <c r="B1418">
        <v>1.33</v>
      </c>
    </row>
    <row r="1419" spans="1:2">
      <c r="A1419" s="1">
        <v>44447</v>
      </c>
      <c r="B1419">
        <v>1.3</v>
      </c>
    </row>
    <row r="1420" spans="1:2">
      <c r="A1420" s="1">
        <v>44448</v>
      </c>
      <c r="B1420">
        <v>1.26</v>
      </c>
    </row>
    <row r="1421" spans="1:2">
      <c r="A1421" s="1">
        <v>44449</v>
      </c>
      <c r="B1421">
        <v>1.3</v>
      </c>
    </row>
    <row r="1422" spans="1:2">
      <c r="A1422" s="1">
        <v>44452</v>
      </c>
      <c r="B1422">
        <v>1.27</v>
      </c>
    </row>
    <row r="1423" spans="1:2">
      <c r="A1423" s="1">
        <v>44453</v>
      </c>
      <c r="B1423">
        <v>1.24</v>
      </c>
    </row>
    <row r="1424" spans="1:2">
      <c r="A1424" s="1">
        <v>44454</v>
      </c>
      <c r="B1424">
        <v>1.27</v>
      </c>
    </row>
    <row r="1425" spans="1:2">
      <c r="A1425" s="1">
        <v>44455</v>
      </c>
      <c r="B1425">
        <v>1.3</v>
      </c>
    </row>
    <row r="1426" spans="1:2">
      <c r="A1426" s="1">
        <v>44456</v>
      </c>
      <c r="B1426">
        <v>1.33</v>
      </c>
    </row>
    <row r="1427" spans="1:2">
      <c r="A1427" s="1">
        <v>44459</v>
      </c>
      <c r="B1427">
        <v>1.27</v>
      </c>
    </row>
    <row r="1428" spans="1:2">
      <c r="A1428" s="1">
        <v>44460</v>
      </c>
      <c r="B1428">
        <v>1.3</v>
      </c>
    </row>
    <row r="1429" spans="1:2">
      <c r="A1429" s="1">
        <v>44461</v>
      </c>
      <c r="B1429">
        <v>1.29</v>
      </c>
    </row>
    <row r="1430" spans="1:2">
      <c r="A1430" s="1">
        <v>44462</v>
      </c>
      <c r="B1430">
        <v>1.38</v>
      </c>
    </row>
    <row r="1431" spans="1:2">
      <c r="A1431" s="1">
        <v>44463</v>
      </c>
      <c r="B1431">
        <v>1.44</v>
      </c>
    </row>
    <row r="1432" spans="1:2">
      <c r="A1432" s="1">
        <v>44466</v>
      </c>
      <c r="B1432">
        <v>1.44</v>
      </c>
    </row>
    <row r="1433" spans="1:2">
      <c r="A1433" s="1">
        <v>44467</v>
      </c>
      <c r="B1433">
        <v>1.5</v>
      </c>
    </row>
    <row r="1434" spans="1:2">
      <c r="A1434" s="1">
        <v>44468</v>
      </c>
      <c r="B1434">
        <v>1.51</v>
      </c>
    </row>
    <row r="1435" spans="1:2">
      <c r="A1435" s="1">
        <v>44469</v>
      </c>
      <c r="B1435">
        <v>1.48</v>
      </c>
    </row>
    <row r="1436" spans="1:2">
      <c r="A1436" s="1">
        <v>44470</v>
      </c>
      <c r="B1436">
        <v>1.44</v>
      </c>
    </row>
    <row r="1437" spans="1:2">
      <c r="A1437" s="1">
        <v>44473</v>
      </c>
      <c r="B1437">
        <v>1.45</v>
      </c>
    </row>
    <row r="1438" spans="1:2">
      <c r="A1438" s="1">
        <v>44474</v>
      </c>
      <c r="B1438">
        <v>1.5</v>
      </c>
    </row>
    <row r="1439" spans="1:2">
      <c r="A1439" s="1">
        <v>44475</v>
      </c>
      <c r="B1439">
        <v>1.49</v>
      </c>
    </row>
    <row r="1440" spans="1:2">
      <c r="A1440" s="1">
        <v>44476</v>
      </c>
      <c r="B1440">
        <v>1.53</v>
      </c>
    </row>
    <row r="1441" spans="1:2">
      <c r="A1441" s="1">
        <v>44477</v>
      </c>
      <c r="B1441">
        <v>1.56</v>
      </c>
    </row>
    <row r="1442" spans="1:2">
      <c r="A1442" s="1">
        <v>44480</v>
      </c>
    </row>
    <row r="1443" spans="1:2">
      <c r="A1443" s="1">
        <v>44481</v>
      </c>
      <c r="B1443">
        <v>1.53</v>
      </c>
    </row>
    <row r="1444" spans="1:2">
      <c r="A1444" s="1">
        <v>44482</v>
      </c>
      <c r="B1444">
        <v>1.51</v>
      </c>
    </row>
    <row r="1445" spans="1:2">
      <c r="A1445" s="1">
        <v>44483</v>
      </c>
      <c r="B1445">
        <v>1.47</v>
      </c>
    </row>
    <row r="1446" spans="1:2">
      <c r="A1446" s="1">
        <v>44484</v>
      </c>
      <c r="B1446">
        <v>1.54</v>
      </c>
    </row>
    <row r="1447" spans="1:2">
      <c r="A1447" s="1">
        <v>44487</v>
      </c>
      <c r="B1447">
        <v>1.53</v>
      </c>
    </row>
    <row r="1448" spans="1:2">
      <c r="A1448" s="1">
        <v>44488</v>
      </c>
      <c r="B1448">
        <v>1.6</v>
      </c>
    </row>
    <row r="1449" spans="1:2">
      <c r="A1449" s="1">
        <v>44489</v>
      </c>
      <c r="B1449">
        <v>1.6</v>
      </c>
    </row>
    <row r="1450" spans="1:2">
      <c r="A1450" s="1">
        <v>44490</v>
      </c>
      <c r="B1450">
        <v>1.62</v>
      </c>
    </row>
    <row r="1451" spans="1:2">
      <c r="A1451" s="1">
        <v>44491</v>
      </c>
      <c r="B1451">
        <v>1.6</v>
      </c>
    </row>
    <row r="1452" spans="1:2">
      <c r="A1452" s="1">
        <v>44494</v>
      </c>
      <c r="B1452">
        <v>1.58</v>
      </c>
    </row>
    <row r="1453" spans="1:2">
      <c r="A1453" s="1">
        <v>44495</v>
      </c>
      <c r="B1453">
        <v>1.57</v>
      </c>
    </row>
    <row r="1454" spans="1:2">
      <c r="A1454" s="1">
        <v>44496</v>
      </c>
      <c r="B1454">
        <v>1.48</v>
      </c>
    </row>
    <row r="1455" spans="1:2">
      <c r="A1455" s="1">
        <v>44497</v>
      </c>
      <c r="B1455">
        <v>1.51</v>
      </c>
    </row>
    <row r="1456" spans="1:2">
      <c r="A1456" s="1">
        <v>44498</v>
      </c>
      <c r="B1456">
        <v>1.5</v>
      </c>
    </row>
    <row r="1457" spans="1:2">
      <c r="A1457" s="1">
        <v>44501</v>
      </c>
      <c r="B1457">
        <v>1.53</v>
      </c>
    </row>
    <row r="1458" spans="1:2">
      <c r="A1458" s="1">
        <v>44502</v>
      </c>
      <c r="B1458">
        <v>1.51</v>
      </c>
    </row>
    <row r="1459" spans="1:2">
      <c r="A1459" s="1">
        <v>44503</v>
      </c>
      <c r="B1459">
        <v>1.55</v>
      </c>
    </row>
    <row r="1460" spans="1:2">
      <c r="A1460" s="1">
        <v>44504</v>
      </c>
      <c r="B1460">
        <v>1.49</v>
      </c>
    </row>
    <row r="1461" spans="1:2">
      <c r="A1461" s="1">
        <v>44505</v>
      </c>
      <c r="B1461">
        <v>1.4</v>
      </c>
    </row>
    <row r="1462" spans="1:2">
      <c r="A1462" s="1">
        <v>44508</v>
      </c>
      <c r="B1462">
        <v>1.45</v>
      </c>
    </row>
    <row r="1463" spans="1:2">
      <c r="A1463" s="1">
        <v>44509</v>
      </c>
      <c r="B1463">
        <v>1.42</v>
      </c>
    </row>
    <row r="1464" spans="1:2">
      <c r="A1464" s="1">
        <v>44510</v>
      </c>
      <c r="B1464">
        <v>1.51</v>
      </c>
    </row>
    <row r="1465" spans="1:2">
      <c r="A1465" s="1">
        <v>44511</v>
      </c>
    </row>
    <row r="1466" spans="1:2">
      <c r="A1466" s="1">
        <v>44512</v>
      </c>
      <c r="B1466">
        <v>1.53</v>
      </c>
    </row>
    <row r="1467" spans="1:2">
      <c r="A1467" s="1">
        <v>44515</v>
      </c>
      <c r="B1467">
        <v>1.58</v>
      </c>
    </row>
    <row r="1468" spans="1:2">
      <c r="A1468" s="1">
        <v>44516</v>
      </c>
      <c r="B1468">
        <v>1.58</v>
      </c>
    </row>
    <row r="1469" spans="1:2">
      <c r="A1469" s="1">
        <v>44517</v>
      </c>
      <c r="B1469">
        <v>1.55</v>
      </c>
    </row>
    <row r="1470" spans="1:2">
      <c r="A1470" s="1">
        <v>44518</v>
      </c>
      <c r="B1470">
        <v>1.54</v>
      </c>
    </row>
    <row r="1471" spans="1:2">
      <c r="A1471" s="1">
        <v>44519</v>
      </c>
      <c r="B1471">
        <v>1.49</v>
      </c>
    </row>
    <row r="1472" spans="1:2">
      <c r="A1472" s="1">
        <v>44522</v>
      </c>
      <c r="B1472">
        <v>1.58</v>
      </c>
    </row>
    <row r="1473" spans="1:2">
      <c r="A1473" s="1">
        <v>44523</v>
      </c>
      <c r="B1473">
        <v>1.61</v>
      </c>
    </row>
    <row r="1474" spans="1:2">
      <c r="A1474" s="1">
        <v>44524</v>
      </c>
      <c r="B1474">
        <v>1.58</v>
      </c>
    </row>
    <row r="1475" spans="1:2">
      <c r="A1475" s="1">
        <v>44525</v>
      </c>
    </row>
    <row r="1476" spans="1:2">
      <c r="A1476" s="1">
        <v>44526</v>
      </c>
      <c r="B1476">
        <v>1.42</v>
      </c>
    </row>
    <row r="1477" spans="1:2">
      <c r="A1477" s="1">
        <v>44529</v>
      </c>
      <c r="B1477">
        <v>1.46</v>
      </c>
    </row>
    <row r="1478" spans="1:2">
      <c r="A1478" s="1">
        <v>44530</v>
      </c>
      <c r="B1478">
        <v>1.38</v>
      </c>
    </row>
    <row r="1479" spans="1:2">
      <c r="A1479" s="1">
        <v>44531</v>
      </c>
      <c r="B1479">
        <v>1.37</v>
      </c>
    </row>
    <row r="1480" spans="1:2">
      <c r="A1480" s="1">
        <v>44532</v>
      </c>
      <c r="B1480">
        <v>1.39</v>
      </c>
    </row>
    <row r="1481" spans="1:2">
      <c r="A1481" s="1">
        <v>44533</v>
      </c>
      <c r="B1481">
        <v>1.29</v>
      </c>
    </row>
    <row r="1482" spans="1:2">
      <c r="A1482" s="1">
        <v>44536</v>
      </c>
      <c r="B1482">
        <v>1.38</v>
      </c>
    </row>
    <row r="1483" spans="1:2">
      <c r="A1483" s="1">
        <v>44537</v>
      </c>
      <c r="B1483">
        <v>1.42</v>
      </c>
    </row>
    <row r="1484" spans="1:2">
      <c r="A1484" s="1">
        <v>44538</v>
      </c>
      <c r="B1484">
        <v>1.45</v>
      </c>
    </row>
    <row r="1485" spans="1:2">
      <c r="A1485" s="1">
        <v>44539</v>
      </c>
      <c r="B1485">
        <v>1.43</v>
      </c>
    </row>
    <row r="1486" spans="1:2">
      <c r="A1486" s="1">
        <v>44540</v>
      </c>
      <c r="B1486">
        <v>1.42</v>
      </c>
    </row>
    <row r="1487" spans="1:2">
      <c r="A1487" s="1">
        <v>44543</v>
      </c>
      <c r="B1487">
        <v>1.37</v>
      </c>
    </row>
    <row r="1488" spans="1:2">
      <c r="A1488" s="1">
        <v>44544</v>
      </c>
      <c r="B1488">
        <v>1.39</v>
      </c>
    </row>
    <row r="1489" spans="1:2">
      <c r="A1489" s="1">
        <v>44545</v>
      </c>
      <c r="B1489">
        <v>1.42</v>
      </c>
    </row>
    <row r="1490" spans="1:2">
      <c r="A1490" s="1">
        <v>44546</v>
      </c>
      <c r="B1490">
        <v>1.39</v>
      </c>
    </row>
    <row r="1491" spans="1:2">
      <c r="A1491" s="1">
        <v>44547</v>
      </c>
      <c r="B1491">
        <v>1.36</v>
      </c>
    </row>
    <row r="1492" spans="1:2">
      <c r="A1492" s="1">
        <v>44550</v>
      </c>
      <c r="B1492">
        <v>1.36</v>
      </c>
    </row>
    <row r="1493" spans="1:2">
      <c r="A1493" s="1">
        <v>44551</v>
      </c>
      <c r="B1493">
        <v>1.41</v>
      </c>
    </row>
    <row r="1494" spans="1:2">
      <c r="A1494" s="1">
        <v>44552</v>
      </c>
      <c r="B1494">
        <v>1.38</v>
      </c>
    </row>
    <row r="1495" spans="1:2">
      <c r="A1495" s="1">
        <v>44553</v>
      </c>
      <c r="B1495">
        <v>1.43</v>
      </c>
    </row>
    <row r="1496" spans="1:2">
      <c r="A1496" s="1">
        <v>44554</v>
      </c>
    </row>
    <row r="1497" spans="1:2">
      <c r="A1497" s="1">
        <v>44557</v>
      </c>
      <c r="B1497">
        <v>1.42</v>
      </c>
    </row>
    <row r="1498" spans="1:2">
      <c r="A1498" s="1">
        <v>44558</v>
      </c>
      <c r="B1498">
        <v>1.43</v>
      </c>
    </row>
    <row r="1499" spans="1:2">
      <c r="A1499" s="1">
        <v>44559</v>
      </c>
      <c r="B1499">
        <v>1.5</v>
      </c>
    </row>
    <row r="1500" spans="1:2">
      <c r="A1500" s="1">
        <v>44560</v>
      </c>
      <c r="B1500">
        <v>1.47</v>
      </c>
    </row>
    <row r="1501" spans="1:2">
      <c r="A1501" s="1">
        <v>44561</v>
      </c>
      <c r="B1501">
        <v>1.46</v>
      </c>
    </row>
    <row r="1502" spans="1:2">
      <c r="A1502" s="1">
        <v>44564</v>
      </c>
      <c r="B1502">
        <v>1.55</v>
      </c>
    </row>
    <row r="1503" spans="1:2">
      <c r="A1503" s="1">
        <v>44565</v>
      </c>
      <c r="B1503">
        <v>1.58</v>
      </c>
    </row>
    <row r="1504" spans="1:2">
      <c r="A1504" s="1">
        <v>44566</v>
      </c>
      <c r="B1504">
        <v>1.62</v>
      </c>
    </row>
    <row r="1505" spans="1:2">
      <c r="A1505" s="1">
        <v>44567</v>
      </c>
      <c r="B1505">
        <v>1.63</v>
      </c>
    </row>
    <row r="1506" spans="1:2">
      <c r="A1506" s="1">
        <v>44568</v>
      </c>
      <c r="B1506">
        <v>1.66</v>
      </c>
    </row>
    <row r="1507" spans="1:2">
      <c r="A1507" s="1">
        <v>44571</v>
      </c>
      <c r="B1507">
        <v>1.65</v>
      </c>
    </row>
    <row r="1508" spans="1:2">
      <c r="A1508" s="1">
        <v>44572</v>
      </c>
      <c r="B1508">
        <v>1.64</v>
      </c>
    </row>
    <row r="1509" spans="1:2">
      <c r="A1509" s="1">
        <v>44573</v>
      </c>
      <c r="B1509">
        <v>1.62</v>
      </c>
    </row>
    <row r="1510" spans="1:2">
      <c r="A1510" s="1">
        <v>44574</v>
      </c>
      <c r="B1510">
        <v>1.58</v>
      </c>
    </row>
    <row r="1511" spans="1:2">
      <c r="A1511" s="1">
        <v>44575</v>
      </c>
      <c r="B1511">
        <v>1.65</v>
      </c>
    </row>
    <row r="1512" spans="1:2">
      <c r="A1512" s="1">
        <v>44578</v>
      </c>
    </row>
    <row r="1513" spans="1:2">
      <c r="A1513" s="1">
        <v>44579</v>
      </c>
      <c r="B1513">
        <v>1.71</v>
      </c>
    </row>
    <row r="1514" spans="1:2">
      <c r="A1514" s="1">
        <v>44580</v>
      </c>
      <c r="B1514">
        <v>1.66</v>
      </c>
    </row>
    <row r="1515" spans="1:2">
      <c r="A1515" s="1">
        <v>44581</v>
      </c>
      <c r="B1515">
        <v>1.66</v>
      </c>
    </row>
    <row r="1516" spans="1:2">
      <c r="A1516" s="1">
        <v>44582</v>
      </c>
      <c r="B1516">
        <v>1.58</v>
      </c>
    </row>
    <row r="1517" spans="1:2">
      <c r="A1517" s="1">
        <v>44585</v>
      </c>
      <c r="B1517">
        <v>1.56</v>
      </c>
    </row>
    <row r="1518" spans="1:2">
      <c r="A1518" s="1">
        <v>44586</v>
      </c>
      <c r="B1518">
        <v>1.59</v>
      </c>
    </row>
    <row r="1519" spans="1:2">
      <c r="A1519" s="1">
        <v>44587</v>
      </c>
      <c r="B1519">
        <v>1.66</v>
      </c>
    </row>
    <row r="1520" spans="1:2">
      <c r="A1520" s="1">
        <v>44588</v>
      </c>
      <c r="B1520">
        <v>1.61</v>
      </c>
    </row>
    <row r="1521" spans="1:2">
      <c r="A1521" s="1">
        <v>44589</v>
      </c>
      <c r="B1521">
        <v>1.59</v>
      </c>
    </row>
    <row r="1522" spans="1:2">
      <c r="A1522" s="1">
        <v>44592</v>
      </c>
      <c r="B1522">
        <v>1.57</v>
      </c>
    </row>
    <row r="1523" spans="1:2">
      <c r="A1523" s="1">
        <v>44593</v>
      </c>
      <c r="B1523">
        <v>1.62</v>
      </c>
    </row>
    <row r="1524" spans="1:2">
      <c r="A1524" s="1">
        <v>44594</v>
      </c>
      <c r="B1524">
        <v>1.59</v>
      </c>
    </row>
    <row r="1525" spans="1:2">
      <c r="A1525" s="1">
        <v>44595</v>
      </c>
      <c r="B1525">
        <v>1.62</v>
      </c>
    </row>
    <row r="1526" spans="1:2">
      <c r="A1526" s="1">
        <v>44596</v>
      </c>
      <c r="B1526">
        <v>1.7</v>
      </c>
    </row>
    <row r="1527" spans="1:2">
      <c r="A1527" s="1">
        <v>44599</v>
      </c>
      <c r="B1527">
        <v>1.65</v>
      </c>
    </row>
    <row r="1528" spans="1:2">
      <c r="A1528" s="1">
        <v>44600</v>
      </c>
      <c r="B1528">
        <v>1.71</v>
      </c>
    </row>
    <row r="1529" spans="1:2">
      <c r="A1529" s="1">
        <v>44601</v>
      </c>
      <c r="B1529">
        <v>1.68</v>
      </c>
    </row>
    <row r="1530" spans="1:2">
      <c r="A1530" s="1">
        <v>44602</v>
      </c>
      <c r="B1530">
        <v>1.63</v>
      </c>
    </row>
    <row r="1531" spans="1:2">
      <c r="A1531" s="1">
        <v>44603</v>
      </c>
      <c r="B1531">
        <v>1.56</v>
      </c>
    </row>
    <row r="1532" spans="1:2">
      <c r="A1532" s="1">
        <v>44606</v>
      </c>
      <c r="B1532">
        <v>1.55</v>
      </c>
    </row>
    <row r="1533" spans="1:2">
      <c r="A1533" s="1">
        <v>44607</v>
      </c>
      <c r="B1533">
        <v>1.65</v>
      </c>
    </row>
    <row r="1534" spans="1:2">
      <c r="A1534" s="1">
        <v>44608</v>
      </c>
      <c r="B1534">
        <v>1.65</v>
      </c>
    </row>
    <row r="1535" spans="1:2">
      <c r="A1535" s="1">
        <v>44609</v>
      </c>
      <c r="B1535">
        <v>1.61</v>
      </c>
    </row>
    <row r="1536" spans="1:2">
      <c r="A1536" s="1">
        <v>44610</v>
      </c>
      <c r="B1536">
        <v>1.57</v>
      </c>
    </row>
    <row r="1537" spans="1:2">
      <c r="A1537" s="1">
        <v>44613</v>
      </c>
    </row>
    <row r="1538" spans="1:2">
      <c r="A1538" s="1">
        <v>44614</v>
      </c>
      <c r="B1538">
        <v>1.57</v>
      </c>
    </row>
    <row r="1539" spans="1:2">
      <c r="A1539" s="1">
        <v>44615</v>
      </c>
      <c r="B1539">
        <v>1.65</v>
      </c>
    </row>
    <row r="1540" spans="1:2">
      <c r="A1540" s="1">
        <v>44616</v>
      </c>
      <c r="B1540">
        <v>1.64</v>
      </c>
    </row>
    <row r="1541" spans="1:2">
      <c r="A1541" s="1">
        <v>44617</v>
      </c>
      <c r="B1541">
        <v>1.64</v>
      </c>
    </row>
    <row r="1542" spans="1:2">
      <c r="A1542" s="1">
        <v>44620</v>
      </c>
      <c r="B1542">
        <v>1.48</v>
      </c>
    </row>
    <row r="1543" spans="1:2">
      <c r="A1543" s="1">
        <v>44621</v>
      </c>
      <c r="B1543">
        <v>1.4</v>
      </c>
    </row>
    <row r="1544" spans="1:2">
      <c r="A1544" s="1">
        <v>44622</v>
      </c>
      <c r="B1544">
        <v>1.52</v>
      </c>
    </row>
    <row r="1545" spans="1:2">
      <c r="A1545" s="1">
        <v>44623</v>
      </c>
      <c r="B1545">
        <v>1.48</v>
      </c>
    </row>
    <row r="1546" spans="1:2">
      <c r="A1546" s="1">
        <v>44624</v>
      </c>
      <c r="B1546">
        <v>1.4</v>
      </c>
    </row>
    <row r="1547" spans="1:2">
      <c r="A1547" s="1">
        <v>44627</v>
      </c>
      <c r="B1547">
        <v>1.4</v>
      </c>
    </row>
    <row r="1548" spans="1:2">
      <c r="A1548" s="1">
        <v>44628</v>
      </c>
      <c r="B1548">
        <v>1.5</v>
      </c>
    </row>
    <row r="1549" spans="1:2">
      <c r="A1549" s="1">
        <v>44629</v>
      </c>
      <c r="B1549">
        <v>1.56</v>
      </c>
    </row>
    <row r="1550" spans="1:2">
      <c r="A1550" s="1">
        <v>44630</v>
      </c>
      <c r="B1550">
        <v>1.59</v>
      </c>
    </row>
    <row r="1551" spans="1:2">
      <c r="A1551" s="1">
        <v>44631</v>
      </c>
      <c r="B1551">
        <v>1.6</v>
      </c>
    </row>
    <row r="1552" spans="1:2">
      <c r="A1552" s="1">
        <v>44634</v>
      </c>
      <c r="B1552">
        <v>1.69</v>
      </c>
    </row>
    <row r="1553" spans="1:2">
      <c r="A1553" s="1">
        <v>44635</v>
      </c>
      <c r="B1553">
        <v>1.69</v>
      </c>
    </row>
    <row r="1554" spans="1:2">
      <c r="A1554" s="1">
        <v>44636</v>
      </c>
      <c r="B1554">
        <v>1.75</v>
      </c>
    </row>
    <row r="1555" spans="1:2">
      <c r="A1555" s="1">
        <v>44637</v>
      </c>
      <c r="B1555">
        <v>1.8</v>
      </c>
    </row>
    <row r="1556" spans="1:2">
      <c r="A1556" s="1">
        <v>44638</v>
      </c>
      <c r="B1556">
        <v>1.72</v>
      </c>
    </row>
    <row r="1557" spans="1:2">
      <c r="A1557" s="1">
        <v>44641</v>
      </c>
      <c r="B1557">
        <v>1.78</v>
      </c>
    </row>
    <row r="1558" spans="1:2">
      <c r="A1558" s="1">
        <v>44642</v>
      </c>
      <c r="B1558">
        <v>1.87</v>
      </c>
    </row>
    <row r="1559" spans="1:2">
      <c r="A1559" s="1">
        <v>44643</v>
      </c>
      <c r="B1559">
        <v>1.82</v>
      </c>
    </row>
    <row r="1560" spans="1:2">
      <c r="A1560" s="1">
        <v>44644</v>
      </c>
      <c r="B1560">
        <v>1.82</v>
      </c>
    </row>
    <row r="1561" spans="1:2">
      <c r="A1561" s="1">
        <v>44645</v>
      </c>
      <c r="B1561">
        <v>1.93</v>
      </c>
    </row>
    <row r="1562" spans="1:2">
      <c r="A1562" s="1">
        <v>44648</v>
      </c>
      <c r="B1562">
        <v>1.87</v>
      </c>
    </row>
    <row r="1563" spans="1:2">
      <c r="A1563" s="1">
        <v>44649</v>
      </c>
      <c r="B1563">
        <v>1.86</v>
      </c>
    </row>
    <row r="1564" spans="1:2">
      <c r="A1564" s="1">
        <v>44650</v>
      </c>
      <c r="B1564">
        <v>1.8</v>
      </c>
    </row>
    <row r="1565" spans="1:2">
      <c r="A1565" s="1">
        <v>44651</v>
      </c>
      <c r="B1565">
        <v>1.8</v>
      </c>
    </row>
    <row r="1566" spans="1:2">
      <c r="A1566" s="1">
        <v>44652</v>
      </c>
      <c r="B1566">
        <v>1.86</v>
      </c>
    </row>
    <row r="1567" spans="1:2">
      <c r="A1567" s="1">
        <v>44655</v>
      </c>
      <c r="B1567">
        <v>1.76</v>
      </c>
    </row>
    <row r="1568" spans="1:2">
      <c r="A1568" s="1">
        <v>44656</v>
      </c>
      <c r="B1568">
        <v>1.89</v>
      </c>
    </row>
    <row r="1569" spans="1:2">
      <c r="A1569" s="1">
        <v>44657</v>
      </c>
      <c r="B1569">
        <v>1.94</v>
      </c>
    </row>
    <row r="1570" spans="1:2">
      <c r="A1570" s="1">
        <v>44658</v>
      </c>
      <c r="B1570">
        <v>1.98</v>
      </c>
    </row>
    <row r="1571" spans="1:2">
      <c r="A1571" s="1">
        <v>44659</v>
      </c>
      <c r="B1571">
        <v>2.02</v>
      </c>
    </row>
    <row r="1572" spans="1:2">
      <c r="A1572" s="1">
        <v>44662</v>
      </c>
      <c r="B1572">
        <v>2.02</v>
      </c>
    </row>
    <row r="1573" spans="1:2">
      <c r="A1573" s="1">
        <v>44663</v>
      </c>
      <c r="B1573">
        <v>1.98</v>
      </c>
    </row>
    <row r="1574" spans="1:2">
      <c r="A1574" s="1">
        <v>44664</v>
      </c>
      <c r="B1574">
        <v>1.95</v>
      </c>
    </row>
    <row r="1575" spans="1:2">
      <c r="A1575" s="1">
        <v>44665</v>
      </c>
      <c r="B1575">
        <v>2.04</v>
      </c>
    </row>
    <row r="1576" spans="1:2">
      <c r="A1576" s="1">
        <v>44666</v>
      </c>
    </row>
    <row r="1577" spans="1:2">
      <c r="A1577" s="1">
        <v>44669</v>
      </c>
      <c r="B1577">
        <v>2.04</v>
      </c>
    </row>
    <row r="1578" spans="1:2">
      <c r="A1578" s="1">
        <v>44670</v>
      </c>
      <c r="B1578">
        <v>2.12</v>
      </c>
    </row>
    <row r="1579" spans="1:2">
      <c r="A1579" s="1">
        <v>44671</v>
      </c>
      <c r="B1579">
        <v>2.0299999999999998</v>
      </c>
    </row>
    <row r="1580" spans="1:2">
      <c r="A1580" s="1">
        <v>44672</v>
      </c>
      <c r="B1580">
        <v>2.0699999999999998</v>
      </c>
    </row>
    <row r="1581" spans="1:2">
      <c r="A1581" s="1">
        <v>44673</v>
      </c>
      <c r="B1581">
        <v>2.0699999999999998</v>
      </c>
    </row>
    <row r="1582" spans="1:2">
      <c r="A1582" s="1">
        <v>44676</v>
      </c>
      <c r="B1582">
        <v>1.9</v>
      </c>
    </row>
    <row r="1583" spans="1:2">
      <c r="A1583" s="1">
        <v>44677</v>
      </c>
      <c r="B1583">
        <v>1.94</v>
      </c>
    </row>
    <row r="1584" spans="1:2">
      <c r="A1584" s="1">
        <v>44678</v>
      </c>
      <c r="B1584">
        <v>2</v>
      </c>
    </row>
    <row r="1585" spans="1:2">
      <c r="A1585" s="1">
        <v>44679</v>
      </c>
      <c r="B1585">
        <v>2.0299999999999998</v>
      </c>
    </row>
    <row r="1586" spans="1:2">
      <c r="A1586" s="1">
        <v>44680</v>
      </c>
      <c r="B1586">
        <v>2.04</v>
      </c>
    </row>
    <row r="1587" spans="1:2">
      <c r="A1587" s="1">
        <v>44683</v>
      </c>
      <c r="B1587">
        <v>2.09</v>
      </c>
    </row>
    <row r="1588" spans="1:2">
      <c r="A1588" s="1">
        <v>44684</v>
      </c>
      <c r="B1588">
        <v>2.06</v>
      </c>
    </row>
    <row r="1589" spans="1:2">
      <c r="A1589" s="1">
        <v>44685</v>
      </c>
      <c r="B1589">
        <v>2.04</v>
      </c>
    </row>
    <row r="1590" spans="1:2">
      <c r="A1590" s="1">
        <v>44686</v>
      </c>
      <c r="B1590">
        <v>2.2000000000000002</v>
      </c>
    </row>
    <row r="1591" spans="1:2">
      <c r="A1591" s="1">
        <v>44687</v>
      </c>
      <c r="B1591">
        <v>2.27</v>
      </c>
    </row>
    <row r="1592" spans="1:2">
      <c r="A1592" s="1">
        <v>44690</v>
      </c>
      <c r="B1592">
        <v>2.13</v>
      </c>
    </row>
    <row r="1593" spans="1:2">
      <c r="A1593" s="1">
        <v>44691</v>
      </c>
      <c r="B1593">
        <v>2.1</v>
      </c>
    </row>
    <row r="1594" spans="1:2">
      <c r="A1594" s="1">
        <v>44692</v>
      </c>
      <c r="B1594">
        <v>2</v>
      </c>
    </row>
    <row r="1595" spans="1:2">
      <c r="A1595" s="1">
        <v>44693</v>
      </c>
      <c r="B1595">
        <v>1.88</v>
      </c>
    </row>
    <row r="1596" spans="1:2">
      <c r="A1596" s="1">
        <v>44694</v>
      </c>
      <c r="B1596">
        <v>1.9</v>
      </c>
    </row>
    <row r="1597" spans="1:2">
      <c r="A1597" s="1">
        <v>44697</v>
      </c>
      <c r="B1597">
        <v>1.81</v>
      </c>
    </row>
    <row r="1598" spans="1:2">
      <c r="A1598" s="1">
        <v>44698</v>
      </c>
      <c r="B1598">
        <v>1.92</v>
      </c>
    </row>
    <row r="1599" spans="1:2">
      <c r="A1599" s="1">
        <v>44699</v>
      </c>
      <c r="B1599">
        <v>1.86</v>
      </c>
    </row>
    <row r="1600" spans="1:2">
      <c r="A1600" s="1">
        <v>44700</v>
      </c>
      <c r="B1600">
        <v>1.79</v>
      </c>
    </row>
    <row r="1601" spans="1:2">
      <c r="A1601" s="1">
        <v>44701</v>
      </c>
      <c r="B1601">
        <v>1.75</v>
      </c>
    </row>
    <row r="1602" spans="1:2">
      <c r="A1602" s="1">
        <v>44704</v>
      </c>
      <c r="B1602">
        <v>1.79</v>
      </c>
    </row>
    <row r="1603" spans="1:2">
      <c r="A1603" s="1">
        <v>44705</v>
      </c>
      <c r="B1603">
        <v>1.7</v>
      </c>
    </row>
    <row r="1604" spans="1:2">
      <c r="A1604" s="1">
        <v>44706</v>
      </c>
      <c r="B1604">
        <v>1.69</v>
      </c>
    </row>
    <row r="1605" spans="1:2">
      <c r="A1605" s="1">
        <v>44707</v>
      </c>
      <c r="B1605">
        <v>1.68</v>
      </c>
    </row>
    <row r="1606" spans="1:2">
      <c r="A1606" s="1">
        <v>44708</v>
      </c>
      <c r="B1606">
        <v>1.66</v>
      </c>
    </row>
    <row r="1607" spans="1:2">
      <c r="A1607" s="1">
        <v>44711</v>
      </c>
    </row>
    <row r="1608" spans="1:2">
      <c r="A1608" s="1">
        <v>44712</v>
      </c>
      <c r="B1608">
        <v>1.69</v>
      </c>
    </row>
    <row r="1609" spans="1:2">
      <c r="A1609" s="1">
        <v>44713</v>
      </c>
      <c r="B1609">
        <v>1.79</v>
      </c>
    </row>
    <row r="1610" spans="1:2">
      <c r="A1610" s="1">
        <v>44714</v>
      </c>
      <c r="B1610">
        <v>1.75</v>
      </c>
    </row>
    <row r="1611" spans="1:2">
      <c r="A1611" s="1">
        <v>44715</v>
      </c>
      <c r="B1611">
        <v>1.75</v>
      </c>
    </row>
    <row r="1612" spans="1:2">
      <c r="A1612" s="1">
        <v>44718</v>
      </c>
      <c r="B1612">
        <v>1.78</v>
      </c>
    </row>
    <row r="1613" spans="1:2">
      <c r="A1613" s="1">
        <v>44719</v>
      </c>
      <c r="B1613">
        <v>1.72</v>
      </c>
    </row>
    <row r="1614" spans="1:2">
      <c r="A1614" s="1">
        <v>44720</v>
      </c>
      <c r="B1614">
        <v>1.75</v>
      </c>
    </row>
    <row r="1615" spans="1:2">
      <c r="A1615" s="1">
        <v>44721</v>
      </c>
      <c r="B1615">
        <v>1.74</v>
      </c>
    </row>
    <row r="1616" spans="1:2">
      <c r="A1616" s="1">
        <v>44722</v>
      </c>
      <c r="B1616">
        <v>1.76</v>
      </c>
    </row>
    <row r="1617" spans="1:2">
      <c r="A1617" s="1">
        <v>44725</v>
      </c>
      <c r="B1617">
        <v>1.7</v>
      </c>
    </row>
    <row r="1618" spans="1:2">
      <c r="A1618" s="1">
        <v>44726</v>
      </c>
      <c r="B1618">
        <v>1.66</v>
      </c>
    </row>
    <row r="1619" spans="1:2">
      <c r="A1619" s="1">
        <v>44727</v>
      </c>
      <c r="B1619">
        <v>1.59</v>
      </c>
    </row>
    <row r="1620" spans="1:2">
      <c r="A1620" s="1">
        <v>44728</v>
      </c>
      <c r="B1620">
        <v>1.69</v>
      </c>
    </row>
    <row r="1621" spans="1:2">
      <c r="A1621" s="1">
        <v>44729</v>
      </c>
      <c r="B1621">
        <v>1.62</v>
      </c>
    </row>
    <row r="1622" spans="1:2">
      <c r="A1622" s="1">
        <v>44732</v>
      </c>
    </row>
    <row r="1623" spans="1:2">
      <c r="A1623" s="1">
        <v>44733</v>
      </c>
      <c r="B1623">
        <v>1.61</v>
      </c>
    </row>
    <row r="1624" spans="1:2">
      <c r="A1624" s="1">
        <v>44734</v>
      </c>
      <c r="B1624">
        <v>1.55</v>
      </c>
    </row>
    <row r="1625" spans="1:2">
      <c r="A1625" s="1">
        <v>44735</v>
      </c>
      <c r="B1625">
        <v>1.44</v>
      </c>
    </row>
    <row r="1626" spans="1:2">
      <c r="A1626" s="1">
        <v>44736</v>
      </c>
      <c r="B1626">
        <v>1.4</v>
      </c>
    </row>
    <row r="1627" spans="1:2">
      <c r="A1627" s="1">
        <v>44739</v>
      </c>
      <c r="B1627">
        <v>1.41</v>
      </c>
    </row>
    <row r="1628" spans="1:2">
      <c r="A1628" s="1">
        <v>44740</v>
      </c>
      <c r="B1628">
        <v>1.41</v>
      </c>
    </row>
    <row r="1629" spans="1:2">
      <c r="A1629" s="1">
        <v>44741</v>
      </c>
      <c r="B1629">
        <v>1.32</v>
      </c>
    </row>
    <row r="1630" spans="1:2">
      <c r="A1630" s="1">
        <v>44742</v>
      </c>
      <c r="B1630">
        <v>1.26</v>
      </c>
    </row>
    <row r="1631" spans="1:2">
      <c r="A1631" s="1">
        <v>44743</v>
      </c>
      <c r="B1631">
        <v>1.1499999999999999</v>
      </c>
    </row>
    <row r="1632" spans="1:2">
      <c r="A1632" s="1">
        <v>44746</v>
      </c>
    </row>
    <row r="1633" spans="1:2">
      <c r="A1633" s="1">
        <v>44747</v>
      </c>
      <c r="B1633">
        <v>0.92</v>
      </c>
    </row>
    <row r="1634" spans="1:2">
      <c r="A1634" s="1">
        <v>44748</v>
      </c>
      <c r="B1634">
        <v>1.03</v>
      </c>
    </row>
    <row r="1635" spans="1:2">
      <c r="A1635" s="1">
        <v>44749</v>
      </c>
      <c r="B1635">
        <v>1.06</v>
      </c>
    </row>
    <row r="1636" spans="1:2">
      <c r="A1636" s="1">
        <v>44750</v>
      </c>
      <c r="B1636">
        <v>1.1100000000000001</v>
      </c>
    </row>
    <row r="1637" spans="1:2">
      <c r="A1637" s="1">
        <v>44753</v>
      </c>
      <c r="B1637">
        <v>0.81</v>
      </c>
    </row>
    <row r="1638" spans="1:2">
      <c r="A1638" s="1">
        <v>44754</v>
      </c>
      <c r="B1638">
        <v>0.74</v>
      </c>
    </row>
    <row r="1639" spans="1:2">
      <c r="A1639" s="1">
        <v>44755</v>
      </c>
      <c r="B1639">
        <v>0.52</v>
      </c>
    </row>
    <row r="1640" spans="1:2">
      <c r="A1640" s="1">
        <v>44756</v>
      </c>
      <c r="B1640">
        <v>0.56000000000000005</v>
      </c>
    </row>
    <row r="1641" spans="1:2">
      <c r="A1641" s="1">
        <v>44757</v>
      </c>
      <c r="B1641">
        <v>0.56000000000000005</v>
      </c>
    </row>
    <row r="1642" spans="1:2">
      <c r="A1642" s="1">
        <v>44760</v>
      </c>
      <c r="B1642">
        <v>0.46</v>
      </c>
    </row>
    <row r="1643" spans="1:2">
      <c r="A1643" s="1">
        <v>44761</v>
      </c>
      <c r="B1643">
        <v>0.49</v>
      </c>
    </row>
    <row r="1644" spans="1:2">
      <c r="A1644" s="1">
        <v>44762</v>
      </c>
      <c r="B1644">
        <v>0.53</v>
      </c>
    </row>
    <row r="1645" spans="1:2">
      <c r="A1645" s="1">
        <v>44763</v>
      </c>
      <c r="B1645">
        <v>0.43</v>
      </c>
    </row>
    <row r="1646" spans="1:2">
      <c r="A1646" s="1">
        <v>44764</v>
      </c>
      <c r="B1646">
        <v>0.28000000000000003</v>
      </c>
    </row>
    <row r="1647" spans="1:2">
      <c r="A1647" s="1">
        <v>44767</v>
      </c>
      <c r="B1647">
        <v>0.19</v>
      </c>
    </row>
    <row r="1648" spans="1:2">
      <c r="A1648" s="1">
        <v>44768</v>
      </c>
      <c r="B1648">
        <v>0.26</v>
      </c>
    </row>
    <row r="1649" spans="1:2">
      <c r="A1649" s="1">
        <v>44769</v>
      </c>
      <c r="B1649">
        <v>0.34</v>
      </c>
    </row>
    <row r="1650" spans="1:2">
      <c r="A1650" s="1">
        <v>44770</v>
      </c>
      <c r="B1650">
        <v>0.26</v>
      </c>
    </row>
    <row r="1651" spans="1:2">
      <c r="A1651" s="1">
        <v>44771</v>
      </c>
      <c r="B1651">
        <v>0.26</v>
      </c>
    </row>
    <row r="1652" spans="1:2">
      <c r="A1652" s="1">
        <v>44774</v>
      </c>
      <c r="B1652">
        <v>0.04</v>
      </c>
    </row>
    <row r="1653" spans="1:2">
      <c r="A1653" s="1">
        <v>44775</v>
      </c>
      <c r="B1653">
        <v>0.19</v>
      </c>
    </row>
    <row r="1654" spans="1:2">
      <c r="A1654" s="1">
        <v>44776</v>
      </c>
      <c r="B1654">
        <v>0.21</v>
      </c>
    </row>
    <row r="1655" spans="1:2">
      <c r="A1655" s="1">
        <v>44777</v>
      </c>
      <c r="B1655">
        <v>0.18</v>
      </c>
    </row>
    <row r="1656" spans="1:2">
      <c r="A1656" s="1">
        <v>44778</v>
      </c>
      <c r="B1656">
        <v>0.25</v>
      </c>
    </row>
    <row r="1657" spans="1:2">
      <c r="A1657" s="1">
        <v>44781</v>
      </c>
      <c r="B1657">
        <v>0.12</v>
      </c>
    </row>
    <row r="1658" spans="1:2">
      <c r="A1658" s="1">
        <v>44782</v>
      </c>
      <c r="B1658">
        <v>0.13</v>
      </c>
    </row>
    <row r="1659" spans="1:2">
      <c r="A1659" s="1">
        <v>44783</v>
      </c>
      <c r="B1659">
        <v>0.13</v>
      </c>
    </row>
    <row r="1660" spans="1:2">
      <c r="A1660" s="1">
        <v>44784</v>
      </c>
      <c r="B1660">
        <v>0.25</v>
      </c>
    </row>
    <row r="1661" spans="1:2">
      <c r="A1661" s="1">
        <v>44785</v>
      </c>
      <c r="B1661">
        <v>0.21</v>
      </c>
    </row>
    <row r="1662" spans="1:2">
      <c r="A1662" s="1">
        <v>44788</v>
      </c>
      <c r="B1662">
        <v>7.0000000000000007E-2</v>
      </c>
    </row>
    <row r="1663" spans="1:2">
      <c r="A1663" s="1">
        <v>44789</v>
      </c>
      <c r="B1663">
        <v>0.12</v>
      </c>
    </row>
    <row r="1664" spans="1:2">
      <c r="A1664" s="1">
        <v>44790</v>
      </c>
      <c r="B1664">
        <v>0.21</v>
      </c>
    </row>
    <row r="1665" spans="1:2">
      <c r="A1665" s="1">
        <v>44791</v>
      </c>
      <c r="B1665">
        <v>0.17</v>
      </c>
    </row>
    <row r="1666" spans="1:2">
      <c r="A1666" s="1">
        <v>44792</v>
      </c>
      <c r="B1666">
        <v>0.24</v>
      </c>
    </row>
    <row r="1667" spans="1:2">
      <c r="A1667" s="1">
        <v>44795</v>
      </c>
      <c r="B1667">
        <v>0.21</v>
      </c>
    </row>
    <row r="1668" spans="1:2">
      <c r="A1668" s="1">
        <v>44796</v>
      </c>
      <c r="B1668">
        <v>0.25</v>
      </c>
    </row>
    <row r="1669" spans="1:2">
      <c r="A1669" s="1">
        <v>44797</v>
      </c>
      <c r="B1669">
        <v>0.28999999999999998</v>
      </c>
    </row>
    <row r="1670" spans="1:2">
      <c r="A1670" s="1">
        <v>44798</v>
      </c>
      <c r="B1670">
        <v>0.15</v>
      </c>
    </row>
    <row r="1671" spans="1:2">
      <c r="A1671" s="1">
        <v>44799</v>
      </c>
      <c r="B1671">
        <v>0.15</v>
      </c>
    </row>
    <row r="1672" spans="1:2">
      <c r="A1672" s="1">
        <v>44802</v>
      </c>
      <c r="B1672">
        <v>0.15</v>
      </c>
    </row>
    <row r="1673" spans="1:2">
      <c r="A1673" s="1">
        <v>44803</v>
      </c>
      <c r="B1673">
        <v>0.14000000000000001</v>
      </c>
    </row>
    <row r="1674" spans="1:2">
      <c r="A1674" s="1">
        <v>44804</v>
      </c>
      <c r="B1674">
        <v>0.19</v>
      </c>
    </row>
    <row r="1675" spans="1:2">
      <c r="A1675" s="1">
        <v>44805</v>
      </c>
      <c r="B1675">
        <v>0.28999999999999998</v>
      </c>
    </row>
    <row r="1676" spans="1:2">
      <c r="A1676" s="1">
        <v>44806</v>
      </c>
      <c r="B1676">
        <v>0.26</v>
      </c>
    </row>
    <row r="1677" spans="1:2">
      <c r="A1677" s="1">
        <v>44809</v>
      </c>
    </row>
    <row r="1678" spans="1:2">
      <c r="A1678" s="1">
        <v>44810</v>
      </c>
      <c r="B1678">
        <v>0.28999999999999998</v>
      </c>
    </row>
    <row r="1679" spans="1:2">
      <c r="A1679" s="1">
        <v>44811</v>
      </c>
      <c r="B1679">
        <v>0.2</v>
      </c>
    </row>
    <row r="1680" spans="1:2">
      <c r="A1680" s="1">
        <v>44812</v>
      </c>
      <c r="B1680">
        <v>0.23</v>
      </c>
    </row>
    <row r="1681" spans="1:2">
      <c r="A1681" s="1">
        <v>44813</v>
      </c>
      <c r="B1681">
        <v>0.25</v>
      </c>
    </row>
    <row r="1682" spans="1:2">
      <c r="A1682" s="1">
        <v>44816</v>
      </c>
      <c r="B1682">
        <v>0.2</v>
      </c>
    </row>
    <row r="1683" spans="1:2">
      <c r="A1683" s="1">
        <v>44817</v>
      </c>
      <c r="B1683">
        <v>0.14000000000000001</v>
      </c>
    </row>
    <row r="1684" spans="1:2">
      <c r="A1684" s="1">
        <v>44818</v>
      </c>
      <c r="B1684">
        <v>0.17</v>
      </c>
    </row>
    <row r="1685" spans="1:2">
      <c r="A1685" s="1">
        <v>44819</v>
      </c>
      <c r="B1685">
        <v>0.23</v>
      </c>
    </row>
    <row r="1686" spans="1:2">
      <c r="A1686" s="1">
        <v>44820</v>
      </c>
      <c r="B1686">
        <v>0.25</v>
      </c>
    </row>
    <row r="1687" spans="1:2">
      <c r="A1687" s="1">
        <v>44823</v>
      </c>
      <c r="B1687">
        <v>0.12</v>
      </c>
    </row>
    <row r="1688" spans="1:2">
      <c r="A1688" s="1">
        <v>44824</v>
      </c>
      <c r="B1688">
        <v>0.22</v>
      </c>
    </row>
    <row r="1689" spans="1:2">
      <c r="A1689" s="1">
        <v>44825</v>
      </c>
      <c r="B1689">
        <v>0.2</v>
      </c>
    </row>
    <row r="1690" spans="1:2">
      <c r="A1690" s="1">
        <v>44826</v>
      </c>
      <c r="B1690">
        <v>0.41</v>
      </c>
    </row>
    <row r="1691" spans="1:2">
      <c r="A1691" s="1">
        <v>44827</v>
      </c>
      <c r="B1691">
        <v>0.45</v>
      </c>
    </row>
    <row r="1692" spans="1:2">
      <c r="A1692" s="1">
        <v>44830</v>
      </c>
      <c r="B1692">
        <v>0.49</v>
      </c>
    </row>
    <row r="1693" spans="1:2">
      <c r="A1693" s="1">
        <v>44831</v>
      </c>
      <c r="B1693">
        <v>0.62</v>
      </c>
    </row>
    <row r="1694" spans="1:2">
      <c r="A1694" s="1">
        <v>44832</v>
      </c>
      <c r="B1694">
        <v>0.32</v>
      </c>
    </row>
    <row r="1695" spans="1:2">
      <c r="A1695" s="1">
        <v>44833</v>
      </c>
      <c r="B1695">
        <v>0.4</v>
      </c>
    </row>
    <row r="1696" spans="1:2">
      <c r="A1696" s="1">
        <v>44834</v>
      </c>
      <c r="B1696">
        <v>0.5</v>
      </c>
    </row>
    <row r="1697" spans="1:2">
      <c r="A1697" s="1">
        <v>44837</v>
      </c>
      <c r="B1697">
        <v>0.21</v>
      </c>
    </row>
    <row r="1698" spans="1:2">
      <c r="A1698" s="1">
        <v>44838</v>
      </c>
      <c r="B1698">
        <v>0.17</v>
      </c>
    </row>
    <row r="1699" spans="1:2">
      <c r="A1699" s="1">
        <v>44839</v>
      </c>
      <c r="B1699">
        <v>0.3</v>
      </c>
    </row>
    <row r="1700" spans="1:2">
      <c r="A1700" s="1">
        <v>44840</v>
      </c>
      <c r="B1700">
        <v>0.37</v>
      </c>
    </row>
    <row r="1701" spans="1:2">
      <c r="A1701" s="1">
        <v>44841</v>
      </c>
      <c r="B1701">
        <v>0.44</v>
      </c>
    </row>
    <row r="1702" spans="1:2">
      <c r="A1702" s="1">
        <v>44844</v>
      </c>
    </row>
    <row r="1703" spans="1:2">
      <c r="A1703" s="1">
        <v>44845</v>
      </c>
      <c r="B1703">
        <v>0.26</v>
      </c>
    </row>
    <row r="1704" spans="1:2">
      <c r="A1704" s="1">
        <v>44846</v>
      </c>
      <c r="B1704">
        <v>0.21</v>
      </c>
    </row>
    <row r="1705" spans="1:2">
      <c r="A1705" s="1">
        <v>44847</v>
      </c>
      <c r="B1705">
        <v>0.18</v>
      </c>
    </row>
    <row r="1706" spans="1:2">
      <c r="A1706" s="1">
        <v>44848</v>
      </c>
      <c r="B1706">
        <v>0.19</v>
      </c>
    </row>
    <row r="1707" spans="1:2">
      <c r="A1707" s="1">
        <v>44851</v>
      </c>
      <c r="B1707">
        <v>0.05</v>
      </c>
    </row>
    <row r="1708" spans="1:2">
      <c r="A1708" s="1">
        <v>44852</v>
      </c>
      <c r="B1708">
        <v>-0.03</v>
      </c>
    </row>
    <row r="1709" spans="1:2">
      <c r="A1709" s="1">
        <v>44853</v>
      </c>
      <c r="B1709">
        <v>7.0000000000000007E-2</v>
      </c>
    </row>
    <row r="1710" spans="1:2">
      <c r="A1710" s="1">
        <v>44854</v>
      </c>
      <c r="B1710">
        <v>0.15</v>
      </c>
    </row>
    <row r="1711" spans="1:2">
      <c r="A1711" s="1">
        <v>44855</v>
      </c>
      <c r="B1711">
        <v>0.12</v>
      </c>
    </row>
    <row r="1712" spans="1:2">
      <c r="A1712" s="1">
        <v>44858</v>
      </c>
      <c r="B1712">
        <v>0.09</v>
      </c>
    </row>
    <row r="1713" spans="1:2">
      <c r="A1713" s="1">
        <v>44859</v>
      </c>
      <c r="B1713">
        <v>-0.04</v>
      </c>
    </row>
    <row r="1714" spans="1:2">
      <c r="A1714" s="1">
        <v>44860</v>
      </c>
      <c r="B1714">
        <v>-7.0000000000000007E-2</v>
      </c>
    </row>
    <row r="1715" spans="1:2">
      <c r="A1715" s="1">
        <v>44861</v>
      </c>
      <c r="B1715">
        <v>-0.17</v>
      </c>
    </row>
    <row r="1716" spans="1:2">
      <c r="A1716" s="1">
        <v>44862</v>
      </c>
      <c r="B1716">
        <v>-0.16</v>
      </c>
    </row>
    <row r="1717" spans="1:2">
      <c r="A1717" s="1">
        <v>44865</v>
      </c>
      <c r="B1717">
        <v>-0.12</v>
      </c>
    </row>
    <row r="1718" spans="1:2">
      <c r="A1718" s="1">
        <v>44866</v>
      </c>
      <c r="B1718">
        <v>-0.16</v>
      </c>
    </row>
    <row r="1719" spans="1:2">
      <c r="A1719" s="1">
        <v>44867</v>
      </c>
      <c r="B1719">
        <v>-0.12</v>
      </c>
    </row>
    <row r="1720" spans="1:2">
      <c r="A1720" s="1">
        <v>44868</v>
      </c>
      <c r="B1720">
        <v>-0.11</v>
      </c>
    </row>
    <row r="1721" spans="1:2">
      <c r="A1721" s="1">
        <v>44869</v>
      </c>
      <c r="B1721">
        <v>-0.04</v>
      </c>
    </row>
    <row r="1722" spans="1:2">
      <c r="A1722" s="1">
        <v>44872</v>
      </c>
      <c r="B1722">
        <v>-7.0000000000000007E-2</v>
      </c>
    </row>
    <row r="1723" spans="1:2">
      <c r="A1723" s="1">
        <v>44873</v>
      </c>
      <c r="B1723">
        <v>-0.14000000000000001</v>
      </c>
    </row>
    <row r="1724" spans="1:2">
      <c r="A1724" s="1">
        <v>44874</v>
      </c>
      <c r="B1724">
        <v>-0.17</v>
      </c>
    </row>
    <row r="1725" spans="1:2">
      <c r="A1725" s="1">
        <v>44875</v>
      </c>
      <c r="B1725">
        <v>-0.46</v>
      </c>
    </row>
    <row r="1726" spans="1:2">
      <c r="A1726" s="1">
        <v>44876</v>
      </c>
    </row>
    <row r="1727" spans="1:2">
      <c r="A1727" s="1">
        <v>44879</v>
      </c>
      <c r="B1727">
        <v>-0.46</v>
      </c>
    </row>
    <row r="1728" spans="1:2">
      <c r="A1728" s="1">
        <v>44880</v>
      </c>
      <c r="B1728">
        <v>-0.51</v>
      </c>
    </row>
    <row r="1729" spans="1:2">
      <c r="A1729" s="1">
        <v>44881</v>
      </c>
      <c r="B1729">
        <v>-0.65</v>
      </c>
    </row>
    <row r="1730" spans="1:2">
      <c r="A1730" s="1">
        <v>44882</v>
      </c>
      <c r="B1730">
        <v>-0.55000000000000004</v>
      </c>
    </row>
    <row r="1731" spans="1:2">
      <c r="A1731" s="1">
        <v>44883</v>
      </c>
      <c r="B1731">
        <v>-0.52</v>
      </c>
    </row>
    <row r="1732" spans="1:2">
      <c r="A1732" s="1">
        <v>44886</v>
      </c>
      <c r="B1732">
        <v>-0.57999999999999996</v>
      </c>
    </row>
    <row r="1733" spans="1:2">
      <c r="A1733" s="1">
        <v>44887</v>
      </c>
      <c r="B1733">
        <v>-0.64</v>
      </c>
    </row>
    <row r="1734" spans="1:2">
      <c r="A1734" s="1">
        <v>44888</v>
      </c>
      <c r="B1734">
        <v>-0.69</v>
      </c>
    </row>
    <row r="1735" spans="1:2">
      <c r="A1735" s="1">
        <v>44889</v>
      </c>
    </row>
    <row r="1736" spans="1:2">
      <c r="A1736" s="1">
        <v>44890</v>
      </c>
      <c r="B1736">
        <v>-0.73</v>
      </c>
    </row>
    <row r="1737" spans="1:2">
      <c r="A1737" s="1">
        <v>44893</v>
      </c>
      <c r="B1737">
        <v>-0.72</v>
      </c>
    </row>
    <row r="1738" spans="1:2">
      <c r="A1738" s="1">
        <v>44894</v>
      </c>
      <c r="B1738">
        <v>-0.63</v>
      </c>
    </row>
    <row r="1739" spans="1:2">
      <c r="A1739" s="1">
        <v>44895</v>
      </c>
      <c r="B1739">
        <v>-0.69</v>
      </c>
    </row>
    <row r="1740" spans="1:2">
      <c r="A1740" s="1">
        <v>44896</v>
      </c>
      <c r="B1740">
        <v>-0.8</v>
      </c>
    </row>
    <row r="1741" spans="1:2">
      <c r="A1741" s="1">
        <v>44897</v>
      </c>
      <c r="B1741">
        <v>-0.83</v>
      </c>
    </row>
    <row r="1742" spans="1:2">
      <c r="A1742" s="1">
        <v>44900</v>
      </c>
      <c r="B1742">
        <v>-0.76</v>
      </c>
    </row>
    <row r="1743" spans="1:2">
      <c r="A1743" s="1">
        <v>44901</v>
      </c>
      <c r="B1743">
        <v>-0.86</v>
      </c>
    </row>
    <row r="1744" spans="1:2">
      <c r="A1744" s="1">
        <v>44902</v>
      </c>
      <c r="B1744">
        <v>-0.87</v>
      </c>
    </row>
    <row r="1745" spans="1:2">
      <c r="A1745" s="1">
        <v>44903</v>
      </c>
      <c r="B1745">
        <v>-0.8</v>
      </c>
    </row>
    <row r="1746" spans="1:2">
      <c r="A1746" s="1">
        <v>44904</v>
      </c>
      <c r="B1746">
        <v>-0.74</v>
      </c>
    </row>
    <row r="1747" spans="1:2">
      <c r="A1747" s="1">
        <v>44907</v>
      </c>
      <c r="B1747">
        <v>-0.77</v>
      </c>
    </row>
    <row r="1748" spans="1:2">
      <c r="A1748" s="1">
        <v>44908</v>
      </c>
      <c r="B1748">
        <v>-0.84</v>
      </c>
    </row>
    <row r="1749" spans="1:2">
      <c r="A1749" s="1">
        <v>44909</v>
      </c>
      <c r="B1749">
        <v>-0.84</v>
      </c>
    </row>
    <row r="1750" spans="1:2">
      <c r="A1750" s="1">
        <v>44910</v>
      </c>
      <c r="B1750">
        <v>-0.9</v>
      </c>
    </row>
    <row r="1751" spans="1:2">
      <c r="A1751" s="1">
        <v>44911</v>
      </c>
      <c r="B1751">
        <v>-0.83</v>
      </c>
    </row>
    <row r="1752" spans="1:2">
      <c r="A1752" s="1">
        <v>44914</v>
      </c>
      <c r="B1752">
        <v>-0.8</v>
      </c>
    </row>
    <row r="1753" spans="1:2">
      <c r="A1753" s="1">
        <v>44915</v>
      </c>
      <c r="B1753">
        <v>-0.66</v>
      </c>
    </row>
    <row r="1754" spans="1:2">
      <c r="A1754" s="1">
        <v>44916</v>
      </c>
      <c r="B1754">
        <v>-0.65</v>
      </c>
    </row>
    <row r="1755" spans="1:2">
      <c r="A1755" s="1">
        <v>44917</v>
      </c>
      <c r="B1755">
        <v>-0.68</v>
      </c>
    </row>
    <row r="1756" spans="1:2">
      <c r="A1756" s="1">
        <v>44918</v>
      </c>
      <c r="B1756">
        <v>-0.59</v>
      </c>
    </row>
    <row r="1757" spans="1:2">
      <c r="A1757" s="1">
        <v>44921</v>
      </c>
    </row>
    <row r="1758" spans="1:2">
      <c r="A1758" s="1">
        <v>44922</v>
      </c>
      <c r="B1758">
        <v>-0.62</v>
      </c>
    </row>
    <row r="1759" spans="1:2">
      <c r="A1759" s="1">
        <v>44923</v>
      </c>
      <c r="B1759">
        <v>-0.57999999999999996</v>
      </c>
    </row>
    <row r="1760" spans="1:2">
      <c r="A1760" s="1">
        <v>44924</v>
      </c>
      <c r="B1760">
        <v>-0.62</v>
      </c>
    </row>
    <row r="1761" spans="1:2">
      <c r="A1761" s="1">
        <v>44925</v>
      </c>
      <c r="B1761">
        <v>-0.54</v>
      </c>
    </row>
    <row r="1762" spans="1:2">
      <c r="A1762" s="1">
        <v>44928</v>
      </c>
    </row>
    <row r="1763" spans="1:2">
      <c r="A1763" s="1">
        <v>44929</v>
      </c>
      <c r="B1763">
        <v>-0.74</v>
      </c>
    </row>
    <row r="1764" spans="1:2">
      <c r="A1764" s="1">
        <v>44930</v>
      </c>
      <c r="B1764">
        <v>-0.86</v>
      </c>
    </row>
    <row r="1765" spans="1:2">
      <c r="A1765" s="1">
        <v>44931</v>
      </c>
      <c r="B1765">
        <v>-0.95</v>
      </c>
    </row>
    <row r="1766" spans="1:2">
      <c r="A1766" s="1">
        <v>44932</v>
      </c>
      <c r="B1766">
        <v>-1.1200000000000001</v>
      </c>
    </row>
    <row r="1767" spans="1:2">
      <c r="A1767" s="1">
        <v>44935</v>
      </c>
      <c r="B1767">
        <v>-1.17</v>
      </c>
    </row>
    <row r="1768" spans="1:2">
      <c r="A1768" s="1">
        <v>44936</v>
      </c>
      <c r="B1768">
        <v>-1.1200000000000001</v>
      </c>
    </row>
    <row r="1769" spans="1:2">
      <c r="A1769" s="1">
        <v>44937</v>
      </c>
      <c r="B1769">
        <v>-1.18</v>
      </c>
    </row>
    <row r="1770" spans="1:2">
      <c r="A1770" s="1">
        <v>44938</v>
      </c>
      <c r="B1770">
        <v>-1.23</v>
      </c>
    </row>
    <row r="1771" spans="1:2">
      <c r="A1771" s="1">
        <v>44939</v>
      </c>
      <c r="B1771">
        <v>-1.18</v>
      </c>
    </row>
    <row r="1772" spans="1:2">
      <c r="A1772" s="1">
        <v>44942</v>
      </c>
    </row>
    <row r="1773" spans="1:2">
      <c r="A1773" s="1">
        <v>44943</v>
      </c>
      <c r="B1773">
        <v>-1.18</v>
      </c>
    </row>
    <row r="1774" spans="1:2">
      <c r="A1774" s="1">
        <v>44944</v>
      </c>
      <c r="B1774">
        <v>-1.32</v>
      </c>
    </row>
    <row r="1775" spans="1:2">
      <c r="A1775" s="1">
        <v>44945</v>
      </c>
      <c r="B1775">
        <v>-1.32</v>
      </c>
    </row>
    <row r="1776" spans="1:2">
      <c r="A1776" s="1">
        <v>44946</v>
      </c>
      <c r="B1776">
        <v>-1.24</v>
      </c>
    </row>
    <row r="1777" spans="1:2">
      <c r="A1777" s="1">
        <v>44949</v>
      </c>
      <c r="B1777">
        <v>-1.21</v>
      </c>
    </row>
    <row r="1778" spans="1:2">
      <c r="A1778" s="1">
        <v>44950</v>
      </c>
      <c r="B1778">
        <v>-1.26</v>
      </c>
    </row>
    <row r="1779" spans="1:2">
      <c r="A1779" s="1">
        <v>44951</v>
      </c>
      <c r="B1779">
        <v>-1.26</v>
      </c>
    </row>
    <row r="1780" spans="1:2">
      <c r="A1780" s="1">
        <v>44952</v>
      </c>
      <c r="B1780">
        <v>-1.22</v>
      </c>
    </row>
    <row r="1781" spans="1:2">
      <c r="A1781" s="1">
        <v>44953</v>
      </c>
      <c r="B1781">
        <v>-1.21</v>
      </c>
    </row>
    <row r="1782" spans="1:2">
      <c r="A1782" s="1">
        <v>44956</v>
      </c>
      <c r="B1782">
        <v>-1.17</v>
      </c>
    </row>
    <row r="1783" spans="1:2">
      <c r="A1783" s="1">
        <v>44957</v>
      </c>
      <c r="B1783">
        <v>-1.18</v>
      </c>
    </row>
    <row r="1784" spans="1:2">
      <c r="A1784" s="1">
        <v>44958</v>
      </c>
      <c r="B1784">
        <v>-1.27</v>
      </c>
    </row>
    <row r="1785" spans="1:2">
      <c r="A1785" s="1">
        <v>44959</v>
      </c>
      <c r="B1785">
        <v>-1.26</v>
      </c>
    </row>
    <row r="1786" spans="1:2">
      <c r="A1786" s="1">
        <v>44960</v>
      </c>
      <c r="B1786">
        <v>-1.17</v>
      </c>
    </row>
    <row r="1787" spans="1:2">
      <c r="A1787" s="1">
        <v>44963</v>
      </c>
      <c r="B1787">
        <v>-1.08</v>
      </c>
    </row>
    <row r="1788" spans="1:2">
      <c r="A1788" s="1">
        <v>44964</v>
      </c>
      <c r="B1788">
        <v>-1.04</v>
      </c>
    </row>
    <row r="1789" spans="1:2">
      <c r="A1789" s="1">
        <v>44965</v>
      </c>
      <c r="B1789">
        <v>-1.0900000000000001</v>
      </c>
    </row>
    <row r="1790" spans="1:2">
      <c r="A1790" s="1">
        <v>44966</v>
      </c>
      <c r="B1790">
        <v>-1.1000000000000001</v>
      </c>
    </row>
    <row r="1791" spans="1:2">
      <c r="A1791" s="1">
        <v>44967</v>
      </c>
      <c r="B1791">
        <v>-1.05</v>
      </c>
    </row>
    <row r="1792" spans="1:2">
      <c r="A1792" s="1">
        <v>44970</v>
      </c>
      <c r="B1792">
        <v>-1.0900000000000001</v>
      </c>
    </row>
    <row r="1793" spans="1:2">
      <c r="A1793" s="1">
        <v>44971</v>
      </c>
      <c r="B1793">
        <v>-1.03</v>
      </c>
    </row>
    <row r="1794" spans="1:2">
      <c r="A1794" s="1">
        <v>44972</v>
      </c>
      <c r="B1794">
        <v>-0.98</v>
      </c>
    </row>
    <row r="1795" spans="1:2">
      <c r="A1795" s="1">
        <v>44973</v>
      </c>
      <c r="B1795">
        <v>-0.98</v>
      </c>
    </row>
    <row r="1796" spans="1:2">
      <c r="A1796" s="1">
        <v>44974</v>
      </c>
      <c r="B1796">
        <v>-1.02</v>
      </c>
    </row>
    <row r="1797" spans="1:2">
      <c r="A1797" s="1">
        <v>44977</v>
      </c>
    </row>
    <row r="1798" spans="1:2">
      <c r="A1798" s="1">
        <v>44978</v>
      </c>
      <c r="B1798">
        <v>-0.91</v>
      </c>
    </row>
    <row r="1799" spans="1:2">
      <c r="A1799" s="1">
        <v>44979</v>
      </c>
      <c r="B1799">
        <v>-0.91</v>
      </c>
    </row>
    <row r="1800" spans="1:2">
      <c r="A1800" s="1">
        <v>44980</v>
      </c>
      <c r="B1800">
        <v>-0.96</v>
      </c>
    </row>
    <row r="1801" spans="1:2">
      <c r="A1801" s="1">
        <v>44981</v>
      </c>
      <c r="B1801">
        <v>-0.91</v>
      </c>
    </row>
    <row r="1802" spans="1:2">
      <c r="A1802" s="1">
        <v>44984</v>
      </c>
      <c r="B1802">
        <v>-0.97</v>
      </c>
    </row>
    <row r="1803" spans="1:2">
      <c r="A1803" s="1">
        <v>44985</v>
      </c>
      <c r="B1803">
        <v>-0.96</v>
      </c>
    </row>
    <row r="1804" spans="1:2">
      <c r="A1804" s="1">
        <v>44986</v>
      </c>
      <c r="B1804">
        <v>-0.89</v>
      </c>
    </row>
    <row r="1805" spans="1:2">
      <c r="A1805" s="1">
        <v>44987</v>
      </c>
      <c r="B1805">
        <v>-0.83</v>
      </c>
    </row>
    <row r="1806" spans="1:2">
      <c r="A1806" s="1">
        <v>44988</v>
      </c>
      <c r="B1806">
        <v>-0.94</v>
      </c>
    </row>
    <row r="1807" spans="1:2">
      <c r="A1807" s="1">
        <v>44991</v>
      </c>
      <c r="B1807">
        <v>-0.95</v>
      </c>
    </row>
    <row r="1808" spans="1:2">
      <c r="A1808" s="1">
        <v>44992</v>
      </c>
      <c r="B1808">
        <v>-1.07</v>
      </c>
    </row>
    <row r="1809" spans="1:2">
      <c r="A1809" s="1">
        <v>44993</v>
      </c>
      <c r="B1809">
        <v>-1.08</v>
      </c>
    </row>
    <row r="1810" spans="1:2">
      <c r="A1810" s="1">
        <v>44994</v>
      </c>
      <c r="B1810">
        <v>-1.1200000000000001</v>
      </c>
    </row>
    <row r="1811" spans="1:2">
      <c r="A1811" s="1">
        <v>44995</v>
      </c>
      <c r="B1811">
        <v>-1.31</v>
      </c>
    </row>
    <row r="1812" spans="1:2">
      <c r="A1812" s="1">
        <v>44998</v>
      </c>
      <c r="B1812">
        <v>-1.32</v>
      </c>
    </row>
    <row r="1813" spans="1:2">
      <c r="A1813" s="1">
        <v>44999</v>
      </c>
      <c r="B1813">
        <v>-1.24</v>
      </c>
    </row>
    <row r="1814" spans="1:2">
      <c r="A1814" s="1">
        <v>45000</v>
      </c>
      <c r="B1814">
        <v>-1.24</v>
      </c>
    </row>
    <row r="1815" spans="1:2">
      <c r="A1815" s="1">
        <v>45001</v>
      </c>
      <c r="B1815">
        <v>-1.18</v>
      </c>
    </row>
    <row r="1816" spans="1:2">
      <c r="A1816" s="1">
        <v>45002</v>
      </c>
      <c r="B1816">
        <v>-1.1299999999999999</v>
      </c>
    </row>
    <row r="1817" spans="1:2">
      <c r="A1817" s="1">
        <v>45005</v>
      </c>
      <c r="B1817">
        <v>-1.34</v>
      </c>
    </row>
    <row r="1818" spans="1:2">
      <c r="A1818" s="1">
        <v>45006</v>
      </c>
      <c r="B1818">
        <v>-1.19</v>
      </c>
    </row>
    <row r="1819" spans="1:2">
      <c r="A1819" s="1">
        <v>45007</v>
      </c>
      <c r="B1819">
        <v>-1.31</v>
      </c>
    </row>
    <row r="1820" spans="1:2">
      <c r="A1820" s="1">
        <v>45008</v>
      </c>
      <c r="B1820">
        <v>-1.35</v>
      </c>
    </row>
    <row r="1821" spans="1:2">
      <c r="A1821" s="1">
        <v>45009</v>
      </c>
      <c r="B1821">
        <v>-1.36</v>
      </c>
    </row>
    <row r="1822" spans="1:2">
      <c r="A1822" s="1">
        <v>45012</v>
      </c>
      <c r="B1822">
        <v>-1.38</v>
      </c>
    </row>
    <row r="1823" spans="1:2">
      <c r="A1823" s="1">
        <v>45013</v>
      </c>
      <c r="B1823">
        <v>-1.25</v>
      </c>
    </row>
    <row r="1824" spans="1:2">
      <c r="A1824" s="1">
        <v>45014</v>
      </c>
      <c r="B1824">
        <v>-1.23</v>
      </c>
    </row>
    <row r="1825" spans="1:2">
      <c r="A1825" s="1">
        <v>45015</v>
      </c>
      <c r="B1825">
        <v>-1.42</v>
      </c>
    </row>
    <row r="1826" spans="1:2">
      <c r="A1826" s="1">
        <v>45016</v>
      </c>
      <c r="B1826">
        <v>-1.37</v>
      </c>
    </row>
    <row r="1827" spans="1:2">
      <c r="A1827" s="1">
        <v>45019</v>
      </c>
      <c r="B1827">
        <v>-1.47</v>
      </c>
    </row>
    <row r="1828" spans="1:2">
      <c r="A1828" s="1">
        <v>45020</v>
      </c>
      <c r="B1828">
        <v>-1.53</v>
      </c>
    </row>
    <row r="1829" spans="1:2">
      <c r="A1829" s="1">
        <v>45021</v>
      </c>
      <c r="B1829">
        <v>-1.56</v>
      </c>
    </row>
    <row r="1830" spans="1:2">
      <c r="A1830" s="1">
        <v>45022</v>
      </c>
      <c r="B1830">
        <v>-1.61</v>
      </c>
    </row>
    <row r="1831" spans="1:2">
      <c r="A1831" s="1">
        <v>45023</v>
      </c>
      <c r="B1831">
        <v>-1.56</v>
      </c>
    </row>
    <row r="1832" spans="1:2">
      <c r="A1832" s="1">
        <v>45026</v>
      </c>
      <c r="B1832">
        <v>-1.67</v>
      </c>
    </row>
    <row r="1833" spans="1:2">
      <c r="A1833" s="1">
        <v>45027</v>
      </c>
      <c r="B1833">
        <v>-1.61</v>
      </c>
    </row>
    <row r="1834" spans="1:2">
      <c r="A1834" s="1">
        <v>45028</v>
      </c>
      <c r="B1834">
        <v>-1.61</v>
      </c>
    </row>
    <row r="1835" spans="1:2">
      <c r="A1835" s="1">
        <v>45029</v>
      </c>
      <c r="B1835">
        <v>-1.65</v>
      </c>
    </row>
    <row r="1836" spans="1:2">
      <c r="A1836" s="1">
        <v>45030</v>
      </c>
      <c r="B1836">
        <v>-1.62</v>
      </c>
    </row>
    <row r="1837" spans="1:2">
      <c r="A1837" s="1">
        <v>45033</v>
      </c>
      <c r="B1837">
        <v>-1.61</v>
      </c>
    </row>
    <row r="1838" spans="1:2">
      <c r="A1838" s="1">
        <v>45034</v>
      </c>
      <c r="B1838">
        <v>-1.62</v>
      </c>
    </row>
    <row r="1839" spans="1:2">
      <c r="A1839" s="1">
        <v>45035</v>
      </c>
      <c r="B1839">
        <v>-1.56</v>
      </c>
    </row>
    <row r="1840" spans="1:2">
      <c r="A1840" s="1">
        <v>45036</v>
      </c>
      <c r="B1840">
        <v>-1.58</v>
      </c>
    </row>
    <row r="1841" spans="1:2">
      <c r="A1841" s="1">
        <v>45037</v>
      </c>
      <c r="B1841">
        <v>-1.57</v>
      </c>
    </row>
    <row r="1842" spans="1:2">
      <c r="A1842" s="1">
        <v>45040</v>
      </c>
      <c r="B1842">
        <v>-1.68</v>
      </c>
    </row>
    <row r="1843" spans="1:2">
      <c r="A1843" s="1">
        <v>45041</v>
      </c>
      <c r="B1843">
        <v>-1.72</v>
      </c>
    </row>
    <row r="1844" spans="1:2">
      <c r="A1844" s="1">
        <v>45042</v>
      </c>
      <c r="B1844">
        <v>-1.73</v>
      </c>
    </row>
    <row r="1845" spans="1:2">
      <c r="A1845" s="1">
        <v>45043</v>
      </c>
      <c r="B1845">
        <v>-1.65</v>
      </c>
    </row>
    <row r="1846" spans="1:2">
      <c r="A1846" s="1">
        <v>45044</v>
      </c>
      <c r="B1846">
        <v>-1.66</v>
      </c>
    </row>
    <row r="1847" spans="1:2">
      <c r="A1847" s="1">
        <v>45047</v>
      </c>
      <c r="B1847">
        <v>-1.68</v>
      </c>
    </row>
    <row r="1848" spans="1:2">
      <c r="A1848" s="1">
        <v>45048</v>
      </c>
      <c r="B1848">
        <v>-1.8</v>
      </c>
    </row>
    <row r="1849" spans="1:2">
      <c r="A1849" s="1">
        <v>45049</v>
      </c>
      <c r="B1849">
        <v>-1.88</v>
      </c>
    </row>
    <row r="1850" spans="1:2">
      <c r="A1850" s="1">
        <v>45050</v>
      </c>
      <c r="B1850">
        <v>-1.89</v>
      </c>
    </row>
    <row r="1851" spans="1:2">
      <c r="A1851" s="1">
        <v>45051</v>
      </c>
      <c r="B1851">
        <v>-1.82</v>
      </c>
    </row>
    <row r="1852" spans="1:2">
      <c r="A1852" s="1">
        <v>45054</v>
      </c>
      <c r="B1852">
        <v>-1.79</v>
      </c>
    </row>
    <row r="1853" spans="1:2">
      <c r="A1853" s="1">
        <v>45055</v>
      </c>
      <c r="B1853">
        <v>-1.76</v>
      </c>
    </row>
    <row r="1854" spans="1:2">
      <c r="A1854" s="1">
        <v>45056</v>
      </c>
      <c r="B1854">
        <v>-1.81</v>
      </c>
    </row>
    <row r="1855" spans="1:2">
      <c r="A1855" s="1">
        <v>45057</v>
      </c>
      <c r="B1855">
        <v>-1.81</v>
      </c>
    </row>
    <row r="1856" spans="1:2">
      <c r="A1856" s="1">
        <v>45058</v>
      </c>
      <c r="B1856">
        <v>-1.79</v>
      </c>
    </row>
    <row r="1857" spans="1:2">
      <c r="A1857" s="1">
        <v>45061</v>
      </c>
      <c r="B1857">
        <v>-1.71</v>
      </c>
    </row>
    <row r="1858" spans="1:2">
      <c r="A1858" s="1">
        <v>45062</v>
      </c>
      <c r="B1858">
        <v>-1.69</v>
      </c>
    </row>
    <row r="1859" spans="1:2">
      <c r="A1859" s="1">
        <v>45063</v>
      </c>
      <c r="B1859">
        <v>-1.69</v>
      </c>
    </row>
    <row r="1860" spans="1:2">
      <c r="A1860" s="1">
        <v>45064</v>
      </c>
      <c r="B1860">
        <v>-1.66</v>
      </c>
    </row>
    <row r="1861" spans="1:2">
      <c r="A1861" s="1">
        <v>45065</v>
      </c>
      <c r="B1861">
        <v>-1.59</v>
      </c>
    </row>
    <row r="1862" spans="1:2">
      <c r="A1862" s="1">
        <v>45068</v>
      </c>
      <c r="B1862">
        <v>-1.68</v>
      </c>
    </row>
    <row r="1863" spans="1:2">
      <c r="A1863" s="1">
        <v>45069</v>
      </c>
      <c r="B1863">
        <v>-1.64</v>
      </c>
    </row>
    <row r="1864" spans="1:2">
      <c r="A1864" s="1">
        <v>45070</v>
      </c>
      <c r="B1864">
        <v>-1.64</v>
      </c>
    </row>
    <row r="1865" spans="1:2">
      <c r="A1865" s="1">
        <v>45071</v>
      </c>
      <c r="B1865">
        <v>-1.55</v>
      </c>
    </row>
    <row r="1866" spans="1:2">
      <c r="A1866" s="1">
        <v>45072</v>
      </c>
      <c r="B1866">
        <v>-1.54</v>
      </c>
    </row>
    <row r="1867" spans="1:2">
      <c r="A1867" s="1">
        <v>45075</v>
      </c>
    </row>
    <row r="1868" spans="1:2">
      <c r="A1868" s="1">
        <v>45076</v>
      </c>
      <c r="B1868">
        <v>-1.86</v>
      </c>
    </row>
    <row r="1869" spans="1:2">
      <c r="A1869" s="1">
        <v>45077</v>
      </c>
      <c r="B1869">
        <v>-1.88</v>
      </c>
    </row>
    <row r="1870" spans="1:2">
      <c r="A1870" s="1">
        <v>45078</v>
      </c>
      <c r="B1870">
        <v>-1.89</v>
      </c>
    </row>
    <row r="1871" spans="1:2">
      <c r="A1871" s="1">
        <v>45079</v>
      </c>
      <c r="B1871">
        <v>-1.81</v>
      </c>
    </row>
    <row r="1872" spans="1:2">
      <c r="A1872" s="1">
        <v>45082</v>
      </c>
      <c r="B1872">
        <v>-1.77</v>
      </c>
    </row>
    <row r="1873" spans="1:2">
      <c r="A1873" s="1">
        <v>45083</v>
      </c>
      <c r="B1873">
        <v>-1.74</v>
      </c>
    </row>
    <row r="1874" spans="1:2">
      <c r="A1874" s="1">
        <v>45084</v>
      </c>
      <c r="B1874">
        <v>-1.63</v>
      </c>
    </row>
    <row r="1875" spans="1:2">
      <c r="A1875" s="1">
        <v>45085</v>
      </c>
      <c r="B1875">
        <v>-1.65</v>
      </c>
    </row>
    <row r="1876" spans="1:2">
      <c r="A1876" s="1">
        <v>45086</v>
      </c>
      <c r="B1876">
        <v>-1.62</v>
      </c>
    </row>
    <row r="1877" spans="1:2">
      <c r="A1877" s="1">
        <v>45089</v>
      </c>
      <c r="B1877">
        <v>-1.67</v>
      </c>
    </row>
    <row r="1878" spans="1:2">
      <c r="A1878" s="1">
        <v>45090</v>
      </c>
      <c r="B1878">
        <v>-1.52</v>
      </c>
    </row>
    <row r="1879" spans="1:2">
      <c r="A1879" s="1">
        <v>45091</v>
      </c>
      <c r="B1879">
        <v>-1.53</v>
      </c>
    </row>
    <row r="1880" spans="1:2">
      <c r="A1880" s="1">
        <v>45092</v>
      </c>
      <c r="B1880">
        <v>-1.61</v>
      </c>
    </row>
    <row r="1881" spans="1:2">
      <c r="A1881" s="1">
        <v>45093</v>
      </c>
      <c r="B1881">
        <v>-1.57</v>
      </c>
    </row>
    <row r="1882" spans="1:2">
      <c r="A1882" s="1">
        <v>45096</v>
      </c>
    </row>
    <row r="1883" spans="1:2">
      <c r="A1883" s="1">
        <v>45097</v>
      </c>
      <c r="B1883">
        <v>-1.65</v>
      </c>
    </row>
    <row r="1884" spans="1:2">
      <c r="A1884" s="1">
        <v>45098</v>
      </c>
      <c r="B1884">
        <v>-1.68</v>
      </c>
    </row>
    <row r="1885" spans="1:2">
      <c r="A1885" s="1">
        <v>45099</v>
      </c>
      <c r="B1885">
        <v>-1.6</v>
      </c>
    </row>
    <row r="1886" spans="1:2">
      <c r="A1886" s="1">
        <v>45100</v>
      </c>
      <c r="B1886">
        <v>-1.67</v>
      </c>
    </row>
    <row r="1887" spans="1:2">
      <c r="A1887" s="1">
        <v>45103</v>
      </c>
      <c r="B1887">
        <v>-1.78</v>
      </c>
    </row>
    <row r="1888" spans="1:2">
      <c r="A1888" s="1">
        <v>45104</v>
      </c>
      <c r="B1888">
        <v>-1.67</v>
      </c>
    </row>
    <row r="1889" spans="1:2">
      <c r="A1889" s="1">
        <v>45105</v>
      </c>
      <c r="B1889">
        <v>-1.73</v>
      </c>
    </row>
    <row r="1890" spans="1:2">
      <c r="A1890" s="1">
        <v>45106</v>
      </c>
      <c r="B1890">
        <v>-1.61</v>
      </c>
    </row>
    <row r="1891" spans="1:2">
      <c r="A1891" s="1">
        <v>45107</v>
      </c>
      <c r="B1891">
        <v>-1.62</v>
      </c>
    </row>
    <row r="1892" spans="1:2">
      <c r="A1892" s="1">
        <v>45110</v>
      </c>
      <c r="B1892">
        <v>-1.58</v>
      </c>
    </row>
    <row r="1893" spans="1:2">
      <c r="A1893" s="1">
        <v>45111</v>
      </c>
    </row>
    <row r="1894" spans="1:2">
      <c r="A1894" s="1">
        <v>45112</v>
      </c>
      <c r="B1894">
        <v>-1.49</v>
      </c>
    </row>
    <row r="1895" spans="1:2">
      <c r="A1895" s="1">
        <v>45113</v>
      </c>
      <c r="B1895">
        <v>-1.41</v>
      </c>
    </row>
    <row r="1896" spans="1:2">
      <c r="A1896" s="1">
        <v>45114</v>
      </c>
      <c r="B1896">
        <v>-1.4</v>
      </c>
    </row>
    <row r="1897" spans="1:2">
      <c r="A1897" s="1">
        <v>45117</v>
      </c>
      <c r="B1897">
        <v>-1.47</v>
      </c>
    </row>
    <row r="1898" spans="1:2">
      <c r="A1898" s="1">
        <v>45118</v>
      </c>
      <c r="B1898">
        <v>-1.5</v>
      </c>
    </row>
    <row r="1899" spans="1:2">
      <c r="A1899" s="1">
        <v>45119</v>
      </c>
      <c r="B1899">
        <v>-1.61</v>
      </c>
    </row>
    <row r="1900" spans="1:2">
      <c r="A1900" s="1">
        <v>45120</v>
      </c>
      <c r="B1900">
        <v>-1.71</v>
      </c>
    </row>
    <row r="1901" spans="1:2">
      <c r="A1901" s="1">
        <v>45121</v>
      </c>
      <c r="B1901">
        <v>-1.66</v>
      </c>
    </row>
    <row r="1902" spans="1:2">
      <c r="A1902" s="1">
        <v>45124</v>
      </c>
      <c r="B1902">
        <v>-1.68</v>
      </c>
    </row>
    <row r="1903" spans="1:2">
      <c r="A1903" s="1">
        <v>45125</v>
      </c>
      <c r="B1903">
        <v>-1.69</v>
      </c>
    </row>
    <row r="1904" spans="1:2">
      <c r="A1904" s="1">
        <v>45126</v>
      </c>
      <c r="B1904">
        <v>-1.74</v>
      </c>
    </row>
    <row r="1905" spans="1:2">
      <c r="A1905" s="1">
        <v>45127</v>
      </c>
      <c r="B1905">
        <v>-1.64</v>
      </c>
    </row>
    <row r="1906" spans="1:2">
      <c r="A1906" s="1">
        <v>45128</v>
      </c>
      <c r="B1906">
        <v>-1.66</v>
      </c>
    </row>
    <row r="1907" spans="1:2">
      <c r="A1907" s="1">
        <v>45131</v>
      </c>
      <c r="B1907">
        <v>-1.65</v>
      </c>
    </row>
    <row r="1908" spans="1:2">
      <c r="A1908" s="1">
        <v>45132</v>
      </c>
      <c r="B1908">
        <v>-1.6</v>
      </c>
    </row>
    <row r="1909" spans="1:2">
      <c r="A1909" s="1">
        <v>45133</v>
      </c>
      <c r="B1909">
        <v>-1.65</v>
      </c>
    </row>
    <row r="1910" spans="1:2">
      <c r="A1910" s="1">
        <v>45134</v>
      </c>
      <c r="B1910">
        <v>-1.5</v>
      </c>
    </row>
    <row r="1911" spans="1:2">
      <c r="A1911" s="1">
        <v>45135</v>
      </c>
      <c r="B1911">
        <v>-1.56</v>
      </c>
    </row>
    <row r="1912" spans="1:2">
      <c r="A1912" s="1">
        <v>45138</v>
      </c>
      <c r="B1912">
        <v>-1.58</v>
      </c>
    </row>
    <row r="1913" spans="1:2">
      <c r="A1913" s="1">
        <v>45139</v>
      </c>
      <c r="B1913">
        <v>-1.49</v>
      </c>
    </row>
    <row r="1914" spans="1:2">
      <c r="A1914" s="1">
        <v>45140</v>
      </c>
      <c r="B1914">
        <v>-1.45</v>
      </c>
    </row>
    <row r="1915" spans="1:2">
      <c r="A1915" s="1">
        <v>45141</v>
      </c>
      <c r="B1915">
        <v>-1.34</v>
      </c>
    </row>
    <row r="1916" spans="1:2">
      <c r="A1916" s="1">
        <v>45142</v>
      </c>
      <c r="B1916">
        <v>-1.49</v>
      </c>
    </row>
    <row r="1917" spans="1:2">
      <c r="A1917" s="1">
        <v>45145</v>
      </c>
      <c r="B1917">
        <v>-1.47</v>
      </c>
    </row>
    <row r="1918" spans="1:2">
      <c r="A1918" s="1">
        <v>45146</v>
      </c>
      <c r="B1918">
        <v>-1.55</v>
      </c>
    </row>
    <row r="1919" spans="1:2">
      <c r="A1919" s="1">
        <v>45147</v>
      </c>
      <c r="B1919">
        <v>-1.55</v>
      </c>
    </row>
    <row r="1920" spans="1:2">
      <c r="A1920" s="1">
        <v>45148</v>
      </c>
      <c r="B1920">
        <v>-1.45</v>
      </c>
    </row>
    <row r="1921" spans="1:2">
      <c r="A1921" s="1">
        <v>45149</v>
      </c>
      <c r="B1921">
        <v>-1.38</v>
      </c>
    </row>
    <row r="1922" spans="1:2">
      <c r="A1922" s="1">
        <v>45152</v>
      </c>
      <c r="B1922">
        <v>-1.37</v>
      </c>
    </row>
    <row r="1923" spans="1:2">
      <c r="A1923" s="1">
        <v>45153</v>
      </c>
      <c r="B1923">
        <v>-1.35</v>
      </c>
    </row>
    <row r="1924" spans="1:2">
      <c r="A1924" s="1">
        <v>45154</v>
      </c>
      <c r="B1924">
        <v>-1.28</v>
      </c>
    </row>
    <row r="1925" spans="1:2">
      <c r="A1925" s="1">
        <v>45155</v>
      </c>
      <c r="B1925">
        <v>-1.26</v>
      </c>
    </row>
    <row r="1926" spans="1:2">
      <c r="A1926" s="1">
        <v>45156</v>
      </c>
      <c r="B1926">
        <v>-1.29</v>
      </c>
    </row>
    <row r="1927" spans="1:2">
      <c r="A1927" s="1">
        <v>45159</v>
      </c>
      <c r="B1927">
        <v>-1.23</v>
      </c>
    </row>
    <row r="1928" spans="1:2">
      <c r="A1928" s="1">
        <v>45160</v>
      </c>
      <c r="B1928">
        <v>-1.23</v>
      </c>
    </row>
    <row r="1929" spans="1:2">
      <c r="A1929" s="1">
        <v>45161</v>
      </c>
      <c r="B1929">
        <v>-1.38</v>
      </c>
    </row>
    <row r="1930" spans="1:2">
      <c r="A1930" s="1">
        <v>45162</v>
      </c>
      <c r="B1930">
        <v>-1.35</v>
      </c>
    </row>
    <row r="1931" spans="1:2">
      <c r="A1931" s="1">
        <v>45163</v>
      </c>
      <c r="B1931">
        <v>-1.36</v>
      </c>
    </row>
    <row r="1932" spans="1:2">
      <c r="A1932" s="1">
        <v>45166</v>
      </c>
      <c r="B1932">
        <v>-1.38</v>
      </c>
    </row>
    <row r="1933" spans="1:2">
      <c r="A1933" s="1">
        <v>45167</v>
      </c>
      <c r="B1933">
        <v>-1.44</v>
      </c>
    </row>
    <row r="1934" spans="1:2">
      <c r="A1934" s="1">
        <v>45168</v>
      </c>
      <c r="B1934">
        <v>-1.44</v>
      </c>
    </row>
    <row r="1935" spans="1:2">
      <c r="A1935" s="1">
        <v>45169</v>
      </c>
      <c r="B1935">
        <v>-1.47</v>
      </c>
    </row>
    <row r="1936" spans="1:2">
      <c r="A1936" s="1">
        <v>45170</v>
      </c>
      <c r="B1936">
        <v>-1.35</v>
      </c>
    </row>
    <row r="1937" spans="1:2">
      <c r="A1937" s="1">
        <v>45173</v>
      </c>
    </row>
    <row r="1938" spans="1:2">
      <c r="A1938" s="1">
        <v>45174</v>
      </c>
      <c r="B1938">
        <v>-1.28</v>
      </c>
    </row>
    <row r="1939" spans="1:2">
      <c r="A1939" s="1">
        <v>45175</v>
      </c>
      <c r="B1939">
        <v>-1.25</v>
      </c>
    </row>
    <row r="1940" spans="1:2">
      <c r="A1940" s="1">
        <v>45176</v>
      </c>
      <c r="B1940">
        <v>-1.26</v>
      </c>
    </row>
    <row r="1941" spans="1:2">
      <c r="A1941" s="1">
        <v>45177</v>
      </c>
      <c r="B1941">
        <v>-1.29</v>
      </c>
    </row>
    <row r="1942" spans="1:2">
      <c r="A1942" s="1">
        <v>45180</v>
      </c>
      <c r="B1942">
        <v>-1.26</v>
      </c>
    </row>
    <row r="1943" spans="1:2">
      <c r="A1943" s="1">
        <v>45181</v>
      </c>
      <c r="B1943">
        <v>-1.29</v>
      </c>
    </row>
    <row r="1944" spans="1:2">
      <c r="A1944" s="1">
        <v>45182</v>
      </c>
      <c r="B1944">
        <v>-1.3</v>
      </c>
    </row>
    <row r="1945" spans="1:2">
      <c r="A1945" s="1">
        <v>45183</v>
      </c>
      <c r="B1945">
        <v>-1.26</v>
      </c>
    </row>
    <row r="1946" spans="1:2">
      <c r="A1946" s="1">
        <v>45184</v>
      </c>
      <c r="B1946">
        <v>-1.23</v>
      </c>
    </row>
    <row r="1947" spans="1:2">
      <c r="A1947" s="1">
        <v>45187</v>
      </c>
      <c r="B1947">
        <v>-1.23</v>
      </c>
    </row>
    <row r="1948" spans="1:2">
      <c r="A1948" s="1">
        <v>45188</v>
      </c>
      <c r="B1948">
        <v>-1.17</v>
      </c>
    </row>
    <row r="1949" spans="1:2">
      <c r="A1949" s="1">
        <v>45189</v>
      </c>
      <c r="B1949">
        <v>-1.21</v>
      </c>
    </row>
    <row r="1950" spans="1:2">
      <c r="A1950" s="1">
        <v>45190</v>
      </c>
      <c r="B1950">
        <v>-1.08</v>
      </c>
    </row>
    <row r="1951" spans="1:2">
      <c r="A1951" s="1">
        <v>45191</v>
      </c>
      <c r="B1951">
        <v>-1.1200000000000001</v>
      </c>
    </row>
    <row r="1952" spans="1:2">
      <c r="A1952" s="1">
        <v>45194</v>
      </c>
      <c r="B1952">
        <v>-1.03</v>
      </c>
    </row>
    <row r="1953" spans="1:2">
      <c r="A1953" s="1">
        <v>45195</v>
      </c>
      <c r="B1953">
        <v>-1.02</v>
      </c>
    </row>
    <row r="1954" spans="1:2">
      <c r="A1954" s="1">
        <v>45196</v>
      </c>
      <c r="B1954">
        <v>-0.97</v>
      </c>
    </row>
    <row r="1955" spans="1:2">
      <c r="A1955" s="1">
        <v>45197</v>
      </c>
      <c r="B1955">
        <v>-0.97</v>
      </c>
    </row>
    <row r="1956" spans="1:2">
      <c r="A1956" s="1">
        <v>45198</v>
      </c>
      <c r="B1956">
        <v>-0.96</v>
      </c>
    </row>
    <row r="1957" spans="1:2">
      <c r="A1957" s="1">
        <v>45201</v>
      </c>
      <c r="B1957">
        <v>-0.93</v>
      </c>
    </row>
    <row r="1958" spans="1:2">
      <c r="A1958" s="1">
        <v>45202</v>
      </c>
      <c r="B1958">
        <v>-0.81</v>
      </c>
    </row>
    <row r="1959" spans="1:2">
      <c r="A1959" s="1">
        <v>45203</v>
      </c>
      <c r="B1959">
        <v>-0.88</v>
      </c>
    </row>
    <row r="1960" spans="1:2">
      <c r="A1960" s="1">
        <v>45204</v>
      </c>
      <c r="B1960">
        <v>-0.89</v>
      </c>
    </row>
    <row r="1961" spans="1:2">
      <c r="A1961" s="1">
        <v>45205</v>
      </c>
      <c r="B1961">
        <v>-0.85</v>
      </c>
    </row>
    <row r="1962" spans="1:2">
      <c r="A1962" s="1">
        <v>45208</v>
      </c>
    </row>
    <row r="1963" spans="1:2">
      <c r="A1963" s="1">
        <v>45209</v>
      </c>
      <c r="B1963">
        <v>-0.95</v>
      </c>
    </row>
    <row r="1964" spans="1:2">
      <c r="A1964" s="1">
        <v>45210</v>
      </c>
      <c r="B1964">
        <v>-1.03</v>
      </c>
    </row>
    <row r="1965" spans="1:2">
      <c r="A1965" s="1">
        <v>45211</v>
      </c>
      <c r="B1965">
        <v>-0.93</v>
      </c>
    </row>
    <row r="1966" spans="1:2">
      <c r="A1966" s="1">
        <v>45212</v>
      </c>
      <c r="B1966">
        <v>-0.99</v>
      </c>
    </row>
    <row r="1967" spans="1:2">
      <c r="A1967" s="1">
        <v>45215</v>
      </c>
      <c r="B1967">
        <v>-0.9</v>
      </c>
    </row>
    <row r="1968" spans="1:2">
      <c r="A1968" s="1">
        <v>45216</v>
      </c>
      <c r="B1968">
        <v>-0.79</v>
      </c>
    </row>
    <row r="1969" spans="1:2">
      <c r="A1969" s="1">
        <v>45217</v>
      </c>
      <c r="B1969">
        <v>-0.7</v>
      </c>
    </row>
    <row r="1970" spans="1:2">
      <c r="A1970" s="1">
        <v>45218</v>
      </c>
      <c r="B1970">
        <v>-0.62</v>
      </c>
    </row>
    <row r="1971" spans="1:2">
      <c r="A1971" s="1">
        <v>45219</v>
      </c>
      <c r="B1971">
        <v>-0.65</v>
      </c>
    </row>
    <row r="1972" spans="1:2">
      <c r="A1972" s="1">
        <v>45222</v>
      </c>
      <c r="B1972">
        <v>-0.72</v>
      </c>
    </row>
    <row r="1973" spans="1:2">
      <c r="A1973" s="1">
        <v>45223</v>
      </c>
      <c r="B1973">
        <v>-0.75</v>
      </c>
    </row>
    <row r="1974" spans="1:2">
      <c r="A1974" s="1">
        <v>45224</v>
      </c>
      <c r="B1974">
        <v>-0.64</v>
      </c>
    </row>
    <row r="1975" spans="1:2">
      <c r="A1975" s="1">
        <v>45225</v>
      </c>
      <c r="B1975">
        <v>-0.73</v>
      </c>
    </row>
    <row r="1976" spans="1:2">
      <c r="A1976" s="1">
        <v>45226</v>
      </c>
      <c r="B1976">
        <v>-0.75</v>
      </c>
    </row>
    <row r="1977" spans="1:2">
      <c r="A1977" s="1">
        <v>45229</v>
      </c>
      <c r="B1977">
        <v>-0.72</v>
      </c>
    </row>
    <row r="1978" spans="1:2">
      <c r="A1978" s="1">
        <v>45230</v>
      </c>
      <c r="B1978">
        <v>-0.71</v>
      </c>
    </row>
    <row r="1979" spans="1:2">
      <c r="A1979" s="1">
        <v>45231</v>
      </c>
      <c r="B1979">
        <v>-0.8</v>
      </c>
    </row>
    <row r="1980" spans="1:2">
      <c r="A1980" s="1">
        <v>45232</v>
      </c>
      <c r="B1980">
        <v>-0.87</v>
      </c>
    </row>
    <row r="1981" spans="1:2">
      <c r="A1981" s="1">
        <v>45233</v>
      </c>
      <c r="B1981">
        <v>-0.96</v>
      </c>
    </row>
    <row r="1982" spans="1:2">
      <c r="A1982" s="1">
        <v>45236</v>
      </c>
      <c r="B1982">
        <v>-0.89</v>
      </c>
    </row>
    <row r="1983" spans="1:2">
      <c r="A1983" s="1">
        <v>45237</v>
      </c>
      <c r="B1983">
        <v>-0.97</v>
      </c>
    </row>
    <row r="1984" spans="1:2">
      <c r="A1984" s="1">
        <v>45238</v>
      </c>
      <c r="B1984">
        <v>-1.05</v>
      </c>
    </row>
    <row r="1985" spans="1:2">
      <c r="A1985" s="1">
        <v>45239</v>
      </c>
      <c r="B1985">
        <v>-0.92</v>
      </c>
    </row>
    <row r="1986" spans="1:2">
      <c r="A1986" s="1">
        <v>45240</v>
      </c>
      <c r="B1986">
        <v>-0.92</v>
      </c>
    </row>
    <row r="1987" spans="1:2">
      <c r="A1987" s="1">
        <v>45243</v>
      </c>
      <c r="B1987">
        <v>-0.92</v>
      </c>
    </row>
    <row r="1988" spans="1:2">
      <c r="A1988" s="1">
        <v>45244</v>
      </c>
      <c r="B1988">
        <v>-1.08</v>
      </c>
    </row>
    <row r="1989" spans="1:2">
      <c r="A1989" s="1">
        <v>45245</v>
      </c>
      <c r="B1989">
        <v>-1</v>
      </c>
    </row>
    <row r="1990" spans="1:2">
      <c r="A1990" s="1">
        <v>45246</v>
      </c>
      <c r="B1990">
        <v>-1.06</v>
      </c>
    </row>
    <row r="1991" spans="1:2">
      <c r="A1991" s="1">
        <v>45247</v>
      </c>
      <c r="B1991">
        <v>-1.06</v>
      </c>
    </row>
    <row r="1992" spans="1:2">
      <c r="A1992" s="1">
        <v>45250</v>
      </c>
      <c r="B1992">
        <v>-1.1200000000000001</v>
      </c>
    </row>
    <row r="1993" spans="1:2">
      <c r="A1993" s="1">
        <v>45251</v>
      </c>
      <c r="B1993">
        <v>-1.1200000000000001</v>
      </c>
    </row>
    <row r="1994" spans="1:2">
      <c r="A1994" s="1">
        <v>45252</v>
      </c>
      <c r="B1994">
        <v>-1.1200000000000001</v>
      </c>
    </row>
    <row r="1995" spans="1:2">
      <c r="A1995" s="1">
        <v>45253</v>
      </c>
    </row>
    <row r="1996" spans="1:2">
      <c r="A1996" s="1">
        <v>45254</v>
      </c>
      <c r="B1996">
        <v>-1.07</v>
      </c>
    </row>
    <row r="1997" spans="1:2">
      <c r="A1997" s="1">
        <v>45257</v>
      </c>
      <c r="B1997">
        <v>-1.1000000000000001</v>
      </c>
    </row>
    <row r="1998" spans="1:2">
      <c r="A1998" s="1">
        <v>45258</v>
      </c>
      <c r="B1998">
        <v>-1.1299999999999999</v>
      </c>
    </row>
    <row r="1999" spans="1:2">
      <c r="A1999" s="1">
        <v>45259</v>
      </c>
      <c r="B1999">
        <v>-1.18</v>
      </c>
    </row>
    <row r="2000" spans="1:2">
      <c r="A2000" s="1">
        <v>45260</v>
      </c>
      <c r="B2000">
        <v>-1.08</v>
      </c>
    </row>
    <row r="2001" spans="1:2">
      <c r="A2001" s="1">
        <v>45261</v>
      </c>
      <c r="B2001">
        <v>-1.21</v>
      </c>
    </row>
    <row r="2002" spans="1:2">
      <c r="A2002" s="1">
        <v>45264</v>
      </c>
      <c r="B2002">
        <v>-1.18</v>
      </c>
    </row>
    <row r="2003" spans="1:2">
      <c r="A2003" s="1">
        <v>45265</v>
      </c>
      <c r="B2003">
        <v>-1.27</v>
      </c>
    </row>
    <row r="2004" spans="1:2">
      <c r="A2004" s="1">
        <v>45266</v>
      </c>
      <c r="B2004">
        <v>-1.33</v>
      </c>
    </row>
    <row r="2005" spans="1:2">
      <c r="A2005" s="1">
        <v>45267</v>
      </c>
      <c r="B2005">
        <v>-1.3</v>
      </c>
    </row>
    <row r="2006" spans="1:2">
      <c r="A2006" s="1">
        <v>45268</v>
      </c>
      <c r="B2006">
        <v>-1.21</v>
      </c>
    </row>
    <row r="2007" spans="1:2">
      <c r="A2007" s="1">
        <v>45271</v>
      </c>
      <c r="B2007">
        <v>-1.24</v>
      </c>
    </row>
    <row r="2008" spans="1:2">
      <c r="A2008" s="1">
        <v>45272</v>
      </c>
      <c r="B2008">
        <v>-1.26</v>
      </c>
    </row>
    <row r="2009" spans="1:2">
      <c r="A2009" s="1">
        <v>45273</v>
      </c>
      <c r="B2009">
        <v>-1.4</v>
      </c>
    </row>
    <row r="2010" spans="1:2">
      <c r="A2010" s="1">
        <v>45274</v>
      </c>
      <c r="B2010">
        <v>-1.51</v>
      </c>
    </row>
    <row r="2011" spans="1:2">
      <c r="A2011" s="1">
        <v>45275</v>
      </c>
      <c r="B2011">
        <v>-1.53</v>
      </c>
    </row>
    <row r="2012" spans="1:2">
      <c r="A2012" s="1">
        <v>45278</v>
      </c>
      <c r="B2012">
        <v>-1.51</v>
      </c>
    </row>
    <row r="2013" spans="1:2">
      <c r="A2013" s="1">
        <v>45279</v>
      </c>
      <c r="B2013">
        <v>-1.5</v>
      </c>
    </row>
    <row r="2014" spans="1:2">
      <c r="A2014" s="1">
        <v>45280</v>
      </c>
      <c r="B2014">
        <v>-1.58</v>
      </c>
    </row>
    <row r="2015" spans="1:2">
      <c r="A2015" s="1">
        <v>45281</v>
      </c>
      <c r="B2015">
        <v>-1.53</v>
      </c>
    </row>
    <row r="2016" spans="1:2">
      <c r="A2016" s="1">
        <v>45282</v>
      </c>
      <c r="B2016">
        <v>-1.54</v>
      </c>
    </row>
    <row r="2017" spans="1:2">
      <c r="A2017" s="1">
        <v>45285</v>
      </c>
    </row>
    <row r="2018" spans="1:2">
      <c r="A2018" s="1">
        <v>45286</v>
      </c>
      <c r="B2018">
        <v>-1.56</v>
      </c>
    </row>
    <row r="2019" spans="1:2">
      <c r="A2019" s="1">
        <v>45287</v>
      </c>
      <c r="B2019">
        <v>-1.65</v>
      </c>
    </row>
    <row r="2020" spans="1:2">
      <c r="A2020" s="1">
        <v>45288</v>
      </c>
      <c r="B2020">
        <v>-1.61</v>
      </c>
    </row>
    <row r="2021" spans="1:2">
      <c r="A2021" s="1">
        <v>45289</v>
      </c>
      <c r="B2021">
        <v>-1.52</v>
      </c>
    </row>
    <row r="2022" spans="1:2">
      <c r="A2022" s="1">
        <v>45292</v>
      </c>
    </row>
    <row r="2023" spans="1:2">
      <c r="A2023" s="1">
        <v>45293</v>
      </c>
      <c r="B2023">
        <v>-1.51</v>
      </c>
    </row>
    <row r="2024" spans="1:2">
      <c r="A2024" s="1">
        <v>45294</v>
      </c>
      <c r="B2024">
        <v>-1.57</v>
      </c>
    </row>
    <row r="2025" spans="1:2">
      <c r="A2025" s="1">
        <v>45295</v>
      </c>
      <c r="B2025">
        <v>-1.49</v>
      </c>
    </row>
    <row r="2026" spans="1:2">
      <c r="A2026" s="1">
        <v>45296</v>
      </c>
      <c r="B2026">
        <v>-1.42</v>
      </c>
    </row>
    <row r="2027" spans="1:2">
      <c r="A2027" s="1">
        <v>45299</v>
      </c>
      <c r="B2027">
        <v>-1.48</v>
      </c>
    </row>
    <row r="2028" spans="1:2">
      <c r="A2028" s="1">
        <v>45300</v>
      </c>
      <c r="B2028">
        <v>-1.45</v>
      </c>
    </row>
    <row r="2029" spans="1:2">
      <c r="A2029" s="1">
        <v>45301</v>
      </c>
      <c r="B2029">
        <v>-1.42</v>
      </c>
    </row>
    <row r="2030" spans="1:2">
      <c r="A2030" s="1">
        <v>45302</v>
      </c>
      <c r="B2030">
        <v>-1.48</v>
      </c>
    </row>
    <row r="2031" spans="1:2">
      <c r="A2031" s="1">
        <v>45303</v>
      </c>
      <c r="B2031">
        <v>-1.49</v>
      </c>
    </row>
    <row r="2032" spans="1:2">
      <c r="A2032" s="1">
        <v>45306</v>
      </c>
    </row>
    <row r="2033" spans="1:2">
      <c r="A2033" s="1">
        <v>45307</v>
      </c>
      <c r="B2033">
        <v>-1.38</v>
      </c>
    </row>
    <row r="2034" spans="1:2">
      <c r="A2034" s="1">
        <v>45308</v>
      </c>
      <c r="B2034">
        <v>-1.37</v>
      </c>
    </row>
    <row r="2035" spans="1:2">
      <c r="A2035" s="1">
        <v>45309</v>
      </c>
      <c r="B2035">
        <v>-1.31</v>
      </c>
    </row>
    <row r="2036" spans="1:2">
      <c r="A2036" s="1">
        <v>45310</v>
      </c>
      <c r="B2036">
        <v>-1.3</v>
      </c>
    </row>
    <row r="2037" spans="1:2">
      <c r="A2037" s="1">
        <v>45313</v>
      </c>
      <c r="B2037">
        <v>-1.35</v>
      </c>
    </row>
    <row r="2038" spans="1:2">
      <c r="A2038" s="1">
        <v>45314</v>
      </c>
      <c r="B2038">
        <v>-1.31</v>
      </c>
    </row>
    <row r="2039" spans="1:2">
      <c r="A2039" s="1">
        <v>45315</v>
      </c>
      <c r="B2039">
        <v>-1.26</v>
      </c>
    </row>
    <row r="2040" spans="1:2">
      <c r="A2040" s="1">
        <v>45316</v>
      </c>
      <c r="B2040">
        <v>-1.3</v>
      </c>
    </row>
    <row r="2041" spans="1:2">
      <c r="A2041" s="1">
        <v>45317</v>
      </c>
      <c r="B2041">
        <v>-1.29</v>
      </c>
    </row>
    <row r="2042" spans="1:2">
      <c r="A2042" s="1">
        <v>45320</v>
      </c>
      <c r="B2042">
        <v>-1.34</v>
      </c>
    </row>
    <row r="2043" spans="1:2">
      <c r="A2043" s="1">
        <v>45321</v>
      </c>
      <c r="B2043">
        <v>-1.36</v>
      </c>
    </row>
    <row r="2044" spans="1:2">
      <c r="A2044" s="1">
        <v>45322</v>
      </c>
      <c r="B2044">
        <v>-1.43</v>
      </c>
    </row>
    <row r="2045" spans="1:2">
      <c r="A2045" s="1">
        <v>45323</v>
      </c>
      <c r="B2045">
        <v>-1.55</v>
      </c>
    </row>
    <row r="2046" spans="1:2">
      <c r="A2046" s="1">
        <v>45324</v>
      </c>
      <c r="B2046">
        <v>-1.4</v>
      </c>
    </row>
    <row r="2047" spans="1:2">
      <c r="A2047" s="1">
        <v>45327</v>
      </c>
      <c r="B2047">
        <v>-1.25</v>
      </c>
    </row>
    <row r="2048" spans="1:2">
      <c r="A2048" s="1">
        <v>45328</v>
      </c>
      <c r="B2048">
        <v>-1.35</v>
      </c>
    </row>
    <row r="2049" spans="1:2">
      <c r="A2049" s="1">
        <v>45329</v>
      </c>
      <c r="B2049">
        <v>-1.34</v>
      </c>
    </row>
    <row r="2050" spans="1:2">
      <c r="A2050" s="1">
        <v>45330</v>
      </c>
      <c r="B2050">
        <v>-1.29</v>
      </c>
    </row>
    <row r="2051" spans="1:2">
      <c r="A2051" s="1">
        <v>45331</v>
      </c>
      <c r="B2051">
        <v>-1.27</v>
      </c>
    </row>
    <row r="2052" spans="1:2">
      <c r="A2052" s="1">
        <v>45334</v>
      </c>
      <c r="B2052">
        <v>-1.26</v>
      </c>
    </row>
    <row r="2053" spans="1:2">
      <c r="A2053" s="1">
        <v>45335</v>
      </c>
      <c r="B2053">
        <v>-1.1399999999999999</v>
      </c>
    </row>
    <row r="2054" spans="1:2">
      <c r="A2054" s="1">
        <v>45336</v>
      </c>
      <c r="B2054">
        <v>-1.1599999999999999</v>
      </c>
    </row>
    <row r="2055" spans="1:2">
      <c r="A2055" s="1">
        <v>45337</v>
      </c>
      <c r="B2055">
        <v>-1.19</v>
      </c>
    </row>
    <row r="2056" spans="1:2">
      <c r="A2056" s="1">
        <v>45338</v>
      </c>
      <c r="B2056">
        <v>-1.1399999999999999</v>
      </c>
    </row>
    <row r="2057" spans="1:2">
      <c r="A2057" s="1">
        <v>45341</v>
      </c>
    </row>
    <row r="2058" spans="1:2">
      <c r="A2058" s="1">
        <v>45342</v>
      </c>
      <c r="B2058">
        <v>-1.17</v>
      </c>
    </row>
    <row r="2059" spans="1:2">
      <c r="A2059" s="1">
        <v>45343</v>
      </c>
      <c r="B2059">
        <v>-1.1200000000000001</v>
      </c>
    </row>
    <row r="2060" spans="1:2">
      <c r="A2060" s="1">
        <v>45344</v>
      </c>
      <c r="B2060">
        <v>-1.1200000000000001</v>
      </c>
    </row>
    <row r="2061" spans="1:2">
      <c r="A2061" s="1">
        <v>45345</v>
      </c>
      <c r="B2061">
        <v>-1.2</v>
      </c>
    </row>
    <row r="2062" spans="1:2">
      <c r="A2062" s="1">
        <v>45348</v>
      </c>
      <c r="B2062">
        <v>-1.19</v>
      </c>
    </row>
    <row r="2063" spans="1:2">
      <c r="A2063" s="1">
        <v>45349</v>
      </c>
      <c r="B2063">
        <v>-1.1399999999999999</v>
      </c>
    </row>
    <row r="2064" spans="1:2">
      <c r="A2064" s="1">
        <v>45350</v>
      </c>
      <c r="B2064">
        <v>-1.18</v>
      </c>
    </row>
    <row r="2065" spans="1:2">
      <c r="A2065" s="1">
        <v>45351</v>
      </c>
      <c r="B2065">
        <v>-1.2</v>
      </c>
    </row>
    <row r="2066" spans="1:2">
      <c r="A2066" s="1">
        <v>45352</v>
      </c>
      <c r="B2066">
        <v>-1.23</v>
      </c>
    </row>
    <row r="2067" spans="1:2">
      <c r="A2067" s="1">
        <v>45355</v>
      </c>
      <c r="B2067">
        <v>-1.26</v>
      </c>
    </row>
    <row r="2068" spans="1:2">
      <c r="A2068" s="1">
        <v>45356</v>
      </c>
      <c r="B2068">
        <v>-1.34</v>
      </c>
    </row>
    <row r="2069" spans="1:2">
      <c r="A2069" s="1">
        <v>45357</v>
      </c>
      <c r="B2069">
        <v>-1.36</v>
      </c>
    </row>
    <row r="2070" spans="1:2">
      <c r="A2070" s="1">
        <v>45358</v>
      </c>
      <c r="B2070">
        <v>-1.38</v>
      </c>
    </row>
    <row r="2071" spans="1:2">
      <c r="A2071" s="1">
        <v>45359</v>
      </c>
      <c r="B2071">
        <v>-1.37</v>
      </c>
    </row>
    <row r="2072" spans="1:2">
      <c r="A2072" s="1">
        <v>45362</v>
      </c>
      <c r="B2072">
        <v>-1.38</v>
      </c>
    </row>
    <row r="2073" spans="1:2">
      <c r="A2073" s="1">
        <v>45363</v>
      </c>
      <c r="B2073">
        <v>-1.32</v>
      </c>
    </row>
    <row r="2074" spans="1:2">
      <c r="A2074" s="1">
        <v>45364</v>
      </c>
      <c r="B2074">
        <v>-1.29</v>
      </c>
    </row>
    <row r="2075" spans="1:2">
      <c r="A2075" s="1">
        <v>45365</v>
      </c>
      <c r="B2075">
        <v>-1.19</v>
      </c>
    </row>
    <row r="2076" spans="1:2">
      <c r="A2076" s="1">
        <v>45366</v>
      </c>
      <c r="B2076">
        <v>-1.17</v>
      </c>
    </row>
    <row r="2077" spans="1:2">
      <c r="A2077" s="1">
        <v>45369</v>
      </c>
      <c r="B2077">
        <v>-1.1399999999999999</v>
      </c>
    </row>
    <row r="2078" spans="1:2">
      <c r="A2078" s="1">
        <v>45370</v>
      </c>
      <c r="B2078">
        <v>-1.18</v>
      </c>
    </row>
    <row r="2079" spans="1:2">
      <c r="A2079" s="1">
        <v>45371</v>
      </c>
      <c r="B2079">
        <v>-1.2</v>
      </c>
    </row>
    <row r="2080" spans="1:2">
      <c r="A2080" s="1">
        <v>45372</v>
      </c>
      <c r="B2080">
        <v>-1.21</v>
      </c>
    </row>
    <row r="2081" spans="1:2">
      <c r="A2081" s="1">
        <v>45373</v>
      </c>
      <c r="B2081">
        <v>-1.24</v>
      </c>
    </row>
    <row r="2082" spans="1:2">
      <c r="A2082" s="1">
        <v>45376</v>
      </c>
      <c r="B2082">
        <v>-1.21</v>
      </c>
    </row>
    <row r="2083" spans="1:2">
      <c r="A2083" s="1">
        <v>45377</v>
      </c>
      <c r="B2083">
        <v>-1.22</v>
      </c>
    </row>
    <row r="2084" spans="1:2">
      <c r="A2084" s="1">
        <v>45378</v>
      </c>
      <c r="B2084">
        <v>-1.25</v>
      </c>
    </row>
    <row r="2085" spans="1:2">
      <c r="A2085" s="1">
        <v>45379</v>
      </c>
      <c r="B2085">
        <v>-1.26</v>
      </c>
    </row>
    <row r="2086" spans="1:2">
      <c r="A2086" s="1">
        <v>45380</v>
      </c>
    </row>
    <row r="2087" spans="1:2">
      <c r="A2087" s="1">
        <v>45383</v>
      </c>
      <c r="B2087">
        <v>-1.1100000000000001</v>
      </c>
    </row>
    <row r="2088" spans="1:2">
      <c r="A2088" s="1">
        <v>45384</v>
      </c>
      <c r="B2088">
        <v>-1.06</v>
      </c>
    </row>
    <row r="2089" spans="1:2">
      <c r="A2089" s="1">
        <v>45385</v>
      </c>
      <c r="B2089">
        <v>-1.06</v>
      </c>
    </row>
    <row r="2090" spans="1:2">
      <c r="A2090" s="1">
        <v>45386</v>
      </c>
      <c r="B2090">
        <v>-1.1000000000000001</v>
      </c>
    </row>
    <row r="2091" spans="1:2">
      <c r="A2091" s="1">
        <v>45387</v>
      </c>
      <c r="B2091">
        <v>-1.04</v>
      </c>
    </row>
    <row r="2092" spans="1:2">
      <c r="A2092" s="1">
        <v>45390</v>
      </c>
      <c r="B2092">
        <v>-1.01</v>
      </c>
    </row>
    <row r="2093" spans="1:2">
      <c r="A2093" s="1">
        <v>45391</v>
      </c>
      <c r="B2093">
        <v>-1.07</v>
      </c>
    </row>
    <row r="2094" spans="1:2">
      <c r="A2094" s="1">
        <v>45392</v>
      </c>
      <c r="B2094">
        <v>-0.9</v>
      </c>
    </row>
    <row r="2095" spans="1:2">
      <c r="A2095" s="1">
        <v>45393</v>
      </c>
      <c r="B2095">
        <v>-0.89</v>
      </c>
    </row>
    <row r="2096" spans="1:2">
      <c r="A2096" s="1">
        <v>45394</v>
      </c>
      <c r="B2096">
        <v>-0.95</v>
      </c>
    </row>
    <row r="2097" spans="1:2">
      <c r="A2097" s="1">
        <v>45397</v>
      </c>
      <c r="B2097">
        <v>-0.82</v>
      </c>
    </row>
    <row r="2098" spans="1:2">
      <c r="A2098" s="1">
        <v>45398</v>
      </c>
      <c r="B2098">
        <v>-0.78</v>
      </c>
    </row>
    <row r="2099" spans="1:2">
      <c r="A2099" s="1">
        <v>45399</v>
      </c>
      <c r="B2099">
        <v>-0.86</v>
      </c>
    </row>
    <row r="2100" spans="1:2">
      <c r="A2100" s="1">
        <v>45400</v>
      </c>
      <c r="B2100">
        <v>-0.82</v>
      </c>
    </row>
    <row r="2101" spans="1:2">
      <c r="A2101" s="1">
        <v>45401</v>
      </c>
      <c r="B2101">
        <v>-0.83</v>
      </c>
    </row>
    <row r="2102" spans="1:2">
      <c r="A2102" s="1">
        <v>45404</v>
      </c>
      <c r="B2102">
        <v>-0.8</v>
      </c>
    </row>
    <row r="2103" spans="1:2">
      <c r="A2103" s="1">
        <v>45405</v>
      </c>
      <c r="B2103">
        <v>-0.84</v>
      </c>
    </row>
    <row r="2104" spans="1:2">
      <c r="A2104" s="1">
        <v>45406</v>
      </c>
      <c r="B2104">
        <v>-0.81</v>
      </c>
    </row>
    <row r="2105" spans="1:2">
      <c r="A2105" s="1">
        <v>45407</v>
      </c>
      <c r="B2105">
        <v>-0.77</v>
      </c>
    </row>
    <row r="2106" spans="1:2">
      <c r="A2106" s="1">
        <v>45408</v>
      </c>
      <c r="B2106">
        <v>-0.79</v>
      </c>
    </row>
    <row r="2107" spans="1:2">
      <c r="A2107" s="1">
        <v>45411</v>
      </c>
      <c r="B2107">
        <v>-0.82</v>
      </c>
    </row>
    <row r="2108" spans="1:2">
      <c r="A2108" s="1">
        <v>45412</v>
      </c>
      <c r="B2108">
        <v>-0.77</v>
      </c>
    </row>
    <row r="2109" spans="1:2">
      <c r="A2109" s="1">
        <v>45413</v>
      </c>
      <c r="B2109">
        <v>-0.83</v>
      </c>
    </row>
    <row r="2110" spans="1:2">
      <c r="A2110" s="1">
        <v>45414</v>
      </c>
      <c r="B2110">
        <v>-0.88</v>
      </c>
    </row>
    <row r="2111" spans="1:2">
      <c r="A2111" s="1">
        <v>45415</v>
      </c>
      <c r="B2111">
        <v>-0.95</v>
      </c>
    </row>
    <row r="2112" spans="1:2">
      <c r="A2112" s="1">
        <v>45418</v>
      </c>
      <c r="B2112">
        <v>-0.96</v>
      </c>
    </row>
    <row r="2113" spans="1:2">
      <c r="A2113" s="1">
        <v>45419</v>
      </c>
      <c r="B2113">
        <v>-0.98</v>
      </c>
    </row>
    <row r="2114" spans="1:2">
      <c r="A2114" s="1">
        <v>45420</v>
      </c>
      <c r="B2114">
        <v>-0.97</v>
      </c>
    </row>
    <row r="2115" spans="1:2">
      <c r="A2115" s="1">
        <v>45421</v>
      </c>
      <c r="B2115">
        <v>-1.01</v>
      </c>
    </row>
    <row r="2116" spans="1:2">
      <c r="A2116" s="1">
        <v>45422</v>
      </c>
      <c r="B2116">
        <v>-0.97</v>
      </c>
    </row>
    <row r="2117" spans="1:2">
      <c r="A2117" s="1">
        <v>45425</v>
      </c>
      <c r="B2117">
        <v>-0.97</v>
      </c>
    </row>
    <row r="2118" spans="1:2">
      <c r="A2118" s="1">
        <v>45426</v>
      </c>
      <c r="B2118">
        <v>-0.99</v>
      </c>
    </row>
    <row r="2119" spans="1:2">
      <c r="A2119" s="1">
        <v>45427</v>
      </c>
      <c r="B2119">
        <v>-1.0900000000000001</v>
      </c>
    </row>
    <row r="2120" spans="1:2">
      <c r="A2120" s="1">
        <v>45428</v>
      </c>
      <c r="B2120">
        <v>-1.07</v>
      </c>
    </row>
    <row r="2121" spans="1:2">
      <c r="A2121" s="1">
        <v>45429</v>
      </c>
      <c r="B2121">
        <v>-1.04</v>
      </c>
    </row>
    <row r="2122" spans="1:2">
      <c r="A2122" s="1">
        <v>45432</v>
      </c>
      <c r="B2122">
        <v>-1.01</v>
      </c>
    </row>
    <row r="2123" spans="1:2">
      <c r="A2123" s="1">
        <v>45433</v>
      </c>
      <c r="B2123">
        <v>-1.04</v>
      </c>
    </row>
    <row r="2124" spans="1:2">
      <c r="A2124" s="1">
        <v>45434</v>
      </c>
      <c r="B2124">
        <v>-1.02</v>
      </c>
    </row>
    <row r="2125" spans="1:2">
      <c r="A2125" s="1">
        <v>45435</v>
      </c>
      <c r="B2125">
        <v>-0.99</v>
      </c>
    </row>
    <row r="2126" spans="1:2">
      <c r="A2126" s="1">
        <v>45436</v>
      </c>
      <c r="B2126">
        <v>-1</v>
      </c>
    </row>
    <row r="2127" spans="1:2">
      <c r="A2127" s="1">
        <v>45439</v>
      </c>
    </row>
    <row r="2128" spans="1:2">
      <c r="A2128" s="1">
        <v>45440</v>
      </c>
      <c r="B2128">
        <v>-0.92</v>
      </c>
    </row>
    <row r="2129" spans="1:2">
      <c r="A2129" s="1">
        <v>45441</v>
      </c>
      <c r="B2129">
        <v>-0.85</v>
      </c>
    </row>
    <row r="2130" spans="1:2">
      <c r="A2130" s="1">
        <v>45442</v>
      </c>
      <c r="B2130">
        <v>-0.91</v>
      </c>
    </row>
    <row r="2131" spans="1:2">
      <c r="A2131" s="1">
        <v>45443</v>
      </c>
      <c r="B2131">
        <v>-0.95</v>
      </c>
    </row>
    <row r="2132" spans="1:2">
      <c r="A2132" s="1">
        <v>45446</v>
      </c>
      <c r="B2132">
        <v>-1.1100000000000001</v>
      </c>
    </row>
    <row r="2133" spans="1:2">
      <c r="A2133" s="1">
        <v>45447</v>
      </c>
      <c r="B2133">
        <v>-1.19</v>
      </c>
    </row>
    <row r="2134" spans="1:2">
      <c r="A2134" s="1">
        <v>45448</v>
      </c>
      <c r="B2134">
        <v>-1.22</v>
      </c>
    </row>
    <row r="2135" spans="1:2">
      <c r="A2135" s="1">
        <v>45449</v>
      </c>
      <c r="B2135">
        <v>-1.23</v>
      </c>
    </row>
    <row r="2136" spans="1:2">
      <c r="A2136" s="1">
        <v>45450</v>
      </c>
      <c r="B2136">
        <v>-1.0900000000000001</v>
      </c>
    </row>
    <row r="2137" spans="1:2">
      <c r="A2137" s="1">
        <v>45453</v>
      </c>
      <c r="B2137">
        <v>-1.05</v>
      </c>
    </row>
    <row r="2138" spans="1:2">
      <c r="A2138" s="1">
        <v>45454</v>
      </c>
      <c r="B2138">
        <v>-1.1299999999999999</v>
      </c>
    </row>
    <row r="2139" spans="1:2">
      <c r="A2139" s="1">
        <v>45455</v>
      </c>
      <c r="B2139">
        <v>-1.2</v>
      </c>
    </row>
    <row r="2140" spans="1:2">
      <c r="A2140" s="1">
        <v>45456</v>
      </c>
      <c r="B2140">
        <v>-1.27</v>
      </c>
    </row>
    <row r="2141" spans="1:2">
      <c r="A2141" s="1">
        <v>45457</v>
      </c>
      <c r="B2141">
        <v>-1.31</v>
      </c>
    </row>
    <row r="2142" spans="1:2">
      <c r="A2142" s="1">
        <v>45460</v>
      </c>
      <c r="B2142">
        <v>-1.24</v>
      </c>
    </row>
    <row r="2143" spans="1:2">
      <c r="A2143" s="1">
        <v>45461</v>
      </c>
      <c r="B2143">
        <v>-1.28</v>
      </c>
    </row>
    <row r="2144" spans="1:2">
      <c r="A2144" s="1">
        <v>45462</v>
      </c>
    </row>
    <row r="2145" spans="1:2">
      <c r="A2145" s="1">
        <v>45463</v>
      </c>
      <c r="B2145">
        <v>-1.25</v>
      </c>
    </row>
    <row r="2146" spans="1:2">
      <c r="A2146" s="1">
        <v>45464</v>
      </c>
      <c r="B2146">
        <v>-1.24</v>
      </c>
    </row>
    <row r="2147" spans="1:2">
      <c r="A2147" s="1">
        <v>45467</v>
      </c>
      <c r="B2147">
        <v>-1.25</v>
      </c>
    </row>
    <row r="2148" spans="1:2">
      <c r="A2148" s="1">
        <v>45468</v>
      </c>
      <c r="B2148">
        <v>-1.26</v>
      </c>
    </row>
    <row r="2149" spans="1:2">
      <c r="A2149" s="1">
        <v>45469</v>
      </c>
      <c r="B2149">
        <v>-1.18</v>
      </c>
    </row>
    <row r="2150" spans="1:2">
      <c r="A2150" s="1">
        <v>45470</v>
      </c>
      <c r="B2150">
        <v>-1.2</v>
      </c>
    </row>
    <row r="2151" spans="1:2">
      <c r="A2151" s="1">
        <v>45471</v>
      </c>
      <c r="B2151">
        <v>-1.1200000000000001</v>
      </c>
    </row>
    <row r="2152" spans="1:2">
      <c r="A2152" s="1">
        <v>45474</v>
      </c>
      <c r="B2152">
        <v>-0.99</v>
      </c>
    </row>
    <row r="2153" spans="1:2">
      <c r="A2153" s="1">
        <v>45475</v>
      </c>
      <c r="B2153">
        <v>-1.04</v>
      </c>
    </row>
    <row r="2154" spans="1:2">
      <c r="A2154" s="1">
        <v>45476</v>
      </c>
      <c r="B2154">
        <v>-1.1100000000000001</v>
      </c>
    </row>
    <row r="2155" spans="1:2">
      <c r="A2155" s="1">
        <v>45477</v>
      </c>
    </row>
    <row r="2156" spans="1:2">
      <c r="A2156" s="1">
        <v>45478</v>
      </c>
      <c r="B2156">
        <v>-1.18</v>
      </c>
    </row>
    <row r="2157" spans="1:2">
      <c r="A2157" s="1">
        <v>45481</v>
      </c>
      <c r="B2157">
        <v>-1.18</v>
      </c>
    </row>
    <row r="2158" spans="1:2">
      <c r="A2158" s="1">
        <v>45482</v>
      </c>
      <c r="B2158">
        <v>-1.1599999999999999</v>
      </c>
    </row>
    <row r="2159" spans="1:2">
      <c r="A2159" s="1">
        <v>45483</v>
      </c>
      <c r="B2159">
        <v>-1.18</v>
      </c>
    </row>
    <row r="2160" spans="1:2">
      <c r="A2160" s="1">
        <v>45484</v>
      </c>
      <c r="B2160">
        <v>-1.24</v>
      </c>
    </row>
    <row r="2161" spans="1:2">
      <c r="A2161" s="1">
        <v>45485</v>
      </c>
      <c r="B2161">
        <v>-1.25</v>
      </c>
    </row>
    <row r="2162" spans="1:2">
      <c r="A2162" s="1">
        <v>45488</v>
      </c>
      <c r="B2162">
        <v>-1.2</v>
      </c>
    </row>
    <row r="2163" spans="1:2">
      <c r="A2163" s="1">
        <v>45489</v>
      </c>
      <c r="B2163">
        <v>-1.26</v>
      </c>
    </row>
    <row r="2164" spans="1:2">
      <c r="A2164" s="1">
        <v>45490</v>
      </c>
      <c r="B2164">
        <v>-1.27</v>
      </c>
    </row>
    <row r="2165" spans="1:2">
      <c r="A2165" s="1">
        <v>45491</v>
      </c>
      <c r="B2165">
        <v>-1.23</v>
      </c>
    </row>
    <row r="2166" spans="1:2">
      <c r="A2166" s="1">
        <v>45492</v>
      </c>
      <c r="B2166">
        <v>-1.18</v>
      </c>
    </row>
    <row r="2167" spans="1:2">
      <c r="A2167" s="1">
        <v>45495</v>
      </c>
      <c r="B2167">
        <v>-1.17</v>
      </c>
    </row>
    <row r="2168" spans="1:2">
      <c r="A2168" s="1">
        <v>45496</v>
      </c>
      <c r="B2168">
        <v>-1.1599999999999999</v>
      </c>
    </row>
    <row r="2169" spans="1:2">
      <c r="A2169" s="1">
        <v>45497</v>
      </c>
      <c r="B2169">
        <v>-1.1200000000000001</v>
      </c>
    </row>
    <row r="2170" spans="1:2">
      <c r="A2170" s="1">
        <v>45498</v>
      </c>
      <c r="B2170">
        <v>-1.1200000000000001</v>
      </c>
    </row>
    <row r="2171" spans="1:2">
      <c r="A2171" s="1">
        <v>45499</v>
      </c>
      <c r="B2171">
        <v>-1.18</v>
      </c>
    </row>
    <row r="2172" spans="1:2">
      <c r="A2172" s="1">
        <v>45502</v>
      </c>
      <c r="B2172">
        <v>-1.24</v>
      </c>
    </row>
    <row r="2173" spans="1:2">
      <c r="A2173" s="1">
        <v>45503</v>
      </c>
      <c r="B2173">
        <v>-1.25</v>
      </c>
    </row>
    <row r="2174" spans="1:2">
      <c r="A2174" s="1">
        <v>45504</v>
      </c>
      <c r="B2174">
        <v>-1.32</v>
      </c>
    </row>
    <row r="2175" spans="1:2">
      <c r="A2175" s="1">
        <v>45505</v>
      </c>
      <c r="B2175">
        <v>-1.38</v>
      </c>
    </row>
    <row r="2176" spans="1:2">
      <c r="A2176" s="1">
        <v>45506</v>
      </c>
      <c r="B2176">
        <v>-1.49</v>
      </c>
    </row>
    <row r="2177" spans="1:2">
      <c r="A2177" s="1">
        <v>45509</v>
      </c>
      <c r="B2177">
        <v>-1.57</v>
      </c>
    </row>
    <row r="2178" spans="1:2">
      <c r="A2178" s="1">
        <v>45510</v>
      </c>
      <c r="B2178">
        <v>-1.44</v>
      </c>
    </row>
    <row r="2179" spans="1:2">
      <c r="A2179" s="1">
        <v>45511</v>
      </c>
      <c r="B2179">
        <v>-1.38</v>
      </c>
    </row>
    <row r="2180" spans="1:2">
      <c r="A2180" s="1">
        <v>45512</v>
      </c>
      <c r="B2180">
        <v>-1.35</v>
      </c>
    </row>
    <row r="2181" spans="1:2">
      <c r="A2181" s="1">
        <v>45513</v>
      </c>
      <c r="B2181">
        <v>-1.39</v>
      </c>
    </row>
    <row r="2182" spans="1:2">
      <c r="A2182" s="1">
        <v>45516</v>
      </c>
      <c r="B2182">
        <v>-1.43</v>
      </c>
    </row>
    <row r="2183" spans="1:2">
      <c r="A2183" s="1">
        <v>45517</v>
      </c>
      <c r="B2183">
        <v>-1.47</v>
      </c>
    </row>
    <row r="2184" spans="1:2">
      <c r="A2184" s="1">
        <v>45518</v>
      </c>
      <c r="B2184">
        <v>-1.49</v>
      </c>
    </row>
    <row r="2185" spans="1:2">
      <c r="A2185" s="1">
        <v>45519</v>
      </c>
      <c r="B2185">
        <v>-1.42</v>
      </c>
    </row>
    <row r="2186" spans="1:2">
      <c r="A2186" s="1">
        <v>45520</v>
      </c>
      <c r="B2186">
        <v>-1.44</v>
      </c>
    </row>
    <row r="2187" spans="1:2">
      <c r="A2187" s="1">
        <v>45523</v>
      </c>
      <c r="B2187">
        <v>-1.45</v>
      </c>
    </row>
    <row r="2188" spans="1:2">
      <c r="A2188" s="1">
        <v>45524</v>
      </c>
      <c r="B2188">
        <v>-1.47</v>
      </c>
    </row>
    <row r="2189" spans="1:2">
      <c r="A2189" s="1">
        <v>45525</v>
      </c>
      <c r="B2189">
        <v>-1.47</v>
      </c>
    </row>
    <row r="2190" spans="1:2">
      <c r="A2190" s="1">
        <v>45526</v>
      </c>
      <c r="B2190">
        <v>-1.42</v>
      </c>
    </row>
    <row r="2191" spans="1:2">
      <c r="A2191" s="1">
        <v>45527</v>
      </c>
      <c r="B2191">
        <v>-1.44</v>
      </c>
    </row>
    <row r="2192" spans="1:2">
      <c r="A2192" s="1">
        <v>45530</v>
      </c>
      <c r="B2192">
        <v>-1.42</v>
      </c>
    </row>
    <row r="2193" spans="1:2">
      <c r="A2193" s="1">
        <v>45531</v>
      </c>
      <c r="B2193">
        <v>-1.4</v>
      </c>
    </row>
    <row r="2194" spans="1:2">
      <c r="A2194" s="1">
        <v>45532</v>
      </c>
      <c r="B2194">
        <v>-1.37</v>
      </c>
    </row>
    <row r="2195" spans="1:2">
      <c r="A2195" s="1">
        <v>45533</v>
      </c>
      <c r="B2195">
        <v>-1.35</v>
      </c>
    </row>
    <row r="2196" spans="1:2">
      <c r="A2196" s="1">
        <v>45534</v>
      </c>
      <c r="B2196">
        <v>-1.3</v>
      </c>
    </row>
    <row r="2197" spans="1:2">
      <c r="A2197" s="1">
        <v>45537</v>
      </c>
    </row>
    <row r="2198" spans="1:2">
      <c r="A2198" s="1">
        <v>45538</v>
      </c>
      <c r="B2198">
        <v>-1.35</v>
      </c>
    </row>
    <row r="2199" spans="1:2">
      <c r="A2199" s="1">
        <v>45539</v>
      </c>
      <c r="B2199">
        <v>-1.41</v>
      </c>
    </row>
    <row r="2200" spans="1:2">
      <c r="A2200" s="1">
        <v>45540</v>
      </c>
      <c r="B2200">
        <v>-1.42</v>
      </c>
    </row>
    <row r="2201" spans="1:2">
      <c r="A2201" s="1">
        <v>45541</v>
      </c>
      <c r="B2201">
        <v>-1.41</v>
      </c>
    </row>
    <row r="2202" spans="1:2">
      <c r="A2202" s="1">
        <v>45544</v>
      </c>
      <c r="B2202">
        <v>-1.41</v>
      </c>
    </row>
    <row r="2203" spans="1:2">
      <c r="A2203" s="1">
        <v>45545</v>
      </c>
      <c r="B2203">
        <v>-1.41</v>
      </c>
    </row>
    <row r="2204" spans="1:2">
      <c r="A2204" s="1">
        <v>45546</v>
      </c>
      <c r="B2204">
        <v>-1.45</v>
      </c>
    </row>
    <row r="2205" spans="1:2">
      <c r="A2205" s="1">
        <v>45547</v>
      </c>
      <c r="B2205">
        <v>-1.38</v>
      </c>
    </row>
    <row r="2206" spans="1:2">
      <c r="A2206" s="1">
        <v>45548</v>
      </c>
      <c r="B2206">
        <v>-1.31</v>
      </c>
    </row>
    <row r="2207" spans="1:2">
      <c r="A2207" s="1">
        <v>45551</v>
      </c>
      <c r="B2207">
        <v>-1.33</v>
      </c>
    </row>
    <row r="2208" spans="1:2">
      <c r="A2208" s="1">
        <v>45552</v>
      </c>
      <c r="B2208">
        <v>-1.3</v>
      </c>
    </row>
    <row r="2209" spans="1:2">
      <c r="A2209" s="1">
        <v>45553</v>
      </c>
      <c r="B2209">
        <v>-1.1399999999999999</v>
      </c>
    </row>
    <row r="2210" spans="1:2">
      <c r="A2210" s="1">
        <v>45554</v>
      </c>
      <c r="B2210">
        <v>-1.07</v>
      </c>
    </row>
    <row r="2211" spans="1:2">
      <c r="A2211" s="1">
        <v>45555</v>
      </c>
      <c r="B2211">
        <v>-1.02</v>
      </c>
    </row>
    <row r="2212" spans="1:2">
      <c r="A2212" s="1">
        <v>45558</v>
      </c>
      <c r="B2212">
        <v>-0.97</v>
      </c>
    </row>
    <row r="2213" spans="1:2">
      <c r="A2213" s="1">
        <v>45559</v>
      </c>
      <c r="B2213">
        <v>-0.95</v>
      </c>
    </row>
    <row r="2214" spans="1:2">
      <c r="A2214" s="1">
        <v>45560</v>
      </c>
      <c r="B2214">
        <v>-0.9</v>
      </c>
    </row>
    <row r="2215" spans="1:2">
      <c r="A2215" s="1">
        <v>45561</v>
      </c>
      <c r="B2215">
        <v>-0.89</v>
      </c>
    </row>
    <row r="2216" spans="1:2">
      <c r="A2216" s="1">
        <v>45562</v>
      </c>
      <c r="B2216">
        <v>-0.93</v>
      </c>
    </row>
    <row r="2217" spans="1:2">
      <c r="A2217" s="1">
        <v>45565</v>
      </c>
      <c r="B2217">
        <v>-0.92</v>
      </c>
    </row>
    <row r="2218" spans="1:2">
      <c r="A2218" s="1">
        <v>45566</v>
      </c>
      <c r="B2218">
        <v>-0.97</v>
      </c>
    </row>
    <row r="2219" spans="1:2">
      <c r="A2219" s="1">
        <v>45567</v>
      </c>
      <c r="B2219">
        <v>-0.9</v>
      </c>
    </row>
    <row r="2220" spans="1:2">
      <c r="A2220" s="1">
        <v>45568</v>
      </c>
      <c r="B2220">
        <v>-0.83</v>
      </c>
    </row>
    <row r="2221" spans="1:2">
      <c r="A2221" s="1">
        <v>45569</v>
      </c>
      <c r="B2221">
        <v>-0.75</v>
      </c>
    </row>
    <row r="2222" spans="1:2">
      <c r="A2222" s="1">
        <v>45572</v>
      </c>
      <c r="B2222">
        <v>-0.74</v>
      </c>
    </row>
    <row r="2223" spans="1:2">
      <c r="A2223" s="1">
        <v>45573</v>
      </c>
      <c r="B2223">
        <v>-0.71</v>
      </c>
    </row>
    <row r="2224" spans="1:2">
      <c r="A2224" s="1">
        <v>45574</v>
      </c>
      <c r="B2224">
        <v>-0.69</v>
      </c>
    </row>
    <row r="2225" spans="1:2">
      <c r="A2225" s="1">
        <v>45575</v>
      </c>
      <c r="B2225">
        <v>-0.66</v>
      </c>
    </row>
    <row r="2226" spans="1:2">
      <c r="A2226" s="1">
        <v>45576</v>
      </c>
      <c r="B2226">
        <v>-0.65</v>
      </c>
    </row>
    <row r="2227" spans="1:2">
      <c r="A2227" s="1">
        <v>45579</v>
      </c>
    </row>
    <row r="2228" spans="1:2">
      <c r="A2228" s="1">
        <v>45580</v>
      </c>
      <c r="B2228">
        <v>-0.7</v>
      </c>
    </row>
    <row r="2229" spans="1:2">
      <c r="A2229" s="1">
        <v>45581</v>
      </c>
      <c r="B2229">
        <v>-0.7</v>
      </c>
    </row>
    <row r="2230" spans="1:2">
      <c r="A2230" s="1">
        <v>45582</v>
      </c>
      <c r="B2230">
        <v>-0.65</v>
      </c>
    </row>
    <row r="2231" spans="1:2">
      <c r="A2231" s="1">
        <v>45583</v>
      </c>
      <c r="B2231">
        <v>-0.65</v>
      </c>
    </row>
    <row r="2232" spans="1:2">
      <c r="A2232" s="1">
        <v>45586</v>
      </c>
      <c r="B2232">
        <v>-0.54</v>
      </c>
    </row>
    <row r="2233" spans="1:2">
      <c r="A2233" s="1">
        <v>45587</v>
      </c>
      <c r="B2233">
        <v>-0.52</v>
      </c>
    </row>
    <row r="2234" spans="1:2">
      <c r="A2234" s="1">
        <v>45588</v>
      </c>
      <c r="B2234">
        <v>-0.49</v>
      </c>
    </row>
    <row r="2235" spans="1:2">
      <c r="A2235" s="1">
        <v>45589</v>
      </c>
      <c r="B2235">
        <v>-0.49</v>
      </c>
    </row>
    <row r="2236" spans="1:2">
      <c r="A2236" s="1">
        <v>45590</v>
      </c>
      <c r="B2236">
        <v>-0.48</v>
      </c>
    </row>
    <row r="2237" spans="1:2">
      <c r="A2237" s="1">
        <v>45593</v>
      </c>
      <c r="B2237">
        <v>-0.42</v>
      </c>
    </row>
    <row r="2238" spans="1:2">
      <c r="A2238" s="1">
        <v>45594</v>
      </c>
      <c r="B2238">
        <v>-0.42</v>
      </c>
    </row>
    <row r="2239" spans="1:2">
      <c r="A2239" s="1">
        <v>45595</v>
      </c>
      <c r="B2239">
        <v>-0.38</v>
      </c>
    </row>
    <row r="2240" spans="1:2">
      <c r="A2240" s="1">
        <v>45596</v>
      </c>
      <c r="B2240">
        <v>-0.36</v>
      </c>
    </row>
    <row r="2241" spans="1:2">
      <c r="A2241" s="1">
        <v>45597</v>
      </c>
      <c r="B2241">
        <v>-0.24</v>
      </c>
    </row>
    <row r="2242" spans="1:2">
      <c r="A2242" s="1">
        <v>45600</v>
      </c>
      <c r="B2242">
        <v>-0.34</v>
      </c>
    </row>
    <row r="2243" spans="1:2">
      <c r="A2243" s="1">
        <v>45601</v>
      </c>
      <c r="B2243">
        <v>-0.38</v>
      </c>
    </row>
    <row r="2244" spans="1:2">
      <c r="A2244" s="1">
        <v>45602</v>
      </c>
      <c r="B2244">
        <v>-0.22</v>
      </c>
    </row>
    <row r="2245" spans="1:2">
      <c r="A2245" s="1">
        <v>45603</v>
      </c>
      <c r="B2245">
        <v>-0.32</v>
      </c>
    </row>
    <row r="2246" spans="1:2">
      <c r="A2246" s="1">
        <v>45604</v>
      </c>
      <c r="B2246">
        <v>-0.33</v>
      </c>
    </row>
    <row r="2247" spans="1:2">
      <c r="A2247" s="1">
        <v>45607</v>
      </c>
    </row>
    <row r="2248" spans="1:2">
      <c r="A2248" s="1">
        <v>45608</v>
      </c>
      <c r="B2248">
        <v>-0.2</v>
      </c>
    </row>
    <row r="2249" spans="1:2">
      <c r="A2249" s="1">
        <v>45609</v>
      </c>
      <c r="B2249">
        <v>-0.16</v>
      </c>
    </row>
    <row r="2250" spans="1:2">
      <c r="A2250" s="1">
        <v>45610</v>
      </c>
      <c r="B2250">
        <v>-0.18</v>
      </c>
    </row>
    <row r="2251" spans="1:2">
      <c r="A2251" s="1">
        <v>45611</v>
      </c>
      <c r="B2251">
        <v>-0.17</v>
      </c>
    </row>
    <row r="2252" spans="1:2">
      <c r="A2252" s="1">
        <v>45614</v>
      </c>
      <c r="B2252">
        <v>-0.21</v>
      </c>
    </row>
    <row r="2253" spans="1:2">
      <c r="A2253" s="1">
        <v>45615</v>
      </c>
      <c r="B2253">
        <v>-0.23</v>
      </c>
    </row>
    <row r="2254" spans="1:2">
      <c r="A2254" s="1">
        <v>45616</v>
      </c>
      <c r="B2254">
        <v>-0.21</v>
      </c>
    </row>
    <row r="2255" spans="1:2">
      <c r="A2255" s="1">
        <v>45617</v>
      </c>
      <c r="B2255">
        <v>-0.2</v>
      </c>
    </row>
    <row r="2256" spans="1:2">
      <c r="A2256" s="1">
        <v>45618</v>
      </c>
      <c r="B2256">
        <v>-0.22</v>
      </c>
    </row>
    <row r="2257" spans="1:2">
      <c r="A2257" s="1">
        <v>45621</v>
      </c>
      <c r="B2257">
        <v>-0.35</v>
      </c>
    </row>
    <row r="2258" spans="1:2">
      <c r="A2258" s="1">
        <v>45622</v>
      </c>
      <c r="B2258">
        <v>-0.31</v>
      </c>
    </row>
    <row r="2259" spans="1:2">
      <c r="A2259" s="1">
        <v>45623</v>
      </c>
      <c r="B2259">
        <v>-0.35</v>
      </c>
    </row>
    <row r="2260" spans="1:2">
      <c r="A2260" s="1">
        <v>45624</v>
      </c>
    </row>
    <row r="2261" spans="1:2">
      <c r="A2261" s="1">
        <v>45625</v>
      </c>
      <c r="B2261">
        <v>-0.4</v>
      </c>
    </row>
    <row r="2262" spans="1:2">
      <c r="A2262" s="1">
        <v>45628</v>
      </c>
      <c r="B2262">
        <v>-0.32</v>
      </c>
    </row>
    <row r="2263" spans="1:2">
      <c r="A2263" s="1">
        <v>45629</v>
      </c>
      <c r="B2263">
        <v>-0.26</v>
      </c>
    </row>
    <row r="2264" spans="1:2">
      <c r="A2264" s="1">
        <v>45630</v>
      </c>
      <c r="B2264">
        <v>-0.28000000000000003</v>
      </c>
    </row>
    <row r="2265" spans="1:2">
      <c r="A2265" s="1">
        <v>45631</v>
      </c>
      <c r="B2265">
        <v>-0.28999999999999998</v>
      </c>
    </row>
    <row r="2266" spans="1:2">
      <c r="A2266" s="1">
        <v>45632</v>
      </c>
      <c r="B2266">
        <v>-0.27</v>
      </c>
    </row>
    <row r="2267" spans="1:2">
      <c r="A2267" s="1">
        <v>45635</v>
      </c>
      <c r="B2267">
        <v>-0.22</v>
      </c>
    </row>
    <row r="2268" spans="1:2">
      <c r="A2268" s="1">
        <v>45636</v>
      </c>
      <c r="B2268">
        <v>-0.19</v>
      </c>
    </row>
    <row r="2269" spans="1:2">
      <c r="A2269" s="1">
        <v>45637</v>
      </c>
      <c r="B2269">
        <v>-0.12</v>
      </c>
    </row>
    <row r="2270" spans="1:2">
      <c r="A2270" s="1">
        <v>45638</v>
      </c>
      <c r="B2270">
        <v>-0.03</v>
      </c>
    </row>
    <row r="2271" spans="1:2">
      <c r="A2271" s="1">
        <v>45639</v>
      </c>
      <c r="B2271">
        <v>0.06</v>
      </c>
    </row>
    <row r="2272" spans="1:2">
      <c r="A2272" s="1">
        <v>45642</v>
      </c>
      <c r="B2272">
        <v>0.02</v>
      </c>
    </row>
    <row r="2273" spans="1:2">
      <c r="A2273" s="1">
        <v>45643</v>
      </c>
      <c r="B2273">
        <v>0.02</v>
      </c>
    </row>
    <row r="2274" spans="1:2">
      <c r="A2274" s="1">
        <v>45644</v>
      </c>
      <c r="B2274">
        <v>0.14000000000000001</v>
      </c>
    </row>
    <row r="2275" spans="1:2">
      <c r="A2275" s="1">
        <v>45645</v>
      </c>
      <c r="B2275">
        <v>0.22</v>
      </c>
    </row>
    <row r="2276" spans="1:2">
      <c r="A2276" s="1">
        <v>45646</v>
      </c>
      <c r="B2276">
        <v>0.18</v>
      </c>
    </row>
    <row r="2277" spans="1:2">
      <c r="A2277" s="1">
        <v>45649</v>
      </c>
      <c r="B2277">
        <v>0.23</v>
      </c>
    </row>
    <row r="2278" spans="1:2">
      <c r="A2278" s="1">
        <v>45650</v>
      </c>
      <c r="B2278">
        <v>0.19</v>
      </c>
    </row>
    <row r="2279" spans="1:2">
      <c r="A2279" s="1">
        <v>45651</v>
      </c>
    </row>
    <row r="2280" spans="1:2">
      <c r="A2280" s="1">
        <v>45652</v>
      </c>
      <c r="B2280">
        <v>0.23</v>
      </c>
    </row>
    <row r="2281" spans="1:2">
      <c r="A2281" s="1">
        <v>45653</v>
      </c>
      <c r="B2281">
        <v>0.31</v>
      </c>
    </row>
    <row r="2282" spans="1:2">
      <c r="A2282" s="1">
        <v>45656</v>
      </c>
      <c r="B2282">
        <v>0.18</v>
      </c>
    </row>
    <row r="2283" spans="1:2">
      <c r="A2283" s="1">
        <v>45657</v>
      </c>
      <c r="B2283">
        <v>0.21</v>
      </c>
    </row>
    <row r="2284" spans="1:2">
      <c r="A2284" s="1">
        <v>45658</v>
      </c>
    </row>
    <row r="2285" spans="1:2">
      <c r="A2285" s="1">
        <v>45659</v>
      </c>
      <c r="B2285">
        <v>0.21</v>
      </c>
    </row>
    <row r="2286" spans="1:2">
      <c r="A2286" s="1">
        <v>45660</v>
      </c>
      <c r="B2286">
        <v>0.26</v>
      </c>
    </row>
    <row r="2287" spans="1:2">
      <c r="A2287" s="1">
        <v>45663</v>
      </c>
      <c r="B2287">
        <v>0.27</v>
      </c>
    </row>
    <row r="2288" spans="1:2">
      <c r="A2288" s="1">
        <v>45664</v>
      </c>
      <c r="B2288">
        <v>0.32</v>
      </c>
    </row>
    <row r="2289" spans="1:2">
      <c r="A2289" s="1">
        <v>45665</v>
      </c>
      <c r="B2289">
        <v>0.32</v>
      </c>
    </row>
    <row r="2290" spans="1:2">
      <c r="A2290" s="1">
        <v>45666</v>
      </c>
      <c r="B2290">
        <v>0.33</v>
      </c>
    </row>
    <row r="2291" spans="1:2">
      <c r="A2291" s="1">
        <v>45667</v>
      </c>
      <c r="B2291">
        <v>0.41</v>
      </c>
    </row>
    <row r="2292" spans="1:2">
      <c r="A2292" s="1">
        <v>45670</v>
      </c>
      <c r="B2292">
        <v>0.42</v>
      </c>
    </row>
    <row r="2293" spans="1:2">
      <c r="A2293" s="1">
        <v>45671</v>
      </c>
      <c r="B2293">
        <v>0.42</v>
      </c>
    </row>
    <row r="2294" spans="1:2">
      <c r="A2294" s="1">
        <v>45672</v>
      </c>
      <c r="B2294">
        <v>0.31</v>
      </c>
    </row>
    <row r="2295" spans="1:2">
      <c r="A2295" s="1">
        <v>45673</v>
      </c>
      <c r="B2295">
        <v>0.27</v>
      </c>
    </row>
    <row r="2296" spans="1:2">
      <c r="A2296" s="1">
        <v>45674</v>
      </c>
      <c r="B2296">
        <v>0.27</v>
      </c>
    </row>
    <row r="2297" spans="1:2">
      <c r="A2297" s="1">
        <v>45677</v>
      </c>
    </row>
    <row r="2298" spans="1:2">
      <c r="A2298" s="1">
        <v>45678</v>
      </c>
      <c r="B2298">
        <v>0.21</v>
      </c>
    </row>
    <row r="2299" spans="1:2">
      <c r="A2299" s="1">
        <v>45679</v>
      </c>
      <c r="B2299">
        <v>0.24</v>
      </c>
    </row>
    <row r="2300" spans="1:2">
      <c r="A2300" s="1">
        <v>45680</v>
      </c>
      <c r="B2300">
        <v>0.28999999999999998</v>
      </c>
    </row>
    <row r="2301" spans="1:2">
      <c r="A2301" s="1">
        <v>45681</v>
      </c>
      <c r="B2301">
        <v>0.28000000000000003</v>
      </c>
    </row>
    <row r="2302" spans="1:2">
      <c r="A2302" s="1">
        <v>45684</v>
      </c>
      <c r="B2302">
        <v>0.21</v>
      </c>
    </row>
    <row r="2303" spans="1:2">
      <c r="A2303" s="1">
        <v>45685</v>
      </c>
      <c r="B2303">
        <v>0.24</v>
      </c>
    </row>
    <row r="2304" spans="1:2">
      <c r="A2304" s="1">
        <v>45686</v>
      </c>
      <c r="B2304">
        <v>0.24</v>
      </c>
    </row>
    <row r="2305" spans="1:2">
      <c r="A2305" s="1">
        <v>45687</v>
      </c>
      <c r="B2305">
        <v>0.22</v>
      </c>
    </row>
    <row r="2306" spans="1:2">
      <c r="A2306" s="1">
        <v>45688</v>
      </c>
      <c r="B2306">
        <v>0.27</v>
      </c>
    </row>
    <row r="2307" spans="1:2">
      <c r="A2307" s="1">
        <v>45691</v>
      </c>
      <c r="B2307">
        <v>0.2</v>
      </c>
    </row>
    <row r="2308" spans="1:2">
      <c r="A2308" s="1">
        <v>45692</v>
      </c>
      <c r="B2308">
        <v>0.19</v>
      </c>
    </row>
    <row r="2309" spans="1:2">
      <c r="A2309" s="1">
        <v>45693</v>
      </c>
      <c r="B2309">
        <v>0.1</v>
      </c>
    </row>
    <row r="2310" spans="1:2">
      <c r="A2310" s="1">
        <v>45694</v>
      </c>
      <c r="B2310">
        <v>0.11</v>
      </c>
    </row>
    <row r="2311" spans="1:2">
      <c r="A2311" s="1">
        <v>45695</v>
      </c>
      <c r="B2311">
        <v>0.14000000000000001</v>
      </c>
    </row>
    <row r="2312" spans="1:2">
      <c r="A2312" s="1">
        <v>45698</v>
      </c>
      <c r="B2312">
        <v>0.16</v>
      </c>
    </row>
    <row r="2313" spans="1:2">
      <c r="A2313" s="1">
        <v>45699</v>
      </c>
      <c r="B2313">
        <v>0.19</v>
      </c>
    </row>
    <row r="2314" spans="1:2">
      <c r="A2314" s="1">
        <v>45700</v>
      </c>
      <c r="B2314">
        <v>0.27</v>
      </c>
    </row>
    <row r="2315" spans="1:2">
      <c r="A2315" s="1">
        <v>45701</v>
      </c>
      <c r="B2315">
        <v>0.18</v>
      </c>
    </row>
    <row r="2316" spans="1:2">
      <c r="A2316" s="1">
        <v>45702</v>
      </c>
      <c r="B2316">
        <v>0.13</v>
      </c>
    </row>
    <row r="2317" spans="1:2">
      <c r="A2317" s="1">
        <v>45705</v>
      </c>
    </row>
    <row r="2318" spans="1:2">
      <c r="A2318" s="1">
        <v>45706</v>
      </c>
      <c r="B2318">
        <v>0.21</v>
      </c>
    </row>
    <row r="2319" spans="1:2">
      <c r="A2319" s="1">
        <v>45707</v>
      </c>
      <c r="B2319">
        <v>0.19</v>
      </c>
    </row>
    <row r="2320" spans="1:2">
      <c r="A2320" s="1">
        <v>45708</v>
      </c>
      <c r="B2320">
        <v>0.17</v>
      </c>
    </row>
    <row r="2321" spans="1:2">
      <c r="A2321" s="1">
        <v>45709</v>
      </c>
      <c r="B2321">
        <v>0.1</v>
      </c>
    </row>
    <row r="2322" spans="1:2">
      <c r="A2322" s="1">
        <v>45712</v>
      </c>
      <c r="B2322">
        <v>0.09</v>
      </c>
    </row>
    <row r="2323" spans="1:2">
      <c r="A2323" s="1">
        <v>45713</v>
      </c>
      <c r="B2323">
        <v>0</v>
      </c>
    </row>
    <row r="2324" spans="1:2">
      <c r="A2324" s="1">
        <v>45714</v>
      </c>
      <c r="B2324">
        <v>-0.06</v>
      </c>
    </row>
    <row r="2325" spans="1:2">
      <c r="A2325" s="1">
        <v>45715</v>
      </c>
      <c r="B2325">
        <v>-0.03</v>
      </c>
    </row>
    <row r="2326" spans="1:2">
      <c r="A2326" s="1">
        <v>45716</v>
      </c>
      <c r="B2326">
        <v>-0.08</v>
      </c>
    </row>
    <row r="2327" spans="1:2">
      <c r="A2327" s="1">
        <v>45719</v>
      </c>
      <c r="B2327">
        <v>-0.19</v>
      </c>
    </row>
    <row r="2328" spans="1:2">
      <c r="A2328" s="1">
        <v>45720</v>
      </c>
      <c r="B2328">
        <v>-0.12</v>
      </c>
    </row>
    <row r="2329" spans="1:2">
      <c r="A2329" s="1">
        <v>45721</v>
      </c>
      <c r="B2329">
        <v>-7.0000000000000007E-2</v>
      </c>
    </row>
    <row r="2330" spans="1:2">
      <c r="A2330" s="1">
        <v>45722</v>
      </c>
      <c r="B2330">
        <v>-0.05</v>
      </c>
    </row>
    <row r="2331" spans="1:2">
      <c r="A2331" s="1">
        <v>45723</v>
      </c>
      <c r="B2331">
        <v>-0.02</v>
      </c>
    </row>
    <row r="2332" spans="1:2">
      <c r="A2332" s="1">
        <v>45726</v>
      </c>
      <c r="B2332">
        <v>-0.11</v>
      </c>
    </row>
    <row r="2333" spans="1:2">
      <c r="A2333" s="1">
        <v>45727</v>
      </c>
      <c r="B2333">
        <v>-0.06</v>
      </c>
    </row>
    <row r="2334" spans="1:2">
      <c r="A2334" s="1">
        <v>45728</v>
      </c>
      <c r="B2334">
        <v>-0.03</v>
      </c>
    </row>
    <row r="2335" spans="1:2">
      <c r="A2335" s="1">
        <v>45729</v>
      </c>
      <c r="B2335">
        <v>-7.0000000000000007E-2</v>
      </c>
    </row>
    <row r="2336" spans="1:2">
      <c r="A2336" s="1">
        <v>45730</v>
      </c>
      <c r="B2336">
        <v>-0.02</v>
      </c>
    </row>
    <row r="2337" spans="1:2">
      <c r="A2337" s="1">
        <v>45733</v>
      </c>
      <c r="B2337">
        <v>-0.03</v>
      </c>
    </row>
    <row r="2338" spans="1:2">
      <c r="A2338" s="1">
        <v>45734</v>
      </c>
      <c r="B2338">
        <v>-0.05</v>
      </c>
    </row>
    <row r="2339" spans="1:2">
      <c r="A2339" s="1">
        <v>45735</v>
      </c>
      <c r="B2339">
        <v>-0.08</v>
      </c>
    </row>
    <row r="2340" spans="1:2">
      <c r="A2340" s="1">
        <v>45736</v>
      </c>
      <c r="B2340">
        <v>-0.09</v>
      </c>
    </row>
    <row r="2341" spans="1:2">
      <c r="A2341" s="1">
        <v>45737</v>
      </c>
      <c r="B2341">
        <v>-0.08</v>
      </c>
    </row>
    <row r="2342" spans="1:2">
      <c r="A2342" s="1">
        <v>45740</v>
      </c>
      <c r="B2342">
        <v>0.01</v>
      </c>
    </row>
    <row r="2343" spans="1:2">
      <c r="A2343" s="1">
        <v>45741</v>
      </c>
      <c r="B2343">
        <v>-0.02</v>
      </c>
    </row>
    <row r="2344" spans="1:2">
      <c r="A2344" s="1">
        <v>45742</v>
      </c>
      <c r="B2344">
        <v>0.02</v>
      </c>
    </row>
    <row r="2345" spans="1:2">
      <c r="A2345" s="1">
        <v>45743</v>
      </c>
      <c r="B2345">
        <v>0.05</v>
      </c>
    </row>
    <row r="2346" spans="1:2">
      <c r="A2346" s="1">
        <v>45744</v>
      </c>
      <c r="B2346">
        <v>-0.06</v>
      </c>
    </row>
    <row r="2347" spans="1:2">
      <c r="A2347" s="1">
        <v>45747</v>
      </c>
      <c r="B2347">
        <v>-0.09</v>
      </c>
    </row>
    <row r="2348" spans="1:2">
      <c r="A2348" s="1">
        <v>45748</v>
      </c>
      <c r="B2348">
        <v>-0.15</v>
      </c>
    </row>
    <row r="2349" spans="1:2">
      <c r="A2349" s="1">
        <v>45749</v>
      </c>
      <c r="B2349">
        <v>-0.12</v>
      </c>
    </row>
    <row r="2350" spans="1:2">
      <c r="A2350" s="1">
        <v>45750</v>
      </c>
      <c r="B2350">
        <v>-0.25</v>
      </c>
    </row>
    <row r="2351" spans="1:2">
      <c r="A2351" s="1">
        <v>45751</v>
      </c>
      <c r="B2351">
        <v>-0.27</v>
      </c>
    </row>
    <row r="2352" spans="1:2">
      <c r="A2352" s="1">
        <v>45754</v>
      </c>
      <c r="B2352">
        <v>-0.14000000000000001</v>
      </c>
    </row>
    <row r="2353" spans="1:2">
      <c r="A2353" s="1">
        <v>45755</v>
      </c>
      <c r="B2353">
        <v>-0.05</v>
      </c>
    </row>
    <row r="2354" spans="1:2">
      <c r="A2354" s="1">
        <v>45756</v>
      </c>
      <c r="B2354">
        <v>-0.01</v>
      </c>
    </row>
    <row r="2355" spans="1:2">
      <c r="A2355" s="1">
        <v>45757</v>
      </c>
      <c r="B2355">
        <v>0.06</v>
      </c>
    </row>
    <row r="2356" spans="1:2">
      <c r="A2356" s="1">
        <v>45758</v>
      </c>
      <c r="B2356">
        <v>0.14000000000000001</v>
      </c>
    </row>
    <row r="2357" spans="1:2">
      <c r="A2357" s="1">
        <v>45761</v>
      </c>
      <c r="B2357">
        <v>0.05</v>
      </c>
    </row>
    <row r="2358" spans="1:2">
      <c r="A2358" s="1">
        <v>45762</v>
      </c>
      <c r="B2358">
        <v>0.02</v>
      </c>
    </row>
    <row r="2359" spans="1:2">
      <c r="A2359" s="1">
        <v>45763</v>
      </c>
      <c r="B2359">
        <v>-0.04</v>
      </c>
    </row>
    <row r="2360" spans="1:2">
      <c r="A2360" s="1">
        <v>45764</v>
      </c>
      <c r="B2360">
        <v>0</v>
      </c>
    </row>
    <row r="2361" spans="1:2">
      <c r="A2361" s="1">
        <v>45765</v>
      </c>
    </row>
    <row r="2362" spans="1:2">
      <c r="A2362" s="1">
        <v>45768</v>
      </c>
      <c r="B2362">
        <v>0.08</v>
      </c>
    </row>
    <row r="2363" spans="1:2">
      <c r="A2363" s="1">
        <v>45769</v>
      </c>
      <c r="B2363">
        <v>0.08</v>
      </c>
    </row>
    <row r="2364" spans="1:2">
      <c r="A2364" s="1">
        <v>45770</v>
      </c>
      <c r="B2364">
        <v>7.0000000000000007E-2</v>
      </c>
    </row>
    <row r="2365" spans="1:2">
      <c r="A2365" s="1">
        <v>45771</v>
      </c>
      <c r="B2365">
        <v>0</v>
      </c>
    </row>
    <row r="2366" spans="1:2">
      <c r="A2366" s="1">
        <v>45772</v>
      </c>
      <c r="B2366">
        <v>-0.03</v>
      </c>
    </row>
    <row r="2367" spans="1:2">
      <c r="A2367" s="1">
        <v>45775</v>
      </c>
      <c r="B2367">
        <v>-0.09</v>
      </c>
    </row>
    <row r="2368" spans="1:2">
      <c r="A2368" s="1">
        <v>45776</v>
      </c>
      <c r="B2368">
        <v>-0.12</v>
      </c>
    </row>
    <row r="2369" spans="1:2">
      <c r="A2369" s="1">
        <v>45777</v>
      </c>
      <c r="B2369">
        <v>-0.14000000000000001</v>
      </c>
    </row>
    <row r="2370" spans="1:2">
      <c r="A2370" s="1">
        <v>45778</v>
      </c>
      <c r="B2370">
        <v>-0.06</v>
      </c>
    </row>
    <row r="2371" spans="1:2">
      <c r="A2371" s="1">
        <v>45779</v>
      </c>
      <c r="B2371">
        <v>0</v>
      </c>
    </row>
    <row r="2372" spans="1:2">
      <c r="A2372" s="1">
        <v>45782</v>
      </c>
      <c r="B2372">
        <v>0.03</v>
      </c>
    </row>
    <row r="2373" spans="1:2">
      <c r="A2373" s="1">
        <v>45783</v>
      </c>
      <c r="B2373">
        <v>-0.03</v>
      </c>
    </row>
    <row r="2374" spans="1:2">
      <c r="A2374" s="1">
        <v>45784</v>
      </c>
      <c r="B2374">
        <v>-0.08</v>
      </c>
    </row>
    <row r="2375" spans="1:2">
      <c r="A2375" s="1">
        <v>45785</v>
      </c>
      <c r="B2375">
        <v>0.03</v>
      </c>
    </row>
    <row r="2376" spans="1:2">
      <c r="A2376" s="1">
        <v>45786</v>
      </c>
      <c r="B2376">
        <v>0.03</v>
      </c>
    </row>
    <row r="2377" spans="1:2">
      <c r="A2377" s="1">
        <v>45789</v>
      </c>
      <c r="B2377">
        <v>0.03</v>
      </c>
    </row>
    <row r="2378" spans="1:2">
      <c r="A2378" s="1">
        <v>45790</v>
      </c>
      <c r="B2378">
        <v>0.08</v>
      </c>
    </row>
    <row r="2379" spans="1:2">
      <c r="A2379" s="1">
        <v>45791</v>
      </c>
      <c r="B2379">
        <v>0.12</v>
      </c>
    </row>
    <row r="2380" spans="1:2">
      <c r="A2380" s="1">
        <v>45792</v>
      </c>
      <c r="B2380">
        <v>7.0000000000000007E-2</v>
      </c>
    </row>
    <row r="2381" spans="1:2">
      <c r="A2381" s="1">
        <v>45793</v>
      </c>
      <c r="B2381">
        <v>0.06</v>
      </c>
    </row>
    <row r="2382" spans="1:2">
      <c r="A2382" s="1">
        <v>45796</v>
      </c>
      <c r="B2382">
        <v>7.0000000000000007E-2</v>
      </c>
    </row>
    <row r="2383" spans="1:2">
      <c r="A2383" s="1">
        <v>45797</v>
      </c>
      <c r="B2383">
        <v>0.1</v>
      </c>
    </row>
    <row r="2384" spans="1:2">
      <c r="A2384" s="1">
        <v>45798</v>
      </c>
      <c r="B2384">
        <v>0.22</v>
      </c>
    </row>
    <row r="2385" spans="1:2">
      <c r="A2385" s="1">
        <v>45799</v>
      </c>
      <c r="B2385">
        <v>0.17</v>
      </c>
    </row>
    <row r="2386" spans="1:2">
      <c r="A2386" s="1">
        <v>45800</v>
      </c>
      <c r="B2386">
        <v>0.15</v>
      </c>
    </row>
    <row r="2387" spans="1:2">
      <c r="A2387" s="1">
        <v>45803</v>
      </c>
    </row>
    <row r="2388" spans="1:2">
      <c r="A2388" s="1">
        <v>45804</v>
      </c>
      <c r="B2388">
        <v>0.08</v>
      </c>
    </row>
    <row r="2389" spans="1:2">
      <c r="A2389" s="1">
        <v>45805</v>
      </c>
      <c r="B2389">
        <v>0.12</v>
      </c>
    </row>
    <row r="2390" spans="1:2">
      <c r="A2390" s="1">
        <v>45806</v>
      </c>
      <c r="B2390">
        <v>7.0000000000000007E-2</v>
      </c>
    </row>
    <row r="2391" spans="1:2">
      <c r="A2391" s="1">
        <v>45807</v>
      </c>
      <c r="B2391">
        <v>0.05</v>
      </c>
    </row>
    <row r="2392" spans="1:2">
      <c r="A2392" s="1">
        <v>45810</v>
      </c>
      <c r="B2392">
        <v>0.02</v>
      </c>
    </row>
    <row r="2393" spans="1:2">
      <c r="A2393" s="1">
        <v>45811</v>
      </c>
      <c r="B2393">
        <v>0.03</v>
      </c>
    </row>
    <row r="2394" spans="1:2">
      <c r="A2394" s="1">
        <v>45812</v>
      </c>
      <c r="B2394">
        <v>-7.0000000000000007E-2</v>
      </c>
    </row>
    <row r="2395" spans="1:2">
      <c r="A2395" s="1">
        <v>45813</v>
      </c>
      <c r="B2395">
        <v>-0.04</v>
      </c>
    </row>
    <row r="2396" spans="1:2">
      <c r="A2396" s="1">
        <v>45814</v>
      </c>
      <c r="B2396">
        <v>0.08</v>
      </c>
    </row>
    <row r="2397" spans="1:2">
      <c r="A2397" s="1">
        <v>45817</v>
      </c>
      <c r="B2397">
        <v>0.05</v>
      </c>
    </row>
    <row r="2398" spans="1:2">
      <c r="A2398" s="1">
        <v>45818</v>
      </c>
      <c r="B2398">
        <v>0.02</v>
      </c>
    </row>
    <row r="2399" spans="1:2">
      <c r="A2399" s="1">
        <v>45819</v>
      </c>
      <c r="B2399">
        <v>-0.04</v>
      </c>
    </row>
    <row r="2400" spans="1:2">
      <c r="A2400" s="1">
        <v>45820</v>
      </c>
      <c r="B2400">
        <v>-0.1</v>
      </c>
    </row>
    <row r="2401" spans="1:2">
      <c r="A2401" s="1">
        <v>45821</v>
      </c>
      <c r="B2401">
        <v>-0.04</v>
      </c>
    </row>
    <row r="2402" spans="1:2">
      <c r="A2402" s="1">
        <v>45824</v>
      </c>
      <c r="B2402">
        <v>0.03</v>
      </c>
    </row>
    <row r="2403" spans="1:2">
      <c r="A2403" s="1">
        <v>45825</v>
      </c>
      <c r="B2403">
        <v>-0.03</v>
      </c>
    </row>
    <row r="2404" spans="1:2">
      <c r="A2404" s="1">
        <v>45826</v>
      </c>
      <c r="B2404">
        <v>-0.04</v>
      </c>
    </row>
    <row r="2405" spans="1:2">
      <c r="A2405" s="1">
        <v>45827</v>
      </c>
    </row>
    <row r="2406" spans="1:2">
      <c r="A2406" s="1">
        <v>45828</v>
      </c>
      <c r="B2406">
        <v>-0.01</v>
      </c>
    </row>
    <row r="2407" spans="1:2">
      <c r="A2407" s="1">
        <v>45831</v>
      </c>
      <c r="B2407">
        <v>-0.04</v>
      </c>
    </row>
    <row r="2408" spans="1:2">
      <c r="A2408" s="1">
        <v>45832</v>
      </c>
      <c r="B2408">
        <v>-0.08</v>
      </c>
    </row>
    <row r="2409" spans="1:2">
      <c r="A2409" s="1">
        <v>45833</v>
      </c>
      <c r="B2409">
        <v>-0.09</v>
      </c>
    </row>
    <row r="2410" spans="1:2">
      <c r="A2410" s="1">
        <v>45834</v>
      </c>
      <c r="B2410">
        <v>-0.13</v>
      </c>
    </row>
    <row r="2411" spans="1:2">
      <c r="A2411" s="1">
        <v>45835</v>
      </c>
      <c r="B2411">
        <v>-0.1</v>
      </c>
    </row>
    <row r="2412" spans="1:2">
      <c r="A2412" s="1">
        <v>45838</v>
      </c>
      <c r="B2412">
        <v>-0.17</v>
      </c>
    </row>
    <row r="2413" spans="1:2">
      <c r="A2413" s="1">
        <v>45839</v>
      </c>
      <c r="B2413">
        <v>-0.14000000000000001</v>
      </c>
    </row>
    <row r="2414" spans="1:2">
      <c r="A2414" s="1">
        <v>45840</v>
      </c>
      <c r="B2414">
        <v>-0.11</v>
      </c>
    </row>
    <row r="2415" spans="1:2">
      <c r="A2415" s="1">
        <v>45841</v>
      </c>
      <c r="B2415">
        <v>-7.0000000000000007E-2</v>
      </c>
    </row>
    <row r="2416" spans="1:2">
      <c r="A2416" s="1">
        <v>45842</v>
      </c>
    </row>
    <row r="2417" spans="1:2">
      <c r="A2417" s="1">
        <v>45845</v>
      </c>
      <c r="B2417">
        <v>-0.02</v>
      </c>
    </row>
    <row r="2418" spans="1:2">
      <c r="A2418" s="1">
        <v>45846</v>
      </c>
      <c r="B2418">
        <v>0</v>
      </c>
    </row>
    <row r="2419" spans="1:2">
      <c r="A2419" s="1">
        <v>45847</v>
      </c>
      <c r="B2419">
        <v>-0.08</v>
      </c>
    </row>
    <row r="2420" spans="1:2">
      <c r="A2420" s="1">
        <v>45848</v>
      </c>
      <c r="B2420">
        <v>-7.0000000000000007E-2</v>
      </c>
    </row>
    <row r="2421" spans="1:2">
      <c r="A2421" s="1">
        <v>45849</v>
      </c>
      <c r="B2421">
        <v>0.02</v>
      </c>
    </row>
    <row r="2422" spans="1:2">
      <c r="A2422" s="1">
        <v>45852</v>
      </c>
      <c r="B2422">
        <v>0.01</v>
      </c>
    </row>
    <row r="2423" spans="1:2">
      <c r="A2423" s="1">
        <v>45853</v>
      </c>
      <c r="B2423">
        <v>0.08</v>
      </c>
    </row>
    <row r="2424" spans="1:2">
      <c r="A2424" s="1">
        <v>45854</v>
      </c>
      <c r="B2424">
        <v>0.05</v>
      </c>
    </row>
    <row r="2425" spans="1:2">
      <c r="A2425" s="1">
        <v>45855</v>
      </c>
      <c r="B2425">
        <v>0.06</v>
      </c>
    </row>
    <row r="2426" spans="1:2">
      <c r="A2426" s="1">
        <v>45856</v>
      </c>
      <c r="B2426">
        <v>0.04</v>
      </c>
    </row>
    <row r="2427" spans="1:2">
      <c r="A2427" s="1">
        <v>45859</v>
      </c>
      <c r="B2427">
        <v>-0.03</v>
      </c>
    </row>
    <row r="2428" spans="1:2">
      <c r="A2428" s="1">
        <v>45860</v>
      </c>
      <c r="B2428">
        <v>-0.06</v>
      </c>
    </row>
    <row r="2429" spans="1:2">
      <c r="A2429" s="1">
        <v>45861</v>
      </c>
      <c r="B2429">
        <v>-0.01</v>
      </c>
    </row>
    <row r="2430" spans="1:2">
      <c r="A2430" s="1">
        <v>45862</v>
      </c>
      <c r="B2430">
        <v>0.01</v>
      </c>
    </row>
    <row r="2431" spans="1:2">
      <c r="A2431" s="1">
        <v>45863</v>
      </c>
      <c r="B2431">
        <v>-0.02</v>
      </c>
    </row>
    <row r="2432" spans="1:2">
      <c r="A2432" s="1">
        <v>45866</v>
      </c>
      <c r="B2432">
        <v>0.02</v>
      </c>
    </row>
    <row r="2433" spans="1:2">
      <c r="A2433" s="1">
        <v>45867</v>
      </c>
      <c r="B2433">
        <v>-0.06</v>
      </c>
    </row>
    <row r="2434" spans="1:2">
      <c r="A2434" s="1">
        <v>45868</v>
      </c>
      <c r="B2434">
        <v>-0.03</v>
      </c>
    </row>
    <row r="2435" spans="1:2">
      <c r="A2435" s="1">
        <v>45869</v>
      </c>
      <c r="B2435">
        <v>-0.04</v>
      </c>
    </row>
    <row r="2436" spans="1:2">
      <c r="A2436" s="1">
        <v>45870</v>
      </c>
      <c r="B2436">
        <v>-0.12</v>
      </c>
    </row>
    <row r="2437" spans="1:2">
      <c r="A2437" s="1">
        <v>45873</v>
      </c>
      <c r="B2437">
        <v>-0.13</v>
      </c>
    </row>
    <row r="2438" spans="1:2">
      <c r="A2438" s="1">
        <v>45874</v>
      </c>
      <c r="B2438">
        <v>-0.12</v>
      </c>
    </row>
    <row r="2439" spans="1:2">
      <c r="A2439" s="1">
        <v>45875</v>
      </c>
      <c r="B2439">
        <v>-0.1</v>
      </c>
    </row>
    <row r="2440" spans="1:2">
      <c r="A2440" s="1">
        <v>45876</v>
      </c>
      <c r="B2440">
        <v>-0.09</v>
      </c>
    </row>
    <row r="2441" spans="1:2">
      <c r="A2441" s="1">
        <v>45877</v>
      </c>
      <c r="B2441">
        <v>-0.05</v>
      </c>
    </row>
    <row r="2442" spans="1:2">
      <c r="A2442" s="1">
        <v>45880</v>
      </c>
      <c r="B2442">
        <v>-7.0000000000000007E-2</v>
      </c>
    </row>
    <row r="2443" spans="1:2">
      <c r="A2443" s="1">
        <v>45881</v>
      </c>
      <c r="B2443">
        <v>-0.04</v>
      </c>
    </row>
    <row r="2444" spans="1:2">
      <c r="A2444" s="1">
        <v>45882</v>
      </c>
      <c r="B2444">
        <v>-0.05</v>
      </c>
    </row>
    <row r="2445" spans="1:2">
      <c r="A2445" s="1">
        <v>45883</v>
      </c>
      <c r="B2445">
        <v>-0.01</v>
      </c>
    </row>
    <row r="2446" spans="1:2">
      <c r="A2446" s="1">
        <v>45884</v>
      </c>
      <c r="B2446">
        <v>0.03</v>
      </c>
    </row>
    <row r="2447" spans="1:2">
      <c r="A2447" s="1">
        <v>45887</v>
      </c>
      <c r="B2447">
        <v>0.01</v>
      </c>
    </row>
    <row r="2448" spans="1:2">
      <c r="A2448" s="1">
        <v>45888</v>
      </c>
      <c r="B2448">
        <v>0</v>
      </c>
    </row>
    <row r="2449" spans="1:2">
      <c r="A2449" s="1">
        <v>45889</v>
      </c>
      <c r="B2449">
        <v>-0.01</v>
      </c>
    </row>
    <row r="2450" spans="1:2">
      <c r="A2450" s="1">
        <v>45890</v>
      </c>
      <c r="B2450">
        <v>0.01</v>
      </c>
    </row>
    <row r="2451" spans="1:2">
      <c r="A2451" s="1">
        <v>45891</v>
      </c>
      <c r="B2451">
        <v>-0.01</v>
      </c>
    </row>
    <row r="2452" spans="1:2">
      <c r="A2452" s="1">
        <v>45894</v>
      </c>
      <c r="B2452">
        <v>-0.01</v>
      </c>
    </row>
    <row r="2453" spans="1:2">
      <c r="A2453" s="1">
        <v>45895</v>
      </c>
      <c r="B2453">
        <v>-0.02</v>
      </c>
    </row>
    <row r="2454" spans="1:2">
      <c r="A2454" s="1">
        <v>45896</v>
      </c>
      <c r="B2454">
        <v>-0.02</v>
      </c>
    </row>
    <row r="2455" spans="1:2">
      <c r="A2455" s="1">
        <v>45897</v>
      </c>
      <c r="B2455">
        <v>-0.04</v>
      </c>
    </row>
    <row r="2456" spans="1:2">
      <c r="A2456" s="1">
        <v>45898</v>
      </c>
      <c r="B2456">
        <v>0</v>
      </c>
    </row>
    <row r="2457" spans="1:2">
      <c r="A2457" s="1">
        <v>45901</v>
      </c>
    </row>
    <row r="2458" spans="1:2">
      <c r="A2458" s="1">
        <v>45902</v>
      </c>
      <c r="B2458">
        <v>0.08</v>
      </c>
    </row>
    <row r="2459" spans="1:2">
      <c r="A2459" s="1">
        <v>45903</v>
      </c>
      <c r="B2459">
        <v>0.04</v>
      </c>
    </row>
    <row r="2460" spans="1:2">
      <c r="A2460" s="1">
        <v>45904</v>
      </c>
      <c r="B2460">
        <v>0.01</v>
      </c>
    </row>
    <row r="2461" spans="1:2">
      <c r="A2461" s="1">
        <v>45905</v>
      </c>
      <c r="B2461">
        <v>0.03</v>
      </c>
    </row>
    <row r="2462" spans="1:2">
      <c r="A2462" s="1">
        <v>45908</v>
      </c>
      <c r="B2462">
        <v>-0.05</v>
      </c>
    </row>
    <row r="2463" spans="1:2">
      <c r="A2463" s="1">
        <v>45909</v>
      </c>
      <c r="B2463">
        <v>-0.02</v>
      </c>
    </row>
    <row r="2464" spans="1:2">
      <c r="A2464" s="1">
        <v>45910</v>
      </c>
      <c r="B2464">
        <v>-0.05</v>
      </c>
    </row>
    <row r="2465" spans="1:2">
      <c r="A2465" s="1">
        <v>45911</v>
      </c>
      <c r="B2465">
        <v>-7.0000000000000007E-2</v>
      </c>
    </row>
    <row r="2466" spans="1:2">
      <c r="A2466" s="1">
        <v>45912</v>
      </c>
      <c r="B2466">
        <v>-0.02</v>
      </c>
    </row>
    <row r="2467" spans="1:2">
      <c r="A2467" s="1">
        <v>45915</v>
      </c>
      <c r="B2467">
        <v>-0.01</v>
      </c>
    </row>
    <row r="2468" spans="1:2">
      <c r="A2468" s="1">
        <v>45916</v>
      </c>
      <c r="B2468">
        <v>0</v>
      </c>
    </row>
    <row r="2469" spans="1:2">
      <c r="A2469" s="1">
        <v>45917</v>
      </c>
      <c r="B2469">
        <v>0.04</v>
      </c>
    </row>
    <row r="2470" spans="1:2">
      <c r="A2470" s="1">
        <v>45918</v>
      </c>
      <c r="B2470">
        <v>0.08</v>
      </c>
    </row>
    <row r="2471" spans="1:2">
      <c r="A2471" s="1">
        <v>45919</v>
      </c>
      <c r="B2471">
        <v>0.11</v>
      </c>
    </row>
    <row r="2472" spans="1:2">
      <c r="A2472" s="1">
        <v>45922</v>
      </c>
      <c r="B2472">
        <v>0.15</v>
      </c>
    </row>
    <row r="2473" spans="1:2">
      <c r="A2473" s="1">
        <v>45923</v>
      </c>
      <c r="B2473">
        <v>0.12</v>
      </c>
    </row>
    <row r="2474" spans="1:2">
      <c r="A2474" s="1">
        <v>45924</v>
      </c>
      <c r="B2474">
        <v>0.14000000000000001</v>
      </c>
    </row>
    <row r="2475" spans="1:2">
      <c r="A2475" s="1">
        <v>45925</v>
      </c>
      <c r="B2475">
        <v>0.14000000000000001</v>
      </c>
    </row>
    <row r="2476" spans="1:2">
      <c r="A2476" s="1">
        <v>45926</v>
      </c>
      <c r="B2476">
        <v>0.18</v>
      </c>
    </row>
    <row r="2477" spans="1:2">
      <c r="A2477" s="1">
        <v>45929</v>
      </c>
      <c r="B2477">
        <v>0.11</v>
      </c>
    </row>
    <row r="2478" spans="1:2">
      <c r="A2478" s="1">
        <v>45930</v>
      </c>
      <c r="B2478">
        <v>0.14000000000000001</v>
      </c>
    </row>
    <row r="2479" spans="1:2">
      <c r="A2479" s="1">
        <v>45931</v>
      </c>
      <c r="B2479">
        <v>0.11</v>
      </c>
    </row>
    <row r="2480" spans="1:2">
      <c r="A2480" s="1">
        <v>45932</v>
      </c>
      <c r="B2480">
        <v>0.08</v>
      </c>
    </row>
    <row r="2481" spans="1:2">
      <c r="A2481" s="1">
        <v>45933</v>
      </c>
      <c r="B2481">
        <v>0.1</v>
      </c>
    </row>
    <row r="2482" spans="1:2">
      <c r="A2482" s="1">
        <v>45936</v>
      </c>
      <c r="B2482">
        <v>0.16</v>
      </c>
    </row>
    <row r="2483" spans="1:2">
      <c r="A2483" s="1">
        <v>45937</v>
      </c>
      <c r="B2483">
        <v>0.13</v>
      </c>
    </row>
    <row r="2484" spans="1:2">
      <c r="A2484" s="1">
        <v>45938</v>
      </c>
      <c r="B2484">
        <v>0.12</v>
      </c>
    </row>
    <row r="2485" spans="1:2">
      <c r="A2485" s="1">
        <v>45939</v>
      </c>
      <c r="B2485">
        <v>0.11</v>
      </c>
    </row>
    <row r="2486" spans="1:2">
      <c r="A2486" s="1">
        <v>45940</v>
      </c>
      <c r="B2486">
        <v>0.03</v>
      </c>
    </row>
    <row r="2487" spans="1:2">
      <c r="A2487" s="1">
        <v>45943</v>
      </c>
    </row>
    <row r="2488" spans="1:2">
      <c r="A2488" s="1">
        <v>45944</v>
      </c>
      <c r="B2488">
        <v>0.01</v>
      </c>
    </row>
    <row r="2489" spans="1:2">
      <c r="A2489" s="1">
        <v>45945</v>
      </c>
      <c r="B2489">
        <v>0.02</v>
      </c>
    </row>
    <row r="2490" spans="1:2">
      <c r="A2490" s="1">
        <v>45946</v>
      </c>
      <c r="B2490">
        <v>-0.03</v>
      </c>
    </row>
    <row r="2491" spans="1:2">
      <c r="A2491" s="1">
        <v>45947</v>
      </c>
      <c r="B2491">
        <v>0.02</v>
      </c>
    </row>
    <row r="2492" spans="1:2">
      <c r="A2492" s="1">
        <v>45950</v>
      </c>
      <c r="B2492">
        <v>0.03</v>
      </c>
    </row>
    <row r="2493" spans="1:2">
      <c r="A2493" s="1">
        <v>45951</v>
      </c>
      <c r="B2493">
        <v>0.02</v>
      </c>
    </row>
    <row r="2494" spans="1:2">
      <c r="A2494" s="1">
        <v>45952</v>
      </c>
      <c r="B2494">
        <v>0.01</v>
      </c>
    </row>
    <row r="2495" spans="1:2">
      <c r="A2495" s="1">
        <v>45953</v>
      </c>
      <c r="B2495">
        <v>0.06</v>
      </c>
    </row>
    <row r="2496" spans="1:2">
      <c r="A2496" s="1">
        <v>45954</v>
      </c>
      <c r="B2496">
        <v>0.09</v>
      </c>
    </row>
    <row r="2497" spans="1:2">
      <c r="A2497" s="1">
        <v>45957</v>
      </c>
      <c r="B2497">
        <v>0.12</v>
      </c>
    </row>
    <row r="2498" spans="1:2">
      <c r="A2498" s="1">
        <v>45958</v>
      </c>
      <c r="B2498">
        <v>0.1</v>
      </c>
    </row>
    <row r="2499" spans="1:2">
      <c r="A2499" s="1">
        <v>45959</v>
      </c>
      <c r="B2499">
        <v>0.15</v>
      </c>
    </row>
    <row r="2500" spans="1:2">
      <c r="A2500" s="1">
        <v>45960</v>
      </c>
      <c r="B2500">
        <v>0.19</v>
      </c>
    </row>
    <row r="2501" spans="1:2">
      <c r="A2501" s="1">
        <v>45961</v>
      </c>
      <c r="B2501">
        <v>0.22</v>
      </c>
    </row>
    <row r="2502" spans="1:2">
      <c r="A2502" s="1">
        <v>45964</v>
      </c>
      <c r="B2502">
        <v>0.15</v>
      </c>
    </row>
    <row r="2503" spans="1:2">
      <c r="A2503" s="1">
        <v>45965</v>
      </c>
      <c r="B2503">
        <v>0.14000000000000001</v>
      </c>
    </row>
    <row r="2504" spans="1:2">
      <c r="A2504" s="1">
        <v>45966</v>
      </c>
      <c r="B2504">
        <v>0.21</v>
      </c>
    </row>
    <row r="2505" spans="1:2">
      <c r="A2505" s="1">
        <v>45967</v>
      </c>
      <c r="B2505">
        <v>0.18</v>
      </c>
    </row>
    <row r="2506" spans="1:2">
      <c r="A2506" s="1">
        <v>45968</v>
      </c>
      <c r="B2506">
        <v>0.19</v>
      </c>
    </row>
    <row r="2507" spans="1:2">
      <c r="A2507" s="1">
        <v>45971</v>
      </c>
      <c r="B2507">
        <v>0.18</v>
      </c>
    </row>
    <row r="2508" spans="1:2">
      <c r="A2508" s="1">
        <v>45972</v>
      </c>
    </row>
    <row r="2509" spans="1:2">
      <c r="A2509" s="1">
        <v>45973</v>
      </c>
      <c r="B2509">
        <v>0.13</v>
      </c>
    </row>
    <row r="2510" spans="1:2">
      <c r="A2510" s="1">
        <v>45974</v>
      </c>
      <c r="B2510">
        <v>0.15</v>
      </c>
    </row>
    <row r="2511" spans="1:2">
      <c r="A2511" s="1">
        <v>45975</v>
      </c>
      <c r="B2511">
        <v>0.19</v>
      </c>
    </row>
    <row r="2512" spans="1:2">
      <c r="A2512" s="1">
        <v>45978</v>
      </c>
      <c r="B2512">
        <v>0.16</v>
      </c>
    </row>
    <row r="2513" spans="1:2">
      <c r="A2513" s="1">
        <v>45979</v>
      </c>
      <c r="B2513">
        <v>0.18</v>
      </c>
    </row>
    <row r="2514" spans="1:2">
      <c r="A2514" s="1">
        <v>45980</v>
      </c>
      <c r="B2514">
        <v>0.18</v>
      </c>
    </row>
    <row r="2515" spans="1:2">
      <c r="A2515" s="1">
        <v>45981</v>
      </c>
      <c r="B2515">
        <v>0.16</v>
      </c>
    </row>
    <row r="2516" spans="1:2">
      <c r="A2516" s="1">
        <v>45982</v>
      </c>
      <c r="B2516">
        <v>0.16</v>
      </c>
    </row>
    <row r="2517" spans="1:2">
      <c r="A2517" s="1">
        <v>45985</v>
      </c>
      <c r="B2517">
        <v>0.13</v>
      </c>
    </row>
    <row r="2518" spans="1:2">
      <c r="A2518" s="1">
        <v>45986</v>
      </c>
      <c r="B2518">
        <v>0.11</v>
      </c>
    </row>
    <row r="2519" spans="1:2">
      <c r="A2519" s="1">
        <v>45987</v>
      </c>
      <c r="B2519">
        <v>0.08</v>
      </c>
    </row>
    <row r="2520" spans="1:2">
      <c r="A2520" s="1">
        <v>45988</v>
      </c>
    </row>
    <row r="2521" spans="1:2">
      <c r="A2521" s="1">
        <v>45989</v>
      </c>
      <c r="B2521">
        <v>0.14000000000000001</v>
      </c>
    </row>
    <row r="2522" spans="1:2">
      <c r="A2522" s="1">
        <v>45992</v>
      </c>
      <c r="B2522">
        <v>0.28000000000000003</v>
      </c>
    </row>
    <row r="2523" spans="1:2">
      <c r="A2523" s="1">
        <v>45993</v>
      </c>
      <c r="B2523">
        <v>0.32</v>
      </c>
    </row>
    <row r="2524" spans="1:2">
      <c r="A2524" s="1">
        <v>45994</v>
      </c>
      <c r="B2524">
        <v>0.34</v>
      </c>
    </row>
    <row r="2525" spans="1:2">
      <c r="A2525" s="1">
        <v>45995</v>
      </c>
      <c r="B2525">
        <v>0.4</v>
      </c>
    </row>
    <row r="2526" spans="1:2">
      <c r="A2526" s="1">
        <v>45996</v>
      </c>
      <c r="B2526">
        <v>0.43</v>
      </c>
    </row>
    <row r="2527" spans="1:2">
      <c r="A2527" s="1">
        <v>45999</v>
      </c>
      <c r="B2527">
        <v>0.44</v>
      </c>
    </row>
    <row r="2528" spans="1:2">
      <c r="A2528" s="1">
        <v>46000</v>
      </c>
      <c r="B2528">
        <v>0.45</v>
      </c>
    </row>
    <row r="2529" spans="1:2">
      <c r="A2529" s="1">
        <v>46001</v>
      </c>
      <c r="B2529">
        <v>0.44</v>
      </c>
    </row>
    <row r="2530" spans="1:2">
      <c r="A2530" s="1">
        <v>46002</v>
      </c>
      <c r="B2530">
        <v>0.48</v>
      </c>
    </row>
    <row r="2531" spans="1:2">
      <c r="A2531" s="1">
        <v>46003</v>
      </c>
      <c r="B2531">
        <v>0.56000000000000005</v>
      </c>
    </row>
    <row r="2532" spans="1:2">
      <c r="A2532" s="1">
        <v>46006</v>
      </c>
      <c r="B2532">
        <v>0.53</v>
      </c>
    </row>
    <row r="2533" spans="1:2">
      <c r="A2533" s="1">
        <v>46007</v>
      </c>
      <c r="B2533">
        <v>0.51</v>
      </c>
    </row>
    <row r="2534" spans="1:2">
      <c r="A2534" s="1">
        <v>46008</v>
      </c>
      <c r="B2534">
        <v>0.52</v>
      </c>
    </row>
    <row r="2535" spans="1:2">
      <c r="A2535" s="1">
        <v>46009</v>
      </c>
      <c r="B2535">
        <v>0.5</v>
      </c>
    </row>
    <row r="2536" spans="1:2">
      <c r="A2536" s="1">
        <v>46010</v>
      </c>
      <c r="B2536">
        <v>0.54</v>
      </c>
    </row>
    <row r="2537" spans="1:2">
      <c r="A2537" s="1">
        <v>46013</v>
      </c>
      <c r="B2537">
        <v>0.53</v>
      </c>
    </row>
    <row r="2538" spans="1:2">
      <c r="A2538" s="1">
        <v>46014</v>
      </c>
      <c r="B2538">
        <v>0.53</v>
      </c>
    </row>
    <row r="2539" spans="1:2">
      <c r="A2539" s="1">
        <v>46015</v>
      </c>
      <c r="B2539">
        <v>0.46</v>
      </c>
    </row>
    <row r="2540" spans="1:2">
      <c r="A2540" s="1">
        <v>46016</v>
      </c>
    </row>
    <row r="2541" spans="1:2">
      <c r="A2541" s="1">
        <v>46017</v>
      </c>
      <c r="B2541">
        <v>0.5</v>
      </c>
    </row>
    <row r="2542" spans="1:2">
      <c r="A2542" s="1">
        <v>46020</v>
      </c>
      <c r="B2542">
        <v>0.44</v>
      </c>
    </row>
    <row r="2543" spans="1:2">
      <c r="A2543" s="1">
        <v>46021</v>
      </c>
      <c r="B2543">
        <v>0.49</v>
      </c>
    </row>
    <row r="2544" spans="1:2">
      <c r="A2544" s="1">
        <v>46022</v>
      </c>
      <c r="B2544">
        <v>0.51</v>
      </c>
    </row>
    <row r="2545" spans="1:2">
      <c r="A2545" s="1">
        <v>46023</v>
      </c>
    </row>
    <row r="2546" spans="1:2">
      <c r="A2546" s="1">
        <v>46024</v>
      </c>
      <c r="B2546">
        <v>0.54</v>
      </c>
    </row>
    <row r="2547" spans="1:2">
      <c r="A2547" s="1">
        <v>46027</v>
      </c>
      <c r="B2547">
        <v>0.53</v>
      </c>
    </row>
    <row r="2548" spans="1:2">
      <c r="A2548" s="1">
        <v>46028</v>
      </c>
      <c r="B2548">
        <v>0.55000000000000004</v>
      </c>
    </row>
    <row r="2549" spans="1:2">
      <c r="A2549" s="1">
        <v>46029</v>
      </c>
      <c r="B2549">
        <v>0.53</v>
      </c>
    </row>
    <row r="2550" spans="1:2">
      <c r="A2550" s="1">
        <v>46030</v>
      </c>
      <c r="B2550">
        <v>0.56999999999999995</v>
      </c>
    </row>
    <row r="2551" spans="1:2">
      <c r="A2551" s="1">
        <v>46031</v>
      </c>
      <c r="B2551">
        <v>0.56000000000000005</v>
      </c>
    </row>
    <row r="2552" spans="1:2">
      <c r="A2552" s="1">
        <v>46034</v>
      </c>
      <c r="B2552">
        <v>0.52</v>
      </c>
    </row>
    <row r="2553" spans="1:2">
      <c r="A2553" s="1">
        <v>46035</v>
      </c>
      <c r="B2553">
        <v>0.51</v>
      </c>
    </row>
    <row r="2554" spans="1:2">
      <c r="A2554" s="1">
        <v>46036</v>
      </c>
      <c r="B2554">
        <v>0.48</v>
      </c>
    </row>
    <row r="2555" spans="1:2">
      <c r="A2555" s="1">
        <v>46037</v>
      </c>
      <c r="B2555">
        <v>0.49</v>
      </c>
    </row>
    <row r="2556" spans="1:2">
      <c r="A2556" s="1">
        <v>46038</v>
      </c>
      <c r="B2556">
        <v>0.56999999999999995</v>
      </c>
    </row>
    <row r="2557" spans="1:2">
      <c r="A2557" s="1">
        <v>46041</v>
      </c>
    </row>
    <row r="2558" spans="1:2">
      <c r="A2558" s="1">
        <v>46042</v>
      </c>
      <c r="B2558">
        <v>0.6</v>
      </c>
    </row>
    <row r="2559" spans="1:2">
      <c r="A2559" s="1">
        <v>46043</v>
      </c>
      <c r="B2559">
        <v>0.56000000000000005</v>
      </c>
    </row>
    <row r="2560" spans="1:2">
      <c r="A2560" s="1">
        <v>46044</v>
      </c>
      <c r="B2560">
        <v>0.55000000000000004</v>
      </c>
    </row>
    <row r="2561" spans="1:2">
      <c r="A2561" s="1">
        <v>46045</v>
      </c>
      <c r="B2561">
        <v>0.54</v>
      </c>
    </row>
    <row r="2562" spans="1:2">
      <c r="A2562" s="1">
        <v>46048</v>
      </c>
      <c r="B2562">
        <v>0.55000000000000004</v>
      </c>
    </row>
    <row r="2563" spans="1:2">
      <c r="A2563" s="1">
        <v>46049</v>
      </c>
      <c r="B2563">
        <v>0.56999999999999995</v>
      </c>
    </row>
    <row r="2564" spans="1:2">
      <c r="A2564" s="1">
        <v>46050</v>
      </c>
      <c r="B2564">
        <v>0.57999999999999996</v>
      </c>
    </row>
    <row r="2565" spans="1:2">
      <c r="A2565" s="1">
        <v>46051</v>
      </c>
      <c r="B2565">
        <v>0.56999999999999995</v>
      </c>
    </row>
    <row r="2566" spans="1:2">
      <c r="A2566" s="1">
        <v>46052</v>
      </c>
      <c r="B2566">
        <v>0.59</v>
      </c>
    </row>
    <row r="2567" spans="1:2">
      <c r="A2567" s="1">
        <v>46055</v>
      </c>
      <c r="B2567">
        <v>0.6</v>
      </c>
    </row>
    <row r="2568" spans="1:2">
      <c r="A2568" s="1">
        <v>46056</v>
      </c>
      <c r="B2568">
        <v>0.59</v>
      </c>
    </row>
    <row r="2569" spans="1:2">
      <c r="A2569" s="1">
        <v>46057</v>
      </c>
      <c r="B2569">
        <v>0.6</v>
      </c>
    </row>
    <row r="2570" spans="1:2">
      <c r="A2570" s="1">
        <v>46058</v>
      </c>
      <c r="B2570">
        <v>0.54</v>
      </c>
    </row>
    <row r="2571" spans="1:2">
      <c r="A2571" s="1">
        <v>46059</v>
      </c>
      <c r="B2571">
        <v>0.54</v>
      </c>
    </row>
    <row r="2572" spans="1:2">
      <c r="A2572" s="1">
        <v>46062</v>
      </c>
      <c r="B2572">
        <v>0.53</v>
      </c>
    </row>
    <row r="2573" spans="1:2">
      <c r="A2573" s="1">
        <v>46063</v>
      </c>
      <c r="B2573">
        <v>0.47</v>
      </c>
    </row>
    <row r="2574" spans="1:2">
      <c r="A2574" s="1">
        <v>46064</v>
      </c>
      <c r="B2574">
        <v>0.48</v>
      </c>
    </row>
    <row r="2575" spans="1:2">
      <c r="A2575" s="1">
        <v>46065</v>
      </c>
      <c r="B2575">
        <v>0.39</v>
      </c>
    </row>
    <row r="2576" spans="1:2">
      <c r="A2576" s="1">
        <v>46066</v>
      </c>
      <c r="B2576">
        <v>0.36</v>
      </c>
    </row>
    <row r="2577" spans="1:2">
      <c r="A2577" s="1">
        <v>46069</v>
      </c>
    </row>
    <row r="2578" spans="1:2">
      <c r="A2578" s="1">
        <v>46070</v>
      </c>
      <c r="B2578">
        <v>0.36</v>
      </c>
    </row>
    <row r="2579" spans="1:2">
      <c r="A2579" s="1">
        <v>46071</v>
      </c>
      <c r="B2579">
        <v>0.39</v>
      </c>
    </row>
    <row r="2580" spans="1:2">
      <c r="A2580" s="1">
        <v>46072</v>
      </c>
      <c r="B2580">
        <v>0.39</v>
      </c>
    </row>
    <row r="2581" spans="1:2">
      <c r="A2581" s="1">
        <v>46073</v>
      </c>
      <c r="B2581">
        <v>0.39</v>
      </c>
    </row>
    <row r="2582" spans="1:2">
      <c r="A2582" s="1">
        <v>46076</v>
      </c>
      <c r="B2582">
        <v>0.34</v>
      </c>
    </row>
    <row r="2583" spans="1:2">
      <c r="A2583" s="1">
        <v>46077</v>
      </c>
      <c r="B2583">
        <v>0.35</v>
      </c>
    </row>
    <row r="2584" spans="1:2">
      <c r="A2584" s="1">
        <v>46078</v>
      </c>
      <c r="B2584">
        <v>0.36</v>
      </c>
    </row>
    <row r="2585" spans="1:2">
      <c r="A2585" s="1">
        <v>46079</v>
      </c>
      <c r="B2585">
        <v>0.34</v>
      </c>
    </row>
    <row r="2586" spans="1:2">
      <c r="A2586" s="1">
        <v>46080</v>
      </c>
      <c r="B2586">
        <v>0.3</v>
      </c>
    </row>
    <row r="2587" spans="1:2">
      <c r="A2587" s="1">
        <v>46083</v>
      </c>
      <c r="B2587">
        <v>0.33</v>
      </c>
    </row>
    <row r="2588" spans="1:2">
      <c r="A2588" s="1">
        <v>46084</v>
      </c>
      <c r="B2588">
        <v>0.35</v>
      </c>
    </row>
    <row r="2589" spans="1:2">
      <c r="A2589" s="1">
        <v>46085</v>
      </c>
      <c r="B2589">
        <v>0.38</v>
      </c>
    </row>
    <row r="2590" spans="1:2">
      <c r="A2590" s="1">
        <v>46086</v>
      </c>
      <c r="B2590">
        <v>0.43</v>
      </c>
    </row>
    <row r="2591" spans="1:2">
      <c r="A2591" s="1">
        <v>46087</v>
      </c>
      <c r="B2591">
        <v>0.46</v>
      </c>
    </row>
    <row r="2592" spans="1:2">
      <c r="A2592" s="1">
        <v>46090</v>
      </c>
      <c r="B2592">
        <v>0.41</v>
      </c>
    </row>
    <row r="2593" spans="1:2">
      <c r="A2593" s="1">
        <v>46091</v>
      </c>
      <c r="B2593">
        <v>0.44</v>
      </c>
    </row>
    <row r="2594" spans="1:2">
      <c r="A2594" s="1">
        <v>46092</v>
      </c>
      <c r="B2594">
        <v>0.5</v>
      </c>
    </row>
    <row r="2595" spans="1:2">
      <c r="A2595" s="1">
        <v>46093</v>
      </c>
      <c r="B2595">
        <v>0.55000000000000004</v>
      </c>
    </row>
    <row r="2596" spans="1:2">
      <c r="A2596" s="1">
        <v>46094</v>
      </c>
      <c r="B2596">
        <v>0.56000000000000005</v>
      </c>
    </row>
    <row r="2597" spans="1:2">
      <c r="A2597" s="1">
        <v>46097</v>
      </c>
      <c r="B2597">
        <v>0.51</v>
      </c>
    </row>
    <row r="2598" spans="1:2">
      <c r="A2598" s="1">
        <v>46098</v>
      </c>
      <c r="B2598">
        <v>0.48</v>
      </c>
    </row>
    <row r="2599" spans="1:2">
      <c r="A2599" s="1">
        <v>46099</v>
      </c>
      <c r="B2599">
        <v>0.53</v>
      </c>
    </row>
    <row r="2600" spans="1:2">
      <c r="A2600" s="1">
        <v>46100</v>
      </c>
      <c r="B2600">
        <v>0.52</v>
      </c>
    </row>
    <row r="2601" spans="1:2">
      <c r="A2601" s="1">
        <v>46101</v>
      </c>
      <c r="B2601">
        <v>0.65</v>
      </c>
    </row>
    <row r="2602" spans="1:2">
      <c r="A2602" s="1">
        <v>46104</v>
      </c>
      <c r="B2602">
        <v>0.6</v>
      </c>
    </row>
    <row r="2603" spans="1:2">
      <c r="A2603" s="1">
        <v>46105</v>
      </c>
      <c r="B2603">
        <v>0.65</v>
      </c>
    </row>
    <row r="2604" spans="1:2">
      <c r="A2604" s="1">
        <v>46106</v>
      </c>
      <c r="B2604">
        <v>0.6</v>
      </c>
    </row>
    <row r="2605" spans="1:2">
      <c r="A2605" s="1">
        <v>46107</v>
      </c>
      <c r="B2605">
        <v>0.69</v>
      </c>
    </row>
    <row r="2606" spans="1:2">
      <c r="A2606" s="1">
        <v>46108</v>
      </c>
      <c r="B2606">
        <v>0.71</v>
      </c>
    </row>
    <row r="2607" spans="1:2">
      <c r="A2607" s="1">
        <v>46111</v>
      </c>
      <c r="B2607">
        <v>0.64</v>
      </c>
    </row>
    <row r="2608" spans="1:2">
      <c r="A2608" s="1">
        <v>46112</v>
      </c>
      <c r="B2608">
        <v>0.6</v>
      </c>
    </row>
    <row r="2609" spans="1:2">
      <c r="A2609" s="1">
        <v>46113</v>
      </c>
      <c r="B2609">
        <v>0.63</v>
      </c>
    </row>
    <row r="2610" spans="1:2">
      <c r="A2610" s="1">
        <v>46114</v>
      </c>
      <c r="B2610">
        <v>0.61</v>
      </c>
    </row>
    <row r="2611" spans="1:2">
      <c r="A2611" s="1">
        <v>46115</v>
      </c>
      <c r="B2611">
        <v>0.64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DDE37-B662-4D94-B5D7-3FEA952DA55C}">
  <dimension ref="A1:B2645"/>
  <sheetViews>
    <sheetView workbookViewId="0">
      <selection activeCell="B1" sqref="B1"/>
    </sheetView>
  </sheetViews>
  <sheetFormatPr defaultRowHeight="14.4"/>
  <sheetData>
    <row r="1" spans="1:2">
      <c r="A1" t="s">
        <v>0</v>
      </c>
      <c r="B1" t="s">
        <v>11</v>
      </c>
    </row>
    <row r="2" spans="1:2">
      <c r="A2" s="1">
        <v>42464</v>
      </c>
      <c r="B2">
        <v>2.2999999999999998</v>
      </c>
    </row>
    <row r="3" spans="1:2">
      <c r="A3" s="1">
        <v>42465</v>
      </c>
      <c r="B3">
        <v>2.31</v>
      </c>
    </row>
    <row r="4" spans="1:2">
      <c r="A4" s="1">
        <v>42466</v>
      </c>
      <c r="B4">
        <v>2.2999999999999998</v>
      </c>
    </row>
    <row r="5" spans="1:2">
      <c r="A5" s="1">
        <v>42467</v>
      </c>
      <c r="B5">
        <v>2.31</v>
      </c>
    </row>
    <row r="6" spans="1:2">
      <c r="A6" s="1">
        <v>42468</v>
      </c>
      <c r="B6">
        <v>2.31</v>
      </c>
    </row>
    <row r="7" spans="1:2">
      <c r="A7" s="1">
        <v>42471</v>
      </c>
      <c r="B7">
        <v>2.2999999999999998</v>
      </c>
    </row>
    <row r="8" spans="1:2">
      <c r="A8" s="1">
        <v>42472</v>
      </c>
      <c r="B8">
        <v>2.2799999999999998</v>
      </c>
    </row>
    <row r="9" spans="1:2">
      <c r="A9" s="1">
        <v>42473</v>
      </c>
      <c r="B9">
        <v>2.2599999999999998</v>
      </c>
    </row>
    <row r="10" spans="1:2">
      <c r="A10" s="1">
        <v>42474</v>
      </c>
      <c r="B10">
        <v>2.23</v>
      </c>
    </row>
    <row r="11" spans="1:2">
      <c r="A11" s="1">
        <v>42475</v>
      </c>
      <c r="B11">
        <v>2.2200000000000002</v>
      </c>
    </row>
    <row r="12" spans="1:2">
      <c r="A12" s="1">
        <v>42478</v>
      </c>
      <c r="B12">
        <v>2.21</v>
      </c>
    </row>
    <row r="13" spans="1:2">
      <c r="A13" s="1">
        <v>42479</v>
      </c>
      <c r="B13">
        <v>2.1800000000000002</v>
      </c>
    </row>
    <row r="14" spans="1:2">
      <c r="A14" s="1">
        <v>42480</v>
      </c>
      <c r="B14">
        <v>2.14</v>
      </c>
    </row>
    <row r="15" spans="1:2">
      <c r="A15" s="1">
        <v>42481</v>
      </c>
      <c r="B15">
        <v>2.11</v>
      </c>
    </row>
    <row r="16" spans="1:2">
      <c r="A16" s="1">
        <v>42482</v>
      </c>
      <c r="B16">
        <v>2.09</v>
      </c>
    </row>
    <row r="17" spans="1:2">
      <c r="A17" s="1">
        <v>42485</v>
      </c>
      <c r="B17">
        <v>2.09</v>
      </c>
    </row>
    <row r="18" spans="1:2">
      <c r="A18" s="1">
        <v>42486</v>
      </c>
      <c r="B18">
        <v>2.0699999999999998</v>
      </c>
    </row>
    <row r="19" spans="1:2">
      <c r="A19" s="1">
        <v>42487</v>
      </c>
      <c r="B19">
        <v>2.0699999999999998</v>
      </c>
    </row>
    <row r="20" spans="1:2">
      <c r="A20" s="1">
        <v>42488</v>
      </c>
      <c r="B20">
        <v>2.06</v>
      </c>
    </row>
    <row r="21" spans="1:2">
      <c r="A21" s="1">
        <v>42489</v>
      </c>
      <c r="B21">
        <v>2.06</v>
      </c>
    </row>
    <row r="22" spans="1:2">
      <c r="A22" s="1">
        <v>42490</v>
      </c>
      <c r="B22">
        <v>2.0699999999999998</v>
      </c>
    </row>
    <row r="23" spans="1:2">
      <c r="A23" s="1">
        <v>42492</v>
      </c>
      <c r="B23">
        <v>2.06</v>
      </c>
    </row>
    <row r="24" spans="1:2">
      <c r="A24" s="1">
        <v>42493</v>
      </c>
      <c r="B24">
        <v>2.0699999999999998</v>
      </c>
    </row>
    <row r="25" spans="1:2">
      <c r="A25" s="1">
        <v>42494</v>
      </c>
      <c r="B25">
        <v>2.09</v>
      </c>
    </row>
    <row r="26" spans="1:2">
      <c r="A26" s="1">
        <v>42495</v>
      </c>
      <c r="B26">
        <v>2.1</v>
      </c>
    </row>
    <row r="27" spans="1:2">
      <c r="A27" s="1">
        <v>42496</v>
      </c>
      <c r="B27">
        <v>2.11</v>
      </c>
    </row>
    <row r="28" spans="1:2">
      <c r="A28" s="1">
        <v>42499</v>
      </c>
      <c r="B28">
        <v>2.12</v>
      </c>
    </row>
    <row r="29" spans="1:2">
      <c r="A29" s="1">
        <v>42500</v>
      </c>
      <c r="B29">
        <v>2.12</v>
      </c>
    </row>
    <row r="30" spans="1:2">
      <c r="A30" s="1">
        <v>42501</v>
      </c>
      <c r="B30">
        <v>2.12</v>
      </c>
    </row>
    <row r="31" spans="1:2">
      <c r="A31" s="1">
        <v>42502</v>
      </c>
      <c r="B31">
        <v>2.12</v>
      </c>
    </row>
    <row r="32" spans="1:2">
      <c r="A32" s="1">
        <v>42503</v>
      </c>
      <c r="B32">
        <v>2.12</v>
      </c>
    </row>
    <row r="33" spans="1:2">
      <c r="A33" s="1">
        <v>42506</v>
      </c>
      <c r="B33">
        <v>2.11</v>
      </c>
    </row>
    <row r="34" spans="1:2">
      <c r="A34" s="1">
        <v>42507</v>
      </c>
      <c r="B34">
        <v>2.11</v>
      </c>
    </row>
    <row r="35" spans="1:2">
      <c r="A35" s="1">
        <v>42508</v>
      </c>
      <c r="B35">
        <v>2.09</v>
      </c>
    </row>
    <row r="36" spans="1:2">
      <c r="A36" s="1">
        <v>42509</v>
      </c>
      <c r="B36">
        <v>2.11</v>
      </c>
    </row>
    <row r="37" spans="1:2">
      <c r="A37" s="1">
        <v>42510</v>
      </c>
      <c r="B37">
        <v>2.11</v>
      </c>
    </row>
    <row r="38" spans="1:2">
      <c r="A38" s="1">
        <v>42513</v>
      </c>
      <c r="B38">
        <v>2.11</v>
      </c>
    </row>
    <row r="39" spans="1:2">
      <c r="A39" s="1">
        <v>42514</v>
      </c>
      <c r="B39">
        <v>2.1</v>
      </c>
    </row>
    <row r="40" spans="1:2">
      <c r="A40" s="1">
        <v>42515</v>
      </c>
      <c r="B40">
        <v>2.09</v>
      </c>
    </row>
    <row r="41" spans="1:2">
      <c r="A41" s="1">
        <v>42516</v>
      </c>
      <c r="B41">
        <v>2.09</v>
      </c>
    </row>
    <row r="42" spans="1:2">
      <c r="A42" s="1">
        <v>42517</v>
      </c>
      <c r="B42">
        <v>2.08</v>
      </c>
    </row>
    <row r="43" spans="1:2">
      <c r="A43" s="1">
        <v>42520</v>
      </c>
      <c r="B43">
        <v>2.08</v>
      </c>
    </row>
    <row r="44" spans="1:2">
      <c r="A44" s="1">
        <v>42521</v>
      </c>
      <c r="B44">
        <v>2.0699999999999998</v>
      </c>
    </row>
    <row r="45" spans="1:2">
      <c r="A45" s="1">
        <v>42522</v>
      </c>
      <c r="B45">
        <v>2.0699999999999998</v>
      </c>
    </row>
    <row r="46" spans="1:2">
      <c r="A46" s="1">
        <v>42523</v>
      </c>
      <c r="B46">
        <v>2.0699999999999998</v>
      </c>
    </row>
    <row r="47" spans="1:2">
      <c r="A47" s="1">
        <v>42524</v>
      </c>
      <c r="B47">
        <v>2.08</v>
      </c>
    </row>
    <row r="48" spans="1:2">
      <c r="A48" s="1">
        <v>42527</v>
      </c>
      <c r="B48">
        <v>2.08</v>
      </c>
    </row>
    <row r="49" spans="1:2">
      <c r="A49" s="1">
        <v>42528</v>
      </c>
      <c r="B49">
        <v>2.0699999999999998</v>
      </c>
    </row>
    <row r="50" spans="1:2">
      <c r="A50" s="1">
        <v>42529</v>
      </c>
      <c r="B50">
        <v>2.0499999999999998</v>
      </c>
    </row>
    <row r="51" spans="1:2">
      <c r="A51" s="1">
        <v>42530</v>
      </c>
      <c r="B51">
        <v>2.06</v>
      </c>
    </row>
    <row r="52" spans="1:2">
      <c r="A52" s="1">
        <v>42531</v>
      </c>
      <c r="B52">
        <v>2.0699999999999998</v>
      </c>
    </row>
    <row r="53" spans="1:2">
      <c r="A53" s="1">
        <v>42534</v>
      </c>
      <c r="B53">
        <v>2.09</v>
      </c>
    </row>
    <row r="54" spans="1:2">
      <c r="A54" s="1">
        <v>42535</v>
      </c>
      <c r="B54">
        <v>2.11</v>
      </c>
    </row>
    <row r="55" spans="1:2">
      <c r="A55" s="1">
        <v>42536</v>
      </c>
      <c r="B55">
        <v>2.12</v>
      </c>
    </row>
    <row r="56" spans="1:2">
      <c r="A56" s="1">
        <v>42537</v>
      </c>
      <c r="B56">
        <v>2.14</v>
      </c>
    </row>
    <row r="57" spans="1:2">
      <c r="A57" s="1">
        <v>42538</v>
      </c>
      <c r="B57">
        <v>2.12</v>
      </c>
    </row>
    <row r="58" spans="1:2">
      <c r="A58" s="1">
        <v>42541</v>
      </c>
      <c r="B58">
        <v>2.1</v>
      </c>
    </row>
    <row r="59" spans="1:2">
      <c r="A59" s="1">
        <v>42542</v>
      </c>
      <c r="B59">
        <v>2.08</v>
      </c>
    </row>
    <row r="60" spans="1:2">
      <c r="A60" s="1">
        <v>42543</v>
      </c>
      <c r="B60">
        <v>2.0699999999999998</v>
      </c>
    </row>
    <row r="61" spans="1:2">
      <c r="A61" s="1">
        <v>42544</v>
      </c>
      <c r="B61">
        <v>2.04</v>
      </c>
    </row>
    <row r="62" spans="1:2">
      <c r="A62" s="1">
        <v>42545</v>
      </c>
      <c r="B62">
        <v>2.12</v>
      </c>
    </row>
    <row r="63" spans="1:2">
      <c r="A63" s="1">
        <v>42548</v>
      </c>
      <c r="B63">
        <v>2.16</v>
      </c>
    </row>
    <row r="64" spans="1:2">
      <c r="A64" s="1">
        <v>42549</v>
      </c>
      <c r="B64">
        <v>2.15</v>
      </c>
    </row>
    <row r="65" spans="1:2">
      <c r="A65" s="1">
        <v>42550</v>
      </c>
      <c r="B65">
        <v>2.13</v>
      </c>
    </row>
    <row r="66" spans="1:2">
      <c r="A66" s="1">
        <v>42551</v>
      </c>
      <c r="B66">
        <v>2.13</v>
      </c>
    </row>
    <row r="67" spans="1:2">
      <c r="A67" s="1">
        <v>42552</v>
      </c>
      <c r="B67">
        <v>2.12</v>
      </c>
    </row>
    <row r="68" spans="1:2">
      <c r="A68" s="1">
        <v>42555</v>
      </c>
      <c r="B68">
        <v>2.12</v>
      </c>
    </row>
    <row r="69" spans="1:2">
      <c r="A69" s="1">
        <v>42556</v>
      </c>
      <c r="B69">
        <v>2.12</v>
      </c>
    </row>
    <row r="70" spans="1:2">
      <c r="A70" s="1">
        <v>42557</v>
      </c>
      <c r="B70">
        <v>2.11</v>
      </c>
    </row>
    <row r="71" spans="1:2">
      <c r="A71" s="1">
        <v>42558</v>
      </c>
      <c r="B71">
        <v>2.09</v>
      </c>
    </row>
    <row r="72" spans="1:2">
      <c r="A72" s="1">
        <v>42559</v>
      </c>
      <c r="B72">
        <v>2.0699999999999998</v>
      </c>
    </row>
    <row r="73" spans="1:2">
      <c r="A73" s="1">
        <v>42562</v>
      </c>
      <c r="B73">
        <v>2.04</v>
      </c>
    </row>
    <row r="74" spans="1:2">
      <c r="A74" s="1">
        <v>42563</v>
      </c>
      <c r="B74">
        <v>2</v>
      </c>
    </row>
    <row r="75" spans="1:2">
      <c r="A75" s="1">
        <v>42564</v>
      </c>
      <c r="B75">
        <v>2</v>
      </c>
    </row>
    <row r="76" spans="1:2">
      <c r="A76" s="1">
        <v>42565</v>
      </c>
      <c r="B76">
        <v>1.97</v>
      </c>
    </row>
    <row r="77" spans="1:2">
      <c r="A77" s="1">
        <v>42566</v>
      </c>
      <c r="B77">
        <v>1.96</v>
      </c>
    </row>
    <row r="78" spans="1:2">
      <c r="A78" s="1">
        <v>42569</v>
      </c>
      <c r="B78">
        <v>1.95</v>
      </c>
    </row>
    <row r="79" spans="1:2">
      <c r="A79" s="1">
        <v>42570</v>
      </c>
      <c r="B79">
        <v>1.95</v>
      </c>
    </row>
    <row r="80" spans="1:2">
      <c r="A80" s="1">
        <v>42571</v>
      </c>
      <c r="B80">
        <v>1.94</v>
      </c>
    </row>
    <row r="81" spans="1:2">
      <c r="A81" s="1">
        <v>42572</v>
      </c>
      <c r="B81">
        <v>1.94</v>
      </c>
    </row>
    <row r="82" spans="1:2">
      <c r="A82" s="1">
        <v>42573</v>
      </c>
      <c r="B82">
        <v>1.93</v>
      </c>
    </row>
    <row r="83" spans="1:2">
      <c r="A83" s="1">
        <v>42576</v>
      </c>
      <c r="B83">
        <v>1.92</v>
      </c>
    </row>
    <row r="84" spans="1:2">
      <c r="A84" s="1">
        <v>42577</v>
      </c>
      <c r="B84">
        <v>1.93</v>
      </c>
    </row>
    <row r="85" spans="1:2">
      <c r="A85" s="1">
        <v>42578</v>
      </c>
      <c r="B85">
        <v>1.94</v>
      </c>
    </row>
    <row r="86" spans="1:2">
      <c r="A86" s="1">
        <v>42579</v>
      </c>
      <c r="B86">
        <v>1.95</v>
      </c>
    </row>
    <row r="87" spans="1:2">
      <c r="A87" s="1">
        <v>42580</v>
      </c>
      <c r="B87">
        <v>1.97</v>
      </c>
    </row>
    <row r="88" spans="1:2">
      <c r="A88" s="1">
        <v>42582</v>
      </c>
      <c r="B88">
        <v>1.97</v>
      </c>
    </row>
    <row r="89" spans="1:2">
      <c r="A89" s="1">
        <v>42583</v>
      </c>
      <c r="B89">
        <v>1.97</v>
      </c>
    </row>
    <row r="90" spans="1:2">
      <c r="A90" s="1">
        <v>42584</v>
      </c>
      <c r="B90">
        <v>1.98</v>
      </c>
    </row>
    <row r="91" spans="1:2">
      <c r="A91" s="1">
        <v>42585</v>
      </c>
      <c r="B91">
        <v>1.98</v>
      </c>
    </row>
    <row r="92" spans="1:2">
      <c r="A92" s="1">
        <v>42586</v>
      </c>
      <c r="B92">
        <v>1.97</v>
      </c>
    </row>
    <row r="93" spans="1:2">
      <c r="A93" s="1">
        <v>42587</v>
      </c>
      <c r="B93">
        <v>1.95</v>
      </c>
    </row>
    <row r="94" spans="1:2">
      <c r="A94" s="1">
        <v>42590</v>
      </c>
      <c r="B94">
        <v>1.93</v>
      </c>
    </row>
    <row r="95" spans="1:2">
      <c r="A95" s="1">
        <v>42591</v>
      </c>
      <c r="B95">
        <v>1.92</v>
      </c>
    </row>
    <row r="96" spans="1:2">
      <c r="A96" s="1">
        <v>42592</v>
      </c>
      <c r="B96">
        <v>1.92</v>
      </c>
    </row>
    <row r="97" spans="1:2">
      <c r="A97" s="1">
        <v>42593</v>
      </c>
      <c r="B97">
        <v>1.9</v>
      </c>
    </row>
    <row r="98" spans="1:2">
      <c r="A98" s="1">
        <v>42594</v>
      </c>
      <c r="B98">
        <v>1.9</v>
      </c>
    </row>
    <row r="99" spans="1:2">
      <c r="A99" s="1">
        <v>42597</v>
      </c>
      <c r="B99">
        <v>1.88</v>
      </c>
    </row>
    <row r="100" spans="1:2">
      <c r="A100" s="1">
        <v>42598</v>
      </c>
      <c r="B100">
        <v>1.87</v>
      </c>
    </row>
    <row r="101" spans="1:2">
      <c r="A101" s="1">
        <v>42599</v>
      </c>
      <c r="B101">
        <v>1.86</v>
      </c>
    </row>
    <row r="102" spans="1:2">
      <c r="A102" s="1">
        <v>42600</v>
      </c>
      <c r="B102">
        <v>1.86</v>
      </c>
    </row>
    <row r="103" spans="1:2">
      <c r="A103" s="1">
        <v>42601</v>
      </c>
      <c r="B103">
        <v>1.84</v>
      </c>
    </row>
    <row r="104" spans="1:2">
      <c r="A104" s="1">
        <v>42604</v>
      </c>
      <c r="B104">
        <v>1.84</v>
      </c>
    </row>
    <row r="105" spans="1:2">
      <c r="A105" s="1">
        <v>42605</v>
      </c>
      <c r="B105">
        <v>1.84</v>
      </c>
    </row>
    <row r="106" spans="1:2">
      <c r="A106" s="1">
        <v>42606</v>
      </c>
      <c r="B106">
        <v>1.83</v>
      </c>
    </row>
    <row r="107" spans="1:2">
      <c r="A107" s="1">
        <v>42607</v>
      </c>
      <c r="B107">
        <v>1.83</v>
      </c>
    </row>
    <row r="108" spans="1:2">
      <c r="A108" s="1">
        <v>42608</v>
      </c>
      <c r="B108">
        <v>1.82</v>
      </c>
    </row>
    <row r="109" spans="1:2">
      <c r="A109" s="1">
        <v>42611</v>
      </c>
      <c r="B109">
        <v>1.82</v>
      </c>
    </row>
    <row r="110" spans="1:2">
      <c r="A110" s="1">
        <v>42612</v>
      </c>
      <c r="B110">
        <v>1.81</v>
      </c>
    </row>
    <row r="111" spans="1:2">
      <c r="A111" s="1">
        <v>42613</v>
      </c>
      <c r="B111">
        <v>1.83</v>
      </c>
    </row>
    <row r="112" spans="1:2">
      <c r="A112" s="1">
        <v>42614</v>
      </c>
      <c r="B112">
        <v>1.83</v>
      </c>
    </row>
    <row r="113" spans="1:2">
      <c r="A113" s="1">
        <v>42615</v>
      </c>
      <c r="B113">
        <v>1.83</v>
      </c>
    </row>
    <row r="114" spans="1:2">
      <c r="A114" s="1">
        <v>42618</v>
      </c>
      <c r="B114">
        <v>1.83</v>
      </c>
    </row>
    <row r="115" spans="1:2">
      <c r="A115" s="1">
        <v>42619</v>
      </c>
      <c r="B115">
        <v>1.83</v>
      </c>
    </row>
    <row r="116" spans="1:2">
      <c r="A116" s="1">
        <v>42620</v>
      </c>
      <c r="B116">
        <v>1.83</v>
      </c>
    </row>
    <row r="117" spans="1:2">
      <c r="A117" s="1">
        <v>42621</v>
      </c>
      <c r="B117">
        <v>1.82</v>
      </c>
    </row>
    <row r="118" spans="1:2">
      <c r="A118" s="1">
        <v>42622</v>
      </c>
      <c r="B118">
        <v>1.83</v>
      </c>
    </row>
    <row r="119" spans="1:2">
      <c r="A119" s="1">
        <v>42625</v>
      </c>
      <c r="B119">
        <v>1.84</v>
      </c>
    </row>
    <row r="120" spans="1:2">
      <c r="A120" s="1">
        <v>42626</v>
      </c>
      <c r="B120">
        <v>1.85</v>
      </c>
    </row>
    <row r="121" spans="1:2">
      <c r="A121" s="1">
        <v>42627</v>
      </c>
      <c r="B121">
        <v>1.85</v>
      </c>
    </row>
    <row r="122" spans="1:2">
      <c r="A122" s="1">
        <v>42628</v>
      </c>
      <c r="B122">
        <v>1.86</v>
      </c>
    </row>
    <row r="123" spans="1:2">
      <c r="A123" s="1">
        <v>42629</v>
      </c>
      <c r="B123">
        <v>1.85</v>
      </c>
    </row>
    <row r="124" spans="1:2">
      <c r="A124" s="1">
        <v>42632</v>
      </c>
      <c r="B124">
        <v>1.85</v>
      </c>
    </row>
    <row r="125" spans="1:2">
      <c r="A125" s="1">
        <v>42633</v>
      </c>
      <c r="B125">
        <v>1.84</v>
      </c>
    </row>
    <row r="126" spans="1:2">
      <c r="A126" s="1">
        <v>42634</v>
      </c>
      <c r="B126">
        <v>1.85</v>
      </c>
    </row>
    <row r="127" spans="1:2">
      <c r="A127" s="1">
        <v>42635</v>
      </c>
      <c r="B127">
        <v>1.83</v>
      </c>
    </row>
    <row r="128" spans="1:2">
      <c r="A128" s="1">
        <v>42636</v>
      </c>
      <c r="B128">
        <v>1.83</v>
      </c>
    </row>
    <row r="129" spans="1:2">
      <c r="A129" s="1">
        <v>42639</v>
      </c>
      <c r="B129">
        <v>1.84</v>
      </c>
    </row>
    <row r="130" spans="1:2">
      <c r="A130" s="1">
        <v>42640</v>
      </c>
      <c r="B130">
        <v>1.85</v>
      </c>
    </row>
    <row r="131" spans="1:2">
      <c r="A131" s="1">
        <v>42641</v>
      </c>
      <c r="B131">
        <v>1.85</v>
      </c>
    </row>
    <row r="132" spans="1:2">
      <c r="A132" s="1">
        <v>42642</v>
      </c>
      <c r="B132">
        <v>1.85</v>
      </c>
    </row>
    <row r="133" spans="1:2">
      <c r="A133" s="1">
        <v>42643</v>
      </c>
      <c r="B133">
        <v>1.85</v>
      </c>
    </row>
    <row r="134" spans="1:2">
      <c r="A134" s="1">
        <v>42646</v>
      </c>
      <c r="B134">
        <v>1.84</v>
      </c>
    </row>
    <row r="135" spans="1:2">
      <c r="A135" s="1">
        <v>42647</v>
      </c>
      <c r="B135">
        <v>1.83</v>
      </c>
    </row>
    <row r="136" spans="1:2">
      <c r="A136" s="1">
        <v>42648</v>
      </c>
      <c r="B136">
        <v>1.81</v>
      </c>
    </row>
    <row r="137" spans="1:2">
      <c r="A137" s="1">
        <v>42649</v>
      </c>
      <c r="B137">
        <v>1.79</v>
      </c>
    </row>
    <row r="138" spans="1:2">
      <c r="A138" s="1">
        <v>42650</v>
      </c>
      <c r="B138">
        <v>1.79</v>
      </c>
    </row>
    <row r="139" spans="1:2">
      <c r="A139" s="1">
        <v>42653</v>
      </c>
      <c r="B139">
        <v>1.78</v>
      </c>
    </row>
    <row r="140" spans="1:2">
      <c r="A140" s="1">
        <v>42654</v>
      </c>
      <c r="B140">
        <v>1.77</v>
      </c>
    </row>
    <row r="141" spans="1:2">
      <c r="A141" s="1">
        <v>42655</v>
      </c>
      <c r="B141">
        <v>1.77</v>
      </c>
    </row>
    <row r="142" spans="1:2">
      <c r="A142" s="1">
        <v>42656</v>
      </c>
      <c r="B142">
        <v>1.77</v>
      </c>
    </row>
    <row r="143" spans="1:2">
      <c r="A143" s="1">
        <v>42657</v>
      </c>
      <c r="B143">
        <v>1.76</v>
      </c>
    </row>
    <row r="144" spans="1:2">
      <c r="A144" s="1">
        <v>42660</v>
      </c>
      <c r="B144">
        <v>1.76</v>
      </c>
    </row>
    <row r="145" spans="1:2">
      <c r="A145" s="1">
        <v>42661</v>
      </c>
      <c r="B145">
        <v>1.76</v>
      </c>
    </row>
    <row r="146" spans="1:2">
      <c r="A146" s="1">
        <v>42662</v>
      </c>
      <c r="B146">
        <v>1.75</v>
      </c>
    </row>
    <row r="147" spans="1:2">
      <c r="A147" s="1">
        <v>42663</v>
      </c>
      <c r="B147">
        <v>1.74</v>
      </c>
    </row>
    <row r="148" spans="1:2">
      <c r="A148" s="1">
        <v>42664</v>
      </c>
      <c r="B148">
        <v>1.75</v>
      </c>
    </row>
    <row r="149" spans="1:2">
      <c r="A149" s="1">
        <v>42667</v>
      </c>
      <c r="B149">
        <v>1.74</v>
      </c>
    </row>
    <row r="150" spans="1:2">
      <c r="A150" s="1">
        <v>42668</v>
      </c>
      <c r="B150">
        <v>1.75</v>
      </c>
    </row>
    <row r="151" spans="1:2">
      <c r="A151" s="1">
        <v>42669</v>
      </c>
      <c r="B151">
        <v>1.76</v>
      </c>
    </row>
    <row r="152" spans="1:2">
      <c r="A152" s="1">
        <v>42670</v>
      </c>
      <c r="B152">
        <v>1.75</v>
      </c>
    </row>
    <row r="153" spans="1:2">
      <c r="A153" s="1">
        <v>42671</v>
      </c>
      <c r="B153">
        <v>1.76</v>
      </c>
    </row>
    <row r="154" spans="1:2">
      <c r="A154" s="1">
        <v>42674</v>
      </c>
      <c r="B154">
        <v>1.78</v>
      </c>
    </row>
    <row r="155" spans="1:2">
      <c r="A155" s="1">
        <v>42675</v>
      </c>
      <c r="B155">
        <v>1.8</v>
      </c>
    </row>
    <row r="156" spans="1:2">
      <c r="A156" s="1">
        <v>42676</v>
      </c>
      <c r="B156">
        <v>1.81</v>
      </c>
    </row>
    <row r="157" spans="1:2">
      <c r="A157" s="1">
        <v>42677</v>
      </c>
      <c r="B157">
        <v>1.82</v>
      </c>
    </row>
    <row r="158" spans="1:2">
      <c r="A158" s="1">
        <v>42678</v>
      </c>
      <c r="B158">
        <v>1.83</v>
      </c>
    </row>
    <row r="159" spans="1:2">
      <c r="A159" s="1">
        <v>42681</v>
      </c>
      <c r="B159">
        <v>1.81</v>
      </c>
    </row>
    <row r="160" spans="1:2">
      <c r="A160" s="1">
        <v>42682</v>
      </c>
      <c r="B160">
        <v>1.8</v>
      </c>
    </row>
    <row r="161" spans="1:2">
      <c r="A161" s="1">
        <v>42683</v>
      </c>
      <c r="B161">
        <v>1.78</v>
      </c>
    </row>
    <row r="162" spans="1:2">
      <c r="A162" s="1">
        <v>42684</v>
      </c>
      <c r="B162">
        <v>1.77</v>
      </c>
    </row>
    <row r="163" spans="1:2">
      <c r="A163" s="1">
        <v>42685</v>
      </c>
      <c r="B163">
        <v>1.77</v>
      </c>
    </row>
    <row r="164" spans="1:2">
      <c r="A164" s="1">
        <v>42688</v>
      </c>
      <c r="B164">
        <v>1.78</v>
      </c>
    </row>
    <row r="165" spans="1:2">
      <c r="A165" s="1">
        <v>42689</v>
      </c>
      <c r="B165">
        <v>1.76</v>
      </c>
    </row>
    <row r="166" spans="1:2">
      <c r="A166" s="1">
        <v>42690</v>
      </c>
      <c r="B166">
        <v>1.77</v>
      </c>
    </row>
    <row r="167" spans="1:2">
      <c r="A167" s="1">
        <v>42691</v>
      </c>
      <c r="B167">
        <v>1.77</v>
      </c>
    </row>
    <row r="168" spans="1:2">
      <c r="A168" s="1">
        <v>42692</v>
      </c>
      <c r="B168">
        <v>1.77</v>
      </c>
    </row>
    <row r="169" spans="1:2">
      <c r="A169" s="1">
        <v>42695</v>
      </c>
      <c r="B169">
        <v>1.77</v>
      </c>
    </row>
    <row r="170" spans="1:2">
      <c r="A170" s="1">
        <v>42696</v>
      </c>
      <c r="B170">
        <v>1.78</v>
      </c>
    </row>
    <row r="171" spans="1:2">
      <c r="A171" s="1">
        <v>42697</v>
      </c>
      <c r="B171">
        <v>1.77</v>
      </c>
    </row>
    <row r="172" spans="1:2">
      <c r="A172" s="1">
        <v>42698</v>
      </c>
      <c r="B172">
        <v>1.77</v>
      </c>
    </row>
    <row r="173" spans="1:2">
      <c r="A173" s="1">
        <v>42699</v>
      </c>
      <c r="B173">
        <v>1.77</v>
      </c>
    </row>
    <row r="174" spans="1:2">
      <c r="A174" s="1">
        <v>42702</v>
      </c>
      <c r="B174">
        <v>1.77</v>
      </c>
    </row>
    <row r="175" spans="1:2">
      <c r="A175" s="1">
        <v>42703</v>
      </c>
      <c r="B175">
        <v>1.77</v>
      </c>
    </row>
    <row r="176" spans="1:2">
      <c r="A176" s="1">
        <v>42704</v>
      </c>
      <c r="B176">
        <v>1.75</v>
      </c>
    </row>
    <row r="177" spans="1:2">
      <c r="A177" s="1">
        <v>42705</v>
      </c>
      <c r="B177">
        <v>1.74</v>
      </c>
    </row>
    <row r="178" spans="1:2">
      <c r="A178" s="1">
        <v>42706</v>
      </c>
      <c r="B178">
        <v>1.74</v>
      </c>
    </row>
    <row r="179" spans="1:2">
      <c r="A179" s="1">
        <v>42709</v>
      </c>
      <c r="B179">
        <v>1.73</v>
      </c>
    </row>
    <row r="180" spans="1:2">
      <c r="A180" s="1">
        <v>42710</v>
      </c>
      <c r="B180">
        <v>1.72</v>
      </c>
    </row>
    <row r="181" spans="1:2">
      <c r="A181" s="1">
        <v>42711</v>
      </c>
      <c r="B181">
        <v>1.72</v>
      </c>
    </row>
    <row r="182" spans="1:2">
      <c r="A182" s="1">
        <v>42712</v>
      </c>
      <c r="B182">
        <v>1.71</v>
      </c>
    </row>
    <row r="183" spans="1:2">
      <c r="A183" s="1">
        <v>42713</v>
      </c>
      <c r="B183">
        <v>1.7</v>
      </c>
    </row>
    <row r="184" spans="1:2">
      <c r="A184" s="1">
        <v>42716</v>
      </c>
      <c r="B184">
        <v>1.7</v>
      </c>
    </row>
    <row r="185" spans="1:2">
      <c r="A185" s="1">
        <v>42717</v>
      </c>
      <c r="B185">
        <v>1.68</v>
      </c>
    </row>
    <row r="186" spans="1:2">
      <c r="A186" s="1">
        <v>42718</v>
      </c>
      <c r="B186">
        <v>1.66</v>
      </c>
    </row>
    <row r="187" spans="1:2">
      <c r="A187" s="1">
        <v>42719</v>
      </c>
      <c r="B187">
        <v>1.66</v>
      </c>
    </row>
    <row r="188" spans="1:2">
      <c r="A188" s="1">
        <v>42720</v>
      </c>
      <c r="B188">
        <v>1.66</v>
      </c>
    </row>
    <row r="189" spans="1:2">
      <c r="A189" s="1">
        <v>42723</v>
      </c>
      <c r="B189">
        <v>1.66</v>
      </c>
    </row>
    <row r="190" spans="1:2">
      <c r="A190" s="1">
        <v>42724</v>
      </c>
      <c r="B190">
        <v>1.65</v>
      </c>
    </row>
    <row r="191" spans="1:2">
      <c r="A191" s="1">
        <v>42725</v>
      </c>
      <c r="B191">
        <v>1.65</v>
      </c>
    </row>
    <row r="192" spans="1:2">
      <c r="A192" s="1">
        <v>42726</v>
      </c>
      <c r="B192">
        <v>1.64</v>
      </c>
    </row>
    <row r="193" spans="1:2">
      <c r="A193" s="1">
        <v>42727</v>
      </c>
      <c r="B193">
        <v>1.64</v>
      </c>
    </row>
    <row r="194" spans="1:2">
      <c r="A194" s="1">
        <v>42730</v>
      </c>
    </row>
    <row r="195" spans="1:2">
      <c r="A195" s="1">
        <v>42731</v>
      </c>
      <c r="B195">
        <v>1.64</v>
      </c>
    </row>
    <row r="196" spans="1:2">
      <c r="A196" s="1">
        <v>42732</v>
      </c>
      <c r="B196">
        <v>1.64</v>
      </c>
    </row>
    <row r="197" spans="1:2">
      <c r="A197" s="1">
        <v>42733</v>
      </c>
      <c r="B197">
        <v>1.63</v>
      </c>
    </row>
    <row r="198" spans="1:2">
      <c r="A198" s="1">
        <v>42734</v>
      </c>
      <c r="B198">
        <v>1.64</v>
      </c>
    </row>
    <row r="199" spans="1:2">
      <c r="A199" s="1">
        <v>42735</v>
      </c>
      <c r="B199">
        <v>1.66</v>
      </c>
    </row>
    <row r="200" spans="1:2">
      <c r="A200" s="1">
        <v>42737</v>
      </c>
    </row>
    <row r="201" spans="1:2">
      <c r="A201" s="1">
        <v>42738</v>
      </c>
      <c r="B201">
        <v>1.64</v>
      </c>
    </row>
    <row r="202" spans="1:2">
      <c r="A202" s="1">
        <v>42739</v>
      </c>
      <c r="B202">
        <v>1.63</v>
      </c>
    </row>
    <row r="203" spans="1:2">
      <c r="A203" s="1">
        <v>42740</v>
      </c>
      <c r="B203">
        <v>1.64</v>
      </c>
    </row>
    <row r="204" spans="1:2">
      <c r="A204" s="1">
        <v>42741</v>
      </c>
      <c r="B204">
        <v>1.63</v>
      </c>
    </row>
    <row r="205" spans="1:2">
      <c r="A205" s="1">
        <v>42744</v>
      </c>
      <c r="B205">
        <v>1.63</v>
      </c>
    </row>
    <row r="206" spans="1:2">
      <c r="A206" s="1">
        <v>42745</v>
      </c>
      <c r="B206">
        <v>1.63</v>
      </c>
    </row>
    <row r="207" spans="1:2">
      <c r="A207" s="1">
        <v>42746</v>
      </c>
      <c r="B207">
        <v>1.64</v>
      </c>
    </row>
    <row r="208" spans="1:2">
      <c r="A208" s="1">
        <v>42747</v>
      </c>
      <c r="B208">
        <v>1.64</v>
      </c>
    </row>
    <row r="209" spans="1:2">
      <c r="A209" s="1">
        <v>42748</v>
      </c>
      <c r="B209">
        <v>1.63</v>
      </c>
    </row>
    <row r="210" spans="1:2">
      <c r="A210" s="1">
        <v>42751</v>
      </c>
      <c r="B210">
        <v>1.63</v>
      </c>
    </row>
    <row r="211" spans="1:2">
      <c r="A211" s="1">
        <v>42752</v>
      </c>
      <c r="B211">
        <v>1.63</v>
      </c>
    </row>
    <row r="212" spans="1:2">
      <c r="A212" s="1">
        <v>42753</v>
      </c>
      <c r="B212">
        <v>1.63</v>
      </c>
    </row>
    <row r="213" spans="1:2">
      <c r="A213" s="1">
        <v>42754</v>
      </c>
      <c r="B213">
        <v>1.62</v>
      </c>
    </row>
    <row r="214" spans="1:2">
      <c r="A214" s="1">
        <v>42755</v>
      </c>
      <c r="B214">
        <v>1.62</v>
      </c>
    </row>
    <row r="215" spans="1:2">
      <c r="A215" s="1">
        <v>42758</v>
      </c>
      <c r="B215">
        <v>1.62</v>
      </c>
    </row>
    <row r="216" spans="1:2">
      <c r="A216" s="1">
        <v>42759</v>
      </c>
      <c r="B216">
        <v>1.61</v>
      </c>
    </row>
    <row r="217" spans="1:2">
      <c r="A217" s="1">
        <v>42760</v>
      </c>
      <c r="B217">
        <v>1.6</v>
      </c>
    </row>
    <row r="218" spans="1:2">
      <c r="A218" s="1">
        <v>42761</v>
      </c>
      <c r="B218">
        <v>1.6</v>
      </c>
    </row>
    <row r="219" spans="1:2">
      <c r="A219" s="1">
        <v>42762</v>
      </c>
      <c r="B219">
        <v>1.6</v>
      </c>
    </row>
    <row r="220" spans="1:2">
      <c r="A220" s="1">
        <v>42765</v>
      </c>
      <c r="B220">
        <v>1.59</v>
      </c>
    </row>
    <row r="221" spans="1:2">
      <c r="A221" s="1">
        <v>42766</v>
      </c>
      <c r="B221">
        <v>1.61</v>
      </c>
    </row>
    <row r="222" spans="1:2">
      <c r="A222" s="1">
        <v>42767</v>
      </c>
      <c r="B222">
        <v>1.61</v>
      </c>
    </row>
    <row r="223" spans="1:2">
      <c r="A223" s="1">
        <v>42768</v>
      </c>
      <c r="B223">
        <v>1.61</v>
      </c>
    </row>
    <row r="224" spans="1:2">
      <c r="A224" s="1">
        <v>42769</v>
      </c>
      <c r="B224">
        <v>1.6</v>
      </c>
    </row>
    <row r="225" spans="1:2">
      <c r="A225" s="1">
        <v>42772</v>
      </c>
      <c r="B225">
        <v>1.61</v>
      </c>
    </row>
    <row r="226" spans="1:2">
      <c r="A226" s="1">
        <v>42773</v>
      </c>
      <c r="B226">
        <v>1.61</v>
      </c>
    </row>
    <row r="227" spans="1:2">
      <c r="A227" s="1">
        <v>42774</v>
      </c>
      <c r="B227">
        <v>1.62</v>
      </c>
    </row>
    <row r="228" spans="1:2">
      <c r="A228" s="1">
        <v>42775</v>
      </c>
      <c r="B228">
        <v>1.61</v>
      </c>
    </row>
    <row r="229" spans="1:2">
      <c r="A229" s="1">
        <v>42776</v>
      </c>
      <c r="B229">
        <v>1.6</v>
      </c>
    </row>
    <row r="230" spans="1:2">
      <c r="A230" s="1">
        <v>42779</v>
      </c>
      <c r="B230">
        <v>1.59</v>
      </c>
    </row>
    <row r="231" spans="1:2">
      <c r="A231" s="1">
        <v>42780</v>
      </c>
      <c r="B231">
        <v>1.57</v>
      </c>
    </row>
    <row r="232" spans="1:2">
      <c r="A232" s="1">
        <v>42781</v>
      </c>
      <c r="B232">
        <v>1.56</v>
      </c>
    </row>
    <row r="233" spans="1:2">
      <c r="A233" s="1">
        <v>42782</v>
      </c>
      <c r="B233">
        <v>1.56</v>
      </c>
    </row>
    <row r="234" spans="1:2">
      <c r="A234" s="1">
        <v>42783</v>
      </c>
      <c r="B234">
        <v>1.57</v>
      </c>
    </row>
    <row r="235" spans="1:2">
      <c r="A235" s="1">
        <v>42786</v>
      </c>
      <c r="B235">
        <v>1.56</v>
      </c>
    </row>
    <row r="236" spans="1:2">
      <c r="A236" s="1">
        <v>42787</v>
      </c>
      <c r="B236">
        <v>1.56</v>
      </c>
    </row>
    <row r="237" spans="1:2">
      <c r="A237" s="1">
        <v>42788</v>
      </c>
      <c r="B237">
        <v>1.56</v>
      </c>
    </row>
    <row r="238" spans="1:2">
      <c r="A238" s="1">
        <v>42789</v>
      </c>
      <c r="B238">
        <v>1.55</v>
      </c>
    </row>
    <row r="239" spans="1:2">
      <c r="A239" s="1">
        <v>42790</v>
      </c>
      <c r="B239">
        <v>1.56</v>
      </c>
    </row>
    <row r="240" spans="1:2">
      <c r="A240" s="1">
        <v>42793</v>
      </c>
      <c r="B240">
        <v>1.54</v>
      </c>
    </row>
    <row r="241" spans="1:2">
      <c r="A241" s="1">
        <v>42794</v>
      </c>
      <c r="B241">
        <v>1.54</v>
      </c>
    </row>
    <row r="242" spans="1:2">
      <c r="A242" s="1">
        <v>42795</v>
      </c>
      <c r="B242">
        <v>1.52</v>
      </c>
    </row>
    <row r="243" spans="1:2">
      <c r="A243" s="1">
        <v>42796</v>
      </c>
      <c r="B243">
        <v>1.51</v>
      </c>
    </row>
    <row r="244" spans="1:2">
      <c r="A244" s="1">
        <v>42797</v>
      </c>
      <c r="B244">
        <v>1.5</v>
      </c>
    </row>
    <row r="245" spans="1:2">
      <c r="A245" s="1">
        <v>42800</v>
      </c>
      <c r="B245">
        <v>1.5</v>
      </c>
    </row>
    <row r="246" spans="1:2">
      <c r="A246" s="1">
        <v>42801</v>
      </c>
      <c r="B246">
        <v>1.51</v>
      </c>
    </row>
    <row r="247" spans="1:2">
      <c r="A247" s="1">
        <v>42802</v>
      </c>
      <c r="B247">
        <v>1.52</v>
      </c>
    </row>
    <row r="248" spans="1:2">
      <c r="A248" s="1">
        <v>42803</v>
      </c>
      <c r="B248">
        <v>1.54</v>
      </c>
    </row>
    <row r="249" spans="1:2">
      <c r="A249" s="1">
        <v>42804</v>
      </c>
      <c r="B249">
        <v>1.54</v>
      </c>
    </row>
    <row r="250" spans="1:2">
      <c r="A250" s="1">
        <v>42807</v>
      </c>
      <c r="B250">
        <v>1.54</v>
      </c>
    </row>
    <row r="251" spans="1:2">
      <c r="A251" s="1">
        <v>42808</v>
      </c>
      <c r="B251">
        <v>1.55</v>
      </c>
    </row>
    <row r="252" spans="1:2">
      <c r="A252" s="1">
        <v>42809</v>
      </c>
      <c r="B252">
        <v>1.56</v>
      </c>
    </row>
    <row r="253" spans="1:2">
      <c r="A253" s="1">
        <v>42810</v>
      </c>
      <c r="B253">
        <v>1.55</v>
      </c>
    </row>
    <row r="254" spans="1:2">
      <c r="A254" s="1">
        <v>42811</v>
      </c>
      <c r="B254">
        <v>1.55</v>
      </c>
    </row>
    <row r="255" spans="1:2">
      <c r="A255" s="1">
        <v>42814</v>
      </c>
      <c r="B255">
        <v>1.55</v>
      </c>
    </row>
    <row r="256" spans="1:2">
      <c r="A256" s="1">
        <v>42815</v>
      </c>
      <c r="B256">
        <v>1.55</v>
      </c>
    </row>
    <row r="257" spans="1:2">
      <c r="A257" s="1">
        <v>42816</v>
      </c>
      <c r="B257">
        <v>1.56</v>
      </c>
    </row>
    <row r="258" spans="1:2">
      <c r="A258" s="1">
        <v>42817</v>
      </c>
      <c r="B258">
        <v>1.56</v>
      </c>
    </row>
    <row r="259" spans="1:2">
      <c r="A259" s="1">
        <v>42818</v>
      </c>
      <c r="B259">
        <v>1.56</v>
      </c>
    </row>
    <row r="260" spans="1:2">
      <c r="A260" s="1">
        <v>42821</v>
      </c>
      <c r="B260">
        <v>1.56</v>
      </c>
    </row>
    <row r="261" spans="1:2">
      <c r="A261" s="1">
        <v>42822</v>
      </c>
      <c r="B261">
        <v>1.55</v>
      </c>
    </row>
    <row r="262" spans="1:2">
      <c r="A262" s="1">
        <v>42823</v>
      </c>
      <c r="B262">
        <v>1.55</v>
      </c>
    </row>
    <row r="263" spans="1:2">
      <c r="A263" s="1">
        <v>42824</v>
      </c>
      <c r="B263">
        <v>1.54</v>
      </c>
    </row>
    <row r="264" spans="1:2">
      <c r="A264" s="1">
        <v>42825</v>
      </c>
      <c r="B264">
        <v>1.57</v>
      </c>
    </row>
    <row r="265" spans="1:2">
      <c r="A265" s="1">
        <v>42828</v>
      </c>
      <c r="B265">
        <v>1.57</v>
      </c>
    </row>
    <row r="266" spans="1:2">
      <c r="A266" s="1">
        <v>42829</v>
      </c>
      <c r="B266">
        <v>1.58</v>
      </c>
    </row>
    <row r="267" spans="1:2">
      <c r="A267" s="1">
        <v>42830</v>
      </c>
      <c r="B267">
        <v>1.58</v>
      </c>
    </row>
    <row r="268" spans="1:2">
      <c r="A268" s="1">
        <v>42831</v>
      </c>
      <c r="B268">
        <v>1.58</v>
      </c>
    </row>
    <row r="269" spans="1:2">
      <c r="A269" s="1">
        <v>42832</v>
      </c>
      <c r="B269">
        <v>1.57</v>
      </c>
    </row>
    <row r="270" spans="1:2">
      <c r="A270" s="1">
        <v>42835</v>
      </c>
      <c r="B270">
        <v>1.56</v>
      </c>
    </row>
    <row r="271" spans="1:2">
      <c r="A271" s="1">
        <v>42836</v>
      </c>
      <c r="B271">
        <v>1.57</v>
      </c>
    </row>
    <row r="272" spans="1:2">
      <c r="A272" s="1">
        <v>42837</v>
      </c>
      <c r="B272">
        <v>1.57</v>
      </c>
    </row>
    <row r="273" spans="1:2">
      <c r="A273" s="1">
        <v>42838</v>
      </c>
      <c r="B273">
        <v>1.58</v>
      </c>
    </row>
    <row r="274" spans="1:2">
      <c r="A274" s="1">
        <v>42839</v>
      </c>
    </row>
    <row r="275" spans="1:2">
      <c r="A275" s="1">
        <v>42842</v>
      </c>
      <c r="B275">
        <v>1.58</v>
      </c>
    </row>
    <row r="276" spans="1:2">
      <c r="A276" s="1">
        <v>42843</v>
      </c>
      <c r="B276">
        <v>1.59</v>
      </c>
    </row>
    <row r="277" spans="1:2">
      <c r="A277" s="1">
        <v>42844</v>
      </c>
      <c r="B277">
        <v>1.59</v>
      </c>
    </row>
    <row r="278" spans="1:2">
      <c r="A278" s="1">
        <v>42845</v>
      </c>
      <c r="B278">
        <v>1.58</v>
      </c>
    </row>
    <row r="279" spans="1:2">
      <c r="A279" s="1">
        <v>42846</v>
      </c>
      <c r="B279">
        <v>1.58</v>
      </c>
    </row>
    <row r="280" spans="1:2">
      <c r="A280" s="1">
        <v>42849</v>
      </c>
      <c r="B280">
        <v>1.56</v>
      </c>
    </row>
    <row r="281" spans="1:2">
      <c r="A281" s="1">
        <v>42850</v>
      </c>
      <c r="B281">
        <v>1.56</v>
      </c>
    </row>
    <row r="282" spans="1:2">
      <c r="A282" s="1">
        <v>42851</v>
      </c>
      <c r="B282">
        <v>1.55</v>
      </c>
    </row>
    <row r="283" spans="1:2">
      <c r="A283" s="1">
        <v>42852</v>
      </c>
      <c r="B283">
        <v>1.55</v>
      </c>
    </row>
    <row r="284" spans="1:2">
      <c r="A284" s="1">
        <v>42853</v>
      </c>
      <c r="B284">
        <v>1.55</v>
      </c>
    </row>
    <row r="285" spans="1:2">
      <c r="A285" s="1">
        <v>42855</v>
      </c>
      <c r="B285">
        <v>1.55</v>
      </c>
    </row>
    <row r="286" spans="1:2">
      <c r="A286" s="1">
        <v>42856</v>
      </c>
      <c r="B286">
        <v>1.55</v>
      </c>
    </row>
    <row r="287" spans="1:2">
      <c r="A287" s="1">
        <v>42857</v>
      </c>
      <c r="B287">
        <v>1.54</v>
      </c>
    </row>
    <row r="288" spans="1:2">
      <c r="A288" s="1">
        <v>42858</v>
      </c>
      <c r="B288">
        <v>1.54</v>
      </c>
    </row>
    <row r="289" spans="1:2">
      <c r="A289" s="1">
        <v>42859</v>
      </c>
      <c r="B289">
        <v>1.53</v>
      </c>
    </row>
    <row r="290" spans="1:2">
      <c r="A290" s="1">
        <v>42860</v>
      </c>
      <c r="B290">
        <v>1.53</v>
      </c>
    </row>
    <row r="291" spans="1:2">
      <c r="A291" s="1">
        <v>42863</v>
      </c>
      <c r="B291">
        <v>1.52</v>
      </c>
    </row>
    <row r="292" spans="1:2">
      <c r="A292" s="1">
        <v>42864</v>
      </c>
      <c r="B292">
        <v>1.51</v>
      </c>
    </row>
    <row r="293" spans="1:2">
      <c r="A293" s="1">
        <v>42865</v>
      </c>
      <c r="B293">
        <v>1.5</v>
      </c>
    </row>
    <row r="294" spans="1:2">
      <c r="A294" s="1">
        <v>42866</v>
      </c>
      <c r="B294">
        <v>1.49</v>
      </c>
    </row>
    <row r="295" spans="1:2">
      <c r="A295" s="1">
        <v>42867</v>
      </c>
      <c r="B295">
        <v>1.49</v>
      </c>
    </row>
    <row r="296" spans="1:2">
      <c r="A296" s="1">
        <v>42870</v>
      </c>
      <c r="B296">
        <v>1.48</v>
      </c>
    </row>
    <row r="297" spans="1:2">
      <c r="A297" s="1">
        <v>42871</v>
      </c>
      <c r="B297">
        <v>1.48</v>
      </c>
    </row>
    <row r="298" spans="1:2">
      <c r="A298" s="1">
        <v>42872</v>
      </c>
      <c r="B298">
        <v>1.49</v>
      </c>
    </row>
    <row r="299" spans="1:2">
      <c r="A299" s="1">
        <v>42873</v>
      </c>
      <c r="B299">
        <v>1.5</v>
      </c>
    </row>
    <row r="300" spans="1:2">
      <c r="A300" s="1">
        <v>42874</v>
      </c>
      <c r="B300">
        <v>1.49</v>
      </c>
    </row>
    <row r="301" spans="1:2">
      <c r="A301" s="1">
        <v>42877</v>
      </c>
      <c r="B301">
        <v>1.49</v>
      </c>
    </row>
    <row r="302" spans="1:2">
      <c r="A302" s="1">
        <v>42878</v>
      </c>
      <c r="B302">
        <v>1.48</v>
      </c>
    </row>
    <row r="303" spans="1:2">
      <c r="A303" s="1">
        <v>42879</v>
      </c>
      <c r="B303">
        <v>1.49</v>
      </c>
    </row>
    <row r="304" spans="1:2">
      <c r="A304" s="1">
        <v>42880</v>
      </c>
      <c r="B304">
        <v>1.49</v>
      </c>
    </row>
    <row r="305" spans="1:2">
      <c r="A305" s="1">
        <v>42881</v>
      </c>
      <c r="B305">
        <v>1.48</v>
      </c>
    </row>
    <row r="306" spans="1:2">
      <c r="A306" s="1">
        <v>42884</v>
      </c>
      <c r="B306">
        <v>1.48</v>
      </c>
    </row>
    <row r="307" spans="1:2">
      <c r="A307" s="1">
        <v>42885</v>
      </c>
      <c r="B307">
        <v>1.48</v>
      </c>
    </row>
    <row r="308" spans="1:2">
      <c r="A308" s="1">
        <v>42886</v>
      </c>
      <c r="B308">
        <v>1.51</v>
      </c>
    </row>
    <row r="309" spans="1:2">
      <c r="A309" s="1">
        <v>42887</v>
      </c>
      <c r="B309">
        <v>1.51</v>
      </c>
    </row>
    <row r="310" spans="1:2">
      <c r="A310" s="1">
        <v>42888</v>
      </c>
      <c r="B310">
        <v>1.51</v>
      </c>
    </row>
    <row r="311" spans="1:2">
      <c r="A311" s="1">
        <v>42891</v>
      </c>
      <c r="B311">
        <v>1.5</v>
      </c>
    </row>
    <row r="312" spans="1:2">
      <c r="A312" s="1">
        <v>42892</v>
      </c>
      <c r="B312">
        <v>1.5</v>
      </c>
    </row>
    <row r="313" spans="1:2">
      <c r="A313" s="1">
        <v>42893</v>
      </c>
      <c r="B313">
        <v>1.5</v>
      </c>
    </row>
    <row r="314" spans="1:2">
      <c r="A314" s="1">
        <v>42894</v>
      </c>
      <c r="B314">
        <v>1.5</v>
      </c>
    </row>
    <row r="315" spans="1:2">
      <c r="A315" s="1">
        <v>42895</v>
      </c>
      <c r="B315">
        <v>1.5</v>
      </c>
    </row>
    <row r="316" spans="1:2">
      <c r="A316" s="1">
        <v>42898</v>
      </c>
      <c r="B316">
        <v>1.49</v>
      </c>
    </row>
    <row r="317" spans="1:2">
      <c r="A317" s="1">
        <v>42899</v>
      </c>
      <c r="B317">
        <v>1.49</v>
      </c>
    </row>
    <row r="318" spans="1:2">
      <c r="A318" s="1">
        <v>42900</v>
      </c>
      <c r="B318">
        <v>1.48</v>
      </c>
    </row>
    <row r="319" spans="1:2">
      <c r="A319" s="1">
        <v>42901</v>
      </c>
      <c r="B319">
        <v>1.48</v>
      </c>
    </row>
    <row r="320" spans="1:2">
      <c r="A320" s="1">
        <v>42902</v>
      </c>
      <c r="B320">
        <v>1.49</v>
      </c>
    </row>
    <row r="321" spans="1:2">
      <c r="A321" s="1">
        <v>42905</v>
      </c>
      <c r="B321">
        <v>1.48</v>
      </c>
    </row>
    <row r="322" spans="1:2">
      <c r="A322" s="1">
        <v>42906</v>
      </c>
      <c r="B322">
        <v>1.48</v>
      </c>
    </row>
    <row r="323" spans="1:2">
      <c r="A323" s="1">
        <v>42907</v>
      </c>
      <c r="B323">
        <v>1.49</v>
      </c>
    </row>
    <row r="324" spans="1:2">
      <c r="A324" s="1">
        <v>42908</v>
      </c>
      <c r="B324">
        <v>1.49</v>
      </c>
    </row>
    <row r="325" spans="1:2">
      <c r="A325" s="1">
        <v>42909</v>
      </c>
      <c r="B325">
        <v>1.49</v>
      </c>
    </row>
    <row r="326" spans="1:2">
      <c r="A326" s="1">
        <v>42912</v>
      </c>
      <c r="B326">
        <v>1.49</v>
      </c>
    </row>
    <row r="327" spans="1:2">
      <c r="A327" s="1">
        <v>42913</v>
      </c>
      <c r="B327">
        <v>1.48</v>
      </c>
    </row>
    <row r="328" spans="1:2">
      <c r="A328" s="1">
        <v>42914</v>
      </c>
      <c r="B328">
        <v>1.47</v>
      </c>
    </row>
    <row r="329" spans="1:2">
      <c r="A329" s="1">
        <v>42915</v>
      </c>
      <c r="B329">
        <v>1.46</v>
      </c>
    </row>
    <row r="330" spans="1:2">
      <c r="A330" s="1">
        <v>42916</v>
      </c>
      <c r="B330">
        <v>1.46</v>
      </c>
    </row>
    <row r="331" spans="1:2">
      <c r="A331" s="1">
        <v>42919</v>
      </c>
      <c r="B331">
        <v>1.45</v>
      </c>
    </row>
    <row r="332" spans="1:2">
      <c r="A332" s="1">
        <v>42920</v>
      </c>
      <c r="B332">
        <v>1.45</v>
      </c>
    </row>
    <row r="333" spans="1:2">
      <c r="A333" s="1">
        <v>42921</v>
      </c>
      <c r="B333">
        <v>1.45</v>
      </c>
    </row>
    <row r="334" spans="1:2">
      <c r="A334" s="1">
        <v>42922</v>
      </c>
      <c r="B334">
        <v>1.44</v>
      </c>
    </row>
    <row r="335" spans="1:2">
      <c r="A335" s="1">
        <v>42923</v>
      </c>
      <c r="B335">
        <v>1.43</v>
      </c>
    </row>
    <row r="336" spans="1:2">
      <c r="A336" s="1">
        <v>42926</v>
      </c>
      <c r="B336">
        <v>1.43</v>
      </c>
    </row>
    <row r="337" spans="1:2">
      <c r="A337" s="1">
        <v>42927</v>
      </c>
      <c r="B337">
        <v>1.43</v>
      </c>
    </row>
    <row r="338" spans="1:2">
      <c r="A338" s="1">
        <v>42928</v>
      </c>
      <c r="B338">
        <v>1.43</v>
      </c>
    </row>
    <row r="339" spans="1:2">
      <c r="A339" s="1">
        <v>42929</v>
      </c>
      <c r="B339">
        <v>1.42</v>
      </c>
    </row>
    <row r="340" spans="1:2">
      <c r="A340" s="1">
        <v>42930</v>
      </c>
      <c r="B340">
        <v>1.42</v>
      </c>
    </row>
    <row r="341" spans="1:2">
      <c r="A341" s="1">
        <v>42933</v>
      </c>
      <c r="B341">
        <v>1.41</v>
      </c>
    </row>
    <row r="342" spans="1:2">
      <c r="A342" s="1">
        <v>42934</v>
      </c>
      <c r="B342">
        <v>1.41</v>
      </c>
    </row>
    <row r="343" spans="1:2">
      <c r="A343" s="1">
        <v>42935</v>
      </c>
      <c r="B343">
        <v>1.4</v>
      </c>
    </row>
    <row r="344" spans="1:2">
      <c r="A344" s="1">
        <v>42936</v>
      </c>
      <c r="B344">
        <v>1.4</v>
      </c>
    </row>
    <row r="345" spans="1:2">
      <c r="A345" s="1">
        <v>42937</v>
      </c>
      <c r="B345">
        <v>1.4</v>
      </c>
    </row>
    <row r="346" spans="1:2">
      <c r="A346" s="1">
        <v>42940</v>
      </c>
      <c r="B346">
        <v>1.39</v>
      </c>
    </row>
    <row r="347" spans="1:2">
      <c r="A347" s="1">
        <v>42941</v>
      </c>
      <c r="B347">
        <v>1.38</v>
      </c>
    </row>
    <row r="348" spans="1:2">
      <c r="A348" s="1">
        <v>42942</v>
      </c>
      <c r="B348">
        <v>1.38</v>
      </c>
    </row>
    <row r="349" spans="1:2">
      <c r="A349" s="1">
        <v>42943</v>
      </c>
      <c r="B349">
        <v>1.37</v>
      </c>
    </row>
    <row r="350" spans="1:2">
      <c r="A350" s="1">
        <v>42944</v>
      </c>
      <c r="B350">
        <v>1.37</v>
      </c>
    </row>
    <row r="351" spans="1:2">
      <c r="A351" s="1">
        <v>42947</v>
      </c>
      <c r="B351">
        <v>1.39</v>
      </c>
    </row>
    <row r="352" spans="1:2">
      <c r="A352" s="1">
        <v>42948</v>
      </c>
      <c r="B352">
        <v>1.39</v>
      </c>
    </row>
    <row r="353" spans="1:2">
      <c r="A353" s="1">
        <v>42949</v>
      </c>
      <c r="B353">
        <v>1.39</v>
      </c>
    </row>
    <row r="354" spans="1:2">
      <c r="A354" s="1">
        <v>42950</v>
      </c>
      <c r="B354">
        <v>1.4</v>
      </c>
    </row>
    <row r="355" spans="1:2">
      <c r="A355" s="1">
        <v>42951</v>
      </c>
      <c r="B355">
        <v>1.4</v>
      </c>
    </row>
    <row r="356" spans="1:2">
      <c r="A356" s="1">
        <v>42954</v>
      </c>
      <c r="B356">
        <v>1.41</v>
      </c>
    </row>
    <row r="357" spans="1:2">
      <c r="A357" s="1">
        <v>42955</v>
      </c>
      <c r="B357">
        <v>1.41</v>
      </c>
    </row>
    <row r="358" spans="1:2">
      <c r="A358" s="1">
        <v>42956</v>
      </c>
      <c r="B358">
        <v>1.44</v>
      </c>
    </row>
    <row r="359" spans="1:2">
      <c r="A359" s="1">
        <v>42957</v>
      </c>
      <c r="B359">
        <v>1.46</v>
      </c>
    </row>
    <row r="360" spans="1:2">
      <c r="A360" s="1">
        <v>42958</v>
      </c>
      <c r="B360">
        <v>1.48</v>
      </c>
    </row>
    <row r="361" spans="1:2">
      <c r="A361" s="1">
        <v>42961</v>
      </c>
      <c r="B361">
        <v>1.47</v>
      </c>
    </row>
    <row r="362" spans="1:2">
      <c r="A362" s="1">
        <v>42962</v>
      </c>
      <c r="B362">
        <v>1.46</v>
      </c>
    </row>
    <row r="363" spans="1:2">
      <c r="A363" s="1">
        <v>42963</v>
      </c>
      <c r="B363">
        <v>1.46</v>
      </c>
    </row>
    <row r="364" spans="1:2">
      <c r="A364" s="1">
        <v>42964</v>
      </c>
      <c r="B364">
        <v>1.46</v>
      </c>
    </row>
    <row r="365" spans="1:2">
      <c r="A365" s="1">
        <v>42965</v>
      </c>
      <c r="B365">
        <v>1.47</v>
      </c>
    </row>
    <row r="366" spans="1:2">
      <c r="A366" s="1">
        <v>42968</v>
      </c>
      <c r="B366">
        <v>1.47</v>
      </c>
    </row>
    <row r="367" spans="1:2">
      <c r="A367" s="1">
        <v>42969</v>
      </c>
      <c r="B367">
        <v>1.47</v>
      </c>
    </row>
    <row r="368" spans="1:2">
      <c r="A368" s="1">
        <v>42970</v>
      </c>
      <c r="B368">
        <v>1.47</v>
      </c>
    </row>
    <row r="369" spans="1:2">
      <c r="A369" s="1">
        <v>42971</v>
      </c>
      <c r="B369">
        <v>1.47</v>
      </c>
    </row>
    <row r="370" spans="1:2">
      <c r="A370" s="1">
        <v>42972</v>
      </c>
      <c r="B370">
        <v>1.47</v>
      </c>
    </row>
    <row r="371" spans="1:2">
      <c r="A371" s="1">
        <v>42975</v>
      </c>
      <c r="B371">
        <v>1.47</v>
      </c>
    </row>
    <row r="372" spans="1:2">
      <c r="A372" s="1">
        <v>42976</v>
      </c>
      <c r="B372">
        <v>1.47</v>
      </c>
    </row>
    <row r="373" spans="1:2">
      <c r="A373" s="1">
        <v>42977</v>
      </c>
      <c r="B373">
        <v>1.47</v>
      </c>
    </row>
    <row r="374" spans="1:2">
      <c r="A374" s="1">
        <v>42978</v>
      </c>
      <c r="B374">
        <v>1.48</v>
      </c>
    </row>
    <row r="375" spans="1:2">
      <c r="A375" s="1">
        <v>42979</v>
      </c>
      <c r="B375">
        <v>1.47</v>
      </c>
    </row>
    <row r="376" spans="1:2">
      <c r="A376" s="1">
        <v>42982</v>
      </c>
      <c r="B376">
        <v>1.47</v>
      </c>
    </row>
    <row r="377" spans="1:2">
      <c r="A377" s="1">
        <v>42983</v>
      </c>
      <c r="B377">
        <v>1.48</v>
      </c>
    </row>
    <row r="378" spans="1:2">
      <c r="A378" s="1">
        <v>42984</v>
      </c>
      <c r="B378">
        <v>1.48</v>
      </c>
    </row>
    <row r="379" spans="1:2">
      <c r="A379" s="1">
        <v>42985</v>
      </c>
      <c r="B379">
        <v>1.49</v>
      </c>
    </row>
    <row r="380" spans="1:2">
      <c r="A380" s="1">
        <v>42986</v>
      </c>
      <c r="B380">
        <v>1.49</v>
      </c>
    </row>
    <row r="381" spans="1:2">
      <c r="A381" s="1">
        <v>42989</v>
      </c>
      <c r="B381">
        <v>1.49</v>
      </c>
    </row>
    <row r="382" spans="1:2">
      <c r="A382" s="1">
        <v>42990</v>
      </c>
      <c r="B382">
        <v>1.48</v>
      </c>
    </row>
    <row r="383" spans="1:2">
      <c r="A383" s="1">
        <v>42991</v>
      </c>
      <c r="B383">
        <v>1.47</v>
      </c>
    </row>
    <row r="384" spans="1:2">
      <c r="A384" s="1">
        <v>42992</v>
      </c>
      <c r="B384">
        <v>1.46</v>
      </c>
    </row>
    <row r="385" spans="1:2">
      <c r="A385" s="1">
        <v>42993</v>
      </c>
      <c r="B385">
        <v>1.45</v>
      </c>
    </row>
    <row r="386" spans="1:2">
      <c r="A386" s="1">
        <v>42996</v>
      </c>
      <c r="B386">
        <v>1.43</v>
      </c>
    </row>
    <row r="387" spans="1:2">
      <c r="A387" s="1">
        <v>42997</v>
      </c>
      <c r="B387">
        <v>1.42</v>
      </c>
    </row>
    <row r="388" spans="1:2">
      <c r="A388" s="1">
        <v>42998</v>
      </c>
      <c r="B388">
        <v>1.41</v>
      </c>
    </row>
    <row r="389" spans="1:2">
      <c r="A389" s="1">
        <v>42999</v>
      </c>
      <c r="B389">
        <v>1.41</v>
      </c>
    </row>
    <row r="390" spans="1:2">
      <c r="A390" s="1">
        <v>43000</v>
      </c>
      <c r="B390">
        <v>1.41</v>
      </c>
    </row>
    <row r="391" spans="1:2">
      <c r="A391" s="1">
        <v>43003</v>
      </c>
      <c r="B391">
        <v>1.41</v>
      </c>
    </row>
    <row r="392" spans="1:2">
      <c r="A392" s="1">
        <v>43004</v>
      </c>
      <c r="B392">
        <v>1.4</v>
      </c>
    </row>
    <row r="393" spans="1:2">
      <c r="A393" s="1">
        <v>43005</v>
      </c>
      <c r="B393">
        <v>1.39</v>
      </c>
    </row>
    <row r="394" spans="1:2">
      <c r="A394" s="1">
        <v>43006</v>
      </c>
      <c r="B394">
        <v>1.38</v>
      </c>
    </row>
    <row r="395" spans="1:2">
      <c r="A395" s="1">
        <v>43007</v>
      </c>
      <c r="B395">
        <v>1.36</v>
      </c>
    </row>
    <row r="396" spans="1:2">
      <c r="A396" s="1">
        <v>43008</v>
      </c>
      <c r="B396">
        <v>1.37</v>
      </c>
    </row>
    <row r="397" spans="1:2">
      <c r="A397" s="1">
        <v>43010</v>
      </c>
      <c r="B397">
        <v>1.36</v>
      </c>
    </row>
    <row r="398" spans="1:2">
      <c r="A398" s="1">
        <v>43011</v>
      </c>
      <c r="B398">
        <v>1.35</v>
      </c>
    </row>
    <row r="399" spans="1:2">
      <c r="A399" s="1">
        <v>43012</v>
      </c>
      <c r="B399">
        <v>1.34</v>
      </c>
    </row>
    <row r="400" spans="1:2">
      <c r="A400" s="1">
        <v>43013</v>
      </c>
      <c r="B400">
        <v>1.33</v>
      </c>
    </row>
    <row r="401" spans="1:2">
      <c r="A401" s="1">
        <v>43014</v>
      </c>
      <c r="B401">
        <v>1.33</v>
      </c>
    </row>
    <row r="402" spans="1:2">
      <c r="A402" s="1">
        <v>43017</v>
      </c>
      <c r="B402">
        <v>1.33</v>
      </c>
    </row>
    <row r="403" spans="1:2">
      <c r="A403" s="1">
        <v>43018</v>
      </c>
      <c r="B403">
        <v>1.33</v>
      </c>
    </row>
    <row r="404" spans="1:2">
      <c r="A404" s="1">
        <v>43019</v>
      </c>
      <c r="B404">
        <v>1.33</v>
      </c>
    </row>
    <row r="405" spans="1:2">
      <c r="A405" s="1">
        <v>43020</v>
      </c>
      <c r="B405">
        <v>1.33</v>
      </c>
    </row>
    <row r="406" spans="1:2">
      <c r="A406" s="1">
        <v>43021</v>
      </c>
      <c r="B406">
        <v>1.34</v>
      </c>
    </row>
    <row r="407" spans="1:2">
      <c r="A407" s="1">
        <v>43024</v>
      </c>
      <c r="B407">
        <v>1.33</v>
      </c>
    </row>
    <row r="408" spans="1:2">
      <c r="A408" s="1">
        <v>43025</v>
      </c>
      <c r="B408">
        <v>1.33</v>
      </c>
    </row>
    <row r="409" spans="1:2">
      <c r="A409" s="1">
        <v>43026</v>
      </c>
      <c r="B409">
        <v>1.32</v>
      </c>
    </row>
    <row r="410" spans="1:2">
      <c r="A410" s="1">
        <v>43027</v>
      </c>
      <c r="B410">
        <v>1.32</v>
      </c>
    </row>
    <row r="411" spans="1:2">
      <c r="A411" s="1">
        <v>43028</v>
      </c>
      <c r="B411">
        <v>1.31</v>
      </c>
    </row>
    <row r="412" spans="1:2">
      <c r="A412" s="1">
        <v>43031</v>
      </c>
      <c r="B412">
        <v>1.3</v>
      </c>
    </row>
    <row r="413" spans="1:2">
      <c r="A413" s="1">
        <v>43032</v>
      </c>
      <c r="B413">
        <v>1.29</v>
      </c>
    </row>
    <row r="414" spans="1:2">
      <c r="A414" s="1">
        <v>43033</v>
      </c>
      <c r="B414">
        <v>1.29</v>
      </c>
    </row>
    <row r="415" spans="1:2">
      <c r="A415" s="1">
        <v>43034</v>
      </c>
      <c r="B415">
        <v>1.29</v>
      </c>
    </row>
    <row r="416" spans="1:2">
      <c r="A416" s="1">
        <v>43035</v>
      </c>
      <c r="B416">
        <v>1.29</v>
      </c>
    </row>
    <row r="417" spans="1:2">
      <c r="A417" s="1">
        <v>43038</v>
      </c>
      <c r="B417">
        <v>1.3</v>
      </c>
    </row>
    <row r="418" spans="1:2">
      <c r="A418" s="1">
        <v>43039</v>
      </c>
      <c r="B418">
        <v>1.3</v>
      </c>
    </row>
    <row r="419" spans="1:2">
      <c r="A419" s="1">
        <v>43040</v>
      </c>
      <c r="B419">
        <v>1.31</v>
      </c>
    </row>
    <row r="420" spans="1:2">
      <c r="A420" s="1">
        <v>43041</v>
      </c>
      <c r="B420">
        <v>1.32</v>
      </c>
    </row>
    <row r="421" spans="1:2">
      <c r="A421" s="1">
        <v>43042</v>
      </c>
      <c r="B421">
        <v>1.32</v>
      </c>
    </row>
    <row r="422" spans="1:2">
      <c r="A422" s="1">
        <v>43045</v>
      </c>
      <c r="B422">
        <v>1.33</v>
      </c>
    </row>
    <row r="423" spans="1:2">
      <c r="A423" s="1">
        <v>43046</v>
      </c>
      <c r="B423">
        <v>1.34</v>
      </c>
    </row>
    <row r="424" spans="1:2">
      <c r="A424" s="1">
        <v>43047</v>
      </c>
      <c r="B424">
        <v>1.35</v>
      </c>
    </row>
    <row r="425" spans="1:2">
      <c r="A425" s="1">
        <v>43048</v>
      </c>
      <c r="B425">
        <v>1.36</v>
      </c>
    </row>
    <row r="426" spans="1:2">
      <c r="A426" s="1">
        <v>43049</v>
      </c>
      <c r="B426">
        <v>1.36</v>
      </c>
    </row>
    <row r="427" spans="1:2">
      <c r="A427" s="1">
        <v>43052</v>
      </c>
      <c r="B427">
        <v>1.36</v>
      </c>
    </row>
    <row r="428" spans="1:2">
      <c r="A428" s="1">
        <v>43053</v>
      </c>
      <c r="B428">
        <v>1.37</v>
      </c>
    </row>
    <row r="429" spans="1:2">
      <c r="A429" s="1">
        <v>43054</v>
      </c>
      <c r="B429">
        <v>1.39</v>
      </c>
    </row>
    <row r="430" spans="1:2">
      <c r="A430" s="1">
        <v>43055</v>
      </c>
      <c r="B430">
        <v>1.38</v>
      </c>
    </row>
    <row r="431" spans="1:2">
      <c r="A431" s="1">
        <v>43056</v>
      </c>
      <c r="B431">
        <v>1.37</v>
      </c>
    </row>
    <row r="432" spans="1:2">
      <c r="A432" s="1">
        <v>43059</v>
      </c>
      <c r="B432">
        <v>1.36</v>
      </c>
    </row>
    <row r="433" spans="1:2">
      <c r="A433" s="1">
        <v>43060</v>
      </c>
      <c r="B433">
        <v>1.35</v>
      </c>
    </row>
    <row r="434" spans="1:2">
      <c r="A434" s="1">
        <v>43061</v>
      </c>
      <c r="B434">
        <v>1.35</v>
      </c>
    </row>
    <row r="435" spans="1:2">
      <c r="A435" s="1">
        <v>43062</v>
      </c>
      <c r="B435">
        <v>1.35</v>
      </c>
    </row>
    <row r="436" spans="1:2">
      <c r="A436" s="1">
        <v>43063</v>
      </c>
      <c r="B436">
        <v>1.35</v>
      </c>
    </row>
    <row r="437" spans="1:2">
      <c r="A437" s="1">
        <v>43066</v>
      </c>
      <c r="B437">
        <v>1.34</v>
      </c>
    </row>
    <row r="438" spans="1:2">
      <c r="A438" s="1">
        <v>43067</v>
      </c>
      <c r="B438">
        <v>1.34</v>
      </c>
    </row>
    <row r="439" spans="1:2">
      <c r="A439" s="1">
        <v>43068</v>
      </c>
      <c r="B439">
        <v>1.34</v>
      </c>
    </row>
    <row r="440" spans="1:2">
      <c r="A440" s="1">
        <v>43069</v>
      </c>
      <c r="B440">
        <v>1.32</v>
      </c>
    </row>
    <row r="441" spans="1:2">
      <c r="A441" s="1">
        <v>43070</v>
      </c>
      <c r="B441">
        <v>1.33</v>
      </c>
    </row>
    <row r="442" spans="1:2">
      <c r="A442" s="1">
        <v>43073</v>
      </c>
      <c r="B442">
        <v>1.32</v>
      </c>
    </row>
    <row r="443" spans="1:2">
      <c r="A443" s="1">
        <v>43074</v>
      </c>
      <c r="B443">
        <v>1.32</v>
      </c>
    </row>
    <row r="444" spans="1:2">
      <c r="A444" s="1">
        <v>43075</v>
      </c>
      <c r="B444">
        <v>1.32</v>
      </c>
    </row>
    <row r="445" spans="1:2">
      <c r="A445" s="1">
        <v>43076</v>
      </c>
      <c r="B445">
        <v>1.32</v>
      </c>
    </row>
    <row r="446" spans="1:2">
      <c r="A446" s="1">
        <v>43077</v>
      </c>
      <c r="B446">
        <v>1.32</v>
      </c>
    </row>
    <row r="447" spans="1:2">
      <c r="A447" s="1">
        <v>43080</v>
      </c>
      <c r="B447">
        <v>1.31</v>
      </c>
    </row>
    <row r="448" spans="1:2">
      <c r="A448" s="1">
        <v>43081</v>
      </c>
      <c r="B448">
        <v>1.31</v>
      </c>
    </row>
    <row r="449" spans="1:2">
      <c r="A449" s="1">
        <v>43082</v>
      </c>
      <c r="B449">
        <v>1.31</v>
      </c>
    </row>
    <row r="450" spans="1:2">
      <c r="A450" s="1">
        <v>43083</v>
      </c>
      <c r="B450">
        <v>1.31</v>
      </c>
    </row>
    <row r="451" spans="1:2">
      <c r="A451" s="1">
        <v>43084</v>
      </c>
      <c r="B451">
        <v>1.3</v>
      </c>
    </row>
    <row r="452" spans="1:2">
      <c r="A452" s="1">
        <v>43087</v>
      </c>
      <c r="B452">
        <v>1.3</v>
      </c>
    </row>
    <row r="453" spans="1:2">
      <c r="A453" s="1">
        <v>43088</v>
      </c>
      <c r="B453">
        <v>1.29</v>
      </c>
    </row>
    <row r="454" spans="1:2">
      <c r="A454" s="1">
        <v>43089</v>
      </c>
      <c r="B454">
        <v>1.28</v>
      </c>
    </row>
    <row r="455" spans="1:2">
      <c r="A455" s="1">
        <v>43090</v>
      </c>
      <c r="B455">
        <v>1.28</v>
      </c>
    </row>
    <row r="456" spans="1:2">
      <c r="A456" s="1">
        <v>43091</v>
      </c>
      <c r="B456">
        <v>1.28</v>
      </c>
    </row>
    <row r="457" spans="1:2">
      <c r="A457" s="1">
        <v>43094</v>
      </c>
    </row>
    <row r="458" spans="1:2">
      <c r="A458" s="1">
        <v>43095</v>
      </c>
      <c r="B458">
        <v>1.28</v>
      </c>
    </row>
    <row r="459" spans="1:2">
      <c r="A459" s="1">
        <v>43096</v>
      </c>
      <c r="B459">
        <v>1.28</v>
      </c>
    </row>
    <row r="460" spans="1:2">
      <c r="A460" s="1">
        <v>43097</v>
      </c>
      <c r="B460">
        <v>1.27</v>
      </c>
    </row>
    <row r="461" spans="1:2">
      <c r="A461" s="1">
        <v>43098</v>
      </c>
      <c r="B461">
        <v>1.28</v>
      </c>
    </row>
    <row r="462" spans="1:2">
      <c r="A462" s="1">
        <v>43100</v>
      </c>
      <c r="B462">
        <v>1.28</v>
      </c>
    </row>
    <row r="463" spans="1:2">
      <c r="A463" s="1">
        <v>43101</v>
      </c>
    </row>
    <row r="464" spans="1:2">
      <c r="A464" s="1">
        <v>43102</v>
      </c>
      <c r="B464">
        <v>1.28</v>
      </c>
    </row>
    <row r="465" spans="1:2">
      <c r="A465" s="1">
        <v>43103</v>
      </c>
      <c r="B465">
        <v>1.27</v>
      </c>
    </row>
    <row r="466" spans="1:2">
      <c r="A466" s="1">
        <v>43104</v>
      </c>
      <c r="B466">
        <v>1.27</v>
      </c>
    </row>
    <row r="467" spans="1:2">
      <c r="A467" s="1">
        <v>43105</v>
      </c>
      <c r="B467">
        <v>1.26</v>
      </c>
    </row>
    <row r="468" spans="1:2">
      <c r="A468" s="1">
        <v>43108</v>
      </c>
      <c r="B468">
        <v>1.26</v>
      </c>
    </row>
    <row r="469" spans="1:2">
      <c r="A469" s="1">
        <v>43109</v>
      </c>
      <c r="B469">
        <v>1.24</v>
      </c>
    </row>
    <row r="470" spans="1:2">
      <c r="A470" s="1">
        <v>43110</v>
      </c>
      <c r="B470">
        <v>1.23</v>
      </c>
    </row>
    <row r="471" spans="1:2">
      <c r="A471" s="1">
        <v>43111</v>
      </c>
      <c r="B471">
        <v>1.23</v>
      </c>
    </row>
    <row r="472" spans="1:2">
      <c r="A472" s="1">
        <v>43112</v>
      </c>
      <c r="B472">
        <v>1.22</v>
      </c>
    </row>
    <row r="473" spans="1:2">
      <c r="A473" s="1">
        <v>43115</v>
      </c>
      <c r="B473">
        <v>1.22</v>
      </c>
    </row>
    <row r="474" spans="1:2">
      <c r="A474" s="1">
        <v>43116</v>
      </c>
      <c r="B474">
        <v>1.21</v>
      </c>
    </row>
    <row r="475" spans="1:2">
      <c r="A475" s="1">
        <v>43117</v>
      </c>
      <c r="B475">
        <v>1.21</v>
      </c>
    </row>
    <row r="476" spans="1:2">
      <c r="A476" s="1">
        <v>43118</v>
      </c>
      <c r="B476">
        <v>1.21</v>
      </c>
    </row>
    <row r="477" spans="1:2">
      <c r="A477" s="1">
        <v>43119</v>
      </c>
      <c r="B477">
        <v>1.21</v>
      </c>
    </row>
    <row r="478" spans="1:2">
      <c r="A478" s="1">
        <v>43122</v>
      </c>
      <c r="B478">
        <v>1.21</v>
      </c>
    </row>
    <row r="479" spans="1:2">
      <c r="A479" s="1">
        <v>43123</v>
      </c>
      <c r="B479">
        <v>1.21</v>
      </c>
    </row>
    <row r="480" spans="1:2">
      <c r="A480" s="1">
        <v>43124</v>
      </c>
      <c r="B480">
        <v>1.2</v>
      </c>
    </row>
    <row r="481" spans="1:2">
      <c r="A481" s="1">
        <v>43125</v>
      </c>
      <c r="B481">
        <v>1.2</v>
      </c>
    </row>
    <row r="482" spans="1:2">
      <c r="A482" s="1">
        <v>43126</v>
      </c>
      <c r="B482">
        <v>1.18</v>
      </c>
    </row>
    <row r="483" spans="1:2">
      <c r="A483" s="1">
        <v>43129</v>
      </c>
      <c r="B483">
        <v>1.17</v>
      </c>
    </row>
    <row r="484" spans="1:2">
      <c r="A484" s="1">
        <v>43130</v>
      </c>
      <c r="B484">
        <v>1.17</v>
      </c>
    </row>
    <row r="485" spans="1:2">
      <c r="A485" s="1">
        <v>43131</v>
      </c>
      <c r="B485">
        <v>1.17</v>
      </c>
    </row>
    <row r="486" spans="1:2">
      <c r="A486" s="1">
        <v>43132</v>
      </c>
      <c r="B486">
        <v>1.1599999999999999</v>
      </c>
    </row>
    <row r="487" spans="1:2">
      <c r="A487" s="1">
        <v>43133</v>
      </c>
      <c r="B487">
        <v>1.1499999999999999</v>
      </c>
    </row>
    <row r="488" spans="1:2">
      <c r="A488" s="1">
        <v>43136</v>
      </c>
      <c r="B488">
        <v>1.17</v>
      </c>
    </row>
    <row r="489" spans="1:2">
      <c r="A489" s="1">
        <v>43137</v>
      </c>
      <c r="B489">
        <v>1.19</v>
      </c>
    </row>
    <row r="490" spans="1:2">
      <c r="A490" s="1">
        <v>43138</v>
      </c>
      <c r="B490">
        <v>1.18</v>
      </c>
    </row>
    <row r="491" spans="1:2">
      <c r="A491" s="1">
        <v>43139</v>
      </c>
      <c r="B491">
        <v>1.19</v>
      </c>
    </row>
    <row r="492" spans="1:2">
      <c r="A492" s="1">
        <v>43140</v>
      </c>
      <c r="B492">
        <v>1.24</v>
      </c>
    </row>
    <row r="493" spans="1:2">
      <c r="A493" s="1">
        <v>43143</v>
      </c>
      <c r="B493">
        <v>1.24</v>
      </c>
    </row>
    <row r="494" spans="1:2">
      <c r="A494" s="1">
        <v>43144</v>
      </c>
      <c r="B494">
        <v>1.27</v>
      </c>
    </row>
    <row r="495" spans="1:2">
      <c r="A495" s="1">
        <v>43145</v>
      </c>
      <c r="B495">
        <v>1.25</v>
      </c>
    </row>
    <row r="496" spans="1:2">
      <c r="A496" s="1">
        <v>43146</v>
      </c>
      <c r="B496">
        <v>1.24</v>
      </c>
    </row>
    <row r="497" spans="1:2">
      <c r="A497" s="1">
        <v>43147</v>
      </c>
      <c r="B497">
        <v>1.24</v>
      </c>
    </row>
    <row r="498" spans="1:2">
      <c r="A498" s="1">
        <v>43150</v>
      </c>
      <c r="B498">
        <v>1.24</v>
      </c>
    </row>
    <row r="499" spans="1:2">
      <c r="A499" s="1">
        <v>43151</v>
      </c>
      <c r="B499">
        <v>1.24</v>
      </c>
    </row>
    <row r="500" spans="1:2">
      <c r="A500" s="1">
        <v>43152</v>
      </c>
      <c r="B500">
        <v>1.24</v>
      </c>
    </row>
    <row r="501" spans="1:2">
      <c r="A501" s="1">
        <v>43153</v>
      </c>
      <c r="B501">
        <v>1.25</v>
      </c>
    </row>
    <row r="502" spans="1:2">
      <c r="A502" s="1">
        <v>43154</v>
      </c>
      <c r="B502">
        <v>1.26</v>
      </c>
    </row>
    <row r="503" spans="1:2">
      <c r="A503" s="1">
        <v>43157</v>
      </c>
      <c r="B503">
        <v>1.26</v>
      </c>
    </row>
    <row r="504" spans="1:2">
      <c r="A504" s="1">
        <v>43158</v>
      </c>
      <c r="B504">
        <v>1.26</v>
      </c>
    </row>
    <row r="505" spans="1:2">
      <c r="A505" s="1">
        <v>43159</v>
      </c>
      <c r="B505">
        <v>1.28</v>
      </c>
    </row>
    <row r="506" spans="1:2">
      <c r="A506" s="1">
        <v>43160</v>
      </c>
      <c r="B506">
        <v>1.31</v>
      </c>
    </row>
    <row r="507" spans="1:2">
      <c r="A507" s="1">
        <v>43161</v>
      </c>
      <c r="B507">
        <v>1.32</v>
      </c>
    </row>
    <row r="508" spans="1:2">
      <c r="A508" s="1">
        <v>43164</v>
      </c>
      <c r="B508">
        <v>1.31</v>
      </c>
    </row>
    <row r="509" spans="1:2">
      <c r="A509" s="1">
        <v>43165</v>
      </c>
      <c r="B509">
        <v>1.31</v>
      </c>
    </row>
    <row r="510" spans="1:2">
      <c r="A510" s="1">
        <v>43166</v>
      </c>
      <c r="B510">
        <v>1.31</v>
      </c>
    </row>
    <row r="511" spans="1:2">
      <c r="A511" s="1">
        <v>43167</v>
      </c>
      <c r="B511">
        <v>1.32</v>
      </c>
    </row>
    <row r="512" spans="1:2">
      <c r="A512" s="1">
        <v>43168</v>
      </c>
      <c r="B512">
        <v>1.33</v>
      </c>
    </row>
    <row r="513" spans="1:2">
      <c r="A513" s="1">
        <v>43171</v>
      </c>
      <c r="B513">
        <v>1.34</v>
      </c>
    </row>
    <row r="514" spans="1:2">
      <c r="A514" s="1">
        <v>43172</v>
      </c>
      <c r="B514">
        <v>1.35</v>
      </c>
    </row>
    <row r="515" spans="1:2">
      <c r="A515" s="1">
        <v>43173</v>
      </c>
      <c r="B515">
        <v>1.36</v>
      </c>
    </row>
    <row r="516" spans="1:2">
      <c r="A516" s="1">
        <v>43174</v>
      </c>
      <c r="B516">
        <v>1.38</v>
      </c>
    </row>
    <row r="517" spans="1:2">
      <c r="A517" s="1">
        <v>43175</v>
      </c>
      <c r="B517">
        <v>1.37</v>
      </c>
    </row>
    <row r="518" spans="1:2">
      <c r="A518" s="1">
        <v>43178</v>
      </c>
      <c r="B518">
        <v>1.38</v>
      </c>
    </row>
    <row r="519" spans="1:2">
      <c r="A519" s="1">
        <v>43179</v>
      </c>
      <c r="B519">
        <v>1.38</v>
      </c>
    </row>
    <row r="520" spans="1:2">
      <c r="A520" s="1">
        <v>43180</v>
      </c>
      <c r="B520">
        <v>1.39</v>
      </c>
    </row>
    <row r="521" spans="1:2">
      <c r="A521" s="1">
        <v>43181</v>
      </c>
      <c r="B521">
        <v>1.42</v>
      </c>
    </row>
    <row r="522" spans="1:2">
      <c r="A522" s="1">
        <v>43182</v>
      </c>
      <c r="B522">
        <v>1.43</v>
      </c>
    </row>
    <row r="523" spans="1:2">
      <c r="A523" s="1">
        <v>43185</v>
      </c>
      <c r="B523">
        <v>1.44</v>
      </c>
    </row>
    <row r="524" spans="1:2">
      <c r="A524" s="1">
        <v>43186</v>
      </c>
      <c r="B524">
        <v>1.44</v>
      </c>
    </row>
    <row r="525" spans="1:2">
      <c r="A525" s="1">
        <v>43187</v>
      </c>
      <c r="B525">
        <v>1.44</v>
      </c>
    </row>
    <row r="526" spans="1:2">
      <c r="A526" s="1">
        <v>43188</v>
      </c>
      <c r="B526">
        <v>1.44</v>
      </c>
    </row>
    <row r="527" spans="1:2">
      <c r="A527" s="1">
        <v>43189</v>
      </c>
    </row>
    <row r="528" spans="1:2">
      <c r="A528" s="1">
        <v>43190</v>
      </c>
      <c r="B528">
        <v>1.45</v>
      </c>
    </row>
    <row r="529" spans="1:2">
      <c r="A529" s="1">
        <v>43192</v>
      </c>
      <c r="B529">
        <v>1.45</v>
      </c>
    </row>
    <row r="530" spans="1:2">
      <c r="A530" s="1">
        <v>43193</v>
      </c>
      <c r="B530">
        <v>1.45</v>
      </c>
    </row>
    <row r="531" spans="1:2">
      <c r="A531" s="1">
        <v>43194</v>
      </c>
      <c r="B531">
        <v>1.44</v>
      </c>
    </row>
    <row r="532" spans="1:2">
      <c r="A532" s="1">
        <v>43195</v>
      </c>
      <c r="B532">
        <v>1.42</v>
      </c>
    </row>
    <row r="533" spans="1:2">
      <c r="A533" s="1">
        <v>43196</v>
      </c>
      <c r="B533">
        <v>1.42</v>
      </c>
    </row>
    <row r="534" spans="1:2">
      <c r="A534" s="1">
        <v>43199</v>
      </c>
      <c r="B534">
        <v>1.42</v>
      </c>
    </row>
    <row r="535" spans="1:2">
      <c r="A535" s="1">
        <v>43200</v>
      </c>
      <c r="B535">
        <v>1.42</v>
      </c>
    </row>
    <row r="536" spans="1:2">
      <c r="A536" s="1">
        <v>43201</v>
      </c>
      <c r="B536">
        <v>1.41</v>
      </c>
    </row>
    <row r="537" spans="1:2">
      <c r="A537" s="1">
        <v>43202</v>
      </c>
      <c r="B537">
        <v>1.4</v>
      </c>
    </row>
    <row r="538" spans="1:2">
      <c r="A538" s="1">
        <v>43203</v>
      </c>
      <c r="B538">
        <v>1.39</v>
      </c>
    </row>
    <row r="539" spans="1:2">
      <c r="A539" s="1">
        <v>43206</v>
      </c>
      <c r="B539">
        <v>1.39</v>
      </c>
    </row>
    <row r="540" spans="1:2">
      <c r="A540" s="1">
        <v>43207</v>
      </c>
      <c r="B540">
        <v>1.38</v>
      </c>
    </row>
    <row r="541" spans="1:2">
      <c r="A541" s="1">
        <v>43208</v>
      </c>
      <c r="B541">
        <v>1.38</v>
      </c>
    </row>
    <row r="542" spans="1:2">
      <c r="A542" s="1">
        <v>43209</v>
      </c>
      <c r="B542">
        <v>1.39</v>
      </c>
    </row>
    <row r="543" spans="1:2">
      <c r="A543" s="1">
        <v>43210</v>
      </c>
      <c r="B543">
        <v>1.39</v>
      </c>
    </row>
    <row r="544" spans="1:2">
      <c r="A544" s="1">
        <v>43213</v>
      </c>
      <c r="B544">
        <v>1.39</v>
      </c>
    </row>
    <row r="545" spans="1:2">
      <c r="A545" s="1">
        <v>43214</v>
      </c>
      <c r="B545">
        <v>1.39</v>
      </c>
    </row>
    <row r="546" spans="1:2">
      <c r="A546" s="1">
        <v>43215</v>
      </c>
      <c r="B546">
        <v>1.39</v>
      </c>
    </row>
    <row r="547" spans="1:2">
      <c r="A547" s="1">
        <v>43216</v>
      </c>
      <c r="B547">
        <v>1.4</v>
      </c>
    </row>
    <row r="548" spans="1:2">
      <c r="A548" s="1">
        <v>43217</v>
      </c>
      <c r="B548">
        <v>1.41</v>
      </c>
    </row>
    <row r="549" spans="1:2">
      <c r="A549" s="1">
        <v>43220</v>
      </c>
      <c r="B549">
        <v>1.44</v>
      </c>
    </row>
    <row r="550" spans="1:2">
      <c r="A550" s="1">
        <v>43221</v>
      </c>
      <c r="B550">
        <v>1.44</v>
      </c>
    </row>
    <row r="551" spans="1:2">
      <c r="A551" s="1">
        <v>43222</v>
      </c>
      <c r="B551">
        <v>1.45</v>
      </c>
    </row>
    <row r="552" spans="1:2">
      <c r="A552" s="1">
        <v>43223</v>
      </c>
      <c r="B552">
        <v>1.47</v>
      </c>
    </row>
    <row r="553" spans="1:2">
      <c r="A553" s="1">
        <v>43224</v>
      </c>
      <c r="B553">
        <v>1.48</v>
      </c>
    </row>
    <row r="554" spans="1:2">
      <c r="A554" s="1">
        <v>43227</v>
      </c>
      <c r="B554">
        <v>1.48</v>
      </c>
    </row>
    <row r="555" spans="1:2">
      <c r="A555" s="1">
        <v>43228</v>
      </c>
      <c r="B555">
        <v>1.48</v>
      </c>
    </row>
    <row r="556" spans="1:2">
      <c r="A556" s="1">
        <v>43229</v>
      </c>
      <c r="B556">
        <v>1.47</v>
      </c>
    </row>
    <row r="557" spans="1:2">
      <c r="A557" s="1">
        <v>43230</v>
      </c>
      <c r="B557">
        <v>1.46</v>
      </c>
    </row>
    <row r="558" spans="1:2">
      <c r="A558" s="1">
        <v>43231</v>
      </c>
      <c r="B558">
        <v>1.45</v>
      </c>
    </row>
    <row r="559" spans="1:2">
      <c r="A559" s="1">
        <v>43234</v>
      </c>
      <c r="B559">
        <v>1.44</v>
      </c>
    </row>
    <row r="560" spans="1:2">
      <c r="A560" s="1">
        <v>43235</v>
      </c>
      <c r="B560">
        <v>1.44</v>
      </c>
    </row>
    <row r="561" spans="1:2">
      <c r="A561" s="1">
        <v>43236</v>
      </c>
      <c r="B561">
        <v>1.44</v>
      </c>
    </row>
    <row r="562" spans="1:2">
      <c r="A562" s="1">
        <v>43237</v>
      </c>
      <c r="B562">
        <v>1.44</v>
      </c>
    </row>
    <row r="563" spans="1:2">
      <c r="A563" s="1">
        <v>43238</v>
      </c>
      <c r="B563">
        <v>1.45</v>
      </c>
    </row>
    <row r="564" spans="1:2">
      <c r="A564" s="1">
        <v>43241</v>
      </c>
      <c r="B564">
        <v>1.45</v>
      </c>
    </row>
    <row r="565" spans="1:2">
      <c r="A565" s="1">
        <v>43242</v>
      </c>
      <c r="B565">
        <v>1.45</v>
      </c>
    </row>
    <row r="566" spans="1:2">
      <c r="A566" s="1">
        <v>43243</v>
      </c>
      <c r="B566">
        <v>1.46</v>
      </c>
    </row>
    <row r="567" spans="1:2">
      <c r="A567" s="1">
        <v>43244</v>
      </c>
      <c r="B567">
        <v>1.46</v>
      </c>
    </row>
    <row r="568" spans="1:2">
      <c r="A568" s="1">
        <v>43245</v>
      </c>
      <c r="B568">
        <v>1.47</v>
      </c>
    </row>
    <row r="569" spans="1:2">
      <c r="A569" s="1">
        <v>43248</v>
      </c>
      <c r="B569">
        <v>1.47</v>
      </c>
    </row>
    <row r="570" spans="1:2">
      <c r="A570" s="1">
        <v>43249</v>
      </c>
      <c r="B570">
        <v>1.51</v>
      </c>
    </row>
    <row r="571" spans="1:2">
      <c r="A571" s="1">
        <v>43250</v>
      </c>
      <c r="B571">
        <v>1.52</v>
      </c>
    </row>
    <row r="572" spans="1:2">
      <c r="A572" s="1">
        <v>43251</v>
      </c>
      <c r="B572">
        <v>1.54</v>
      </c>
    </row>
    <row r="573" spans="1:2">
      <c r="A573" s="1">
        <v>43252</v>
      </c>
      <c r="B573">
        <v>1.53</v>
      </c>
    </row>
    <row r="574" spans="1:2">
      <c r="A574" s="1">
        <v>43255</v>
      </c>
      <c r="B574">
        <v>1.52</v>
      </c>
    </row>
    <row r="575" spans="1:2">
      <c r="A575" s="1">
        <v>43256</v>
      </c>
      <c r="B575">
        <v>1.52</v>
      </c>
    </row>
    <row r="576" spans="1:2">
      <c r="A576" s="1">
        <v>43257</v>
      </c>
      <c r="B576">
        <v>1.52</v>
      </c>
    </row>
    <row r="577" spans="1:2">
      <c r="A577" s="1">
        <v>43258</v>
      </c>
      <c r="B577">
        <v>1.53</v>
      </c>
    </row>
    <row r="578" spans="1:2">
      <c r="A578" s="1">
        <v>43259</v>
      </c>
      <c r="B578">
        <v>1.54</v>
      </c>
    </row>
    <row r="579" spans="1:2">
      <c r="A579" s="1">
        <v>43262</v>
      </c>
      <c r="B579">
        <v>1.54</v>
      </c>
    </row>
    <row r="580" spans="1:2">
      <c r="A580" s="1">
        <v>43263</v>
      </c>
      <c r="B580">
        <v>1.54</v>
      </c>
    </row>
    <row r="581" spans="1:2">
      <c r="A581" s="1">
        <v>43264</v>
      </c>
      <c r="B581">
        <v>1.53</v>
      </c>
    </row>
    <row r="582" spans="1:2">
      <c r="A582" s="1">
        <v>43265</v>
      </c>
      <c r="B582">
        <v>1.53</v>
      </c>
    </row>
    <row r="583" spans="1:2">
      <c r="A583" s="1">
        <v>43266</v>
      </c>
      <c r="B583">
        <v>1.53</v>
      </c>
    </row>
    <row r="584" spans="1:2">
      <c r="A584" s="1">
        <v>43269</v>
      </c>
      <c r="B584">
        <v>1.55</v>
      </c>
    </row>
    <row r="585" spans="1:2">
      <c r="A585" s="1">
        <v>43270</v>
      </c>
      <c r="B585">
        <v>1.56</v>
      </c>
    </row>
    <row r="586" spans="1:2">
      <c r="A586" s="1">
        <v>43271</v>
      </c>
      <c r="B586">
        <v>1.57</v>
      </c>
    </row>
    <row r="587" spans="1:2">
      <c r="A587" s="1">
        <v>43272</v>
      </c>
      <c r="B587">
        <v>1.59</v>
      </c>
    </row>
    <row r="588" spans="1:2">
      <c r="A588" s="1">
        <v>43273</v>
      </c>
      <c r="B588">
        <v>1.59</v>
      </c>
    </row>
    <row r="589" spans="1:2">
      <c r="A589" s="1">
        <v>43276</v>
      </c>
      <c r="B589">
        <v>1.61</v>
      </c>
    </row>
    <row r="590" spans="1:2">
      <c r="A590" s="1">
        <v>43277</v>
      </c>
      <c r="B590">
        <v>1.61</v>
      </c>
    </row>
    <row r="591" spans="1:2">
      <c r="A591" s="1">
        <v>43278</v>
      </c>
      <c r="B591">
        <v>1.62</v>
      </c>
    </row>
    <row r="592" spans="1:2">
      <c r="A592" s="1">
        <v>43279</v>
      </c>
      <c r="B592">
        <v>1.62</v>
      </c>
    </row>
    <row r="593" spans="1:2">
      <c r="A593" s="1">
        <v>43280</v>
      </c>
      <c r="B593">
        <v>1.62</v>
      </c>
    </row>
    <row r="594" spans="1:2">
      <c r="A594" s="1">
        <v>43281</v>
      </c>
      <c r="B594">
        <v>1.63</v>
      </c>
    </row>
    <row r="595" spans="1:2">
      <c r="A595" s="1">
        <v>43283</v>
      </c>
      <c r="B595">
        <v>1.63</v>
      </c>
    </row>
    <row r="596" spans="1:2">
      <c r="A596" s="1">
        <v>43284</v>
      </c>
      <c r="B596">
        <v>1.63</v>
      </c>
    </row>
    <row r="597" spans="1:2">
      <c r="A597" s="1">
        <v>43285</v>
      </c>
      <c r="B597">
        <v>1.63</v>
      </c>
    </row>
    <row r="598" spans="1:2">
      <c r="A598" s="1">
        <v>43286</v>
      </c>
      <c r="B598">
        <v>1.61</v>
      </c>
    </row>
    <row r="599" spans="1:2">
      <c r="A599" s="1">
        <v>43287</v>
      </c>
      <c r="B599">
        <v>1.61</v>
      </c>
    </row>
    <row r="600" spans="1:2">
      <c r="A600" s="1">
        <v>43290</v>
      </c>
      <c r="B600">
        <v>1.59</v>
      </c>
    </row>
    <row r="601" spans="1:2">
      <c r="A601" s="1">
        <v>43291</v>
      </c>
      <c r="B601">
        <v>1.57</v>
      </c>
    </row>
    <row r="602" spans="1:2">
      <c r="A602" s="1">
        <v>43292</v>
      </c>
      <c r="B602">
        <v>1.57</v>
      </c>
    </row>
    <row r="603" spans="1:2">
      <c r="A603" s="1">
        <v>43293</v>
      </c>
      <c r="B603">
        <v>1.56</v>
      </c>
    </row>
    <row r="604" spans="1:2">
      <c r="A604" s="1">
        <v>43294</v>
      </c>
      <c r="B604">
        <v>1.56</v>
      </c>
    </row>
    <row r="605" spans="1:2">
      <c r="A605" s="1">
        <v>43297</v>
      </c>
      <c r="B605">
        <v>1.54</v>
      </c>
    </row>
    <row r="606" spans="1:2">
      <c r="A606" s="1">
        <v>43298</v>
      </c>
      <c r="B606">
        <v>1.54</v>
      </c>
    </row>
    <row r="607" spans="1:2">
      <c r="A607" s="1">
        <v>43299</v>
      </c>
      <c r="B607">
        <v>1.54</v>
      </c>
    </row>
    <row r="608" spans="1:2">
      <c r="A608" s="1">
        <v>43300</v>
      </c>
      <c r="B608">
        <v>1.54</v>
      </c>
    </row>
    <row r="609" spans="1:2">
      <c r="A609" s="1">
        <v>43301</v>
      </c>
      <c r="B609">
        <v>1.53</v>
      </c>
    </row>
    <row r="610" spans="1:2">
      <c r="A610" s="1">
        <v>43304</v>
      </c>
      <c r="B610">
        <v>1.52</v>
      </c>
    </row>
    <row r="611" spans="1:2">
      <c r="A611" s="1">
        <v>43305</v>
      </c>
      <c r="B611">
        <v>1.5</v>
      </c>
    </row>
    <row r="612" spans="1:2">
      <c r="A612" s="1">
        <v>43306</v>
      </c>
      <c r="B612">
        <v>1.49</v>
      </c>
    </row>
    <row r="613" spans="1:2">
      <c r="A613" s="1">
        <v>43307</v>
      </c>
      <c r="B613">
        <v>1.47</v>
      </c>
    </row>
    <row r="614" spans="1:2">
      <c r="A614" s="1">
        <v>43308</v>
      </c>
      <c r="B614">
        <v>1.46</v>
      </c>
    </row>
    <row r="615" spans="1:2">
      <c r="A615" s="1">
        <v>43311</v>
      </c>
      <c r="B615">
        <v>1.46</v>
      </c>
    </row>
    <row r="616" spans="1:2">
      <c r="A616" s="1">
        <v>43312</v>
      </c>
      <c r="B616">
        <v>1.47</v>
      </c>
    </row>
    <row r="617" spans="1:2">
      <c r="A617" s="1">
        <v>43313</v>
      </c>
      <c r="B617">
        <v>1.46</v>
      </c>
    </row>
    <row r="618" spans="1:2">
      <c r="A618" s="1">
        <v>43314</v>
      </c>
      <c r="B618">
        <v>1.46</v>
      </c>
    </row>
    <row r="619" spans="1:2">
      <c r="A619" s="1">
        <v>43315</v>
      </c>
      <c r="B619">
        <v>1.46</v>
      </c>
    </row>
    <row r="620" spans="1:2">
      <c r="A620" s="1">
        <v>43318</v>
      </c>
      <c r="B620">
        <v>1.46</v>
      </c>
    </row>
    <row r="621" spans="1:2">
      <c r="A621" s="1">
        <v>43319</v>
      </c>
      <c r="B621">
        <v>1.45</v>
      </c>
    </row>
    <row r="622" spans="1:2">
      <c r="A622" s="1">
        <v>43320</v>
      </c>
      <c r="B622">
        <v>1.46</v>
      </c>
    </row>
    <row r="623" spans="1:2">
      <c r="A623" s="1">
        <v>43321</v>
      </c>
      <c r="B623">
        <v>1.47</v>
      </c>
    </row>
    <row r="624" spans="1:2">
      <c r="A624" s="1">
        <v>43322</v>
      </c>
      <c r="B624">
        <v>1.5</v>
      </c>
    </row>
    <row r="625" spans="1:2">
      <c r="A625" s="1">
        <v>43325</v>
      </c>
      <c r="B625">
        <v>1.52</v>
      </c>
    </row>
    <row r="626" spans="1:2">
      <c r="A626" s="1">
        <v>43326</v>
      </c>
      <c r="B626">
        <v>1.51</v>
      </c>
    </row>
    <row r="627" spans="1:2">
      <c r="A627" s="1">
        <v>43327</v>
      </c>
      <c r="B627">
        <v>1.52</v>
      </c>
    </row>
    <row r="628" spans="1:2">
      <c r="A628" s="1">
        <v>43328</v>
      </c>
      <c r="B628">
        <v>1.51</v>
      </c>
    </row>
    <row r="629" spans="1:2">
      <c r="A629" s="1">
        <v>43329</v>
      </c>
      <c r="B629">
        <v>1.5</v>
      </c>
    </row>
    <row r="630" spans="1:2">
      <c r="A630" s="1">
        <v>43332</v>
      </c>
      <c r="B630">
        <v>1.51</v>
      </c>
    </row>
    <row r="631" spans="1:2">
      <c r="A631" s="1">
        <v>43333</v>
      </c>
      <c r="B631">
        <v>1.5</v>
      </c>
    </row>
    <row r="632" spans="1:2">
      <c r="A632" s="1">
        <v>43334</v>
      </c>
      <c r="B632">
        <v>1.51</v>
      </c>
    </row>
    <row r="633" spans="1:2">
      <c r="A633" s="1">
        <v>43335</v>
      </c>
      <c r="B633">
        <v>1.52</v>
      </c>
    </row>
    <row r="634" spans="1:2">
      <c r="A634" s="1">
        <v>43336</v>
      </c>
      <c r="B634">
        <v>1.52</v>
      </c>
    </row>
    <row r="635" spans="1:2">
      <c r="A635" s="1">
        <v>43339</v>
      </c>
      <c r="B635">
        <v>1.51</v>
      </c>
    </row>
    <row r="636" spans="1:2">
      <c r="A636" s="1">
        <v>43340</v>
      </c>
      <c r="B636">
        <v>1.51</v>
      </c>
    </row>
    <row r="637" spans="1:2">
      <c r="A637" s="1">
        <v>43341</v>
      </c>
      <c r="B637">
        <v>1.5</v>
      </c>
    </row>
    <row r="638" spans="1:2">
      <c r="A638" s="1">
        <v>43342</v>
      </c>
      <c r="B638">
        <v>1.52</v>
      </c>
    </row>
    <row r="639" spans="1:2">
      <c r="A639" s="1">
        <v>43343</v>
      </c>
      <c r="B639">
        <v>1.53</v>
      </c>
    </row>
    <row r="640" spans="1:2">
      <c r="A640" s="1">
        <v>43346</v>
      </c>
      <c r="B640">
        <v>1.53</v>
      </c>
    </row>
    <row r="641" spans="1:2">
      <c r="A641" s="1">
        <v>43347</v>
      </c>
      <c r="B641">
        <v>1.53</v>
      </c>
    </row>
    <row r="642" spans="1:2">
      <c r="A642" s="1">
        <v>43348</v>
      </c>
      <c r="B642">
        <v>1.53</v>
      </c>
    </row>
    <row r="643" spans="1:2">
      <c r="A643" s="1">
        <v>43349</v>
      </c>
      <c r="B643">
        <v>1.53</v>
      </c>
    </row>
    <row r="644" spans="1:2">
      <c r="A644" s="1">
        <v>43350</v>
      </c>
      <c r="B644">
        <v>1.52</v>
      </c>
    </row>
    <row r="645" spans="1:2">
      <c r="A645" s="1">
        <v>43353</v>
      </c>
      <c r="B645">
        <v>1.52</v>
      </c>
    </row>
    <row r="646" spans="1:2">
      <c r="A646" s="1">
        <v>43354</v>
      </c>
      <c r="B646">
        <v>1.51</v>
      </c>
    </row>
    <row r="647" spans="1:2">
      <c r="A647" s="1">
        <v>43355</v>
      </c>
      <c r="B647">
        <v>1.5</v>
      </c>
    </row>
    <row r="648" spans="1:2">
      <c r="A648" s="1">
        <v>43356</v>
      </c>
      <c r="B648">
        <v>1.49</v>
      </c>
    </row>
    <row r="649" spans="1:2">
      <c r="A649" s="1">
        <v>43357</v>
      </c>
      <c r="B649">
        <v>1.47</v>
      </c>
    </row>
    <row r="650" spans="1:2">
      <c r="A650" s="1">
        <v>43360</v>
      </c>
      <c r="B650">
        <v>1.47</v>
      </c>
    </row>
    <row r="651" spans="1:2">
      <c r="A651" s="1">
        <v>43361</v>
      </c>
      <c r="B651">
        <v>1.46</v>
      </c>
    </row>
    <row r="652" spans="1:2">
      <c r="A652" s="1">
        <v>43362</v>
      </c>
      <c r="B652">
        <v>1.45</v>
      </c>
    </row>
    <row r="653" spans="1:2">
      <c r="A653" s="1">
        <v>43363</v>
      </c>
      <c r="B653">
        <v>1.44</v>
      </c>
    </row>
    <row r="654" spans="1:2">
      <c r="A654" s="1">
        <v>43364</v>
      </c>
      <c r="B654">
        <v>1.43</v>
      </c>
    </row>
    <row r="655" spans="1:2">
      <c r="A655" s="1">
        <v>43367</v>
      </c>
      <c r="B655">
        <v>1.44</v>
      </c>
    </row>
    <row r="656" spans="1:2">
      <c r="A656" s="1">
        <v>43368</v>
      </c>
      <c r="B656">
        <v>1.43</v>
      </c>
    </row>
    <row r="657" spans="1:2">
      <c r="A657" s="1">
        <v>43369</v>
      </c>
      <c r="B657">
        <v>1.43</v>
      </c>
    </row>
    <row r="658" spans="1:2">
      <c r="A658" s="1">
        <v>43370</v>
      </c>
      <c r="B658">
        <v>1.42</v>
      </c>
    </row>
    <row r="659" spans="1:2">
      <c r="A659" s="1">
        <v>43371</v>
      </c>
      <c r="B659">
        <v>1.41</v>
      </c>
    </row>
    <row r="660" spans="1:2">
      <c r="A660" s="1">
        <v>43373</v>
      </c>
      <c r="B660">
        <v>1.43</v>
      </c>
    </row>
    <row r="661" spans="1:2">
      <c r="A661" s="1">
        <v>43374</v>
      </c>
      <c r="B661">
        <v>1.43</v>
      </c>
    </row>
    <row r="662" spans="1:2">
      <c r="A662" s="1">
        <v>43375</v>
      </c>
      <c r="B662">
        <v>1.43</v>
      </c>
    </row>
    <row r="663" spans="1:2">
      <c r="A663" s="1">
        <v>43376</v>
      </c>
      <c r="B663">
        <v>1.41</v>
      </c>
    </row>
    <row r="664" spans="1:2">
      <c r="A664" s="1">
        <v>43377</v>
      </c>
      <c r="B664">
        <v>1.42</v>
      </c>
    </row>
    <row r="665" spans="1:2">
      <c r="A665" s="1">
        <v>43378</v>
      </c>
      <c r="B665">
        <v>1.43</v>
      </c>
    </row>
    <row r="666" spans="1:2">
      <c r="A666" s="1">
        <v>43381</v>
      </c>
      <c r="B666">
        <v>1.43</v>
      </c>
    </row>
    <row r="667" spans="1:2">
      <c r="A667" s="1">
        <v>43382</v>
      </c>
      <c r="B667">
        <v>1.43</v>
      </c>
    </row>
    <row r="668" spans="1:2">
      <c r="A668" s="1">
        <v>43383</v>
      </c>
      <c r="B668">
        <v>1.43</v>
      </c>
    </row>
    <row r="669" spans="1:2">
      <c r="A669" s="1">
        <v>43384</v>
      </c>
      <c r="B669">
        <v>1.47</v>
      </c>
    </row>
    <row r="670" spans="1:2">
      <c r="A670" s="1">
        <v>43385</v>
      </c>
      <c r="B670">
        <v>1.47</v>
      </c>
    </row>
    <row r="671" spans="1:2">
      <c r="A671" s="1">
        <v>43388</v>
      </c>
      <c r="B671">
        <v>1.46</v>
      </c>
    </row>
    <row r="672" spans="1:2">
      <c r="A672" s="1">
        <v>43389</v>
      </c>
      <c r="B672">
        <v>1.47</v>
      </c>
    </row>
    <row r="673" spans="1:2">
      <c r="A673" s="1">
        <v>43390</v>
      </c>
      <c r="B673">
        <v>1.47</v>
      </c>
    </row>
    <row r="674" spans="1:2">
      <c r="A674" s="1">
        <v>43391</v>
      </c>
      <c r="B674">
        <v>1.48</v>
      </c>
    </row>
    <row r="675" spans="1:2">
      <c r="A675" s="1">
        <v>43392</v>
      </c>
      <c r="B675">
        <v>1.48</v>
      </c>
    </row>
    <row r="676" spans="1:2">
      <c r="A676" s="1">
        <v>43395</v>
      </c>
      <c r="B676">
        <v>1.49</v>
      </c>
    </row>
    <row r="677" spans="1:2">
      <c r="A677" s="1">
        <v>43396</v>
      </c>
      <c r="B677">
        <v>1.52</v>
      </c>
    </row>
    <row r="678" spans="1:2">
      <c r="A678" s="1">
        <v>43397</v>
      </c>
      <c r="B678">
        <v>1.51</v>
      </c>
    </row>
    <row r="679" spans="1:2">
      <c r="A679" s="1">
        <v>43398</v>
      </c>
      <c r="B679">
        <v>1.54</v>
      </c>
    </row>
    <row r="680" spans="1:2">
      <c r="A680" s="1">
        <v>43399</v>
      </c>
      <c r="B680">
        <v>1.56</v>
      </c>
    </row>
    <row r="681" spans="1:2">
      <c r="A681" s="1">
        <v>43402</v>
      </c>
      <c r="B681">
        <v>1.56</v>
      </c>
    </row>
    <row r="682" spans="1:2">
      <c r="A682" s="1">
        <v>43403</v>
      </c>
      <c r="B682">
        <v>1.58</v>
      </c>
    </row>
    <row r="683" spans="1:2">
      <c r="A683" s="1">
        <v>43404</v>
      </c>
      <c r="B683">
        <v>1.58</v>
      </c>
    </row>
    <row r="684" spans="1:2">
      <c r="A684" s="1">
        <v>43405</v>
      </c>
      <c r="B684">
        <v>1.6</v>
      </c>
    </row>
    <row r="685" spans="1:2">
      <c r="A685" s="1">
        <v>43406</v>
      </c>
      <c r="B685">
        <v>1.58</v>
      </c>
    </row>
    <row r="686" spans="1:2">
      <c r="A686" s="1">
        <v>43409</v>
      </c>
      <c r="B686">
        <v>1.58</v>
      </c>
    </row>
    <row r="687" spans="1:2">
      <c r="A687" s="1">
        <v>43410</v>
      </c>
      <c r="B687">
        <v>1.56</v>
      </c>
    </row>
    <row r="688" spans="1:2">
      <c r="A688" s="1">
        <v>43411</v>
      </c>
      <c r="B688">
        <v>1.55</v>
      </c>
    </row>
    <row r="689" spans="1:2">
      <c r="A689" s="1">
        <v>43412</v>
      </c>
      <c r="B689">
        <v>1.54</v>
      </c>
    </row>
    <row r="690" spans="1:2">
      <c r="A690" s="1">
        <v>43413</v>
      </c>
      <c r="B690">
        <v>1.56</v>
      </c>
    </row>
    <row r="691" spans="1:2">
      <c r="A691" s="1">
        <v>43416</v>
      </c>
      <c r="B691">
        <v>1.56</v>
      </c>
    </row>
    <row r="692" spans="1:2">
      <c r="A692" s="1">
        <v>43417</v>
      </c>
      <c r="B692">
        <v>1.6</v>
      </c>
    </row>
    <row r="693" spans="1:2">
      <c r="A693" s="1">
        <v>43418</v>
      </c>
      <c r="B693">
        <v>1.64</v>
      </c>
    </row>
    <row r="694" spans="1:2">
      <c r="A694" s="1">
        <v>43419</v>
      </c>
      <c r="B694">
        <v>1.68</v>
      </c>
    </row>
    <row r="695" spans="1:2">
      <c r="A695" s="1">
        <v>43420</v>
      </c>
      <c r="B695">
        <v>1.7</v>
      </c>
    </row>
    <row r="696" spans="1:2">
      <c r="A696" s="1">
        <v>43423</v>
      </c>
      <c r="B696">
        <v>1.72</v>
      </c>
    </row>
    <row r="697" spans="1:2">
      <c r="A697" s="1">
        <v>43424</v>
      </c>
      <c r="B697">
        <v>1.76</v>
      </c>
    </row>
    <row r="698" spans="1:2">
      <c r="A698" s="1">
        <v>43425</v>
      </c>
      <c r="B698">
        <v>1.75</v>
      </c>
    </row>
    <row r="699" spans="1:2">
      <c r="A699" s="1">
        <v>43426</v>
      </c>
      <c r="B699">
        <v>1.76</v>
      </c>
    </row>
    <row r="700" spans="1:2">
      <c r="A700" s="1">
        <v>43427</v>
      </c>
      <c r="B700">
        <v>1.76</v>
      </c>
    </row>
    <row r="701" spans="1:2">
      <c r="A701" s="1">
        <v>43430</v>
      </c>
      <c r="B701">
        <v>1.75</v>
      </c>
    </row>
    <row r="702" spans="1:2">
      <c r="A702" s="1">
        <v>43431</v>
      </c>
      <c r="B702">
        <v>1.78</v>
      </c>
    </row>
    <row r="703" spans="1:2">
      <c r="A703" s="1">
        <v>43432</v>
      </c>
      <c r="B703">
        <v>1.79</v>
      </c>
    </row>
    <row r="704" spans="1:2">
      <c r="A704" s="1">
        <v>43433</v>
      </c>
      <c r="B704">
        <v>1.8</v>
      </c>
    </row>
    <row r="705" spans="1:2">
      <c r="A705" s="1">
        <v>43434</v>
      </c>
      <c r="B705">
        <v>1.84</v>
      </c>
    </row>
    <row r="706" spans="1:2">
      <c r="A706" s="1">
        <v>43437</v>
      </c>
      <c r="B706">
        <v>1.83</v>
      </c>
    </row>
    <row r="707" spans="1:2">
      <c r="A707" s="1">
        <v>43438</v>
      </c>
      <c r="B707">
        <v>1.86</v>
      </c>
    </row>
    <row r="708" spans="1:2">
      <c r="A708" s="1">
        <v>43439</v>
      </c>
      <c r="B708">
        <v>1.86</v>
      </c>
    </row>
    <row r="709" spans="1:2">
      <c r="A709" s="1">
        <v>43440</v>
      </c>
      <c r="B709">
        <v>1.91</v>
      </c>
    </row>
    <row r="710" spans="1:2">
      <c r="A710" s="1">
        <v>43441</v>
      </c>
      <c r="B710">
        <v>1.92</v>
      </c>
    </row>
    <row r="711" spans="1:2">
      <c r="A711" s="1">
        <v>43444</v>
      </c>
      <c r="B711">
        <v>1.93</v>
      </c>
    </row>
    <row r="712" spans="1:2">
      <c r="A712" s="1">
        <v>43445</v>
      </c>
      <c r="B712">
        <v>1.92</v>
      </c>
    </row>
    <row r="713" spans="1:2">
      <c r="A713" s="1">
        <v>43446</v>
      </c>
      <c r="B713">
        <v>1.9</v>
      </c>
    </row>
    <row r="714" spans="1:2">
      <c r="A714" s="1">
        <v>43447</v>
      </c>
      <c r="B714">
        <v>1.88</v>
      </c>
    </row>
    <row r="715" spans="1:2">
      <c r="A715" s="1">
        <v>43448</v>
      </c>
      <c r="B715">
        <v>1.88</v>
      </c>
    </row>
    <row r="716" spans="1:2">
      <c r="A716" s="1">
        <v>43451</v>
      </c>
      <c r="B716">
        <v>1.88</v>
      </c>
    </row>
    <row r="717" spans="1:2">
      <c r="A717" s="1">
        <v>43452</v>
      </c>
      <c r="B717">
        <v>1.89</v>
      </c>
    </row>
    <row r="718" spans="1:2">
      <c r="A718" s="1">
        <v>43453</v>
      </c>
      <c r="B718">
        <v>1.9</v>
      </c>
    </row>
    <row r="719" spans="1:2">
      <c r="A719" s="1">
        <v>43454</v>
      </c>
      <c r="B719">
        <v>1.94</v>
      </c>
    </row>
    <row r="720" spans="1:2">
      <c r="A720" s="1">
        <v>43455</v>
      </c>
      <c r="B720">
        <v>1.96</v>
      </c>
    </row>
    <row r="721" spans="1:2">
      <c r="A721" s="1">
        <v>43458</v>
      </c>
      <c r="B721">
        <v>1.97</v>
      </c>
    </row>
    <row r="722" spans="1:2">
      <c r="A722" s="1">
        <v>43459</v>
      </c>
    </row>
    <row r="723" spans="1:2">
      <c r="A723" s="1">
        <v>43460</v>
      </c>
      <c r="B723">
        <v>1.98</v>
      </c>
    </row>
    <row r="724" spans="1:2">
      <c r="A724" s="1">
        <v>43461</v>
      </c>
      <c r="B724">
        <v>2</v>
      </c>
    </row>
    <row r="725" spans="1:2">
      <c r="A725" s="1">
        <v>43462</v>
      </c>
      <c r="B725">
        <v>2.0099999999999998</v>
      </c>
    </row>
    <row r="726" spans="1:2">
      <c r="A726" s="1">
        <v>43465</v>
      </c>
      <c r="B726">
        <v>2.02</v>
      </c>
    </row>
    <row r="727" spans="1:2">
      <c r="A727" s="1">
        <v>43466</v>
      </c>
    </row>
    <row r="728" spans="1:2">
      <c r="A728" s="1">
        <v>43467</v>
      </c>
      <c r="B728">
        <v>2.0299999999999998</v>
      </c>
    </row>
    <row r="729" spans="1:2">
      <c r="A729" s="1">
        <v>43468</v>
      </c>
      <c r="B729">
        <v>2.06</v>
      </c>
    </row>
    <row r="730" spans="1:2">
      <c r="A730" s="1">
        <v>43469</v>
      </c>
      <c r="B730">
        <v>2.0499999999999998</v>
      </c>
    </row>
    <row r="731" spans="1:2">
      <c r="A731" s="1">
        <v>43472</v>
      </c>
      <c r="B731">
        <v>2.0299999999999998</v>
      </c>
    </row>
    <row r="732" spans="1:2">
      <c r="A732" s="1">
        <v>43473</v>
      </c>
      <c r="B732">
        <v>2.0099999999999998</v>
      </c>
    </row>
    <row r="733" spans="1:2">
      <c r="A733" s="1">
        <v>43474</v>
      </c>
      <c r="B733">
        <v>1.97</v>
      </c>
    </row>
    <row r="734" spans="1:2">
      <c r="A734" s="1">
        <v>43475</v>
      </c>
      <c r="B734">
        <v>1.97</v>
      </c>
    </row>
    <row r="735" spans="1:2">
      <c r="A735" s="1">
        <v>43476</v>
      </c>
      <c r="B735">
        <v>1.96</v>
      </c>
    </row>
    <row r="736" spans="1:2">
      <c r="A736" s="1">
        <v>43479</v>
      </c>
      <c r="B736">
        <v>1.96</v>
      </c>
    </row>
    <row r="737" spans="1:2">
      <c r="A737" s="1">
        <v>43480</v>
      </c>
      <c r="B737">
        <v>1.96</v>
      </c>
    </row>
    <row r="738" spans="1:2">
      <c r="A738" s="1">
        <v>43481</v>
      </c>
      <c r="B738">
        <v>1.93</v>
      </c>
    </row>
    <row r="739" spans="1:2">
      <c r="A739" s="1">
        <v>43482</v>
      </c>
      <c r="B739">
        <v>1.91</v>
      </c>
    </row>
    <row r="740" spans="1:2">
      <c r="A740" s="1">
        <v>43483</v>
      </c>
      <c r="B740">
        <v>1.88</v>
      </c>
    </row>
    <row r="741" spans="1:2">
      <c r="A741" s="1">
        <v>43486</v>
      </c>
      <c r="B741">
        <v>1.88</v>
      </c>
    </row>
    <row r="742" spans="1:2">
      <c r="A742" s="1">
        <v>43487</v>
      </c>
      <c r="B742">
        <v>1.87</v>
      </c>
    </row>
    <row r="743" spans="1:2">
      <c r="A743" s="1">
        <v>43488</v>
      </c>
      <c r="B743">
        <v>1.85</v>
      </c>
    </row>
    <row r="744" spans="1:2">
      <c r="A744" s="1">
        <v>43489</v>
      </c>
      <c r="B744">
        <v>1.84</v>
      </c>
    </row>
    <row r="745" spans="1:2">
      <c r="A745" s="1">
        <v>43490</v>
      </c>
      <c r="B745">
        <v>1.82</v>
      </c>
    </row>
    <row r="746" spans="1:2">
      <c r="A746" s="1">
        <v>43493</v>
      </c>
      <c r="B746">
        <v>1.81</v>
      </c>
    </row>
    <row r="747" spans="1:2">
      <c r="A747" s="1">
        <v>43494</v>
      </c>
      <c r="B747">
        <v>1.81</v>
      </c>
    </row>
    <row r="748" spans="1:2">
      <c r="A748" s="1">
        <v>43495</v>
      </c>
      <c r="B748">
        <v>1.81</v>
      </c>
    </row>
    <row r="749" spans="1:2">
      <c r="A749" s="1">
        <v>43496</v>
      </c>
      <c r="B749">
        <v>1.79</v>
      </c>
    </row>
    <row r="750" spans="1:2">
      <c r="A750" s="1">
        <v>43497</v>
      </c>
      <c r="B750">
        <v>1.76</v>
      </c>
    </row>
    <row r="751" spans="1:2">
      <c r="A751" s="1">
        <v>43500</v>
      </c>
      <c r="B751">
        <v>1.74</v>
      </c>
    </row>
    <row r="752" spans="1:2">
      <c r="A752" s="1">
        <v>43501</v>
      </c>
      <c r="B752">
        <v>1.72</v>
      </c>
    </row>
    <row r="753" spans="1:2">
      <c r="A753" s="1">
        <v>43502</v>
      </c>
      <c r="B753">
        <v>1.71</v>
      </c>
    </row>
    <row r="754" spans="1:2">
      <c r="A754" s="1">
        <v>43503</v>
      </c>
      <c r="B754">
        <v>1.74</v>
      </c>
    </row>
    <row r="755" spans="1:2">
      <c r="A755" s="1">
        <v>43504</v>
      </c>
      <c r="B755">
        <v>1.74</v>
      </c>
    </row>
    <row r="756" spans="1:2">
      <c r="A756" s="1">
        <v>43507</v>
      </c>
      <c r="B756">
        <v>1.74</v>
      </c>
    </row>
    <row r="757" spans="1:2">
      <c r="A757" s="1">
        <v>43508</v>
      </c>
      <c r="B757">
        <v>1.73</v>
      </c>
    </row>
    <row r="758" spans="1:2">
      <c r="A758" s="1">
        <v>43509</v>
      </c>
      <c r="B758">
        <v>1.72</v>
      </c>
    </row>
    <row r="759" spans="1:2">
      <c r="A759" s="1">
        <v>43510</v>
      </c>
      <c r="B759">
        <v>1.73</v>
      </c>
    </row>
    <row r="760" spans="1:2">
      <c r="A760" s="1">
        <v>43511</v>
      </c>
      <c r="B760">
        <v>1.72</v>
      </c>
    </row>
    <row r="761" spans="1:2">
      <c r="A761" s="1">
        <v>43514</v>
      </c>
      <c r="B761">
        <v>1.72</v>
      </c>
    </row>
    <row r="762" spans="1:2">
      <c r="A762" s="1">
        <v>43515</v>
      </c>
      <c r="B762">
        <v>1.72</v>
      </c>
    </row>
    <row r="763" spans="1:2">
      <c r="A763" s="1">
        <v>43516</v>
      </c>
      <c r="B763">
        <v>1.72</v>
      </c>
    </row>
    <row r="764" spans="1:2">
      <c r="A764" s="1">
        <v>43517</v>
      </c>
      <c r="B764">
        <v>1.71</v>
      </c>
    </row>
    <row r="765" spans="1:2">
      <c r="A765" s="1">
        <v>43518</v>
      </c>
      <c r="B765">
        <v>1.71</v>
      </c>
    </row>
    <row r="766" spans="1:2">
      <c r="A766" s="1">
        <v>43521</v>
      </c>
      <c r="B766">
        <v>1.7</v>
      </c>
    </row>
    <row r="767" spans="1:2">
      <c r="A767" s="1">
        <v>43522</v>
      </c>
      <c r="B767">
        <v>1.7</v>
      </c>
    </row>
    <row r="768" spans="1:2">
      <c r="A768" s="1">
        <v>43523</v>
      </c>
      <c r="B768">
        <v>1.69</v>
      </c>
    </row>
    <row r="769" spans="1:2">
      <c r="A769" s="1">
        <v>43524</v>
      </c>
      <c r="B769">
        <v>1.68</v>
      </c>
    </row>
    <row r="770" spans="1:2">
      <c r="A770" s="1">
        <v>43525</v>
      </c>
      <c r="B770">
        <v>1.66</v>
      </c>
    </row>
    <row r="771" spans="1:2">
      <c r="A771" s="1">
        <v>43528</v>
      </c>
      <c r="B771">
        <v>1.65</v>
      </c>
    </row>
    <row r="772" spans="1:2">
      <c r="A772" s="1">
        <v>43529</v>
      </c>
      <c r="B772">
        <v>1.65</v>
      </c>
    </row>
    <row r="773" spans="1:2">
      <c r="A773" s="1">
        <v>43530</v>
      </c>
      <c r="B773">
        <v>1.66</v>
      </c>
    </row>
    <row r="774" spans="1:2">
      <c r="A774" s="1">
        <v>43531</v>
      </c>
      <c r="B774">
        <v>1.67</v>
      </c>
    </row>
    <row r="775" spans="1:2">
      <c r="A775" s="1">
        <v>43532</v>
      </c>
      <c r="B775">
        <v>1.68</v>
      </c>
    </row>
    <row r="776" spans="1:2">
      <c r="A776" s="1">
        <v>43535</v>
      </c>
      <c r="B776">
        <v>1.67</v>
      </c>
    </row>
    <row r="777" spans="1:2">
      <c r="A777" s="1">
        <v>43536</v>
      </c>
      <c r="B777">
        <v>1.66</v>
      </c>
    </row>
    <row r="778" spans="1:2">
      <c r="A778" s="1">
        <v>43537</v>
      </c>
      <c r="B778">
        <v>1.66</v>
      </c>
    </row>
    <row r="779" spans="1:2">
      <c r="A779" s="1">
        <v>43538</v>
      </c>
      <c r="B779">
        <v>1.65</v>
      </c>
    </row>
    <row r="780" spans="1:2">
      <c r="A780" s="1">
        <v>43539</v>
      </c>
      <c r="B780">
        <v>1.64</v>
      </c>
    </row>
    <row r="781" spans="1:2">
      <c r="A781" s="1">
        <v>43542</v>
      </c>
      <c r="B781">
        <v>1.63</v>
      </c>
    </row>
    <row r="782" spans="1:2">
      <c r="A782" s="1">
        <v>43543</v>
      </c>
      <c r="B782">
        <v>1.62</v>
      </c>
    </row>
    <row r="783" spans="1:2">
      <c r="A783" s="1">
        <v>43544</v>
      </c>
      <c r="B783">
        <v>1.63</v>
      </c>
    </row>
    <row r="784" spans="1:2">
      <c r="A784" s="1">
        <v>43545</v>
      </c>
      <c r="B784">
        <v>1.62</v>
      </c>
    </row>
    <row r="785" spans="1:2">
      <c r="A785" s="1">
        <v>43546</v>
      </c>
      <c r="B785">
        <v>1.62</v>
      </c>
    </row>
    <row r="786" spans="1:2">
      <c r="A786" s="1">
        <v>43549</v>
      </c>
      <c r="B786">
        <v>1.62</v>
      </c>
    </row>
    <row r="787" spans="1:2">
      <c r="A787" s="1">
        <v>43550</v>
      </c>
      <c r="B787">
        <v>1.61</v>
      </c>
    </row>
    <row r="788" spans="1:2">
      <c r="A788" s="1">
        <v>43551</v>
      </c>
      <c r="B788">
        <v>1.62</v>
      </c>
    </row>
    <row r="789" spans="1:2">
      <c r="A789" s="1">
        <v>43552</v>
      </c>
      <c r="B789">
        <v>1.62</v>
      </c>
    </row>
    <row r="790" spans="1:2">
      <c r="A790" s="1">
        <v>43553</v>
      </c>
      <c r="B790">
        <v>1.61</v>
      </c>
    </row>
    <row r="791" spans="1:2">
      <c r="A791" s="1">
        <v>43555</v>
      </c>
      <c r="B791">
        <v>1.63</v>
      </c>
    </row>
    <row r="792" spans="1:2">
      <c r="A792" s="1">
        <v>43556</v>
      </c>
      <c r="B792">
        <v>1.62</v>
      </c>
    </row>
    <row r="793" spans="1:2">
      <c r="A793" s="1">
        <v>43557</v>
      </c>
      <c r="B793">
        <v>1.62</v>
      </c>
    </row>
    <row r="794" spans="1:2">
      <c r="A794" s="1">
        <v>43558</v>
      </c>
      <c r="B794">
        <v>1.6</v>
      </c>
    </row>
    <row r="795" spans="1:2">
      <c r="A795" s="1">
        <v>43559</v>
      </c>
      <c r="B795">
        <v>1.6</v>
      </c>
    </row>
    <row r="796" spans="1:2">
      <c r="A796" s="1">
        <v>43560</v>
      </c>
      <c r="B796">
        <v>1.59</v>
      </c>
    </row>
    <row r="797" spans="1:2">
      <c r="A797" s="1">
        <v>43563</v>
      </c>
      <c r="B797">
        <v>1.58</v>
      </c>
    </row>
    <row r="798" spans="1:2">
      <c r="A798" s="1">
        <v>43564</v>
      </c>
      <c r="B798">
        <v>1.57</v>
      </c>
    </row>
    <row r="799" spans="1:2">
      <c r="A799" s="1">
        <v>43565</v>
      </c>
      <c r="B799">
        <v>1.56</v>
      </c>
    </row>
    <row r="800" spans="1:2">
      <c r="A800" s="1">
        <v>43566</v>
      </c>
      <c r="B800">
        <v>1.54</v>
      </c>
    </row>
    <row r="801" spans="1:2">
      <c r="A801" s="1">
        <v>43567</v>
      </c>
      <c r="B801">
        <v>1.51</v>
      </c>
    </row>
    <row r="802" spans="1:2">
      <c r="A802" s="1">
        <v>43570</v>
      </c>
      <c r="B802">
        <v>1.5</v>
      </c>
    </row>
    <row r="803" spans="1:2">
      <c r="A803" s="1">
        <v>43571</v>
      </c>
      <c r="B803">
        <v>1.49</v>
      </c>
    </row>
    <row r="804" spans="1:2">
      <c r="A804" s="1">
        <v>43572</v>
      </c>
      <c r="B804">
        <v>1.49</v>
      </c>
    </row>
    <row r="805" spans="1:2">
      <c r="A805" s="1">
        <v>43573</v>
      </c>
      <c r="B805">
        <v>1.5</v>
      </c>
    </row>
    <row r="806" spans="1:2">
      <c r="A806" s="1">
        <v>43574</v>
      </c>
    </row>
    <row r="807" spans="1:2">
      <c r="A807" s="1">
        <v>43577</v>
      </c>
      <c r="B807">
        <v>1.5</v>
      </c>
    </row>
    <row r="808" spans="1:2">
      <c r="A808" s="1">
        <v>43578</v>
      </c>
      <c r="B808">
        <v>1.5</v>
      </c>
    </row>
    <row r="809" spans="1:2">
      <c r="A809" s="1">
        <v>43579</v>
      </c>
      <c r="B809">
        <v>1.5</v>
      </c>
    </row>
    <row r="810" spans="1:2">
      <c r="A810" s="1">
        <v>43580</v>
      </c>
      <c r="B810">
        <v>1.5</v>
      </c>
    </row>
    <row r="811" spans="1:2">
      <c r="A811" s="1">
        <v>43581</v>
      </c>
      <c r="B811">
        <v>1.49</v>
      </c>
    </row>
    <row r="812" spans="1:2">
      <c r="A812" s="1">
        <v>43584</v>
      </c>
      <c r="B812">
        <v>1.48</v>
      </c>
    </row>
    <row r="813" spans="1:2">
      <c r="A813" s="1">
        <v>43585</v>
      </c>
      <c r="B813">
        <v>1.5</v>
      </c>
    </row>
    <row r="814" spans="1:2">
      <c r="A814" s="1">
        <v>43586</v>
      </c>
      <c r="B814">
        <v>1.5</v>
      </c>
    </row>
    <row r="815" spans="1:2">
      <c r="A815" s="1">
        <v>43587</v>
      </c>
      <c r="B815">
        <v>1.5</v>
      </c>
    </row>
    <row r="816" spans="1:2">
      <c r="A816" s="1">
        <v>43588</v>
      </c>
      <c r="B816">
        <v>1.5</v>
      </c>
    </row>
    <row r="817" spans="1:2">
      <c r="A817" s="1">
        <v>43591</v>
      </c>
      <c r="B817">
        <v>1.51</v>
      </c>
    </row>
    <row r="818" spans="1:2">
      <c r="A818" s="1">
        <v>43592</v>
      </c>
      <c r="B818">
        <v>1.52</v>
      </c>
    </row>
    <row r="819" spans="1:2">
      <c r="A819" s="1">
        <v>43593</v>
      </c>
      <c r="B819">
        <v>1.53</v>
      </c>
    </row>
    <row r="820" spans="1:2">
      <c r="A820" s="1">
        <v>43594</v>
      </c>
      <c r="B820">
        <v>1.55</v>
      </c>
    </row>
    <row r="821" spans="1:2">
      <c r="A821" s="1">
        <v>43595</v>
      </c>
      <c r="B821">
        <v>1.56</v>
      </c>
    </row>
    <row r="822" spans="1:2">
      <c r="A822" s="1">
        <v>43598</v>
      </c>
      <c r="B822">
        <v>1.58</v>
      </c>
    </row>
    <row r="823" spans="1:2">
      <c r="A823" s="1">
        <v>43599</v>
      </c>
      <c r="B823">
        <v>1.58</v>
      </c>
    </row>
    <row r="824" spans="1:2">
      <c r="A824" s="1">
        <v>43600</v>
      </c>
      <c r="B824">
        <v>1.58</v>
      </c>
    </row>
    <row r="825" spans="1:2">
      <c r="A825" s="1">
        <v>43601</v>
      </c>
      <c r="B825">
        <v>1.57</v>
      </c>
    </row>
    <row r="826" spans="1:2">
      <c r="A826" s="1">
        <v>43602</v>
      </c>
      <c r="B826">
        <v>1.58</v>
      </c>
    </row>
    <row r="827" spans="1:2">
      <c r="A827" s="1">
        <v>43605</v>
      </c>
      <c r="B827">
        <v>1.58</v>
      </c>
    </row>
    <row r="828" spans="1:2">
      <c r="A828" s="1">
        <v>43606</v>
      </c>
      <c r="B828">
        <v>1.58</v>
      </c>
    </row>
    <row r="829" spans="1:2">
      <c r="A829" s="1">
        <v>43607</v>
      </c>
      <c r="B829">
        <v>1.59</v>
      </c>
    </row>
    <row r="830" spans="1:2">
      <c r="A830" s="1">
        <v>43608</v>
      </c>
      <c r="B830">
        <v>1.63</v>
      </c>
    </row>
    <row r="831" spans="1:2">
      <c r="A831" s="1">
        <v>43609</v>
      </c>
      <c r="B831">
        <v>1.62</v>
      </c>
    </row>
    <row r="832" spans="1:2">
      <c r="A832" s="1">
        <v>43612</v>
      </c>
      <c r="B832">
        <v>1.62</v>
      </c>
    </row>
    <row r="833" spans="1:2">
      <c r="A833" s="1">
        <v>43613</v>
      </c>
      <c r="B833">
        <v>1.64</v>
      </c>
    </row>
    <row r="834" spans="1:2">
      <c r="A834" s="1">
        <v>43614</v>
      </c>
      <c r="B834">
        <v>1.68</v>
      </c>
    </row>
    <row r="835" spans="1:2">
      <c r="A835" s="1">
        <v>43615</v>
      </c>
      <c r="B835">
        <v>1.67</v>
      </c>
    </row>
    <row r="836" spans="1:2">
      <c r="A836" s="1">
        <v>43616</v>
      </c>
      <c r="B836">
        <v>1.71</v>
      </c>
    </row>
    <row r="837" spans="1:2">
      <c r="A837" s="1">
        <v>43619</v>
      </c>
      <c r="B837">
        <v>1.73</v>
      </c>
    </row>
    <row r="838" spans="1:2">
      <c r="A838" s="1">
        <v>43620</v>
      </c>
      <c r="B838">
        <v>1.72</v>
      </c>
    </row>
    <row r="839" spans="1:2">
      <c r="A839" s="1">
        <v>43621</v>
      </c>
      <c r="B839">
        <v>1.7</v>
      </c>
    </row>
    <row r="840" spans="1:2">
      <c r="A840" s="1">
        <v>43622</v>
      </c>
      <c r="B840">
        <v>1.71</v>
      </c>
    </row>
    <row r="841" spans="1:2">
      <c r="A841" s="1">
        <v>43623</v>
      </c>
      <c r="B841">
        <v>1.71</v>
      </c>
    </row>
    <row r="842" spans="1:2">
      <c r="A842" s="1">
        <v>43626</v>
      </c>
      <c r="B842">
        <v>1.68</v>
      </c>
    </row>
    <row r="843" spans="1:2">
      <c r="A843" s="1">
        <v>43627</v>
      </c>
      <c r="B843">
        <v>1.68</v>
      </c>
    </row>
    <row r="844" spans="1:2">
      <c r="A844" s="1">
        <v>43628</v>
      </c>
      <c r="B844">
        <v>1.68</v>
      </c>
    </row>
    <row r="845" spans="1:2">
      <c r="A845" s="1">
        <v>43629</v>
      </c>
      <c r="B845">
        <v>1.68</v>
      </c>
    </row>
    <row r="846" spans="1:2">
      <c r="A846" s="1">
        <v>43630</v>
      </c>
      <c r="B846">
        <v>1.68</v>
      </c>
    </row>
    <row r="847" spans="1:2">
      <c r="A847" s="1">
        <v>43633</v>
      </c>
      <c r="B847">
        <v>1.68</v>
      </c>
    </row>
    <row r="848" spans="1:2">
      <c r="A848" s="1">
        <v>43634</v>
      </c>
      <c r="B848">
        <v>1.66</v>
      </c>
    </row>
    <row r="849" spans="1:2">
      <c r="A849" s="1">
        <v>43635</v>
      </c>
      <c r="B849">
        <v>1.66</v>
      </c>
    </row>
    <row r="850" spans="1:2">
      <c r="A850" s="1">
        <v>43636</v>
      </c>
      <c r="B850">
        <v>1.63</v>
      </c>
    </row>
    <row r="851" spans="1:2">
      <c r="A851" s="1">
        <v>43637</v>
      </c>
      <c r="B851">
        <v>1.6</v>
      </c>
    </row>
    <row r="852" spans="1:2">
      <c r="A852" s="1">
        <v>43640</v>
      </c>
      <c r="B852">
        <v>1.58</v>
      </c>
    </row>
    <row r="853" spans="1:2">
      <c r="A853" s="1">
        <v>43641</v>
      </c>
      <c r="B853">
        <v>1.59</v>
      </c>
    </row>
    <row r="854" spans="1:2">
      <c r="A854" s="1">
        <v>43642</v>
      </c>
      <c r="B854">
        <v>1.58</v>
      </c>
    </row>
    <row r="855" spans="1:2">
      <c r="A855" s="1">
        <v>43643</v>
      </c>
      <c r="B855">
        <v>1.57</v>
      </c>
    </row>
    <row r="856" spans="1:2">
      <c r="A856" s="1">
        <v>43644</v>
      </c>
      <c r="B856">
        <v>1.56</v>
      </c>
    </row>
    <row r="857" spans="1:2">
      <c r="A857" s="1">
        <v>43646</v>
      </c>
      <c r="B857">
        <v>1.57</v>
      </c>
    </row>
    <row r="858" spans="1:2">
      <c r="A858" s="1">
        <v>43647</v>
      </c>
      <c r="B858">
        <v>1.55</v>
      </c>
    </row>
    <row r="859" spans="1:2">
      <c r="A859" s="1">
        <v>43648</v>
      </c>
      <c r="B859">
        <v>1.55</v>
      </c>
    </row>
    <row r="860" spans="1:2">
      <c r="A860" s="1">
        <v>43649</v>
      </c>
      <c r="B860">
        <v>1.54</v>
      </c>
    </row>
    <row r="861" spans="1:2">
      <c r="A861" s="1">
        <v>43650</v>
      </c>
      <c r="B861">
        <v>1.54</v>
      </c>
    </row>
    <row r="862" spans="1:2">
      <c r="A862" s="1">
        <v>43651</v>
      </c>
      <c r="B862">
        <v>1.53</v>
      </c>
    </row>
    <row r="863" spans="1:2">
      <c r="A863" s="1">
        <v>43654</v>
      </c>
      <c r="B863">
        <v>1.53</v>
      </c>
    </row>
    <row r="864" spans="1:2">
      <c r="A864" s="1">
        <v>43655</v>
      </c>
      <c r="B864">
        <v>1.54</v>
      </c>
    </row>
    <row r="865" spans="1:2">
      <c r="A865" s="1">
        <v>43656</v>
      </c>
      <c r="B865">
        <v>1.54</v>
      </c>
    </row>
    <row r="866" spans="1:2">
      <c r="A866" s="1">
        <v>43657</v>
      </c>
      <c r="B866">
        <v>1.52</v>
      </c>
    </row>
    <row r="867" spans="1:2">
      <c r="A867" s="1">
        <v>43658</v>
      </c>
      <c r="B867">
        <v>1.52</v>
      </c>
    </row>
    <row r="868" spans="1:2">
      <c r="A868" s="1">
        <v>43661</v>
      </c>
      <c r="B868">
        <v>1.52</v>
      </c>
    </row>
    <row r="869" spans="1:2">
      <c r="A869" s="1">
        <v>43662</v>
      </c>
      <c r="B869">
        <v>1.51</v>
      </c>
    </row>
    <row r="870" spans="1:2">
      <c r="A870" s="1">
        <v>43663</v>
      </c>
      <c r="B870">
        <v>1.52</v>
      </c>
    </row>
    <row r="871" spans="1:2">
      <c r="A871" s="1">
        <v>43664</v>
      </c>
      <c r="B871">
        <v>1.53</v>
      </c>
    </row>
    <row r="872" spans="1:2">
      <c r="A872" s="1">
        <v>43665</v>
      </c>
      <c r="B872">
        <v>1.52</v>
      </c>
    </row>
    <row r="873" spans="1:2">
      <c r="A873" s="1">
        <v>43668</v>
      </c>
      <c r="B873">
        <v>1.51</v>
      </c>
    </row>
    <row r="874" spans="1:2">
      <c r="A874" s="1">
        <v>43669</v>
      </c>
      <c r="B874">
        <v>1.5</v>
      </c>
    </row>
    <row r="875" spans="1:2">
      <c r="A875" s="1">
        <v>43670</v>
      </c>
      <c r="B875">
        <v>1.49</v>
      </c>
    </row>
    <row r="876" spans="1:2">
      <c r="A876" s="1">
        <v>43671</v>
      </c>
      <c r="B876">
        <v>1.48</v>
      </c>
    </row>
    <row r="877" spans="1:2">
      <c r="A877" s="1">
        <v>43672</v>
      </c>
      <c r="B877">
        <v>1.46</v>
      </c>
    </row>
    <row r="878" spans="1:2">
      <c r="A878" s="1">
        <v>43675</v>
      </c>
      <c r="B878">
        <v>1.46</v>
      </c>
    </row>
    <row r="879" spans="1:2">
      <c r="A879" s="1">
        <v>43676</v>
      </c>
      <c r="B879">
        <v>1.47</v>
      </c>
    </row>
    <row r="880" spans="1:2">
      <c r="A880" s="1">
        <v>43677</v>
      </c>
      <c r="B880">
        <v>1.47</v>
      </c>
    </row>
    <row r="881" spans="1:2">
      <c r="A881" s="1">
        <v>43678</v>
      </c>
      <c r="B881">
        <v>1.51</v>
      </c>
    </row>
    <row r="882" spans="1:2">
      <c r="A882" s="1">
        <v>43679</v>
      </c>
      <c r="B882">
        <v>1.53</v>
      </c>
    </row>
    <row r="883" spans="1:2">
      <c r="A883" s="1">
        <v>43682</v>
      </c>
      <c r="B883">
        <v>1.58</v>
      </c>
    </row>
    <row r="884" spans="1:2">
      <c r="A884" s="1">
        <v>43683</v>
      </c>
      <c r="B884">
        <v>1.6</v>
      </c>
    </row>
    <row r="885" spans="1:2">
      <c r="A885" s="1">
        <v>43684</v>
      </c>
      <c r="B885">
        <v>1.62</v>
      </c>
    </row>
    <row r="886" spans="1:2">
      <c r="A886" s="1">
        <v>43685</v>
      </c>
      <c r="B886">
        <v>1.61</v>
      </c>
    </row>
    <row r="887" spans="1:2">
      <c r="A887" s="1">
        <v>43686</v>
      </c>
      <c r="B887">
        <v>1.61</v>
      </c>
    </row>
    <row r="888" spans="1:2">
      <c r="A888" s="1">
        <v>43689</v>
      </c>
      <c r="B888">
        <v>1.63</v>
      </c>
    </row>
    <row r="889" spans="1:2">
      <c r="A889" s="1">
        <v>43690</v>
      </c>
      <c r="B889">
        <v>1.62</v>
      </c>
    </row>
    <row r="890" spans="1:2">
      <c r="A890" s="1">
        <v>43691</v>
      </c>
      <c r="B890">
        <v>1.65</v>
      </c>
    </row>
    <row r="891" spans="1:2">
      <c r="A891" s="1">
        <v>43692</v>
      </c>
      <c r="B891">
        <v>1.67</v>
      </c>
    </row>
    <row r="892" spans="1:2">
      <c r="A892" s="1">
        <v>43693</v>
      </c>
      <c r="B892">
        <v>1.67</v>
      </c>
    </row>
    <row r="893" spans="1:2">
      <c r="A893" s="1">
        <v>43696</v>
      </c>
      <c r="B893">
        <v>1.65</v>
      </c>
    </row>
    <row r="894" spans="1:2">
      <c r="A894" s="1">
        <v>43697</v>
      </c>
      <c r="B894">
        <v>1.65</v>
      </c>
    </row>
    <row r="895" spans="1:2">
      <c r="A895" s="1">
        <v>43698</v>
      </c>
      <c r="B895">
        <v>1.63</v>
      </c>
    </row>
    <row r="896" spans="1:2">
      <c r="A896" s="1">
        <v>43699</v>
      </c>
      <c r="B896">
        <v>1.61</v>
      </c>
    </row>
    <row r="897" spans="1:2">
      <c r="A897" s="1">
        <v>43700</v>
      </c>
      <c r="B897">
        <v>1.61</v>
      </c>
    </row>
    <row r="898" spans="1:2">
      <c r="A898" s="1">
        <v>43703</v>
      </c>
      <c r="B898">
        <v>1.61</v>
      </c>
    </row>
    <row r="899" spans="1:2">
      <c r="A899" s="1">
        <v>43704</v>
      </c>
      <c r="B899">
        <v>1.62</v>
      </c>
    </row>
    <row r="900" spans="1:2">
      <c r="A900" s="1">
        <v>43705</v>
      </c>
      <c r="B900">
        <v>1.62</v>
      </c>
    </row>
    <row r="901" spans="1:2">
      <c r="A901" s="1">
        <v>43706</v>
      </c>
      <c r="B901">
        <v>1.62</v>
      </c>
    </row>
    <row r="902" spans="1:2">
      <c r="A902" s="1">
        <v>43707</v>
      </c>
      <c r="B902">
        <v>1.61</v>
      </c>
    </row>
    <row r="903" spans="1:2">
      <c r="A903" s="1">
        <v>43708</v>
      </c>
      <c r="B903">
        <v>1.62</v>
      </c>
    </row>
    <row r="904" spans="1:2">
      <c r="A904" s="1">
        <v>43710</v>
      </c>
      <c r="B904">
        <v>1.62</v>
      </c>
    </row>
    <row r="905" spans="1:2">
      <c r="A905" s="1">
        <v>43711</v>
      </c>
      <c r="B905">
        <v>1.63</v>
      </c>
    </row>
    <row r="906" spans="1:2">
      <c r="A906" s="1">
        <v>43712</v>
      </c>
      <c r="B906">
        <v>1.63</v>
      </c>
    </row>
    <row r="907" spans="1:2">
      <c r="A907" s="1">
        <v>43713</v>
      </c>
      <c r="B907">
        <v>1.61</v>
      </c>
    </row>
    <row r="908" spans="1:2">
      <c r="A908" s="1">
        <v>43714</v>
      </c>
      <c r="B908">
        <v>1.61</v>
      </c>
    </row>
    <row r="909" spans="1:2">
      <c r="A909" s="1">
        <v>43717</v>
      </c>
      <c r="B909">
        <v>1.6</v>
      </c>
    </row>
    <row r="910" spans="1:2">
      <c r="A910" s="1">
        <v>43718</v>
      </c>
      <c r="B910">
        <v>1.6</v>
      </c>
    </row>
    <row r="911" spans="1:2">
      <c r="A911" s="1">
        <v>43719</v>
      </c>
      <c r="B911">
        <v>1.59</v>
      </c>
    </row>
    <row r="912" spans="1:2">
      <c r="A912" s="1">
        <v>43720</v>
      </c>
      <c r="B912">
        <v>1.56</v>
      </c>
    </row>
    <row r="913" spans="1:2">
      <c r="A913" s="1">
        <v>43721</v>
      </c>
      <c r="B913">
        <v>1.54</v>
      </c>
    </row>
    <row r="914" spans="1:2">
      <c r="A914" s="1">
        <v>43724</v>
      </c>
      <c r="B914">
        <v>1.54</v>
      </c>
    </row>
    <row r="915" spans="1:2">
      <c r="A915" s="1">
        <v>43725</v>
      </c>
      <c r="B915">
        <v>1.54</v>
      </c>
    </row>
    <row r="916" spans="1:2">
      <c r="A916" s="1">
        <v>43726</v>
      </c>
      <c r="B916">
        <v>1.54</v>
      </c>
    </row>
    <row r="917" spans="1:2">
      <c r="A917" s="1">
        <v>43727</v>
      </c>
      <c r="B917">
        <v>1.53</v>
      </c>
    </row>
    <row r="918" spans="1:2">
      <c r="A918" s="1">
        <v>43728</v>
      </c>
      <c r="B918">
        <v>1.52</v>
      </c>
    </row>
    <row r="919" spans="1:2">
      <c r="A919" s="1">
        <v>43731</v>
      </c>
      <c r="B919">
        <v>1.52</v>
      </c>
    </row>
    <row r="920" spans="1:2">
      <c r="A920" s="1">
        <v>43732</v>
      </c>
      <c r="B920">
        <v>1.54</v>
      </c>
    </row>
    <row r="921" spans="1:2">
      <c r="A921" s="1">
        <v>43733</v>
      </c>
      <c r="B921">
        <v>1.54</v>
      </c>
    </row>
    <row r="922" spans="1:2">
      <c r="A922" s="1">
        <v>43734</v>
      </c>
      <c r="B922">
        <v>1.54</v>
      </c>
    </row>
    <row r="923" spans="1:2">
      <c r="A923" s="1">
        <v>43735</v>
      </c>
      <c r="B923">
        <v>1.55</v>
      </c>
    </row>
    <row r="924" spans="1:2">
      <c r="A924" s="1">
        <v>43738</v>
      </c>
      <c r="B924">
        <v>1.56</v>
      </c>
    </row>
    <row r="925" spans="1:2">
      <c r="A925" s="1">
        <v>43739</v>
      </c>
      <c r="B925">
        <v>1.56</v>
      </c>
    </row>
    <row r="926" spans="1:2">
      <c r="A926" s="1">
        <v>43740</v>
      </c>
      <c r="B926">
        <v>1.59</v>
      </c>
    </row>
    <row r="927" spans="1:2">
      <c r="A927" s="1">
        <v>43741</v>
      </c>
      <c r="B927">
        <v>1.61</v>
      </c>
    </row>
    <row r="928" spans="1:2">
      <c r="A928" s="1">
        <v>43742</v>
      </c>
      <c r="B928">
        <v>1.61</v>
      </c>
    </row>
    <row r="929" spans="1:2">
      <c r="A929" s="1">
        <v>43745</v>
      </c>
      <c r="B929">
        <v>1.6</v>
      </c>
    </row>
    <row r="930" spans="1:2">
      <c r="A930" s="1">
        <v>43746</v>
      </c>
      <c r="B930">
        <v>1.61</v>
      </c>
    </row>
    <row r="931" spans="1:2">
      <c r="A931" s="1">
        <v>43747</v>
      </c>
      <c r="B931">
        <v>1.61</v>
      </c>
    </row>
    <row r="932" spans="1:2">
      <c r="A932" s="1">
        <v>43748</v>
      </c>
      <c r="B932">
        <v>1.59</v>
      </c>
    </row>
    <row r="933" spans="1:2">
      <c r="A933" s="1">
        <v>43749</v>
      </c>
      <c r="B933">
        <v>1.56</v>
      </c>
    </row>
    <row r="934" spans="1:2">
      <c r="A934" s="1">
        <v>43752</v>
      </c>
      <c r="B934">
        <v>1.56</v>
      </c>
    </row>
    <row r="935" spans="1:2">
      <c r="A935" s="1">
        <v>43753</v>
      </c>
      <c r="B935">
        <v>1.54</v>
      </c>
    </row>
    <row r="936" spans="1:2">
      <c r="A936" s="1">
        <v>43754</v>
      </c>
      <c r="B936">
        <v>1.53</v>
      </c>
    </row>
    <row r="937" spans="1:2">
      <c r="A937" s="1">
        <v>43755</v>
      </c>
      <c r="B937">
        <v>1.53</v>
      </c>
    </row>
    <row r="938" spans="1:2">
      <c r="A938" s="1">
        <v>43756</v>
      </c>
      <c r="B938">
        <v>1.52</v>
      </c>
    </row>
    <row r="939" spans="1:2">
      <c r="A939" s="1">
        <v>43759</v>
      </c>
      <c r="B939">
        <v>1.5</v>
      </c>
    </row>
    <row r="940" spans="1:2">
      <c r="A940" s="1">
        <v>43760</v>
      </c>
      <c r="B940">
        <v>1.49</v>
      </c>
    </row>
    <row r="941" spans="1:2">
      <c r="A941" s="1">
        <v>43761</v>
      </c>
      <c r="B941">
        <v>1.5</v>
      </c>
    </row>
    <row r="942" spans="1:2">
      <c r="A942" s="1">
        <v>43762</v>
      </c>
      <c r="B942">
        <v>1.49</v>
      </c>
    </row>
    <row r="943" spans="1:2">
      <c r="A943" s="1">
        <v>43763</v>
      </c>
      <c r="B943">
        <v>1.47</v>
      </c>
    </row>
    <row r="944" spans="1:2">
      <c r="A944" s="1">
        <v>43766</v>
      </c>
      <c r="B944">
        <v>1.45</v>
      </c>
    </row>
    <row r="945" spans="1:2">
      <c r="A945" s="1">
        <v>43767</v>
      </c>
      <c r="B945">
        <v>1.45</v>
      </c>
    </row>
    <row r="946" spans="1:2">
      <c r="A946" s="1">
        <v>43768</v>
      </c>
      <c r="B946">
        <v>1.46</v>
      </c>
    </row>
    <row r="947" spans="1:2">
      <c r="A947" s="1">
        <v>43769</v>
      </c>
      <c r="B947">
        <v>1.5</v>
      </c>
    </row>
    <row r="948" spans="1:2">
      <c r="A948" s="1">
        <v>43770</v>
      </c>
      <c r="B948">
        <v>1.48</v>
      </c>
    </row>
    <row r="949" spans="1:2">
      <c r="A949" s="1">
        <v>43773</v>
      </c>
      <c r="B949">
        <v>1.47</v>
      </c>
    </row>
    <row r="950" spans="1:2">
      <c r="A950" s="1">
        <v>43774</v>
      </c>
      <c r="B950">
        <v>1.45</v>
      </c>
    </row>
    <row r="951" spans="1:2">
      <c r="A951" s="1">
        <v>43775</v>
      </c>
      <c r="B951">
        <v>1.45</v>
      </c>
    </row>
    <row r="952" spans="1:2">
      <c r="A952" s="1">
        <v>43776</v>
      </c>
      <c r="B952">
        <v>1.43</v>
      </c>
    </row>
    <row r="953" spans="1:2">
      <c r="A953" s="1">
        <v>43777</v>
      </c>
      <c r="B953">
        <v>1.43</v>
      </c>
    </row>
    <row r="954" spans="1:2">
      <c r="A954" s="1">
        <v>43780</v>
      </c>
      <c r="B954">
        <v>1.42</v>
      </c>
    </row>
    <row r="955" spans="1:2">
      <c r="A955" s="1">
        <v>43781</v>
      </c>
      <c r="B955">
        <v>1.43</v>
      </c>
    </row>
    <row r="956" spans="1:2">
      <c r="A956" s="1">
        <v>43782</v>
      </c>
      <c r="B956">
        <v>1.44</v>
      </c>
    </row>
    <row r="957" spans="1:2">
      <c r="A957" s="1">
        <v>43783</v>
      </c>
      <c r="B957">
        <v>1.45</v>
      </c>
    </row>
    <row r="958" spans="1:2">
      <c r="A958" s="1">
        <v>43784</v>
      </c>
      <c r="B958">
        <v>1.44</v>
      </c>
    </row>
    <row r="959" spans="1:2">
      <c r="A959" s="1">
        <v>43787</v>
      </c>
      <c r="B959">
        <v>1.44</v>
      </c>
    </row>
    <row r="960" spans="1:2">
      <c r="A960" s="1">
        <v>43788</v>
      </c>
      <c r="B960">
        <v>1.45</v>
      </c>
    </row>
    <row r="961" spans="1:2">
      <c r="A961" s="1">
        <v>43789</v>
      </c>
      <c r="B961">
        <v>1.46</v>
      </c>
    </row>
    <row r="962" spans="1:2">
      <c r="A962" s="1">
        <v>43790</v>
      </c>
      <c r="B962">
        <v>1.46</v>
      </c>
    </row>
    <row r="963" spans="1:2">
      <c r="A963" s="1">
        <v>43791</v>
      </c>
      <c r="B963">
        <v>1.46</v>
      </c>
    </row>
    <row r="964" spans="1:2">
      <c r="A964" s="1">
        <v>43794</v>
      </c>
      <c r="B964">
        <v>1.44</v>
      </c>
    </row>
    <row r="965" spans="1:2">
      <c r="A965" s="1">
        <v>43795</v>
      </c>
      <c r="B965">
        <v>1.44</v>
      </c>
    </row>
    <row r="966" spans="1:2">
      <c r="A966" s="1">
        <v>43796</v>
      </c>
      <c r="B966">
        <v>1.43</v>
      </c>
    </row>
    <row r="967" spans="1:2">
      <c r="A967" s="1">
        <v>43797</v>
      </c>
    </row>
    <row r="968" spans="1:2">
      <c r="A968" s="1">
        <v>43798</v>
      </c>
      <c r="B968">
        <v>1.42</v>
      </c>
    </row>
    <row r="969" spans="1:2">
      <c r="A969" s="1">
        <v>43799</v>
      </c>
      <c r="B969">
        <v>1.44</v>
      </c>
    </row>
    <row r="970" spans="1:2">
      <c r="A970" s="1">
        <v>43801</v>
      </c>
      <c r="B970">
        <v>1.43</v>
      </c>
    </row>
    <row r="971" spans="1:2">
      <c r="A971" s="1">
        <v>43802</v>
      </c>
      <c r="B971">
        <v>1.45</v>
      </c>
    </row>
    <row r="972" spans="1:2">
      <c r="A972" s="1">
        <v>43803</v>
      </c>
      <c r="B972">
        <v>1.43</v>
      </c>
    </row>
    <row r="973" spans="1:2">
      <c r="A973" s="1">
        <v>43804</v>
      </c>
      <c r="B973">
        <v>1.42</v>
      </c>
    </row>
    <row r="974" spans="1:2">
      <c r="A974" s="1">
        <v>43805</v>
      </c>
      <c r="B974">
        <v>1.4</v>
      </c>
    </row>
    <row r="975" spans="1:2">
      <c r="A975" s="1">
        <v>43808</v>
      </c>
      <c r="B975">
        <v>1.4</v>
      </c>
    </row>
    <row r="976" spans="1:2">
      <c r="A976" s="1">
        <v>43809</v>
      </c>
      <c r="B976">
        <v>1.39</v>
      </c>
    </row>
    <row r="977" spans="1:2">
      <c r="A977" s="1">
        <v>43810</v>
      </c>
      <c r="B977">
        <v>1.39</v>
      </c>
    </row>
    <row r="978" spans="1:2">
      <c r="A978" s="1">
        <v>43811</v>
      </c>
      <c r="B978">
        <v>1.37</v>
      </c>
    </row>
    <row r="979" spans="1:2">
      <c r="A979" s="1">
        <v>43812</v>
      </c>
      <c r="B979">
        <v>1.36</v>
      </c>
    </row>
    <row r="980" spans="1:2">
      <c r="A980" s="1">
        <v>43815</v>
      </c>
      <c r="B980">
        <v>1.34</v>
      </c>
    </row>
    <row r="981" spans="1:2">
      <c r="A981" s="1">
        <v>43816</v>
      </c>
      <c r="B981">
        <v>1.32</v>
      </c>
    </row>
    <row r="982" spans="1:2">
      <c r="A982" s="1">
        <v>43817</v>
      </c>
      <c r="B982">
        <v>1.31</v>
      </c>
    </row>
    <row r="983" spans="1:2">
      <c r="A983" s="1">
        <v>43818</v>
      </c>
      <c r="B983">
        <v>1.3</v>
      </c>
    </row>
    <row r="984" spans="1:2">
      <c r="A984" s="1">
        <v>43819</v>
      </c>
      <c r="B984">
        <v>1.3</v>
      </c>
    </row>
    <row r="985" spans="1:2">
      <c r="A985" s="1">
        <v>43822</v>
      </c>
      <c r="B985">
        <v>1.3</v>
      </c>
    </row>
    <row r="986" spans="1:2">
      <c r="A986" s="1">
        <v>43823</v>
      </c>
      <c r="B986">
        <v>1.29</v>
      </c>
    </row>
    <row r="987" spans="1:2">
      <c r="A987" s="1">
        <v>43824</v>
      </c>
    </row>
    <row r="988" spans="1:2">
      <c r="A988" s="1">
        <v>43825</v>
      </c>
      <c r="B988">
        <v>1.29</v>
      </c>
    </row>
    <row r="989" spans="1:2">
      <c r="A989" s="1">
        <v>43826</v>
      </c>
      <c r="B989">
        <v>1.29</v>
      </c>
    </row>
    <row r="990" spans="1:2">
      <c r="A990" s="1">
        <v>43829</v>
      </c>
      <c r="B990">
        <v>1.29</v>
      </c>
    </row>
    <row r="991" spans="1:2">
      <c r="A991" s="1">
        <v>43830</v>
      </c>
      <c r="B991">
        <v>1.3</v>
      </c>
    </row>
    <row r="992" spans="1:2">
      <c r="A992" s="1">
        <v>43831</v>
      </c>
    </row>
    <row r="993" spans="1:2">
      <c r="A993" s="1">
        <v>43832</v>
      </c>
      <c r="B993">
        <v>1.3</v>
      </c>
    </row>
    <row r="994" spans="1:2">
      <c r="A994" s="1">
        <v>43833</v>
      </c>
      <c r="B994">
        <v>1.32</v>
      </c>
    </row>
    <row r="995" spans="1:2">
      <c r="A995" s="1">
        <v>43836</v>
      </c>
      <c r="B995">
        <v>1.32</v>
      </c>
    </row>
    <row r="996" spans="1:2">
      <c r="A996" s="1">
        <v>43837</v>
      </c>
      <c r="B996">
        <v>1.33</v>
      </c>
    </row>
    <row r="997" spans="1:2">
      <c r="A997" s="1">
        <v>43838</v>
      </c>
      <c r="B997">
        <v>1.32</v>
      </c>
    </row>
    <row r="998" spans="1:2">
      <c r="A998" s="1">
        <v>43839</v>
      </c>
      <c r="B998">
        <v>1.31</v>
      </c>
    </row>
    <row r="999" spans="1:2">
      <c r="A999" s="1">
        <v>43840</v>
      </c>
      <c r="B999">
        <v>1.3</v>
      </c>
    </row>
    <row r="1000" spans="1:2">
      <c r="A1000" s="1">
        <v>43843</v>
      </c>
      <c r="B1000">
        <v>1.29</v>
      </c>
    </row>
    <row r="1001" spans="1:2">
      <c r="A1001" s="1">
        <v>43844</v>
      </c>
      <c r="B1001">
        <v>1.3</v>
      </c>
    </row>
    <row r="1002" spans="1:2">
      <c r="A1002" s="1">
        <v>43845</v>
      </c>
      <c r="B1002">
        <v>1.3</v>
      </c>
    </row>
    <row r="1003" spans="1:2">
      <c r="A1003" s="1">
        <v>43846</v>
      </c>
      <c r="B1003">
        <v>1.29</v>
      </c>
    </row>
    <row r="1004" spans="1:2">
      <c r="A1004" s="1">
        <v>43847</v>
      </c>
      <c r="B1004">
        <v>1.27</v>
      </c>
    </row>
    <row r="1005" spans="1:2">
      <c r="A1005" s="1">
        <v>43850</v>
      </c>
      <c r="B1005">
        <v>1.27</v>
      </c>
    </row>
    <row r="1006" spans="1:2">
      <c r="A1006" s="1">
        <v>43851</v>
      </c>
      <c r="B1006">
        <v>1.27</v>
      </c>
    </row>
    <row r="1007" spans="1:2">
      <c r="A1007" s="1">
        <v>43852</v>
      </c>
      <c r="B1007">
        <v>1.27</v>
      </c>
    </row>
    <row r="1008" spans="1:2">
      <c r="A1008" s="1">
        <v>43853</v>
      </c>
      <c r="B1008">
        <v>1.28</v>
      </c>
    </row>
    <row r="1009" spans="1:2">
      <c r="A1009" s="1">
        <v>43854</v>
      </c>
      <c r="B1009">
        <v>1.29</v>
      </c>
    </row>
    <row r="1010" spans="1:2">
      <c r="A1010" s="1">
        <v>43857</v>
      </c>
      <c r="B1010">
        <v>1.34</v>
      </c>
    </row>
    <row r="1011" spans="1:2">
      <c r="A1011" s="1">
        <v>43858</v>
      </c>
      <c r="B1011">
        <v>1.33</v>
      </c>
    </row>
    <row r="1012" spans="1:2">
      <c r="A1012" s="1">
        <v>43859</v>
      </c>
      <c r="B1012">
        <v>1.33</v>
      </c>
    </row>
    <row r="1013" spans="1:2">
      <c r="A1013" s="1">
        <v>43860</v>
      </c>
      <c r="B1013">
        <v>1.35</v>
      </c>
    </row>
    <row r="1014" spans="1:2">
      <c r="A1014" s="1">
        <v>43861</v>
      </c>
      <c r="B1014">
        <v>1.39</v>
      </c>
    </row>
    <row r="1015" spans="1:2">
      <c r="A1015" s="1">
        <v>43864</v>
      </c>
      <c r="B1015">
        <v>1.39</v>
      </c>
    </row>
    <row r="1016" spans="1:2">
      <c r="A1016" s="1">
        <v>43865</v>
      </c>
      <c r="B1016">
        <v>1.36</v>
      </c>
    </row>
    <row r="1017" spans="1:2">
      <c r="A1017" s="1">
        <v>43866</v>
      </c>
      <c r="B1017">
        <v>1.34</v>
      </c>
    </row>
    <row r="1018" spans="1:2">
      <c r="A1018" s="1">
        <v>43867</v>
      </c>
      <c r="B1018">
        <v>1.33</v>
      </c>
    </row>
    <row r="1019" spans="1:2">
      <c r="A1019" s="1">
        <v>43868</v>
      </c>
      <c r="B1019">
        <v>1.33</v>
      </c>
    </row>
    <row r="1020" spans="1:2">
      <c r="A1020" s="1">
        <v>43871</v>
      </c>
      <c r="B1020">
        <v>1.34</v>
      </c>
    </row>
    <row r="1021" spans="1:2">
      <c r="A1021" s="1">
        <v>43872</v>
      </c>
      <c r="B1021">
        <v>1.33</v>
      </c>
    </row>
    <row r="1022" spans="1:2">
      <c r="A1022" s="1">
        <v>43873</v>
      </c>
      <c r="B1022">
        <v>1.31</v>
      </c>
    </row>
    <row r="1023" spans="1:2">
      <c r="A1023" s="1">
        <v>43874</v>
      </c>
      <c r="B1023">
        <v>1.31</v>
      </c>
    </row>
    <row r="1024" spans="1:2">
      <c r="A1024" s="1">
        <v>43875</v>
      </c>
      <c r="B1024">
        <v>1.31</v>
      </c>
    </row>
    <row r="1025" spans="1:2">
      <c r="A1025" s="1">
        <v>43878</v>
      </c>
      <c r="B1025">
        <v>1.31</v>
      </c>
    </row>
    <row r="1026" spans="1:2">
      <c r="A1026" s="1">
        <v>43879</v>
      </c>
      <c r="B1026">
        <v>1.31</v>
      </c>
    </row>
    <row r="1027" spans="1:2">
      <c r="A1027" s="1">
        <v>43880</v>
      </c>
      <c r="B1027">
        <v>1.31</v>
      </c>
    </row>
    <row r="1028" spans="1:2">
      <c r="A1028" s="1">
        <v>43881</v>
      </c>
      <c r="B1028">
        <v>1.33</v>
      </c>
    </row>
    <row r="1029" spans="1:2">
      <c r="A1029" s="1">
        <v>43882</v>
      </c>
      <c r="B1029">
        <v>1.35</v>
      </c>
    </row>
    <row r="1030" spans="1:2">
      <c r="A1030" s="1">
        <v>43885</v>
      </c>
      <c r="B1030">
        <v>1.4</v>
      </c>
    </row>
    <row r="1031" spans="1:2">
      <c r="A1031" s="1">
        <v>43886</v>
      </c>
      <c r="B1031">
        <v>1.44</v>
      </c>
    </row>
    <row r="1032" spans="1:2">
      <c r="A1032" s="1">
        <v>43887</v>
      </c>
      <c r="B1032">
        <v>1.46</v>
      </c>
    </row>
    <row r="1033" spans="1:2">
      <c r="A1033" s="1">
        <v>43888</v>
      </c>
      <c r="B1033">
        <v>1.54</v>
      </c>
    </row>
    <row r="1034" spans="1:2">
      <c r="A1034" s="1">
        <v>43889</v>
      </c>
      <c r="B1034">
        <v>1.65</v>
      </c>
    </row>
    <row r="1035" spans="1:2">
      <c r="A1035" s="1">
        <v>43890</v>
      </c>
      <c r="B1035">
        <v>1.64</v>
      </c>
    </row>
    <row r="1036" spans="1:2">
      <c r="A1036" s="1">
        <v>43892</v>
      </c>
      <c r="B1036">
        <v>1.68</v>
      </c>
    </row>
    <row r="1037" spans="1:2">
      <c r="A1037" s="1">
        <v>43893</v>
      </c>
      <c r="B1037">
        <v>1.67</v>
      </c>
    </row>
    <row r="1038" spans="1:2">
      <c r="A1038" s="1">
        <v>43894</v>
      </c>
      <c r="B1038">
        <v>1.66</v>
      </c>
    </row>
    <row r="1039" spans="1:2">
      <c r="A1039" s="1">
        <v>43895</v>
      </c>
      <c r="B1039">
        <v>1.71</v>
      </c>
    </row>
    <row r="1040" spans="1:2">
      <c r="A1040" s="1">
        <v>43896</v>
      </c>
      <c r="B1040">
        <v>1.87</v>
      </c>
    </row>
    <row r="1041" spans="1:2">
      <c r="A1041" s="1">
        <v>43899</v>
      </c>
      <c r="B1041">
        <v>2.37</v>
      </c>
    </row>
    <row r="1042" spans="1:2">
      <c r="A1042" s="1">
        <v>43900</v>
      </c>
      <c r="B1042">
        <v>2.37</v>
      </c>
    </row>
    <row r="1043" spans="1:2">
      <c r="A1043" s="1">
        <v>43901</v>
      </c>
      <c r="B1043">
        <v>2.4700000000000002</v>
      </c>
    </row>
    <row r="1044" spans="1:2">
      <c r="A1044" s="1">
        <v>43902</v>
      </c>
      <c r="B1044">
        <v>2.77</v>
      </c>
    </row>
    <row r="1045" spans="1:2">
      <c r="A1045" s="1">
        <v>43903</v>
      </c>
      <c r="B1045">
        <v>2.84</v>
      </c>
    </row>
    <row r="1046" spans="1:2">
      <c r="A1046" s="1">
        <v>43906</v>
      </c>
      <c r="B1046">
        <v>3.13</v>
      </c>
    </row>
    <row r="1047" spans="1:2">
      <c r="A1047" s="1">
        <v>43907</v>
      </c>
      <c r="B1047">
        <v>3.34</v>
      </c>
    </row>
    <row r="1048" spans="1:2">
      <c r="A1048" s="1">
        <v>43908</v>
      </c>
      <c r="B1048">
        <v>3.68</v>
      </c>
    </row>
    <row r="1049" spans="1:2">
      <c r="A1049" s="1">
        <v>43909</v>
      </c>
      <c r="B1049">
        <v>4.25</v>
      </c>
    </row>
    <row r="1050" spans="1:2">
      <c r="A1050" s="1">
        <v>43910</v>
      </c>
      <c r="B1050">
        <v>4.6500000000000004</v>
      </c>
    </row>
    <row r="1051" spans="1:2">
      <c r="A1051" s="1">
        <v>43913</v>
      </c>
      <c r="B1051">
        <v>4.88</v>
      </c>
    </row>
    <row r="1052" spans="1:2">
      <c r="A1052" s="1">
        <v>43914</v>
      </c>
      <c r="B1052">
        <v>4.74</v>
      </c>
    </row>
    <row r="1053" spans="1:2">
      <c r="A1053" s="1">
        <v>43915</v>
      </c>
      <c r="B1053">
        <v>4.4800000000000004</v>
      </c>
    </row>
    <row r="1054" spans="1:2">
      <c r="A1054" s="1">
        <v>43916</v>
      </c>
      <c r="B1054">
        <v>4.24</v>
      </c>
    </row>
    <row r="1055" spans="1:2">
      <c r="A1055" s="1">
        <v>43917</v>
      </c>
      <c r="B1055">
        <v>4.1399999999999997</v>
      </c>
    </row>
    <row r="1056" spans="1:2">
      <c r="A1056" s="1">
        <v>43920</v>
      </c>
      <c r="B1056">
        <v>4.05</v>
      </c>
    </row>
    <row r="1057" spans="1:2">
      <c r="A1057" s="1">
        <v>43921</v>
      </c>
      <c r="B1057">
        <v>3.96</v>
      </c>
    </row>
    <row r="1058" spans="1:2">
      <c r="A1058" s="1">
        <v>43922</v>
      </c>
      <c r="B1058">
        <v>3.98</v>
      </c>
    </row>
    <row r="1059" spans="1:2">
      <c r="A1059" s="1">
        <v>43923</v>
      </c>
      <c r="B1059">
        <v>3.99</v>
      </c>
    </row>
    <row r="1060" spans="1:2">
      <c r="A1060" s="1">
        <v>43924</v>
      </c>
      <c r="B1060">
        <v>4.01</v>
      </c>
    </row>
    <row r="1061" spans="1:2">
      <c r="A1061" s="1">
        <v>43927</v>
      </c>
      <c r="B1061">
        <v>3.96</v>
      </c>
    </row>
    <row r="1062" spans="1:2">
      <c r="A1062" s="1">
        <v>43928</v>
      </c>
      <c r="B1062">
        <v>3.83</v>
      </c>
    </row>
    <row r="1063" spans="1:2">
      <c r="A1063" s="1">
        <v>43929</v>
      </c>
      <c r="B1063">
        <v>3.72</v>
      </c>
    </row>
    <row r="1064" spans="1:2">
      <c r="A1064" s="1">
        <v>43930</v>
      </c>
      <c r="B1064">
        <v>3.43</v>
      </c>
    </row>
    <row r="1065" spans="1:2">
      <c r="A1065" s="1">
        <v>43931</v>
      </c>
    </row>
    <row r="1066" spans="1:2">
      <c r="A1066" s="1">
        <v>43934</v>
      </c>
      <c r="B1066">
        <v>3.24</v>
      </c>
    </row>
    <row r="1067" spans="1:2">
      <c r="A1067" s="1">
        <v>43935</v>
      </c>
      <c r="B1067">
        <v>3.11</v>
      </c>
    </row>
    <row r="1068" spans="1:2">
      <c r="A1068" s="1">
        <v>43936</v>
      </c>
      <c r="B1068">
        <v>3.13</v>
      </c>
    </row>
    <row r="1069" spans="1:2">
      <c r="A1069" s="1">
        <v>43937</v>
      </c>
      <c r="B1069">
        <v>3.1</v>
      </c>
    </row>
    <row r="1070" spans="1:2">
      <c r="A1070" s="1">
        <v>43938</v>
      </c>
      <c r="B1070">
        <v>3.07</v>
      </c>
    </row>
    <row r="1071" spans="1:2">
      <c r="A1071" s="1">
        <v>43941</v>
      </c>
      <c r="B1071">
        <v>3.1</v>
      </c>
    </row>
    <row r="1072" spans="1:2">
      <c r="A1072" s="1">
        <v>43942</v>
      </c>
      <c r="B1072">
        <v>3.16</v>
      </c>
    </row>
    <row r="1073" spans="1:2">
      <c r="A1073" s="1">
        <v>43943</v>
      </c>
      <c r="B1073">
        <v>3.14</v>
      </c>
    </row>
    <row r="1074" spans="1:2">
      <c r="A1074" s="1">
        <v>43944</v>
      </c>
      <c r="B1074">
        <v>3.11</v>
      </c>
    </row>
    <row r="1075" spans="1:2">
      <c r="A1075" s="1">
        <v>43945</v>
      </c>
      <c r="B1075">
        <v>3.11</v>
      </c>
    </row>
    <row r="1076" spans="1:2">
      <c r="A1076" s="1">
        <v>43948</v>
      </c>
      <c r="B1076">
        <v>3.1</v>
      </c>
    </row>
    <row r="1077" spans="1:2">
      <c r="A1077" s="1">
        <v>43949</v>
      </c>
      <c r="B1077">
        <v>3.09</v>
      </c>
    </row>
    <row r="1078" spans="1:2">
      <c r="A1078" s="1">
        <v>43950</v>
      </c>
      <c r="B1078">
        <v>3.06</v>
      </c>
    </row>
    <row r="1079" spans="1:2">
      <c r="A1079" s="1">
        <v>43951</v>
      </c>
      <c r="B1079">
        <v>2.82</v>
      </c>
    </row>
    <row r="1080" spans="1:2">
      <c r="A1080" s="1">
        <v>43952</v>
      </c>
      <c r="B1080">
        <v>2.83</v>
      </c>
    </row>
    <row r="1081" spans="1:2">
      <c r="A1081" s="1">
        <v>43955</v>
      </c>
      <c r="B1081">
        <v>2.85</v>
      </c>
    </row>
    <row r="1082" spans="1:2">
      <c r="A1082" s="1">
        <v>43956</v>
      </c>
      <c r="B1082">
        <v>2.83</v>
      </c>
    </row>
    <row r="1083" spans="1:2">
      <c r="A1083" s="1">
        <v>43957</v>
      </c>
      <c r="B1083">
        <v>2.83</v>
      </c>
    </row>
    <row r="1084" spans="1:2">
      <c r="A1084" s="1">
        <v>43958</v>
      </c>
      <c r="B1084">
        <v>2.86</v>
      </c>
    </row>
    <row r="1085" spans="1:2">
      <c r="A1085" s="1">
        <v>43959</v>
      </c>
      <c r="B1085">
        <v>2.87</v>
      </c>
    </row>
    <row r="1086" spans="1:2">
      <c r="A1086" s="1">
        <v>43962</v>
      </c>
      <c r="B1086">
        <v>2.88</v>
      </c>
    </row>
    <row r="1087" spans="1:2">
      <c r="A1087" s="1">
        <v>43963</v>
      </c>
      <c r="B1087">
        <v>2.87</v>
      </c>
    </row>
    <row r="1088" spans="1:2">
      <c r="A1088" s="1">
        <v>43964</v>
      </c>
      <c r="B1088">
        <v>2.86</v>
      </c>
    </row>
    <row r="1089" spans="1:2">
      <c r="A1089" s="1">
        <v>43965</v>
      </c>
      <c r="B1089">
        <v>2.87</v>
      </c>
    </row>
    <row r="1090" spans="1:2">
      <c r="A1090" s="1">
        <v>43966</v>
      </c>
      <c r="B1090">
        <v>2.85</v>
      </c>
    </row>
    <row r="1091" spans="1:2">
      <c r="A1091" s="1">
        <v>43969</v>
      </c>
      <c r="B1091">
        <v>2.76</v>
      </c>
    </row>
    <row r="1092" spans="1:2">
      <c r="A1092" s="1">
        <v>43970</v>
      </c>
      <c r="B1092">
        <v>2.7</v>
      </c>
    </row>
    <row r="1093" spans="1:2">
      <c r="A1093" s="1">
        <v>43971</v>
      </c>
      <c r="B1093">
        <v>2.63</v>
      </c>
    </row>
    <row r="1094" spans="1:2">
      <c r="A1094" s="1">
        <v>43972</v>
      </c>
      <c r="B1094">
        <v>2.59</v>
      </c>
    </row>
    <row r="1095" spans="1:2">
      <c r="A1095" s="1">
        <v>43973</v>
      </c>
      <c r="B1095">
        <v>2.57</v>
      </c>
    </row>
    <row r="1096" spans="1:2">
      <c r="A1096" s="1">
        <v>43976</v>
      </c>
      <c r="B1096">
        <v>2.57</v>
      </c>
    </row>
    <row r="1097" spans="1:2">
      <c r="A1097" s="1">
        <v>43977</v>
      </c>
      <c r="B1097">
        <v>2.52</v>
      </c>
    </row>
    <row r="1098" spans="1:2">
      <c r="A1098" s="1">
        <v>43978</v>
      </c>
      <c r="B1098">
        <v>2.48</v>
      </c>
    </row>
    <row r="1099" spans="1:2">
      <c r="A1099" s="1">
        <v>43979</v>
      </c>
      <c r="B1099">
        <v>2.4500000000000002</v>
      </c>
    </row>
    <row r="1100" spans="1:2">
      <c r="A1100" s="1">
        <v>43980</v>
      </c>
      <c r="B1100">
        <v>2.42</v>
      </c>
    </row>
    <row r="1101" spans="1:2">
      <c r="A1101" s="1">
        <v>43982</v>
      </c>
      <c r="B1101">
        <v>2.44</v>
      </c>
    </row>
    <row r="1102" spans="1:2">
      <c r="A1102" s="1">
        <v>43983</v>
      </c>
      <c r="B1102">
        <v>2.41</v>
      </c>
    </row>
    <row r="1103" spans="1:2">
      <c r="A1103" s="1">
        <v>43984</v>
      </c>
      <c r="B1103">
        <v>2.36</v>
      </c>
    </row>
    <row r="1104" spans="1:2">
      <c r="A1104" s="1">
        <v>43985</v>
      </c>
      <c r="B1104">
        <v>2.27</v>
      </c>
    </row>
    <row r="1105" spans="1:2">
      <c r="A1105" s="1">
        <v>43986</v>
      </c>
      <c r="B1105">
        <v>2.21</v>
      </c>
    </row>
    <row r="1106" spans="1:2">
      <c r="A1106" s="1">
        <v>43987</v>
      </c>
      <c r="B1106">
        <v>2.08</v>
      </c>
    </row>
    <row r="1107" spans="1:2">
      <c r="A1107" s="1">
        <v>43990</v>
      </c>
      <c r="B1107">
        <v>2.0299999999999998</v>
      </c>
    </row>
    <row r="1108" spans="1:2">
      <c r="A1108" s="1">
        <v>43991</v>
      </c>
      <c r="B1108">
        <v>2.06</v>
      </c>
    </row>
    <row r="1109" spans="1:2">
      <c r="A1109" s="1">
        <v>43992</v>
      </c>
      <c r="B1109">
        <v>2.08</v>
      </c>
    </row>
    <row r="1110" spans="1:2">
      <c r="A1110" s="1">
        <v>43993</v>
      </c>
      <c r="B1110">
        <v>2.1800000000000002</v>
      </c>
    </row>
    <row r="1111" spans="1:2">
      <c r="A1111" s="1">
        <v>43994</v>
      </c>
      <c r="B1111">
        <v>2.1800000000000002</v>
      </c>
    </row>
    <row r="1112" spans="1:2">
      <c r="A1112" s="1">
        <v>43997</v>
      </c>
      <c r="B1112">
        <v>2.1800000000000002</v>
      </c>
    </row>
    <row r="1113" spans="1:2">
      <c r="A1113" s="1">
        <v>43998</v>
      </c>
      <c r="B1113">
        <v>2.04</v>
      </c>
    </row>
    <row r="1114" spans="1:2">
      <c r="A1114" s="1">
        <v>43999</v>
      </c>
      <c r="B1114">
        <v>2.0299999999999998</v>
      </c>
    </row>
    <row r="1115" spans="1:2">
      <c r="A1115" s="1">
        <v>44000</v>
      </c>
      <c r="B1115">
        <v>2.04</v>
      </c>
    </row>
    <row r="1116" spans="1:2">
      <c r="A1116" s="1">
        <v>44001</v>
      </c>
      <c r="B1116">
        <v>2.0299999999999998</v>
      </c>
    </row>
    <row r="1117" spans="1:2">
      <c r="A1117" s="1">
        <v>44004</v>
      </c>
      <c r="B1117">
        <v>2.0299999999999998</v>
      </c>
    </row>
    <row r="1118" spans="1:2">
      <c r="A1118" s="1">
        <v>44005</v>
      </c>
      <c r="B1118">
        <v>2.02</v>
      </c>
    </row>
    <row r="1119" spans="1:2">
      <c r="A1119" s="1">
        <v>44006</v>
      </c>
      <c r="B1119">
        <v>2.06</v>
      </c>
    </row>
    <row r="1120" spans="1:2">
      <c r="A1120" s="1">
        <v>44007</v>
      </c>
      <c r="B1120">
        <v>2.0699999999999998</v>
      </c>
    </row>
    <row r="1121" spans="1:2">
      <c r="A1121" s="1">
        <v>44008</v>
      </c>
      <c r="B1121">
        <v>2.09</v>
      </c>
    </row>
    <row r="1122" spans="1:2">
      <c r="A1122" s="1">
        <v>44011</v>
      </c>
      <c r="B1122">
        <v>2.09</v>
      </c>
    </row>
    <row r="1123" spans="1:2">
      <c r="A1123" s="1">
        <v>44012</v>
      </c>
      <c r="B1123">
        <v>2.0699999999999998</v>
      </c>
    </row>
    <row r="1124" spans="1:2">
      <c r="A1124" s="1">
        <v>44013</v>
      </c>
      <c r="B1124">
        <v>2.04</v>
      </c>
    </row>
    <row r="1125" spans="1:2">
      <c r="A1125" s="1">
        <v>44014</v>
      </c>
      <c r="B1125">
        <v>2.0099999999999998</v>
      </c>
    </row>
    <row r="1126" spans="1:2">
      <c r="A1126" s="1">
        <v>44015</v>
      </c>
      <c r="B1126">
        <v>2</v>
      </c>
    </row>
    <row r="1127" spans="1:2">
      <c r="A1127" s="1">
        <v>44018</v>
      </c>
      <c r="B1127">
        <v>1.97</v>
      </c>
    </row>
    <row r="1128" spans="1:2">
      <c r="A1128" s="1">
        <v>44019</v>
      </c>
      <c r="B1128">
        <v>1.97</v>
      </c>
    </row>
    <row r="1129" spans="1:2">
      <c r="A1129" s="1">
        <v>44020</v>
      </c>
      <c r="B1129">
        <v>1.97</v>
      </c>
    </row>
    <row r="1130" spans="1:2">
      <c r="A1130" s="1">
        <v>44021</v>
      </c>
      <c r="B1130">
        <v>1.98</v>
      </c>
    </row>
    <row r="1131" spans="1:2">
      <c r="A1131" s="1">
        <v>44022</v>
      </c>
      <c r="B1131">
        <v>1.98</v>
      </c>
    </row>
    <row r="1132" spans="1:2">
      <c r="A1132" s="1">
        <v>44025</v>
      </c>
      <c r="B1132">
        <v>1.96</v>
      </c>
    </row>
    <row r="1133" spans="1:2">
      <c r="A1133" s="1">
        <v>44026</v>
      </c>
      <c r="B1133">
        <v>1.96</v>
      </c>
    </row>
    <row r="1134" spans="1:2">
      <c r="A1134" s="1">
        <v>44027</v>
      </c>
      <c r="B1134">
        <v>1.94</v>
      </c>
    </row>
    <row r="1135" spans="1:2">
      <c r="A1135" s="1">
        <v>44028</v>
      </c>
      <c r="B1135">
        <v>1.93</v>
      </c>
    </row>
    <row r="1136" spans="1:2">
      <c r="A1136" s="1">
        <v>44029</v>
      </c>
      <c r="B1136">
        <v>1.91</v>
      </c>
    </row>
    <row r="1137" spans="1:2">
      <c r="A1137" s="1">
        <v>44032</v>
      </c>
      <c r="B1137">
        <v>1.88</v>
      </c>
    </row>
    <row r="1138" spans="1:2">
      <c r="A1138" s="1">
        <v>44033</v>
      </c>
      <c r="B1138">
        <v>1.85</v>
      </c>
    </row>
    <row r="1139" spans="1:2">
      <c r="A1139" s="1">
        <v>44034</v>
      </c>
      <c r="B1139">
        <v>1.83</v>
      </c>
    </row>
    <row r="1140" spans="1:2">
      <c r="A1140" s="1">
        <v>44035</v>
      </c>
      <c r="B1140">
        <v>1.82</v>
      </c>
    </row>
    <row r="1141" spans="1:2">
      <c r="A1141" s="1">
        <v>44036</v>
      </c>
      <c r="B1141">
        <v>1.83</v>
      </c>
    </row>
    <row r="1142" spans="1:2">
      <c r="A1142" s="1">
        <v>44039</v>
      </c>
      <c r="B1142">
        <v>1.83</v>
      </c>
    </row>
    <row r="1143" spans="1:2">
      <c r="A1143" s="1">
        <v>44040</v>
      </c>
      <c r="B1143">
        <v>1.84</v>
      </c>
    </row>
    <row r="1144" spans="1:2">
      <c r="A1144" s="1">
        <v>44041</v>
      </c>
      <c r="B1144">
        <v>1.83</v>
      </c>
    </row>
    <row r="1145" spans="1:2">
      <c r="A1145" s="1">
        <v>44042</v>
      </c>
      <c r="B1145">
        <v>1.84</v>
      </c>
    </row>
    <row r="1146" spans="1:2">
      <c r="A1146" s="1">
        <v>44043</v>
      </c>
      <c r="B1146">
        <v>1.85</v>
      </c>
    </row>
    <row r="1147" spans="1:2">
      <c r="A1147" s="1">
        <v>44046</v>
      </c>
      <c r="B1147">
        <v>1.83</v>
      </c>
    </row>
    <row r="1148" spans="1:2">
      <c r="A1148" s="1">
        <v>44047</v>
      </c>
      <c r="B1148">
        <v>1.83</v>
      </c>
    </row>
    <row r="1149" spans="1:2">
      <c r="A1149" s="1">
        <v>44048</v>
      </c>
      <c r="B1149">
        <v>1.8</v>
      </c>
    </row>
    <row r="1150" spans="1:2">
      <c r="A1150" s="1">
        <v>44049</v>
      </c>
      <c r="B1150">
        <v>1.79</v>
      </c>
    </row>
    <row r="1151" spans="1:2">
      <c r="A1151" s="1">
        <v>44050</v>
      </c>
      <c r="B1151">
        <v>1.77</v>
      </c>
    </row>
    <row r="1152" spans="1:2">
      <c r="A1152" s="1">
        <v>44053</v>
      </c>
      <c r="B1152">
        <v>1.76</v>
      </c>
    </row>
    <row r="1153" spans="1:2">
      <c r="A1153" s="1">
        <v>44054</v>
      </c>
      <c r="B1153">
        <v>1.74</v>
      </c>
    </row>
    <row r="1154" spans="1:2">
      <c r="A1154" s="1">
        <v>44055</v>
      </c>
      <c r="B1154">
        <v>1.74</v>
      </c>
    </row>
    <row r="1155" spans="1:2">
      <c r="A1155" s="1">
        <v>44056</v>
      </c>
      <c r="B1155">
        <v>1.74</v>
      </c>
    </row>
    <row r="1156" spans="1:2">
      <c r="A1156" s="1">
        <v>44057</v>
      </c>
      <c r="B1156">
        <v>1.76</v>
      </c>
    </row>
    <row r="1157" spans="1:2">
      <c r="A1157" s="1">
        <v>44060</v>
      </c>
      <c r="B1157">
        <v>1.77</v>
      </c>
    </row>
    <row r="1158" spans="1:2">
      <c r="A1158" s="1">
        <v>44061</v>
      </c>
      <c r="B1158">
        <v>1.78</v>
      </c>
    </row>
    <row r="1159" spans="1:2">
      <c r="A1159" s="1">
        <v>44062</v>
      </c>
      <c r="B1159">
        <v>1.78</v>
      </c>
    </row>
    <row r="1160" spans="1:2">
      <c r="A1160" s="1">
        <v>44063</v>
      </c>
      <c r="B1160">
        <v>1.79</v>
      </c>
    </row>
    <row r="1161" spans="1:2">
      <c r="A1161" s="1">
        <v>44064</v>
      </c>
      <c r="B1161">
        <v>1.78</v>
      </c>
    </row>
    <row r="1162" spans="1:2">
      <c r="A1162" s="1">
        <v>44067</v>
      </c>
      <c r="B1162">
        <v>1.78</v>
      </c>
    </row>
    <row r="1163" spans="1:2">
      <c r="A1163" s="1">
        <v>44068</v>
      </c>
      <c r="B1163">
        <v>1.77</v>
      </c>
    </row>
    <row r="1164" spans="1:2">
      <c r="A1164" s="1">
        <v>44069</v>
      </c>
      <c r="B1164">
        <v>1.78</v>
      </c>
    </row>
    <row r="1165" spans="1:2">
      <c r="A1165" s="1">
        <v>44070</v>
      </c>
      <c r="B1165">
        <v>1.78</v>
      </c>
    </row>
    <row r="1166" spans="1:2">
      <c r="A1166" s="1">
        <v>44071</v>
      </c>
      <c r="B1166">
        <v>1.77</v>
      </c>
    </row>
    <row r="1167" spans="1:2">
      <c r="A1167" s="1">
        <v>44074</v>
      </c>
      <c r="B1167">
        <v>1.76</v>
      </c>
    </row>
    <row r="1168" spans="1:2">
      <c r="A1168" s="1">
        <v>44075</v>
      </c>
      <c r="B1168">
        <v>1.75</v>
      </c>
    </row>
    <row r="1169" spans="1:2">
      <c r="A1169" s="1">
        <v>44076</v>
      </c>
      <c r="B1169">
        <v>1.73</v>
      </c>
    </row>
    <row r="1170" spans="1:2">
      <c r="A1170" s="1">
        <v>44077</v>
      </c>
      <c r="B1170">
        <v>1.74</v>
      </c>
    </row>
    <row r="1171" spans="1:2">
      <c r="A1171" s="1">
        <v>44078</v>
      </c>
      <c r="B1171">
        <v>1.74</v>
      </c>
    </row>
    <row r="1172" spans="1:2">
      <c r="A1172" s="1">
        <v>44081</v>
      </c>
      <c r="B1172">
        <v>1.74</v>
      </c>
    </row>
    <row r="1173" spans="1:2">
      <c r="A1173" s="1">
        <v>44082</v>
      </c>
      <c r="B1173">
        <v>1.76</v>
      </c>
    </row>
    <row r="1174" spans="1:2">
      <c r="A1174" s="1">
        <v>44083</v>
      </c>
      <c r="B1174">
        <v>1.77</v>
      </c>
    </row>
    <row r="1175" spans="1:2">
      <c r="A1175" s="1">
        <v>44084</v>
      </c>
      <c r="B1175">
        <v>1.77</v>
      </c>
    </row>
    <row r="1176" spans="1:2">
      <c r="A1176" s="1">
        <v>44085</v>
      </c>
      <c r="B1176">
        <v>1.77</v>
      </c>
    </row>
    <row r="1177" spans="1:2">
      <c r="A1177" s="1">
        <v>44088</v>
      </c>
      <c r="B1177">
        <v>1.76</v>
      </c>
    </row>
    <row r="1178" spans="1:2">
      <c r="A1178" s="1">
        <v>44089</v>
      </c>
      <c r="B1178">
        <v>1.75</v>
      </c>
    </row>
    <row r="1179" spans="1:2">
      <c r="A1179" s="1">
        <v>44090</v>
      </c>
      <c r="B1179">
        <v>1.74</v>
      </c>
    </row>
    <row r="1180" spans="1:2">
      <c r="A1180" s="1">
        <v>44091</v>
      </c>
      <c r="B1180">
        <v>1.74</v>
      </c>
    </row>
    <row r="1181" spans="1:2">
      <c r="A1181" s="1">
        <v>44092</v>
      </c>
      <c r="B1181">
        <v>1.74</v>
      </c>
    </row>
    <row r="1182" spans="1:2">
      <c r="A1182" s="1">
        <v>44095</v>
      </c>
      <c r="B1182">
        <v>1.76</v>
      </c>
    </row>
    <row r="1183" spans="1:2">
      <c r="A1183" s="1">
        <v>44096</v>
      </c>
      <c r="B1183">
        <v>1.76</v>
      </c>
    </row>
    <row r="1184" spans="1:2">
      <c r="A1184" s="1">
        <v>44097</v>
      </c>
      <c r="B1184">
        <v>1.78</v>
      </c>
    </row>
    <row r="1185" spans="1:2">
      <c r="A1185" s="1">
        <v>44098</v>
      </c>
      <c r="B1185">
        <v>1.83</v>
      </c>
    </row>
    <row r="1186" spans="1:2">
      <c r="A1186" s="1">
        <v>44099</v>
      </c>
      <c r="B1186">
        <v>1.86</v>
      </c>
    </row>
    <row r="1187" spans="1:2">
      <c r="A1187" s="1">
        <v>44102</v>
      </c>
      <c r="B1187">
        <v>1.85</v>
      </c>
    </row>
    <row r="1188" spans="1:2">
      <c r="A1188" s="1">
        <v>44103</v>
      </c>
      <c r="B1188">
        <v>1.85</v>
      </c>
    </row>
    <row r="1189" spans="1:2">
      <c r="A1189" s="1">
        <v>44104</v>
      </c>
      <c r="B1189">
        <v>1.84</v>
      </c>
    </row>
    <row r="1190" spans="1:2">
      <c r="A1190" s="1">
        <v>44105</v>
      </c>
      <c r="B1190">
        <v>1.83</v>
      </c>
    </row>
    <row r="1191" spans="1:2">
      <c r="A1191" s="1">
        <v>44106</v>
      </c>
      <c r="B1191">
        <v>1.83</v>
      </c>
    </row>
    <row r="1192" spans="1:2">
      <c r="A1192" s="1">
        <v>44109</v>
      </c>
      <c r="B1192">
        <v>1.8</v>
      </c>
    </row>
    <row r="1193" spans="1:2">
      <c r="A1193" s="1">
        <v>44110</v>
      </c>
      <c r="B1193">
        <v>1.77</v>
      </c>
    </row>
    <row r="1194" spans="1:2">
      <c r="A1194" s="1">
        <v>44111</v>
      </c>
      <c r="B1194">
        <v>1.75</v>
      </c>
    </row>
    <row r="1195" spans="1:2">
      <c r="A1195" s="1">
        <v>44112</v>
      </c>
      <c r="B1195">
        <v>1.74</v>
      </c>
    </row>
    <row r="1196" spans="1:2">
      <c r="A1196" s="1">
        <v>44113</v>
      </c>
      <c r="B1196">
        <v>1.73</v>
      </c>
    </row>
    <row r="1197" spans="1:2">
      <c r="A1197" s="1">
        <v>44116</v>
      </c>
      <c r="B1197">
        <v>1.73</v>
      </c>
    </row>
    <row r="1198" spans="1:2">
      <c r="A1198" s="1">
        <v>44117</v>
      </c>
      <c r="B1198">
        <v>1.71</v>
      </c>
    </row>
    <row r="1199" spans="1:2">
      <c r="A1199" s="1">
        <v>44118</v>
      </c>
      <c r="B1199">
        <v>1.71</v>
      </c>
    </row>
    <row r="1200" spans="1:2">
      <c r="A1200" s="1">
        <v>44119</v>
      </c>
      <c r="B1200">
        <v>1.72</v>
      </c>
    </row>
    <row r="1201" spans="1:2">
      <c r="A1201" s="1">
        <v>44120</v>
      </c>
      <c r="B1201">
        <v>1.71</v>
      </c>
    </row>
    <row r="1202" spans="1:2">
      <c r="A1202" s="1">
        <v>44123</v>
      </c>
      <c r="B1202">
        <v>1.7</v>
      </c>
    </row>
    <row r="1203" spans="1:2">
      <c r="A1203" s="1">
        <v>44124</v>
      </c>
      <c r="B1203">
        <v>1.7</v>
      </c>
    </row>
    <row r="1204" spans="1:2">
      <c r="A1204" s="1">
        <v>44125</v>
      </c>
      <c r="B1204">
        <v>1.69</v>
      </c>
    </row>
    <row r="1205" spans="1:2">
      <c r="A1205" s="1">
        <v>44126</v>
      </c>
      <c r="B1205">
        <v>1.68</v>
      </c>
    </row>
    <row r="1206" spans="1:2">
      <c r="A1206" s="1">
        <v>44127</v>
      </c>
      <c r="B1206">
        <v>1.67</v>
      </c>
    </row>
    <row r="1207" spans="1:2">
      <c r="A1207" s="1">
        <v>44130</v>
      </c>
      <c r="B1207">
        <v>1.68</v>
      </c>
    </row>
    <row r="1208" spans="1:2">
      <c r="A1208" s="1">
        <v>44131</v>
      </c>
      <c r="B1208">
        <v>1.67</v>
      </c>
    </row>
    <row r="1209" spans="1:2">
      <c r="A1209" s="1">
        <v>44132</v>
      </c>
      <c r="B1209">
        <v>1.7</v>
      </c>
    </row>
    <row r="1210" spans="1:2">
      <c r="A1210" s="1">
        <v>44133</v>
      </c>
      <c r="B1210">
        <v>1.7</v>
      </c>
    </row>
    <row r="1211" spans="1:2">
      <c r="A1211" s="1">
        <v>44134</v>
      </c>
      <c r="B1211">
        <v>1.71</v>
      </c>
    </row>
    <row r="1212" spans="1:2">
      <c r="A1212" s="1">
        <v>44135</v>
      </c>
      <c r="B1212">
        <v>1.71</v>
      </c>
    </row>
    <row r="1213" spans="1:2">
      <c r="A1213" s="1">
        <v>44137</v>
      </c>
      <c r="B1213">
        <v>1.71</v>
      </c>
    </row>
    <row r="1214" spans="1:2">
      <c r="A1214" s="1">
        <v>44138</v>
      </c>
      <c r="B1214">
        <v>1.69</v>
      </c>
    </row>
    <row r="1215" spans="1:2">
      <c r="A1215" s="1">
        <v>44139</v>
      </c>
      <c r="B1215">
        <v>1.66</v>
      </c>
    </row>
    <row r="1216" spans="1:2">
      <c r="A1216" s="1">
        <v>44140</v>
      </c>
      <c r="B1216">
        <v>1.62</v>
      </c>
    </row>
    <row r="1217" spans="1:2">
      <c r="A1217" s="1">
        <v>44141</v>
      </c>
      <c r="B1217">
        <v>1.6</v>
      </c>
    </row>
    <row r="1218" spans="1:2">
      <c r="A1218" s="1">
        <v>44144</v>
      </c>
      <c r="B1218">
        <v>1.53</v>
      </c>
    </row>
    <row r="1219" spans="1:2">
      <c r="A1219" s="1">
        <v>44145</v>
      </c>
      <c r="B1219">
        <v>1.52</v>
      </c>
    </row>
    <row r="1220" spans="1:2">
      <c r="A1220" s="1">
        <v>44146</v>
      </c>
      <c r="B1220">
        <v>1.52</v>
      </c>
    </row>
    <row r="1221" spans="1:2">
      <c r="A1221" s="1">
        <v>44147</v>
      </c>
      <c r="B1221">
        <v>1.54</v>
      </c>
    </row>
    <row r="1222" spans="1:2">
      <c r="A1222" s="1">
        <v>44148</v>
      </c>
      <c r="B1222">
        <v>1.55</v>
      </c>
    </row>
    <row r="1223" spans="1:2">
      <c r="A1223" s="1">
        <v>44151</v>
      </c>
      <c r="B1223">
        <v>1.52</v>
      </c>
    </row>
    <row r="1224" spans="1:2">
      <c r="A1224" s="1">
        <v>44152</v>
      </c>
      <c r="B1224">
        <v>1.51</v>
      </c>
    </row>
    <row r="1225" spans="1:2">
      <c r="A1225" s="1">
        <v>44153</v>
      </c>
      <c r="B1225">
        <v>1.49</v>
      </c>
    </row>
    <row r="1226" spans="1:2">
      <c r="A1226" s="1">
        <v>44154</v>
      </c>
      <c r="B1226">
        <v>1.48</v>
      </c>
    </row>
    <row r="1227" spans="1:2">
      <c r="A1227" s="1">
        <v>44155</v>
      </c>
      <c r="B1227">
        <v>1.48</v>
      </c>
    </row>
    <row r="1228" spans="1:2">
      <c r="A1228" s="1">
        <v>44158</v>
      </c>
      <c r="B1228">
        <v>1.48</v>
      </c>
    </row>
    <row r="1229" spans="1:2">
      <c r="A1229" s="1">
        <v>44159</v>
      </c>
      <c r="B1229">
        <v>1.46</v>
      </c>
    </row>
    <row r="1230" spans="1:2">
      <c r="A1230" s="1">
        <v>44160</v>
      </c>
      <c r="B1230">
        <v>1.44</v>
      </c>
    </row>
    <row r="1231" spans="1:2">
      <c r="A1231" s="1">
        <v>44161</v>
      </c>
      <c r="B1231">
        <v>1.44</v>
      </c>
    </row>
    <row r="1232" spans="1:2">
      <c r="A1232" s="1">
        <v>44162</v>
      </c>
      <c r="B1232">
        <v>1.44</v>
      </c>
    </row>
    <row r="1233" spans="1:2">
      <c r="A1233" s="1">
        <v>44165</v>
      </c>
      <c r="B1233">
        <v>1.43</v>
      </c>
    </row>
    <row r="1234" spans="1:2">
      <c r="A1234" s="1">
        <v>44166</v>
      </c>
      <c r="B1234">
        <v>1.39</v>
      </c>
    </row>
    <row r="1235" spans="1:2">
      <c r="A1235" s="1">
        <v>44167</v>
      </c>
      <c r="B1235">
        <v>1.37</v>
      </c>
    </row>
    <row r="1236" spans="1:2">
      <c r="A1236" s="1">
        <v>44168</v>
      </c>
      <c r="B1236">
        <v>1.36</v>
      </c>
    </row>
    <row r="1237" spans="1:2">
      <c r="A1237" s="1">
        <v>44169</v>
      </c>
      <c r="B1237">
        <v>1.35</v>
      </c>
    </row>
    <row r="1238" spans="1:2">
      <c r="A1238" s="1">
        <v>44172</v>
      </c>
      <c r="B1238">
        <v>1.35</v>
      </c>
    </row>
    <row r="1239" spans="1:2">
      <c r="A1239" s="1">
        <v>44173</v>
      </c>
      <c r="B1239">
        <v>1.37</v>
      </c>
    </row>
    <row r="1240" spans="1:2">
      <c r="A1240" s="1">
        <v>44174</v>
      </c>
      <c r="B1240">
        <v>1.39</v>
      </c>
    </row>
    <row r="1241" spans="1:2">
      <c r="A1241" s="1">
        <v>44175</v>
      </c>
      <c r="B1241">
        <v>1.39</v>
      </c>
    </row>
    <row r="1242" spans="1:2">
      <c r="A1242" s="1">
        <v>44176</v>
      </c>
      <c r="B1242">
        <v>1.4</v>
      </c>
    </row>
    <row r="1243" spans="1:2">
      <c r="A1243" s="1">
        <v>44179</v>
      </c>
      <c r="B1243">
        <v>1.39</v>
      </c>
    </row>
    <row r="1244" spans="1:2">
      <c r="A1244" s="1">
        <v>44180</v>
      </c>
      <c r="B1244">
        <v>1.38</v>
      </c>
    </row>
    <row r="1245" spans="1:2">
      <c r="A1245" s="1">
        <v>44181</v>
      </c>
      <c r="B1245">
        <v>1.36</v>
      </c>
    </row>
    <row r="1246" spans="1:2">
      <c r="A1246" s="1">
        <v>44182</v>
      </c>
      <c r="B1246">
        <v>1.34</v>
      </c>
    </row>
    <row r="1247" spans="1:2">
      <c r="A1247" s="1">
        <v>44183</v>
      </c>
      <c r="B1247">
        <v>1.34</v>
      </c>
    </row>
    <row r="1248" spans="1:2">
      <c r="A1248" s="1">
        <v>44186</v>
      </c>
      <c r="B1248">
        <v>1.34</v>
      </c>
    </row>
    <row r="1249" spans="1:2">
      <c r="A1249" s="1">
        <v>44187</v>
      </c>
      <c r="B1249">
        <v>1.34</v>
      </c>
    </row>
    <row r="1250" spans="1:2">
      <c r="A1250" s="1">
        <v>44188</v>
      </c>
      <c r="B1250">
        <v>1.33</v>
      </c>
    </row>
    <row r="1251" spans="1:2">
      <c r="A1251" s="1">
        <v>44189</v>
      </c>
      <c r="B1251">
        <v>1.33</v>
      </c>
    </row>
    <row r="1252" spans="1:2">
      <c r="A1252" s="1">
        <v>44190</v>
      </c>
    </row>
    <row r="1253" spans="1:2">
      <c r="A1253" s="1">
        <v>44193</v>
      </c>
      <c r="B1253">
        <v>1.32</v>
      </c>
    </row>
    <row r="1254" spans="1:2">
      <c r="A1254" s="1">
        <v>44194</v>
      </c>
      <c r="B1254">
        <v>1.31</v>
      </c>
    </row>
    <row r="1255" spans="1:2">
      <c r="A1255" s="1">
        <v>44195</v>
      </c>
      <c r="B1255">
        <v>1.3</v>
      </c>
    </row>
    <row r="1256" spans="1:2">
      <c r="A1256" s="1">
        <v>44196</v>
      </c>
      <c r="B1256">
        <v>1.3</v>
      </c>
    </row>
    <row r="1257" spans="1:2">
      <c r="A1257" s="1">
        <v>44197</v>
      </c>
    </row>
    <row r="1258" spans="1:2">
      <c r="A1258" s="1">
        <v>44200</v>
      </c>
      <c r="B1258">
        <v>1.31</v>
      </c>
    </row>
    <row r="1259" spans="1:2">
      <c r="A1259" s="1">
        <v>44201</v>
      </c>
      <c r="B1259">
        <v>1.32</v>
      </c>
    </row>
    <row r="1260" spans="1:2">
      <c r="A1260" s="1">
        <v>44202</v>
      </c>
      <c r="B1260">
        <v>1.31</v>
      </c>
    </row>
    <row r="1261" spans="1:2">
      <c r="A1261" s="1">
        <v>44203</v>
      </c>
      <c r="B1261">
        <v>1.29</v>
      </c>
    </row>
    <row r="1262" spans="1:2">
      <c r="A1262" s="1">
        <v>44204</v>
      </c>
      <c r="B1262">
        <v>1.28</v>
      </c>
    </row>
    <row r="1263" spans="1:2">
      <c r="A1263" s="1">
        <v>44207</v>
      </c>
      <c r="B1263">
        <v>1.27</v>
      </c>
    </row>
    <row r="1264" spans="1:2">
      <c r="A1264" s="1">
        <v>44208</v>
      </c>
      <c r="B1264">
        <v>1.27</v>
      </c>
    </row>
    <row r="1265" spans="1:2">
      <c r="A1265" s="1">
        <v>44209</v>
      </c>
      <c r="B1265">
        <v>1.26</v>
      </c>
    </row>
    <row r="1266" spans="1:2">
      <c r="A1266" s="1">
        <v>44210</v>
      </c>
      <c r="B1266">
        <v>1.25</v>
      </c>
    </row>
    <row r="1267" spans="1:2">
      <c r="A1267" s="1">
        <v>44211</v>
      </c>
      <c r="B1267">
        <v>1.25</v>
      </c>
    </row>
    <row r="1268" spans="1:2">
      <c r="A1268" s="1">
        <v>44214</v>
      </c>
      <c r="B1268">
        <v>1.24</v>
      </c>
    </row>
    <row r="1269" spans="1:2">
      <c r="A1269" s="1">
        <v>44215</v>
      </c>
      <c r="B1269">
        <v>1.24</v>
      </c>
    </row>
    <row r="1270" spans="1:2">
      <c r="A1270" s="1">
        <v>44216</v>
      </c>
      <c r="B1270">
        <v>1.23</v>
      </c>
    </row>
    <row r="1271" spans="1:2">
      <c r="A1271" s="1">
        <v>44217</v>
      </c>
      <c r="B1271">
        <v>1.24</v>
      </c>
    </row>
    <row r="1272" spans="1:2">
      <c r="A1272" s="1">
        <v>44218</v>
      </c>
      <c r="B1272">
        <v>1.26</v>
      </c>
    </row>
    <row r="1273" spans="1:2">
      <c r="A1273" s="1">
        <v>44221</v>
      </c>
      <c r="B1273">
        <v>1.27</v>
      </c>
    </row>
    <row r="1274" spans="1:2">
      <c r="A1274" s="1">
        <v>44222</v>
      </c>
      <c r="B1274">
        <v>1.27</v>
      </c>
    </row>
    <row r="1275" spans="1:2">
      <c r="A1275" s="1">
        <v>44223</v>
      </c>
      <c r="B1275">
        <v>1.28</v>
      </c>
    </row>
    <row r="1276" spans="1:2">
      <c r="A1276" s="1">
        <v>44224</v>
      </c>
      <c r="B1276">
        <v>1.28</v>
      </c>
    </row>
    <row r="1277" spans="1:2">
      <c r="A1277" s="1">
        <v>44225</v>
      </c>
      <c r="B1277">
        <v>1.27</v>
      </c>
    </row>
    <row r="1278" spans="1:2">
      <c r="A1278" s="1">
        <v>44227</v>
      </c>
      <c r="B1278">
        <v>1.28</v>
      </c>
    </row>
    <row r="1279" spans="1:2">
      <c r="A1279" s="1">
        <v>44228</v>
      </c>
      <c r="B1279">
        <v>1.29</v>
      </c>
    </row>
    <row r="1280" spans="1:2">
      <c r="A1280" s="1">
        <v>44229</v>
      </c>
      <c r="B1280">
        <v>1.28</v>
      </c>
    </row>
    <row r="1281" spans="1:2">
      <c r="A1281" s="1">
        <v>44230</v>
      </c>
      <c r="B1281">
        <v>1.27</v>
      </c>
    </row>
    <row r="1282" spans="1:2">
      <c r="A1282" s="1">
        <v>44231</v>
      </c>
      <c r="B1282">
        <v>1.25</v>
      </c>
    </row>
    <row r="1283" spans="1:2">
      <c r="A1283" s="1">
        <v>44232</v>
      </c>
      <c r="B1283">
        <v>1.24</v>
      </c>
    </row>
    <row r="1284" spans="1:2">
      <c r="A1284" s="1">
        <v>44235</v>
      </c>
      <c r="B1284">
        <v>1.22</v>
      </c>
    </row>
    <row r="1285" spans="1:2">
      <c r="A1285" s="1">
        <v>44236</v>
      </c>
      <c r="B1285">
        <v>1.22</v>
      </c>
    </row>
    <row r="1286" spans="1:2">
      <c r="A1286" s="1">
        <v>44237</v>
      </c>
      <c r="B1286">
        <v>1.22</v>
      </c>
    </row>
    <row r="1287" spans="1:2">
      <c r="A1287" s="1">
        <v>44238</v>
      </c>
      <c r="B1287">
        <v>1.22</v>
      </c>
    </row>
    <row r="1288" spans="1:2">
      <c r="A1288" s="1">
        <v>44239</v>
      </c>
      <c r="B1288">
        <v>1.22</v>
      </c>
    </row>
    <row r="1289" spans="1:2">
      <c r="A1289" s="1">
        <v>44242</v>
      </c>
      <c r="B1289">
        <v>1.21</v>
      </c>
    </row>
    <row r="1290" spans="1:2">
      <c r="A1290" s="1">
        <v>44243</v>
      </c>
      <c r="B1290">
        <v>1.19</v>
      </c>
    </row>
    <row r="1291" spans="1:2">
      <c r="A1291" s="1">
        <v>44244</v>
      </c>
      <c r="B1291">
        <v>1.18</v>
      </c>
    </row>
    <row r="1292" spans="1:2">
      <c r="A1292" s="1">
        <v>44245</v>
      </c>
      <c r="B1292">
        <v>1.18</v>
      </c>
    </row>
    <row r="1293" spans="1:2">
      <c r="A1293" s="1">
        <v>44246</v>
      </c>
      <c r="B1293">
        <v>1.18</v>
      </c>
    </row>
    <row r="1294" spans="1:2">
      <c r="A1294" s="1">
        <v>44249</v>
      </c>
      <c r="B1294">
        <v>1.19</v>
      </c>
    </row>
    <row r="1295" spans="1:2">
      <c r="A1295" s="1">
        <v>44250</v>
      </c>
      <c r="B1295">
        <v>1.21</v>
      </c>
    </row>
    <row r="1296" spans="1:2">
      <c r="A1296" s="1">
        <v>44251</v>
      </c>
      <c r="B1296">
        <v>1.2</v>
      </c>
    </row>
    <row r="1297" spans="1:2">
      <c r="A1297" s="1">
        <v>44252</v>
      </c>
      <c r="B1297">
        <v>1.19</v>
      </c>
    </row>
    <row r="1298" spans="1:2">
      <c r="A1298" s="1">
        <v>44253</v>
      </c>
      <c r="B1298">
        <v>1.19</v>
      </c>
    </row>
    <row r="1299" spans="1:2">
      <c r="A1299" s="1">
        <v>44255</v>
      </c>
      <c r="B1299">
        <v>1.19</v>
      </c>
    </row>
    <row r="1300" spans="1:2">
      <c r="A1300" s="1">
        <v>44256</v>
      </c>
      <c r="B1300">
        <v>1.2</v>
      </c>
    </row>
    <row r="1301" spans="1:2">
      <c r="A1301" s="1">
        <v>44257</v>
      </c>
      <c r="B1301">
        <v>1.2</v>
      </c>
    </row>
    <row r="1302" spans="1:2">
      <c r="A1302" s="1">
        <v>44258</v>
      </c>
      <c r="B1302">
        <v>1.19</v>
      </c>
    </row>
    <row r="1303" spans="1:2">
      <c r="A1303" s="1">
        <v>44259</v>
      </c>
      <c r="B1303">
        <v>1.21</v>
      </c>
    </row>
    <row r="1304" spans="1:2">
      <c r="A1304" s="1">
        <v>44260</v>
      </c>
      <c r="B1304">
        <v>1.24</v>
      </c>
    </row>
    <row r="1305" spans="1:2">
      <c r="A1305" s="1">
        <v>44263</v>
      </c>
      <c r="B1305">
        <v>1.26</v>
      </c>
    </row>
    <row r="1306" spans="1:2">
      <c r="A1306" s="1">
        <v>44264</v>
      </c>
      <c r="B1306">
        <v>1.29</v>
      </c>
    </row>
    <row r="1307" spans="1:2">
      <c r="A1307" s="1">
        <v>44265</v>
      </c>
      <c r="B1307">
        <v>1.28</v>
      </c>
    </row>
    <row r="1308" spans="1:2">
      <c r="A1308" s="1">
        <v>44266</v>
      </c>
      <c r="B1308">
        <v>1.27</v>
      </c>
    </row>
    <row r="1309" spans="1:2">
      <c r="A1309" s="1">
        <v>44267</v>
      </c>
      <c r="B1309">
        <v>1.26</v>
      </c>
    </row>
    <row r="1310" spans="1:2">
      <c r="A1310" s="1">
        <v>44270</v>
      </c>
      <c r="B1310">
        <v>1.26</v>
      </c>
    </row>
    <row r="1311" spans="1:2">
      <c r="A1311" s="1">
        <v>44271</v>
      </c>
      <c r="B1311">
        <v>1.25</v>
      </c>
    </row>
    <row r="1312" spans="1:2">
      <c r="A1312" s="1">
        <v>44272</v>
      </c>
      <c r="B1312">
        <v>1.26</v>
      </c>
    </row>
    <row r="1313" spans="1:2">
      <c r="A1313" s="1">
        <v>44273</v>
      </c>
      <c r="B1313">
        <v>1.24</v>
      </c>
    </row>
    <row r="1314" spans="1:2">
      <c r="A1314" s="1">
        <v>44274</v>
      </c>
      <c r="B1314">
        <v>1.24</v>
      </c>
    </row>
    <row r="1315" spans="1:2">
      <c r="A1315" s="1">
        <v>44277</v>
      </c>
      <c r="B1315">
        <v>1.23</v>
      </c>
    </row>
    <row r="1316" spans="1:2">
      <c r="A1316" s="1">
        <v>44278</v>
      </c>
      <c r="B1316">
        <v>1.24</v>
      </c>
    </row>
    <row r="1317" spans="1:2">
      <c r="A1317" s="1">
        <v>44279</v>
      </c>
      <c r="B1317">
        <v>1.25</v>
      </c>
    </row>
    <row r="1318" spans="1:2">
      <c r="A1318" s="1">
        <v>44280</v>
      </c>
      <c r="B1318">
        <v>1.26</v>
      </c>
    </row>
    <row r="1319" spans="1:2">
      <c r="A1319" s="1">
        <v>44281</v>
      </c>
      <c r="B1319">
        <v>1.24</v>
      </c>
    </row>
    <row r="1320" spans="1:2">
      <c r="A1320" s="1">
        <v>44284</v>
      </c>
      <c r="B1320">
        <v>1.23</v>
      </c>
    </row>
    <row r="1321" spans="1:2">
      <c r="A1321" s="1">
        <v>44285</v>
      </c>
      <c r="B1321">
        <v>1.22</v>
      </c>
    </row>
    <row r="1322" spans="1:2">
      <c r="A1322" s="1">
        <v>44286</v>
      </c>
      <c r="B1322">
        <v>1.19</v>
      </c>
    </row>
    <row r="1323" spans="1:2">
      <c r="A1323" s="1">
        <v>44287</v>
      </c>
      <c r="B1323">
        <v>1.18</v>
      </c>
    </row>
    <row r="1324" spans="1:2">
      <c r="A1324" s="1">
        <v>44288</v>
      </c>
    </row>
    <row r="1325" spans="1:2">
      <c r="A1325" s="1">
        <v>44291</v>
      </c>
      <c r="B1325">
        <v>1.17</v>
      </c>
    </row>
    <row r="1326" spans="1:2">
      <c r="A1326" s="1">
        <v>44292</v>
      </c>
      <c r="B1326">
        <v>1.18</v>
      </c>
    </row>
    <row r="1327" spans="1:2">
      <c r="A1327" s="1">
        <v>44293</v>
      </c>
      <c r="B1327">
        <v>1.17</v>
      </c>
    </row>
    <row r="1328" spans="1:2">
      <c r="A1328" s="1">
        <v>44294</v>
      </c>
      <c r="B1328">
        <v>1.17</v>
      </c>
    </row>
    <row r="1329" spans="1:2">
      <c r="A1329" s="1">
        <v>44295</v>
      </c>
      <c r="B1329">
        <v>1.17</v>
      </c>
    </row>
    <row r="1330" spans="1:2">
      <c r="A1330" s="1">
        <v>44298</v>
      </c>
      <c r="B1330">
        <v>1.1599999999999999</v>
      </c>
    </row>
    <row r="1331" spans="1:2">
      <c r="A1331" s="1">
        <v>44299</v>
      </c>
      <c r="B1331">
        <v>1.17</v>
      </c>
    </row>
    <row r="1332" spans="1:2">
      <c r="A1332" s="1">
        <v>44300</v>
      </c>
      <c r="B1332">
        <v>1.1599999999999999</v>
      </c>
    </row>
    <row r="1333" spans="1:2">
      <c r="A1333" s="1">
        <v>44301</v>
      </c>
      <c r="B1333">
        <v>1.1599999999999999</v>
      </c>
    </row>
    <row r="1334" spans="1:2">
      <c r="A1334" s="1">
        <v>44302</v>
      </c>
      <c r="B1334">
        <v>1.17</v>
      </c>
    </row>
    <row r="1335" spans="1:2">
      <c r="A1335" s="1">
        <v>44305</v>
      </c>
      <c r="B1335">
        <v>1.18</v>
      </c>
    </row>
    <row r="1336" spans="1:2">
      <c r="A1336" s="1">
        <v>44306</v>
      </c>
      <c r="B1336">
        <v>1.19</v>
      </c>
    </row>
    <row r="1337" spans="1:2">
      <c r="A1337" s="1">
        <v>44307</v>
      </c>
      <c r="B1337">
        <v>1.19</v>
      </c>
    </row>
    <row r="1338" spans="1:2">
      <c r="A1338" s="1">
        <v>44308</v>
      </c>
      <c r="B1338">
        <v>1.18</v>
      </c>
    </row>
    <row r="1339" spans="1:2">
      <c r="A1339" s="1">
        <v>44309</v>
      </c>
      <c r="B1339">
        <v>1.17</v>
      </c>
    </row>
    <row r="1340" spans="1:2">
      <c r="A1340" s="1">
        <v>44312</v>
      </c>
      <c r="B1340">
        <v>1.17</v>
      </c>
    </row>
    <row r="1341" spans="1:2">
      <c r="A1341" s="1">
        <v>44313</v>
      </c>
      <c r="B1341">
        <v>1.1599999999999999</v>
      </c>
    </row>
    <row r="1342" spans="1:2">
      <c r="A1342" s="1">
        <v>44314</v>
      </c>
      <c r="B1342">
        <v>1.1599999999999999</v>
      </c>
    </row>
    <row r="1343" spans="1:2">
      <c r="A1343" s="1">
        <v>44315</v>
      </c>
      <c r="B1343">
        <v>1.1599999999999999</v>
      </c>
    </row>
    <row r="1344" spans="1:2">
      <c r="A1344" s="1">
        <v>44316</v>
      </c>
      <c r="B1344">
        <v>1.17</v>
      </c>
    </row>
    <row r="1345" spans="1:2">
      <c r="A1345" s="1">
        <v>44319</v>
      </c>
      <c r="B1345">
        <v>1.1599999999999999</v>
      </c>
    </row>
    <row r="1346" spans="1:2">
      <c r="A1346" s="1">
        <v>44320</v>
      </c>
      <c r="B1346">
        <v>1.17</v>
      </c>
    </row>
    <row r="1347" spans="1:2">
      <c r="A1347" s="1">
        <v>44321</v>
      </c>
      <c r="B1347">
        <v>1.1599999999999999</v>
      </c>
    </row>
    <row r="1348" spans="1:2">
      <c r="A1348" s="1">
        <v>44322</v>
      </c>
      <c r="B1348">
        <v>1.1599999999999999</v>
      </c>
    </row>
    <row r="1349" spans="1:2">
      <c r="A1349" s="1">
        <v>44323</v>
      </c>
      <c r="B1349">
        <v>1.1499999999999999</v>
      </c>
    </row>
    <row r="1350" spans="1:2">
      <c r="A1350" s="1">
        <v>44326</v>
      </c>
      <c r="B1350">
        <v>1.1499999999999999</v>
      </c>
    </row>
    <row r="1351" spans="1:2">
      <c r="A1351" s="1">
        <v>44327</v>
      </c>
      <c r="B1351">
        <v>1.1599999999999999</v>
      </c>
    </row>
    <row r="1352" spans="1:2">
      <c r="A1352" s="1">
        <v>44328</v>
      </c>
      <c r="B1352">
        <v>1.1499999999999999</v>
      </c>
    </row>
    <row r="1353" spans="1:2">
      <c r="A1353" s="1">
        <v>44329</v>
      </c>
      <c r="B1353">
        <v>1.1599999999999999</v>
      </c>
    </row>
    <row r="1354" spans="1:2">
      <c r="A1354" s="1">
        <v>44330</v>
      </c>
      <c r="B1354">
        <v>1.1499999999999999</v>
      </c>
    </row>
    <row r="1355" spans="1:2">
      <c r="A1355" s="1">
        <v>44333</v>
      </c>
      <c r="B1355">
        <v>1.1399999999999999</v>
      </c>
    </row>
    <row r="1356" spans="1:2">
      <c r="A1356" s="1">
        <v>44334</v>
      </c>
      <c r="B1356">
        <v>1.1399999999999999</v>
      </c>
    </row>
    <row r="1357" spans="1:2">
      <c r="A1357" s="1">
        <v>44335</v>
      </c>
      <c r="B1357">
        <v>1.1399999999999999</v>
      </c>
    </row>
    <row r="1358" spans="1:2">
      <c r="A1358" s="1">
        <v>44336</v>
      </c>
      <c r="B1358">
        <v>1.1399999999999999</v>
      </c>
    </row>
    <row r="1359" spans="1:2">
      <c r="A1359" s="1">
        <v>44337</v>
      </c>
      <c r="B1359">
        <v>1.1399999999999999</v>
      </c>
    </row>
    <row r="1360" spans="1:2">
      <c r="A1360" s="1">
        <v>44340</v>
      </c>
      <c r="B1360">
        <v>1.1299999999999999</v>
      </c>
    </row>
    <row r="1361" spans="1:2">
      <c r="A1361" s="1">
        <v>44341</v>
      </c>
      <c r="B1361">
        <v>1.1299999999999999</v>
      </c>
    </row>
    <row r="1362" spans="1:2">
      <c r="A1362" s="1">
        <v>44342</v>
      </c>
      <c r="B1362">
        <v>1.1299999999999999</v>
      </c>
    </row>
    <row r="1363" spans="1:2">
      <c r="A1363" s="1">
        <v>44343</v>
      </c>
      <c r="B1363">
        <v>1.1299999999999999</v>
      </c>
    </row>
    <row r="1364" spans="1:2">
      <c r="A1364" s="1">
        <v>44344</v>
      </c>
      <c r="B1364">
        <v>1.1200000000000001</v>
      </c>
    </row>
    <row r="1365" spans="1:2">
      <c r="A1365" s="1">
        <v>44347</v>
      </c>
      <c r="B1365">
        <v>1.1299999999999999</v>
      </c>
    </row>
    <row r="1366" spans="1:2">
      <c r="A1366" s="1">
        <v>44348</v>
      </c>
      <c r="B1366">
        <v>1.1299999999999999</v>
      </c>
    </row>
    <row r="1367" spans="1:2">
      <c r="A1367" s="1">
        <v>44349</v>
      </c>
      <c r="B1367">
        <v>1.1299999999999999</v>
      </c>
    </row>
    <row r="1368" spans="1:2">
      <c r="A1368" s="1">
        <v>44350</v>
      </c>
      <c r="B1368">
        <v>1.1299999999999999</v>
      </c>
    </row>
    <row r="1369" spans="1:2">
      <c r="A1369" s="1">
        <v>44351</v>
      </c>
      <c r="B1369">
        <v>1.1299999999999999</v>
      </c>
    </row>
    <row r="1370" spans="1:2">
      <c r="A1370" s="1">
        <v>44354</v>
      </c>
      <c r="B1370">
        <v>1.1299999999999999</v>
      </c>
    </row>
    <row r="1371" spans="1:2">
      <c r="A1371" s="1">
        <v>44355</v>
      </c>
      <c r="B1371">
        <v>1.1299999999999999</v>
      </c>
    </row>
    <row r="1372" spans="1:2">
      <c r="A1372" s="1">
        <v>44356</v>
      </c>
      <c r="B1372">
        <v>1.1299999999999999</v>
      </c>
    </row>
    <row r="1373" spans="1:2">
      <c r="A1373" s="1">
        <v>44357</v>
      </c>
      <c r="B1373">
        <v>1.1200000000000001</v>
      </c>
    </row>
    <row r="1374" spans="1:2">
      <c r="A1374" s="1">
        <v>44358</v>
      </c>
      <c r="B1374">
        <v>1.1100000000000001</v>
      </c>
    </row>
    <row r="1375" spans="1:2">
      <c r="A1375" s="1">
        <v>44361</v>
      </c>
      <c r="B1375">
        <v>1.1000000000000001</v>
      </c>
    </row>
    <row r="1376" spans="1:2">
      <c r="A1376" s="1">
        <v>44362</v>
      </c>
      <c r="B1376">
        <v>1.1000000000000001</v>
      </c>
    </row>
    <row r="1377" spans="1:2">
      <c r="A1377" s="1">
        <v>44363</v>
      </c>
      <c r="B1377">
        <v>1.08</v>
      </c>
    </row>
    <row r="1378" spans="1:2">
      <c r="A1378" s="1">
        <v>44364</v>
      </c>
      <c r="B1378">
        <v>1.08</v>
      </c>
    </row>
    <row r="1379" spans="1:2">
      <c r="A1379" s="1">
        <v>44365</v>
      </c>
      <c r="B1379">
        <v>1.08</v>
      </c>
    </row>
    <row r="1380" spans="1:2">
      <c r="A1380" s="1">
        <v>44368</v>
      </c>
      <c r="B1380">
        <v>1.08</v>
      </c>
    </row>
    <row r="1381" spans="1:2">
      <c r="A1381" s="1">
        <v>44369</v>
      </c>
      <c r="B1381">
        <v>1.08</v>
      </c>
    </row>
    <row r="1382" spans="1:2">
      <c r="A1382" s="1">
        <v>44370</v>
      </c>
      <c r="B1382">
        <v>1.0900000000000001</v>
      </c>
    </row>
    <row r="1383" spans="1:2">
      <c r="A1383" s="1">
        <v>44371</v>
      </c>
      <c r="B1383">
        <v>1.08</v>
      </c>
    </row>
    <row r="1384" spans="1:2">
      <c r="A1384" s="1">
        <v>44372</v>
      </c>
      <c r="B1384">
        <v>1.07</v>
      </c>
    </row>
    <row r="1385" spans="1:2">
      <c r="A1385" s="1">
        <v>44375</v>
      </c>
      <c r="B1385">
        <v>1.07</v>
      </c>
    </row>
    <row r="1386" spans="1:2">
      <c r="A1386" s="1">
        <v>44376</v>
      </c>
      <c r="B1386">
        <v>1.07</v>
      </c>
    </row>
    <row r="1387" spans="1:2">
      <c r="A1387" s="1">
        <v>44377</v>
      </c>
      <c r="B1387">
        <v>1.07</v>
      </c>
    </row>
    <row r="1388" spans="1:2">
      <c r="A1388" s="1">
        <v>44378</v>
      </c>
      <c r="B1388">
        <v>1.08</v>
      </c>
    </row>
    <row r="1389" spans="1:2">
      <c r="A1389" s="1">
        <v>44379</v>
      </c>
      <c r="B1389">
        <v>1.08</v>
      </c>
    </row>
    <row r="1390" spans="1:2">
      <c r="A1390" s="1">
        <v>44382</v>
      </c>
      <c r="B1390">
        <v>1.08</v>
      </c>
    </row>
    <row r="1391" spans="1:2">
      <c r="A1391" s="1">
        <v>44383</v>
      </c>
      <c r="B1391">
        <v>1.08</v>
      </c>
    </row>
    <row r="1392" spans="1:2">
      <c r="A1392" s="1">
        <v>44384</v>
      </c>
      <c r="B1392">
        <v>1.0900000000000001</v>
      </c>
    </row>
    <row r="1393" spans="1:2">
      <c r="A1393" s="1">
        <v>44385</v>
      </c>
      <c r="B1393">
        <v>1.1200000000000001</v>
      </c>
    </row>
    <row r="1394" spans="1:2">
      <c r="A1394" s="1">
        <v>44386</v>
      </c>
      <c r="B1394">
        <v>1.1100000000000001</v>
      </c>
    </row>
    <row r="1395" spans="1:2">
      <c r="A1395" s="1">
        <v>44389</v>
      </c>
      <c r="B1395">
        <v>1.1100000000000001</v>
      </c>
    </row>
    <row r="1396" spans="1:2">
      <c r="A1396" s="1">
        <v>44390</v>
      </c>
      <c r="B1396">
        <v>1.1000000000000001</v>
      </c>
    </row>
    <row r="1397" spans="1:2">
      <c r="A1397" s="1">
        <v>44391</v>
      </c>
      <c r="B1397">
        <v>1.1000000000000001</v>
      </c>
    </row>
    <row r="1398" spans="1:2">
      <c r="A1398" s="1">
        <v>44392</v>
      </c>
      <c r="B1398">
        <v>1.1100000000000001</v>
      </c>
    </row>
    <row r="1399" spans="1:2">
      <c r="A1399" s="1">
        <v>44393</v>
      </c>
      <c r="B1399">
        <v>1.1200000000000001</v>
      </c>
    </row>
    <row r="1400" spans="1:2">
      <c r="A1400" s="1">
        <v>44396</v>
      </c>
      <c r="B1400">
        <v>1.1399999999999999</v>
      </c>
    </row>
    <row r="1401" spans="1:2">
      <c r="A1401" s="1">
        <v>44397</v>
      </c>
      <c r="B1401">
        <v>1.1499999999999999</v>
      </c>
    </row>
    <row r="1402" spans="1:2">
      <c r="A1402" s="1">
        <v>44398</v>
      </c>
      <c r="B1402">
        <v>1.1399999999999999</v>
      </c>
    </row>
    <row r="1403" spans="1:2">
      <c r="A1403" s="1">
        <v>44399</v>
      </c>
      <c r="B1403">
        <v>1.1299999999999999</v>
      </c>
    </row>
    <row r="1404" spans="1:2">
      <c r="A1404" s="1">
        <v>44400</v>
      </c>
      <c r="B1404">
        <v>1.1299999999999999</v>
      </c>
    </row>
    <row r="1405" spans="1:2">
      <c r="A1405" s="1">
        <v>44403</v>
      </c>
      <c r="B1405">
        <v>1.1299999999999999</v>
      </c>
    </row>
    <row r="1406" spans="1:2">
      <c r="A1406" s="1">
        <v>44404</v>
      </c>
      <c r="B1406">
        <v>1.1299999999999999</v>
      </c>
    </row>
    <row r="1407" spans="1:2">
      <c r="A1407" s="1">
        <v>44405</v>
      </c>
      <c r="B1407">
        <v>1.1200000000000001</v>
      </c>
    </row>
    <row r="1408" spans="1:2">
      <c r="A1408" s="1">
        <v>44406</v>
      </c>
      <c r="B1408">
        <v>1.1200000000000001</v>
      </c>
    </row>
    <row r="1409" spans="1:2">
      <c r="A1409" s="1">
        <v>44407</v>
      </c>
      <c r="B1409">
        <v>1.1200000000000001</v>
      </c>
    </row>
    <row r="1410" spans="1:2">
      <c r="A1410" s="1">
        <v>44408</v>
      </c>
      <c r="B1410">
        <v>1.1299999999999999</v>
      </c>
    </row>
    <row r="1411" spans="1:2">
      <c r="A1411" s="1">
        <v>44410</v>
      </c>
      <c r="B1411">
        <v>1.1399999999999999</v>
      </c>
    </row>
    <row r="1412" spans="1:2">
      <c r="A1412" s="1">
        <v>44411</v>
      </c>
      <c r="B1412">
        <v>1.1499999999999999</v>
      </c>
    </row>
    <row r="1413" spans="1:2">
      <c r="A1413" s="1">
        <v>44412</v>
      </c>
      <c r="B1413">
        <v>1.1499999999999999</v>
      </c>
    </row>
    <row r="1414" spans="1:2">
      <c r="A1414" s="1">
        <v>44413</v>
      </c>
      <c r="B1414">
        <v>1.1499999999999999</v>
      </c>
    </row>
    <row r="1415" spans="1:2">
      <c r="A1415" s="1">
        <v>44414</v>
      </c>
      <c r="B1415">
        <v>1.1499999999999999</v>
      </c>
    </row>
    <row r="1416" spans="1:2">
      <c r="A1416" s="1">
        <v>44417</v>
      </c>
      <c r="B1416">
        <v>1.1499999999999999</v>
      </c>
    </row>
    <row r="1417" spans="1:2">
      <c r="A1417" s="1">
        <v>44418</v>
      </c>
      <c r="B1417">
        <v>1.1499999999999999</v>
      </c>
    </row>
    <row r="1418" spans="1:2">
      <c r="A1418" s="1">
        <v>44419</v>
      </c>
      <c r="B1418">
        <v>1.1499999999999999</v>
      </c>
    </row>
    <row r="1419" spans="1:2">
      <c r="A1419" s="1">
        <v>44420</v>
      </c>
      <c r="B1419">
        <v>1.1499999999999999</v>
      </c>
    </row>
    <row r="1420" spans="1:2">
      <c r="A1420" s="1">
        <v>44421</v>
      </c>
      <c r="B1420">
        <v>1.1399999999999999</v>
      </c>
    </row>
    <row r="1421" spans="1:2">
      <c r="A1421" s="1">
        <v>44424</v>
      </c>
      <c r="B1421">
        <v>1.1499999999999999</v>
      </c>
    </row>
    <row r="1422" spans="1:2">
      <c r="A1422" s="1">
        <v>44425</v>
      </c>
      <c r="B1422">
        <v>1.1499999999999999</v>
      </c>
    </row>
    <row r="1423" spans="1:2">
      <c r="A1423" s="1">
        <v>44426</v>
      </c>
      <c r="B1423">
        <v>1.1599999999999999</v>
      </c>
    </row>
    <row r="1424" spans="1:2">
      <c r="A1424" s="1">
        <v>44427</v>
      </c>
      <c r="B1424">
        <v>1.17</v>
      </c>
    </row>
    <row r="1425" spans="1:2">
      <c r="A1425" s="1">
        <v>44428</v>
      </c>
      <c r="B1425">
        <v>1.17</v>
      </c>
    </row>
    <row r="1426" spans="1:2">
      <c r="A1426" s="1">
        <v>44431</v>
      </c>
      <c r="B1426">
        <v>1.17</v>
      </c>
    </row>
    <row r="1427" spans="1:2">
      <c r="A1427" s="1">
        <v>44432</v>
      </c>
      <c r="B1427">
        <v>1.1599999999999999</v>
      </c>
    </row>
    <row r="1428" spans="1:2">
      <c r="A1428" s="1">
        <v>44433</v>
      </c>
      <c r="B1428">
        <v>1.1499999999999999</v>
      </c>
    </row>
    <row r="1429" spans="1:2">
      <c r="A1429" s="1">
        <v>44434</v>
      </c>
      <c r="B1429">
        <v>1.1399999999999999</v>
      </c>
    </row>
    <row r="1430" spans="1:2">
      <c r="A1430" s="1">
        <v>44435</v>
      </c>
      <c r="B1430">
        <v>1.1399999999999999</v>
      </c>
    </row>
    <row r="1431" spans="1:2">
      <c r="A1431" s="1">
        <v>44438</v>
      </c>
      <c r="B1431">
        <v>1.1399999999999999</v>
      </c>
    </row>
    <row r="1432" spans="1:2">
      <c r="A1432" s="1">
        <v>44439</v>
      </c>
      <c r="B1432">
        <v>1.1399999999999999</v>
      </c>
    </row>
    <row r="1433" spans="1:2">
      <c r="A1433" s="1">
        <v>44440</v>
      </c>
      <c r="B1433">
        <v>1.1399999999999999</v>
      </c>
    </row>
    <row r="1434" spans="1:2">
      <c r="A1434" s="1">
        <v>44441</v>
      </c>
      <c r="B1434">
        <v>1.1399999999999999</v>
      </c>
    </row>
    <row r="1435" spans="1:2">
      <c r="A1435" s="1">
        <v>44442</v>
      </c>
      <c r="B1435">
        <v>1.1299999999999999</v>
      </c>
    </row>
    <row r="1436" spans="1:2">
      <c r="A1436" s="1">
        <v>44445</v>
      </c>
      <c r="B1436">
        <v>1.1299999999999999</v>
      </c>
    </row>
    <row r="1437" spans="1:2">
      <c r="A1437" s="1">
        <v>44446</v>
      </c>
      <c r="B1437">
        <v>1.1299999999999999</v>
      </c>
    </row>
    <row r="1438" spans="1:2">
      <c r="A1438" s="1">
        <v>44447</v>
      </c>
      <c r="B1438">
        <v>1.1399999999999999</v>
      </c>
    </row>
    <row r="1439" spans="1:2">
      <c r="A1439" s="1">
        <v>44448</v>
      </c>
      <c r="B1439">
        <v>1.1299999999999999</v>
      </c>
    </row>
    <row r="1440" spans="1:2">
      <c r="A1440" s="1">
        <v>44449</v>
      </c>
      <c r="B1440">
        <v>1.1200000000000001</v>
      </c>
    </row>
    <row r="1441" spans="1:2">
      <c r="A1441" s="1">
        <v>44452</v>
      </c>
      <c r="B1441">
        <v>1.1200000000000001</v>
      </c>
    </row>
    <row r="1442" spans="1:2">
      <c r="A1442" s="1">
        <v>44453</v>
      </c>
      <c r="B1442">
        <v>1.1200000000000001</v>
      </c>
    </row>
    <row r="1443" spans="1:2">
      <c r="A1443" s="1">
        <v>44454</v>
      </c>
      <c r="B1443">
        <v>1.1200000000000001</v>
      </c>
    </row>
    <row r="1444" spans="1:2">
      <c r="A1444" s="1">
        <v>44455</v>
      </c>
      <c r="B1444">
        <v>1.1100000000000001</v>
      </c>
    </row>
    <row r="1445" spans="1:2">
      <c r="A1445" s="1">
        <v>44456</v>
      </c>
      <c r="B1445">
        <v>1.1000000000000001</v>
      </c>
    </row>
    <row r="1446" spans="1:2">
      <c r="A1446" s="1">
        <v>44459</v>
      </c>
      <c r="B1446">
        <v>1.1200000000000001</v>
      </c>
    </row>
    <row r="1447" spans="1:2">
      <c r="A1447" s="1">
        <v>44460</v>
      </c>
      <c r="B1447">
        <v>1.1200000000000001</v>
      </c>
    </row>
    <row r="1448" spans="1:2">
      <c r="A1448" s="1">
        <v>44461</v>
      </c>
      <c r="B1448">
        <v>1.1100000000000001</v>
      </c>
    </row>
    <row r="1449" spans="1:2">
      <c r="A1449" s="1">
        <v>44462</v>
      </c>
      <c r="B1449">
        <v>1.0900000000000001</v>
      </c>
    </row>
    <row r="1450" spans="1:2">
      <c r="A1450" s="1">
        <v>44463</v>
      </c>
      <c r="B1450">
        <v>1.08</v>
      </c>
    </row>
    <row r="1451" spans="1:2">
      <c r="A1451" s="1">
        <v>44466</v>
      </c>
      <c r="B1451">
        <v>1.07</v>
      </c>
    </row>
    <row r="1452" spans="1:2">
      <c r="A1452" s="1">
        <v>44467</v>
      </c>
      <c r="B1452">
        <v>1.08</v>
      </c>
    </row>
    <row r="1453" spans="1:2">
      <c r="A1453" s="1">
        <v>44468</v>
      </c>
      <c r="B1453">
        <v>1.07</v>
      </c>
    </row>
    <row r="1454" spans="1:2">
      <c r="A1454" s="1">
        <v>44469</v>
      </c>
      <c r="B1454">
        <v>1.1000000000000001</v>
      </c>
    </row>
    <row r="1455" spans="1:2">
      <c r="A1455" s="1">
        <v>44470</v>
      </c>
      <c r="B1455">
        <v>1.1000000000000001</v>
      </c>
    </row>
    <row r="1456" spans="1:2">
      <c r="A1456" s="1">
        <v>44473</v>
      </c>
      <c r="B1456">
        <v>1.1100000000000001</v>
      </c>
    </row>
    <row r="1457" spans="1:2">
      <c r="A1457" s="1">
        <v>44474</v>
      </c>
      <c r="B1457">
        <v>1.1000000000000001</v>
      </c>
    </row>
    <row r="1458" spans="1:2">
      <c r="A1458" s="1">
        <v>44475</v>
      </c>
      <c r="B1458">
        <v>1.1100000000000001</v>
      </c>
    </row>
    <row r="1459" spans="1:2">
      <c r="A1459" s="1">
        <v>44476</v>
      </c>
      <c r="B1459">
        <v>1.1100000000000001</v>
      </c>
    </row>
    <row r="1460" spans="1:2">
      <c r="A1460" s="1">
        <v>44477</v>
      </c>
      <c r="B1460">
        <v>1.1100000000000001</v>
      </c>
    </row>
    <row r="1461" spans="1:2">
      <c r="A1461" s="1">
        <v>44480</v>
      </c>
      <c r="B1461">
        <v>1.1100000000000001</v>
      </c>
    </row>
    <row r="1462" spans="1:2">
      <c r="A1462" s="1">
        <v>44481</v>
      </c>
      <c r="B1462">
        <v>1.1200000000000001</v>
      </c>
    </row>
    <row r="1463" spans="1:2">
      <c r="A1463" s="1">
        <v>44482</v>
      </c>
      <c r="B1463">
        <v>1.1200000000000001</v>
      </c>
    </row>
    <row r="1464" spans="1:2">
      <c r="A1464" s="1">
        <v>44483</v>
      </c>
      <c r="B1464">
        <v>1.1200000000000001</v>
      </c>
    </row>
    <row r="1465" spans="1:2">
      <c r="A1465" s="1">
        <v>44484</v>
      </c>
      <c r="B1465">
        <v>1.1000000000000001</v>
      </c>
    </row>
    <row r="1466" spans="1:2">
      <c r="A1466" s="1">
        <v>44487</v>
      </c>
      <c r="B1466">
        <v>1.1000000000000001</v>
      </c>
    </row>
    <row r="1467" spans="1:2">
      <c r="A1467" s="1">
        <v>44488</v>
      </c>
      <c r="B1467">
        <v>1.1000000000000001</v>
      </c>
    </row>
    <row r="1468" spans="1:2">
      <c r="A1468" s="1">
        <v>44489</v>
      </c>
      <c r="B1468">
        <v>1.1000000000000001</v>
      </c>
    </row>
    <row r="1469" spans="1:2">
      <c r="A1469" s="1">
        <v>44490</v>
      </c>
      <c r="B1469">
        <v>1.1000000000000001</v>
      </c>
    </row>
    <row r="1470" spans="1:2">
      <c r="A1470" s="1">
        <v>44491</v>
      </c>
      <c r="B1470">
        <v>1.1100000000000001</v>
      </c>
    </row>
    <row r="1471" spans="1:2">
      <c r="A1471" s="1">
        <v>44494</v>
      </c>
      <c r="B1471">
        <v>1.1000000000000001</v>
      </c>
    </row>
    <row r="1472" spans="1:2">
      <c r="A1472" s="1">
        <v>44495</v>
      </c>
      <c r="B1472">
        <v>1.1000000000000001</v>
      </c>
    </row>
    <row r="1473" spans="1:2">
      <c r="A1473" s="1">
        <v>44496</v>
      </c>
      <c r="B1473">
        <v>1.1000000000000001</v>
      </c>
    </row>
    <row r="1474" spans="1:2">
      <c r="A1474" s="1">
        <v>44497</v>
      </c>
      <c r="B1474">
        <v>1.1000000000000001</v>
      </c>
    </row>
    <row r="1475" spans="1:2">
      <c r="A1475" s="1">
        <v>44498</v>
      </c>
      <c r="B1475">
        <v>1.1000000000000001</v>
      </c>
    </row>
    <row r="1476" spans="1:2">
      <c r="A1476" s="1">
        <v>44500</v>
      </c>
      <c r="B1476">
        <v>1.1100000000000001</v>
      </c>
    </row>
    <row r="1477" spans="1:2">
      <c r="A1477" s="1">
        <v>44501</v>
      </c>
      <c r="B1477">
        <v>1.1200000000000001</v>
      </c>
    </row>
    <row r="1478" spans="1:2">
      <c r="A1478" s="1">
        <v>44502</v>
      </c>
      <c r="B1478">
        <v>1.1200000000000001</v>
      </c>
    </row>
    <row r="1479" spans="1:2">
      <c r="A1479" s="1">
        <v>44503</v>
      </c>
      <c r="B1479">
        <v>1.1200000000000001</v>
      </c>
    </row>
    <row r="1480" spans="1:2">
      <c r="A1480" s="1">
        <v>44504</v>
      </c>
      <c r="B1480">
        <v>1.1200000000000001</v>
      </c>
    </row>
    <row r="1481" spans="1:2">
      <c r="A1481" s="1">
        <v>44505</v>
      </c>
      <c r="B1481">
        <v>1.1100000000000001</v>
      </c>
    </row>
    <row r="1482" spans="1:2">
      <c r="A1482" s="1">
        <v>44508</v>
      </c>
      <c r="B1482">
        <v>1.1100000000000001</v>
      </c>
    </row>
    <row r="1483" spans="1:2">
      <c r="A1483" s="1">
        <v>44509</v>
      </c>
      <c r="B1483">
        <v>1.1200000000000001</v>
      </c>
    </row>
    <row r="1484" spans="1:2">
      <c r="A1484" s="1">
        <v>44510</v>
      </c>
      <c r="B1484">
        <v>1.1100000000000001</v>
      </c>
    </row>
    <row r="1485" spans="1:2">
      <c r="A1485" s="1">
        <v>44511</v>
      </c>
      <c r="B1485">
        <v>1.1100000000000001</v>
      </c>
    </row>
    <row r="1486" spans="1:2">
      <c r="A1486" s="1">
        <v>44512</v>
      </c>
      <c r="B1486">
        <v>1.1200000000000001</v>
      </c>
    </row>
    <row r="1487" spans="1:2">
      <c r="A1487" s="1">
        <v>44515</v>
      </c>
      <c r="B1487">
        <v>1.1200000000000001</v>
      </c>
    </row>
    <row r="1488" spans="1:2">
      <c r="A1488" s="1">
        <v>44516</v>
      </c>
      <c r="B1488">
        <v>1.1399999999999999</v>
      </c>
    </row>
    <row r="1489" spans="1:2">
      <c r="A1489" s="1">
        <v>44517</v>
      </c>
      <c r="B1489">
        <v>1.1499999999999999</v>
      </c>
    </row>
    <row r="1490" spans="1:2">
      <c r="A1490" s="1">
        <v>44518</v>
      </c>
      <c r="B1490">
        <v>1.1499999999999999</v>
      </c>
    </row>
    <row r="1491" spans="1:2">
      <c r="A1491" s="1">
        <v>44519</v>
      </c>
      <c r="B1491">
        <v>1.1499999999999999</v>
      </c>
    </row>
    <row r="1492" spans="1:2">
      <c r="A1492" s="1">
        <v>44522</v>
      </c>
      <c r="B1492">
        <v>1.1499999999999999</v>
      </c>
    </row>
    <row r="1493" spans="1:2">
      <c r="A1493" s="1">
        <v>44523</v>
      </c>
      <c r="B1493">
        <v>1.18</v>
      </c>
    </row>
    <row r="1494" spans="1:2">
      <c r="A1494" s="1">
        <v>44524</v>
      </c>
      <c r="B1494">
        <v>1.17</v>
      </c>
    </row>
    <row r="1495" spans="1:2">
      <c r="A1495" s="1">
        <v>44525</v>
      </c>
      <c r="B1495">
        <v>1.17</v>
      </c>
    </row>
    <row r="1496" spans="1:2">
      <c r="A1496" s="1">
        <v>44526</v>
      </c>
      <c r="B1496">
        <v>1.23</v>
      </c>
    </row>
    <row r="1497" spans="1:2">
      <c r="A1497" s="1">
        <v>44529</v>
      </c>
      <c r="B1497">
        <v>1.24</v>
      </c>
    </row>
    <row r="1498" spans="1:2">
      <c r="A1498" s="1">
        <v>44530</v>
      </c>
      <c r="B1498">
        <v>1.26</v>
      </c>
    </row>
    <row r="1499" spans="1:2">
      <c r="A1499" s="1">
        <v>44531</v>
      </c>
      <c r="B1499">
        <v>1.27</v>
      </c>
    </row>
    <row r="1500" spans="1:2">
      <c r="A1500" s="1">
        <v>44532</v>
      </c>
      <c r="B1500">
        <v>1.28</v>
      </c>
    </row>
    <row r="1501" spans="1:2">
      <c r="A1501" s="1">
        <v>44533</v>
      </c>
      <c r="B1501">
        <v>1.27</v>
      </c>
    </row>
    <row r="1502" spans="1:2">
      <c r="A1502" s="1">
        <v>44536</v>
      </c>
      <c r="B1502">
        <v>1.25</v>
      </c>
    </row>
    <row r="1503" spans="1:2">
      <c r="A1503" s="1">
        <v>44537</v>
      </c>
      <c r="B1503">
        <v>1.22</v>
      </c>
    </row>
    <row r="1504" spans="1:2">
      <c r="A1504" s="1">
        <v>44538</v>
      </c>
      <c r="B1504">
        <v>1.22</v>
      </c>
    </row>
    <row r="1505" spans="1:2">
      <c r="A1505" s="1">
        <v>44539</v>
      </c>
      <c r="B1505">
        <v>1.22</v>
      </c>
    </row>
    <row r="1506" spans="1:2">
      <c r="A1506" s="1">
        <v>44540</v>
      </c>
      <c r="B1506">
        <v>1.22</v>
      </c>
    </row>
    <row r="1507" spans="1:2">
      <c r="A1507" s="1">
        <v>44543</v>
      </c>
      <c r="B1507">
        <v>1.23</v>
      </c>
    </row>
    <row r="1508" spans="1:2">
      <c r="A1508" s="1">
        <v>44544</v>
      </c>
      <c r="B1508">
        <v>1.23</v>
      </c>
    </row>
    <row r="1509" spans="1:2">
      <c r="A1509" s="1">
        <v>44545</v>
      </c>
      <c r="B1509">
        <v>1.24</v>
      </c>
    </row>
    <row r="1510" spans="1:2">
      <c r="A1510" s="1">
        <v>44546</v>
      </c>
      <c r="B1510">
        <v>1.24</v>
      </c>
    </row>
    <row r="1511" spans="1:2">
      <c r="A1511" s="1">
        <v>44547</v>
      </c>
      <c r="B1511">
        <v>1.24</v>
      </c>
    </row>
    <row r="1512" spans="1:2">
      <c r="A1512" s="1">
        <v>44550</v>
      </c>
      <c r="B1512">
        <v>1.26</v>
      </c>
    </row>
    <row r="1513" spans="1:2">
      <c r="A1513" s="1">
        <v>44551</v>
      </c>
      <c r="B1513">
        <v>1.25</v>
      </c>
    </row>
    <row r="1514" spans="1:2">
      <c r="A1514" s="1">
        <v>44552</v>
      </c>
      <c r="B1514">
        <v>1.24</v>
      </c>
    </row>
    <row r="1515" spans="1:2">
      <c r="A1515" s="1">
        <v>44553</v>
      </c>
      <c r="B1515">
        <v>1.23</v>
      </c>
    </row>
    <row r="1516" spans="1:2">
      <c r="A1516" s="1">
        <v>44554</v>
      </c>
    </row>
    <row r="1517" spans="1:2">
      <c r="A1517" s="1">
        <v>44557</v>
      </c>
      <c r="B1517">
        <v>1.22</v>
      </c>
    </row>
    <row r="1518" spans="1:2">
      <c r="A1518" s="1">
        <v>44558</v>
      </c>
      <c r="B1518">
        <v>1.21</v>
      </c>
    </row>
    <row r="1519" spans="1:2">
      <c r="A1519" s="1">
        <v>44559</v>
      </c>
      <c r="B1519">
        <v>1.2</v>
      </c>
    </row>
    <row r="1520" spans="1:2">
      <c r="A1520" s="1">
        <v>44560</v>
      </c>
      <c r="B1520">
        <v>1.2</v>
      </c>
    </row>
    <row r="1521" spans="1:2">
      <c r="A1521" s="1">
        <v>44561</v>
      </c>
      <c r="B1521">
        <v>1.21</v>
      </c>
    </row>
    <row r="1522" spans="1:2">
      <c r="A1522" s="1">
        <v>44564</v>
      </c>
      <c r="B1522">
        <v>1.2</v>
      </c>
    </row>
    <row r="1523" spans="1:2">
      <c r="A1523" s="1">
        <v>44565</v>
      </c>
      <c r="B1523">
        <v>1.19</v>
      </c>
    </row>
    <row r="1524" spans="1:2">
      <c r="A1524" s="1">
        <v>44566</v>
      </c>
      <c r="B1524">
        <v>1.17</v>
      </c>
    </row>
    <row r="1525" spans="1:2">
      <c r="A1525" s="1">
        <v>44567</v>
      </c>
      <c r="B1525">
        <v>1.17</v>
      </c>
    </row>
    <row r="1526" spans="1:2">
      <c r="A1526" s="1">
        <v>44568</v>
      </c>
      <c r="B1526">
        <v>1.17</v>
      </c>
    </row>
    <row r="1527" spans="1:2">
      <c r="A1527" s="1">
        <v>44571</v>
      </c>
      <c r="B1527">
        <v>1.18</v>
      </c>
    </row>
    <row r="1528" spans="1:2">
      <c r="A1528" s="1">
        <v>44572</v>
      </c>
      <c r="B1528">
        <v>1.19</v>
      </c>
    </row>
    <row r="1529" spans="1:2">
      <c r="A1529" s="1">
        <v>44573</v>
      </c>
      <c r="B1529">
        <v>1.19</v>
      </c>
    </row>
    <row r="1530" spans="1:2">
      <c r="A1530" s="1">
        <v>44574</v>
      </c>
      <c r="B1530">
        <v>1.2</v>
      </c>
    </row>
    <row r="1531" spans="1:2">
      <c r="A1531" s="1">
        <v>44575</v>
      </c>
      <c r="B1531">
        <v>1.2</v>
      </c>
    </row>
    <row r="1532" spans="1:2">
      <c r="A1532" s="1">
        <v>44578</v>
      </c>
      <c r="B1532">
        <v>1.2</v>
      </c>
    </row>
    <row r="1533" spans="1:2">
      <c r="A1533" s="1">
        <v>44579</v>
      </c>
      <c r="B1533">
        <v>1.21</v>
      </c>
    </row>
    <row r="1534" spans="1:2">
      <c r="A1534" s="1">
        <v>44580</v>
      </c>
      <c r="B1534">
        <v>1.22</v>
      </c>
    </row>
    <row r="1535" spans="1:2">
      <c r="A1535" s="1">
        <v>44581</v>
      </c>
      <c r="B1535">
        <v>1.23</v>
      </c>
    </row>
    <row r="1536" spans="1:2">
      <c r="A1536" s="1">
        <v>44582</v>
      </c>
      <c r="B1536">
        <v>1.26</v>
      </c>
    </row>
    <row r="1537" spans="1:2">
      <c r="A1537" s="1">
        <v>44585</v>
      </c>
      <c r="B1537">
        <v>1.29</v>
      </c>
    </row>
    <row r="1538" spans="1:2">
      <c r="A1538" s="1">
        <v>44586</v>
      </c>
      <c r="B1538">
        <v>1.28</v>
      </c>
    </row>
    <row r="1539" spans="1:2">
      <c r="A1539" s="1">
        <v>44587</v>
      </c>
      <c r="B1539">
        <v>1.26</v>
      </c>
    </row>
    <row r="1540" spans="1:2">
      <c r="A1540" s="1">
        <v>44588</v>
      </c>
      <c r="B1540">
        <v>1.31</v>
      </c>
    </row>
    <row r="1541" spans="1:2">
      <c r="A1541" s="1">
        <v>44589</v>
      </c>
      <c r="B1541">
        <v>1.33</v>
      </c>
    </row>
    <row r="1542" spans="1:2">
      <c r="A1542" s="1">
        <v>44592</v>
      </c>
      <c r="B1542">
        <v>1.34</v>
      </c>
    </row>
    <row r="1543" spans="1:2">
      <c r="A1543" s="1">
        <v>44593</v>
      </c>
      <c r="B1543">
        <v>1.33</v>
      </c>
    </row>
    <row r="1544" spans="1:2">
      <c r="A1544" s="1">
        <v>44594</v>
      </c>
      <c r="B1544">
        <v>1.32</v>
      </c>
    </row>
    <row r="1545" spans="1:2">
      <c r="A1545" s="1">
        <v>44595</v>
      </c>
      <c r="B1545">
        <v>1.33</v>
      </c>
    </row>
    <row r="1546" spans="1:2">
      <c r="A1546" s="1">
        <v>44596</v>
      </c>
      <c r="B1546">
        <v>1.33</v>
      </c>
    </row>
    <row r="1547" spans="1:2">
      <c r="A1547" s="1">
        <v>44599</v>
      </c>
      <c r="B1547">
        <v>1.35</v>
      </c>
    </row>
    <row r="1548" spans="1:2">
      <c r="A1548" s="1">
        <v>44600</v>
      </c>
      <c r="B1548">
        <v>1.34</v>
      </c>
    </row>
    <row r="1549" spans="1:2">
      <c r="A1549" s="1">
        <v>44601</v>
      </c>
      <c r="B1549">
        <v>1.33</v>
      </c>
    </row>
    <row r="1550" spans="1:2">
      <c r="A1550" s="1">
        <v>44602</v>
      </c>
      <c r="B1550">
        <v>1.32</v>
      </c>
    </row>
    <row r="1551" spans="1:2">
      <c r="A1551" s="1">
        <v>44603</v>
      </c>
      <c r="B1551">
        <v>1.35</v>
      </c>
    </row>
    <row r="1552" spans="1:2">
      <c r="A1552" s="1">
        <v>44606</v>
      </c>
      <c r="B1552">
        <v>1.36</v>
      </c>
    </row>
    <row r="1553" spans="1:2">
      <c r="A1553" s="1">
        <v>44607</v>
      </c>
      <c r="B1553">
        <v>1.36</v>
      </c>
    </row>
    <row r="1554" spans="1:2">
      <c r="A1554" s="1">
        <v>44608</v>
      </c>
      <c r="B1554">
        <v>1.39</v>
      </c>
    </row>
    <row r="1555" spans="1:2">
      <c r="A1555" s="1">
        <v>44609</v>
      </c>
      <c r="B1555">
        <v>1.43</v>
      </c>
    </row>
    <row r="1556" spans="1:2">
      <c r="A1556" s="1">
        <v>44610</v>
      </c>
      <c r="B1556">
        <v>1.46</v>
      </c>
    </row>
    <row r="1557" spans="1:2">
      <c r="A1557" s="1">
        <v>44613</v>
      </c>
      <c r="B1557">
        <v>1.46</v>
      </c>
    </row>
    <row r="1558" spans="1:2">
      <c r="A1558" s="1">
        <v>44614</v>
      </c>
      <c r="B1558">
        <v>1.49</v>
      </c>
    </row>
    <row r="1559" spans="1:2">
      <c r="A1559" s="1">
        <v>44615</v>
      </c>
      <c r="B1559">
        <v>1.5</v>
      </c>
    </row>
    <row r="1560" spans="1:2">
      <c r="A1560" s="1">
        <v>44616</v>
      </c>
      <c r="B1560">
        <v>1.59</v>
      </c>
    </row>
    <row r="1561" spans="1:2">
      <c r="A1561" s="1">
        <v>44617</v>
      </c>
      <c r="B1561">
        <v>1.54</v>
      </c>
    </row>
    <row r="1562" spans="1:2">
      <c r="A1562" s="1">
        <v>44620</v>
      </c>
      <c r="B1562">
        <v>1.6</v>
      </c>
    </row>
    <row r="1563" spans="1:2">
      <c r="A1563" s="1">
        <v>44621</v>
      </c>
      <c r="B1563">
        <v>1.64</v>
      </c>
    </row>
    <row r="1564" spans="1:2">
      <c r="A1564" s="1">
        <v>44622</v>
      </c>
      <c r="B1564">
        <v>1.64</v>
      </c>
    </row>
    <row r="1565" spans="1:2">
      <c r="A1565" s="1">
        <v>44623</v>
      </c>
      <c r="B1565">
        <v>1.64</v>
      </c>
    </row>
    <row r="1566" spans="1:2">
      <c r="A1566" s="1">
        <v>44624</v>
      </c>
      <c r="B1566">
        <v>1.69</v>
      </c>
    </row>
    <row r="1567" spans="1:2">
      <c r="A1567" s="1">
        <v>44627</v>
      </c>
      <c r="B1567">
        <v>1.75</v>
      </c>
    </row>
    <row r="1568" spans="1:2">
      <c r="A1568" s="1">
        <v>44628</v>
      </c>
      <c r="B1568">
        <v>1.81</v>
      </c>
    </row>
    <row r="1569" spans="1:2">
      <c r="A1569" s="1">
        <v>44629</v>
      </c>
      <c r="B1569">
        <v>1.79</v>
      </c>
    </row>
    <row r="1570" spans="1:2">
      <c r="A1570" s="1">
        <v>44630</v>
      </c>
      <c r="B1570">
        <v>1.8</v>
      </c>
    </row>
    <row r="1571" spans="1:2">
      <c r="A1571" s="1">
        <v>44631</v>
      </c>
      <c r="B1571">
        <v>1.82</v>
      </c>
    </row>
    <row r="1572" spans="1:2">
      <c r="A1572" s="1">
        <v>44634</v>
      </c>
      <c r="B1572">
        <v>1.84</v>
      </c>
    </row>
    <row r="1573" spans="1:2">
      <c r="A1573" s="1">
        <v>44635</v>
      </c>
      <c r="B1573">
        <v>1.85</v>
      </c>
    </row>
    <row r="1574" spans="1:2">
      <c r="A1574" s="1">
        <v>44636</v>
      </c>
      <c r="B1574">
        <v>1.79</v>
      </c>
    </row>
    <row r="1575" spans="1:2">
      <c r="A1575" s="1">
        <v>44637</v>
      </c>
      <c r="B1575">
        <v>1.71</v>
      </c>
    </row>
    <row r="1576" spans="1:2">
      <c r="A1576" s="1">
        <v>44638</v>
      </c>
      <c r="B1576">
        <v>1.69</v>
      </c>
    </row>
    <row r="1577" spans="1:2">
      <c r="A1577" s="1">
        <v>44641</v>
      </c>
      <c r="B1577">
        <v>1.65</v>
      </c>
    </row>
    <row r="1578" spans="1:2">
      <c r="A1578" s="1">
        <v>44642</v>
      </c>
      <c r="B1578">
        <v>1.63</v>
      </c>
    </row>
    <row r="1579" spans="1:2">
      <c r="A1579" s="1">
        <v>44643</v>
      </c>
      <c r="B1579">
        <v>1.63</v>
      </c>
    </row>
    <row r="1580" spans="1:2">
      <c r="A1580" s="1">
        <v>44644</v>
      </c>
      <c r="B1580">
        <v>1.64</v>
      </c>
    </row>
    <row r="1581" spans="1:2">
      <c r="A1581" s="1">
        <v>44645</v>
      </c>
      <c r="B1581">
        <v>1.61</v>
      </c>
    </row>
    <row r="1582" spans="1:2">
      <c r="A1582" s="1">
        <v>44648</v>
      </c>
      <c r="B1582">
        <v>1.61</v>
      </c>
    </row>
    <row r="1583" spans="1:2">
      <c r="A1583" s="1">
        <v>44649</v>
      </c>
      <c r="B1583">
        <v>1.57</v>
      </c>
    </row>
    <row r="1584" spans="1:2">
      <c r="A1584" s="1">
        <v>44650</v>
      </c>
      <c r="B1584">
        <v>1.56</v>
      </c>
    </row>
    <row r="1585" spans="1:2">
      <c r="A1585" s="1">
        <v>44651</v>
      </c>
      <c r="B1585">
        <v>1.49</v>
      </c>
    </row>
    <row r="1586" spans="1:2">
      <c r="A1586" s="1">
        <v>44652</v>
      </c>
      <c r="B1586">
        <v>1.47</v>
      </c>
    </row>
    <row r="1587" spans="1:2">
      <c r="A1587" s="1">
        <v>44655</v>
      </c>
      <c r="B1587">
        <v>1.44</v>
      </c>
    </row>
    <row r="1588" spans="1:2">
      <c r="A1588" s="1">
        <v>44656</v>
      </c>
      <c r="B1588">
        <v>1.42</v>
      </c>
    </row>
    <row r="1589" spans="1:2">
      <c r="A1589" s="1">
        <v>44657</v>
      </c>
      <c r="B1589">
        <v>1.44</v>
      </c>
    </row>
    <row r="1590" spans="1:2">
      <c r="A1590" s="1">
        <v>44658</v>
      </c>
      <c r="B1590">
        <v>1.45</v>
      </c>
    </row>
    <row r="1591" spans="1:2">
      <c r="A1591" s="1">
        <v>44659</v>
      </c>
      <c r="B1591">
        <v>1.46</v>
      </c>
    </row>
    <row r="1592" spans="1:2">
      <c r="A1592" s="1">
        <v>44662</v>
      </c>
      <c r="B1592">
        <v>1.5</v>
      </c>
    </row>
    <row r="1593" spans="1:2">
      <c r="A1593" s="1">
        <v>44663</v>
      </c>
      <c r="B1593">
        <v>1.52</v>
      </c>
    </row>
    <row r="1594" spans="1:2">
      <c r="A1594" s="1">
        <v>44664</v>
      </c>
      <c r="B1594">
        <v>1.55</v>
      </c>
    </row>
    <row r="1595" spans="1:2">
      <c r="A1595" s="1">
        <v>44665</v>
      </c>
      <c r="B1595">
        <v>1.54</v>
      </c>
    </row>
    <row r="1596" spans="1:2">
      <c r="A1596" s="1">
        <v>44666</v>
      </c>
    </row>
    <row r="1597" spans="1:2">
      <c r="A1597" s="1">
        <v>44669</v>
      </c>
      <c r="B1597">
        <v>1.54</v>
      </c>
    </row>
    <row r="1598" spans="1:2">
      <c r="A1598" s="1">
        <v>44670</v>
      </c>
      <c r="B1598">
        <v>1.55</v>
      </c>
    </row>
    <row r="1599" spans="1:2">
      <c r="A1599" s="1">
        <v>44671</v>
      </c>
      <c r="B1599">
        <v>1.56</v>
      </c>
    </row>
    <row r="1600" spans="1:2">
      <c r="A1600" s="1">
        <v>44672</v>
      </c>
      <c r="B1600">
        <v>1.57</v>
      </c>
    </row>
    <row r="1601" spans="1:2">
      <c r="A1601" s="1">
        <v>44673</v>
      </c>
      <c r="B1601">
        <v>1.61</v>
      </c>
    </row>
    <row r="1602" spans="1:2">
      <c r="A1602" s="1">
        <v>44676</v>
      </c>
      <c r="B1602">
        <v>1.64</v>
      </c>
    </row>
    <row r="1603" spans="1:2">
      <c r="A1603" s="1">
        <v>44677</v>
      </c>
      <c r="B1603">
        <v>1.65</v>
      </c>
    </row>
    <row r="1604" spans="1:2">
      <c r="A1604" s="1">
        <v>44678</v>
      </c>
      <c r="B1604">
        <v>1.68</v>
      </c>
    </row>
    <row r="1605" spans="1:2">
      <c r="A1605" s="1">
        <v>44679</v>
      </c>
      <c r="B1605">
        <v>1.67</v>
      </c>
    </row>
    <row r="1606" spans="1:2">
      <c r="A1606" s="1">
        <v>44680</v>
      </c>
      <c r="B1606">
        <v>1.69</v>
      </c>
    </row>
    <row r="1607" spans="1:2">
      <c r="A1607" s="1">
        <v>44681</v>
      </c>
      <c r="B1607">
        <v>1.71</v>
      </c>
    </row>
    <row r="1608" spans="1:2">
      <c r="A1608" s="1">
        <v>44683</v>
      </c>
      <c r="B1608">
        <v>1.72</v>
      </c>
    </row>
    <row r="1609" spans="1:2">
      <c r="A1609" s="1">
        <v>44684</v>
      </c>
      <c r="B1609">
        <v>1.71</v>
      </c>
    </row>
    <row r="1610" spans="1:2">
      <c r="A1610" s="1">
        <v>44685</v>
      </c>
      <c r="B1610">
        <v>1.71</v>
      </c>
    </row>
    <row r="1611" spans="1:2">
      <c r="A1611" s="1">
        <v>44686</v>
      </c>
      <c r="B1611">
        <v>1.7</v>
      </c>
    </row>
    <row r="1612" spans="1:2">
      <c r="A1612" s="1">
        <v>44687</v>
      </c>
      <c r="B1612">
        <v>1.71</v>
      </c>
    </row>
    <row r="1613" spans="1:2">
      <c r="A1613" s="1">
        <v>44690</v>
      </c>
      <c r="B1613">
        <v>1.75</v>
      </c>
    </row>
    <row r="1614" spans="1:2">
      <c r="A1614" s="1">
        <v>44691</v>
      </c>
      <c r="B1614">
        <v>1.77</v>
      </c>
    </row>
    <row r="1615" spans="1:2">
      <c r="A1615" s="1">
        <v>44692</v>
      </c>
      <c r="B1615">
        <v>1.77</v>
      </c>
    </row>
    <row r="1616" spans="1:2">
      <c r="A1616" s="1">
        <v>44693</v>
      </c>
      <c r="B1616">
        <v>1.8</v>
      </c>
    </row>
    <row r="1617" spans="1:2">
      <c r="A1617" s="1">
        <v>44694</v>
      </c>
      <c r="B1617">
        <v>1.8</v>
      </c>
    </row>
    <row r="1618" spans="1:2">
      <c r="A1618" s="1">
        <v>44697</v>
      </c>
      <c r="B1618">
        <v>1.82</v>
      </c>
    </row>
    <row r="1619" spans="1:2">
      <c r="A1619" s="1">
        <v>44698</v>
      </c>
      <c r="B1619">
        <v>1.82</v>
      </c>
    </row>
    <row r="1620" spans="1:2">
      <c r="A1620" s="1">
        <v>44699</v>
      </c>
      <c r="B1620">
        <v>1.86</v>
      </c>
    </row>
    <row r="1621" spans="1:2">
      <c r="A1621" s="1">
        <v>44700</v>
      </c>
      <c r="B1621">
        <v>1.88</v>
      </c>
    </row>
    <row r="1622" spans="1:2">
      <c r="A1622" s="1">
        <v>44701</v>
      </c>
      <c r="B1622">
        <v>1.89</v>
      </c>
    </row>
    <row r="1623" spans="1:2">
      <c r="A1623" s="1">
        <v>44704</v>
      </c>
      <c r="B1623">
        <v>1.87</v>
      </c>
    </row>
    <row r="1624" spans="1:2">
      <c r="A1624" s="1">
        <v>44705</v>
      </c>
      <c r="B1624">
        <v>1.88</v>
      </c>
    </row>
    <row r="1625" spans="1:2">
      <c r="A1625" s="1">
        <v>44706</v>
      </c>
      <c r="B1625">
        <v>1.83</v>
      </c>
    </row>
    <row r="1626" spans="1:2">
      <c r="A1626" s="1">
        <v>44707</v>
      </c>
      <c r="B1626">
        <v>1.78</v>
      </c>
    </row>
    <row r="1627" spans="1:2">
      <c r="A1627" s="1">
        <v>44708</v>
      </c>
      <c r="B1627">
        <v>1.75</v>
      </c>
    </row>
    <row r="1628" spans="1:2">
      <c r="A1628" s="1">
        <v>44711</v>
      </c>
      <c r="B1628">
        <v>1.76</v>
      </c>
    </row>
    <row r="1629" spans="1:2">
      <c r="A1629" s="1">
        <v>44712</v>
      </c>
      <c r="B1629">
        <v>1.73</v>
      </c>
    </row>
    <row r="1630" spans="1:2">
      <c r="A1630" s="1">
        <v>44713</v>
      </c>
      <c r="B1630">
        <v>1.7</v>
      </c>
    </row>
    <row r="1631" spans="1:2">
      <c r="A1631" s="1">
        <v>44714</v>
      </c>
      <c r="B1631">
        <v>1.71</v>
      </c>
    </row>
    <row r="1632" spans="1:2">
      <c r="A1632" s="1">
        <v>44715</v>
      </c>
      <c r="B1632">
        <v>1.71</v>
      </c>
    </row>
    <row r="1633" spans="1:2">
      <c r="A1633" s="1">
        <v>44718</v>
      </c>
      <c r="B1633">
        <v>1.69</v>
      </c>
    </row>
    <row r="1634" spans="1:2">
      <c r="A1634" s="1">
        <v>44719</v>
      </c>
      <c r="B1634">
        <v>1.71</v>
      </c>
    </row>
    <row r="1635" spans="1:2">
      <c r="A1635" s="1">
        <v>44720</v>
      </c>
      <c r="B1635">
        <v>1.69</v>
      </c>
    </row>
    <row r="1636" spans="1:2">
      <c r="A1636" s="1">
        <v>44721</v>
      </c>
      <c r="B1636">
        <v>1.71</v>
      </c>
    </row>
    <row r="1637" spans="1:2">
      <c r="A1637" s="1">
        <v>44722</v>
      </c>
      <c r="B1637">
        <v>1.75</v>
      </c>
    </row>
    <row r="1638" spans="1:2">
      <c r="A1638" s="1">
        <v>44725</v>
      </c>
      <c r="B1638">
        <v>1.8</v>
      </c>
    </row>
    <row r="1639" spans="1:2">
      <c r="A1639" s="1">
        <v>44726</v>
      </c>
      <c r="B1639">
        <v>1.8</v>
      </c>
    </row>
    <row r="1640" spans="1:2">
      <c r="A1640" s="1">
        <v>44727</v>
      </c>
      <c r="B1640">
        <v>1.8</v>
      </c>
    </row>
    <row r="1641" spans="1:2">
      <c r="A1641" s="1">
        <v>44728</v>
      </c>
      <c r="B1641">
        <v>1.85</v>
      </c>
    </row>
    <row r="1642" spans="1:2">
      <c r="A1642" s="1">
        <v>44729</v>
      </c>
      <c r="B1642">
        <v>1.86</v>
      </c>
    </row>
    <row r="1643" spans="1:2">
      <c r="A1643" s="1">
        <v>44732</v>
      </c>
      <c r="B1643">
        <v>1.86</v>
      </c>
    </row>
    <row r="1644" spans="1:2">
      <c r="A1644" s="1">
        <v>44733</v>
      </c>
      <c r="B1644">
        <v>1.85</v>
      </c>
    </row>
    <row r="1645" spans="1:2">
      <c r="A1645" s="1">
        <v>44734</v>
      </c>
      <c r="B1645">
        <v>1.91</v>
      </c>
    </row>
    <row r="1646" spans="1:2">
      <c r="A1646" s="1">
        <v>44735</v>
      </c>
      <c r="B1646">
        <v>1.94</v>
      </c>
    </row>
    <row r="1647" spans="1:2">
      <c r="A1647" s="1">
        <v>44736</v>
      </c>
      <c r="B1647">
        <v>1.92</v>
      </c>
    </row>
    <row r="1648" spans="1:2">
      <c r="A1648" s="1">
        <v>44739</v>
      </c>
      <c r="B1648">
        <v>1.91</v>
      </c>
    </row>
    <row r="1649" spans="1:2">
      <c r="A1649" s="1">
        <v>44740</v>
      </c>
      <c r="B1649">
        <v>1.94</v>
      </c>
    </row>
    <row r="1650" spans="1:2">
      <c r="A1650" s="1">
        <v>44741</v>
      </c>
      <c r="B1650">
        <v>1.97</v>
      </c>
    </row>
    <row r="1651" spans="1:2">
      <c r="A1651" s="1">
        <v>44742</v>
      </c>
      <c r="B1651">
        <v>2.04</v>
      </c>
    </row>
    <row r="1652" spans="1:2">
      <c r="A1652" s="1">
        <v>44743</v>
      </c>
      <c r="B1652">
        <v>2.0499999999999998</v>
      </c>
    </row>
    <row r="1653" spans="1:2">
      <c r="A1653" s="1">
        <v>44746</v>
      </c>
      <c r="B1653">
        <v>2.0499999999999998</v>
      </c>
    </row>
    <row r="1654" spans="1:2">
      <c r="A1654" s="1">
        <v>44747</v>
      </c>
      <c r="B1654">
        <v>2.08</v>
      </c>
    </row>
    <row r="1655" spans="1:2">
      <c r="A1655" s="1">
        <v>44748</v>
      </c>
      <c r="B1655">
        <v>2.06</v>
      </c>
    </row>
    <row r="1656" spans="1:2">
      <c r="A1656" s="1">
        <v>44749</v>
      </c>
      <c r="B1656">
        <v>2</v>
      </c>
    </row>
    <row r="1657" spans="1:2">
      <c r="A1657" s="1">
        <v>44750</v>
      </c>
      <c r="B1657">
        <v>1.97</v>
      </c>
    </row>
    <row r="1658" spans="1:2">
      <c r="A1658" s="1">
        <v>44753</v>
      </c>
      <c r="B1658">
        <v>1.99</v>
      </c>
    </row>
    <row r="1659" spans="1:2">
      <c r="A1659" s="1">
        <v>44754</v>
      </c>
      <c r="B1659">
        <v>1.99</v>
      </c>
    </row>
    <row r="1660" spans="1:2">
      <c r="A1660" s="1">
        <v>44755</v>
      </c>
      <c r="B1660">
        <v>2</v>
      </c>
    </row>
    <row r="1661" spans="1:2">
      <c r="A1661" s="1">
        <v>44756</v>
      </c>
      <c r="B1661">
        <v>2.0099999999999998</v>
      </c>
    </row>
    <row r="1662" spans="1:2">
      <c r="A1662" s="1">
        <v>44757</v>
      </c>
      <c r="B1662">
        <v>1.99</v>
      </c>
    </row>
    <row r="1663" spans="1:2">
      <c r="A1663" s="1">
        <v>44760</v>
      </c>
      <c r="B1663">
        <v>1.96</v>
      </c>
    </row>
    <row r="1664" spans="1:2">
      <c r="A1664" s="1">
        <v>44761</v>
      </c>
      <c r="B1664">
        <v>1.94</v>
      </c>
    </row>
    <row r="1665" spans="1:2">
      <c r="A1665" s="1">
        <v>44762</v>
      </c>
      <c r="B1665">
        <v>1.92</v>
      </c>
    </row>
    <row r="1666" spans="1:2">
      <c r="A1666" s="1">
        <v>44763</v>
      </c>
      <c r="B1666">
        <v>1.92</v>
      </c>
    </row>
    <row r="1667" spans="1:2">
      <c r="A1667" s="1">
        <v>44764</v>
      </c>
      <c r="B1667">
        <v>1.92</v>
      </c>
    </row>
    <row r="1668" spans="1:2">
      <c r="A1668" s="1">
        <v>44767</v>
      </c>
      <c r="B1668">
        <v>1.94</v>
      </c>
    </row>
    <row r="1669" spans="1:2">
      <c r="A1669" s="1">
        <v>44768</v>
      </c>
      <c r="B1669">
        <v>1.96</v>
      </c>
    </row>
    <row r="1670" spans="1:2">
      <c r="A1670" s="1">
        <v>44769</v>
      </c>
      <c r="B1670">
        <v>1.95</v>
      </c>
    </row>
    <row r="1671" spans="1:2">
      <c r="A1671" s="1">
        <v>44770</v>
      </c>
      <c r="B1671">
        <v>1.94</v>
      </c>
    </row>
    <row r="1672" spans="1:2">
      <c r="A1672" s="1">
        <v>44771</v>
      </c>
      <c r="B1672">
        <v>1.91</v>
      </c>
    </row>
    <row r="1673" spans="1:2">
      <c r="A1673" s="1">
        <v>44773</v>
      </c>
      <c r="B1673">
        <v>1.92</v>
      </c>
    </row>
    <row r="1674" spans="1:2">
      <c r="A1674" s="1">
        <v>44774</v>
      </c>
      <c r="B1674">
        <v>1.91</v>
      </c>
    </row>
    <row r="1675" spans="1:2">
      <c r="A1675" s="1">
        <v>44775</v>
      </c>
      <c r="B1675">
        <v>1.89</v>
      </c>
    </row>
    <row r="1676" spans="1:2">
      <c r="A1676" s="1">
        <v>44776</v>
      </c>
      <c r="B1676">
        <v>1.88</v>
      </c>
    </row>
    <row r="1677" spans="1:2">
      <c r="A1677" s="1">
        <v>44777</v>
      </c>
      <c r="B1677">
        <v>1.88</v>
      </c>
    </row>
    <row r="1678" spans="1:2">
      <c r="A1678" s="1">
        <v>44778</v>
      </c>
      <c r="B1678">
        <v>1.86</v>
      </c>
    </row>
    <row r="1679" spans="1:2">
      <c r="A1679" s="1">
        <v>44781</v>
      </c>
      <c r="B1679">
        <v>1.86</v>
      </c>
    </row>
    <row r="1680" spans="1:2">
      <c r="A1680" s="1">
        <v>44782</v>
      </c>
      <c r="B1680">
        <v>1.87</v>
      </c>
    </row>
    <row r="1681" spans="1:2">
      <c r="A1681" s="1">
        <v>44783</v>
      </c>
      <c r="B1681">
        <v>1.83</v>
      </c>
    </row>
    <row r="1682" spans="1:2">
      <c r="A1682" s="1">
        <v>44784</v>
      </c>
      <c r="B1682">
        <v>1.79</v>
      </c>
    </row>
    <row r="1683" spans="1:2">
      <c r="A1683" s="1">
        <v>44785</v>
      </c>
      <c r="B1683">
        <v>1.77</v>
      </c>
    </row>
    <row r="1684" spans="1:2">
      <c r="A1684" s="1">
        <v>44788</v>
      </c>
      <c r="B1684">
        <v>1.76</v>
      </c>
    </row>
    <row r="1685" spans="1:2">
      <c r="A1685" s="1">
        <v>44789</v>
      </c>
      <c r="B1685">
        <v>1.75</v>
      </c>
    </row>
    <row r="1686" spans="1:2">
      <c r="A1686" s="1">
        <v>44790</v>
      </c>
      <c r="B1686">
        <v>1.76</v>
      </c>
    </row>
    <row r="1687" spans="1:2">
      <c r="A1687" s="1">
        <v>44791</v>
      </c>
      <c r="B1687">
        <v>1.76</v>
      </c>
    </row>
    <row r="1688" spans="1:2">
      <c r="A1688" s="1">
        <v>44792</v>
      </c>
      <c r="B1688">
        <v>1.78</v>
      </c>
    </row>
    <row r="1689" spans="1:2">
      <c r="A1689" s="1">
        <v>44795</v>
      </c>
      <c r="B1689">
        <v>1.8</v>
      </c>
    </row>
    <row r="1690" spans="1:2">
      <c r="A1690" s="1">
        <v>44796</v>
      </c>
      <c r="B1690">
        <v>1.81</v>
      </c>
    </row>
    <row r="1691" spans="1:2">
      <c r="A1691" s="1">
        <v>44797</v>
      </c>
      <c r="B1691">
        <v>1.8</v>
      </c>
    </row>
    <row r="1692" spans="1:2">
      <c r="A1692" s="1">
        <v>44798</v>
      </c>
      <c r="B1692">
        <v>1.78</v>
      </c>
    </row>
    <row r="1693" spans="1:2">
      <c r="A1693" s="1">
        <v>44799</v>
      </c>
      <c r="B1693">
        <v>1.78</v>
      </c>
    </row>
    <row r="1694" spans="1:2">
      <c r="A1694" s="1">
        <v>44802</v>
      </c>
      <c r="B1694">
        <v>1.81</v>
      </c>
    </row>
    <row r="1695" spans="1:2">
      <c r="A1695" s="1">
        <v>44803</v>
      </c>
      <c r="B1695">
        <v>1.82</v>
      </c>
    </row>
    <row r="1696" spans="1:2">
      <c r="A1696" s="1">
        <v>44804</v>
      </c>
      <c r="B1696">
        <v>1.85</v>
      </c>
    </row>
    <row r="1697" spans="1:2">
      <c r="A1697" s="1">
        <v>44805</v>
      </c>
      <c r="B1697">
        <v>1.88</v>
      </c>
    </row>
    <row r="1698" spans="1:2">
      <c r="A1698" s="1">
        <v>44806</v>
      </c>
      <c r="B1698">
        <v>1.88</v>
      </c>
    </row>
    <row r="1699" spans="1:2">
      <c r="A1699" s="1">
        <v>44809</v>
      </c>
      <c r="B1699">
        <v>1.88</v>
      </c>
    </row>
    <row r="1700" spans="1:2">
      <c r="A1700" s="1">
        <v>44810</v>
      </c>
      <c r="B1700">
        <v>1.88</v>
      </c>
    </row>
    <row r="1701" spans="1:2">
      <c r="A1701" s="1">
        <v>44811</v>
      </c>
      <c r="B1701">
        <v>1.88</v>
      </c>
    </row>
    <row r="1702" spans="1:2">
      <c r="A1702" s="1">
        <v>44812</v>
      </c>
      <c r="B1702">
        <v>1.86</v>
      </c>
    </row>
    <row r="1703" spans="1:2">
      <c r="A1703" s="1">
        <v>44813</v>
      </c>
      <c r="B1703">
        <v>1.83</v>
      </c>
    </row>
    <row r="1704" spans="1:2">
      <c r="A1704" s="1">
        <v>44816</v>
      </c>
      <c r="B1704">
        <v>1.82</v>
      </c>
    </row>
    <row r="1705" spans="1:2">
      <c r="A1705" s="1">
        <v>44817</v>
      </c>
      <c r="B1705">
        <v>1.83</v>
      </c>
    </row>
    <row r="1706" spans="1:2">
      <c r="A1706" s="1">
        <v>44818</v>
      </c>
      <c r="B1706">
        <v>1.82</v>
      </c>
    </row>
    <row r="1707" spans="1:2">
      <c r="A1707" s="1">
        <v>44819</v>
      </c>
      <c r="B1707">
        <v>1.81</v>
      </c>
    </row>
    <row r="1708" spans="1:2">
      <c r="A1708" s="1">
        <v>44820</v>
      </c>
      <c r="B1708">
        <v>1.84</v>
      </c>
    </row>
    <row r="1709" spans="1:2">
      <c r="A1709" s="1">
        <v>44823</v>
      </c>
      <c r="B1709">
        <v>1.84</v>
      </c>
    </row>
    <row r="1710" spans="1:2">
      <c r="A1710" s="1">
        <v>44824</v>
      </c>
      <c r="B1710">
        <v>1.83</v>
      </c>
    </row>
    <row r="1711" spans="1:2">
      <c r="A1711" s="1">
        <v>44825</v>
      </c>
      <c r="B1711">
        <v>1.83</v>
      </c>
    </row>
    <row r="1712" spans="1:2">
      <c r="A1712" s="1">
        <v>44826</v>
      </c>
      <c r="B1712">
        <v>1.84</v>
      </c>
    </row>
    <row r="1713" spans="1:2">
      <c r="A1713" s="1">
        <v>44827</v>
      </c>
      <c r="B1713">
        <v>1.87</v>
      </c>
    </row>
    <row r="1714" spans="1:2">
      <c r="A1714" s="1">
        <v>44830</v>
      </c>
      <c r="B1714">
        <v>1.91</v>
      </c>
    </row>
    <row r="1715" spans="1:2">
      <c r="A1715" s="1">
        <v>44831</v>
      </c>
      <c r="B1715">
        <v>1.95</v>
      </c>
    </row>
    <row r="1716" spans="1:2">
      <c r="A1716" s="1">
        <v>44832</v>
      </c>
      <c r="B1716">
        <v>2.06</v>
      </c>
    </row>
    <row r="1717" spans="1:2">
      <c r="A1717" s="1">
        <v>44833</v>
      </c>
      <c r="B1717">
        <v>2.0699999999999998</v>
      </c>
    </row>
    <row r="1718" spans="1:2">
      <c r="A1718" s="1">
        <v>44834</v>
      </c>
      <c r="B1718">
        <v>2.06</v>
      </c>
    </row>
    <row r="1719" spans="1:2">
      <c r="A1719" s="1">
        <v>44837</v>
      </c>
      <c r="B1719">
        <v>2.0299999999999998</v>
      </c>
    </row>
    <row r="1720" spans="1:2">
      <c r="A1720" s="1">
        <v>44838</v>
      </c>
      <c r="B1720">
        <v>1.99</v>
      </c>
    </row>
    <row r="1721" spans="1:2">
      <c r="A1721" s="1">
        <v>44839</v>
      </c>
      <c r="B1721">
        <v>1.99</v>
      </c>
    </row>
    <row r="1722" spans="1:2">
      <c r="A1722" s="1">
        <v>44840</v>
      </c>
      <c r="B1722">
        <v>1.96</v>
      </c>
    </row>
    <row r="1723" spans="1:2">
      <c r="A1723" s="1">
        <v>44841</v>
      </c>
      <c r="B1723">
        <v>1.98</v>
      </c>
    </row>
    <row r="1724" spans="1:2">
      <c r="A1724" s="1">
        <v>44844</v>
      </c>
      <c r="B1724">
        <v>1.98</v>
      </c>
    </row>
    <row r="1725" spans="1:2">
      <c r="A1725" s="1">
        <v>44845</v>
      </c>
      <c r="B1725">
        <v>2.0499999999999998</v>
      </c>
    </row>
    <row r="1726" spans="1:2">
      <c r="A1726" s="1">
        <v>44846</v>
      </c>
      <c r="B1726">
        <v>2.1</v>
      </c>
    </row>
    <row r="1727" spans="1:2">
      <c r="A1727" s="1">
        <v>44847</v>
      </c>
      <c r="B1727">
        <v>2.1</v>
      </c>
    </row>
    <row r="1728" spans="1:2">
      <c r="A1728" s="1">
        <v>44848</v>
      </c>
      <c r="B1728">
        <v>2.09</v>
      </c>
    </row>
    <row r="1729" spans="1:2">
      <c r="A1729" s="1">
        <v>44851</v>
      </c>
      <c r="B1729">
        <v>2.09</v>
      </c>
    </row>
    <row r="1730" spans="1:2">
      <c r="A1730" s="1">
        <v>44852</v>
      </c>
      <c r="B1730">
        <v>2.0699999999999998</v>
      </c>
    </row>
    <row r="1731" spans="1:2">
      <c r="A1731" s="1">
        <v>44853</v>
      </c>
      <c r="B1731">
        <v>2.08</v>
      </c>
    </row>
    <row r="1732" spans="1:2">
      <c r="A1732" s="1">
        <v>44854</v>
      </c>
      <c r="B1732">
        <v>2.0699999999999998</v>
      </c>
    </row>
    <row r="1733" spans="1:2">
      <c r="A1733" s="1">
        <v>44855</v>
      </c>
      <c r="B1733">
        <v>2.09</v>
      </c>
    </row>
    <row r="1734" spans="1:2">
      <c r="A1734" s="1">
        <v>44858</v>
      </c>
      <c r="B1734">
        <v>2.06</v>
      </c>
    </row>
    <row r="1735" spans="1:2">
      <c r="A1735" s="1">
        <v>44859</v>
      </c>
      <c r="B1735">
        <v>2.06</v>
      </c>
    </row>
    <row r="1736" spans="1:2">
      <c r="A1736" s="1">
        <v>44860</v>
      </c>
      <c r="B1736">
        <v>2.0499999999999998</v>
      </c>
    </row>
    <row r="1737" spans="1:2">
      <c r="A1737" s="1">
        <v>44861</v>
      </c>
      <c r="B1737">
        <v>2.06</v>
      </c>
    </row>
    <row r="1738" spans="1:2">
      <c r="A1738" s="1">
        <v>44862</v>
      </c>
      <c r="B1738">
        <v>2.0299999999999998</v>
      </c>
    </row>
    <row r="1739" spans="1:2">
      <c r="A1739" s="1">
        <v>44865</v>
      </c>
      <c r="B1739">
        <v>2.0299999999999998</v>
      </c>
    </row>
    <row r="1740" spans="1:2">
      <c r="A1740" s="1">
        <v>44866</v>
      </c>
      <c r="B1740">
        <v>2.0099999999999998</v>
      </c>
    </row>
    <row r="1741" spans="1:2">
      <c r="A1741" s="1">
        <v>44867</v>
      </c>
      <c r="B1741">
        <v>1.99</v>
      </c>
    </row>
    <row r="1742" spans="1:2">
      <c r="A1742" s="1">
        <v>44868</v>
      </c>
      <c r="B1742">
        <v>2.0099999999999998</v>
      </c>
    </row>
    <row r="1743" spans="1:2">
      <c r="A1743" s="1">
        <v>44869</v>
      </c>
      <c r="B1743">
        <v>1.99</v>
      </c>
    </row>
    <row r="1744" spans="1:2">
      <c r="A1744" s="1">
        <v>44872</v>
      </c>
      <c r="B1744">
        <v>1.96</v>
      </c>
    </row>
    <row r="1745" spans="1:2">
      <c r="A1745" s="1">
        <v>44873</v>
      </c>
      <c r="B1745">
        <v>1.96</v>
      </c>
    </row>
    <row r="1746" spans="1:2">
      <c r="A1746" s="1">
        <v>44874</v>
      </c>
      <c r="B1746">
        <v>1.97</v>
      </c>
    </row>
    <row r="1747" spans="1:2">
      <c r="A1747" s="1">
        <v>44875</v>
      </c>
      <c r="B1747">
        <v>1.94</v>
      </c>
    </row>
    <row r="1748" spans="1:2">
      <c r="A1748" s="1">
        <v>44876</v>
      </c>
      <c r="B1748">
        <v>1.94</v>
      </c>
    </row>
    <row r="1749" spans="1:2">
      <c r="A1749" s="1">
        <v>44879</v>
      </c>
      <c r="B1749">
        <v>1.87</v>
      </c>
    </row>
    <row r="1750" spans="1:2">
      <c r="A1750" s="1">
        <v>44880</v>
      </c>
      <c r="B1750">
        <v>1.83</v>
      </c>
    </row>
    <row r="1751" spans="1:2">
      <c r="A1751" s="1">
        <v>44881</v>
      </c>
      <c r="B1751">
        <v>1.83</v>
      </c>
    </row>
    <row r="1752" spans="1:2">
      <c r="A1752" s="1">
        <v>44882</v>
      </c>
      <c r="B1752">
        <v>1.82</v>
      </c>
    </row>
    <row r="1753" spans="1:2">
      <c r="A1753" s="1">
        <v>44883</v>
      </c>
      <c r="B1753">
        <v>1.79</v>
      </c>
    </row>
    <row r="1754" spans="1:2">
      <c r="A1754" s="1">
        <v>44886</v>
      </c>
      <c r="B1754">
        <v>1.78</v>
      </c>
    </row>
    <row r="1755" spans="1:2">
      <c r="A1755" s="1">
        <v>44887</v>
      </c>
      <c r="B1755">
        <v>1.77</v>
      </c>
    </row>
    <row r="1756" spans="1:2">
      <c r="A1756" s="1">
        <v>44888</v>
      </c>
      <c r="B1756">
        <v>1.76</v>
      </c>
    </row>
    <row r="1757" spans="1:2">
      <c r="A1757" s="1">
        <v>44889</v>
      </c>
      <c r="B1757">
        <v>1.76</v>
      </c>
    </row>
    <row r="1758" spans="1:2">
      <c r="A1758" s="1">
        <v>44890</v>
      </c>
      <c r="B1758">
        <v>1.75</v>
      </c>
    </row>
    <row r="1759" spans="1:2">
      <c r="A1759" s="1">
        <v>44893</v>
      </c>
      <c r="B1759">
        <v>1.75</v>
      </c>
    </row>
    <row r="1760" spans="1:2">
      <c r="A1760" s="1">
        <v>44894</v>
      </c>
      <c r="B1760">
        <v>1.76</v>
      </c>
    </row>
    <row r="1761" spans="1:2">
      <c r="A1761" s="1">
        <v>44895</v>
      </c>
      <c r="B1761">
        <v>1.77</v>
      </c>
    </row>
    <row r="1762" spans="1:2">
      <c r="A1762" s="1">
        <v>44896</v>
      </c>
      <c r="B1762">
        <v>1.75</v>
      </c>
    </row>
    <row r="1763" spans="1:2">
      <c r="A1763" s="1">
        <v>44897</v>
      </c>
      <c r="B1763">
        <v>1.74</v>
      </c>
    </row>
    <row r="1764" spans="1:2">
      <c r="A1764" s="1">
        <v>44900</v>
      </c>
      <c r="B1764">
        <v>1.73</v>
      </c>
    </row>
    <row r="1765" spans="1:2">
      <c r="A1765" s="1">
        <v>44901</v>
      </c>
      <c r="B1765">
        <v>1.73</v>
      </c>
    </row>
    <row r="1766" spans="1:2">
      <c r="A1766" s="1">
        <v>44902</v>
      </c>
      <c r="B1766">
        <v>1.74</v>
      </c>
    </row>
    <row r="1767" spans="1:2">
      <c r="A1767" s="1">
        <v>44903</v>
      </c>
      <c r="B1767">
        <v>1.72</v>
      </c>
    </row>
    <row r="1768" spans="1:2">
      <c r="A1768" s="1">
        <v>44904</v>
      </c>
      <c r="B1768">
        <v>1.71</v>
      </c>
    </row>
    <row r="1769" spans="1:2">
      <c r="A1769" s="1">
        <v>44907</v>
      </c>
      <c r="B1769">
        <v>1.7</v>
      </c>
    </row>
    <row r="1770" spans="1:2">
      <c r="A1770" s="1">
        <v>44908</v>
      </c>
      <c r="B1770">
        <v>1.7</v>
      </c>
    </row>
    <row r="1771" spans="1:2">
      <c r="A1771" s="1">
        <v>44909</v>
      </c>
      <c r="B1771">
        <v>1.7</v>
      </c>
    </row>
    <row r="1772" spans="1:2">
      <c r="A1772" s="1">
        <v>44910</v>
      </c>
      <c r="B1772">
        <v>1.72</v>
      </c>
    </row>
    <row r="1773" spans="1:2">
      <c r="A1773" s="1">
        <v>44911</v>
      </c>
      <c r="B1773">
        <v>1.73</v>
      </c>
    </row>
    <row r="1774" spans="1:2">
      <c r="A1774" s="1">
        <v>44914</v>
      </c>
      <c r="B1774">
        <v>1.73</v>
      </c>
    </row>
    <row r="1775" spans="1:2">
      <c r="A1775" s="1">
        <v>44915</v>
      </c>
      <c r="B1775">
        <v>1.75</v>
      </c>
    </row>
    <row r="1776" spans="1:2">
      <c r="A1776" s="1">
        <v>44916</v>
      </c>
      <c r="B1776">
        <v>1.74</v>
      </c>
    </row>
    <row r="1777" spans="1:2">
      <c r="A1777" s="1">
        <v>44917</v>
      </c>
      <c r="B1777">
        <v>1.73</v>
      </c>
    </row>
    <row r="1778" spans="1:2">
      <c r="A1778" s="1">
        <v>44918</v>
      </c>
      <c r="B1778">
        <v>1.72</v>
      </c>
    </row>
    <row r="1779" spans="1:2">
      <c r="A1779" s="1">
        <v>44921</v>
      </c>
    </row>
    <row r="1780" spans="1:2">
      <c r="A1780" s="1">
        <v>44922</v>
      </c>
      <c r="B1780">
        <v>1.71</v>
      </c>
    </row>
    <row r="1781" spans="1:2">
      <c r="A1781" s="1">
        <v>44923</v>
      </c>
      <c r="B1781">
        <v>1.73</v>
      </c>
    </row>
    <row r="1782" spans="1:2">
      <c r="A1782" s="1">
        <v>44924</v>
      </c>
      <c r="B1782">
        <v>1.71</v>
      </c>
    </row>
    <row r="1783" spans="1:2">
      <c r="A1783" s="1">
        <v>44925</v>
      </c>
      <c r="B1783">
        <v>1.71</v>
      </c>
    </row>
    <row r="1784" spans="1:2">
      <c r="A1784" s="1">
        <v>44926</v>
      </c>
      <c r="B1784">
        <v>1.72</v>
      </c>
    </row>
    <row r="1785" spans="1:2">
      <c r="A1785" s="1">
        <v>44928</v>
      </c>
    </row>
    <row r="1786" spans="1:2">
      <c r="A1786" s="1">
        <v>44929</v>
      </c>
      <c r="B1786">
        <v>1.73</v>
      </c>
    </row>
    <row r="1787" spans="1:2">
      <c r="A1787" s="1">
        <v>44930</v>
      </c>
      <c r="B1787">
        <v>1.73</v>
      </c>
    </row>
    <row r="1788" spans="1:2">
      <c r="A1788" s="1">
        <v>44931</v>
      </c>
      <c r="B1788">
        <v>1.73</v>
      </c>
    </row>
    <row r="1789" spans="1:2">
      <c r="A1789" s="1">
        <v>44932</v>
      </c>
      <c r="B1789">
        <v>1.73</v>
      </c>
    </row>
    <row r="1790" spans="1:2">
      <c r="A1790" s="1">
        <v>44935</v>
      </c>
      <c r="B1790">
        <v>1.7</v>
      </c>
    </row>
    <row r="1791" spans="1:2">
      <c r="A1791" s="1">
        <v>44936</v>
      </c>
      <c r="B1791">
        <v>1.67</v>
      </c>
    </row>
    <row r="1792" spans="1:2">
      <c r="A1792" s="1">
        <v>44937</v>
      </c>
      <c r="B1792">
        <v>1.65</v>
      </c>
    </row>
    <row r="1793" spans="1:2">
      <c r="A1793" s="1">
        <v>44938</v>
      </c>
      <c r="B1793">
        <v>1.64</v>
      </c>
    </row>
    <row r="1794" spans="1:2">
      <c r="A1794" s="1">
        <v>44939</v>
      </c>
      <c r="B1794">
        <v>1.63</v>
      </c>
    </row>
    <row r="1795" spans="1:2">
      <c r="A1795" s="1">
        <v>44942</v>
      </c>
      <c r="B1795">
        <v>1.63</v>
      </c>
    </row>
    <row r="1796" spans="1:2">
      <c r="A1796" s="1">
        <v>44943</v>
      </c>
      <c r="B1796">
        <v>1.6</v>
      </c>
    </row>
    <row r="1797" spans="1:2">
      <c r="A1797" s="1">
        <v>44944</v>
      </c>
      <c r="B1797">
        <v>1.6</v>
      </c>
    </row>
    <row r="1798" spans="1:2">
      <c r="A1798" s="1">
        <v>44945</v>
      </c>
      <c r="B1798">
        <v>1.61</v>
      </c>
    </row>
    <row r="1799" spans="1:2">
      <c r="A1799" s="1">
        <v>44946</v>
      </c>
      <c r="B1799">
        <v>1.6</v>
      </c>
    </row>
    <row r="1800" spans="1:2">
      <c r="A1800" s="1">
        <v>44949</v>
      </c>
      <c r="B1800">
        <v>1.59</v>
      </c>
    </row>
    <row r="1801" spans="1:2">
      <c r="A1801" s="1">
        <v>44950</v>
      </c>
      <c r="B1801">
        <v>1.59</v>
      </c>
    </row>
    <row r="1802" spans="1:2">
      <c r="A1802" s="1">
        <v>44951</v>
      </c>
      <c r="B1802">
        <v>1.59</v>
      </c>
    </row>
    <row r="1803" spans="1:2">
      <c r="A1803" s="1">
        <v>44952</v>
      </c>
      <c r="B1803">
        <v>1.56</v>
      </c>
    </row>
    <row r="1804" spans="1:2">
      <c r="A1804" s="1">
        <v>44953</v>
      </c>
      <c r="B1804">
        <v>1.55</v>
      </c>
    </row>
    <row r="1805" spans="1:2">
      <c r="A1805" s="1">
        <v>44956</v>
      </c>
      <c r="B1805">
        <v>1.55</v>
      </c>
    </row>
    <row r="1806" spans="1:2">
      <c r="A1806" s="1">
        <v>44957</v>
      </c>
      <c r="B1806">
        <v>1.56</v>
      </c>
    </row>
    <row r="1807" spans="1:2">
      <c r="A1807" s="1">
        <v>44958</v>
      </c>
      <c r="B1807">
        <v>1.56</v>
      </c>
    </row>
    <row r="1808" spans="1:2">
      <c r="A1808" s="1">
        <v>44959</v>
      </c>
      <c r="B1808">
        <v>1.52</v>
      </c>
    </row>
    <row r="1809" spans="1:2">
      <c r="A1809" s="1">
        <v>44960</v>
      </c>
      <c r="B1809">
        <v>1.5</v>
      </c>
    </row>
    <row r="1810" spans="1:2">
      <c r="A1810" s="1">
        <v>44963</v>
      </c>
      <c r="B1810">
        <v>1.5</v>
      </c>
    </row>
    <row r="1811" spans="1:2">
      <c r="A1811" s="1">
        <v>44964</v>
      </c>
      <c r="B1811">
        <v>1.51</v>
      </c>
    </row>
    <row r="1812" spans="1:2">
      <c r="A1812" s="1">
        <v>44965</v>
      </c>
      <c r="B1812">
        <v>1.51</v>
      </c>
    </row>
    <row r="1813" spans="1:2">
      <c r="A1813" s="1">
        <v>44966</v>
      </c>
      <c r="B1813">
        <v>1.51</v>
      </c>
    </row>
    <row r="1814" spans="1:2">
      <c r="A1814" s="1">
        <v>44967</v>
      </c>
      <c r="B1814">
        <v>1.54</v>
      </c>
    </row>
    <row r="1815" spans="1:2">
      <c r="A1815" s="1">
        <v>44970</v>
      </c>
      <c r="B1815">
        <v>1.55</v>
      </c>
    </row>
    <row r="1816" spans="1:2">
      <c r="A1816" s="1">
        <v>44971</v>
      </c>
      <c r="B1816">
        <v>1.54</v>
      </c>
    </row>
    <row r="1817" spans="1:2">
      <c r="A1817" s="1">
        <v>44972</v>
      </c>
      <c r="B1817">
        <v>1.54</v>
      </c>
    </row>
    <row r="1818" spans="1:2">
      <c r="A1818" s="1">
        <v>44973</v>
      </c>
      <c r="B1818">
        <v>1.54</v>
      </c>
    </row>
    <row r="1819" spans="1:2">
      <c r="A1819" s="1">
        <v>44974</v>
      </c>
      <c r="B1819">
        <v>1.57</v>
      </c>
    </row>
    <row r="1820" spans="1:2">
      <c r="A1820" s="1">
        <v>44977</v>
      </c>
      <c r="B1820">
        <v>1.57</v>
      </c>
    </row>
    <row r="1821" spans="1:2">
      <c r="A1821" s="1">
        <v>44978</v>
      </c>
      <c r="B1821">
        <v>1.59</v>
      </c>
    </row>
    <row r="1822" spans="1:2">
      <c r="A1822" s="1">
        <v>44979</v>
      </c>
      <c r="B1822">
        <v>1.59</v>
      </c>
    </row>
    <row r="1823" spans="1:2">
      <c r="A1823" s="1">
        <v>44980</v>
      </c>
      <c r="B1823">
        <v>1.59</v>
      </c>
    </row>
    <row r="1824" spans="1:2">
      <c r="A1824" s="1">
        <v>44981</v>
      </c>
      <c r="B1824">
        <v>1.59</v>
      </c>
    </row>
    <row r="1825" spans="1:2">
      <c r="A1825" s="1">
        <v>44984</v>
      </c>
      <c r="B1825">
        <v>1.59</v>
      </c>
    </row>
    <row r="1826" spans="1:2">
      <c r="A1826" s="1">
        <v>44985</v>
      </c>
      <c r="B1826">
        <v>1.6</v>
      </c>
    </row>
    <row r="1827" spans="1:2">
      <c r="A1827" s="1">
        <v>44986</v>
      </c>
      <c r="B1827">
        <v>1.59</v>
      </c>
    </row>
    <row r="1828" spans="1:2">
      <c r="A1828" s="1">
        <v>44987</v>
      </c>
      <c r="B1828">
        <v>1.58</v>
      </c>
    </row>
    <row r="1829" spans="1:2">
      <c r="A1829" s="1">
        <v>44988</v>
      </c>
      <c r="B1829">
        <v>1.56</v>
      </c>
    </row>
    <row r="1830" spans="1:2">
      <c r="A1830" s="1">
        <v>44991</v>
      </c>
      <c r="B1830">
        <v>1.54</v>
      </c>
    </row>
    <row r="1831" spans="1:2">
      <c r="A1831" s="1">
        <v>44992</v>
      </c>
      <c r="B1831">
        <v>1.55</v>
      </c>
    </row>
    <row r="1832" spans="1:2">
      <c r="A1832" s="1">
        <v>44993</v>
      </c>
      <c r="B1832">
        <v>1.58</v>
      </c>
    </row>
    <row r="1833" spans="1:2">
      <c r="A1833" s="1">
        <v>44994</v>
      </c>
      <c r="B1833">
        <v>1.61</v>
      </c>
    </row>
    <row r="1834" spans="1:2">
      <c r="A1834" s="1">
        <v>44995</v>
      </c>
      <c r="B1834">
        <v>1.69</v>
      </c>
    </row>
    <row r="1835" spans="1:2">
      <c r="A1835" s="1">
        <v>44998</v>
      </c>
      <c r="B1835">
        <v>1.84</v>
      </c>
    </row>
    <row r="1836" spans="1:2">
      <c r="A1836" s="1">
        <v>44999</v>
      </c>
      <c r="B1836">
        <v>1.83</v>
      </c>
    </row>
    <row r="1837" spans="1:2">
      <c r="A1837" s="1">
        <v>45000</v>
      </c>
      <c r="B1837">
        <v>1.98</v>
      </c>
    </row>
    <row r="1838" spans="1:2">
      <c r="A1838" s="1">
        <v>45001</v>
      </c>
      <c r="B1838">
        <v>1.96</v>
      </c>
    </row>
    <row r="1839" spans="1:2">
      <c r="A1839" s="1">
        <v>45002</v>
      </c>
      <c r="B1839">
        <v>1.97</v>
      </c>
    </row>
    <row r="1840" spans="1:2">
      <c r="A1840" s="1">
        <v>45005</v>
      </c>
      <c r="B1840">
        <v>1.96</v>
      </c>
    </row>
    <row r="1841" spans="1:2">
      <c r="A1841" s="1">
        <v>45006</v>
      </c>
      <c r="B1841">
        <v>1.85</v>
      </c>
    </row>
    <row r="1842" spans="1:2">
      <c r="A1842" s="1">
        <v>45007</v>
      </c>
      <c r="B1842">
        <v>1.83</v>
      </c>
    </row>
    <row r="1843" spans="1:2">
      <c r="A1843" s="1">
        <v>45008</v>
      </c>
      <c r="B1843">
        <v>1.85</v>
      </c>
    </row>
    <row r="1844" spans="1:2">
      <c r="A1844" s="1">
        <v>45009</v>
      </c>
      <c r="B1844">
        <v>1.88</v>
      </c>
    </row>
    <row r="1845" spans="1:2">
      <c r="A1845" s="1">
        <v>45012</v>
      </c>
      <c r="B1845">
        <v>1.85</v>
      </c>
    </row>
    <row r="1846" spans="1:2">
      <c r="A1846" s="1">
        <v>45013</v>
      </c>
      <c r="B1846">
        <v>1.86</v>
      </c>
    </row>
    <row r="1847" spans="1:2">
      <c r="A1847" s="1">
        <v>45014</v>
      </c>
      <c r="B1847">
        <v>1.83</v>
      </c>
    </row>
    <row r="1848" spans="1:2">
      <c r="A1848" s="1">
        <v>45015</v>
      </c>
      <c r="B1848">
        <v>1.8</v>
      </c>
    </row>
    <row r="1849" spans="1:2">
      <c r="A1849" s="1">
        <v>45016</v>
      </c>
      <c r="B1849">
        <v>1.77</v>
      </c>
    </row>
    <row r="1850" spans="1:2">
      <c r="A1850" s="1">
        <v>45019</v>
      </c>
      <c r="B1850">
        <v>1.75</v>
      </c>
    </row>
    <row r="1851" spans="1:2">
      <c r="A1851" s="1">
        <v>45020</v>
      </c>
      <c r="B1851">
        <v>1.76</v>
      </c>
    </row>
    <row r="1852" spans="1:2">
      <c r="A1852" s="1">
        <v>45021</v>
      </c>
      <c r="B1852">
        <v>1.78</v>
      </c>
    </row>
    <row r="1853" spans="1:2">
      <c r="A1853" s="1">
        <v>45022</v>
      </c>
      <c r="B1853">
        <v>1.79</v>
      </c>
    </row>
    <row r="1854" spans="1:2">
      <c r="A1854" s="1">
        <v>45023</v>
      </c>
    </row>
    <row r="1855" spans="1:2">
      <c r="A1855" s="1">
        <v>45026</v>
      </c>
      <c r="B1855">
        <v>1.78</v>
      </c>
    </row>
    <row r="1856" spans="1:2">
      <c r="A1856" s="1">
        <v>45027</v>
      </c>
      <c r="B1856">
        <v>1.76</v>
      </c>
    </row>
    <row r="1857" spans="1:2">
      <c r="A1857" s="1">
        <v>45028</v>
      </c>
      <c r="B1857">
        <v>1.76</v>
      </c>
    </row>
    <row r="1858" spans="1:2">
      <c r="A1858" s="1">
        <v>45029</v>
      </c>
      <c r="B1858">
        <v>1.75</v>
      </c>
    </row>
    <row r="1859" spans="1:2">
      <c r="A1859" s="1">
        <v>45030</v>
      </c>
      <c r="B1859">
        <v>1.72</v>
      </c>
    </row>
    <row r="1860" spans="1:2">
      <c r="A1860" s="1">
        <v>45033</v>
      </c>
      <c r="B1860">
        <v>1.7</v>
      </c>
    </row>
    <row r="1861" spans="1:2">
      <c r="A1861" s="1">
        <v>45034</v>
      </c>
      <c r="B1861">
        <v>1.69</v>
      </c>
    </row>
    <row r="1862" spans="1:2">
      <c r="A1862" s="1">
        <v>45035</v>
      </c>
      <c r="B1862">
        <v>1.69</v>
      </c>
    </row>
    <row r="1863" spans="1:2">
      <c r="A1863" s="1">
        <v>45036</v>
      </c>
      <c r="B1863">
        <v>1.71</v>
      </c>
    </row>
    <row r="1864" spans="1:2">
      <c r="A1864" s="1">
        <v>45037</v>
      </c>
      <c r="B1864">
        <v>1.7</v>
      </c>
    </row>
    <row r="1865" spans="1:2">
      <c r="A1865" s="1">
        <v>45040</v>
      </c>
      <c r="B1865">
        <v>1.7</v>
      </c>
    </row>
    <row r="1866" spans="1:2">
      <c r="A1866" s="1">
        <v>45041</v>
      </c>
      <c r="B1866">
        <v>1.73</v>
      </c>
    </row>
    <row r="1867" spans="1:2">
      <c r="A1867" s="1">
        <v>45042</v>
      </c>
      <c r="B1867">
        <v>1.73</v>
      </c>
    </row>
    <row r="1868" spans="1:2">
      <c r="A1868" s="1">
        <v>45043</v>
      </c>
      <c r="B1868">
        <v>1.71</v>
      </c>
    </row>
    <row r="1869" spans="1:2">
      <c r="A1869" s="1">
        <v>45044</v>
      </c>
      <c r="B1869">
        <v>1.72</v>
      </c>
    </row>
    <row r="1870" spans="1:2">
      <c r="A1870" s="1">
        <v>45046</v>
      </c>
      <c r="B1870">
        <v>1.74</v>
      </c>
    </row>
    <row r="1871" spans="1:2">
      <c r="A1871" s="1">
        <v>45047</v>
      </c>
      <c r="B1871">
        <v>1.73</v>
      </c>
    </row>
    <row r="1872" spans="1:2">
      <c r="A1872" s="1">
        <v>45048</v>
      </c>
      <c r="B1872">
        <v>1.78</v>
      </c>
    </row>
    <row r="1873" spans="1:2">
      <c r="A1873" s="1">
        <v>45049</v>
      </c>
      <c r="B1873">
        <v>1.79</v>
      </c>
    </row>
    <row r="1874" spans="1:2">
      <c r="A1874" s="1">
        <v>45050</v>
      </c>
      <c r="B1874">
        <v>1.85</v>
      </c>
    </row>
    <row r="1875" spans="1:2">
      <c r="A1875" s="1">
        <v>45051</v>
      </c>
      <c r="B1875">
        <v>1.83</v>
      </c>
    </row>
    <row r="1876" spans="1:2">
      <c r="A1876" s="1">
        <v>45054</v>
      </c>
      <c r="B1876">
        <v>1.83</v>
      </c>
    </row>
    <row r="1877" spans="1:2">
      <c r="A1877" s="1">
        <v>45055</v>
      </c>
      <c r="B1877">
        <v>1.83</v>
      </c>
    </row>
    <row r="1878" spans="1:2">
      <c r="A1878" s="1">
        <v>45056</v>
      </c>
      <c r="B1878">
        <v>1.83</v>
      </c>
    </row>
    <row r="1879" spans="1:2">
      <c r="A1879" s="1">
        <v>45057</v>
      </c>
      <c r="B1879">
        <v>1.83</v>
      </c>
    </row>
    <row r="1880" spans="1:2">
      <c r="A1880" s="1">
        <v>45058</v>
      </c>
      <c r="B1880">
        <v>1.82</v>
      </c>
    </row>
    <row r="1881" spans="1:2">
      <c r="A1881" s="1">
        <v>45061</v>
      </c>
      <c r="B1881">
        <v>1.83</v>
      </c>
    </row>
    <row r="1882" spans="1:2">
      <c r="A1882" s="1">
        <v>45062</v>
      </c>
      <c r="B1882">
        <v>1.84</v>
      </c>
    </row>
    <row r="1883" spans="1:2">
      <c r="A1883" s="1">
        <v>45063</v>
      </c>
      <c r="B1883">
        <v>1.83</v>
      </c>
    </row>
    <row r="1884" spans="1:2">
      <c r="A1884" s="1">
        <v>45064</v>
      </c>
      <c r="B1884">
        <v>1.82</v>
      </c>
    </row>
    <row r="1885" spans="1:2">
      <c r="A1885" s="1">
        <v>45065</v>
      </c>
      <c r="B1885">
        <v>1.79</v>
      </c>
    </row>
    <row r="1886" spans="1:2">
      <c r="A1886" s="1">
        <v>45068</v>
      </c>
      <c r="B1886">
        <v>1.78</v>
      </c>
    </row>
    <row r="1887" spans="1:2">
      <c r="A1887" s="1">
        <v>45069</v>
      </c>
      <c r="B1887">
        <v>1.78</v>
      </c>
    </row>
    <row r="1888" spans="1:2">
      <c r="A1888" s="1">
        <v>45070</v>
      </c>
      <c r="B1888">
        <v>1.78</v>
      </c>
    </row>
    <row r="1889" spans="1:2">
      <c r="A1889" s="1">
        <v>45071</v>
      </c>
      <c r="B1889">
        <v>1.75</v>
      </c>
    </row>
    <row r="1890" spans="1:2">
      <c r="A1890" s="1">
        <v>45072</v>
      </c>
      <c r="B1890">
        <v>1.74</v>
      </c>
    </row>
    <row r="1891" spans="1:2">
      <c r="A1891" s="1">
        <v>45075</v>
      </c>
      <c r="B1891">
        <v>1.75</v>
      </c>
    </row>
    <row r="1892" spans="1:2">
      <c r="A1892" s="1">
        <v>45076</v>
      </c>
      <c r="B1892">
        <v>1.74</v>
      </c>
    </row>
    <row r="1893" spans="1:2">
      <c r="A1893" s="1">
        <v>45077</v>
      </c>
      <c r="B1893">
        <v>1.76</v>
      </c>
    </row>
    <row r="1894" spans="1:2">
      <c r="A1894" s="1">
        <v>45078</v>
      </c>
      <c r="B1894">
        <v>1.76</v>
      </c>
    </row>
    <row r="1895" spans="1:2">
      <c r="A1895" s="1">
        <v>45079</v>
      </c>
      <c r="B1895">
        <v>1.73</v>
      </c>
    </row>
    <row r="1896" spans="1:2">
      <c r="A1896" s="1">
        <v>45082</v>
      </c>
      <c r="B1896">
        <v>1.73</v>
      </c>
    </row>
    <row r="1897" spans="1:2">
      <c r="A1897" s="1">
        <v>45083</v>
      </c>
      <c r="B1897">
        <v>1.73</v>
      </c>
    </row>
    <row r="1898" spans="1:2">
      <c r="A1898" s="1">
        <v>45084</v>
      </c>
      <c r="B1898">
        <v>1.73</v>
      </c>
    </row>
    <row r="1899" spans="1:2">
      <c r="A1899" s="1">
        <v>45085</v>
      </c>
      <c r="B1899">
        <v>1.74</v>
      </c>
    </row>
    <row r="1900" spans="1:2">
      <c r="A1900" s="1">
        <v>45086</v>
      </c>
      <c r="B1900">
        <v>1.73</v>
      </c>
    </row>
    <row r="1901" spans="1:2">
      <c r="A1901" s="1">
        <v>45089</v>
      </c>
      <c r="B1901">
        <v>1.74</v>
      </c>
    </row>
    <row r="1902" spans="1:2">
      <c r="A1902" s="1">
        <v>45090</v>
      </c>
      <c r="B1902">
        <v>1.71</v>
      </c>
    </row>
    <row r="1903" spans="1:2">
      <c r="A1903" s="1">
        <v>45091</v>
      </c>
      <c r="B1903">
        <v>1.7</v>
      </c>
    </row>
    <row r="1904" spans="1:2">
      <c r="A1904" s="1">
        <v>45092</v>
      </c>
      <c r="B1904">
        <v>1.7</v>
      </c>
    </row>
    <row r="1905" spans="1:2">
      <c r="A1905" s="1">
        <v>45093</v>
      </c>
      <c r="B1905">
        <v>1.67</v>
      </c>
    </row>
    <row r="1906" spans="1:2">
      <c r="A1906" s="1">
        <v>45096</v>
      </c>
      <c r="B1906">
        <v>1.67</v>
      </c>
    </row>
    <row r="1907" spans="1:2">
      <c r="A1907" s="1">
        <v>45097</v>
      </c>
      <c r="B1907">
        <v>1.66</v>
      </c>
    </row>
    <row r="1908" spans="1:2">
      <c r="A1908" s="1">
        <v>45098</v>
      </c>
      <c r="B1908">
        <v>1.67</v>
      </c>
    </row>
    <row r="1909" spans="1:2">
      <c r="A1909" s="1">
        <v>45099</v>
      </c>
      <c r="B1909">
        <v>1.66</v>
      </c>
    </row>
    <row r="1910" spans="1:2">
      <c r="A1910" s="1">
        <v>45100</v>
      </c>
      <c r="B1910">
        <v>1.67</v>
      </c>
    </row>
    <row r="1911" spans="1:2">
      <c r="A1911" s="1">
        <v>45103</v>
      </c>
      <c r="B1911">
        <v>1.67</v>
      </c>
    </row>
    <row r="1912" spans="1:2">
      <c r="A1912" s="1">
        <v>45104</v>
      </c>
      <c r="B1912">
        <v>1.66</v>
      </c>
    </row>
    <row r="1913" spans="1:2">
      <c r="A1913" s="1">
        <v>45105</v>
      </c>
      <c r="B1913">
        <v>1.65</v>
      </c>
    </row>
    <row r="1914" spans="1:2">
      <c r="A1914" s="1">
        <v>45106</v>
      </c>
      <c r="B1914">
        <v>1.62</v>
      </c>
    </row>
    <row r="1915" spans="1:2">
      <c r="A1915" s="1">
        <v>45107</v>
      </c>
      <c r="B1915">
        <v>1.61</v>
      </c>
    </row>
    <row r="1916" spans="1:2">
      <c r="A1916" s="1">
        <v>45110</v>
      </c>
      <c r="B1916">
        <v>1.6</v>
      </c>
    </row>
    <row r="1917" spans="1:2">
      <c r="A1917" s="1">
        <v>45111</v>
      </c>
      <c r="B1917">
        <v>1.6</v>
      </c>
    </row>
    <row r="1918" spans="1:2">
      <c r="A1918" s="1">
        <v>45112</v>
      </c>
      <c r="B1918">
        <v>1.58</v>
      </c>
    </row>
    <row r="1919" spans="1:2">
      <c r="A1919" s="1">
        <v>45113</v>
      </c>
      <c r="B1919">
        <v>1.59</v>
      </c>
    </row>
    <row r="1920" spans="1:2">
      <c r="A1920" s="1">
        <v>45114</v>
      </c>
      <c r="B1920">
        <v>1.58</v>
      </c>
    </row>
    <row r="1921" spans="1:2">
      <c r="A1921" s="1">
        <v>45117</v>
      </c>
      <c r="B1921">
        <v>1.59</v>
      </c>
    </row>
    <row r="1922" spans="1:2">
      <c r="A1922" s="1">
        <v>45118</v>
      </c>
      <c r="B1922">
        <v>1.58</v>
      </c>
    </row>
    <row r="1923" spans="1:2">
      <c r="A1923" s="1">
        <v>45119</v>
      </c>
      <c r="B1923">
        <v>1.56</v>
      </c>
    </row>
    <row r="1924" spans="1:2">
      <c r="A1924" s="1">
        <v>45120</v>
      </c>
      <c r="B1924">
        <v>1.56</v>
      </c>
    </row>
    <row r="1925" spans="1:2">
      <c r="A1925" s="1">
        <v>45121</v>
      </c>
      <c r="B1925">
        <v>1.57</v>
      </c>
    </row>
    <row r="1926" spans="1:2">
      <c r="A1926" s="1">
        <v>45124</v>
      </c>
      <c r="B1926">
        <v>1.58</v>
      </c>
    </row>
    <row r="1927" spans="1:2">
      <c r="A1927" s="1">
        <v>45125</v>
      </c>
      <c r="B1927">
        <v>1.58</v>
      </c>
    </row>
    <row r="1928" spans="1:2">
      <c r="A1928" s="1">
        <v>45126</v>
      </c>
      <c r="B1928">
        <v>1.57</v>
      </c>
    </row>
    <row r="1929" spans="1:2">
      <c r="A1929" s="1">
        <v>45127</v>
      </c>
      <c r="B1929">
        <v>1.56</v>
      </c>
    </row>
    <row r="1930" spans="1:2">
      <c r="A1930" s="1">
        <v>45128</v>
      </c>
      <c r="B1930">
        <v>1.55</v>
      </c>
    </row>
    <row r="1931" spans="1:2">
      <c r="A1931" s="1">
        <v>45131</v>
      </c>
      <c r="B1931">
        <v>1.53</v>
      </c>
    </row>
    <row r="1932" spans="1:2">
      <c r="A1932" s="1">
        <v>45132</v>
      </c>
      <c r="B1932">
        <v>1.52</v>
      </c>
    </row>
    <row r="1933" spans="1:2">
      <c r="A1933" s="1">
        <v>45133</v>
      </c>
      <c r="B1933">
        <v>1.52</v>
      </c>
    </row>
    <row r="1934" spans="1:2">
      <c r="A1934" s="1">
        <v>45134</v>
      </c>
      <c r="B1934">
        <v>1.48</v>
      </c>
    </row>
    <row r="1935" spans="1:2">
      <c r="A1935" s="1">
        <v>45135</v>
      </c>
      <c r="B1935">
        <v>1.48</v>
      </c>
    </row>
    <row r="1936" spans="1:2">
      <c r="A1936" s="1">
        <v>45138</v>
      </c>
      <c r="B1936">
        <v>1.47</v>
      </c>
    </row>
    <row r="1937" spans="1:2">
      <c r="A1937" s="1">
        <v>45139</v>
      </c>
      <c r="B1937">
        <v>1.47</v>
      </c>
    </row>
    <row r="1938" spans="1:2">
      <c r="A1938" s="1">
        <v>45140</v>
      </c>
      <c r="B1938">
        <v>1.5</v>
      </c>
    </row>
    <row r="1939" spans="1:2">
      <c r="A1939" s="1">
        <v>45141</v>
      </c>
      <c r="B1939">
        <v>1.51</v>
      </c>
    </row>
    <row r="1940" spans="1:2">
      <c r="A1940" s="1">
        <v>45142</v>
      </c>
      <c r="B1940">
        <v>1.51</v>
      </c>
    </row>
    <row r="1941" spans="1:2">
      <c r="A1941" s="1">
        <v>45145</v>
      </c>
      <c r="B1941">
        <v>1.51</v>
      </c>
    </row>
    <row r="1942" spans="1:2">
      <c r="A1942" s="1">
        <v>45146</v>
      </c>
      <c r="B1942">
        <v>1.52</v>
      </c>
    </row>
    <row r="1943" spans="1:2">
      <c r="A1943" s="1">
        <v>45147</v>
      </c>
      <c r="B1943">
        <v>1.52</v>
      </c>
    </row>
    <row r="1944" spans="1:2">
      <c r="A1944" s="1">
        <v>45148</v>
      </c>
      <c r="B1944">
        <v>1.51</v>
      </c>
    </row>
    <row r="1945" spans="1:2">
      <c r="A1945" s="1">
        <v>45149</v>
      </c>
      <c r="B1945">
        <v>1.51</v>
      </c>
    </row>
    <row r="1946" spans="1:2">
      <c r="A1946" s="1">
        <v>45152</v>
      </c>
      <c r="B1946">
        <v>1.51</v>
      </c>
    </row>
    <row r="1947" spans="1:2">
      <c r="A1947" s="1">
        <v>45153</v>
      </c>
      <c r="B1947">
        <v>1.52</v>
      </c>
    </row>
    <row r="1948" spans="1:2">
      <c r="A1948" s="1">
        <v>45154</v>
      </c>
      <c r="B1948">
        <v>1.53</v>
      </c>
    </row>
    <row r="1949" spans="1:2">
      <c r="A1949" s="1">
        <v>45155</v>
      </c>
      <c r="B1949">
        <v>1.55</v>
      </c>
    </row>
    <row r="1950" spans="1:2">
      <c r="A1950" s="1">
        <v>45156</v>
      </c>
      <c r="B1950">
        <v>1.56</v>
      </c>
    </row>
    <row r="1951" spans="1:2">
      <c r="A1951" s="1">
        <v>45159</v>
      </c>
      <c r="B1951">
        <v>1.55</v>
      </c>
    </row>
    <row r="1952" spans="1:2">
      <c r="A1952" s="1">
        <v>45160</v>
      </c>
      <c r="B1952">
        <v>1.54</v>
      </c>
    </row>
    <row r="1953" spans="1:2">
      <c r="A1953" s="1">
        <v>45161</v>
      </c>
      <c r="B1953">
        <v>1.54</v>
      </c>
    </row>
    <row r="1954" spans="1:2">
      <c r="A1954" s="1">
        <v>45162</v>
      </c>
      <c r="B1954">
        <v>1.52</v>
      </c>
    </row>
    <row r="1955" spans="1:2">
      <c r="A1955" s="1">
        <v>45163</v>
      </c>
      <c r="B1955">
        <v>1.51</v>
      </c>
    </row>
    <row r="1956" spans="1:2">
      <c r="A1956" s="1">
        <v>45166</v>
      </c>
      <c r="B1956">
        <v>1.51</v>
      </c>
    </row>
    <row r="1957" spans="1:2">
      <c r="A1957" s="1">
        <v>45167</v>
      </c>
      <c r="B1957">
        <v>1.51</v>
      </c>
    </row>
    <row r="1958" spans="1:2">
      <c r="A1958" s="1">
        <v>45168</v>
      </c>
      <c r="B1958">
        <v>1.51</v>
      </c>
    </row>
    <row r="1959" spans="1:2">
      <c r="A1959" s="1">
        <v>45169</v>
      </c>
      <c r="B1959">
        <v>1.51</v>
      </c>
    </row>
    <row r="1960" spans="1:2">
      <c r="A1960" s="1">
        <v>45170</v>
      </c>
      <c r="B1960">
        <v>1.51</v>
      </c>
    </row>
    <row r="1961" spans="1:2">
      <c r="A1961" s="1">
        <v>45173</v>
      </c>
      <c r="B1961">
        <v>1.51</v>
      </c>
    </row>
    <row r="1962" spans="1:2">
      <c r="A1962" s="1">
        <v>45174</v>
      </c>
      <c r="B1962">
        <v>1.51</v>
      </c>
    </row>
    <row r="1963" spans="1:2">
      <c r="A1963" s="1">
        <v>45175</v>
      </c>
      <c r="B1963">
        <v>1.52</v>
      </c>
    </row>
    <row r="1964" spans="1:2">
      <c r="A1964" s="1">
        <v>45176</v>
      </c>
      <c r="B1964">
        <v>1.52</v>
      </c>
    </row>
    <row r="1965" spans="1:2">
      <c r="A1965" s="1">
        <v>45177</v>
      </c>
      <c r="B1965">
        <v>1.51</v>
      </c>
    </row>
    <row r="1966" spans="1:2">
      <c r="A1966" s="1">
        <v>45180</v>
      </c>
      <c r="B1966">
        <v>1.51</v>
      </c>
    </row>
    <row r="1967" spans="1:2">
      <c r="A1967" s="1">
        <v>45181</v>
      </c>
      <c r="B1967">
        <v>1.52</v>
      </c>
    </row>
    <row r="1968" spans="1:2">
      <c r="A1968" s="1">
        <v>45182</v>
      </c>
      <c r="B1968">
        <v>1.53</v>
      </c>
    </row>
    <row r="1969" spans="1:2">
      <c r="A1969" s="1">
        <v>45183</v>
      </c>
      <c r="B1969">
        <v>1.51</v>
      </c>
    </row>
    <row r="1970" spans="1:2">
      <c r="A1970" s="1">
        <v>45184</v>
      </c>
      <c r="B1970">
        <v>1.51</v>
      </c>
    </row>
    <row r="1971" spans="1:2">
      <c r="A1971" s="1">
        <v>45187</v>
      </c>
      <c r="B1971">
        <v>1.51</v>
      </c>
    </row>
    <row r="1972" spans="1:2">
      <c r="A1972" s="1">
        <v>45188</v>
      </c>
      <c r="B1972">
        <v>1.5</v>
      </c>
    </row>
    <row r="1973" spans="1:2">
      <c r="A1973" s="1">
        <v>45189</v>
      </c>
      <c r="B1973">
        <v>1.48</v>
      </c>
    </row>
    <row r="1974" spans="1:2">
      <c r="A1974" s="1">
        <v>45190</v>
      </c>
      <c r="B1974">
        <v>1.48</v>
      </c>
    </row>
    <row r="1975" spans="1:2">
      <c r="A1975" s="1">
        <v>45191</v>
      </c>
      <c r="B1975">
        <v>1.48</v>
      </c>
    </row>
    <row r="1976" spans="1:2">
      <c r="A1976" s="1">
        <v>45194</v>
      </c>
      <c r="B1976">
        <v>1.47</v>
      </c>
    </row>
    <row r="1977" spans="1:2">
      <c r="A1977" s="1">
        <v>45195</v>
      </c>
      <c r="B1977">
        <v>1.48</v>
      </c>
    </row>
    <row r="1978" spans="1:2">
      <c r="A1978" s="1">
        <v>45196</v>
      </c>
      <c r="B1978">
        <v>1.49</v>
      </c>
    </row>
    <row r="1979" spans="1:2">
      <c r="A1979" s="1">
        <v>45197</v>
      </c>
      <c r="B1979">
        <v>1.51</v>
      </c>
    </row>
    <row r="1980" spans="1:2">
      <c r="A1980" s="1">
        <v>45198</v>
      </c>
      <c r="B1980">
        <v>1.51</v>
      </c>
    </row>
    <row r="1981" spans="1:2">
      <c r="A1981" s="1">
        <v>45199</v>
      </c>
      <c r="B1981">
        <v>1.53</v>
      </c>
    </row>
    <row r="1982" spans="1:2">
      <c r="A1982" s="1">
        <v>45201</v>
      </c>
      <c r="B1982">
        <v>1.54</v>
      </c>
    </row>
    <row r="1983" spans="1:2">
      <c r="A1983" s="1">
        <v>45202</v>
      </c>
      <c r="B1983">
        <v>1.57</v>
      </c>
    </row>
    <row r="1984" spans="1:2">
      <c r="A1984" s="1">
        <v>45203</v>
      </c>
      <c r="B1984">
        <v>1.58</v>
      </c>
    </row>
    <row r="1985" spans="1:2">
      <c r="A1985" s="1">
        <v>45204</v>
      </c>
      <c r="B1985">
        <v>1.59</v>
      </c>
    </row>
    <row r="1986" spans="1:2">
      <c r="A1986" s="1">
        <v>45205</v>
      </c>
      <c r="B1986">
        <v>1.58</v>
      </c>
    </row>
    <row r="1987" spans="1:2">
      <c r="A1987" s="1">
        <v>45208</v>
      </c>
      <c r="B1987">
        <v>1.58</v>
      </c>
    </row>
    <row r="1988" spans="1:2">
      <c r="A1988" s="1">
        <v>45209</v>
      </c>
      <c r="B1988">
        <v>1.58</v>
      </c>
    </row>
    <row r="1989" spans="1:2">
      <c r="A1989" s="1">
        <v>45210</v>
      </c>
      <c r="B1989">
        <v>1.57</v>
      </c>
    </row>
    <row r="1990" spans="1:2">
      <c r="A1990" s="1">
        <v>45211</v>
      </c>
      <c r="B1990">
        <v>1.56</v>
      </c>
    </row>
    <row r="1991" spans="1:2">
      <c r="A1991" s="1">
        <v>45212</v>
      </c>
      <c r="B1991">
        <v>1.57</v>
      </c>
    </row>
    <row r="1992" spans="1:2">
      <c r="A1992" s="1">
        <v>45215</v>
      </c>
      <c r="B1992">
        <v>1.56</v>
      </c>
    </row>
    <row r="1993" spans="1:2">
      <c r="A1993" s="1">
        <v>45216</v>
      </c>
      <c r="B1993">
        <v>1.56</v>
      </c>
    </row>
    <row r="1994" spans="1:2">
      <c r="A1994" s="1">
        <v>45217</v>
      </c>
      <c r="B1994">
        <v>1.58</v>
      </c>
    </row>
    <row r="1995" spans="1:2">
      <c r="A1995" s="1">
        <v>45218</v>
      </c>
      <c r="B1995">
        <v>1.6</v>
      </c>
    </row>
    <row r="1996" spans="1:2">
      <c r="A1996" s="1">
        <v>45219</v>
      </c>
      <c r="B1996">
        <v>1.63</v>
      </c>
    </row>
    <row r="1997" spans="1:2">
      <c r="A1997" s="1">
        <v>45222</v>
      </c>
      <c r="B1997">
        <v>1.63</v>
      </c>
    </row>
    <row r="1998" spans="1:2">
      <c r="A1998" s="1">
        <v>45223</v>
      </c>
      <c r="B1998">
        <v>1.6</v>
      </c>
    </row>
    <row r="1999" spans="1:2">
      <c r="A1999" s="1">
        <v>45224</v>
      </c>
      <c r="B1999">
        <v>1.59</v>
      </c>
    </row>
    <row r="2000" spans="1:2">
      <c r="A2000" s="1">
        <v>45225</v>
      </c>
      <c r="B2000">
        <v>1.6</v>
      </c>
    </row>
    <row r="2001" spans="1:2">
      <c r="A2001" s="1">
        <v>45226</v>
      </c>
      <c r="B2001">
        <v>1.61</v>
      </c>
    </row>
    <row r="2002" spans="1:2">
      <c r="A2002" s="1">
        <v>45229</v>
      </c>
      <c r="B2002">
        <v>1.62</v>
      </c>
    </row>
    <row r="2003" spans="1:2">
      <c r="A2003" s="1">
        <v>45230</v>
      </c>
      <c r="B2003">
        <v>1.62</v>
      </c>
    </row>
    <row r="2004" spans="1:2">
      <c r="A2004" s="1">
        <v>45231</v>
      </c>
      <c r="B2004">
        <v>1.63</v>
      </c>
    </row>
    <row r="2005" spans="1:2">
      <c r="A2005" s="1">
        <v>45232</v>
      </c>
      <c r="B2005">
        <v>1.59</v>
      </c>
    </row>
    <row r="2006" spans="1:2">
      <c r="A2006" s="1">
        <v>45233</v>
      </c>
      <c r="B2006">
        <v>1.58</v>
      </c>
    </row>
    <row r="2007" spans="1:2">
      <c r="A2007" s="1">
        <v>45236</v>
      </c>
      <c r="B2007">
        <v>1.58</v>
      </c>
    </row>
    <row r="2008" spans="1:2">
      <c r="A2008" s="1">
        <v>45237</v>
      </c>
      <c r="B2008">
        <v>1.58</v>
      </c>
    </row>
    <row r="2009" spans="1:2">
      <c r="A2009" s="1">
        <v>45238</v>
      </c>
      <c r="B2009">
        <v>1.58</v>
      </c>
    </row>
    <row r="2010" spans="1:2">
      <c r="A2010" s="1">
        <v>45239</v>
      </c>
      <c r="B2010">
        <v>1.56</v>
      </c>
    </row>
    <row r="2011" spans="1:2">
      <c r="A2011" s="1">
        <v>45240</v>
      </c>
      <c r="B2011">
        <v>1.56</v>
      </c>
    </row>
    <row r="2012" spans="1:2">
      <c r="A2012" s="1">
        <v>45243</v>
      </c>
      <c r="B2012">
        <v>1.55</v>
      </c>
    </row>
    <row r="2013" spans="1:2">
      <c r="A2013" s="1">
        <v>45244</v>
      </c>
      <c r="B2013">
        <v>1.52</v>
      </c>
    </row>
    <row r="2014" spans="1:2">
      <c r="A2014" s="1">
        <v>45245</v>
      </c>
      <c r="B2014">
        <v>1.51</v>
      </c>
    </row>
    <row r="2015" spans="1:2">
      <c r="A2015" s="1">
        <v>45246</v>
      </c>
      <c r="B2015">
        <v>1.5</v>
      </c>
    </row>
    <row r="2016" spans="1:2">
      <c r="A2016" s="1">
        <v>45247</v>
      </c>
      <c r="B2016">
        <v>1.48</v>
      </c>
    </row>
    <row r="2017" spans="1:2">
      <c r="A2017" s="1">
        <v>45250</v>
      </c>
      <c r="B2017">
        <v>1.46</v>
      </c>
    </row>
    <row r="2018" spans="1:2">
      <c r="A2018" s="1">
        <v>45251</v>
      </c>
      <c r="B2018">
        <v>1.46</v>
      </c>
    </row>
    <row r="2019" spans="1:2">
      <c r="A2019" s="1">
        <v>45252</v>
      </c>
      <c r="B2019">
        <v>1.43</v>
      </c>
    </row>
    <row r="2020" spans="1:2">
      <c r="A2020" s="1">
        <v>45253</v>
      </c>
      <c r="B2020">
        <v>1.43</v>
      </c>
    </row>
    <row r="2021" spans="1:2">
      <c r="A2021" s="1">
        <v>45254</v>
      </c>
      <c r="B2021">
        <v>1.42</v>
      </c>
    </row>
    <row r="2022" spans="1:2">
      <c r="A2022" s="1">
        <v>45257</v>
      </c>
      <c r="B2022">
        <v>1.41</v>
      </c>
    </row>
    <row r="2023" spans="1:2">
      <c r="A2023" s="1">
        <v>45258</v>
      </c>
      <c r="B2023">
        <v>1.41</v>
      </c>
    </row>
    <row r="2024" spans="1:2">
      <c r="A2024" s="1">
        <v>45259</v>
      </c>
      <c r="B2024">
        <v>1.38</v>
      </c>
    </row>
    <row r="2025" spans="1:2">
      <c r="A2025" s="1">
        <v>45260</v>
      </c>
      <c r="B2025">
        <v>1.39</v>
      </c>
    </row>
    <row r="2026" spans="1:2">
      <c r="A2026" s="1">
        <v>45261</v>
      </c>
      <c r="B2026">
        <v>1.39</v>
      </c>
    </row>
    <row r="2027" spans="1:2">
      <c r="A2027" s="1">
        <v>45264</v>
      </c>
      <c r="B2027">
        <v>1.38</v>
      </c>
    </row>
    <row r="2028" spans="1:2">
      <c r="A2028" s="1">
        <v>45265</v>
      </c>
      <c r="B2028">
        <v>1.39</v>
      </c>
    </row>
    <row r="2029" spans="1:2">
      <c r="A2029" s="1">
        <v>45266</v>
      </c>
      <c r="B2029">
        <v>1.4</v>
      </c>
    </row>
    <row r="2030" spans="1:2">
      <c r="A2030" s="1">
        <v>45267</v>
      </c>
      <c r="B2030">
        <v>1.39</v>
      </c>
    </row>
    <row r="2031" spans="1:2">
      <c r="A2031" s="1">
        <v>45268</v>
      </c>
      <c r="B2031">
        <v>1.38</v>
      </c>
    </row>
    <row r="2032" spans="1:2">
      <c r="A2032" s="1">
        <v>45271</v>
      </c>
      <c r="B2032">
        <v>1.38</v>
      </c>
    </row>
    <row r="2033" spans="1:2">
      <c r="A2033" s="1">
        <v>45272</v>
      </c>
      <c r="B2033">
        <v>1.36</v>
      </c>
    </row>
    <row r="2034" spans="1:2">
      <c r="A2034" s="1">
        <v>45273</v>
      </c>
      <c r="B2034">
        <v>1.35</v>
      </c>
    </row>
    <row r="2035" spans="1:2">
      <c r="A2035" s="1">
        <v>45274</v>
      </c>
      <c r="B2035">
        <v>1.31</v>
      </c>
    </row>
    <row r="2036" spans="1:2">
      <c r="A2036" s="1">
        <v>45275</v>
      </c>
      <c r="B2036">
        <v>1.31</v>
      </c>
    </row>
    <row r="2037" spans="1:2">
      <c r="A2037" s="1">
        <v>45278</v>
      </c>
      <c r="B2037">
        <v>1.31</v>
      </c>
    </row>
    <row r="2038" spans="1:2">
      <c r="A2038" s="1">
        <v>45279</v>
      </c>
      <c r="B2038">
        <v>1.32</v>
      </c>
    </row>
    <row r="2039" spans="1:2">
      <c r="A2039" s="1">
        <v>45280</v>
      </c>
      <c r="B2039">
        <v>1.33</v>
      </c>
    </row>
    <row r="2040" spans="1:2">
      <c r="A2040" s="1">
        <v>45281</v>
      </c>
      <c r="B2040">
        <v>1.33</v>
      </c>
    </row>
    <row r="2041" spans="1:2">
      <c r="A2041" s="1">
        <v>45282</v>
      </c>
      <c r="B2041">
        <v>1.33</v>
      </c>
    </row>
    <row r="2042" spans="1:2">
      <c r="A2042" s="1">
        <v>45285</v>
      </c>
    </row>
    <row r="2043" spans="1:2">
      <c r="A2043" s="1">
        <v>45286</v>
      </c>
      <c r="B2043">
        <v>1.32</v>
      </c>
    </row>
    <row r="2044" spans="1:2">
      <c r="A2044" s="1">
        <v>45287</v>
      </c>
      <c r="B2044">
        <v>1.31</v>
      </c>
    </row>
    <row r="2045" spans="1:2">
      <c r="A2045" s="1">
        <v>45288</v>
      </c>
      <c r="B2045">
        <v>1.29</v>
      </c>
    </row>
    <row r="2046" spans="1:2">
      <c r="A2046" s="1">
        <v>45289</v>
      </c>
      <c r="B2046">
        <v>1.29</v>
      </c>
    </row>
    <row r="2047" spans="1:2">
      <c r="A2047" s="1">
        <v>45291</v>
      </c>
      <c r="B2047">
        <v>1.29</v>
      </c>
    </row>
    <row r="2048" spans="1:2">
      <c r="A2048" s="1">
        <v>45292</v>
      </c>
    </row>
    <row r="2049" spans="1:2">
      <c r="A2049" s="1">
        <v>45293</v>
      </c>
      <c r="B2049">
        <v>1.31</v>
      </c>
    </row>
    <row r="2050" spans="1:2">
      <c r="A2050" s="1">
        <v>45294</v>
      </c>
      <c r="B2050">
        <v>1.34</v>
      </c>
    </row>
    <row r="2051" spans="1:2">
      <c r="A2051" s="1">
        <v>45295</v>
      </c>
      <c r="B2051">
        <v>1.34</v>
      </c>
    </row>
    <row r="2052" spans="1:2">
      <c r="A2052" s="1">
        <v>45296</v>
      </c>
      <c r="B2052">
        <v>1.33</v>
      </c>
    </row>
    <row r="2053" spans="1:2">
      <c r="A2053" s="1">
        <v>45299</v>
      </c>
      <c r="B2053">
        <v>1.32</v>
      </c>
    </row>
    <row r="2054" spans="1:2">
      <c r="A2054" s="1">
        <v>45300</v>
      </c>
      <c r="B2054">
        <v>1.3</v>
      </c>
    </row>
    <row r="2055" spans="1:2">
      <c r="A2055" s="1">
        <v>45301</v>
      </c>
      <c r="B2055">
        <v>1.28</v>
      </c>
    </row>
    <row r="2056" spans="1:2">
      <c r="A2056" s="1">
        <v>45302</v>
      </c>
      <c r="B2056">
        <v>1.27</v>
      </c>
    </row>
    <row r="2057" spans="1:2">
      <c r="A2057" s="1">
        <v>45303</v>
      </c>
      <c r="B2057">
        <v>1.26</v>
      </c>
    </row>
    <row r="2058" spans="1:2">
      <c r="A2058" s="1">
        <v>45306</v>
      </c>
      <c r="B2058">
        <v>1.26</v>
      </c>
    </row>
    <row r="2059" spans="1:2">
      <c r="A2059" s="1">
        <v>45307</v>
      </c>
      <c r="B2059">
        <v>1.26</v>
      </c>
    </row>
    <row r="2060" spans="1:2">
      <c r="A2060" s="1">
        <v>45308</v>
      </c>
      <c r="B2060">
        <v>1.26</v>
      </c>
    </row>
    <row r="2061" spans="1:2">
      <c r="A2061" s="1">
        <v>45309</v>
      </c>
      <c r="B2061">
        <v>1.24</v>
      </c>
    </row>
    <row r="2062" spans="1:2">
      <c r="A2062" s="1">
        <v>45310</v>
      </c>
      <c r="B2062">
        <v>1.24</v>
      </c>
    </row>
    <row r="2063" spans="1:2">
      <c r="A2063" s="1">
        <v>45313</v>
      </c>
      <c r="B2063">
        <v>1.24</v>
      </c>
    </row>
    <row r="2064" spans="1:2">
      <c r="A2064" s="1">
        <v>45314</v>
      </c>
      <c r="B2064">
        <v>1.24</v>
      </c>
    </row>
    <row r="2065" spans="1:2">
      <c r="A2065" s="1">
        <v>45315</v>
      </c>
      <c r="B2065">
        <v>1.23</v>
      </c>
    </row>
    <row r="2066" spans="1:2">
      <c r="A2066" s="1">
        <v>45316</v>
      </c>
      <c r="B2066">
        <v>1.22</v>
      </c>
    </row>
    <row r="2067" spans="1:2">
      <c r="A2067" s="1">
        <v>45317</v>
      </c>
      <c r="B2067">
        <v>1.21</v>
      </c>
    </row>
    <row r="2068" spans="1:2">
      <c r="A2068" s="1">
        <v>45320</v>
      </c>
      <c r="B2068">
        <v>1.22</v>
      </c>
    </row>
    <row r="2069" spans="1:2">
      <c r="A2069" s="1">
        <v>45321</v>
      </c>
      <c r="B2069">
        <v>1.23</v>
      </c>
    </row>
    <row r="2070" spans="1:2">
      <c r="A2070" s="1">
        <v>45322</v>
      </c>
      <c r="B2070">
        <v>1.26</v>
      </c>
    </row>
    <row r="2071" spans="1:2">
      <c r="A2071" s="1">
        <v>45323</v>
      </c>
      <c r="B2071">
        <v>1.28</v>
      </c>
    </row>
    <row r="2072" spans="1:2">
      <c r="A2072" s="1">
        <v>45324</v>
      </c>
      <c r="B2072">
        <v>1.25</v>
      </c>
    </row>
    <row r="2073" spans="1:2">
      <c r="A2073" s="1">
        <v>45327</v>
      </c>
      <c r="B2073">
        <v>1.24</v>
      </c>
    </row>
    <row r="2074" spans="1:2">
      <c r="A2074" s="1">
        <v>45328</v>
      </c>
      <c r="B2074">
        <v>1.24</v>
      </c>
    </row>
    <row r="2075" spans="1:2">
      <c r="A2075" s="1">
        <v>45329</v>
      </c>
      <c r="B2075">
        <v>1.24</v>
      </c>
    </row>
    <row r="2076" spans="1:2">
      <c r="A2076" s="1">
        <v>45330</v>
      </c>
      <c r="B2076">
        <v>1.23</v>
      </c>
    </row>
    <row r="2077" spans="1:2">
      <c r="A2077" s="1">
        <v>45331</v>
      </c>
      <c r="B2077">
        <v>1.24</v>
      </c>
    </row>
    <row r="2078" spans="1:2">
      <c r="A2078" s="1">
        <v>45334</v>
      </c>
      <c r="B2078">
        <v>1.24</v>
      </c>
    </row>
    <row r="2079" spans="1:2">
      <c r="A2079" s="1">
        <v>45335</v>
      </c>
      <c r="B2079">
        <v>1.22</v>
      </c>
    </row>
    <row r="2080" spans="1:2">
      <c r="A2080" s="1">
        <v>45336</v>
      </c>
      <c r="B2080">
        <v>1.22</v>
      </c>
    </row>
    <row r="2081" spans="1:2">
      <c r="A2081" s="1">
        <v>45337</v>
      </c>
      <c r="B2081">
        <v>1.2</v>
      </c>
    </row>
    <row r="2082" spans="1:2">
      <c r="A2082" s="1">
        <v>45338</v>
      </c>
      <c r="B2082">
        <v>1.19</v>
      </c>
    </row>
    <row r="2083" spans="1:2">
      <c r="A2083" s="1">
        <v>45341</v>
      </c>
      <c r="B2083">
        <v>1.2</v>
      </c>
    </row>
    <row r="2084" spans="1:2">
      <c r="A2084" s="1">
        <v>45342</v>
      </c>
      <c r="B2084">
        <v>1.19</v>
      </c>
    </row>
    <row r="2085" spans="1:2">
      <c r="A2085" s="1">
        <v>45343</v>
      </c>
      <c r="B2085">
        <v>1.18</v>
      </c>
    </row>
    <row r="2086" spans="1:2">
      <c r="A2086" s="1">
        <v>45344</v>
      </c>
      <c r="B2086">
        <v>1.1599999999999999</v>
      </c>
    </row>
    <row r="2087" spans="1:2">
      <c r="A2087" s="1">
        <v>45345</v>
      </c>
      <c r="B2087">
        <v>1.18</v>
      </c>
    </row>
    <row r="2088" spans="1:2">
      <c r="A2088" s="1">
        <v>45348</v>
      </c>
      <c r="B2088">
        <v>1.2</v>
      </c>
    </row>
    <row r="2089" spans="1:2">
      <c r="A2089" s="1">
        <v>45349</v>
      </c>
      <c r="B2089">
        <v>1.2</v>
      </c>
    </row>
    <row r="2090" spans="1:2">
      <c r="A2090" s="1">
        <v>45350</v>
      </c>
      <c r="B2090">
        <v>1.22</v>
      </c>
    </row>
    <row r="2091" spans="1:2">
      <c r="A2091" s="1">
        <v>45351</v>
      </c>
      <c r="B2091">
        <v>1.24</v>
      </c>
    </row>
    <row r="2092" spans="1:2">
      <c r="A2092" s="1">
        <v>45352</v>
      </c>
      <c r="B2092">
        <v>1.25</v>
      </c>
    </row>
    <row r="2093" spans="1:2">
      <c r="A2093" s="1">
        <v>45355</v>
      </c>
      <c r="B2093">
        <v>1.24</v>
      </c>
    </row>
    <row r="2094" spans="1:2">
      <c r="A2094" s="1">
        <v>45356</v>
      </c>
      <c r="B2094">
        <v>1.25</v>
      </c>
    </row>
    <row r="2095" spans="1:2">
      <c r="A2095" s="1">
        <v>45357</v>
      </c>
      <c r="B2095">
        <v>1.25</v>
      </c>
    </row>
    <row r="2096" spans="1:2">
      <c r="A2096" s="1">
        <v>45358</v>
      </c>
      <c r="B2096">
        <v>1.24</v>
      </c>
    </row>
    <row r="2097" spans="1:2">
      <c r="A2097" s="1">
        <v>45359</v>
      </c>
      <c r="B2097">
        <v>1.23</v>
      </c>
    </row>
    <row r="2098" spans="1:2">
      <c r="A2098" s="1">
        <v>45362</v>
      </c>
      <c r="B2098">
        <v>1.23</v>
      </c>
    </row>
    <row r="2099" spans="1:2">
      <c r="A2099" s="1">
        <v>45363</v>
      </c>
      <c r="B2099">
        <v>1.21</v>
      </c>
    </row>
    <row r="2100" spans="1:2">
      <c r="A2100" s="1">
        <v>45364</v>
      </c>
      <c r="B2100">
        <v>1.19</v>
      </c>
    </row>
    <row r="2101" spans="1:2">
      <c r="A2101" s="1">
        <v>45365</v>
      </c>
      <c r="B2101">
        <v>1.17</v>
      </c>
    </row>
    <row r="2102" spans="1:2">
      <c r="A2102" s="1">
        <v>45366</v>
      </c>
      <c r="B2102">
        <v>1.17</v>
      </c>
    </row>
    <row r="2103" spans="1:2">
      <c r="A2103" s="1">
        <v>45369</v>
      </c>
      <c r="B2103">
        <v>1.1499999999999999</v>
      </c>
    </row>
    <row r="2104" spans="1:2">
      <c r="A2104" s="1">
        <v>45370</v>
      </c>
      <c r="B2104">
        <v>1.1499999999999999</v>
      </c>
    </row>
    <row r="2105" spans="1:2">
      <c r="A2105" s="1">
        <v>45371</v>
      </c>
      <c r="B2105">
        <v>1.1599999999999999</v>
      </c>
    </row>
    <row r="2106" spans="1:2">
      <c r="A2106" s="1">
        <v>45372</v>
      </c>
      <c r="B2106">
        <v>1.1399999999999999</v>
      </c>
    </row>
    <row r="2107" spans="1:2">
      <c r="A2107" s="1">
        <v>45373</v>
      </c>
      <c r="B2107">
        <v>1.1499999999999999</v>
      </c>
    </row>
    <row r="2108" spans="1:2">
      <c r="A2108" s="1">
        <v>45376</v>
      </c>
      <c r="B2108">
        <v>1.1499999999999999</v>
      </c>
    </row>
    <row r="2109" spans="1:2">
      <c r="A2109" s="1">
        <v>45377</v>
      </c>
      <c r="B2109">
        <v>1.1599999999999999</v>
      </c>
    </row>
    <row r="2110" spans="1:2">
      <c r="A2110" s="1">
        <v>45378</v>
      </c>
      <c r="B2110">
        <v>1.1599999999999999</v>
      </c>
    </row>
    <row r="2111" spans="1:2">
      <c r="A2111" s="1">
        <v>45379</v>
      </c>
      <c r="B2111">
        <v>1.1499999999999999</v>
      </c>
    </row>
    <row r="2112" spans="1:2">
      <c r="A2112" s="1">
        <v>45380</v>
      </c>
    </row>
    <row r="2113" spans="1:2">
      <c r="A2113" s="1">
        <v>45382</v>
      </c>
      <c r="B2113">
        <v>1.17</v>
      </c>
    </row>
    <row r="2114" spans="1:2">
      <c r="A2114" s="1">
        <v>45383</v>
      </c>
      <c r="B2114">
        <v>1.1599999999999999</v>
      </c>
    </row>
    <row r="2115" spans="1:2">
      <c r="A2115" s="1">
        <v>45384</v>
      </c>
      <c r="B2115">
        <v>1.1599999999999999</v>
      </c>
    </row>
    <row r="2116" spans="1:2">
      <c r="A2116" s="1">
        <v>45385</v>
      </c>
      <c r="B2116">
        <v>1.1399999999999999</v>
      </c>
    </row>
    <row r="2117" spans="1:2">
      <c r="A2117" s="1">
        <v>45386</v>
      </c>
      <c r="B2117">
        <v>1.1499999999999999</v>
      </c>
    </row>
    <row r="2118" spans="1:2">
      <c r="A2118" s="1">
        <v>45387</v>
      </c>
      <c r="B2118">
        <v>1.1399999999999999</v>
      </c>
    </row>
    <row r="2119" spans="1:2">
      <c r="A2119" s="1">
        <v>45390</v>
      </c>
      <c r="B2119">
        <v>1.1299999999999999</v>
      </c>
    </row>
    <row r="2120" spans="1:2">
      <c r="A2120" s="1">
        <v>45391</v>
      </c>
      <c r="B2120">
        <v>1.1299999999999999</v>
      </c>
    </row>
    <row r="2121" spans="1:2">
      <c r="A2121" s="1">
        <v>45392</v>
      </c>
      <c r="B2121">
        <v>1.1100000000000001</v>
      </c>
    </row>
    <row r="2122" spans="1:2">
      <c r="A2122" s="1">
        <v>45393</v>
      </c>
      <c r="B2122">
        <v>1.1100000000000001</v>
      </c>
    </row>
    <row r="2123" spans="1:2">
      <c r="A2123" s="1">
        <v>45394</v>
      </c>
      <c r="B2123">
        <v>1.1299999999999999</v>
      </c>
    </row>
    <row r="2124" spans="1:2">
      <c r="A2124" s="1">
        <v>45397</v>
      </c>
      <c r="B2124">
        <v>1.1499999999999999</v>
      </c>
    </row>
    <row r="2125" spans="1:2">
      <c r="A2125" s="1">
        <v>45398</v>
      </c>
      <c r="B2125">
        <v>1.17</v>
      </c>
    </row>
    <row r="2126" spans="1:2">
      <c r="A2126" s="1">
        <v>45399</v>
      </c>
      <c r="B2126">
        <v>1.17</v>
      </c>
    </row>
    <row r="2127" spans="1:2">
      <c r="A2127" s="1">
        <v>45400</v>
      </c>
      <c r="B2127">
        <v>1.17</v>
      </c>
    </row>
    <row r="2128" spans="1:2">
      <c r="A2128" s="1">
        <v>45401</v>
      </c>
      <c r="B2128">
        <v>1.17</v>
      </c>
    </row>
    <row r="2129" spans="1:2">
      <c r="A2129" s="1">
        <v>45404</v>
      </c>
      <c r="B2129">
        <v>1.1599999999999999</v>
      </c>
    </row>
    <row r="2130" spans="1:2">
      <c r="A2130" s="1">
        <v>45405</v>
      </c>
      <c r="B2130">
        <v>1.1399999999999999</v>
      </c>
    </row>
    <row r="2131" spans="1:2">
      <c r="A2131" s="1">
        <v>45406</v>
      </c>
      <c r="B2131">
        <v>1.1399999999999999</v>
      </c>
    </row>
    <row r="2132" spans="1:2">
      <c r="A2132" s="1">
        <v>45407</v>
      </c>
      <c r="B2132">
        <v>1.1399999999999999</v>
      </c>
    </row>
    <row r="2133" spans="1:2">
      <c r="A2133" s="1">
        <v>45408</v>
      </c>
      <c r="B2133">
        <v>1.1299999999999999</v>
      </c>
    </row>
    <row r="2134" spans="1:2">
      <c r="A2134" s="1">
        <v>45411</v>
      </c>
      <c r="B2134">
        <v>1.1200000000000001</v>
      </c>
    </row>
    <row r="2135" spans="1:2">
      <c r="A2135" s="1">
        <v>45412</v>
      </c>
      <c r="B2135">
        <v>1.1399999999999999</v>
      </c>
    </row>
    <row r="2136" spans="1:2">
      <c r="A2136" s="1">
        <v>45413</v>
      </c>
      <c r="B2136">
        <v>1.1399999999999999</v>
      </c>
    </row>
    <row r="2137" spans="1:2">
      <c r="A2137" s="1">
        <v>45414</v>
      </c>
      <c r="B2137">
        <v>1.1299999999999999</v>
      </c>
    </row>
    <row r="2138" spans="1:2">
      <c r="A2138" s="1">
        <v>45415</v>
      </c>
      <c r="B2138">
        <v>1.1100000000000001</v>
      </c>
    </row>
    <row r="2139" spans="1:2">
      <c r="A2139" s="1">
        <v>45418</v>
      </c>
      <c r="B2139">
        <v>1.1000000000000001</v>
      </c>
    </row>
    <row r="2140" spans="1:2">
      <c r="A2140" s="1">
        <v>45419</v>
      </c>
      <c r="B2140">
        <v>1.1000000000000001</v>
      </c>
    </row>
    <row r="2141" spans="1:2">
      <c r="A2141" s="1">
        <v>45420</v>
      </c>
      <c r="B2141">
        <v>1.1100000000000001</v>
      </c>
    </row>
    <row r="2142" spans="1:2">
      <c r="A2142" s="1">
        <v>45421</v>
      </c>
      <c r="B2142">
        <v>1.1100000000000001</v>
      </c>
    </row>
    <row r="2143" spans="1:2">
      <c r="A2143" s="1">
        <v>45422</v>
      </c>
      <c r="B2143">
        <v>1.1200000000000001</v>
      </c>
    </row>
    <row r="2144" spans="1:2">
      <c r="A2144" s="1">
        <v>45425</v>
      </c>
      <c r="B2144">
        <v>1.1200000000000001</v>
      </c>
    </row>
    <row r="2145" spans="1:2">
      <c r="A2145" s="1">
        <v>45426</v>
      </c>
      <c r="B2145">
        <v>1.1200000000000001</v>
      </c>
    </row>
    <row r="2146" spans="1:2">
      <c r="A2146" s="1">
        <v>45427</v>
      </c>
      <c r="B2146">
        <v>1.1200000000000001</v>
      </c>
    </row>
    <row r="2147" spans="1:2">
      <c r="A2147" s="1">
        <v>45428</v>
      </c>
      <c r="B2147">
        <v>1.1100000000000001</v>
      </c>
    </row>
    <row r="2148" spans="1:2">
      <c r="A2148" s="1">
        <v>45429</v>
      </c>
      <c r="B2148">
        <v>1.1100000000000001</v>
      </c>
    </row>
    <row r="2149" spans="1:2">
      <c r="A2149" s="1">
        <v>45432</v>
      </c>
      <c r="B2149">
        <v>1.1000000000000001</v>
      </c>
    </row>
    <row r="2150" spans="1:2">
      <c r="A2150" s="1">
        <v>45433</v>
      </c>
      <c r="B2150">
        <v>1.1000000000000001</v>
      </c>
    </row>
    <row r="2151" spans="1:2">
      <c r="A2151" s="1">
        <v>45434</v>
      </c>
      <c r="B2151">
        <v>1.1100000000000001</v>
      </c>
    </row>
    <row r="2152" spans="1:2">
      <c r="A2152" s="1">
        <v>45435</v>
      </c>
      <c r="B2152">
        <v>1.1000000000000001</v>
      </c>
    </row>
    <row r="2153" spans="1:2">
      <c r="A2153" s="1">
        <v>45436</v>
      </c>
      <c r="B2153">
        <v>1.1000000000000001</v>
      </c>
    </row>
    <row r="2154" spans="1:2">
      <c r="A2154" s="1">
        <v>45439</v>
      </c>
      <c r="B2154">
        <v>1.1000000000000001</v>
      </c>
    </row>
    <row r="2155" spans="1:2">
      <c r="A2155" s="1">
        <v>45440</v>
      </c>
      <c r="B2155">
        <v>1.0900000000000001</v>
      </c>
    </row>
    <row r="2156" spans="1:2">
      <c r="A2156" s="1">
        <v>45441</v>
      </c>
      <c r="B2156">
        <v>1.0900000000000001</v>
      </c>
    </row>
    <row r="2157" spans="1:2">
      <c r="A2157" s="1">
        <v>45442</v>
      </c>
      <c r="B2157">
        <v>1.0900000000000001</v>
      </c>
    </row>
    <row r="2158" spans="1:2">
      <c r="A2158" s="1">
        <v>45443</v>
      </c>
      <c r="B2158">
        <v>1.1000000000000001</v>
      </c>
    </row>
    <row r="2159" spans="1:2">
      <c r="A2159" s="1">
        <v>45446</v>
      </c>
      <c r="B2159">
        <v>1.1000000000000001</v>
      </c>
    </row>
    <row r="2160" spans="1:2">
      <c r="A2160" s="1">
        <v>45447</v>
      </c>
      <c r="B2160">
        <v>1.1100000000000001</v>
      </c>
    </row>
    <row r="2161" spans="1:2">
      <c r="A2161" s="1">
        <v>45448</v>
      </c>
      <c r="B2161">
        <v>1.1299999999999999</v>
      </c>
    </row>
    <row r="2162" spans="1:2">
      <c r="A2162" s="1">
        <v>45449</v>
      </c>
      <c r="B2162">
        <v>1.1299999999999999</v>
      </c>
    </row>
    <row r="2163" spans="1:2">
      <c r="A2163" s="1">
        <v>45450</v>
      </c>
      <c r="B2163">
        <v>1.1200000000000001</v>
      </c>
    </row>
    <row r="2164" spans="1:2">
      <c r="A2164" s="1">
        <v>45453</v>
      </c>
      <c r="B2164">
        <v>1.1200000000000001</v>
      </c>
    </row>
    <row r="2165" spans="1:2">
      <c r="A2165" s="1">
        <v>45454</v>
      </c>
      <c r="B2165">
        <v>1.1200000000000001</v>
      </c>
    </row>
    <row r="2166" spans="1:2">
      <c r="A2166" s="1">
        <v>45455</v>
      </c>
      <c r="B2166">
        <v>1.1200000000000001</v>
      </c>
    </row>
    <row r="2167" spans="1:2">
      <c r="A2167" s="1">
        <v>45456</v>
      </c>
      <c r="B2167">
        <v>1.1399999999999999</v>
      </c>
    </row>
    <row r="2168" spans="1:2">
      <c r="A2168" s="1">
        <v>45457</v>
      </c>
      <c r="B2168">
        <v>1.17</v>
      </c>
    </row>
    <row r="2169" spans="1:2">
      <c r="A2169" s="1">
        <v>45460</v>
      </c>
      <c r="B2169">
        <v>1.17</v>
      </c>
    </row>
    <row r="2170" spans="1:2">
      <c r="A2170" s="1">
        <v>45461</v>
      </c>
      <c r="B2170">
        <v>1.17</v>
      </c>
    </row>
    <row r="2171" spans="1:2">
      <c r="A2171" s="1">
        <v>45462</v>
      </c>
      <c r="B2171">
        <v>1.18</v>
      </c>
    </row>
    <row r="2172" spans="1:2">
      <c r="A2172" s="1">
        <v>45463</v>
      </c>
      <c r="B2172">
        <v>1.18</v>
      </c>
    </row>
    <row r="2173" spans="1:2">
      <c r="A2173" s="1">
        <v>45464</v>
      </c>
      <c r="B2173">
        <v>1.18</v>
      </c>
    </row>
    <row r="2174" spans="1:2">
      <c r="A2174" s="1">
        <v>45467</v>
      </c>
      <c r="B2174">
        <v>1.18</v>
      </c>
    </row>
    <row r="2175" spans="1:2">
      <c r="A2175" s="1">
        <v>45468</v>
      </c>
      <c r="B2175">
        <v>1.18</v>
      </c>
    </row>
    <row r="2176" spans="1:2">
      <c r="A2176" s="1">
        <v>45469</v>
      </c>
      <c r="B2176">
        <v>1.18</v>
      </c>
    </row>
    <row r="2177" spans="1:2">
      <c r="A2177" s="1">
        <v>45470</v>
      </c>
      <c r="B2177">
        <v>1.18</v>
      </c>
    </row>
    <row r="2178" spans="1:2">
      <c r="A2178" s="1">
        <v>45471</v>
      </c>
      <c r="B2178">
        <v>1.17</v>
      </c>
    </row>
    <row r="2179" spans="1:2">
      <c r="A2179" s="1">
        <v>45473</v>
      </c>
      <c r="B2179">
        <v>1.19</v>
      </c>
    </row>
    <row r="2180" spans="1:2">
      <c r="A2180" s="1">
        <v>45474</v>
      </c>
      <c r="B2180">
        <v>1.1599999999999999</v>
      </c>
    </row>
    <row r="2181" spans="1:2">
      <c r="A2181" s="1">
        <v>45475</v>
      </c>
      <c r="B2181">
        <v>1.1499999999999999</v>
      </c>
    </row>
    <row r="2182" spans="1:2">
      <c r="A2182" s="1">
        <v>45476</v>
      </c>
      <c r="B2182">
        <v>1.1499999999999999</v>
      </c>
    </row>
    <row r="2183" spans="1:2">
      <c r="A2183" s="1">
        <v>45477</v>
      </c>
      <c r="B2183">
        <v>1.1499999999999999</v>
      </c>
    </row>
    <row r="2184" spans="1:2">
      <c r="A2184" s="1">
        <v>45478</v>
      </c>
      <c r="B2184">
        <v>1.1499999999999999</v>
      </c>
    </row>
    <row r="2185" spans="1:2">
      <c r="A2185" s="1">
        <v>45481</v>
      </c>
      <c r="B2185">
        <v>1.1399999999999999</v>
      </c>
    </row>
    <row r="2186" spans="1:2">
      <c r="A2186" s="1">
        <v>45482</v>
      </c>
      <c r="B2186">
        <v>1.1399999999999999</v>
      </c>
    </row>
    <row r="2187" spans="1:2">
      <c r="A2187" s="1">
        <v>45483</v>
      </c>
      <c r="B2187">
        <v>1.1399999999999999</v>
      </c>
    </row>
    <row r="2188" spans="1:2">
      <c r="A2188" s="1">
        <v>45484</v>
      </c>
      <c r="B2188">
        <v>1.1499999999999999</v>
      </c>
    </row>
    <row r="2189" spans="1:2">
      <c r="A2189" s="1">
        <v>45485</v>
      </c>
      <c r="B2189">
        <v>1.1399999999999999</v>
      </c>
    </row>
    <row r="2190" spans="1:2">
      <c r="A2190" s="1">
        <v>45488</v>
      </c>
      <c r="B2190">
        <v>1.1399999999999999</v>
      </c>
    </row>
    <row r="2191" spans="1:2">
      <c r="A2191" s="1">
        <v>45489</v>
      </c>
      <c r="B2191">
        <v>1.1399999999999999</v>
      </c>
    </row>
    <row r="2192" spans="1:2">
      <c r="A2192" s="1">
        <v>45490</v>
      </c>
      <c r="B2192">
        <v>1.1499999999999999</v>
      </c>
    </row>
    <row r="2193" spans="1:2">
      <c r="A2193" s="1">
        <v>45491</v>
      </c>
      <c r="B2193">
        <v>1.1499999999999999</v>
      </c>
    </row>
    <row r="2194" spans="1:2">
      <c r="A2194" s="1">
        <v>45492</v>
      </c>
      <c r="B2194">
        <v>1.1499999999999999</v>
      </c>
    </row>
    <row r="2195" spans="1:2">
      <c r="A2195" s="1">
        <v>45495</v>
      </c>
      <c r="B2195">
        <v>1.1499999999999999</v>
      </c>
    </row>
    <row r="2196" spans="1:2">
      <c r="A2196" s="1">
        <v>45496</v>
      </c>
      <c r="B2196">
        <v>1.1499999999999999</v>
      </c>
    </row>
    <row r="2197" spans="1:2">
      <c r="A2197" s="1">
        <v>45497</v>
      </c>
      <c r="B2197">
        <v>1.18</v>
      </c>
    </row>
    <row r="2198" spans="1:2">
      <c r="A2198" s="1">
        <v>45498</v>
      </c>
      <c r="B2198">
        <v>1.17</v>
      </c>
    </row>
    <row r="2199" spans="1:2">
      <c r="A2199" s="1">
        <v>45499</v>
      </c>
      <c r="B2199">
        <v>1.17</v>
      </c>
    </row>
    <row r="2200" spans="1:2">
      <c r="A2200" s="1">
        <v>45502</v>
      </c>
      <c r="B2200">
        <v>1.17</v>
      </c>
    </row>
    <row r="2201" spans="1:2">
      <c r="A2201" s="1">
        <v>45503</v>
      </c>
      <c r="B2201">
        <v>1.18</v>
      </c>
    </row>
    <row r="2202" spans="1:2">
      <c r="A2202" s="1">
        <v>45504</v>
      </c>
      <c r="B2202">
        <v>1.2</v>
      </c>
    </row>
    <row r="2203" spans="1:2">
      <c r="A2203" s="1">
        <v>45505</v>
      </c>
      <c r="B2203">
        <v>1.23</v>
      </c>
    </row>
    <row r="2204" spans="1:2">
      <c r="A2204" s="1">
        <v>45506</v>
      </c>
      <c r="B2204">
        <v>1.3</v>
      </c>
    </row>
    <row r="2205" spans="1:2">
      <c r="A2205" s="1">
        <v>45509</v>
      </c>
      <c r="B2205">
        <v>1.37</v>
      </c>
    </row>
    <row r="2206" spans="1:2">
      <c r="A2206" s="1">
        <v>45510</v>
      </c>
      <c r="B2206">
        <v>1.32</v>
      </c>
    </row>
    <row r="2207" spans="1:2">
      <c r="A2207" s="1">
        <v>45511</v>
      </c>
      <c r="B2207">
        <v>1.31</v>
      </c>
    </row>
    <row r="2208" spans="1:2">
      <c r="A2208" s="1">
        <v>45512</v>
      </c>
      <c r="B2208">
        <v>1.29</v>
      </c>
    </row>
    <row r="2209" spans="1:2">
      <c r="A2209" s="1">
        <v>45513</v>
      </c>
      <c r="B2209">
        <v>1.28</v>
      </c>
    </row>
    <row r="2210" spans="1:2">
      <c r="A2210" s="1">
        <v>45516</v>
      </c>
      <c r="B2210">
        <v>1.29</v>
      </c>
    </row>
    <row r="2211" spans="1:2">
      <c r="A2211" s="1">
        <v>45517</v>
      </c>
      <c r="B2211">
        <v>1.28</v>
      </c>
    </row>
    <row r="2212" spans="1:2">
      <c r="A2212" s="1">
        <v>45518</v>
      </c>
      <c r="B2212">
        <v>1.26</v>
      </c>
    </row>
    <row r="2213" spans="1:2">
      <c r="A2213" s="1">
        <v>45519</v>
      </c>
      <c r="B2213">
        <v>1.22</v>
      </c>
    </row>
    <row r="2214" spans="1:2">
      <c r="A2214" s="1">
        <v>45520</v>
      </c>
      <c r="B2214">
        <v>1.21</v>
      </c>
    </row>
    <row r="2215" spans="1:2">
      <c r="A2215" s="1">
        <v>45523</v>
      </c>
      <c r="B2215">
        <v>1.21</v>
      </c>
    </row>
    <row r="2216" spans="1:2">
      <c r="A2216" s="1">
        <v>45524</v>
      </c>
      <c r="B2216">
        <v>1.22</v>
      </c>
    </row>
    <row r="2217" spans="1:2">
      <c r="A2217" s="1">
        <v>45525</v>
      </c>
      <c r="B2217">
        <v>1.22</v>
      </c>
    </row>
    <row r="2218" spans="1:2">
      <c r="A2218" s="1">
        <v>45526</v>
      </c>
      <c r="B2218">
        <v>1.21</v>
      </c>
    </row>
    <row r="2219" spans="1:2">
      <c r="A2219" s="1">
        <v>45527</v>
      </c>
      <c r="B2219">
        <v>1.2</v>
      </c>
    </row>
    <row r="2220" spans="1:2">
      <c r="A2220" s="1">
        <v>45530</v>
      </c>
      <c r="B2220">
        <v>1.19</v>
      </c>
    </row>
    <row r="2221" spans="1:2">
      <c r="A2221" s="1">
        <v>45531</v>
      </c>
      <c r="B2221">
        <v>1.19</v>
      </c>
    </row>
    <row r="2222" spans="1:2">
      <c r="A2222" s="1">
        <v>45532</v>
      </c>
      <c r="B2222">
        <v>1.19</v>
      </c>
    </row>
    <row r="2223" spans="1:2">
      <c r="A2223" s="1">
        <v>45533</v>
      </c>
      <c r="B2223">
        <v>1.19</v>
      </c>
    </row>
    <row r="2224" spans="1:2">
      <c r="A2224" s="1">
        <v>45534</v>
      </c>
      <c r="B2224">
        <v>1.18</v>
      </c>
    </row>
    <row r="2225" spans="1:2">
      <c r="A2225" s="1">
        <v>45535</v>
      </c>
      <c r="B2225">
        <v>1.19</v>
      </c>
    </row>
    <row r="2226" spans="1:2">
      <c r="A2226" s="1">
        <v>45537</v>
      </c>
      <c r="B2226">
        <v>1.19</v>
      </c>
    </row>
    <row r="2227" spans="1:2">
      <c r="A2227" s="1">
        <v>45538</v>
      </c>
      <c r="B2227">
        <v>1.22</v>
      </c>
    </row>
    <row r="2228" spans="1:2">
      <c r="A2228" s="1">
        <v>45539</v>
      </c>
      <c r="B2228">
        <v>1.23</v>
      </c>
    </row>
    <row r="2229" spans="1:2">
      <c r="A2229" s="1">
        <v>45540</v>
      </c>
      <c r="B2229">
        <v>1.23</v>
      </c>
    </row>
    <row r="2230" spans="1:2">
      <c r="A2230" s="1">
        <v>45541</v>
      </c>
      <c r="B2230">
        <v>1.24</v>
      </c>
    </row>
    <row r="2231" spans="1:2">
      <c r="A2231" s="1">
        <v>45544</v>
      </c>
      <c r="B2231">
        <v>1.23</v>
      </c>
    </row>
    <row r="2232" spans="1:2">
      <c r="A2232" s="1">
        <v>45545</v>
      </c>
      <c r="B2232">
        <v>1.25</v>
      </c>
    </row>
    <row r="2233" spans="1:2">
      <c r="A2233" s="1">
        <v>45546</v>
      </c>
      <c r="B2233">
        <v>1.25</v>
      </c>
    </row>
    <row r="2234" spans="1:2">
      <c r="A2234" s="1">
        <v>45547</v>
      </c>
      <c r="B2234">
        <v>1.24</v>
      </c>
    </row>
    <row r="2235" spans="1:2">
      <c r="A2235" s="1">
        <v>45548</v>
      </c>
      <c r="B2235">
        <v>1.23</v>
      </c>
    </row>
    <row r="2236" spans="1:2">
      <c r="A2236" s="1">
        <v>45551</v>
      </c>
      <c r="B2236">
        <v>1.22</v>
      </c>
    </row>
    <row r="2237" spans="1:2">
      <c r="A2237" s="1">
        <v>45552</v>
      </c>
      <c r="B2237">
        <v>1.2</v>
      </c>
    </row>
    <row r="2238" spans="1:2">
      <c r="A2238" s="1">
        <v>45553</v>
      </c>
      <c r="B2238">
        <v>1.19</v>
      </c>
    </row>
    <row r="2239" spans="1:2">
      <c r="A2239" s="1">
        <v>45554</v>
      </c>
      <c r="B2239">
        <v>1.1599999999999999</v>
      </c>
    </row>
    <row r="2240" spans="1:2">
      <c r="A2240" s="1">
        <v>45555</v>
      </c>
      <c r="B2240">
        <v>1.17</v>
      </c>
    </row>
    <row r="2241" spans="1:2">
      <c r="A2241" s="1">
        <v>45558</v>
      </c>
      <c r="B2241">
        <v>1.1599999999999999</v>
      </c>
    </row>
    <row r="2242" spans="1:2">
      <c r="A2242" s="1">
        <v>45559</v>
      </c>
      <c r="B2242">
        <v>1.1499999999999999</v>
      </c>
    </row>
    <row r="2243" spans="1:2">
      <c r="A2243" s="1">
        <v>45560</v>
      </c>
      <c r="B2243">
        <v>1.1499999999999999</v>
      </c>
    </row>
    <row r="2244" spans="1:2">
      <c r="A2244" s="1">
        <v>45561</v>
      </c>
      <c r="B2244">
        <v>1.1499999999999999</v>
      </c>
    </row>
    <row r="2245" spans="1:2">
      <c r="A2245" s="1">
        <v>45562</v>
      </c>
      <c r="B2245">
        <v>1.1499999999999999</v>
      </c>
    </row>
    <row r="2246" spans="1:2">
      <c r="A2246" s="1">
        <v>45565</v>
      </c>
      <c r="B2246">
        <v>1.1599999999999999</v>
      </c>
    </row>
    <row r="2247" spans="1:2">
      <c r="A2247" s="1">
        <v>45566</v>
      </c>
      <c r="B2247">
        <v>1.1599999999999999</v>
      </c>
    </row>
    <row r="2248" spans="1:2">
      <c r="A2248" s="1">
        <v>45567</v>
      </c>
      <c r="B2248">
        <v>1.1499999999999999</v>
      </c>
    </row>
    <row r="2249" spans="1:2">
      <c r="A2249" s="1">
        <v>45568</v>
      </c>
      <c r="B2249">
        <v>1.1299999999999999</v>
      </c>
    </row>
    <row r="2250" spans="1:2">
      <c r="A2250" s="1">
        <v>45569</v>
      </c>
      <c r="B2250">
        <v>1.1000000000000001</v>
      </c>
    </row>
    <row r="2251" spans="1:2">
      <c r="A2251" s="1">
        <v>45572</v>
      </c>
      <c r="B2251">
        <v>1.0900000000000001</v>
      </c>
    </row>
    <row r="2252" spans="1:2">
      <c r="A2252" s="1">
        <v>45573</v>
      </c>
      <c r="B2252">
        <v>1.0900000000000001</v>
      </c>
    </row>
    <row r="2253" spans="1:2">
      <c r="A2253" s="1">
        <v>45574</v>
      </c>
      <c r="B2253">
        <v>1.08</v>
      </c>
    </row>
    <row r="2254" spans="1:2">
      <c r="A2254" s="1">
        <v>45575</v>
      </c>
      <c r="B2254">
        <v>1.07</v>
      </c>
    </row>
    <row r="2255" spans="1:2">
      <c r="A2255" s="1">
        <v>45576</v>
      </c>
      <c r="B2255">
        <v>1.06</v>
      </c>
    </row>
    <row r="2256" spans="1:2">
      <c r="A2256" s="1">
        <v>45579</v>
      </c>
      <c r="B2256">
        <v>1.06</v>
      </c>
    </row>
    <row r="2257" spans="1:2">
      <c r="A2257" s="1">
        <v>45580</v>
      </c>
      <c r="B2257">
        <v>1.05</v>
      </c>
    </row>
    <row r="2258" spans="1:2">
      <c r="A2258" s="1">
        <v>45581</v>
      </c>
      <c r="B2258">
        <v>1.05</v>
      </c>
    </row>
    <row r="2259" spans="1:2">
      <c r="A2259" s="1">
        <v>45582</v>
      </c>
      <c r="B2259">
        <v>1.04</v>
      </c>
    </row>
    <row r="2260" spans="1:2">
      <c r="A2260" s="1">
        <v>45583</v>
      </c>
      <c r="B2260">
        <v>1.05</v>
      </c>
    </row>
    <row r="2261" spans="1:2">
      <c r="A2261" s="1">
        <v>45586</v>
      </c>
      <c r="B2261">
        <v>1.07</v>
      </c>
    </row>
    <row r="2262" spans="1:2">
      <c r="A2262" s="1">
        <v>45587</v>
      </c>
      <c r="B2262">
        <v>1.07</v>
      </c>
    </row>
    <row r="2263" spans="1:2">
      <c r="A2263" s="1">
        <v>45588</v>
      </c>
      <c r="B2263">
        <v>1.08</v>
      </c>
    </row>
    <row r="2264" spans="1:2">
      <c r="A2264" s="1">
        <v>45589</v>
      </c>
      <c r="B2264">
        <v>1.08</v>
      </c>
    </row>
    <row r="2265" spans="1:2">
      <c r="A2265" s="1">
        <v>45590</v>
      </c>
      <c r="B2265">
        <v>1.07</v>
      </c>
    </row>
    <row r="2266" spans="1:2">
      <c r="A2266" s="1">
        <v>45593</v>
      </c>
      <c r="B2266">
        <v>1.06</v>
      </c>
    </row>
    <row r="2267" spans="1:2">
      <c r="A2267" s="1">
        <v>45594</v>
      </c>
      <c r="B2267">
        <v>1.06</v>
      </c>
    </row>
    <row r="2268" spans="1:2">
      <c r="A2268" s="1">
        <v>45595</v>
      </c>
      <c r="B2268">
        <v>1.06</v>
      </c>
    </row>
    <row r="2269" spans="1:2">
      <c r="A2269" s="1">
        <v>45596</v>
      </c>
      <c r="B2269">
        <v>1.08</v>
      </c>
    </row>
    <row r="2270" spans="1:2">
      <c r="A2270" s="1">
        <v>45597</v>
      </c>
      <c r="B2270">
        <v>1.07</v>
      </c>
    </row>
    <row r="2271" spans="1:2">
      <c r="A2271" s="1">
        <v>45600</v>
      </c>
      <c r="B2271">
        <v>1.07</v>
      </c>
    </row>
    <row r="2272" spans="1:2">
      <c r="A2272" s="1">
        <v>45601</v>
      </c>
      <c r="B2272">
        <v>1.06</v>
      </c>
    </row>
    <row r="2273" spans="1:2">
      <c r="A2273" s="1">
        <v>45602</v>
      </c>
      <c r="B2273">
        <v>1.01</v>
      </c>
    </row>
    <row r="2274" spans="1:2">
      <c r="A2274" s="1">
        <v>45603</v>
      </c>
      <c r="B2274">
        <v>0.99</v>
      </c>
    </row>
    <row r="2275" spans="1:2">
      <c r="A2275" s="1">
        <v>45604</v>
      </c>
      <c r="B2275">
        <v>0.98</v>
      </c>
    </row>
    <row r="2276" spans="1:2">
      <c r="A2276" s="1">
        <v>45607</v>
      </c>
      <c r="B2276">
        <v>0.98</v>
      </c>
    </row>
    <row r="2277" spans="1:2">
      <c r="A2277" s="1">
        <v>45608</v>
      </c>
      <c r="B2277">
        <v>0.97</v>
      </c>
    </row>
    <row r="2278" spans="1:2">
      <c r="A2278" s="1">
        <v>45609</v>
      </c>
      <c r="B2278">
        <v>0.99</v>
      </c>
    </row>
    <row r="2279" spans="1:2">
      <c r="A2279" s="1">
        <v>45610</v>
      </c>
      <c r="B2279">
        <v>1</v>
      </c>
    </row>
    <row r="2280" spans="1:2">
      <c r="A2280" s="1">
        <v>45611</v>
      </c>
      <c r="B2280">
        <v>1.01</v>
      </c>
    </row>
    <row r="2281" spans="1:2">
      <c r="A2281" s="1">
        <v>45614</v>
      </c>
      <c r="B2281">
        <v>1</v>
      </c>
    </row>
    <row r="2282" spans="1:2">
      <c r="A2282" s="1">
        <v>45615</v>
      </c>
      <c r="B2282">
        <v>1</v>
      </c>
    </row>
    <row r="2283" spans="1:2">
      <c r="A2283" s="1">
        <v>45616</v>
      </c>
      <c r="B2283">
        <v>1.01</v>
      </c>
    </row>
    <row r="2284" spans="1:2">
      <c r="A2284" s="1">
        <v>45617</v>
      </c>
      <c r="B2284">
        <v>1.01</v>
      </c>
    </row>
    <row r="2285" spans="1:2">
      <c r="A2285" s="1">
        <v>45618</v>
      </c>
      <c r="B2285">
        <v>1</v>
      </c>
    </row>
    <row r="2286" spans="1:2">
      <c r="A2286" s="1">
        <v>45621</v>
      </c>
      <c r="B2286">
        <v>1</v>
      </c>
    </row>
    <row r="2287" spans="1:2">
      <c r="A2287" s="1">
        <v>45622</v>
      </c>
      <c r="B2287">
        <v>1.01</v>
      </c>
    </row>
    <row r="2288" spans="1:2">
      <c r="A2288" s="1">
        <v>45623</v>
      </c>
      <c r="B2288">
        <v>1.02</v>
      </c>
    </row>
    <row r="2289" spans="1:2">
      <c r="A2289" s="1">
        <v>45624</v>
      </c>
      <c r="B2289">
        <v>1.02</v>
      </c>
    </row>
    <row r="2290" spans="1:2">
      <c r="A2290" s="1">
        <v>45625</v>
      </c>
      <c r="B2290">
        <v>1.02</v>
      </c>
    </row>
    <row r="2291" spans="1:2">
      <c r="A2291" s="1">
        <v>45626</v>
      </c>
      <c r="B2291">
        <v>1.03</v>
      </c>
    </row>
    <row r="2292" spans="1:2">
      <c r="A2292" s="1">
        <v>45628</v>
      </c>
      <c r="B2292">
        <v>1.01</v>
      </c>
    </row>
    <row r="2293" spans="1:2">
      <c r="A2293" s="1">
        <v>45629</v>
      </c>
      <c r="B2293">
        <v>1</v>
      </c>
    </row>
    <row r="2294" spans="1:2">
      <c r="A2294" s="1">
        <v>45630</v>
      </c>
      <c r="B2294">
        <v>1.01</v>
      </c>
    </row>
    <row r="2295" spans="1:2">
      <c r="A2295" s="1">
        <v>45631</v>
      </c>
      <c r="B2295">
        <v>1.01</v>
      </c>
    </row>
    <row r="2296" spans="1:2">
      <c r="A2296" s="1">
        <v>45632</v>
      </c>
      <c r="B2296">
        <v>1.02</v>
      </c>
    </row>
    <row r="2297" spans="1:2">
      <c r="A2297" s="1">
        <v>45635</v>
      </c>
      <c r="B2297">
        <v>1.01</v>
      </c>
    </row>
    <row r="2298" spans="1:2">
      <c r="A2298" s="1">
        <v>45636</v>
      </c>
      <c r="B2298">
        <v>1</v>
      </c>
    </row>
    <row r="2299" spans="1:2">
      <c r="A2299" s="1">
        <v>45637</v>
      </c>
      <c r="B2299">
        <v>0.98</v>
      </c>
    </row>
    <row r="2300" spans="1:2">
      <c r="A2300" s="1">
        <v>45638</v>
      </c>
      <c r="B2300">
        <v>0.99</v>
      </c>
    </row>
    <row r="2301" spans="1:2">
      <c r="A2301" s="1">
        <v>45639</v>
      </c>
      <c r="B2301">
        <v>0.98</v>
      </c>
    </row>
    <row r="2302" spans="1:2">
      <c r="A2302" s="1">
        <v>45642</v>
      </c>
      <c r="B2302">
        <v>0.98</v>
      </c>
    </row>
    <row r="2303" spans="1:2">
      <c r="A2303" s="1">
        <v>45643</v>
      </c>
      <c r="B2303">
        <v>0.99</v>
      </c>
    </row>
    <row r="2304" spans="1:2">
      <c r="A2304" s="1">
        <v>45644</v>
      </c>
      <c r="B2304">
        <v>0.98</v>
      </c>
    </row>
    <row r="2305" spans="1:2">
      <c r="A2305" s="1">
        <v>45645</v>
      </c>
      <c r="B2305">
        <v>1.02</v>
      </c>
    </row>
    <row r="2306" spans="1:2">
      <c r="A2306" s="1">
        <v>45646</v>
      </c>
      <c r="B2306">
        <v>1.02</v>
      </c>
    </row>
    <row r="2307" spans="1:2">
      <c r="A2307" s="1">
        <v>45649</v>
      </c>
      <c r="B2307">
        <v>1.02</v>
      </c>
    </row>
    <row r="2308" spans="1:2">
      <c r="A2308" s="1">
        <v>45650</v>
      </c>
      <c r="B2308">
        <v>1.01</v>
      </c>
    </row>
    <row r="2309" spans="1:2">
      <c r="A2309" s="1">
        <v>45651</v>
      </c>
    </row>
    <row r="2310" spans="1:2">
      <c r="A2310" s="1">
        <v>45652</v>
      </c>
      <c r="B2310">
        <v>1</v>
      </c>
    </row>
    <row r="2311" spans="1:2">
      <c r="A2311" s="1">
        <v>45653</v>
      </c>
      <c r="B2311">
        <v>1</v>
      </c>
    </row>
    <row r="2312" spans="1:2">
      <c r="A2312" s="1">
        <v>45656</v>
      </c>
      <c r="B2312">
        <v>1.01</v>
      </c>
    </row>
    <row r="2313" spans="1:2">
      <c r="A2313" s="1">
        <v>45657</v>
      </c>
      <c r="B2313">
        <v>1.02</v>
      </c>
    </row>
    <row r="2314" spans="1:2">
      <c r="A2314" s="1">
        <v>45658</v>
      </c>
    </row>
    <row r="2315" spans="1:2">
      <c r="A2315" s="1">
        <v>45659</v>
      </c>
      <c r="B2315">
        <v>1.02</v>
      </c>
    </row>
    <row r="2316" spans="1:2">
      <c r="A2316" s="1">
        <v>45660</v>
      </c>
      <c r="B2316">
        <v>1.02</v>
      </c>
    </row>
    <row r="2317" spans="1:2">
      <c r="A2317" s="1">
        <v>45663</v>
      </c>
      <c r="B2317">
        <v>1.03</v>
      </c>
    </row>
    <row r="2318" spans="1:2">
      <c r="A2318" s="1">
        <v>45664</v>
      </c>
      <c r="B2318">
        <v>1.04</v>
      </c>
    </row>
    <row r="2319" spans="1:2">
      <c r="A2319" s="1">
        <v>45665</v>
      </c>
      <c r="B2319">
        <v>1.03</v>
      </c>
    </row>
    <row r="2320" spans="1:2">
      <c r="A2320" s="1">
        <v>45666</v>
      </c>
      <c r="B2320">
        <v>1.03</v>
      </c>
    </row>
    <row r="2321" spans="1:2">
      <c r="A2321" s="1">
        <v>45667</v>
      </c>
      <c r="B2321">
        <v>1.03</v>
      </c>
    </row>
    <row r="2322" spans="1:2">
      <c r="A2322" s="1">
        <v>45670</v>
      </c>
      <c r="B2322">
        <v>1.04</v>
      </c>
    </row>
    <row r="2323" spans="1:2">
      <c r="A2323" s="1">
        <v>45671</v>
      </c>
      <c r="B2323">
        <v>1.04</v>
      </c>
    </row>
    <row r="2324" spans="1:2">
      <c r="A2324" s="1">
        <v>45672</v>
      </c>
      <c r="B2324">
        <v>1.03</v>
      </c>
    </row>
    <row r="2325" spans="1:2">
      <c r="A2325" s="1">
        <v>45673</v>
      </c>
      <c r="B2325">
        <v>1.03</v>
      </c>
    </row>
    <row r="2326" spans="1:2">
      <c r="A2326" s="1">
        <v>45674</v>
      </c>
      <c r="B2326">
        <v>1.02</v>
      </c>
    </row>
    <row r="2327" spans="1:2">
      <c r="A2327" s="1">
        <v>45677</v>
      </c>
      <c r="B2327">
        <v>1.02</v>
      </c>
    </row>
    <row r="2328" spans="1:2">
      <c r="A2328" s="1">
        <v>45678</v>
      </c>
      <c r="B2328">
        <v>1.02</v>
      </c>
    </row>
    <row r="2329" spans="1:2">
      <c r="A2329" s="1">
        <v>45679</v>
      </c>
      <c r="B2329">
        <v>1.01</v>
      </c>
    </row>
    <row r="2330" spans="1:2">
      <c r="A2330" s="1">
        <v>45680</v>
      </c>
      <c r="B2330">
        <v>1</v>
      </c>
    </row>
    <row r="2331" spans="1:2">
      <c r="A2331" s="1">
        <v>45681</v>
      </c>
      <c r="B2331">
        <v>1</v>
      </c>
    </row>
    <row r="2332" spans="1:2">
      <c r="A2332" s="1">
        <v>45684</v>
      </c>
      <c r="B2332">
        <v>1.01</v>
      </c>
    </row>
    <row r="2333" spans="1:2">
      <c r="A2333" s="1">
        <v>45685</v>
      </c>
      <c r="B2333">
        <v>1</v>
      </c>
    </row>
    <row r="2334" spans="1:2">
      <c r="A2334" s="1">
        <v>45686</v>
      </c>
      <c r="B2334">
        <v>1.01</v>
      </c>
    </row>
    <row r="2335" spans="1:2">
      <c r="A2335" s="1">
        <v>45687</v>
      </c>
      <c r="B2335">
        <v>1.01</v>
      </c>
    </row>
    <row r="2336" spans="1:2">
      <c r="A2336" s="1">
        <v>45688</v>
      </c>
      <c r="B2336">
        <v>1.02</v>
      </c>
    </row>
    <row r="2337" spans="1:2">
      <c r="A2337" s="1">
        <v>45691</v>
      </c>
      <c r="B2337">
        <v>1.03</v>
      </c>
    </row>
    <row r="2338" spans="1:2">
      <c r="A2338" s="1">
        <v>45692</v>
      </c>
      <c r="B2338">
        <v>1.03</v>
      </c>
    </row>
    <row r="2339" spans="1:2">
      <c r="A2339" s="1">
        <v>45693</v>
      </c>
      <c r="B2339">
        <v>1.03</v>
      </c>
    </row>
    <row r="2340" spans="1:2">
      <c r="A2340" s="1">
        <v>45694</v>
      </c>
      <c r="B2340">
        <v>1.04</v>
      </c>
    </row>
    <row r="2341" spans="1:2">
      <c r="A2341" s="1">
        <v>45695</v>
      </c>
      <c r="B2341">
        <v>1.04</v>
      </c>
    </row>
    <row r="2342" spans="1:2">
      <c r="A2342" s="1">
        <v>45698</v>
      </c>
      <c r="B2342">
        <v>1.04</v>
      </c>
    </row>
    <row r="2343" spans="1:2">
      <c r="A2343" s="1">
        <v>45699</v>
      </c>
      <c r="B2343">
        <v>1.03</v>
      </c>
    </row>
    <row r="2344" spans="1:2">
      <c r="A2344" s="1">
        <v>45700</v>
      </c>
      <c r="B2344">
        <v>1.01</v>
      </c>
    </row>
    <row r="2345" spans="1:2">
      <c r="A2345" s="1">
        <v>45701</v>
      </c>
      <c r="B2345">
        <v>1</v>
      </c>
    </row>
    <row r="2346" spans="1:2">
      <c r="A2346" s="1">
        <v>45702</v>
      </c>
      <c r="B2346">
        <v>1</v>
      </c>
    </row>
    <row r="2347" spans="1:2">
      <c r="A2347" s="1">
        <v>45705</v>
      </c>
      <c r="B2347">
        <v>1</v>
      </c>
    </row>
    <row r="2348" spans="1:2">
      <c r="A2348" s="1">
        <v>45706</v>
      </c>
      <c r="B2348">
        <v>0.98</v>
      </c>
    </row>
    <row r="2349" spans="1:2">
      <c r="A2349" s="1">
        <v>45707</v>
      </c>
      <c r="B2349">
        <v>0.99</v>
      </c>
    </row>
    <row r="2350" spans="1:2">
      <c r="A2350" s="1">
        <v>45708</v>
      </c>
      <c r="B2350">
        <v>0.99</v>
      </c>
    </row>
    <row r="2351" spans="1:2">
      <c r="A2351" s="1">
        <v>45709</v>
      </c>
      <c r="B2351">
        <v>1.01</v>
      </c>
    </row>
    <row r="2352" spans="1:2">
      <c r="A2352" s="1">
        <v>45712</v>
      </c>
      <c r="B2352">
        <v>1.01</v>
      </c>
    </row>
    <row r="2353" spans="1:2">
      <c r="A2353" s="1">
        <v>45713</v>
      </c>
      <c r="B2353">
        <v>1.03</v>
      </c>
    </row>
    <row r="2354" spans="1:2">
      <c r="A2354" s="1">
        <v>45714</v>
      </c>
      <c r="B2354">
        <v>1.04</v>
      </c>
    </row>
    <row r="2355" spans="1:2">
      <c r="A2355" s="1">
        <v>45715</v>
      </c>
      <c r="B2355">
        <v>1.05</v>
      </c>
    </row>
    <row r="2356" spans="1:2">
      <c r="A2356" s="1">
        <v>45716</v>
      </c>
      <c r="B2356">
        <v>1.0900000000000001</v>
      </c>
    </row>
    <row r="2357" spans="1:2">
      <c r="A2357" s="1">
        <v>45719</v>
      </c>
      <c r="B2357">
        <v>1.1000000000000001</v>
      </c>
    </row>
    <row r="2358" spans="1:2">
      <c r="A2358" s="1">
        <v>45720</v>
      </c>
      <c r="B2358">
        <v>1.1100000000000001</v>
      </c>
    </row>
    <row r="2359" spans="1:2">
      <c r="A2359" s="1">
        <v>45721</v>
      </c>
      <c r="B2359">
        <v>1.08</v>
      </c>
    </row>
    <row r="2360" spans="1:2">
      <c r="A2360" s="1">
        <v>45722</v>
      </c>
      <c r="B2360">
        <v>1.0900000000000001</v>
      </c>
    </row>
    <row r="2361" spans="1:2">
      <c r="A2361" s="1">
        <v>45723</v>
      </c>
      <c r="B2361">
        <v>1.1000000000000001</v>
      </c>
    </row>
    <row r="2362" spans="1:2">
      <c r="A2362" s="1">
        <v>45726</v>
      </c>
      <c r="B2362">
        <v>1.1299999999999999</v>
      </c>
    </row>
    <row r="2363" spans="1:2">
      <c r="A2363" s="1">
        <v>45727</v>
      </c>
      <c r="B2363">
        <v>1.1599999999999999</v>
      </c>
    </row>
    <row r="2364" spans="1:2">
      <c r="A2364" s="1">
        <v>45728</v>
      </c>
      <c r="B2364">
        <v>1.17</v>
      </c>
    </row>
    <row r="2365" spans="1:2">
      <c r="A2365" s="1">
        <v>45729</v>
      </c>
      <c r="B2365">
        <v>1.2</v>
      </c>
    </row>
    <row r="2366" spans="1:2">
      <c r="A2366" s="1">
        <v>45730</v>
      </c>
      <c r="B2366">
        <v>1.1599999999999999</v>
      </c>
    </row>
    <row r="2367" spans="1:2">
      <c r="A2367" s="1">
        <v>45733</v>
      </c>
      <c r="B2367">
        <v>1.1499999999999999</v>
      </c>
    </row>
    <row r="2368" spans="1:2">
      <c r="A2368" s="1">
        <v>45734</v>
      </c>
      <c r="B2368">
        <v>1.1499999999999999</v>
      </c>
    </row>
    <row r="2369" spans="1:2">
      <c r="A2369" s="1">
        <v>45735</v>
      </c>
      <c r="B2369">
        <v>1.1299999999999999</v>
      </c>
    </row>
    <row r="2370" spans="1:2">
      <c r="A2370" s="1">
        <v>45736</v>
      </c>
      <c r="B2370">
        <v>1.1299999999999999</v>
      </c>
    </row>
    <row r="2371" spans="1:2">
      <c r="A2371" s="1">
        <v>45737</v>
      </c>
      <c r="B2371">
        <v>1.1399999999999999</v>
      </c>
    </row>
    <row r="2372" spans="1:2">
      <c r="A2372" s="1">
        <v>45740</v>
      </c>
      <c r="B2372">
        <v>1.1200000000000001</v>
      </c>
    </row>
    <row r="2373" spans="1:2">
      <c r="A2373" s="1">
        <v>45741</v>
      </c>
      <c r="B2373">
        <v>1.1200000000000001</v>
      </c>
    </row>
    <row r="2374" spans="1:2">
      <c r="A2374" s="1">
        <v>45742</v>
      </c>
      <c r="B2374">
        <v>1.1299999999999999</v>
      </c>
    </row>
    <row r="2375" spans="1:2">
      <c r="A2375" s="1">
        <v>45743</v>
      </c>
      <c r="B2375">
        <v>1.1399999999999999</v>
      </c>
    </row>
    <row r="2376" spans="1:2">
      <c r="A2376" s="1">
        <v>45744</v>
      </c>
      <c r="B2376">
        <v>1.17</v>
      </c>
    </row>
    <row r="2377" spans="1:2">
      <c r="A2377" s="1">
        <v>45747</v>
      </c>
      <c r="B2377">
        <v>1.2</v>
      </c>
    </row>
    <row r="2378" spans="1:2">
      <c r="A2378" s="1">
        <v>45748</v>
      </c>
      <c r="B2378">
        <v>1.21</v>
      </c>
    </row>
    <row r="2379" spans="1:2">
      <c r="A2379" s="1">
        <v>45749</v>
      </c>
      <c r="B2379">
        <v>1.19</v>
      </c>
    </row>
    <row r="2380" spans="1:2">
      <c r="A2380" s="1">
        <v>45750</v>
      </c>
      <c r="B2380">
        <v>1.3</v>
      </c>
    </row>
    <row r="2381" spans="1:2">
      <c r="A2381" s="1">
        <v>45751</v>
      </c>
      <c r="B2381">
        <v>1.41</v>
      </c>
    </row>
    <row r="2382" spans="1:2">
      <c r="A2382" s="1">
        <v>45754</v>
      </c>
      <c r="B2382">
        <v>1.48</v>
      </c>
    </row>
    <row r="2383" spans="1:2">
      <c r="A2383" s="1">
        <v>45755</v>
      </c>
      <c r="B2383">
        <v>1.46</v>
      </c>
    </row>
    <row r="2384" spans="1:2">
      <c r="A2384" s="1">
        <v>45756</v>
      </c>
      <c r="B2384">
        <v>1.49</v>
      </c>
    </row>
    <row r="2385" spans="1:2">
      <c r="A2385" s="1">
        <v>45757</v>
      </c>
      <c r="B2385">
        <v>1.46</v>
      </c>
    </row>
    <row r="2386" spans="1:2">
      <c r="A2386" s="1">
        <v>45758</v>
      </c>
      <c r="B2386">
        <v>1.46</v>
      </c>
    </row>
    <row r="2387" spans="1:2">
      <c r="A2387" s="1">
        <v>45761</v>
      </c>
      <c r="B2387">
        <v>1.43</v>
      </c>
    </row>
    <row r="2388" spans="1:2">
      <c r="A2388" s="1">
        <v>45762</v>
      </c>
      <c r="B2388">
        <v>1.42</v>
      </c>
    </row>
    <row r="2389" spans="1:2">
      <c r="A2389" s="1">
        <v>45763</v>
      </c>
      <c r="B2389">
        <v>1.41</v>
      </c>
    </row>
    <row r="2390" spans="1:2">
      <c r="A2390" s="1">
        <v>45764</v>
      </c>
      <c r="B2390">
        <v>1.39</v>
      </c>
    </row>
    <row r="2391" spans="1:2">
      <c r="A2391" s="1">
        <v>45765</v>
      </c>
    </row>
    <row r="2392" spans="1:2">
      <c r="A2392" s="1">
        <v>45768</v>
      </c>
      <c r="B2392">
        <v>1.4</v>
      </c>
    </row>
    <row r="2393" spans="1:2">
      <c r="A2393" s="1">
        <v>45769</v>
      </c>
      <c r="B2393">
        <v>1.39</v>
      </c>
    </row>
    <row r="2394" spans="1:2">
      <c r="A2394" s="1">
        <v>45770</v>
      </c>
      <c r="B2394">
        <v>1.35</v>
      </c>
    </row>
    <row r="2395" spans="1:2">
      <c r="A2395" s="1">
        <v>45771</v>
      </c>
      <c r="B2395">
        <v>1.33</v>
      </c>
    </row>
    <row r="2396" spans="1:2">
      <c r="A2396" s="1">
        <v>45772</v>
      </c>
      <c r="B2396">
        <v>1.31</v>
      </c>
    </row>
    <row r="2397" spans="1:2">
      <c r="A2397" s="1">
        <v>45775</v>
      </c>
      <c r="B2397">
        <v>1.31</v>
      </c>
    </row>
    <row r="2398" spans="1:2">
      <c r="A2398" s="1">
        <v>45776</v>
      </c>
      <c r="B2398">
        <v>1.33</v>
      </c>
    </row>
    <row r="2399" spans="1:2">
      <c r="A2399" s="1">
        <v>45777</v>
      </c>
      <c r="B2399">
        <v>1.37</v>
      </c>
    </row>
    <row r="2400" spans="1:2">
      <c r="A2400" s="1">
        <v>45778</v>
      </c>
      <c r="B2400">
        <v>1.38</v>
      </c>
    </row>
    <row r="2401" spans="1:2">
      <c r="A2401" s="1">
        <v>45779</v>
      </c>
      <c r="B2401">
        <v>1.34</v>
      </c>
    </row>
    <row r="2402" spans="1:2">
      <c r="A2402" s="1">
        <v>45782</v>
      </c>
      <c r="B2402">
        <v>1.33</v>
      </c>
    </row>
    <row r="2403" spans="1:2">
      <c r="A2403" s="1">
        <v>45783</v>
      </c>
      <c r="B2403">
        <v>1.33</v>
      </c>
    </row>
    <row r="2404" spans="1:2">
      <c r="A2404" s="1">
        <v>45784</v>
      </c>
      <c r="B2404">
        <v>1.32</v>
      </c>
    </row>
    <row r="2405" spans="1:2">
      <c r="A2405" s="1">
        <v>45785</v>
      </c>
      <c r="B2405">
        <v>1.29</v>
      </c>
    </row>
    <row r="2406" spans="1:2">
      <c r="A2406" s="1">
        <v>45786</v>
      </c>
      <c r="B2406">
        <v>1.29</v>
      </c>
    </row>
    <row r="2407" spans="1:2">
      <c r="A2407" s="1">
        <v>45789</v>
      </c>
      <c r="B2407">
        <v>1.22</v>
      </c>
    </row>
    <row r="2408" spans="1:2">
      <c r="A2408" s="1">
        <v>45790</v>
      </c>
      <c r="B2408">
        <v>1.19</v>
      </c>
    </row>
    <row r="2409" spans="1:2">
      <c r="A2409" s="1">
        <v>45791</v>
      </c>
      <c r="B2409">
        <v>1.18</v>
      </c>
    </row>
    <row r="2410" spans="1:2">
      <c r="A2410" s="1">
        <v>45792</v>
      </c>
      <c r="B2410">
        <v>1.19</v>
      </c>
    </row>
    <row r="2411" spans="1:2">
      <c r="A2411" s="1">
        <v>45793</v>
      </c>
      <c r="B2411">
        <v>1.17</v>
      </c>
    </row>
    <row r="2412" spans="1:2">
      <c r="A2412" s="1">
        <v>45796</v>
      </c>
      <c r="B2412">
        <v>1.1599999999999999</v>
      </c>
    </row>
    <row r="2413" spans="1:2">
      <c r="A2413" s="1">
        <v>45797</v>
      </c>
      <c r="B2413">
        <v>1.1499999999999999</v>
      </c>
    </row>
    <row r="2414" spans="1:2">
      <c r="A2414" s="1">
        <v>45798</v>
      </c>
      <c r="B2414">
        <v>1.1499999999999999</v>
      </c>
    </row>
    <row r="2415" spans="1:2">
      <c r="A2415" s="1">
        <v>45799</v>
      </c>
      <c r="B2415">
        <v>1.1599999999999999</v>
      </c>
    </row>
    <row r="2416" spans="1:2">
      <c r="A2416" s="1">
        <v>45800</v>
      </c>
      <c r="B2416">
        <v>1.18</v>
      </c>
    </row>
    <row r="2417" spans="1:2">
      <c r="A2417" s="1">
        <v>45803</v>
      </c>
      <c r="B2417">
        <v>1.18</v>
      </c>
    </row>
    <row r="2418" spans="1:2">
      <c r="A2418" s="1">
        <v>45804</v>
      </c>
      <c r="B2418">
        <v>1.1499999999999999</v>
      </c>
    </row>
    <row r="2419" spans="1:2">
      <c r="A2419" s="1">
        <v>45805</v>
      </c>
      <c r="B2419">
        <v>1.1399999999999999</v>
      </c>
    </row>
    <row r="2420" spans="1:2">
      <c r="A2420" s="1">
        <v>45806</v>
      </c>
      <c r="B2420">
        <v>1.1399999999999999</v>
      </c>
    </row>
    <row r="2421" spans="1:2">
      <c r="A2421" s="1">
        <v>45807</v>
      </c>
      <c r="B2421">
        <v>1.1499999999999999</v>
      </c>
    </row>
    <row r="2422" spans="1:2">
      <c r="A2422" s="1">
        <v>45808</v>
      </c>
      <c r="B2422">
        <v>1.1599999999999999</v>
      </c>
    </row>
    <row r="2423" spans="1:2">
      <c r="A2423" s="1">
        <v>45810</v>
      </c>
      <c r="B2423">
        <v>1.1499999999999999</v>
      </c>
    </row>
    <row r="2424" spans="1:2">
      <c r="A2424" s="1">
        <v>45811</v>
      </c>
      <c r="B2424">
        <v>1.1200000000000001</v>
      </c>
    </row>
    <row r="2425" spans="1:2">
      <c r="A2425" s="1">
        <v>45812</v>
      </c>
      <c r="B2425">
        <v>1.1200000000000001</v>
      </c>
    </row>
    <row r="2426" spans="1:2">
      <c r="A2426" s="1">
        <v>45813</v>
      </c>
      <c r="B2426">
        <v>1.1200000000000001</v>
      </c>
    </row>
    <row r="2427" spans="1:2">
      <c r="A2427" s="1">
        <v>45814</v>
      </c>
      <c r="B2427">
        <v>1.1000000000000001</v>
      </c>
    </row>
    <row r="2428" spans="1:2">
      <c r="A2428" s="1">
        <v>45817</v>
      </c>
      <c r="B2428">
        <v>1.0900000000000001</v>
      </c>
    </row>
    <row r="2429" spans="1:2">
      <c r="A2429" s="1">
        <v>45818</v>
      </c>
      <c r="B2429">
        <v>1.0900000000000001</v>
      </c>
    </row>
    <row r="2430" spans="1:2">
      <c r="A2430" s="1">
        <v>45819</v>
      </c>
      <c r="B2430">
        <v>1.0900000000000001</v>
      </c>
    </row>
    <row r="2431" spans="1:2">
      <c r="A2431" s="1">
        <v>45820</v>
      </c>
      <c r="B2431">
        <v>1.1000000000000001</v>
      </c>
    </row>
    <row r="2432" spans="1:2">
      <c r="A2432" s="1">
        <v>45821</v>
      </c>
      <c r="B2432">
        <v>1.1000000000000001</v>
      </c>
    </row>
    <row r="2433" spans="1:2">
      <c r="A2433" s="1">
        <v>45824</v>
      </c>
      <c r="B2433">
        <v>1.08</v>
      </c>
    </row>
    <row r="2434" spans="1:2">
      <c r="A2434" s="1">
        <v>45825</v>
      </c>
      <c r="B2434">
        <v>1.1000000000000001</v>
      </c>
    </row>
    <row r="2435" spans="1:2">
      <c r="A2435" s="1">
        <v>45826</v>
      </c>
      <c r="B2435">
        <v>1.1000000000000001</v>
      </c>
    </row>
    <row r="2436" spans="1:2">
      <c r="A2436" s="1">
        <v>45827</v>
      </c>
      <c r="B2436">
        <v>1.1000000000000001</v>
      </c>
    </row>
    <row r="2437" spans="1:2">
      <c r="A2437" s="1">
        <v>45828</v>
      </c>
      <c r="B2437">
        <v>1.1000000000000001</v>
      </c>
    </row>
    <row r="2438" spans="1:2">
      <c r="A2438" s="1">
        <v>45831</v>
      </c>
      <c r="B2438">
        <v>1.1200000000000001</v>
      </c>
    </row>
    <row r="2439" spans="1:2">
      <c r="A2439" s="1">
        <v>45832</v>
      </c>
      <c r="B2439">
        <v>1.1000000000000001</v>
      </c>
    </row>
    <row r="2440" spans="1:2">
      <c r="A2440" s="1">
        <v>45833</v>
      </c>
      <c r="B2440">
        <v>1.1100000000000001</v>
      </c>
    </row>
    <row r="2441" spans="1:2">
      <c r="A2441" s="1">
        <v>45834</v>
      </c>
      <c r="B2441">
        <v>1.1100000000000001</v>
      </c>
    </row>
    <row r="2442" spans="1:2">
      <c r="A2442" s="1">
        <v>45835</v>
      </c>
      <c r="B2442">
        <v>1.1000000000000001</v>
      </c>
    </row>
    <row r="2443" spans="1:2">
      <c r="A2443" s="1">
        <v>45838</v>
      </c>
      <c r="B2443">
        <v>1.08</v>
      </c>
    </row>
    <row r="2444" spans="1:2">
      <c r="A2444" s="1">
        <v>45839</v>
      </c>
      <c r="B2444">
        <v>1.06</v>
      </c>
    </row>
    <row r="2445" spans="1:2">
      <c r="A2445" s="1">
        <v>45840</v>
      </c>
      <c r="B2445">
        <v>1.03</v>
      </c>
    </row>
    <row r="2446" spans="1:2">
      <c r="A2446" s="1">
        <v>45841</v>
      </c>
      <c r="B2446">
        <v>1.01</v>
      </c>
    </row>
    <row r="2447" spans="1:2">
      <c r="A2447" s="1">
        <v>45842</v>
      </c>
      <c r="B2447">
        <v>1.01</v>
      </c>
    </row>
    <row r="2448" spans="1:2">
      <c r="A2448" s="1">
        <v>45845</v>
      </c>
      <c r="B2448">
        <v>1.02</v>
      </c>
    </row>
    <row r="2449" spans="1:2">
      <c r="A2449" s="1">
        <v>45846</v>
      </c>
      <c r="B2449">
        <v>1.02</v>
      </c>
    </row>
    <row r="2450" spans="1:2">
      <c r="A2450" s="1">
        <v>45847</v>
      </c>
      <c r="B2450">
        <v>1.04</v>
      </c>
    </row>
    <row r="2451" spans="1:2">
      <c r="A2451" s="1">
        <v>45848</v>
      </c>
      <c r="B2451">
        <v>1.03</v>
      </c>
    </row>
    <row r="2452" spans="1:2">
      <c r="A2452" s="1">
        <v>45849</v>
      </c>
      <c r="B2452">
        <v>1.03</v>
      </c>
    </row>
    <row r="2453" spans="1:2">
      <c r="A2453" s="1">
        <v>45852</v>
      </c>
      <c r="B2453">
        <v>1.03</v>
      </c>
    </row>
    <row r="2454" spans="1:2">
      <c r="A2454" s="1">
        <v>45853</v>
      </c>
      <c r="B2454">
        <v>1.01</v>
      </c>
    </row>
    <row r="2455" spans="1:2">
      <c r="A2455" s="1">
        <v>45854</v>
      </c>
      <c r="B2455">
        <v>1.02</v>
      </c>
    </row>
    <row r="2456" spans="1:2">
      <c r="A2456" s="1">
        <v>45855</v>
      </c>
      <c r="B2456">
        <v>1.01</v>
      </c>
    </row>
    <row r="2457" spans="1:2">
      <c r="A2457" s="1">
        <v>45856</v>
      </c>
      <c r="B2457">
        <v>1.01</v>
      </c>
    </row>
    <row r="2458" spans="1:2">
      <c r="A2458" s="1">
        <v>45859</v>
      </c>
      <c r="B2458">
        <v>1.01</v>
      </c>
    </row>
    <row r="2459" spans="1:2">
      <c r="A2459" s="1">
        <v>45860</v>
      </c>
      <c r="B2459">
        <v>1.02</v>
      </c>
    </row>
    <row r="2460" spans="1:2">
      <c r="A2460" s="1">
        <v>45861</v>
      </c>
      <c r="B2460">
        <v>1</v>
      </c>
    </row>
    <row r="2461" spans="1:2">
      <c r="A2461" s="1">
        <v>45862</v>
      </c>
      <c r="B2461">
        <v>0.99</v>
      </c>
    </row>
    <row r="2462" spans="1:2">
      <c r="A2462" s="1">
        <v>45863</v>
      </c>
      <c r="B2462">
        <v>0.99</v>
      </c>
    </row>
    <row r="2463" spans="1:2">
      <c r="A2463" s="1">
        <v>45866</v>
      </c>
      <c r="B2463">
        <v>0.98</v>
      </c>
    </row>
    <row r="2464" spans="1:2">
      <c r="A2464" s="1">
        <v>45867</v>
      </c>
      <c r="B2464">
        <v>1</v>
      </c>
    </row>
    <row r="2465" spans="1:2">
      <c r="A2465" s="1">
        <v>45868</v>
      </c>
      <c r="B2465">
        <v>0.99</v>
      </c>
    </row>
    <row r="2466" spans="1:2">
      <c r="A2466" s="1">
        <v>45869</v>
      </c>
      <c r="B2466">
        <v>0.99</v>
      </c>
    </row>
    <row r="2467" spans="1:2">
      <c r="A2467" s="1">
        <v>45870</v>
      </c>
      <c r="B2467">
        <v>1.04</v>
      </c>
    </row>
    <row r="2468" spans="1:2">
      <c r="A2468" s="1">
        <v>45873</v>
      </c>
      <c r="B2468">
        <v>1.04</v>
      </c>
    </row>
    <row r="2469" spans="1:2">
      <c r="A2469" s="1">
        <v>45874</v>
      </c>
      <c r="B2469">
        <v>1.03</v>
      </c>
    </row>
    <row r="2470" spans="1:2">
      <c r="A2470" s="1">
        <v>45875</v>
      </c>
      <c r="B2470">
        <v>1.02</v>
      </c>
    </row>
    <row r="2471" spans="1:2">
      <c r="A2471" s="1">
        <v>45876</v>
      </c>
      <c r="B2471">
        <v>1.01</v>
      </c>
    </row>
    <row r="2472" spans="1:2">
      <c r="A2472" s="1">
        <v>45877</v>
      </c>
      <c r="B2472">
        <v>1.01</v>
      </c>
    </row>
    <row r="2473" spans="1:2">
      <c r="A2473" s="1">
        <v>45880</v>
      </c>
      <c r="B2473">
        <v>1.01</v>
      </c>
    </row>
    <row r="2474" spans="1:2">
      <c r="A2474" s="1">
        <v>45881</v>
      </c>
      <c r="B2474">
        <v>1</v>
      </c>
    </row>
    <row r="2475" spans="1:2">
      <c r="A2475" s="1">
        <v>45882</v>
      </c>
      <c r="B2475">
        <v>0.98</v>
      </c>
    </row>
    <row r="2476" spans="1:2">
      <c r="A2476" s="1">
        <v>45883</v>
      </c>
      <c r="B2476">
        <v>0.97</v>
      </c>
    </row>
    <row r="2477" spans="1:2">
      <c r="A2477" s="1">
        <v>45884</v>
      </c>
      <c r="B2477">
        <v>0.96</v>
      </c>
    </row>
    <row r="2478" spans="1:2">
      <c r="A2478" s="1">
        <v>45887</v>
      </c>
      <c r="B2478">
        <v>0.96</v>
      </c>
    </row>
    <row r="2479" spans="1:2">
      <c r="A2479" s="1">
        <v>45888</v>
      </c>
      <c r="B2479">
        <v>0.97</v>
      </c>
    </row>
    <row r="2480" spans="1:2">
      <c r="A2480" s="1">
        <v>45889</v>
      </c>
      <c r="B2480">
        <v>0.98</v>
      </c>
    </row>
    <row r="2481" spans="1:2">
      <c r="A2481" s="1">
        <v>45890</v>
      </c>
      <c r="B2481">
        <v>0.98</v>
      </c>
    </row>
    <row r="2482" spans="1:2">
      <c r="A2482" s="1">
        <v>45891</v>
      </c>
      <c r="B2482">
        <v>0.97</v>
      </c>
    </row>
    <row r="2483" spans="1:2">
      <c r="A2483" s="1">
        <v>45894</v>
      </c>
      <c r="B2483">
        <v>0.96</v>
      </c>
    </row>
    <row r="2484" spans="1:2">
      <c r="A2484" s="1">
        <v>45895</v>
      </c>
      <c r="B2484">
        <v>0.98</v>
      </c>
    </row>
    <row r="2485" spans="1:2">
      <c r="A2485" s="1">
        <v>45896</v>
      </c>
      <c r="B2485">
        <v>0.99</v>
      </c>
    </row>
    <row r="2486" spans="1:2">
      <c r="A2486" s="1">
        <v>45897</v>
      </c>
      <c r="B2486">
        <v>0.99</v>
      </c>
    </row>
    <row r="2487" spans="1:2">
      <c r="A2487" s="1">
        <v>45898</v>
      </c>
      <c r="B2487">
        <v>1.01</v>
      </c>
    </row>
    <row r="2488" spans="1:2">
      <c r="A2488" s="1">
        <v>45900</v>
      </c>
      <c r="B2488">
        <v>1.02</v>
      </c>
    </row>
    <row r="2489" spans="1:2">
      <c r="A2489" s="1">
        <v>45901</v>
      </c>
      <c r="B2489">
        <v>1.02</v>
      </c>
    </row>
    <row r="2490" spans="1:2">
      <c r="A2490" s="1">
        <v>45902</v>
      </c>
      <c r="B2490">
        <v>1.03</v>
      </c>
    </row>
    <row r="2491" spans="1:2">
      <c r="A2491" s="1">
        <v>45903</v>
      </c>
      <c r="B2491">
        <v>1.02</v>
      </c>
    </row>
    <row r="2492" spans="1:2">
      <c r="A2492" s="1">
        <v>45904</v>
      </c>
      <c r="B2492">
        <v>1</v>
      </c>
    </row>
    <row r="2493" spans="1:2">
      <c r="A2493" s="1">
        <v>45905</v>
      </c>
      <c r="B2493">
        <v>1</v>
      </c>
    </row>
    <row r="2494" spans="1:2">
      <c r="A2494" s="1">
        <v>45908</v>
      </c>
      <c r="B2494">
        <v>1.01</v>
      </c>
    </row>
    <row r="2495" spans="1:2">
      <c r="A2495" s="1">
        <v>45909</v>
      </c>
      <c r="B2495">
        <v>1.01</v>
      </c>
    </row>
    <row r="2496" spans="1:2">
      <c r="A2496" s="1">
        <v>45910</v>
      </c>
      <c r="B2496">
        <v>1</v>
      </c>
    </row>
    <row r="2497" spans="1:2">
      <c r="A2497" s="1">
        <v>45911</v>
      </c>
      <c r="B2497">
        <v>0.98</v>
      </c>
    </row>
    <row r="2498" spans="1:2">
      <c r="A2498" s="1">
        <v>45912</v>
      </c>
      <c r="B2498">
        <v>0.97</v>
      </c>
    </row>
    <row r="2499" spans="1:2">
      <c r="A2499" s="1">
        <v>45915</v>
      </c>
      <c r="B2499">
        <v>0.95</v>
      </c>
    </row>
    <row r="2500" spans="1:2">
      <c r="A2500" s="1">
        <v>45916</v>
      </c>
      <c r="B2500">
        <v>0.96</v>
      </c>
    </row>
    <row r="2501" spans="1:2">
      <c r="A2501" s="1">
        <v>45917</v>
      </c>
      <c r="B2501">
        <v>0.96</v>
      </c>
    </row>
    <row r="2502" spans="1:2">
      <c r="A2502" s="1">
        <v>45918</v>
      </c>
      <c r="B2502">
        <v>0.94</v>
      </c>
    </row>
    <row r="2503" spans="1:2">
      <c r="A2503" s="1">
        <v>45919</v>
      </c>
      <c r="B2503">
        <v>0.93</v>
      </c>
    </row>
    <row r="2504" spans="1:2">
      <c r="A2504" s="1">
        <v>45922</v>
      </c>
      <c r="B2504">
        <v>0.93</v>
      </c>
    </row>
    <row r="2505" spans="1:2">
      <c r="A2505" s="1">
        <v>45923</v>
      </c>
      <c r="B2505">
        <v>0.94</v>
      </c>
    </row>
    <row r="2506" spans="1:2">
      <c r="A2506" s="1">
        <v>45924</v>
      </c>
      <c r="B2506">
        <v>0.95</v>
      </c>
    </row>
    <row r="2507" spans="1:2">
      <c r="A2507" s="1">
        <v>45925</v>
      </c>
      <c r="B2507">
        <v>0.96</v>
      </c>
    </row>
    <row r="2508" spans="1:2">
      <c r="A2508" s="1">
        <v>45926</v>
      </c>
      <c r="B2508">
        <v>0.95</v>
      </c>
    </row>
    <row r="2509" spans="1:2">
      <c r="A2509" s="1">
        <v>45929</v>
      </c>
      <c r="B2509">
        <v>0.94</v>
      </c>
    </row>
    <row r="2510" spans="1:2">
      <c r="A2510" s="1">
        <v>45930</v>
      </c>
      <c r="B2510">
        <v>0.97</v>
      </c>
    </row>
    <row r="2511" spans="1:2">
      <c r="A2511" s="1">
        <v>45931</v>
      </c>
      <c r="B2511">
        <v>0.97</v>
      </c>
    </row>
    <row r="2512" spans="1:2">
      <c r="A2512" s="1">
        <v>45932</v>
      </c>
      <c r="B2512">
        <v>0.96</v>
      </c>
    </row>
    <row r="2513" spans="1:2">
      <c r="A2513" s="1">
        <v>45933</v>
      </c>
      <c r="B2513">
        <v>0.95</v>
      </c>
    </row>
    <row r="2514" spans="1:2">
      <c r="A2514" s="1">
        <v>45936</v>
      </c>
      <c r="B2514">
        <v>0.94</v>
      </c>
    </row>
    <row r="2515" spans="1:2">
      <c r="A2515" s="1">
        <v>45937</v>
      </c>
      <c r="B2515">
        <v>0.95</v>
      </c>
    </row>
    <row r="2516" spans="1:2">
      <c r="A2516" s="1">
        <v>45938</v>
      </c>
      <c r="B2516">
        <v>0.95</v>
      </c>
    </row>
    <row r="2517" spans="1:2">
      <c r="A2517" s="1">
        <v>45939</v>
      </c>
      <c r="B2517">
        <v>0.98</v>
      </c>
    </row>
    <row r="2518" spans="1:2">
      <c r="A2518" s="1">
        <v>45940</v>
      </c>
      <c r="B2518">
        <v>1.02</v>
      </c>
    </row>
    <row r="2519" spans="1:2">
      <c r="A2519" s="1">
        <v>45943</v>
      </c>
      <c r="B2519">
        <v>1.02</v>
      </c>
    </row>
    <row r="2520" spans="1:2">
      <c r="A2520" s="1">
        <v>45944</v>
      </c>
      <c r="B2520">
        <v>1.02</v>
      </c>
    </row>
    <row r="2521" spans="1:2">
      <c r="A2521" s="1">
        <v>45945</v>
      </c>
      <c r="B2521">
        <v>0.99</v>
      </c>
    </row>
    <row r="2522" spans="1:2">
      <c r="A2522" s="1">
        <v>45946</v>
      </c>
      <c r="B2522">
        <v>1.01</v>
      </c>
    </row>
    <row r="2523" spans="1:2">
      <c r="A2523" s="1">
        <v>45947</v>
      </c>
      <c r="B2523">
        <v>1.01</v>
      </c>
    </row>
    <row r="2524" spans="1:2">
      <c r="A2524" s="1">
        <v>45950</v>
      </c>
      <c r="B2524">
        <v>1</v>
      </c>
    </row>
    <row r="2525" spans="1:2">
      <c r="A2525" s="1">
        <v>45951</v>
      </c>
      <c r="B2525">
        <v>1.01</v>
      </c>
    </row>
    <row r="2526" spans="1:2">
      <c r="A2526" s="1">
        <v>45952</v>
      </c>
      <c r="B2526">
        <v>1.02</v>
      </c>
    </row>
    <row r="2527" spans="1:2">
      <c r="A2527" s="1">
        <v>45953</v>
      </c>
      <c r="B2527">
        <v>1</v>
      </c>
    </row>
    <row r="2528" spans="1:2">
      <c r="A2528" s="1">
        <v>45954</v>
      </c>
      <c r="B2528">
        <v>0.98</v>
      </c>
    </row>
    <row r="2529" spans="1:2">
      <c r="A2529" s="1">
        <v>45957</v>
      </c>
      <c r="B2529">
        <v>0.97</v>
      </c>
    </row>
    <row r="2530" spans="1:2">
      <c r="A2530" s="1">
        <v>45958</v>
      </c>
      <c r="B2530">
        <v>0.97</v>
      </c>
    </row>
    <row r="2531" spans="1:2">
      <c r="A2531" s="1">
        <v>45959</v>
      </c>
      <c r="B2531">
        <v>0.96</v>
      </c>
    </row>
    <row r="2532" spans="1:2">
      <c r="A2532" s="1">
        <v>45960</v>
      </c>
      <c r="B2532">
        <v>0.98</v>
      </c>
    </row>
    <row r="2533" spans="1:2">
      <c r="A2533" s="1">
        <v>45961</v>
      </c>
      <c r="B2533">
        <v>1.02</v>
      </c>
    </row>
    <row r="2534" spans="1:2">
      <c r="A2534" s="1">
        <v>45964</v>
      </c>
      <c r="B2534">
        <v>1.04</v>
      </c>
    </row>
    <row r="2535" spans="1:2">
      <c r="A2535" s="1">
        <v>45965</v>
      </c>
      <c r="B2535">
        <v>1.04</v>
      </c>
    </row>
    <row r="2536" spans="1:2">
      <c r="A2536" s="1">
        <v>45966</v>
      </c>
      <c r="B2536">
        <v>1.02</v>
      </c>
    </row>
    <row r="2537" spans="1:2">
      <c r="A2537" s="1">
        <v>45967</v>
      </c>
      <c r="B2537">
        <v>1.04</v>
      </c>
    </row>
    <row r="2538" spans="1:2">
      <c r="A2538" s="1">
        <v>45968</v>
      </c>
      <c r="B2538">
        <v>1.06</v>
      </c>
    </row>
    <row r="2539" spans="1:2">
      <c r="A2539" s="1">
        <v>45971</v>
      </c>
      <c r="B2539">
        <v>1.05</v>
      </c>
    </row>
    <row r="2540" spans="1:2">
      <c r="A2540" s="1">
        <v>45972</v>
      </c>
      <c r="B2540">
        <v>1.05</v>
      </c>
    </row>
    <row r="2541" spans="1:2">
      <c r="A2541" s="1">
        <v>45973</v>
      </c>
      <c r="B2541">
        <v>1.05</v>
      </c>
    </row>
    <row r="2542" spans="1:2">
      <c r="A2542" s="1">
        <v>45974</v>
      </c>
      <c r="B2542">
        <v>1.06</v>
      </c>
    </row>
    <row r="2543" spans="1:2">
      <c r="A2543" s="1">
        <v>45975</v>
      </c>
      <c r="B2543">
        <v>1.06</v>
      </c>
    </row>
    <row r="2544" spans="1:2">
      <c r="A2544" s="1">
        <v>45978</v>
      </c>
      <c r="B2544">
        <v>1.06</v>
      </c>
    </row>
    <row r="2545" spans="1:2">
      <c r="A2545" s="1">
        <v>45979</v>
      </c>
      <c r="B2545">
        <v>1.07</v>
      </c>
    </row>
    <row r="2546" spans="1:2">
      <c r="A2546" s="1">
        <v>45980</v>
      </c>
      <c r="B2546">
        <v>1.07</v>
      </c>
    </row>
    <row r="2547" spans="1:2">
      <c r="A2547" s="1">
        <v>45981</v>
      </c>
      <c r="B2547">
        <v>1.08</v>
      </c>
    </row>
    <row r="2548" spans="1:2">
      <c r="A2548" s="1">
        <v>45982</v>
      </c>
      <c r="B2548">
        <v>1.0900000000000001</v>
      </c>
    </row>
    <row r="2549" spans="1:2">
      <c r="A2549" s="1">
        <v>45985</v>
      </c>
      <c r="B2549">
        <v>1.08</v>
      </c>
    </row>
    <row r="2550" spans="1:2">
      <c r="A2550" s="1">
        <v>45986</v>
      </c>
      <c r="B2550">
        <v>1.07</v>
      </c>
    </row>
    <row r="2551" spans="1:2">
      <c r="A2551" s="1">
        <v>45987</v>
      </c>
      <c r="B2551">
        <v>1.05</v>
      </c>
    </row>
    <row r="2552" spans="1:2">
      <c r="A2552" s="1">
        <v>45988</v>
      </c>
      <c r="B2552">
        <v>1.05</v>
      </c>
    </row>
    <row r="2553" spans="1:2">
      <c r="A2553" s="1">
        <v>45989</v>
      </c>
      <c r="B2553">
        <v>1.04</v>
      </c>
    </row>
    <row r="2554" spans="1:2">
      <c r="A2554" s="1">
        <v>45991</v>
      </c>
      <c r="B2554">
        <v>1.05</v>
      </c>
    </row>
    <row r="2555" spans="1:2">
      <c r="A2555" s="1">
        <v>45992</v>
      </c>
      <c r="B2555">
        <v>1.04</v>
      </c>
    </row>
    <row r="2556" spans="1:2">
      <c r="A2556" s="1">
        <v>45993</v>
      </c>
      <c r="B2556">
        <v>1.03</v>
      </c>
    </row>
    <row r="2557" spans="1:2">
      <c r="A2557" s="1">
        <v>45994</v>
      </c>
      <c r="B2557">
        <v>1.03</v>
      </c>
    </row>
    <row r="2558" spans="1:2">
      <c r="A2558" s="1">
        <v>45995</v>
      </c>
      <c r="B2558">
        <v>1.02</v>
      </c>
    </row>
    <row r="2559" spans="1:2">
      <c r="A2559" s="1">
        <v>45996</v>
      </c>
      <c r="B2559">
        <v>1.01</v>
      </c>
    </row>
    <row r="2560" spans="1:2">
      <c r="A2560" s="1">
        <v>45999</v>
      </c>
      <c r="B2560">
        <v>1</v>
      </c>
    </row>
    <row r="2561" spans="1:2">
      <c r="A2561" s="1">
        <v>46000</v>
      </c>
      <c r="B2561">
        <v>1</v>
      </c>
    </row>
    <row r="2562" spans="1:2">
      <c r="A2562" s="1">
        <v>46001</v>
      </c>
      <c r="B2562">
        <v>1</v>
      </c>
    </row>
    <row r="2563" spans="1:2">
      <c r="A2563" s="1">
        <v>46002</v>
      </c>
      <c r="B2563">
        <v>1</v>
      </c>
    </row>
    <row r="2564" spans="1:2">
      <c r="A2564" s="1">
        <v>46003</v>
      </c>
      <c r="B2564">
        <v>1.01</v>
      </c>
    </row>
    <row r="2565" spans="1:2">
      <c r="A2565" s="1">
        <v>46006</v>
      </c>
      <c r="B2565">
        <v>1.02</v>
      </c>
    </row>
    <row r="2566" spans="1:2">
      <c r="A2566" s="1">
        <v>46007</v>
      </c>
      <c r="B2566">
        <v>1.03</v>
      </c>
    </row>
    <row r="2567" spans="1:2">
      <c r="A2567" s="1">
        <v>46008</v>
      </c>
      <c r="B2567">
        <v>1.03</v>
      </c>
    </row>
    <row r="2568" spans="1:2">
      <c r="A2568" s="1">
        <v>46009</v>
      </c>
      <c r="B2568">
        <v>1.03</v>
      </c>
    </row>
    <row r="2569" spans="1:2">
      <c r="A2569" s="1">
        <v>46010</v>
      </c>
      <c r="B2569">
        <v>1.02</v>
      </c>
    </row>
    <row r="2570" spans="1:2">
      <c r="A2570" s="1">
        <v>46013</v>
      </c>
      <c r="B2570">
        <v>1.02</v>
      </c>
    </row>
    <row r="2571" spans="1:2">
      <c r="A2571" s="1">
        <v>46014</v>
      </c>
      <c r="B2571">
        <v>1.01</v>
      </c>
    </row>
    <row r="2572" spans="1:2">
      <c r="A2572" s="1">
        <v>46015</v>
      </c>
      <c r="B2572">
        <v>1</v>
      </c>
    </row>
    <row r="2573" spans="1:2">
      <c r="A2573" s="1">
        <v>46016</v>
      </c>
    </row>
    <row r="2574" spans="1:2">
      <c r="A2574" s="1">
        <v>46017</v>
      </c>
      <c r="B2574">
        <v>1</v>
      </c>
    </row>
    <row r="2575" spans="1:2">
      <c r="A2575" s="1">
        <v>46020</v>
      </c>
      <c r="B2575">
        <v>1</v>
      </c>
    </row>
    <row r="2576" spans="1:2">
      <c r="A2576" s="1">
        <v>46021</v>
      </c>
      <c r="B2576">
        <v>1.01</v>
      </c>
    </row>
    <row r="2577" spans="1:2">
      <c r="A2577" s="1">
        <v>46022</v>
      </c>
      <c r="B2577">
        <v>1.01</v>
      </c>
    </row>
    <row r="2578" spans="1:2">
      <c r="A2578" s="1">
        <v>46023</v>
      </c>
    </row>
    <row r="2579" spans="1:2">
      <c r="A2579" s="1">
        <v>46024</v>
      </c>
      <c r="B2579">
        <v>1.01</v>
      </c>
    </row>
    <row r="2580" spans="1:2">
      <c r="A2580" s="1">
        <v>46027</v>
      </c>
      <c r="B2580">
        <v>1.01</v>
      </c>
    </row>
    <row r="2581" spans="1:2">
      <c r="A2581" s="1">
        <v>46028</v>
      </c>
      <c r="B2581">
        <v>1</v>
      </c>
    </row>
    <row r="2582" spans="1:2">
      <c r="A2582" s="1">
        <v>46029</v>
      </c>
      <c r="B2582">
        <v>1.01</v>
      </c>
    </row>
    <row r="2583" spans="1:2">
      <c r="A2583" s="1">
        <v>46030</v>
      </c>
      <c r="B2583">
        <v>1.01</v>
      </c>
    </row>
    <row r="2584" spans="1:2">
      <c r="A2584" s="1">
        <v>46031</v>
      </c>
      <c r="B2584">
        <v>0.99</v>
      </c>
    </row>
    <row r="2585" spans="1:2">
      <c r="A2585" s="1">
        <v>46034</v>
      </c>
      <c r="B2585">
        <v>0.99</v>
      </c>
    </row>
    <row r="2586" spans="1:2">
      <c r="A2586" s="1">
        <v>46035</v>
      </c>
      <c r="B2586">
        <v>0.98</v>
      </c>
    </row>
    <row r="2587" spans="1:2">
      <c r="A2587" s="1">
        <v>46036</v>
      </c>
      <c r="B2587">
        <v>0.98</v>
      </c>
    </row>
    <row r="2588" spans="1:2">
      <c r="A2588" s="1">
        <v>46037</v>
      </c>
      <c r="B2588">
        <v>0.97</v>
      </c>
    </row>
    <row r="2589" spans="1:2">
      <c r="A2589" s="1">
        <v>46038</v>
      </c>
      <c r="B2589">
        <v>0.96</v>
      </c>
    </row>
    <row r="2590" spans="1:2">
      <c r="A2590" s="1">
        <v>46041</v>
      </c>
      <c r="B2590">
        <v>0.96</v>
      </c>
    </row>
    <row r="2591" spans="1:2">
      <c r="A2591" s="1">
        <v>46042</v>
      </c>
      <c r="B2591">
        <v>0.96</v>
      </c>
    </row>
    <row r="2592" spans="1:2">
      <c r="A2592" s="1">
        <v>46043</v>
      </c>
      <c r="B2592">
        <v>0.95</v>
      </c>
    </row>
    <row r="2593" spans="1:2">
      <c r="A2593" s="1">
        <v>46044</v>
      </c>
      <c r="B2593">
        <v>0.93</v>
      </c>
    </row>
    <row r="2594" spans="1:2">
      <c r="A2594" s="1">
        <v>46045</v>
      </c>
      <c r="B2594">
        <v>0.94</v>
      </c>
    </row>
    <row r="2595" spans="1:2">
      <c r="A2595" s="1">
        <v>46048</v>
      </c>
      <c r="B2595">
        <v>0.94</v>
      </c>
    </row>
    <row r="2596" spans="1:2">
      <c r="A2596" s="1">
        <v>46049</v>
      </c>
      <c r="B2596">
        <v>0.94</v>
      </c>
    </row>
    <row r="2597" spans="1:2">
      <c r="A2597" s="1">
        <v>46050</v>
      </c>
      <c r="B2597">
        <v>0.93</v>
      </c>
    </row>
    <row r="2598" spans="1:2">
      <c r="A2598" s="1">
        <v>46051</v>
      </c>
      <c r="B2598">
        <v>0.94</v>
      </c>
    </row>
    <row r="2599" spans="1:2">
      <c r="A2599" s="1">
        <v>46052</v>
      </c>
      <c r="B2599">
        <v>0.94</v>
      </c>
    </row>
    <row r="2600" spans="1:2">
      <c r="A2600" s="1">
        <v>46053</v>
      </c>
      <c r="B2600">
        <v>0.95</v>
      </c>
    </row>
    <row r="2601" spans="1:2">
      <c r="A2601" s="1">
        <v>46055</v>
      </c>
      <c r="B2601">
        <v>0.93</v>
      </c>
    </row>
    <row r="2602" spans="1:2">
      <c r="A2602" s="1">
        <v>46056</v>
      </c>
      <c r="B2602">
        <v>0.94</v>
      </c>
    </row>
    <row r="2603" spans="1:2">
      <c r="A2603" s="1">
        <v>46057</v>
      </c>
      <c r="B2603">
        <v>0.95</v>
      </c>
    </row>
    <row r="2604" spans="1:2">
      <c r="A2604" s="1">
        <v>46058</v>
      </c>
      <c r="B2604">
        <v>0.96</v>
      </c>
    </row>
    <row r="2605" spans="1:2">
      <c r="A2605" s="1">
        <v>46059</v>
      </c>
      <c r="B2605">
        <v>0.96</v>
      </c>
    </row>
    <row r="2606" spans="1:2">
      <c r="A2606" s="1">
        <v>46062</v>
      </c>
      <c r="B2606">
        <v>0.96</v>
      </c>
    </row>
    <row r="2607" spans="1:2">
      <c r="A2607" s="1">
        <v>46063</v>
      </c>
      <c r="B2607">
        <v>0.98</v>
      </c>
    </row>
    <row r="2608" spans="1:2">
      <c r="A2608" s="1">
        <v>46064</v>
      </c>
      <c r="B2608">
        <v>0.98</v>
      </c>
    </row>
    <row r="2609" spans="1:2">
      <c r="A2609" s="1">
        <v>46065</v>
      </c>
      <c r="B2609">
        <v>0.99</v>
      </c>
    </row>
    <row r="2610" spans="1:2">
      <c r="A2610" s="1">
        <v>46066</v>
      </c>
      <c r="B2610">
        <v>1</v>
      </c>
    </row>
    <row r="2611" spans="1:2">
      <c r="A2611" s="1">
        <v>46069</v>
      </c>
      <c r="B2611">
        <v>1</v>
      </c>
    </row>
    <row r="2612" spans="1:2">
      <c r="A2612" s="1">
        <v>46070</v>
      </c>
      <c r="B2612">
        <v>1.01</v>
      </c>
    </row>
    <row r="2613" spans="1:2">
      <c r="A2613" s="1">
        <v>46071</v>
      </c>
      <c r="B2613">
        <v>0.99</v>
      </c>
    </row>
    <row r="2614" spans="1:2">
      <c r="A2614" s="1">
        <v>46072</v>
      </c>
      <c r="B2614">
        <v>0.99</v>
      </c>
    </row>
    <row r="2615" spans="1:2">
      <c r="A2615" s="1">
        <v>46073</v>
      </c>
      <c r="B2615">
        <v>0.99</v>
      </c>
    </row>
    <row r="2616" spans="1:2">
      <c r="A2616" s="1">
        <v>46076</v>
      </c>
      <c r="B2616">
        <v>1.01</v>
      </c>
    </row>
    <row r="2617" spans="1:2">
      <c r="A2617" s="1">
        <v>46077</v>
      </c>
      <c r="B2617">
        <v>1.02</v>
      </c>
    </row>
    <row r="2618" spans="1:2">
      <c r="A2618" s="1">
        <v>46078</v>
      </c>
      <c r="B2618">
        <v>1.01</v>
      </c>
    </row>
    <row r="2619" spans="1:2">
      <c r="A2619" s="1">
        <v>46079</v>
      </c>
      <c r="B2619">
        <v>1.03</v>
      </c>
    </row>
    <row r="2620" spans="1:2">
      <c r="A2620" s="1">
        <v>46080</v>
      </c>
      <c r="B2620">
        <v>1.07</v>
      </c>
    </row>
    <row r="2621" spans="1:2">
      <c r="A2621" s="1">
        <v>46081</v>
      </c>
      <c r="B2621">
        <v>1.08</v>
      </c>
    </row>
    <row r="2622" spans="1:2">
      <c r="A2622" s="1">
        <v>46083</v>
      </c>
      <c r="B2622">
        <v>1.06</v>
      </c>
    </row>
    <row r="2623" spans="1:2">
      <c r="A2623" s="1">
        <v>46084</v>
      </c>
      <c r="B2623">
        <v>1.06</v>
      </c>
    </row>
    <row r="2624" spans="1:2">
      <c r="A2624" s="1">
        <v>46085</v>
      </c>
      <c r="B2624">
        <v>1.03</v>
      </c>
    </row>
    <row r="2625" spans="1:2">
      <c r="A2625" s="1">
        <v>46086</v>
      </c>
      <c r="B2625">
        <v>1.04</v>
      </c>
    </row>
    <row r="2626" spans="1:2">
      <c r="A2626" s="1">
        <v>46087</v>
      </c>
      <c r="B2626">
        <v>1.06</v>
      </c>
    </row>
    <row r="2627" spans="1:2">
      <c r="A2627" s="1">
        <v>46090</v>
      </c>
      <c r="B2627">
        <v>1.07</v>
      </c>
    </row>
    <row r="2628" spans="1:2">
      <c r="A2628" s="1">
        <v>46091</v>
      </c>
      <c r="B2628">
        <v>1.06</v>
      </c>
    </row>
    <row r="2629" spans="1:2">
      <c r="A2629" s="1">
        <v>46092</v>
      </c>
      <c r="B2629">
        <v>1.0900000000000001</v>
      </c>
    </row>
    <row r="2630" spans="1:2">
      <c r="A2630" s="1">
        <v>46093</v>
      </c>
      <c r="B2630">
        <v>1.1200000000000001</v>
      </c>
    </row>
    <row r="2631" spans="1:2">
      <c r="A2631" s="1">
        <v>46094</v>
      </c>
      <c r="B2631">
        <v>1.1499999999999999</v>
      </c>
    </row>
    <row r="2632" spans="1:2">
      <c r="A2632" s="1">
        <v>46097</v>
      </c>
      <c r="B2632">
        <v>1.1599999999999999</v>
      </c>
    </row>
    <row r="2633" spans="1:2">
      <c r="A2633" s="1">
        <v>46098</v>
      </c>
      <c r="B2633">
        <v>1.1399999999999999</v>
      </c>
    </row>
    <row r="2634" spans="1:2">
      <c r="A2634" s="1">
        <v>46099</v>
      </c>
      <c r="B2634">
        <v>1.1299999999999999</v>
      </c>
    </row>
    <row r="2635" spans="1:2">
      <c r="A2635" s="1">
        <v>46100</v>
      </c>
      <c r="B2635">
        <v>1.1299999999999999</v>
      </c>
    </row>
    <row r="2636" spans="1:2">
      <c r="A2636" s="1">
        <v>46101</v>
      </c>
      <c r="B2636">
        <v>1.1100000000000001</v>
      </c>
    </row>
    <row r="2637" spans="1:2">
      <c r="A2637" s="1">
        <v>46104</v>
      </c>
      <c r="B2637">
        <v>1.1100000000000001</v>
      </c>
    </row>
    <row r="2638" spans="1:2">
      <c r="A2638" s="1">
        <v>46105</v>
      </c>
      <c r="B2638">
        <v>1.0900000000000001</v>
      </c>
    </row>
    <row r="2639" spans="1:2">
      <c r="A2639" s="1">
        <v>46106</v>
      </c>
      <c r="B2639">
        <v>1.0900000000000001</v>
      </c>
    </row>
    <row r="2640" spans="1:2">
      <c r="A2640" s="1">
        <v>46107</v>
      </c>
      <c r="B2640">
        <v>1.1100000000000001</v>
      </c>
    </row>
    <row r="2641" spans="1:2">
      <c r="A2641" s="1">
        <v>46108</v>
      </c>
      <c r="B2641">
        <v>1.1399999999999999</v>
      </c>
    </row>
    <row r="2642" spans="1:2">
      <c r="A2642" s="1">
        <v>46111</v>
      </c>
      <c r="B2642">
        <v>1.1599999999999999</v>
      </c>
    </row>
    <row r="2643" spans="1:2">
      <c r="A2643" s="1">
        <v>46112</v>
      </c>
      <c r="B2643">
        <v>1.1299999999999999</v>
      </c>
    </row>
    <row r="2644" spans="1:2">
      <c r="A2644" s="1">
        <v>46113</v>
      </c>
      <c r="B2644">
        <v>1.1000000000000001</v>
      </c>
    </row>
    <row r="2645" spans="1:2">
      <c r="A2645" s="1">
        <v>46114</v>
      </c>
      <c r="B2645">
        <v>1.0900000000000001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CB9FF-F8F3-412F-86F7-F53CB2BDD0C0}">
  <dimension ref="A1:B122"/>
  <sheetViews>
    <sheetView workbookViewId="0">
      <selection activeCell="B4" sqref="B4"/>
    </sheetView>
  </sheetViews>
  <sheetFormatPr defaultRowHeight="14.4"/>
  <sheetData>
    <row r="1" spans="1:2">
      <c r="A1" t="s">
        <v>0</v>
      </c>
      <c r="B1" t="s">
        <v>12</v>
      </c>
    </row>
    <row r="2" spans="1:2">
      <c r="A2" s="1">
        <v>42401</v>
      </c>
      <c r="B2">
        <v>237.33600000000001</v>
      </c>
    </row>
    <row r="3" spans="1:2">
      <c r="A3" s="1">
        <v>42430</v>
      </c>
      <c r="B3">
        <v>238.08</v>
      </c>
    </row>
    <row r="4" spans="1:2">
      <c r="A4" s="1">
        <v>42461</v>
      </c>
      <c r="B4">
        <v>238.99199999999999</v>
      </c>
    </row>
    <row r="5" spans="1:2">
      <c r="A5" s="1">
        <v>42491</v>
      </c>
      <c r="B5">
        <v>239.55699999999999</v>
      </c>
    </row>
    <row r="6" spans="1:2">
      <c r="A6" s="1">
        <v>42522</v>
      </c>
      <c r="B6">
        <v>240.22200000000001</v>
      </c>
    </row>
    <row r="7" spans="1:2">
      <c r="A7" s="1">
        <v>42552</v>
      </c>
      <c r="B7">
        <v>240.101</v>
      </c>
    </row>
    <row r="8" spans="1:2">
      <c r="A8" s="1">
        <v>42583</v>
      </c>
      <c r="B8">
        <v>240.54499999999999</v>
      </c>
    </row>
    <row r="9" spans="1:2">
      <c r="A9" s="1">
        <v>42614</v>
      </c>
      <c r="B9">
        <v>241.17599999999999</v>
      </c>
    </row>
    <row r="10" spans="1:2">
      <c r="A10" s="1">
        <v>42644</v>
      </c>
      <c r="B10">
        <v>241.74100000000001</v>
      </c>
    </row>
    <row r="11" spans="1:2">
      <c r="A11" s="1">
        <v>42675</v>
      </c>
      <c r="B11">
        <v>242.02600000000001</v>
      </c>
    </row>
    <row r="12" spans="1:2">
      <c r="A12" s="1">
        <v>42705</v>
      </c>
      <c r="B12">
        <v>242.637</v>
      </c>
    </row>
    <row r="13" spans="1:2">
      <c r="A13" s="1">
        <v>42736</v>
      </c>
      <c r="B13">
        <v>243.61799999999999</v>
      </c>
    </row>
    <row r="14" spans="1:2">
      <c r="A14" s="1">
        <v>42767</v>
      </c>
      <c r="B14">
        <v>244.006</v>
      </c>
    </row>
    <row r="15" spans="1:2">
      <c r="A15" s="1">
        <v>42795</v>
      </c>
      <c r="B15">
        <v>243.892</v>
      </c>
    </row>
    <row r="16" spans="1:2">
      <c r="A16" s="1">
        <v>42826</v>
      </c>
      <c r="B16">
        <v>244.19300000000001</v>
      </c>
    </row>
    <row r="17" spans="1:2">
      <c r="A17" s="1">
        <v>42856</v>
      </c>
      <c r="B17">
        <v>244.00399999999999</v>
      </c>
    </row>
    <row r="18" spans="1:2">
      <c r="A18" s="1">
        <v>42887</v>
      </c>
      <c r="B18">
        <v>244.16300000000001</v>
      </c>
    </row>
    <row r="19" spans="1:2">
      <c r="A19" s="1">
        <v>42917</v>
      </c>
      <c r="B19">
        <v>244.24299999999999</v>
      </c>
    </row>
    <row r="20" spans="1:2">
      <c r="A20" s="1">
        <v>42948</v>
      </c>
      <c r="B20">
        <v>245.18299999999999</v>
      </c>
    </row>
    <row r="21" spans="1:2">
      <c r="A21" s="1">
        <v>42979</v>
      </c>
      <c r="B21">
        <v>246.435</v>
      </c>
    </row>
    <row r="22" spans="1:2">
      <c r="A22" s="1">
        <v>43009</v>
      </c>
      <c r="B22">
        <v>246.626</v>
      </c>
    </row>
    <row r="23" spans="1:2">
      <c r="A23" s="1">
        <v>43040</v>
      </c>
      <c r="B23">
        <v>247.28399999999999</v>
      </c>
    </row>
    <row r="24" spans="1:2">
      <c r="A24" s="1">
        <v>43070</v>
      </c>
      <c r="B24">
        <v>247.80500000000001</v>
      </c>
    </row>
    <row r="25" spans="1:2">
      <c r="A25" s="1">
        <v>43101</v>
      </c>
      <c r="B25">
        <v>248.85900000000001</v>
      </c>
    </row>
    <row r="26" spans="1:2">
      <c r="A26" s="1">
        <v>43132</v>
      </c>
      <c r="B26">
        <v>249.529</v>
      </c>
    </row>
    <row r="27" spans="1:2">
      <c r="A27" s="1">
        <v>43160</v>
      </c>
      <c r="B27">
        <v>249.577</v>
      </c>
    </row>
    <row r="28" spans="1:2">
      <c r="A28" s="1">
        <v>43191</v>
      </c>
      <c r="B28">
        <v>250.227</v>
      </c>
    </row>
    <row r="29" spans="1:2">
      <c r="A29" s="1">
        <v>43221</v>
      </c>
      <c r="B29">
        <v>250.792</v>
      </c>
    </row>
    <row r="30" spans="1:2">
      <c r="A30" s="1">
        <v>43252</v>
      </c>
      <c r="B30">
        <v>251.018</v>
      </c>
    </row>
    <row r="31" spans="1:2">
      <c r="A31" s="1">
        <v>43282</v>
      </c>
      <c r="B31">
        <v>251.214</v>
      </c>
    </row>
    <row r="32" spans="1:2">
      <c r="A32" s="1">
        <v>43313</v>
      </c>
      <c r="B32">
        <v>251.66300000000001</v>
      </c>
    </row>
    <row r="33" spans="1:2">
      <c r="A33" s="1">
        <v>43344</v>
      </c>
      <c r="B33">
        <v>252.18199999999999</v>
      </c>
    </row>
    <row r="34" spans="1:2">
      <c r="A34" s="1">
        <v>43374</v>
      </c>
      <c r="B34">
        <v>252.77199999999999</v>
      </c>
    </row>
    <row r="35" spans="1:2">
      <c r="A35" s="1">
        <v>43405</v>
      </c>
      <c r="B35">
        <v>252.59399999999999</v>
      </c>
    </row>
    <row r="36" spans="1:2">
      <c r="A36" s="1">
        <v>43435</v>
      </c>
      <c r="B36">
        <v>252.767</v>
      </c>
    </row>
    <row r="37" spans="1:2">
      <c r="A37" s="1">
        <v>43466</v>
      </c>
      <c r="B37">
        <v>252.56100000000001</v>
      </c>
    </row>
    <row r="38" spans="1:2">
      <c r="A38" s="1">
        <v>43497</v>
      </c>
      <c r="B38">
        <v>253.31899999999999</v>
      </c>
    </row>
    <row r="39" spans="1:2">
      <c r="A39" s="1">
        <v>43525</v>
      </c>
      <c r="B39">
        <v>254.27699999999999</v>
      </c>
    </row>
    <row r="40" spans="1:2">
      <c r="A40" s="1">
        <v>43556</v>
      </c>
      <c r="B40">
        <v>255.233</v>
      </c>
    </row>
    <row r="41" spans="1:2">
      <c r="A41" s="1">
        <v>43586</v>
      </c>
      <c r="B41">
        <v>255.29599999999999</v>
      </c>
    </row>
    <row r="42" spans="1:2">
      <c r="A42" s="1">
        <v>43617</v>
      </c>
      <c r="B42">
        <v>255.21299999999999</v>
      </c>
    </row>
    <row r="43" spans="1:2">
      <c r="A43" s="1">
        <v>43647</v>
      </c>
      <c r="B43">
        <v>255.80199999999999</v>
      </c>
    </row>
    <row r="44" spans="1:2">
      <c r="A44" s="1">
        <v>43678</v>
      </c>
      <c r="B44">
        <v>256.036</v>
      </c>
    </row>
    <row r="45" spans="1:2">
      <c r="A45" s="1">
        <v>43709</v>
      </c>
      <c r="B45">
        <v>256.43</v>
      </c>
    </row>
    <row r="46" spans="1:2">
      <c r="A46" s="1">
        <v>43739</v>
      </c>
      <c r="B46">
        <v>257.15499999999997</v>
      </c>
    </row>
    <row r="47" spans="1:2">
      <c r="A47" s="1">
        <v>43770</v>
      </c>
      <c r="B47">
        <v>257.87900000000002</v>
      </c>
    </row>
    <row r="48" spans="1:2">
      <c r="A48" s="1">
        <v>43800</v>
      </c>
      <c r="B48">
        <v>258.63</v>
      </c>
    </row>
    <row r="49" spans="1:2">
      <c r="A49" s="1">
        <v>43831</v>
      </c>
      <c r="B49">
        <v>259.12700000000001</v>
      </c>
    </row>
    <row r="50" spans="1:2">
      <c r="A50" s="1">
        <v>43862</v>
      </c>
      <c r="B50">
        <v>259.25</v>
      </c>
    </row>
    <row r="51" spans="1:2">
      <c r="A51" s="1">
        <v>43891</v>
      </c>
      <c r="B51">
        <v>258.07600000000002</v>
      </c>
    </row>
    <row r="52" spans="1:2">
      <c r="A52" s="1">
        <v>43922</v>
      </c>
      <c r="B52">
        <v>256.03199999999998</v>
      </c>
    </row>
    <row r="53" spans="1:2">
      <c r="A53" s="1">
        <v>43952</v>
      </c>
      <c r="B53">
        <v>255.80199999999999</v>
      </c>
    </row>
    <row r="54" spans="1:2">
      <c r="A54" s="1">
        <v>43983</v>
      </c>
      <c r="B54">
        <v>257.04199999999997</v>
      </c>
    </row>
    <row r="55" spans="1:2">
      <c r="A55" s="1">
        <v>44013</v>
      </c>
      <c r="B55">
        <v>258.35199999999998</v>
      </c>
    </row>
    <row r="56" spans="1:2">
      <c r="A56" s="1">
        <v>44044</v>
      </c>
      <c r="B56">
        <v>259.31599999999997</v>
      </c>
    </row>
    <row r="57" spans="1:2">
      <c r="A57" s="1">
        <v>44075</v>
      </c>
      <c r="B57">
        <v>259.99700000000001</v>
      </c>
    </row>
    <row r="58" spans="1:2">
      <c r="A58" s="1">
        <v>44105</v>
      </c>
      <c r="B58">
        <v>260.31900000000002</v>
      </c>
    </row>
    <row r="59" spans="1:2">
      <c r="A59" s="1">
        <v>44136</v>
      </c>
      <c r="B59">
        <v>260.911</v>
      </c>
    </row>
    <row r="60" spans="1:2">
      <c r="A60" s="1">
        <v>44166</v>
      </c>
      <c r="B60">
        <v>262.04500000000002</v>
      </c>
    </row>
    <row r="61" spans="1:2">
      <c r="A61" s="1">
        <v>44197</v>
      </c>
      <c r="B61">
        <v>262.68700000000001</v>
      </c>
    </row>
    <row r="62" spans="1:2">
      <c r="A62" s="1">
        <v>44228</v>
      </c>
      <c r="B62">
        <v>263.57900000000001</v>
      </c>
    </row>
    <row r="63" spans="1:2">
      <c r="A63" s="1">
        <v>44256</v>
      </c>
      <c r="B63">
        <v>264.96100000000001</v>
      </c>
    </row>
    <row r="64" spans="1:2">
      <c r="A64" s="1">
        <v>44287</v>
      </c>
      <c r="B64">
        <v>266.61399999999998</v>
      </c>
    </row>
    <row r="65" spans="1:2">
      <c r="A65" s="1">
        <v>44317</v>
      </c>
      <c r="B65">
        <v>268.38299999999998</v>
      </c>
    </row>
    <row r="66" spans="1:2">
      <c r="A66" s="1">
        <v>44348</v>
      </c>
      <c r="B66">
        <v>270.654</v>
      </c>
    </row>
    <row r="67" spans="1:2">
      <c r="A67" s="1">
        <v>44378</v>
      </c>
      <c r="B67">
        <v>271.90300000000002</v>
      </c>
    </row>
    <row r="68" spans="1:2">
      <c r="A68" s="1">
        <v>44409</v>
      </c>
      <c r="B68">
        <v>272.67599999999999</v>
      </c>
    </row>
    <row r="69" spans="1:2">
      <c r="A69" s="1">
        <v>44440</v>
      </c>
      <c r="B69">
        <v>273.91000000000003</v>
      </c>
    </row>
    <row r="70" spans="1:2">
      <c r="A70" s="1">
        <v>44470</v>
      </c>
      <c r="B70">
        <v>276.55</v>
      </c>
    </row>
    <row r="71" spans="1:2">
      <c r="A71" s="1">
        <v>44501</v>
      </c>
      <c r="B71">
        <v>278.91899999999998</v>
      </c>
    </row>
    <row r="72" spans="1:2">
      <c r="A72" s="1">
        <v>44531</v>
      </c>
      <c r="B72">
        <v>280.84500000000003</v>
      </c>
    </row>
    <row r="73" spans="1:2">
      <c r="A73" s="1">
        <v>44562</v>
      </c>
      <c r="B73">
        <v>282.54300000000001</v>
      </c>
    </row>
    <row r="74" spans="1:2">
      <c r="A74" s="1">
        <v>44593</v>
      </c>
      <c r="B74">
        <v>284.5</v>
      </c>
    </row>
    <row r="75" spans="1:2">
      <c r="A75" s="1">
        <v>44621</v>
      </c>
      <c r="B75">
        <v>287.67399999999998</v>
      </c>
    </row>
    <row r="76" spans="1:2">
      <c r="A76" s="1">
        <v>44652</v>
      </c>
      <c r="B76">
        <v>288.56099999999998</v>
      </c>
    </row>
    <row r="77" spans="1:2">
      <c r="A77" s="1">
        <v>44682</v>
      </c>
      <c r="B77">
        <v>291.298</v>
      </c>
    </row>
    <row r="78" spans="1:2">
      <c r="A78" s="1">
        <v>44713</v>
      </c>
      <c r="B78">
        <v>294.95699999999999</v>
      </c>
    </row>
    <row r="79" spans="1:2">
      <c r="A79" s="1">
        <v>44743</v>
      </c>
      <c r="B79">
        <v>294.91300000000001</v>
      </c>
    </row>
    <row r="80" spans="1:2">
      <c r="A80" s="1">
        <v>44774</v>
      </c>
      <c r="B80">
        <v>295.09699999999998</v>
      </c>
    </row>
    <row r="81" spans="1:2">
      <c r="A81" s="1">
        <v>44805</v>
      </c>
      <c r="B81">
        <v>296.34899999999999</v>
      </c>
    </row>
    <row r="82" spans="1:2">
      <c r="A82" s="1">
        <v>44835</v>
      </c>
      <c r="B82">
        <v>298.00700000000001</v>
      </c>
    </row>
    <row r="83" spans="1:2">
      <c r="A83" s="1">
        <v>44866</v>
      </c>
      <c r="B83">
        <v>298.786</v>
      </c>
    </row>
    <row r="84" spans="1:2">
      <c r="A84" s="1">
        <v>44896</v>
      </c>
      <c r="B84">
        <v>298.83199999999999</v>
      </c>
    </row>
    <row r="85" spans="1:2">
      <c r="A85" s="1">
        <v>44927</v>
      </c>
      <c r="B85">
        <v>300.42</v>
      </c>
    </row>
    <row r="86" spans="1:2">
      <c r="A86" s="1">
        <v>44958</v>
      </c>
      <c r="B86">
        <v>301.45</v>
      </c>
    </row>
    <row r="87" spans="1:2">
      <c r="A87" s="1">
        <v>44986</v>
      </c>
      <c r="B87">
        <v>301.82100000000003</v>
      </c>
    </row>
    <row r="88" spans="1:2">
      <c r="A88" s="1">
        <v>45017</v>
      </c>
      <c r="B88">
        <v>302.84500000000003</v>
      </c>
    </row>
    <row r="89" spans="1:2">
      <c r="A89" s="1">
        <v>45047</v>
      </c>
      <c r="B89">
        <v>303.334</v>
      </c>
    </row>
    <row r="90" spans="1:2">
      <c r="A90" s="1">
        <v>45078</v>
      </c>
      <c r="B90">
        <v>304.01400000000001</v>
      </c>
    </row>
    <row r="91" spans="1:2">
      <c r="A91" s="1">
        <v>45108</v>
      </c>
      <c r="B91">
        <v>304.60899999999998</v>
      </c>
    </row>
    <row r="92" spans="1:2">
      <c r="A92" s="1">
        <v>45139</v>
      </c>
      <c r="B92">
        <v>306.08199999999999</v>
      </c>
    </row>
    <row r="93" spans="1:2">
      <c r="A93" s="1">
        <v>45170</v>
      </c>
      <c r="B93">
        <v>307.27600000000001</v>
      </c>
    </row>
    <row r="94" spans="1:2">
      <c r="A94" s="1">
        <v>45200</v>
      </c>
      <c r="B94">
        <v>307.69600000000003</v>
      </c>
    </row>
    <row r="95" spans="1:2">
      <c r="A95" s="1">
        <v>45231</v>
      </c>
      <c r="B95">
        <v>308.14800000000002</v>
      </c>
    </row>
    <row r="96" spans="1:2">
      <c r="A96" s="1">
        <v>45261</v>
      </c>
      <c r="B96">
        <v>308.74099999999999</v>
      </c>
    </row>
    <row r="97" spans="1:2">
      <c r="A97" s="1">
        <v>45292</v>
      </c>
      <c r="B97">
        <v>309.69799999999998</v>
      </c>
    </row>
    <row r="98" spans="1:2">
      <c r="A98" s="1">
        <v>45323</v>
      </c>
      <c r="B98">
        <v>310.96699999999998</v>
      </c>
    </row>
    <row r="99" spans="1:2">
      <c r="A99" s="1">
        <v>45352</v>
      </c>
      <c r="B99">
        <v>312.34500000000003</v>
      </c>
    </row>
    <row r="100" spans="1:2">
      <c r="A100" s="1">
        <v>45383</v>
      </c>
      <c r="B100">
        <v>313.02300000000002</v>
      </c>
    </row>
    <row r="101" spans="1:2">
      <c r="A101" s="1">
        <v>45413</v>
      </c>
      <c r="B101">
        <v>313.17500000000001</v>
      </c>
    </row>
    <row r="102" spans="1:2">
      <c r="A102" s="1">
        <v>45444</v>
      </c>
      <c r="B102">
        <v>313.04399999999998</v>
      </c>
    </row>
    <row r="103" spans="1:2">
      <c r="A103" s="1">
        <v>45474</v>
      </c>
      <c r="B103">
        <v>313.56900000000002</v>
      </c>
    </row>
    <row r="104" spans="1:2">
      <c r="A104" s="1">
        <v>45505</v>
      </c>
      <c r="B104">
        <v>314.06200000000001</v>
      </c>
    </row>
    <row r="105" spans="1:2">
      <c r="A105" s="1">
        <v>45536</v>
      </c>
      <c r="B105">
        <v>314.73200000000003</v>
      </c>
    </row>
    <row r="106" spans="1:2">
      <c r="A106" s="1">
        <v>45566</v>
      </c>
      <c r="B106">
        <v>315.63099999999997</v>
      </c>
    </row>
    <row r="107" spans="1:2">
      <c r="A107" s="1">
        <v>45597</v>
      </c>
      <c r="B107">
        <v>316.52800000000002</v>
      </c>
    </row>
    <row r="108" spans="1:2">
      <c r="A108" s="1">
        <v>45627</v>
      </c>
      <c r="B108">
        <v>317.60399999999998</v>
      </c>
    </row>
    <row r="109" spans="1:2">
      <c r="A109" s="1">
        <v>45658</v>
      </c>
      <c r="B109">
        <v>318.96100000000001</v>
      </c>
    </row>
    <row r="110" spans="1:2">
      <c r="A110" s="1">
        <v>45689</v>
      </c>
      <c r="B110">
        <v>319.67899999999997</v>
      </c>
    </row>
    <row r="111" spans="1:2">
      <c r="A111" s="1">
        <v>45717</v>
      </c>
      <c r="B111">
        <v>319.78500000000003</v>
      </c>
    </row>
    <row r="112" spans="1:2">
      <c r="A112" s="1">
        <v>45748</v>
      </c>
      <c r="B112">
        <v>320.30200000000002</v>
      </c>
    </row>
    <row r="113" spans="1:2">
      <c r="A113" s="1">
        <v>45778</v>
      </c>
      <c r="B113">
        <v>320.62</v>
      </c>
    </row>
    <row r="114" spans="1:2">
      <c r="A114" s="1">
        <v>45809</v>
      </c>
      <c r="B114">
        <v>321.435</v>
      </c>
    </row>
    <row r="115" spans="1:2">
      <c r="A115" s="1">
        <v>45839</v>
      </c>
      <c r="B115">
        <v>322.16899999999998</v>
      </c>
    </row>
    <row r="116" spans="1:2">
      <c r="A116" s="1">
        <v>45870</v>
      </c>
      <c r="B116">
        <v>323.291</v>
      </c>
    </row>
    <row r="117" spans="1:2">
      <c r="A117" s="1">
        <v>45901</v>
      </c>
      <c r="B117">
        <v>324.245</v>
      </c>
    </row>
    <row r="118" spans="1:2">
      <c r="A118" s="1">
        <v>45931</v>
      </c>
    </row>
    <row r="119" spans="1:2">
      <c r="A119" s="1">
        <v>45962</v>
      </c>
      <c r="B119">
        <v>325.06299999999999</v>
      </c>
    </row>
    <row r="120" spans="1:2">
      <c r="A120" s="1">
        <v>45992</v>
      </c>
      <c r="B120">
        <v>326.03100000000001</v>
      </c>
    </row>
    <row r="121" spans="1:2">
      <c r="A121" s="1">
        <v>46023</v>
      </c>
      <c r="B121">
        <v>326.58800000000002</v>
      </c>
    </row>
    <row r="122" spans="1:2">
      <c r="A122" s="1">
        <v>46054</v>
      </c>
      <c r="B122">
        <v>327.45999999999998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785AF-0590-4267-BE32-9C5CC25D4822}">
  <dimension ref="A1:B3654"/>
  <sheetViews>
    <sheetView workbookViewId="0"/>
  </sheetViews>
  <sheetFormatPr defaultRowHeight="14.4"/>
  <sheetData>
    <row r="1" spans="1:2">
      <c r="A1" t="s">
        <v>0</v>
      </c>
      <c r="B1" t="s">
        <v>13</v>
      </c>
    </row>
    <row r="2" spans="1:2">
      <c r="A2" s="1">
        <v>42462</v>
      </c>
      <c r="B2">
        <v>0.37</v>
      </c>
    </row>
    <row r="3" spans="1:2">
      <c r="A3" s="1">
        <v>42463</v>
      </c>
      <c r="B3">
        <v>0.37</v>
      </c>
    </row>
    <row r="4" spans="1:2">
      <c r="A4" s="1">
        <v>42464</v>
      </c>
      <c r="B4">
        <v>0.37</v>
      </c>
    </row>
    <row r="5" spans="1:2">
      <c r="A5" s="1">
        <v>42465</v>
      </c>
      <c r="B5">
        <v>0.37</v>
      </c>
    </row>
    <row r="6" spans="1:2">
      <c r="A6" s="1">
        <v>42466</v>
      </c>
      <c r="B6">
        <v>0.37</v>
      </c>
    </row>
    <row r="7" spans="1:2">
      <c r="A7" s="1">
        <v>42467</v>
      </c>
      <c r="B7">
        <v>0.37</v>
      </c>
    </row>
    <row r="8" spans="1:2">
      <c r="A8" s="1">
        <v>42468</v>
      </c>
      <c r="B8">
        <v>0.37</v>
      </c>
    </row>
    <row r="9" spans="1:2">
      <c r="A9" s="1">
        <v>42469</v>
      </c>
      <c r="B9">
        <v>0.37</v>
      </c>
    </row>
    <row r="10" spans="1:2">
      <c r="A10" s="1">
        <v>42470</v>
      </c>
      <c r="B10">
        <v>0.37</v>
      </c>
    </row>
    <row r="11" spans="1:2">
      <c r="A11" s="1">
        <v>42471</v>
      </c>
      <c r="B11">
        <v>0.37</v>
      </c>
    </row>
    <row r="12" spans="1:2">
      <c r="A12" s="1">
        <v>42472</v>
      </c>
      <c r="B12">
        <v>0.37</v>
      </c>
    </row>
    <row r="13" spans="1:2">
      <c r="A13" s="1">
        <v>42473</v>
      </c>
      <c r="B13">
        <v>0.37</v>
      </c>
    </row>
    <row r="14" spans="1:2">
      <c r="A14" s="1">
        <v>42474</v>
      </c>
      <c r="B14">
        <v>0.37</v>
      </c>
    </row>
    <row r="15" spans="1:2">
      <c r="A15" s="1">
        <v>42475</v>
      </c>
      <c r="B15">
        <v>0.37</v>
      </c>
    </row>
    <row r="16" spans="1:2">
      <c r="A16" s="1">
        <v>42476</v>
      </c>
      <c r="B16">
        <v>0.37</v>
      </c>
    </row>
    <row r="17" spans="1:2">
      <c r="A17" s="1">
        <v>42477</v>
      </c>
      <c r="B17">
        <v>0.37</v>
      </c>
    </row>
    <row r="18" spans="1:2">
      <c r="A18" s="1">
        <v>42478</v>
      </c>
      <c r="B18">
        <v>0.37</v>
      </c>
    </row>
    <row r="19" spans="1:2">
      <c r="A19" s="1">
        <v>42479</v>
      </c>
      <c r="B19">
        <v>0.37</v>
      </c>
    </row>
    <row r="20" spans="1:2">
      <c r="A20" s="1">
        <v>42480</v>
      </c>
      <c r="B20">
        <v>0.37</v>
      </c>
    </row>
    <row r="21" spans="1:2">
      <c r="A21" s="1">
        <v>42481</v>
      </c>
      <c r="B21">
        <v>0.37</v>
      </c>
    </row>
    <row r="22" spans="1:2">
      <c r="A22" s="1">
        <v>42482</v>
      </c>
      <c r="B22">
        <v>0.37</v>
      </c>
    </row>
    <row r="23" spans="1:2">
      <c r="A23" s="1">
        <v>42483</v>
      </c>
      <c r="B23">
        <v>0.37</v>
      </c>
    </row>
    <row r="24" spans="1:2">
      <c r="A24" s="1">
        <v>42484</v>
      </c>
      <c r="B24">
        <v>0.37</v>
      </c>
    </row>
    <row r="25" spans="1:2">
      <c r="A25" s="1">
        <v>42485</v>
      </c>
      <c r="B25">
        <v>0.37</v>
      </c>
    </row>
    <row r="26" spans="1:2">
      <c r="A26" s="1">
        <v>42486</v>
      </c>
      <c r="B26">
        <v>0.37</v>
      </c>
    </row>
    <row r="27" spans="1:2">
      <c r="A27" s="1">
        <v>42487</v>
      </c>
      <c r="B27">
        <v>0.37</v>
      </c>
    </row>
    <row r="28" spans="1:2">
      <c r="A28" s="1">
        <v>42488</v>
      </c>
      <c r="B28">
        <v>0.37</v>
      </c>
    </row>
    <row r="29" spans="1:2">
      <c r="A29" s="1">
        <v>42489</v>
      </c>
      <c r="B29">
        <v>0.3</v>
      </c>
    </row>
    <row r="30" spans="1:2">
      <c r="A30" s="1">
        <v>42490</v>
      </c>
      <c r="B30">
        <v>0.3</v>
      </c>
    </row>
    <row r="31" spans="1:2">
      <c r="A31" s="1">
        <v>42491</v>
      </c>
      <c r="B31">
        <v>0.3</v>
      </c>
    </row>
    <row r="32" spans="1:2">
      <c r="A32" s="1">
        <v>42492</v>
      </c>
      <c r="B32">
        <v>0.37</v>
      </c>
    </row>
    <row r="33" spans="1:2">
      <c r="A33" s="1">
        <v>42493</v>
      </c>
      <c r="B33">
        <v>0.37</v>
      </c>
    </row>
    <row r="34" spans="1:2">
      <c r="A34" s="1">
        <v>42494</v>
      </c>
      <c r="B34">
        <v>0.37</v>
      </c>
    </row>
    <row r="35" spans="1:2">
      <c r="A35" s="1">
        <v>42495</v>
      </c>
      <c r="B35">
        <v>0.37</v>
      </c>
    </row>
    <row r="36" spans="1:2">
      <c r="A36" s="1">
        <v>42496</v>
      </c>
      <c r="B36">
        <v>0.37</v>
      </c>
    </row>
    <row r="37" spans="1:2">
      <c r="A37" s="1">
        <v>42497</v>
      </c>
      <c r="B37">
        <v>0.37</v>
      </c>
    </row>
    <row r="38" spans="1:2">
      <c r="A38" s="1">
        <v>42498</v>
      </c>
      <c r="B38">
        <v>0.37</v>
      </c>
    </row>
    <row r="39" spans="1:2">
      <c r="A39" s="1">
        <v>42499</v>
      </c>
      <c r="B39">
        <v>0.37</v>
      </c>
    </row>
    <row r="40" spans="1:2">
      <c r="A40" s="1">
        <v>42500</v>
      </c>
      <c r="B40">
        <v>0.37</v>
      </c>
    </row>
    <row r="41" spans="1:2">
      <c r="A41" s="1">
        <v>42501</v>
      </c>
      <c r="B41">
        <v>0.37</v>
      </c>
    </row>
    <row r="42" spans="1:2">
      <c r="A42" s="1">
        <v>42502</v>
      </c>
      <c r="B42">
        <v>0.37</v>
      </c>
    </row>
    <row r="43" spans="1:2">
      <c r="A43" s="1">
        <v>42503</v>
      </c>
      <c r="B43">
        <v>0.37</v>
      </c>
    </row>
    <row r="44" spans="1:2">
      <c r="A44" s="1">
        <v>42504</v>
      </c>
      <c r="B44">
        <v>0.37</v>
      </c>
    </row>
    <row r="45" spans="1:2">
      <c r="A45" s="1">
        <v>42505</v>
      </c>
      <c r="B45">
        <v>0.37</v>
      </c>
    </row>
    <row r="46" spans="1:2">
      <c r="A46" s="1">
        <v>42506</v>
      </c>
      <c r="B46">
        <v>0.37</v>
      </c>
    </row>
    <row r="47" spans="1:2">
      <c r="A47" s="1">
        <v>42507</v>
      </c>
      <c r="B47">
        <v>0.37</v>
      </c>
    </row>
    <row r="48" spans="1:2">
      <c r="A48" s="1">
        <v>42508</v>
      </c>
      <c r="B48">
        <v>0.37</v>
      </c>
    </row>
    <row r="49" spans="1:2">
      <c r="A49" s="1">
        <v>42509</v>
      </c>
      <c r="B49">
        <v>0.37</v>
      </c>
    </row>
    <row r="50" spans="1:2">
      <c r="A50" s="1">
        <v>42510</v>
      </c>
      <c r="B50">
        <v>0.37</v>
      </c>
    </row>
    <row r="51" spans="1:2">
      <c r="A51" s="1">
        <v>42511</v>
      </c>
      <c r="B51">
        <v>0.37</v>
      </c>
    </row>
    <row r="52" spans="1:2">
      <c r="A52" s="1">
        <v>42512</v>
      </c>
      <c r="B52">
        <v>0.37</v>
      </c>
    </row>
    <row r="53" spans="1:2">
      <c r="A53" s="1">
        <v>42513</v>
      </c>
      <c r="B53">
        <v>0.37</v>
      </c>
    </row>
    <row r="54" spans="1:2">
      <c r="A54" s="1">
        <v>42514</v>
      </c>
      <c r="B54">
        <v>0.37</v>
      </c>
    </row>
    <row r="55" spans="1:2">
      <c r="A55" s="1">
        <v>42515</v>
      </c>
      <c r="B55">
        <v>0.37</v>
      </c>
    </row>
    <row r="56" spans="1:2">
      <c r="A56" s="1">
        <v>42516</v>
      </c>
      <c r="B56">
        <v>0.37</v>
      </c>
    </row>
    <row r="57" spans="1:2">
      <c r="A57" s="1">
        <v>42517</v>
      </c>
      <c r="B57">
        <v>0.37</v>
      </c>
    </row>
    <row r="58" spans="1:2">
      <c r="A58" s="1">
        <v>42518</v>
      </c>
      <c r="B58">
        <v>0.37</v>
      </c>
    </row>
    <row r="59" spans="1:2">
      <c r="A59" s="1">
        <v>42519</v>
      </c>
      <c r="B59">
        <v>0.37</v>
      </c>
    </row>
    <row r="60" spans="1:2">
      <c r="A60" s="1">
        <v>42520</v>
      </c>
      <c r="B60">
        <v>0.37</v>
      </c>
    </row>
    <row r="61" spans="1:2">
      <c r="A61" s="1">
        <v>42521</v>
      </c>
      <c r="B61">
        <v>0.28999999999999998</v>
      </c>
    </row>
    <row r="62" spans="1:2">
      <c r="A62" s="1">
        <v>42522</v>
      </c>
      <c r="B62">
        <v>0.37</v>
      </c>
    </row>
    <row r="63" spans="1:2">
      <c r="A63" s="1">
        <v>42523</v>
      </c>
      <c r="B63">
        <v>0.37</v>
      </c>
    </row>
    <row r="64" spans="1:2">
      <c r="A64" s="1">
        <v>42524</v>
      </c>
      <c r="B64">
        <v>0.37</v>
      </c>
    </row>
    <row r="65" spans="1:2">
      <c r="A65" s="1">
        <v>42525</v>
      </c>
      <c r="B65">
        <v>0.37</v>
      </c>
    </row>
    <row r="66" spans="1:2">
      <c r="A66" s="1">
        <v>42526</v>
      </c>
      <c r="B66">
        <v>0.37</v>
      </c>
    </row>
    <row r="67" spans="1:2">
      <c r="A67" s="1">
        <v>42527</v>
      </c>
      <c r="B67">
        <v>0.37</v>
      </c>
    </row>
    <row r="68" spans="1:2">
      <c r="A68" s="1">
        <v>42528</v>
      </c>
      <c r="B68">
        <v>0.37</v>
      </c>
    </row>
    <row r="69" spans="1:2">
      <c r="A69" s="1">
        <v>42529</v>
      </c>
      <c r="B69">
        <v>0.37</v>
      </c>
    </row>
    <row r="70" spans="1:2">
      <c r="A70" s="1">
        <v>42530</v>
      </c>
      <c r="B70">
        <v>0.37</v>
      </c>
    </row>
    <row r="71" spans="1:2">
      <c r="A71" s="1">
        <v>42531</v>
      </c>
      <c r="B71">
        <v>0.37</v>
      </c>
    </row>
    <row r="72" spans="1:2">
      <c r="A72" s="1">
        <v>42532</v>
      </c>
      <c r="B72">
        <v>0.37</v>
      </c>
    </row>
    <row r="73" spans="1:2">
      <c r="A73" s="1">
        <v>42533</v>
      </c>
      <c r="B73">
        <v>0.37</v>
      </c>
    </row>
    <row r="74" spans="1:2">
      <c r="A74" s="1">
        <v>42534</v>
      </c>
      <c r="B74">
        <v>0.37</v>
      </c>
    </row>
    <row r="75" spans="1:2">
      <c r="A75" s="1">
        <v>42535</v>
      </c>
      <c r="B75">
        <v>0.37</v>
      </c>
    </row>
    <row r="76" spans="1:2">
      <c r="A76" s="1">
        <v>42536</v>
      </c>
      <c r="B76">
        <v>0.37</v>
      </c>
    </row>
    <row r="77" spans="1:2">
      <c r="A77" s="1">
        <v>42537</v>
      </c>
      <c r="B77">
        <v>0.38</v>
      </c>
    </row>
    <row r="78" spans="1:2">
      <c r="A78" s="1">
        <v>42538</v>
      </c>
      <c r="B78">
        <v>0.38</v>
      </c>
    </row>
    <row r="79" spans="1:2">
      <c r="A79" s="1">
        <v>42539</v>
      </c>
      <c r="B79">
        <v>0.38</v>
      </c>
    </row>
    <row r="80" spans="1:2">
      <c r="A80" s="1">
        <v>42540</v>
      </c>
      <c r="B80">
        <v>0.38</v>
      </c>
    </row>
    <row r="81" spans="1:2">
      <c r="A81" s="1">
        <v>42541</v>
      </c>
      <c r="B81">
        <v>0.38</v>
      </c>
    </row>
    <row r="82" spans="1:2">
      <c r="A82" s="1">
        <v>42542</v>
      </c>
      <c r="B82">
        <v>0.38</v>
      </c>
    </row>
    <row r="83" spans="1:2">
      <c r="A83" s="1">
        <v>42543</v>
      </c>
      <c r="B83">
        <v>0.38</v>
      </c>
    </row>
    <row r="84" spans="1:2">
      <c r="A84" s="1">
        <v>42544</v>
      </c>
      <c r="B84">
        <v>0.39</v>
      </c>
    </row>
    <row r="85" spans="1:2">
      <c r="A85" s="1">
        <v>42545</v>
      </c>
      <c r="B85">
        <v>0.4</v>
      </c>
    </row>
    <row r="86" spans="1:2">
      <c r="A86" s="1">
        <v>42546</v>
      </c>
      <c r="B86">
        <v>0.4</v>
      </c>
    </row>
    <row r="87" spans="1:2">
      <c r="A87" s="1">
        <v>42547</v>
      </c>
      <c r="B87">
        <v>0.4</v>
      </c>
    </row>
    <row r="88" spans="1:2">
      <c r="A88" s="1">
        <v>42548</v>
      </c>
      <c r="B88">
        <v>0.41</v>
      </c>
    </row>
    <row r="89" spans="1:2">
      <c r="A89" s="1">
        <v>42549</v>
      </c>
      <c r="B89">
        <v>0.41</v>
      </c>
    </row>
    <row r="90" spans="1:2">
      <c r="A90" s="1">
        <v>42550</v>
      </c>
      <c r="B90">
        <v>0.41</v>
      </c>
    </row>
    <row r="91" spans="1:2">
      <c r="A91" s="1">
        <v>42551</v>
      </c>
      <c r="B91">
        <v>0.3</v>
      </c>
    </row>
    <row r="92" spans="1:2">
      <c r="A92" s="1">
        <v>42552</v>
      </c>
      <c r="B92">
        <v>0.41</v>
      </c>
    </row>
    <row r="93" spans="1:2">
      <c r="A93" s="1">
        <v>42553</v>
      </c>
      <c r="B93">
        <v>0.41</v>
      </c>
    </row>
    <row r="94" spans="1:2">
      <c r="A94" s="1">
        <v>42554</v>
      </c>
      <c r="B94">
        <v>0.41</v>
      </c>
    </row>
    <row r="95" spans="1:2">
      <c r="A95" s="1">
        <v>42555</v>
      </c>
      <c r="B95">
        <v>0.41</v>
      </c>
    </row>
    <row r="96" spans="1:2">
      <c r="A96" s="1">
        <v>42556</v>
      </c>
      <c r="B96">
        <v>0.4</v>
      </c>
    </row>
    <row r="97" spans="1:2">
      <c r="A97" s="1">
        <v>42557</v>
      </c>
      <c r="B97">
        <v>0.4</v>
      </c>
    </row>
    <row r="98" spans="1:2">
      <c r="A98" s="1">
        <v>42558</v>
      </c>
      <c r="B98">
        <v>0.4</v>
      </c>
    </row>
    <row r="99" spans="1:2">
      <c r="A99" s="1">
        <v>42559</v>
      </c>
      <c r="B99">
        <v>0.4</v>
      </c>
    </row>
    <row r="100" spans="1:2">
      <c r="A100" s="1">
        <v>42560</v>
      </c>
      <c r="B100">
        <v>0.4</v>
      </c>
    </row>
    <row r="101" spans="1:2">
      <c r="A101" s="1">
        <v>42561</v>
      </c>
      <c r="B101">
        <v>0.4</v>
      </c>
    </row>
    <row r="102" spans="1:2">
      <c r="A102" s="1">
        <v>42562</v>
      </c>
      <c r="B102">
        <v>0.4</v>
      </c>
    </row>
    <row r="103" spans="1:2">
      <c r="A103" s="1">
        <v>42563</v>
      </c>
      <c r="B103">
        <v>0.4</v>
      </c>
    </row>
    <row r="104" spans="1:2">
      <c r="A104" s="1">
        <v>42564</v>
      </c>
      <c r="B104">
        <v>0.4</v>
      </c>
    </row>
    <row r="105" spans="1:2">
      <c r="A105" s="1">
        <v>42565</v>
      </c>
      <c r="B105">
        <v>0.4</v>
      </c>
    </row>
    <row r="106" spans="1:2">
      <c r="A106" s="1">
        <v>42566</v>
      </c>
      <c r="B106">
        <v>0.4</v>
      </c>
    </row>
    <row r="107" spans="1:2">
      <c r="A107" s="1">
        <v>42567</v>
      </c>
      <c r="B107">
        <v>0.4</v>
      </c>
    </row>
    <row r="108" spans="1:2">
      <c r="A108" s="1">
        <v>42568</v>
      </c>
      <c r="B108">
        <v>0.4</v>
      </c>
    </row>
    <row r="109" spans="1:2">
      <c r="A109" s="1">
        <v>42569</v>
      </c>
      <c r="B109">
        <v>0.4</v>
      </c>
    </row>
    <row r="110" spans="1:2">
      <c r="A110" s="1">
        <v>42570</v>
      </c>
      <c r="B110">
        <v>0.4</v>
      </c>
    </row>
    <row r="111" spans="1:2">
      <c r="A111" s="1">
        <v>42571</v>
      </c>
      <c r="B111">
        <v>0.4</v>
      </c>
    </row>
    <row r="112" spans="1:2">
      <c r="A112" s="1">
        <v>42572</v>
      </c>
      <c r="B112">
        <v>0.4</v>
      </c>
    </row>
    <row r="113" spans="1:2">
      <c r="A113" s="1">
        <v>42573</v>
      </c>
      <c r="B113">
        <v>0.4</v>
      </c>
    </row>
    <row r="114" spans="1:2">
      <c r="A114" s="1">
        <v>42574</v>
      </c>
      <c r="B114">
        <v>0.4</v>
      </c>
    </row>
    <row r="115" spans="1:2">
      <c r="A115" s="1">
        <v>42575</v>
      </c>
      <c r="B115">
        <v>0.4</v>
      </c>
    </row>
    <row r="116" spans="1:2">
      <c r="A116" s="1">
        <v>42576</v>
      </c>
      <c r="B116">
        <v>0.4</v>
      </c>
    </row>
    <row r="117" spans="1:2">
      <c r="A117" s="1">
        <v>42577</v>
      </c>
      <c r="B117">
        <v>0.4</v>
      </c>
    </row>
    <row r="118" spans="1:2">
      <c r="A118" s="1">
        <v>42578</v>
      </c>
      <c r="B118">
        <v>0.4</v>
      </c>
    </row>
    <row r="119" spans="1:2">
      <c r="A119" s="1">
        <v>42579</v>
      </c>
      <c r="B119">
        <v>0.4</v>
      </c>
    </row>
    <row r="120" spans="1:2">
      <c r="A120" s="1">
        <v>42580</v>
      </c>
      <c r="B120">
        <v>0.3</v>
      </c>
    </row>
    <row r="121" spans="1:2">
      <c r="A121" s="1">
        <v>42581</v>
      </c>
      <c r="B121">
        <v>0.3</v>
      </c>
    </row>
    <row r="122" spans="1:2">
      <c r="A122" s="1">
        <v>42582</v>
      </c>
      <c r="B122">
        <v>0.3</v>
      </c>
    </row>
    <row r="123" spans="1:2">
      <c r="A123" s="1">
        <v>42583</v>
      </c>
      <c r="B123">
        <v>0.4</v>
      </c>
    </row>
    <row r="124" spans="1:2">
      <c r="A124" s="1">
        <v>42584</v>
      </c>
      <c r="B124">
        <v>0.4</v>
      </c>
    </row>
    <row r="125" spans="1:2">
      <c r="A125" s="1">
        <v>42585</v>
      </c>
      <c r="B125">
        <v>0.4</v>
      </c>
    </row>
    <row r="126" spans="1:2">
      <c r="A126" s="1">
        <v>42586</v>
      </c>
      <c r="B126">
        <v>0.4</v>
      </c>
    </row>
    <row r="127" spans="1:2">
      <c r="A127" s="1">
        <v>42587</v>
      </c>
      <c r="B127">
        <v>0.4</v>
      </c>
    </row>
    <row r="128" spans="1:2">
      <c r="A128" s="1">
        <v>42588</v>
      </c>
      <c r="B128">
        <v>0.4</v>
      </c>
    </row>
    <row r="129" spans="1:2">
      <c r="A129" s="1">
        <v>42589</v>
      </c>
      <c r="B129">
        <v>0.4</v>
      </c>
    </row>
    <row r="130" spans="1:2">
      <c r="A130" s="1">
        <v>42590</v>
      </c>
      <c r="B130">
        <v>0.4</v>
      </c>
    </row>
    <row r="131" spans="1:2">
      <c r="A131" s="1">
        <v>42591</v>
      </c>
      <c r="B131">
        <v>0.4</v>
      </c>
    </row>
    <row r="132" spans="1:2">
      <c r="A132" s="1">
        <v>42592</v>
      </c>
      <c r="B132">
        <v>0.4</v>
      </c>
    </row>
    <row r="133" spans="1:2">
      <c r="A133" s="1">
        <v>42593</v>
      </c>
      <c r="B133">
        <v>0.4</v>
      </c>
    </row>
    <row r="134" spans="1:2">
      <c r="A134" s="1">
        <v>42594</v>
      </c>
      <c r="B134">
        <v>0.4</v>
      </c>
    </row>
    <row r="135" spans="1:2">
      <c r="A135" s="1">
        <v>42595</v>
      </c>
      <c r="B135">
        <v>0.4</v>
      </c>
    </row>
    <row r="136" spans="1:2">
      <c r="A136" s="1">
        <v>42596</v>
      </c>
      <c r="B136">
        <v>0.4</v>
      </c>
    </row>
    <row r="137" spans="1:2">
      <c r="A137" s="1">
        <v>42597</v>
      </c>
      <c r="B137">
        <v>0.4</v>
      </c>
    </row>
    <row r="138" spans="1:2">
      <c r="A138" s="1">
        <v>42598</v>
      </c>
      <c r="B138">
        <v>0.4</v>
      </c>
    </row>
    <row r="139" spans="1:2">
      <c r="A139" s="1">
        <v>42599</v>
      </c>
      <c r="B139">
        <v>0.4</v>
      </c>
    </row>
    <row r="140" spans="1:2">
      <c r="A140" s="1">
        <v>42600</v>
      </c>
      <c r="B140">
        <v>0.4</v>
      </c>
    </row>
    <row r="141" spans="1:2">
      <c r="A141" s="1">
        <v>42601</v>
      </c>
      <c r="B141">
        <v>0.4</v>
      </c>
    </row>
    <row r="142" spans="1:2">
      <c r="A142" s="1">
        <v>42602</v>
      </c>
      <c r="B142">
        <v>0.4</v>
      </c>
    </row>
    <row r="143" spans="1:2">
      <c r="A143" s="1">
        <v>42603</v>
      </c>
      <c r="B143">
        <v>0.4</v>
      </c>
    </row>
    <row r="144" spans="1:2">
      <c r="A144" s="1">
        <v>42604</v>
      </c>
      <c r="B144">
        <v>0.4</v>
      </c>
    </row>
    <row r="145" spans="1:2">
      <c r="A145" s="1">
        <v>42605</v>
      </c>
      <c r="B145">
        <v>0.4</v>
      </c>
    </row>
    <row r="146" spans="1:2">
      <c r="A146" s="1">
        <v>42606</v>
      </c>
      <c r="B146">
        <v>0.4</v>
      </c>
    </row>
    <row r="147" spans="1:2">
      <c r="A147" s="1">
        <v>42607</v>
      </c>
      <c r="B147">
        <v>0.4</v>
      </c>
    </row>
    <row r="148" spans="1:2">
      <c r="A148" s="1">
        <v>42608</v>
      </c>
      <c r="B148">
        <v>0.4</v>
      </c>
    </row>
    <row r="149" spans="1:2">
      <c r="A149" s="1">
        <v>42609</v>
      </c>
      <c r="B149">
        <v>0.4</v>
      </c>
    </row>
    <row r="150" spans="1:2">
      <c r="A150" s="1">
        <v>42610</v>
      </c>
      <c r="B150">
        <v>0.4</v>
      </c>
    </row>
    <row r="151" spans="1:2">
      <c r="A151" s="1">
        <v>42611</v>
      </c>
      <c r="B151">
        <v>0.4</v>
      </c>
    </row>
    <row r="152" spans="1:2">
      <c r="A152" s="1">
        <v>42612</v>
      </c>
      <c r="B152">
        <v>0.4</v>
      </c>
    </row>
    <row r="153" spans="1:2">
      <c r="A153" s="1">
        <v>42613</v>
      </c>
      <c r="B153">
        <v>0.3</v>
      </c>
    </row>
    <row r="154" spans="1:2">
      <c r="A154" s="1">
        <v>42614</v>
      </c>
      <c r="B154">
        <v>0.4</v>
      </c>
    </row>
    <row r="155" spans="1:2">
      <c r="A155" s="1">
        <v>42615</v>
      </c>
      <c r="B155">
        <v>0.4</v>
      </c>
    </row>
    <row r="156" spans="1:2">
      <c r="A156" s="1">
        <v>42616</v>
      </c>
      <c r="B156">
        <v>0.4</v>
      </c>
    </row>
    <row r="157" spans="1:2">
      <c r="A157" s="1">
        <v>42617</v>
      </c>
      <c r="B157">
        <v>0.4</v>
      </c>
    </row>
    <row r="158" spans="1:2">
      <c r="A158" s="1">
        <v>42618</v>
      </c>
      <c r="B158">
        <v>0.4</v>
      </c>
    </row>
    <row r="159" spans="1:2">
      <c r="A159" s="1">
        <v>42619</v>
      </c>
      <c r="B159">
        <v>0.4</v>
      </c>
    </row>
    <row r="160" spans="1:2">
      <c r="A160" s="1">
        <v>42620</v>
      </c>
      <c r="B160">
        <v>0.4</v>
      </c>
    </row>
    <row r="161" spans="1:2">
      <c r="A161" s="1">
        <v>42621</v>
      </c>
      <c r="B161">
        <v>0.4</v>
      </c>
    </row>
    <row r="162" spans="1:2">
      <c r="A162" s="1">
        <v>42622</v>
      </c>
      <c r="B162">
        <v>0.4</v>
      </c>
    </row>
    <row r="163" spans="1:2">
      <c r="A163" s="1">
        <v>42623</v>
      </c>
      <c r="B163">
        <v>0.4</v>
      </c>
    </row>
    <row r="164" spans="1:2">
      <c r="A164" s="1">
        <v>42624</v>
      </c>
      <c r="B164">
        <v>0.4</v>
      </c>
    </row>
    <row r="165" spans="1:2">
      <c r="A165" s="1">
        <v>42625</v>
      </c>
      <c r="B165">
        <v>0.4</v>
      </c>
    </row>
    <row r="166" spans="1:2">
      <c r="A166" s="1">
        <v>42626</v>
      </c>
      <c r="B166">
        <v>0.4</v>
      </c>
    </row>
    <row r="167" spans="1:2">
      <c r="A167" s="1">
        <v>42627</v>
      </c>
      <c r="B167">
        <v>0.4</v>
      </c>
    </row>
    <row r="168" spans="1:2">
      <c r="A168" s="1">
        <v>42628</v>
      </c>
      <c r="B168">
        <v>0.4</v>
      </c>
    </row>
    <row r="169" spans="1:2">
      <c r="A169" s="1">
        <v>42629</v>
      </c>
      <c r="B169">
        <v>0.4</v>
      </c>
    </row>
    <row r="170" spans="1:2">
      <c r="A170" s="1">
        <v>42630</v>
      </c>
      <c r="B170">
        <v>0.4</v>
      </c>
    </row>
    <row r="171" spans="1:2">
      <c r="A171" s="1">
        <v>42631</v>
      </c>
      <c r="B171">
        <v>0.4</v>
      </c>
    </row>
    <row r="172" spans="1:2">
      <c r="A172" s="1">
        <v>42632</v>
      </c>
      <c r="B172">
        <v>0.4</v>
      </c>
    </row>
    <row r="173" spans="1:2">
      <c r="A173" s="1">
        <v>42633</v>
      </c>
      <c r="B173">
        <v>0.4</v>
      </c>
    </row>
    <row r="174" spans="1:2">
      <c r="A174" s="1">
        <v>42634</v>
      </c>
      <c r="B174">
        <v>0.4</v>
      </c>
    </row>
    <row r="175" spans="1:2">
      <c r="A175" s="1">
        <v>42635</v>
      </c>
      <c r="B175">
        <v>0.4</v>
      </c>
    </row>
    <row r="176" spans="1:2">
      <c r="A176" s="1">
        <v>42636</v>
      </c>
      <c r="B176">
        <v>0.4</v>
      </c>
    </row>
    <row r="177" spans="1:2">
      <c r="A177" s="1">
        <v>42637</v>
      </c>
      <c r="B177">
        <v>0.4</v>
      </c>
    </row>
    <row r="178" spans="1:2">
      <c r="A178" s="1">
        <v>42638</v>
      </c>
      <c r="B178">
        <v>0.4</v>
      </c>
    </row>
    <row r="179" spans="1:2">
      <c r="A179" s="1">
        <v>42639</v>
      </c>
      <c r="B179">
        <v>0.4</v>
      </c>
    </row>
    <row r="180" spans="1:2">
      <c r="A180" s="1">
        <v>42640</v>
      </c>
      <c r="B180">
        <v>0.4</v>
      </c>
    </row>
    <row r="181" spans="1:2">
      <c r="A181" s="1">
        <v>42641</v>
      </c>
      <c r="B181">
        <v>0.4</v>
      </c>
    </row>
    <row r="182" spans="1:2">
      <c r="A182" s="1">
        <v>42642</v>
      </c>
      <c r="B182">
        <v>0.4</v>
      </c>
    </row>
    <row r="183" spans="1:2">
      <c r="A183" s="1">
        <v>42643</v>
      </c>
      <c r="B183">
        <v>0.28999999999999998</v>
      </c>
    </row>
    <row r="184" spans="1:2">
      <c r="A184" s="1">
        <v>42644</v>
      </c>
      <c r="B184">
        <v>0.28999999999999998</v>
      </c>
    </row>
    <row r="185" spans="1:2">
      <c r="A185" s="1">
        <v>42645</v>
      </c>
      <c r="B185">
        <v>0.28999999999999998</v>
      </c>
    </row>
    <row r="186" spans="1:2">
      <c r="A186" s="1">
        <v>42646</v>
      </c>
      <c r="B186">
        <v>0.4</v>
      </c>
    </row>
    <row r="187" spans="1:2">
      <c r="A187" s="1">
        <v>42647</v>
      </c>
      <c r="B187">
        <v>0.4</v>
      </c>
    </row>
    <row r="188" spans="1:2">
      <c r="A188" s="1">
        <v>42648</v>
      </c>
      <c r="B188">
        <v>0.4</v>
      </c>
    </row>
    <row r="189" spans="1:2">
      <c r="A189" s="1">
        <v>42649</v>
      </c>
      <c r="B189">
        <v>0.4</v>
      </c>
    </row>
    <row r="190" spans="1:2">
      <c r="A190" s="1">
        <v>42650</v>
      </c>
      <c r="B190">
        <v>0.4</v>
      </c>
    </row>
    <row r="191" spans="1:2">
      <c r="A191" s="1">
        <v>42651</v>
      </c>
      <c r="B191">
        <v>0.4</v>
      </c>
    </row>
    <row r="192" spans="1:2">
      <c r="A192" s="1">
        <v>42652</v>
      </c>
      <c r="B192">
        <v>0.4</v>
      </c>
    </row>
    <row r="193" spans="1:2">
      <c r="A193" s="1">
        <v>42653</v>
      </c>
      <c r="B193">
        <v>0.4</v>
      </c>
    </row>
    <row r="194" spans="1:2">
      <c r="A194" s="1">
        <v>42654</v>
      </c>
      <c r="B194">
        <v>0.41</v>
      </c>
    </row>
    <row r="195" spans="1:2">
      <c r="A195" s="1">
        <v>42655</v>
      </c>
      <c r="B195">
        <v>0.41</v>
      </c>
    </row>
    <row r="196" spans="1:2">
      <c r="A196" s="1">
        <v>42656</v>
      </c>
      <c r="B196">
        <v>0.41</v>
      </c>
    </row>
    <row r="197" spans="1:2">
      <c r="A197" s="1">
        <v>42657</v>
      </c>
      <c r="B197">
        <v>0.41</v>
      </c>
    </row>
    <row r="198" spans="1:2">
      <c r="A198" s="1">
        <v>42658</v>
      </c>
      <c r="B198">
        <v>0.41</v>
      </c>
    </row>
    <row r="199" spans="1:2">
      <c r="A199" s="1">
        <v>42659</v>
      </c>
      <c r="B199">
        <v>0.41</v>
      </c>
    </row>
    <row r="200" spans="1:2">
      <c r="A200" s="1">
        <v>42660</v>
      </c>
      <c r="B200">
        <v>0.41</v>
      </c>
    </row>
    <row r="201" spans="1:2">
      <c r="A201" s="1">
        <v>42661</v>
      </c>
      <c r="B201">
        <v>0.41</v>
      </c>
    </row>
    <row r="202" spans="1:2">
      <c r="A202" s="1">
        <v>42662</v>
      </c>
      <c r="B202">
        <v>0.41</v>
      </c>
    </row>
    <row r="203" spans="1:2">
      <c r="A203" s="1">
        <v>42663</v>
      </c>
      <c r="B203">
        <v>0.41</v>
      </c>
    </row>
    <row r="204" spans="1:2">
      <c r="A204" s="1">
        <v>42664</v>
      </c>
      <c r="B204">
        <v>0.41</v>
      </c>
    </row>
    <row r="205" spans="1:2">
      <c r="A205" s="1">
        <v>42665</v>
      </c>
      <c r="B205">
        <v>0.41</v>
      </c>
    </row>
    <row r="206" spans="1:2">
      <c r="A206" s="1">
        <v>42666</v>
      </c>
      <c r="B206">
        <v>0.41</v>
      </c>
    </row>
    <row r="207" spans="1:2">
      <c r="A207" s="1">
        <v>42667</v>
      </c>
      <c r="B207">
        <v>0.41</v>
      </c>
    </row>
    <row r="208" spans="1:2">
      <c r="A208" s="1">
        <v>42668</v>
      </c>
      <c r="B208">
        <v>0.41</v>
      </c>
    </row>
    <row r="209" spans="1:2">
      <c r="A209" s="1">
        <v>42669</v>
      </c>
      <c r="B209">
        <v>0.41</v>
      </c>
    </row>
    <row r="210" spans="1:2">
      <c r="A210" s="1">
        <v>42670</v>
      </c>
      <c r="B210">
        <v>0.41</v>
      </c>
    </row>
    <row r="211" spans="1:2">
      <c r="A211" s="1">
        <v>42671</v>
      </c>
      <c r="B211">
        <v>0.41</v>
      </c>
    </row>
    <row r="212" spans="1:2">
      <c r="A212" s="1">
        <v>42672</v>
      </c>
      <c r="B212">
        <v>0.41</v>
      </c>
    </row>
    <row r="213" spans="1:2">
      <c r="A213" s="1">
        <v>42673</v>
      </c>
      <c r="B213">
        <v>0.41</v>
      </c>
    </row>
    <row r="214" spans="1:2">
      <c r="A214" s="1">
        <v>42674</v>
      </c>
      <c r="B214">
        <v>0.31</v>
      </c>
    </row>
    <row r="215" spans="1:2">
      <c r="A215" s="1">
        <v>42675</v>
      </c>
      <c r="B215">
        <v>0.41</v>
      </c>
    </row>
    <row r="216" spans="1:2">
      <c r="A216" s="1">
        <v>42676</v>
      </c>
      <c r="B216">
        <v>0.41</v>
      </c>
    </row>
    <row r="217" spans="1:2">
      <c r="A217" s="1">
        <v>42677</v>
      </c>
      <c r="B217">
        <v>0.41</v>
      </c>
    </row>
    <row r="218" spans="1:2">
      <c r="A218" s="1">
        <v>42678</v>
      </c>
      <c r="B218">
        <v>0.41</v>
      </c>
    </row>
    <row r="219" spans="1:2">
      <c r="A219" s="1">
        <v>42679</v>
      </c>
      <c r="B219">
        <v>0.41</v>
      </c>
    </row>
    <row r="220" spans="1:2">
      <c r="A220" s="1">
        <v>42680</v>
      </c>
      <c r="B220">
        <v>0.41</v>
      </c>
    </row>
    <row r="221" spans="1:2">
      <c r="A221" s="1">
        <v>42681</v>
      </c>
      <c r="B221">
        <v>0.41</v>
      </c>
    </row>
    <row r="222" spans="1:2">
      <c r="A222" s="1">
        <v>42682</v>
      </c>
      <c r="B222">
        <v>0.41</v>
      </c>
    </row>
    <row r="223" spans="1:2">
      <c r="A223" s="1">
        <v>42683</v>
      </c>
      <c r="B223">
        <v>0.41</v>
      </c>
    </row>
    <row r="224" spans="1:2">
      <c r="A224" s="1">
        <v>42684</v>
      </c>
      <c r="B224">
        <v>0.41</v>
      </c>
    </row>
    <row r="225" spans="1:2">
      <c r="A225" s="1">
        <v>42685</v>
      </c>
      <c r="B225">
        <v>0.41</v>
      </c>
    </row>
    <row r="226" spans="1:2">
      <c r="A226" s="1">
        <v>42686</v>
      </c>
      <c r="B226">
        <v>0.41</v>
      </c>
    </row>
    <row r="227" spans="1:2">
      <c r="A227" s="1">
        <v>42687</v>
      </c>
      <c r="B227">
        <v>0.41</v>
      </c>
    </row>
    <row r="228" spans="1:2">
      <c r="A228" s="1">
        <v>42688</v>
      </c>
      <c r="B228">
        <v>0.41</v>
      </c>
    </row>
    <row r="229" spans="1:2">
      <c r="A229" s="1">
        <v>42689</v>
      </c>
      <c r="B229">
        <v>0.41</v>
      </c>
    </row>
    <row r="230" spans="1:2">
      <c r="A230" s="1">
        <v>42690</v>
      </c>
      <c r="B230">
        <v>0.41</v>
      </c>
    </row>
    <row r="231" spans="1:2">
      <c r="A231" s="1">
        <v>42691</v>
      </c>
      <c r="B231">
        <v>0.41</v>
      </c>
    </row>
    <row r="232" spans="1:2">
      <c r="A232" s="1">
        <v>42692</v>
      </c>
      <c r="B232">
        <v>0.41</v>
      </c>
    </row>
    <row r="233" spans="1:2">
      <c r="A233" s="1">
        <v>42693</v>
      </c>
      <c r="B233">
        <v>0.41</v>
      </c>
    </row>
    <row r="234" spans="1:2">
      <c r="A234" s="1">
        <v>42694</v>
      </c>
      <c r="B234">
        <v>0.41</v>
      </c>
    </row>
    <row r="235" spans="1:2">
      <c r="A235" s="1">
        <v>42695</v>
      </c>
      <c r="B235">
        <v>0.41</v>
      </c>
    </row>
    <row r="236" spans="1:2">
      <c r="A236" s="1">
        <v>42696</v>
      </c>
      <c r="B236">
        <v>0.41</v>
      </c>
    </row>
    <row r="237" spans="1:2">
      <c r="A237" s="1">
        <v>42697</v>
      </c>
      <c r="B237">
        <v>0.41</v>
      </c>
    </row>
    <row r="238" spans="1:2">
      <c r="A238" s="1">
        <v>42698</v>
      </c>
      <c r="B238">
        <v>0.41</v>
      </c>
    </row>
    <row r="239" spans="1:2">
      <c r="A239" s="1">
        <v>42699</v>
      </c>
      <c r="B239">
        <v>0.41</v>
      </c>
    </row>
    <row r="240" spans="1:2">
      <c r="A240" s="1">
        <v>42700</v>
      </c>
      <c r="B240">
        <v>0.41</v>
      </c>
    </row>
    <row r="241" spans="1:2">
      <c r="A241" s="1">
        <v>42701</v>
      </c>
      <c r="B241">
        <v>0.41</v>
      </c>
    </row>
    <row r="242" spans="1:2">
      <c r="A242" s="1">
        <v>42702</v>
      </c>
      <c r="B242">
        <v>0.41</v>
      </c>
    </row>
    <row r="243" spans="1:2">
      <c r="A243" s="1">
        <v>42703</v>
      </c>
      <c r="B243">
        <v>0.41</v>
      </c>
    </row>
    <row r="244" spans="1:2">
      <c r="A244" s="1">
        <v>42704</v>
      </c>
      <c r="B244">
        <v>0.31</v>
      </c>
    </row>
    <row r="245" spans="1:2">
      <c r="A245" s="1">
        <v>42705</v>
      </c>
      <c r="B245">
        <v>0.41</v>
      </c>
    </row>
    <row r="246" spans="1:2">
      <c r="A246" s="1">
        <v>42706</v>
      </c>
      <c r="B246">
        <v>0.41</v>
      </c>
    </row>
    <row r="247" spans="1:2">
      <c r="A247" s="1">
        <v>42707</v>
      </c>
      <c r="B247">
        <v>0.41</v>
      </c>
    </row>
    <row r="248" spans="1:2">
      <c r="A248" s="1">
        <v>42708</v>
      </c>
      <c r="B248">
        <v>0.41</v>
      </c>
    </row>
    <row r="249" spans="1:2">
      <c r="A249" s="1">
        <v>42709</v>
      </c>
      <c r="B249">
        <v>0.41</v>
      </c>
    </row>
    <row r="250" spans="1:2">
      <c r="A250" s="1">
        <v>42710</v>
      </c>
      <c r="B250">
        <v>0.41</v>
      </c>
    </row>
    <row r="251" spans="1:2">
      <c r="A251" s="1">
        <v>42711</v>
      </c>
      <c r="B251">
        <v>0.41</v>
      </c>
    </row>
    <row r="252" spans="1:2">
      <c r="A252" s="1">
        <v>42712</v>
      </c>
      <c r="B252">
        <v>0.41</v>
      </c>
    </row>
    <row r="253" spans="1:2">
      <c r="A253" s="1">
        <v>42713</v>
      </c>
      <c r="B253">
        <v>0.41</v>
      </c>
    </row>
    <row r="254" spans="1:2">
      <c r="A254" s="1">
        <v>42714</v>
      </c>
      <c r="B254">
        <v>0.41</v>
      </c>
    </row>
    <row r="255" spans="1:2">
      <c r="A255" s="1">
        <v>42715</v>
      </c>
      <c r="B255">
        <v>0.41</v>
      </c>
    </row>
    <row r="256" spans="1:2">
      <c r="A256" s="1">
        <v>42716</v>
      </c>
      <c r="B256">
        <v>0.41</v>
      </c>
    </row>
    <row r="257" spans="1:2">
      <c r="A257" s="1">
        <v>42717</v>
      </c>
      <c r="B257">
        <v>0.41</v>
      </c>
    </row>
    <row r="258" spans="1:2">
      <c r="A258" s="1">
        <v>42718</v>
      </c>
      <c r="B258">
        <v>0.41</v>
      </c>
    </row>
    <row r="259" spans="1:2">
      <c r="A259" s="1">
        <v>42719</v>
      </c>
      <c r="B259">
        <v>0.66</v>
      </c>
    </row>
    <row r="260" spans="1:2">
      <c r="A260" s="1">
        <v>42720</v>
      </c>
      <c r="B260">
        <v>0.66</v>
      </c>
    </row>
    <row r="261" spans="1:2">
      <c r="A261" s="1">
        <v>42721</v>
      </c>
      <c r="B261">
        <v>0.66</v>
      </c>
    </row>
    <row r="262" spans="1:2">
      <c r="A262" s="1">
        <v>42722</v>
      </c>
      <c r="B262">
        <v>0.66</v>
      </c>
    </row>
    <row r="263" spans="1:2">
      <c r="A263" s="1">
        <v>42723</v>
      </c>
      <c r="B263">
        <v>0.66</v>
      </c>
    </row>
    <row r="264" spans="1:2">
      <c r="A264" s="1">
        <v>42724</v>
      </c>
      <c r="B264">
        <v>0.66</v>
      </c>
    </row>
    <row r="265" spans="1:2">
      <c r="A265" s="1">
        <v>42725</v>
      </c>
      <c r="B265">
        <v>0.66</v>
      </c>
    </row>
    <row r="266" spans="1:2">
      <c r="A266" s="1">
        <v>42726</v>
      </c>
      <c r="B266">
        <v>0.66</v>
      </c>
    </row>
    <row r="267" spans="1:2">
      <c r="A267" s="1">
        <v>42727</v>
      </c>
      <c r="B267">
        <v>0.66</v>
      </c>
    </row>
    <row r="268" spans="1:2">
      <c r="A268" s="1">
        <v>42728</v>
      </c>
      <c r="B268">
        <v>0.66</v>
      </c>
    </row>
    <row r="269" spans="1:2">
      <c r="A269" s="1">
        <v>42729</v>
      </c>
      <c r="B269">
        <v>0.66</v>
      </c>
    </row>
    <row r="270" spans="1:2">
      <c r="A270" s="1">
        <v>42730</v>
      </c>
      <c r="B270">
        <v>0.66</v>
      </c>
    </row>
    <row r="271" spans="1:2">
      <c r="A271" s="1">
        <v>42731</v>
      </c>
      <c r="B271">
        <v>0.66</v>
      </c>
    </row>
    <row r="272" spans="1:2">
      <c r="A272" s="1">
        <v>42732</v>
      </c>
      <c r="B272">
        <v>0.66</v>
      </c>
    </row>
    <row r="273" spans="1:2">
      <c r="A273" s="1">
        <v>42733</v>
      </c>
      <c r="B273">
        <v>0.66</v>
      </c>
    </row>
    <row r="274" spans="1:2">
      <c r="A274" s="1">
        <v>42734</v>
      </c>
      <c r="B274">
        <v>0.55000000000000004</v>
      </c>
    </row>
    <row r="275" spans="1:2">
      <c r="A275" s="1">
        <v>42735</v>
      </c>
      <c r="B275">
        <v>0.55000000000000004</v>
      </c>
    </row>
    <row r="276" spans="1:2">
      <c r="A276" s="1">
        <v>42736</v>
      </c>
      <c r="B276">
        <v>0.55000000000000004</v>
      </c>
    </row>
    <row r="277" spans="1:2">
      <c r="A277" s="1">
        <v>42737</v>
      </c>
      <c r="B277">
        <v>0.55000000000000004</v>
      </c>
    </row>
    <row r="278" spans="1:2">
      <c r="A278" s="1">
        <v>42738</v>
      </c>
      <c r="B278">
        <v>0.66</v>
      </c>
    </row>
    <row r="279" spans="1:2">
      <c r="A279" s="1">
        <v>42739</v>
      </c>
      <c r="B279">
        <v>0.66</v>
      </c>
    </row>
    <row r="280" spans="1:2">
      <c r="A280" s="1">
        <v>42740</v>
      </c>
      <c r="B280">
        <v>0.66</v>
      </c>
    </row>
    <row r="281" spans="1:2">
      <c r="A281" s="1">
        <v>42741</v>
      </c>
      <c r="B281">
        <v>0.66</v>
      </c>
    </row>
    <row r="282" spans="1:2">
      <c r="A282" s="1">
        <v>42742</v>
      </c>
      <c r="B282">
        <v>0.66</v>
      </c>
    </row>
    <row r="283" spans="1:2">
      <c r="A283" s="1">
        <v>42743</v>
      </c>
      <c r="B283">
        <v>0.66</v>
      </c>
    </row>
    <row r="284" spans="1:2">
      <c r="A284" s="1">
        <v>42744</v>
      </c>
      <c r="B284">
        <v>0.66</v>
      </c>
    </row>
    <row r="285" spans="1:2">
      <c r="A285" s="1">
        <v>42745</v>
      </c>
      <c r="B285">
        <v>0.66</v>
      </c>
    </row>
    <row r="286" spans="1:2">
      <c r="A286" s="1">
        <v>42746</v>
      </c>
      <c r="B286">
        <v>0.66</v>
      </c>
    </row>
    <row r="287" spans="1:2">
      <c r="A287" s="1">
        <v>42747</v>
      </c>
      <c r="B287">
        <v>0.66</v>
      </c>
    </row>
    <row r="288" spans="1:2">
      <c r="A288" s="1">
        <v>42748</v>
      </c>
      <c r="B288">
        <v>0.66</v>
      </c>
    </row>
    <row r="289" spans="1:2">
      <c r="A289" s="1">
        <v>42749</v>
      </c>
      <c r="B289">
        <v>0.66</v>
      </c>
    </row>
    <row r="290" spans="1:2">
      <c r="A290" s="1">
        <v>42750</v>
      </c>
      <c r="B290">
        <v>0.66</v>
      </c>
    </row>
    <row r="291" spans="1:2">
      <c r="A291" s="1">
        <v>42751</v>
      </c>
      <c r="B291">
        <v>0.66</v>
      </c>
    </row>
    <row r="292" spans="1:2">
      <c r="A292" s="1">
        <v>42752</v>
      </c>
      <c r="B292">
        <v>0.66</v>
      </c>
    </row>
    <row r="293" spans="1:2">
      <c r="A293" s="1">
        <v>42753</v>
      </c>
      <c r="B293">
        <v>0.66</v>
      </c>
    </row>
    <row r="294" spans="1:2">
      <c r="A294" s="1">
        <v>42754</v>
      </c>
      <c r="B294">
        <v>0.66</v>
      </c>
    </row>
    <row r="295" spans="1:2">
      <c r="A295" s="1">
        <v>42755</v>
      </c>
      <c r="B295">
        <v>0.66</v>
      </c>
    </row>
    <row r="296" spans="1:2">
      <c r="A296" s="1">
        <v>42756</v>
      </c>
      <c r="B296">
        <v>0.66</v>
      </c>
    </row>
    <row r="297" spans="1:2">
      <c r="A297" s="1">
        <v>42757</v>
      </c>
      <c r="B297">
        <v>0.66</v>
      </c>
    </row>
    <row r="298" spans="1:2">
      <c r="A298" s="1">
        <v>42758</v>
      </c>
      <c r="B298">
        <v>0.66</v>
      </c>
    </row>
    <row r="299" spans="1:2">
      <c r="A299" s="1">
        <v>42759</v>
      </c>
      <c r="B299">
        <v>0.66</v>
      </c>
    </row>
    <row r="300" spans="1:2">
      <c r="A300" s="1">
        <v>42760</v>
      </c>
      <c r="B300">
        <v>0.66</v>
      </c>
    </row>
    <row r="301" spans="1:2">
      <c r="A301" s="1">
        <v>42761</v>
      </c>
      <c r="B301">
        <v>0.66</v>
      </c>
    </row>
    <row r="302" spans="1:2">
      <c r="A302" s="1">
        <v>42762</v>
      </c>
      <c r="B302">
        <v>0.66</v>
      </c>
    </row>
    <row r="303" spans="1:2">
      <c r="A303" s="1">
        <v>42763</v>
      </c>
      <c r="B303">
        <v>0.66</v>
      </c>
    </row>
    <row r="304" spans="1:2">
      <c r="A304" s="1">
        <v>42764</v>
      </c>
      <c r="B304">
        <v>0.66</v>
      </c>
    </row>
    <row r="305" spans="1:2">
      <c r="A305" s="1">
        <v>42765</v>
      </c>
      <c r="B305">
        <v>0.66</v>
      </c>
    </row>
    <row r="306" spans="1:2">
      <c r="A306" s="1">
        <v>42766</v>
      </c>
      <c r="B306">
        <v>0.56000000000000005</v>
      </c>
    </row>
    <row r="307" spans="1:2">
      <c r="A307" s="1">
        <v>42767</v>
      </c>
      <c r="B307">
        <v>0.66</v>
      </c>
    </row>
    <row r="308" spans="1:2">
      <c r="A308" s="1">
        <v>42768</v>
      </c>
      <c r="B308">
        <v>0.66</v>
      </c>
    </row>
    <row r="309" spans="1:2">
      <c r="A309" s="1">
        <v>42769</v>
      </c>
      <c r="B309">
        <v>0.66</v>
      </c>
    </row>
    <row r="310" spans="1:2">
      <c r="A310" s="1">
        <v>42770</v>
      </c>
      <c r="B310">
        <v>0.66</v>
      </c>
    </row>
    <row r="311" spans="1:2">
      <c r="A311" s="1">
        <v>42771</v>
      </c>
      <c r="B311">
        <v>0.66</v>
      </c>
    </row>
    <row r="312" spans="1:2">
      <c r="A312" s="1">
        <v>42772</v>
      </c>
      <c r="B312">
        <v>0.66</v>
      </c>
    </row>
    <row r="313" spans="1:2">
      <c r="A313" s="1">
        <v>42773</v>
      </c>
      <c r="B313">
        <v>0.66</v>
      </c>
    </row>
    <row r="314" spans="1:2">
      <c r="A314" s="1">
        <v>42774</v>
      </c>
      <c r="B314">
        <v>0.66</v>
      </c>
    </row>
    <row r="315" spans="1:2">
      <c r="A315" s="1">
        <v>42775</v>
      </c>
      <c r="B315">
        <v>0.66</v>
      </c>
    </row>
    <row r="316" spans="1:2">
      <c r="A316" s="1">
        <v>42776</v>
      </c>
      <c r="B316">
        <v>0.66</v>
      </c>
    </row>
    <row r="317" spans="1:2">
      <c r="A317" s="1">
        <v>42777</v>
      </c>
      <c r="B317">
        <v>0.66</v>
      </c>
    </row>
    <row r="318" spans="1:2">
      <c r="A318" s="1">
        <v>42778</v>
      </c>
      <c r="B318">
        <v>0.66</v>
      </c>
    </row>
    <row r="319" spans="1:2">
      <c r="A319" s="1">
        <v>42779</v>
      </c>
      <c r="B319">
        <v>0.66</v>
      </c>
    </row>
    <row r="320" spans="1:2">
      <c r="A320" s="1">
        <v>42780</v>
      </c>
      <c r="B320">
        <v>0.66</v>
      </c>
    </row>
    <row r="321" spans="1:2">
      <c r="A321" s="1">
        <v>42781</v>
      </c>
      <c r="B321">
        <v>0.66</v>
      </c>
    </row>
    <row r="322" spans="1:2">
      <c r="A322" s="1">
        <v>42782</v>
      </c>
      <c r="B322">
        <v>0.66</v>
      </c>
    </row>
    <row r="323" spans="1:2">
      <c r="A323" s="1">
        <v>42783</v>
      </c>
      <c r="B323">
        <v>0.66</v>
      </c>
    </row>
    <row r="324" spans="1:2">
      <c r="A324" s="1">
        <v>42784</v>
      </c>
      <c r="B324">
        <v>0.66</v>
      </c>
    </row>
    <row r="325" spans="1:2">
      <c r="A325" s="1">
        <v>42785</v>
      </c>
      <c r="B325">
        <v>0.66</v>
      </c>
    </row>
    <row r="326" spans="1:2">
      <c r="A326" s="1">
        <v>42786</v>
      </c>
      <c r="B326">
        <v>0.66</v>
      </c>
    </row>
    <row r="327" spans="1:2">
      <c r="A327" s="1">
        <v>42787</v>
      </c>
      <c r="B327">
        <v>0.66</v>
      </c>
    </row>
    <row r="328" spans="1:2">
      <c r="A328" s="1">
        <v>42788</v>
      </c>
      <c r="B328">
        <v>0.66</v>
      </c>
    </row>
    <row r="329" spans="1:2">
      <c r="A329" s="1">
        <v>42789</v>
      </c>
      <c r="B329">
        <v>0.66</v>
      </c>
    </row>
    <row r="330" spans="1:2">
      <c r="A330" s="1">
        <v>42790</v>
      </c>
      <c r="B330">
        <v>0.66</v>
      </c>
    </row>
    <row r="331" spans="1:2">
      <c r="A331" s="1">
        <v>42791</v>
      </c>
      <c r="B331">
        <v>0.66</v>
      </c>
    </row>
    <row r="332" spans="1:2">
      <c r="A332" s="1">
        <v>42792</v>
      </c>
      <c r="B332">
        <v>0.66</v>
      </c>
    </row>
    <row r="333" spans="1:2">
      <c r="A333" s="1">
        <v>42793</v>
      </c>
      <c r="B333">
        <v>0.66</v>
      </c>
    </row>
    <row r="334" spans="1:2">
      <c r="A334" s="1">
        <v>42794</v>
      </c>
      <c r="B334">
        <v>0.56999999999999995</v>
      </c>
    </row>
    <row r="335" spans="1:2">
      <c r="A335" s="1">
        <v>42795</v>
      </c>
      <c r="B335">
        <v>0.66</v>
      </c>
    </row>
    <row r="336" spans="1:2">
      <c r="A336" s="1">
        <v>42796</v>
      </c>
      <c r="B336">
        <v>0.66</v>
      </c>
    </row>
    <row r="337" spans="1:2">
      <c r="A337" s="1">
        <v>42797</v>
      </c>
      <c r="B337">
        <v>0.66</v>
      </c>
    </row>
    <row r="338" spans="1:2">
      <c r="A338" s="1">
        <v>42798</v>
      </c>
      <c r="B338">
        <v>0.66</v>
      </c>
    </row>
    <row r="339" spans="1:2">
      <c r="A339" s="1">
        <v>42799</v>
      </c>
      <c r="B339">
        <v>0.66</v>
      </c>
    </row>
    <row r="340" spans="1:2">
      <c r="A340" s="1">
        <v>42800</v>
      </c>
      <c r="B340">
        <v>0.66</v>
      </c>
    </row>
    <row r="341" spans="1:2">
      <c r="A341" s="1">
        <v>42801</v>
      </c>
      <c r="B341">
        <v>0.66</v>
      </c>
    </row>
    <row r="342" spans="1:2">
      <c r="A342" s="1">
        <v>42802</v>
      </c>
      <c r="B342">
        <v>0.66</v>
      </c>
    </row>
    <row r="343" spans="1:2">
      <c r="A343" s="1">
        <v>42803</v>
      </c>
      <c r="B343">
        <v>0.66</v>
      </c>
    </row>
    <row r="344" spans="1:2">
      <c r="A344" s="1">
        <v>42804</v>
      </c>
      <c r="B344">
        <v>0.66</v>
      </c>
    </row>
    <row r="345" spans="1:2">
      <c r="A345" s="1">
        <v>42805</v>
      </c>
      <c r="B345">
        <v>0.66</v>
      </c>
    </row>
    <row r="346" spans="1:2">
      <c r="A346" s="1">
        <v>42806</v>
      </c>
      <c r="B346">
        <v>0.66</v>
      </c>
    </row>
    <row r="347" spans="1:2">
      <c r="A347" s="1">
        <v>42807</v>
      </c>
      <c r="B347">
        <v>0.66</v>
      </c>
    </row>
    <row r="348" spans="1:2">
      <c r="A348" s="1">
        <v>42808</v>
      </c>
      <c r="B348">
        <v>0.66</v>
      </c>
    </row>
    <row r="349" spans="1:2">
      <c r="A349" s="1">
        <v>42809</v>
      </c>
      <c r="B349">
        <v>0.66</v>
      </c>
    </row>
    <row r="350" spans="1:2">
      <c r="A350" s="1">
        <v>42810</v>
      </c>
      <c r="B350">
        <v>0.91</v>
      </c>
    </row>
    <row r="351" spans="1:2">
      <c r="A351" s="1">
        <v>42811</v>
      </c>
      <c r="B351">
        <v>0.91</v>
      </c>
    </row>
    <row r="352" spans="1:2">
      <c r="A352" s="1">
        <v>42812</v>
      </c>
      <c r="B352">
        <v>0.91</v>
      </c>
    </row>
    <row r="353" spans="1:2">
      <c r="A353" s="1">
        <v>42813</v>
      </c>
      <c r="B353">
        <v>0.91</v>
      </c>
    </row>
    <row r="354" spans="1:2">
      <c r="A354" s="1">
        <v>42814</v>
      </c>
      <c r="B354">
        <v>0.91</v>
      </c>
    </row>
    <row r="355" spans="1:2">
      <c r="A355" s="1">
        <v>42815</v>
      </c>
      <c r="B355">
        <v>0.91</v>
      </c>
    </row>
    <row r="356" spans="1:2">
      <c r="A356" s="1">
        <v>42816</v>
      </c>
      <c r="B356">
        <v>0.91</v>
      </c>
    </row>
    <row r="357" spans="1:2">
      <c r="A357" s="1">
        <v>42817</v>
      </c>
      <c r="B357">
        <v>0.91</v>
      </c>
    </row>
    <row r="358" spans="1:2">
      <c r="A358" s="1">
        <v>42818</v>
      </c>
      <c r="B358">
        <v>0.91</v>
      </c>
    </row>
    <row r="359" spans="1:2">
      <c r="A359" s="1">
        <v>42819</v>
      </c>
      <c r="B359">
        <v>0.91</v>
      </c>
    </row>
    <row r="360" spans="1:2">
      <c r="A360" s="1">
        <v>42820</v>
      </c>
      <c r="B360">
        <v>0.91</v>
      </c>
    </row>
    <row r="361" spans="1:2">
      <c r="A361" s="1">
        <v>42821</v>
      </c>
      <c r="B361">
        <v>0.91</v>
      </c>
    </row>
    <row r="362" spans="1:2">
      <c r="A362" s="1">
        <v>42822</v>
      </c>
      <c r="B362">
        <v>0.91</v>
      </c>
    </row>
    <row r="363" spans="1:2">
      <c r="A363" s="1">
        <v>42823</v>
      </c>
      <c r="B363">
        <v>0.91</v>
      </c>
    </row>
    <row r="364" spans="1:2">
      <c r="A364" s="1">
        <v>42824</v>
      </c>
      <c r="B364">
        <v>0.91</v>
      </c>
    </row>
    <row r="365" spans="1:2">
      <c r="A365" s="1">
        <v>42825</v>
      </c>
      <c r="B365">
        <v>0.82</v>
      </c>
    </row>
    <row r="366" spans="1:2">
      <c r="A366" s="1">
        <v>42826</v>
      </c>
      <c r="B366">
        <v>0.82</v>
      </c>
    </row>
    <row r="367" spans="1:2">
      <c r="A367" s="1">
        <v>42827</v>
      </c>
      <c r="B367">
        <v>0.82</v>
      </c>
    </row>
    <row r="368" spans="1:2">
      <c r="A368" s="1">
        <v>42828</v>
      </c>
      <c r="B368">
        <v>0.91</v>
      </c>
    </row>
    <row r="369" spans="1:2">
      <c r="A369" s="1">
        <v>42829</v>
      </c>
      <c r="B369">
        <v>0.91</v>
      </c>
    </row>
    <row r="370" spans="1:2">
      <c r="A370" s="1">
        <v>42830</v>
      </c>
      <c r="B370">
        <v>0.91</v>
      </c>
    </row>
    <row r="371" spans="1:2">
      <c r="A371" s="1">
        <v>42831</v>
      </c>
      <c r="B371">
        <v>0.91</v>
      </c>
    </row>
    <row r="372" spans="1:2">
      <c r="A372" s="1">
        <v>42832</v>
      </c>
      <c r="B372">
        <v>0.91</v>
      </c>
    </row>
    <row r="373" spans="1:2">
      <c r="A373" s="1">
        <v>42833</v>
      </c>
      <c r="B373">
        <v>0.91</v>
      </c>
    </row>
    <row r="374" spans="1:2">
      <c r="A374" s="1">
        <v>42834</v>
      </c>
      <c r="B374">
        <v>0.91</v>
      </c>
    </row>
    <row r="375" spans="1:2">
      <c r="A375" s="1">
        <v>42835</v>
      </c>
      <c r="B375">
        <v>0.91</v>
      </c>
    </row>
    <row r="376" spans="1:2">
      <c r="A376" s="1">
        <v>42836</v>
      </c>
      <c r="B376">
        <v>0.91</v>
      </c>
    </row>
    <row r="377" spans="1:2">
      <c r="A377" s="1">
        <v>42837</v>
      </c>
      <c r="B377">
        <v>0.91</v>
      </c>
    </row>
    <row r="378" spans="1:2">
      <c r="A378" s="1">
        <v>42838</v>
      </c>
      <c r="B378">
        <v>0.91</v>
      </c>
    </row>
    <row r="379" spans="1:2">
      <c r="A379" s="1">
        <v>42839</v>
      </c>
      <c r="B379">
        <v>0.91</v>
      </c>
    </row>
    <row r="380" spans="1:2">
      <c r="A380" s="1">
        <v>42840</v>
      </c>
      <c r="B380">
        <v>0.91</v>
      </c>
    </row>
    <row r="381" spans="1:2">
      <c r="A381" s="1">
        <v>42841</v>
      </c>
      <c r="B381">
        <v>0.91</v>
      </c>
    </row>
    <row r="382" spans="1:2">
      <c r="A382" s="1">
        <v>42842</v>
      </c>
      <c r="B382">
        <v>0.91</v>
      </c>
    </row>
    <row r="383" spans="1:2">
      <c r="A383" s="1">
        <v>42843</v>
      </c>
      <c r="B383">
        <v>0.91</v>
      </c>
    </row>
    <row r="384" spans="1:2">
      <c r="A384" s="1">
        <v>42844</v>
      </c>
      <c r="B384">
        <v>0.91</v>
      </c>
    </row>
    <row r="385" spans="1:2">
      <c r="A385" s="1">
        <v>42845</v>
      </c>
      <c r="B385">
        <v>0.91</v>
      </c>
    </row>
    <row r="386" spans="1:2">
      <c r="A386" s="1">
        <v>42846</v>
      </c>
      <c r="B386">
        <v>0.91</v>
      </c>
    </row>
    <row r="387" spans="1:2">
      <c r="A387" s="1">
        <v>42847</v>
      </c>
      <c r="B387">
        <v>0.91</v>
      </c>
    </row>
    <row r="388" spans="1:2">
      <c r="A388" s="1">
        <v>42848</v>
      </c>
      <c r="B388">
        <v>0.91</v>
      </c>
    </row>
    <row r="389" spans="1:2">
      <c r="A389" s="1">
        <v>42849</v>
      </c>
      <c r="B389">
        <v>0.91</v>
      </c>
    </row>
    <row r="390" spans="1:2">
      <c r="A390" s="1">
        <v>42850</v>
      </c>
      <c r="B390">
        <v>0.91</v>
      </c>
    </row>
    <row r="391" spans="1:2">
      <c r="A391" s="1">
        <v>42851</v>
      </c>
      <c r="B391">
        <v>0.91</v>
      </c>
    </row>
    <row r="392" spans="1:2">
      <c r="A392" s="1">
        <v>42852</v>
      </c>
      <c r="B392">
        <v>0.91</v>
      </c>
    </row>
    <row r="393" spans="1:2">
      <c r="A393" s="1">
        <v>42853</v>
      </c>
      <c r="B393">
        <v>0.83</v>
      </c>
    </row>
    <row r="394" spans="1:2">
      <c r="A394" s="1">
        <v>42854</v>
      </c>
      <c r="B394">
        <v>0.83</v>
      </c>
    </row>
    <row r="395" spans="1:2">
      <c r="A395" s="1">
        <v>42855</v>
      </c>
      <c r="B395">
        <v>0.83</v>
      </c>
    </row>
    <row r="396" spans="1:2">
      <c r="A396" s="1">
        <v>42856</v>
      </c>
      <c r="B396">
        <v>0.91</v>
      </c>
    </row>
    <row r="397" spans="1:2">
      <c r="A397" s="1">
        <v>42857</v>
      </c>
      <c r="B397">
        <v>0.91</v>
      </c>
    </row>
    <row r="398" spans="1:2">
      <c r="A398" s="1">
        <v>42858</v>
      </c>
      <c r="B398">
        <v>0.91</v>
      </c>
    </row>
    <row r="399" spans="1:2">
      <c r="A399" s="1">
        <v>42859</v>
      </c>
      <c r="B399">
        <v>0.91</v>
      </c>
    </row>
    <row r="400" spans="1:2">
      <c r="A400" s="1">
        <v>42860</v>
      </c>
      <c r="B400">
        <v>0.91</v>
      </c>
    </row>
    <row r="401" spans="1:2">
      <c r="A401" s="1">
        <v>42861</v>
      </c>
      <c r="B401">
        <v>0.91</v>
      </c>
    </row>
    <row r="402" spans="1:2">
      <c r="A402" s="1">
        <v>42862</v>
      </c>
      <c r="B402">
        <v>0.91</v>
      </c>
    </row>
    <row r="403" spans="1:2">
      <c r="A403" s="1">
        <v>42863</v>
      </c>
      <c r="B403">
        <v>0.91</v>
      </c>
    </row>
    <row r="404" spans="1:2">
      <c r="A404" s="1">
        <v>42864</v>
      </c>
      <c r="B404">
        <v>0.91</v>
      </c>
    </row>
    <row r="405" spans="1:2">
      <c r="A405" s="1">
        <v>42865</v>
      </c>
      <c r="B405">
        <v>0.91</v>
      </c>
    </row>
    <row r="406" spans="1:2">
      <c r="A406" s="1">
        <v>42866</v>
      </c>
      <c r="B406">
        <v>0.91</v>
      </c>
    </row>
    <row r="407" spans="1:2">
      <c r="A407" s="1">
        <v>42867</v>
      </c>
      <c r="B407">
        <v>0.91</v>
      </c>
    </row>
    <row r="408" spans="1:2">
      <c r="A408" s="1">
        <v>42868</v>
      </c>
      <c r="B408">
        <v>0.91</v>
      </c>
    </row>
    <row r="409" spans="1:2">
      <c r="A409" s="1">
        <v>42869</v>
      </c>
      <c r="B409">
        <v>0.91</v>
      </c>
    </row>
    <row r="410" spans="1:2">
      <c r="A410" s="1">
        <v>42870</v>
      </c>
      <c r="B410">
        <v>0.91</v>
      </c>
    </row>
    <row r="411" spans="1:2">
      <c r="A411" s="1">
        <v>42871</v>
      </c>
      <c r="B411">
        <v>0.91</v>
      </c>
    </row>
    <row r="412" spans="1:2">
      <c r="A412" s="1">
        <v>42872</v>
      </c>
      <c r="B412">
        <v>0.91</v>
      </c>
    </row>
    <row r="413" spans="1:2">
      <c r="A413" s="1">
        <v>42873</v>
      </c>
      <c r="B413">
        <v>0.91</v>
      </c>
    </row>
    <row r="414" spans="1:2">
      <c r="A414" s="1">
        <v>42874</v>
      </c>
      <c r="B414">
        <v>0.91</v>
      </c>
    </row>
    <row r="415" spans="1:2">
      <c r="A415" s="1">
        <v>42875</v>
      </c>
      <c r="B415">
        <v>0.91</v>
      </c>
    </row>
    <row r="416" spans="1:2">
      <c r="A416" s="1">
        <v>42876</v>
      </c>
      <c r="B416">
        <v>0.91</v>
      </c>
    </row>
    <row r="417" spans="1:2">
      <c r="A417" s="1">
        <v>42877</v>
      </c>
      <c r="B417">
        <v>0.91</v>
      </c>
    </row>
    <row r="418" spans="1:2">
      <c r="A418" s="1">
        <v>42878</v>
      </c>
      <c r="B418">
        <v>0.91</v>
      </c>
    </row>
    <row r="419" spans="1:2">
      <c r="A419" s="1">
        <v>42879</v>
      </c>
      <c r="B419">
        <v>0.91</v>
      </c>
    </row>
    <row r="420" spans="1:2">
      <c r="A420" s="1">
        <v>42880</v>
      </c>
      <c r="B420">
        <v>0.91</v>
      </c>
    </row>
    <row r="421" spans="1:2">
      <c r="A421" s="1">
        <v>42881</v>
      </c>
      <c r="B421">
        <v>0.91</v>
      </c>
    </row>
    <row r="422" spans="1:2">
      <c r="A422" s="1">
        <v>42882</v>
      </c>
      <c r="B422">
        <v>0.91</v>
      </c>
    </row>
    <row r="423" spans="1:2">
      <c r="A423" s="1">
        <v>42883</v>
      </c>
      <c r="B423">
        <v>0.91</v>
      </c>
    </row>
    <row r="424" spans="1:2">
      <c r="A424" s="1">
        <v>42884</v>
      </c>
      <c r="B424">
        <v>0.91</v>
      </c>
    </row>
    <row r="425" spans="1:2">
      <c r="A425" s="1">
        <v>42885</v>
      </c>
      <c r="B425">
        <v>0.91</v>
      </c>
    </row>
    <row r="426" spans="1:2">
      <c r="A426" s="1">
        <v>42886</v>
      </c>
      <c r="B426">
        <v>0.83</v>
      </c>
    </row>
    <row r="427" spans="1:2">
      <c r="A427" s="1">
        <v>42887</v>
      </c>
      <c r="B427">
        <v>0.91</v>
      </c>
    </row>
    <row r="428" spans="1:2">
      <c r="A428" s="1">
        <v>42888</v>
      </c>
      <c r="B428">
        <v>0.91</v>
      </c>
    </row>
    <row r="429" spans="1:2">
      <c r="A429" s="1">
        <v>42889</v>
      </c>
      <c r="B429">
        <v>0.91</v>
      </c>
    </row>
    <row r="430" spans="1:2">
      <c r="A430" s="1">
        <v>42890</v>
      </c>
      <c r="B430">
        <v>0.91</v>
      </c>
    </row>
    <row r="431" spans="1:2">
      <c r="A431" s="1">
        <v>42891</v>
      </c>
      <c r="B431">
        <v>0.91</v>
      </c>
    </row>
    <row r="432" spans="1:2">
      <c r="A432" s="1">
        <v>42892</v>
      </c>
      <c r="B432">
        <v>0.91</v>
      </c>
    </row>
    <row r="433" spans="1:2">
      <c r="A433" s="1">
        <v>42893</v>
      </c>
      <c r="B433">
        <v>0.91</v>
      </c>
    </row>
    <row r="434" spans="1:2">
      <c r="A434" s="1">
        <v>42894</v>
      </c>
      <c r="B434">
        <v>0.91</v>
      </c>
    </row>
    <row r="435" spans="1:2">
      <c r="A435" s="1">
        <v>42895</v>
      </c>
      <c r="B435">
        <v>0.91</v>
      </c>
    </row>
    <row r="436" spans="1:2">
      <c r="A436" s="1">
        <v>42896</v>
      </c>
      <c r="B436">
        <v>0.91</v>
      </c>
    </row>
    <row r="437" spans="1:2">
      <c r="A437" s="1">
        <v>42897</v>
      </c>
      <c r="B437">
        <v>0.91</v>
      </c>
    </row>
    <row r="438" spans="1:2">
      <c r="A438" s="1">
        <v>42898</v>
      </c>
      <c r="B438">
        <v>0.91</v>
      </c>
    </row>
    <row r="439" spans="1:2">
      <c r="A439" s="1">
        <v>42899</v>
      </c>
      <c r="B439">
        <v>0.91</v>
      </c>
    </row>
    <row r="440" spans="1:2">
      <c r="A440" s="1">
        <v>42900</v>
      </c>
      <c r="B440">
        <v>0.91</v>
      </c>
    </row>
    <row r="441" spans="1:2">
      <c r="A441" s="1">
        <v>42901</v>
      </c>
      <c r="B441">
        <v>1.1599999999999999</v>
      </c>
    </row>
    <row r="442" spans="1:2">
      <c r="A442" s="1">
        <v>42902</v>
      </c>
      <c r="B442">
        <v>1.1599999999999999</v>
      </c>
    </row>
    <row r="443" spans="1:2">
      <c r="A443" s="1">
        <v>42903</v>
      </c>
      <c r="B443">
        <v>1.1599999999999999</v>
      </c>
    </row>
    <row r="444" spans="1:2">
      <c r="A444" s="1">
        <v>42904</v>
      </c>
      <c r="B444">
        <v>1.1599999999999999</v>
      </c>
    </row>
    <row r="445" spans="1:2">
      <c r="A445" s="1">
        <v>42905</v>
      </c>
      <c r="B445">
        <v>1.1599999999999999</v>
      </c>
    </row>
    <row r="446" spans="1:2">
      <c r="A446" s="1">
        <v>42906</v>
      </c>
      <c r="B446">
        <v>1.1599999999999999</v>
      </c>
    </row>
    <row r="447" spans="1:2">
      <c r="A447" s="1">
        <v>42907</v>
      </c>
      <c r="B447">
        <v>1.1599999999999999</v>
      </c>
    </row>
    <row r="448" spans="1:2">
      <c r="A448" s="1">
        <v>42908</v>
      </c>
      <c r="B448">
        <v>1.1599999999999999</v>
      </c>
    </row>
    <row r="449" spans="1:2">
      <c r="A449" s="1">
        <v>42909</v>
      </c>
      <c r="B449">
        <v>1.1599999999999999</v>
      </c>
    </row>
    <row r="450" spans="1:2">
      <c r="A450" s="1">
        <v>42910</v>
      </c>
      <c r="B450">
        <v>1.1599999999999999</v>
      </c>
    </row>
    <row r="451" spans="1:2">
      <c r="A451" s="1">
        <v>42911</v>
      </c>
      <c r="B451">
        <v>1.1599999999999999</v>
      </c>
    </row>
    <row r="452" spans="1:2">
      <c r="A452" s="1">
        <v>42912</v>
      </c>
      <c r="B452">
        <v>1.1599999999999999</v>
      </c>
    </row>
    <row r="453" spans="1:2">
      <c r="A453" s="1">
        <v>42913</v>
      </c>
      <c r="B453">
        <v>1.1599999999999999</v>
      </c>
    </row>
    <row r="454" spans="1:2">
      <c r="A454" s="1">
        <v>42914</v>
      </c>
      <c r="B454">
        <v>1.1599999999999999</v>
      </c>
    </row>
    <row r="455" spans="1:2">
      <c r="A455" s="1">
        <v>42915</v>
      </c>
      <c r="B455">
        <v>1.1599999999999999</v>
      </c>
    </row>
    <row r="456" spans="1:2">
      <c r="A456" s="1">
        <v>42916</v>
      </c>
      <c r="B456">
        <v>1.06</v>
      </c>
    </row>
    <row r="457" spans="1:2">
      <c r="A457" s="1">
        <v>42917</v>
      </c>
      <c r="B457">
        <v>1.06</v>
      </c>
    </row>
    <row r="458" spans="1:2">
      <c r="A458" s="1">
        <v>42918</v>
      </c>
      <c r="B458">
        <v>1.06</v>
      </c>
    </row>
    <row r="459" spans="1:2">
      <c r="A459" s="1">
        <v>42919</v>
      </c>
      <c r="B459">
        <v>1.1599999999999999</v>
      </c>
    </row>
    <row r="460" spans="1:2">
      <c r="A460" s="1">
        <v>42920</v>
      </c>
      <c r="B460">
        <v>1.1599999999999999</v>
      </c>
    </row>
    <row r="461" spans="1:2">
      <c r="A461" s="1">
        <v>42921</v>
      </c>
      <c r="B461">
        <v>1.1599999999999999</v>
      </c>
    </row>
    <row r="462" spans="1:2">
      <c r="A462" s="1">
        <v>42922</v>
      </c>
      <c r="B462">
        <v>1.1599999999999999</v>
      </c>
    </row>
    <row r="463" spans="1:2">
      <c r="A463" s="1">
        <v>42923</v>
      </c>
      <c r="B463">
        <v>1.1599999999999999</v>
      </c>
    </row>
    <row r="464" spans="1:2">
      <c r="A464" s="1">
        <v>42924</v>
      </c>
      <c r="B464">
        <v>1.1599999999999999</v>
      </c>
    </row>
    <row r="465" spans="1:2">
      <c r="A465" s="1">
        <v>42925</v>
      </c>
      <c r="B465">
        <v>1.1599999999999999</v>
      </c>
    </row>
    <row r="466" spans="1:2">
      <c r="A466" s="1">
        <v>42926</v>
      </c>
      <c r="B466">
        <v>1.1599999999999999</v>
      </c>
    </row>
    <row r="467" spans="1:2">
      <c r="A467" s="1">
        <v>42927</v>
      </c>
      <c r="B467">
        <v>1.1599999999999999</v>
      </c>
    </row>
    <row r="468" spans="1:2">
      <c r="A468" s="1">
        <v>42928</v>
      </c>
      <c r="B468">
        <v>1.1599999999999999</v>
      </c>
    </row>
    <row r="469" spans="1:2">
      <c r="A469" s="1">
        <v>42929</v>
      </c>
      <c r="B469">
        <v>1.1599999999999999</v>
      </c>
    </row>
    <row r="470" spans="1:2">
      <c r="A470" s="1">
        <v>42930</v>
      </c>
      <c r="B470">
        <v>1.1599999999999999</v>
      </c>
    </row>
    <row r="471" spans="1:2">
      <c r="A471" s="1">
        <v>42931</v>
      </c>
      <c r="B471">
        <v>1.1599999999999999</v>
      </c>
    </row>
    <row r="472" spans="1:2">
      <c r="A472" s="1">
        <v>42932</v>
      </c>
      <c r="B472">
        <v>1.1599999999999999</v>
      </c>
    </row>
    <row r="473" spans="1:2">
      <c r="A473" s="1">
        <v>42933</v>
      </c>
      <c r="B473">
        <v>1.1599999999999999</v>
      </c>
    </row>
    <row r="474" spans="1:2">
      <c r="A474" s="1">
        <v>42934</v>
      </c>
      <c r="B474">
        <v>1.1599999999999999</v>
      </c>
    </row>
    <row r="475" spans="1:2">
      <c r="A475" s="1">
        <v>42935</v>
      </c>
      <c r="B475">
        <v>1.1599999999999999</v>
      </c>
    </row>
    <row r="476" spans="1:2">
      <c r="A476" s="1">
        <v>42936</v>
      </c>
      <c r="B476">
        <v>1.1599999999999999</v>
      </c>
    </row>
    <row r="477" spans="1:2">
      <c r="A477" s="1">
        <v>42937</v>
      </c>
      <c r="B477">
        <v>1.1599999999999999</v>
      </c>
    </row>
    <row r="478" spans="1:2">
      <c r="A478" s="1">
        <v>42938</v>
      </c>
      <c r="B478">
        <v>1.1599999999999999</v>
      </c>
    </row>
    <row r="479" spans="1:2">
      <c r="A479" s="1">
        <v>42939</v>
      </c>
      <c r="B479">
        <v>1.1599999999999999</v>
      </c>
    </row>
    <row r="480" spans="1:2">
      <c r="A480" s="1">
        <v>42940</v>
      </c>
      <c r="B480">
        <v>1.1599999999999999</v>
      </c>
    </row>
    <row r="481" spans="1:2">
      <c r="A481" s="1">
        <v>42941</v>
      </c>
      <c r="B481">
        <v>1.1599999999999999</v>
      </c>
    </row>
    <row r="482" spans="1:2">
      <c r="A482" s="1">
        <v>42942</v>
      </c>
      <c r="B482">
        <v>1.1599999999999999</v>
      </c>
    </row>
    <row r="483" spans="1:2">
      <c r="A483" s="1">
        <v>42943</v>
      </c>
      <c r="B483">
        <v>1.1599999999999999</v>
      </c>
    </row>
    <row r="484" spans="1:2">
      <c r="A484" s="1">
        <v>42944</v>
      </c>
      <c r="B484">
        <v>1.1599999999999999</v>
      </c>
    </row>
    <row r="485" spans="1:2">
      <c r="A485" s="1">
        <v>42945</v>
      </c>
      <c r="B485">
        <v>1.1599999999999999</v>
      </c>
    </row>
    <row r="486" spans="1:2">
      <c r="A486" s="1">
        <v>42946</v>
      </c>
      <c r="B486">
        <v>1.1599999999999999</v>
      </c>
    </row>
    <row r="487" spans="1:2">
      <c r="A487" s="1">
        <v>42947</v>
      </c>
      <c r="B487">
        <v>1.07</v>
      </c>
    </row>
    <row r="488" spans="1:2">
      <c r="A488" s="1">
        <v>42948</v>
      </c>
      <c r="B488">
        <v>1.1599999999999999</v>
      </c>
    </row>
    <row r="489" spans="1:2">
      <c r="A489" s="1">
        <v>42949</v>
      </c>
      <c r="B489">
        <v>1.1599999999999999</v>
      </c>
    </row>
    <row r="490" spans="1:2">
      <c r="A490" s="1">
        <v>42950</v>
      </c>
      <c r="B490">
        <v>1.1599999999999999</v>
      </c>
    </row>
    <row r="491" spans="1:2">
      <c r="A491" s="1">
        <v>42951</v>
      </c>
      <c r="B491">
        <v>1.1599999999999999</v>
      </c>
    </row>
    <row r="492" spans="1:2">
      <c r="A492" s="1">
        <v>42952</v>
      </c>
      <c r="B492">
        <v>1.1599999999999999</v>
      </c>
    </row>
    <row r="493" spans="1:2">
      <c r="A493" s="1">
        <v>42953</v>
      </c>
      <c r="B493">
        <v>1.1599999999999999</v>
      </c>
    </row>
    <row r="494" spans="1:2">
      <c r="A494" s="1">
        <v>42954</v>
      </c>
      <c r="B494">
        <v>1.1599999999999999</v>
      </c>
    </row>
    <row r="495" spans="1:2">
      <c r="A495" s="1">
        <v>42955</v>
      </c>
      <c r="B495">
        <v>1.1599999999999999</v>
      </c>
    </row>
    <row r="496" spans="1:2">
      <c r="A496" s="1">
        <v>42956</v>
      </c>
      <c r="B496">
        <v>1.1599999999999999</v>
      </c>
    </row>
    <row r="497" spans="1:2">
      <c r="A497" s="1">
        <v>42957</v>
      </c>
      <c r="B497">
        <v>1.1599999999999999</v>
      </c>
    </row>
    <row r="498" spans="1:2">
      <c r="A498" s="1">
        <v>42958</v>
      </c>
      <c r="B498">
        <v>1.1599999999999999</v>
      </c>
    </row>
    <row r="499" spans="1:2">
      <c r="A499" s="1">
        <v>42959</v>
      </c>
      <c r="B499">
        <v>1.1599999999999999</v>
      </c>
    </row>
    <row r="500" spans="1:2">
      <c r="A500" s="1">
        <v>42960</v>
      </c>
      <c r="B500">
        <v>1.1599999999999999</v>
      </c>
    </row>
    <row r="501" spans="1:2">
      <c r="A501" s="1">
        <v>42961</v>
      </c>
      <c r="B501">
        <v>1.1599999999999999</v>
      </c>
    </row>
    <row r="502" spans="1:2">
      <c r="A502" s="1">
        <v>42962</v>
      </c>
      <c r="B502">
        <v>1.1599999999999999</v>
      </c>
    </row>
    <row r="503" spans="1:2">
      <c r="A503" s="1">
        <v>42963</v>
      </c>
      <c r="B503">
        <v>1.1599999999999999</v>
      </c>
    </row>
    <row r="504" spans="1:2">
      <c r="A504" s="1">
        <v>42964</v>
      </c>
      <c r="B504">
        <v>1.1599999999999999</v>
      </c>
    </row>
    <row r="505" spans="1:2">
      <c r="A505" s="1">
        <v>42965</v>
      </c>
      <c r="B505">
        <v>1.1599999999999999</v>
      </c>
    </row>
    <row r="506" spans="1:2">
      <c r="A506" s="1">
        <v>42966</v>
      </c>
      <c r="B506">
        <v>1.1599999999999999</v>
      </c>
    </row>
    <row r="507" spans="1:2">
      <c r="A507" s="1">
        <v>42967</v>
      </c>
      <c r="B507">
        <v>1.1599999999999999</v>
      </c>
    </row>
    <row r="508" spans="1:2">
      <c r="A508" s="1">
        <v>42968</v>
      </c>
      <c r="B508">
        <v>1.1599999999999999</v>
      </c>
    </row>
    <row r="509" spans="1:2">
      <c r="A509" s="1">
        <v>42969</v>
      </c>
      <c r="B509">
        <v>1.1599999999999999</v>
      </c>
    </row>
    <row r="510" spans="1:2">
      <c r="A510" s="1">
        <v>42970</v>
      </c>
      <c r="B510">
        <v>1.1599999999999999</v>
      </c>
    </row>
    <row r="511" spans="1:2">
      <c r="A511" s="1">
        <v>42971</v>
      </c>
      <c r="B511">
        <v>1.1599999999999999</v>
      </c>
    </row>
    <row r="512" spans="1:2">
      <c r="A512" s="1">
        <v>42972</v>
      </c>
      <c r="B512">
        <v>1.1599999999999999</v>
      </c>
    </row>
    <row r="513" spans="1:2">
      <c r="A513" s="1">
        <v>42973</v>
      </c>
      <c r="B513">
        <v>1.1599999999999999</v>
      </c>
    </row>
    <row r="514" spans="1:2">
      <c r="A514" s="1">
        <v>42974</v>
      </c>
      <c r="B514">
        <v>1.1599999999999999</v>
      </c>
    </row>
    <row r="515" spans="1:2">
      <c r="A515" s="1">
        <v>42975</v>
      </c>
      <c r="B515">
        <v>1.1599999999999999</v>
      </c>
    </row>
    <row r="516" spans="1:2">
      <c r="A516" s="1">
        <v>42976</v>
      </c>
      <c r="B516">
        <v>1.1599999999999999</v>
      </c>
    </row>
    <row r="517" spans="1:2">
      <c r="A517" s="1">
        <v>42977</v>
      </c>
      <c r="B517">
        <v>1.1599999999999999</v>
      </c>
    </row>
    <row r="518" spans="1:2">
      <c r="A518" s="1">
        <v>42978</v>
      </c>
      <c r="B518">
        <v>1.07</v>
      </c>
    </row>
    <row r="519" spans="1:2">
      <c r="A519" s="1">
        <v>42979</v>
      </c>
      <c r="B519">
        <v>1.1599999999999999</v>
      </c>
    </row>
    <row r="520" spans="1:2">
      <c r="A520" s="1">
        <v>42980</v>
      </c>
      <c r="B520">
        <v>1.1599999999999999</v>
      </c>
    </row>
    <row r="521" spans="1:2">
      <c r="A521" s="1">
        <v>42981</v>
      </c>
      <c r="B521">
        <v>1.1599999999999999</v>
      </c>
    </row>
    <row r="522" spans="1:2">
      <c r="A522" s="1">
        <v>42982</v>
      </c>
      <c r="B522">
        <v>1.1599999999999999</v>
      </c>
    </row>
    <row r="523" spans="1:2">
      <c r="A523" s="1">
        <v>42983</v>
      </c>
      <c r="B523">
        <v>1.1599999999999999</v>
      </c>
    </row>
    <row r="524" spans="1:2">
      <c r="A524" s="1">
        <v>42984</v>
      </c>
      <c r="B524">
        <v>1.1599999999999999</v>
      </c>
    </row>
    <row r="525" spans="1:2">
      <c r="A525" s="1">
        <v>42985</v>
      </c>
      <c r="B525">
        <v>1.1599999999999999</v>
      </c>
    </row>
    <row r="526" spans="1:2">
      <c r="A526" s="1">
        <v>42986</v>
      </c>
      <c r="B526">
        <v>1.1599999999999999</v>
      </c>
    </row>
    <row r="527" spans="1:2">
      <c r="A527" s="1">
        <v>42987</v>
      </c>
      <c r="B527">
        <v>1.1599999999999999</v>
      </c>
    </row>
    <row r="528" spans="1:2">
      <c r="A528" s="1">
        <v>42988</v>
      </c>
      <c r="B528">
        <v>1.1599999999999999</v>
      </c>
    </row>
    <row r="529" spans="1:2">
      <c r="A529" s="1">
        <v>42989</v>
      </c>
      <c r="B529">
        <v>1.1599999999999999</v>
      </c>
    </row>
    <row r="530" spans="1:2">
      <c r="A530" s="1">
        <v>42990</v>
      </c>
      <c r="B530">
        <v>1.1599999999999999</v>
      </c>
    </row>
    <row r="531" spans="1:2">
      <c r="A531" s="1">
        <v>42991</v>
      </c>
      <c r="B531">
        <v>1.1599999999999999</v>
      </c>
    </row>
    <row r="532" spans="1:2">
      <c r="A532" s="1">
        <v>42992</v>
      </c>
      <c r="B532">
        <v>1.1599999999999999</v>
      </c>
    </row>
    <row r="533" spans="1:2">
      <c r="A533" s="1">
        <v>42993</v>
      </c>
      <c r="B533">
        <v>1.1599999999999999</v>
      </c>
    </row>
    <row r="534" spans="1:2">
      <c r="A534" s="1">
        <v>42994</v>
      </c>
      <c r="B534">
        <v>1.1599999999999999</v>
      </c>
    </row>
    <row r="535" spans="1:2">
      <c r="A535" s="1">
        <v>42995</v>
      </c>
      <c r="B535">
        <v>1.1599999999999999</v>
      </c>
    </row>
    <row r="536" spans="1:2">
      <c r="A536" s="1">
        <v>42996</v>
      </c>
      <c r="B536">
        <v>1.1599999999999999</v>
      </c>
    </row>
    <row r="537" spans="1:2">
      <c r="A537" s="1">
        <v>42997</v>
      </c>
      <c r="B537">
        <v>1.1599999999999999</v>
      </c>
    </row>
    <row r="538" spans="1:2">
      <c r="A538" s="1">
        <v>42998</v>
      </c>
      <c r="B538">
        <v>1.1599999999999999</v>
      </c>
    </row>
    <row r="539" spans="1:2">
      <c r="A539" s="1">
        <v>42999</v>
      </c>
      <c r="B539">
        <v>1.1599999999999999</v>
      </c>
    </row>
    <row r="540" spans="1:2">
      <c r="A540" s="1">
        <v>43000</v>
      </c>
      <c r="B540">
        <v>1.1599999999999999</v>
      </c>
    </row>
    <row r="541" spans="1:2">
      <c r="A541" s="1">
        <v>43001</v>
      </c>
      <c r="B541">
        <v>1.1599999999999999</v>
      </c>
    </row>
    <row r="542" spans="1:2">
      <c r="A542" s="1">
        <v>43002</v>
      </c>
      <c r="B542">
        <v>1.1599999999999999</v>
      </c>
    </row>
    <row r="543" spans="1:2">
      <c r="A543" s="1">
        <v>43003</v>
      </c>
      <c r="B543">
        <v>1.1599999999999999</v>
      </c>
    </row>
    <row r="544" spans="1:2">
      <c r="A544" s="1">
        <v>43004</v>
      </c>
      <c r="B544">
        <v>1.1599999999999999</v>
      </c>
    </row>
    <row r="545" spans="1:2">
      <c r="A545" s="1">
        <v>43005</v>
      </c>
      <c r="B545">
        <v>1.1599999999999999</v>
      </c>
    </row>
    <row r="546" spans="1:2">
      <c r="A546" s="1">
        <v>43006</v>
      </c>
      <c r="B546">
        <v>1.1599999999999999</v>
      </c>
    </row>
    <row r="547" spans="1:2">
      <c r="A547" s="1">
        <v>43007</v>
      </c>
      <c r="B547">
        <v>1.06</v>
      </c>
    </row>
    <row r="548" spans="1:2">
      <c r="A548" s="1">
        <v>43008</v>
      </c>
      <c r="B548">
        <v>1.06</v>
      </c>
    </row>
    <row r="549" spans="1:2">
      <c r="A549" s="1">
        <v>43009</v>
      </c>
      <c r="B549">
        <v>1.06</v>
      </c>
    </row>
    <row r="550" spans="1:2">
      <c r="A550" s="1">
        <v>43010</v>
      </c>
      <c r="B550">
        <v>1.1599999999999999</v>
      </c>
    </row>
    <row r="551" spans="1:2">
      <c r="A551" s="1">
        <v>43011</v>
      </c>
      <c r="B551">
        <v>1.1599999999999999</v>
      </c>
    </row>
    <row r="552" spans="1:2">
      <c r="A552" s="1">
        <v>43012</v>
      </c>
      <c r="B552">
        <v>1.1599999999999999</v>
      </c>
    </row>
    <row r="553" spans="1:2">
      <c r="A553" s="1">
        <v>43013</v>
      </c>
      <c r="B553">
        <v>1.1599999999999999</v>
      </c>
    </row>
    <row r="554" spans="1:2">
      <c r="A554" s="1">
        <v>43014</v>
      </c>
      <c r="B554">
        <v>1.1599999999999999</v>
      </c>
    </row>
    <row r="555" spans="1:2">
      <c r="A555" s="1">
        <v>43015</v>
      </c>
      <c r="B555">
        <v>1.1599999999999999</v>
      </c>
    </row>
    <row r="556" spans="1:2">
      <c r="A556" s="1">
        <v>43016</v>
      </c>
      <c r="B556">
        <v>1.1599999999999999</v>
      </c>
    </row>
    <row r="557" spans="1:2">
      <c r="A557" s="1">
        <v>43017</v>
      </c>
      <c r="B557">
        <v>1.1599999999999999</v>
      </c>
    </row>
    <row r="558" spans="1:2">
      <c r="A558" s="1">
        <v>43018</v>
      </c>
      <c r="B558">
        <v>1.1599999999999999</v>
      </c>
    </row>
    <row r="559" spans="1:2">
      <c r="A559" s="1">
        <v>43019</v>
      </c>
      <c r="B559">
        <v>1.1599999999999999</v>
      </c>
    </row>
    <row r="560" spans="1:2">
      <c r="A560" s="1">
        <v>43020</v>
      </c>
      <c r="B560">
        <v>1.1599999999999999</v>
      </c>
    </row>
    <row r="561" spans="1:2">
      <c r="A561" s="1">
        <v>43021</v>
      </c>
      <c r="B561">
        <v>1.1599999999999999</v>
      </c>
    </row>
    <row r="562" spans="1:2">
      <c r="A562" s="1">
        <v>43022</v>
      </c>
      <c r="B562">
        <v>1.1599999999999999</v>
      </c>
    </row>
    <row r="563" spans="1:2">
      <c r="A563" s="1">
        <v>43023</v>
      </c>
      <c r="B563">
        <v>1.1599999999999999</v>
      </c>
    </row>
    <row r="564" spans="1:2">
      <c r="A564" s="1">
        <v>43024</v>
      </c>
      <c r="B564">
        <v>1.1599999999999999</v>
      </c>
    </row>
    <row r="565" spans="1:2">
      <c r="A565" s="1">
        <v>43025</v>
      </c>
      <c r="B565">
        <v>1.1599999999999999</v>
      </c>
    </row>
    <row r="566" spans="1:2">
      <c r="A566" s="1">
        <v>43026</v>
      </c>
      <c r="B566">
        <v>1.1599999999999999</v>
      </c>
    </row>
    <row r="567" spans="1:2">
      <c r="A567" s="1">
        <v>43027</v>
      </c>
      <c r="B567">
        <v>1.1599999999999999</v>
      </c>
    </row>
    <row r="568" spans="1:2">
      <c r="A568" s="1">
        <v>43028</v>
      </c>
      <c r="B568">
        <v>1.1599999999999999</v>
      </c>
    </row>
    <row r="569" spans="1:2">
      <c r="A569" s="1">
        <v>43029</v>
      </c>
      <c r="B569">
        <v>1.1599999999999999</v>
      </c>
    </row>
    <row r="570" spans="1:2">
      <c r="A570" s="1">
        <v>43030</v>
      </c>
      <c r="B570">
        <v>1.1599999999999999</v>
      </c>
    </row>
    <row r="571" spans="1:2">
      <c r="A571" s="1">
        <v>43031</v>
      </c>
      <c r="B571">
        <v>1.1599999999999999</v>
      </c>
    </row>
    <row r="572" spans="1:2">
      <c r="A572" s="1">
        <v>43032</v>
      </c>
      <c r="B572">
        <v>1.1599999999999999</v>
      </c>
    </row>
    <row r="573" spans="1:2">
      <c r="A573" s="1">
        <v>43033</v>
      </c>
      <c r="B573">
        <v>1.1599999999999999</v>
      </c>
    </row>
    <row r="574" spans="1:2">
      <c r="A574" s="1">
        <v>43034</v>
      </c>
      <c r="B574">
        <v>1.1599999999999999</v>
      </c>
    </row>
    <row r="575" spans="1:2">
      <c r="A575" s="1">
        <v>43035</v>
      </c>
      <c r="B575">
        <v>1.1599999999999999</v>
      </c>
    </row>
    <row r="576" spans="1:2">
      <c r="A576" s="1">
        <v>43036</v>
      </c>
      <c r="B576">
        <v>1.1599999999999999</v>
      </c>
    </row>
    <row r="577" spans="1:2">
      <c r="A577" s="1">
        <v>43037</v>
      </c>
      <c r="B577">
        <v>1.1599999999999999</v>
      </c>
    </row>
    <row r="578" spans="1:2">
      <c r="A578" s="1">
        <v>43038</v>
      </c>
      <c r="B578">
        <v>1.1599999999999999</v>
      </c>
    </row>
    <row r="579" spans="1:2">
      <c r="A579" s="1">
        <v>43039</v>
      </c>
      <c r="B579">
        <v>1.07</v>
      </c>
    </row>
    <row r="580" spans="1:2">
      <c r="A580" s="1">
        <v>43040</v>
      </c>
      <c r="B580">
        <v>1.1599999999999999</v>
      </c>
    </row>
    <row r="581" spans="1:2">
      <c r="A581" s="1">
        <v>43041</v>
      </c>
      <c r="B581">
        <v>1.1599999999999999</v>
      </c>
    </row>
    <row r="582" spans="1:2">
      <c r="A582" s="1">
        <v>43042</v>
      </c>
      <c r="B582">
        <v>1.1599999999999999</v>
      </c>
    </row>
    <row r="583" spans="1:2">
      <c r="A583" s="1">
        <v>43043</v>
      </c>
      <c r="B583">
        <v>1.1599999999999999</v>
      </c>
    </row>
    <row r="584" spans="1:2">
      <c r="A584" s="1">
        <v>43044</v>
      </c>
      <c r="B584">
        <v>1.1599999999999999</v>
      </c>
    </row>
    <row r="585" spans="1:2">
      <c r="A585" s="1">
        <v>43045</v>
      </c>
      <c r="B585">
        <v>1.1599999999999999</v>
      </c>
    </row>
    <row r="586" spans="1:2">
      <c r="A586" s="1">
        <v>43046</v>
      </c>
      <c r="B586">
        <v>1.1599999999999999</v>
      </c>
    </row>
    <row r="587" spans="1:2">
      <c r="A587" s="1">
        <v>43047</v>
      </c>
      <c r="B587">
        <v>1.1599999999999999</v>
      </c>
    </row>
    <row r="588" spans="1:2">
      <c r="A588" s="1">
        <v>43048</v>
      </c>
      <c r="B588">
        <v>1.1599999999999999</v>
      </c>
    </row>
    <row r="589" spans="1:2">
      <c r="A589" s="1">
        <v>43049</v>
      </c>
      <c r="B589">
        <v>1.1599999999999999</v>
      </c>
    </row>
    <row r="590" spans="1:2">
      <c r="A590" s="1">
        <v>43050</v>
      </c>
      <c r="B590">
        <v>1.1599999999999999</v>
      </c>
    </row>
    <row r="591" spans="1:2">
      <c r="A591" s="1">
        <v>43051</v>
      </c>
      <c r="B591">
        <v>1.1599999999999999</v>
      </c>
    </row>
    <row r="592" spans="1:2">
      <c r="A592" s="1">
        <v>43052</v>
      </c>
      <c r="B592">
        <v>1.1599999999999999</v>
      </c>
    </row>
    <row r="593" spans="1:2">
      <c r="A593" s="1">
        <v>43053</v>
      </c>
      <c r="B593">
        <v>1.1599999999999999</v>
      </c>
    </row>
    <row r="594" spans="1:2">
      <c r="A594" s="1">
        <v>43054</v>
      </c>
      <c r="B594">
        <v>1.1599999999999999</v>
      </c>
    </row>
    <row r="595" spans="1:2">
      <c r="A595" s="1">
        <v>43055</v>
      </c>
      <c r="B595">
        <v>1.1599999999999999</v>
      </c>
    </row>
    <row r="596" spans="1:2">
      <c r="A596" s="1">
        <v>43056</v>
      </c>
      <c r="B596">
        <v>1.1599999999999999</v>
      </c>
    </row>
    <row r="597" spans="1:2">
      <c r="A597" s="1">
        <v>43057</v>
      </c>
      <c r="B597">
        <v>1.1599999999999999</v>
      </c>
    </row>
    <row r="598" spans="1:2">
      <c r="A598" s="1">
        <v>43058</v>
      </c>
      <c r="B598">
        <v>1.1599999999999999</v>
      </c>
    </row>
    <row r="599" spans="1:2">
      <c r="A599" s="1">
        <v>43059</v>
      </c>
      <c r="B599">
        <v>1.1599999999999999</v>
      </c>
    </row>
    <row r="600" spans="1:2">
      <c r="A600" s="1">
        <v>43060</v>
      </c>
      <c r="B600">
        <v>1.1599999999999999</v>
      </c>
    </row>
    <row r="601" spans="1:2">
      <c r="A601" s="1">
        <v>43061</v>
      </c>
      <c r="B601">
        <v>1.1599999999999999</v>
      </c>
    </row>
    <row r="602" spans="1:2">
      <c r="A602" s="1">
        <v>43062</v>
      </c>
      <c r="B602">
        <v>1.1599999999999999</v>
      </c>
    </row>
    <row r="603" spans="1:2">
      <c r="A603" s="1">
        <v>43063</v>
      </c>
      <c r="B603">
        <v>1.1599999999999999</v>
      </c>
    </row>
    <row r="604" spans="1:2">
      <c r="A604" s="1">
        <v>43064</v>
      </c>
      <c r="B604">
        <v>1.1599999999999999</v>
      </c>
    </row>
    <row r="605" spans="1:2">
      <c r="A605" s="1">
        <v>43065</v>
      </c>
      <c r="B605">
        <v>1.1599999999999999</v>
      </c>
    </row>
    <row r="606" spans="1:2">
      <c r="A606" s="1">
        <v>43066</v>
      </c>
      <c r="B606">
        <v>1.1599999999999999</v>
      </c>
    </row>
    <row r="607" spans="1:2">
      <c r="A607" s="1">
        <v>43067</v>
      </c>
      <c r="B607">
        <v>1.1599999999999999</v>
      </c>
    </row>
    <row r="608" spans="1:2">
      <c r="A608" s="1">
        <v>43068</v>
      </c>
      <c r="B608">
        <v>1.1599999999999999</v>
      </c>
    </row>
    <row r="609" spans="1:2">
      <c r="A609" s="1">
        <v>43069</v>
      </c>
      <c r="B609">
        <v>1.07</v>
      </c>
    </row>
    <row r="610" spans="1:2">
      <c r="A610" s="1">
        <v>43070</v>
      </c>
      <c r="B610">
        <v>1.1599999999999999</v>
      </c>
    </row>
    <row r="611" spans="1:2">
      <c r="A611" s="1">
        <v>43071</v>
      </c>
      <c r="B611">
        <v>1.1599999999999999</v>
      </c>
    </row>
    <row r="612" spans="1:2">
      <c r="A612" s="1">
        <v>43072</v>
      </c>
      <c r="B612">
        <v>1.1599999999999999</v>
      </c>
    </row>
    <row r="613" spans="1:2">
      <c r="A613" s="1">
        <v>43073</v>
      </c>
      <c r="B613">
        <v>1.1599999999999999</v>
      </c>
    </row>
    <row r="614" spans="1:2">
      <c r="A614" s="1">
        <v>43074</v>
      </c>
      <c r="B614">
        <v>1.1599999999999999</v>
      </c>
    </row>
    <row r="615" spans="1:2">
      <c r="A615" s="1">
        <v>43075</v>
      </c>
      <c r="B615">
        <v>1.1599999999999999</v>
      </c>
    </row>
    <row r="616" spans="1:2">
      <c r="A616" s="1">
        <v>43076</v>
      </c>
      <c r="B616">
        <v>1.1599999999999999</v>
      </c>
    </row>
    <row r="617" spans="1:2">
      <c r="A617" s="1">
        <v>43077</v>
      </c>
      <c r="B617">
        <v>1.1599999999999999</v>
      </c>
    </row>
    <row r="618" spans="1:2">
      <c r="A618" s="1">
        <v>43078</v>
      </c>
      <c r="B618">
        <v>1.1599999999999999</v>
      </c>
    </row>
    <row r="619" spans="1:2">
      <c r="A619" s="1">
        <v>43079</v>
      </c>
      <c r="B619">
        <v>1.1599999999999999</v>
      </c>
    </row>
    <row r="620" spans="1:2">
      <c r="A620" s="1">
        <v>43080</v>
      </c>
      <c r="B620">
        <v>1.1599999999999999</v>
      </c>
    </row>
    <row r="621" spans="1:2">
      <c r="A621" s="1">
        <v>43081</v>
      </c>
      <c r="B621">
        <v>1.17</v>
      </c>
    </row>
    <row r="622" spans="1:2">
      <c r="A622" s="1">
        <v>43082</v>
      </c>
      <c r="B622">
        <v>1.17</v>
      </c>
    </row>
    <row r="623" spans="1:2">
      <c r="A623" s="1">
        <v>43083</v>
      </c>
      <c r="B623">
        <v>1.41</v>
      </c>
    </row>
    <row r="624" spans="1:2">
      <c r="A624" s="1">
        <v>43084</v>
      </c>
      <c r="B624">
        <v>1.41</v>
      </c>
    </row>
    <row r="625" spans="1:2">
      <c r="A625" s="1">
        <v>43085</v>
      </c>
      <c r="B625">
        <v>1.41</v>
      </c>
    </row>
    <row r="626" spans="1:2">
      <c r="A626" s="1">
        <v>43086</v>
      </c>
      <c r="B626">
        <v>1.41</v>
      </c>
    </row>
    <row r="627" spans="1:2">
      <c r="A627" s="1">
        <v>43087</v>
      </c>
      <c r="B627">
        <v>1.42</v>
      </c>
    </row>
    <row r="628" spans="1:2">
      <c r="A628" s="1">
        <v>43088</v>
      </c>
      <c r="B628">
        <v>1.42</v>
      </c>
    </row>
    <row r="629" spans="1:2">
      <c r="A629" s="1">
        <v>43089</v>
      </c>
      <c r="B629">
        <v>1.42</v>
      </c>
    </row>
    <row r="630" spans="1:2">
      <c r="A630" s="1">
        <v>43090</v>
      </c>
      <c r="B630">
        <v>1.42</v>
      </c>
    </row>
    <row r="631" spans="1:2">
      <c r="A631" s="1">
        <v>43091</v>
      </c>
      <c r="B631">
        <v>1.42</v>
      </c>
    </row>
    <row r="632" spans="1:2">
      <c r="A632" s="1">
        <v>43092</v>
      </c>
      <c r="B632">
        <v>1.42</v>
      </c>
    </row>
    <row r="633" spans="1:2">
      <c r="A633" s="1">
        <v>43093</v>
      </c>
      <c r="B633">
        <v>1.42</v>
      </c>
    </row>
    <row r="634" spans="1:2">
      <c r="A634" s="1">
        <v>43094</v>
      </c>
      <c r="B634">
        <v>1.42</v>
      </c>
    </row>
    <row r="635" spans="1:2">
      <c r="A635" s="1">
        <v>43095</v>
      </c>
      <c r="B635">
        <v>1.42</v>
      </c>
    </row>
    <row r="636" spans="1:2">
      <c r="A636" s="1">
        <v>43096</v>
      </c>
      <c r="B636">
        <v>1.42</v>
      </c>
    </row>
    <row r="637" spans="1:2">
      <c r="A637" s="1">
        <v>43097</v>
      </c>
      <c r="B637">
        <v>1.42</v>
      </c>
    </row>
    <row r="638" spans="1:2">
      <c r="A638" s="1">
        <v>43098</v>
      </c>
      <c r="B638">
        <v>1.33</v>
      </c>
    </row>
    <row r="639" spans="1:2">
      <c r="A639" s="1">
        <v>43099</v>
      </c>
      <c r="B639">
        <v>1.33</v>
      </c>
    </row>
    <row r="640" spans="1:2">
      <c r="A640" s="1">
        <v>43100</v>
      </c>
      <c r="B640">
        <v>1.33</v>
      </c>
    </row>
    <row r="641" spans="1:2">
      <c r="A641" s="1">
        <v>43101</v>
      </c>
      <c r="B641">
        <v>1.33</v>
      </c>
    </row>
    <row r="642" spans="1:2">
      <c r="A642" s="1">
        <v>43102</v>
      </c>
      <c r="B642">
        <v>1.42</v>
      </c>
    </row>
    <row r="643" spans="1:2">
      <c r="A643" s="1">
        <v>43103</v>
      </c>
      <c r="B643">
        <v>1.42</v>
      </c>
    </row>
    <row r="644" spans="1:2">
      <c r="A644" s="1">
        <v>43104</v>
      </c>
      <c r="B644">
        <v>1.42</v>
      </c>
    </row>
    <row r="645" spans="1:2">
      <c r="A645" s="1">
        <v>43105</v>
      </c>
      <c r="B645">
        <v>1.42</v>
      </c>
    </row>
    <row r="646" spans="1:2">
      <c r="A646" s="1">
        <v>43106</v>
      </c>
      <c r="B646">
        <v>1.42</v>
      </c>
    </row>
    <row r="647" spans="1:2">
      <c r="A647" s="1">
        <v>43107</v>
      </c>
      <c r="B647">
        <v>1.42</v>
      </c>
    </row>
    <row r="648" spans="1:2">
      <c r="A648" s="1">
        <v>43108</v>
      </c>
      <c r="B648">
        <v>1.42</v>
      </c>
    </row>
    <row r="649" spans="1:2">
      <c r="A649" s="1">
        <v>43109</v>
      </c>
      <c r="B649">
        <v>1.42</v>
      </c>
    </row>
    <row r="650" spans="1:2">
      <c r="A650" s="1">
        <v>43110</v>
      </c>
      <c r="B650">
        <v>1.42</v>
      </c>
    </row>
    <row r="651" spans="1:2">
      <c r="A651" s="1">
        <v>43111</v>
      </c>
      <c r="B651">
        <v>1.42</v>
      </c>
    </row>
    <row r="652" spans="1:2">
      <c r="A652" s="1">
        <v>43112</v>
      </c>
      <c r="B652">
        <v>1.42</v>
      </c>
    </row>
    <row r="653" spans="1:2">
      <c r="A653" s="1">
        <v>43113</v>
      </c>
      <c r="B653">
        <v>1.42</v>
      </c>
    </row>
    <row r="654" spans="1:2">
      <c r="A654" s="1">
        <v>43114</v>
      </c>
      <c r="B654">
        <v>1.42</v>
      </c>
    </row>
    <row r="655" spans="1:2">
      <c r="A655" s="1">
        <v>43115</v>
      </c>
      <c r="B655">
        <v>1.42</v>
      </c>
    </row>
    <row r="656" spans="1:2">
      <c r="A656" s="1">
        <v>43116</v>
      </c>
      <c r="B656">
        <v>1.42</v>
      </c>
    </row>
    <row r="657" spans="1:2">
      <c r="A657" s="1">
        <v>43117</v>
      </c>
      <c r="B657">
        <v>1.42</v>
      </c>
    </row>
    <row r="658" spans="1:2">
      <c r="A658" s="1">
        <v>43118</v>
      </c>
      <c r="B658">
        <v>1.42</v>
      </c>
    </row>
    <row r="659" spans="1:2">
      <c r="A659" s="1">
        <v>43119</v>
      </c>
      <c r="B659">
        <v>1.42</v>
      </c>
    </row>
    <row r="660" spans="1:2">
      <c r="A660" s="1">
        <v>43120</v>
      </c>
      <c r="B660">
        <v>1.42</v>
      </c>
    </row>
    <row r="661" spans="1:2">
      <c r="A661" s="1">
        <v>43121</v>
      </c>
      <c r="B661">
        <v>1.42</v>
      </c>
    </row>
    <row r="662" spans="1:2">
      <c r="A662" s="1">
        <v>43122</v>
      </c>
      <c r="B662">
        <v>1.42</v>
      </c>
    </row>
    <row r="663" spans="1:2">
      <c r="A663" s="1">
        <v>43123</v>
      </c>
      <c r="B663">
        <v>1.42</v>
      </c>
    </row>
    <row r="664" spans="1:2">
      <c r="A664" s="1">
        <v>43124</v>
      </c>
      <c r="B664">
        <v>1.42</v>
      </c>
    </row>
    <row r="665" spans="1:2">
      <c r="A665" s="1">
        <v>43125</v>
      </c>
      <c r="B665">
        <v>1.42</v>
      </c>
    </row>
    <row r="666" spans="1:2">
      <c r="A666" s="1">
        <v>43126</v>
      </c>
      <c r="B666">
        <v>1.42</v>
      </c>
    </row>
    <row r="667" spans="1:2">
      <c r="A667" s="1">
        <v>43127</v>
      </c>
      <c r="B667">
        <v>1.42</v>
      </c>
    </row>
    <row r="668" spans="1:2">
      <c r="A668" s="1">
        <v>43128</v>
      </c>
      <c r="B668">
        <v>1.42</v>
      </c>
    </row>
    <row r="669" spans="1:2">
      <c r="A669" s="1">
        <v>43129</v>
      </c>
      <c r="B669">
        <v>1.42</v>
      </c>
    </row>
    <row r="670" spans="1:2">
      <c r="A670" s="1">
        <v>43130</v>
      </c>
      <c r="B670">
        <v>1.42</v>
      </c>
    </row>
    <row r="671" spans="1:2">
      <c r="A671" s="1">
        <v>43131</v>
      </c>
      <c r="B671">
        <v>1.34</v>
      </c>
    </row>
    <row r="672" spans="1:2">
      <c r="A672" s="1">
        <v>43132</v>
      </c>
      <c r="B672">
        <v>1.42</v>
      </c>
    </row>
    <row r="673" spans="1:2">
      <c r="A673" s="1">
        <v>43133</v>
      </c>
      <c r="B673">
        <v>1.42</v>
      </c>
    </row>
    <row r="674" spans="1:2">
      <c r="A674" s="1">
        <v>43134</v>
      </c>
      <c r="B674">
        <v>1.42</v>
      </c>
    </row>
    <row r="675" spans="1:2">
      <c r="A675" s="1">
        <v>43135</v>
      </c>
      <c r="B675">
        <v>1.42</v>
      </c>
    </row>
    <row r="676" spans="1:2">
      <c r="A676" s="1">
        <v>43136</v>
      </c>
      <c r="B676">
        <v>1.42</v>
      </c>
    </row>
    <row r="677" spans="1:2">
      <c r="A677" s="1">
        <v>43137</v>
      </c>
      <c r="B677">
        <v>1.42</v>
      </c>
    </row>
    <row r="678" spans="1:2">
      <c r="A678" s="1">
        <v>43138</v>
      </c>
      <c r="B678">
        <v>1.42</v>
      </c>
    </row>
    <row r="679" spans="1:2">
      <c r="A679" s="1">
        <v>43139</v>
      </c>
      <c r="B679">
        <v>1.42</v>
      </c>
    </row>
    <row r="680" spans="1:2">
      <c r="A680" s="1">
        <v>43140</v>
      </c>
      <c r="B680">
        <v>1.42</v>
      </c>
    </row>
    <row r="681" spans="1:2">
      <c r="A681" s="1">
        <v>43141</v>
      </c>
      <c r="B681">
        <v>1.42</v>
      </c>
    </row>
    <row r="682" spans="1:2">
      <c r="A682" s="1">
        <v>43142</v>
      </c>
      <c r="B682">
        <v>1.42</v>
      </c>
    </row>
    <row r="683" spans="1:2">
      <c r="A683" s="1">
        <v>43143</v>
      </c>
      <c r="B683">
        <v>1.42</v>
      </c>
    </row>
    <row r="684" spans="1:2">
      <c r="A684" s="1">
        <v>43144</v>
      </c>
      <c r="B684">
        <v>1.42</v>
      </c>
    </row>
    <row r="685" spans="1:2">
      <c r="A685" s="1">
        <v>43145</v>
      </c>
      <c r="B685">
        <v>1.42</v>
      </c>
    </row>
    <row r="686" spans="1:2">
      <c r="A686" s="1">
        <v>43146</v>
      </c>
      <c r="B686">
        <v>1.42</v>
      </c>
    </row>
    <row r="687" spans="1:2">
      <c r="A687" s="1">
        <v>43147</v>
      </c>
      <c r="B687">
        <v>1.42</v>
      </c>
    </row>
    <row r="688" spans="1:2">
      <c r="A688" s="1">
        <v>43148</v>
      </c>
      <c r="B688">
        <v>1.42</v>
      </c>
    </row>
    <row r="689" spans="1:2">
      <c r="A689" s="1">
        <v>43149</v>
      </c>
      <c r="B689">
        <v>1.42</v>
      </c>
    </row>
    <row r="690" spans="1:2">
      <c r="A690" s="1">
        <v>43150</v>
      </c>
      <c r="B690">
        <v>1.42</v>
      </c>
    </row>
    <row r="691" spans="1:2">
      <c r="A691" s="1">
        <v>43151</v>
      </c>
      <c r="B691">
        <v>1.42</v>
      </c>
    </row>
    <row r="692" spans="1:2">
      <c r="A692" s="1">
        <v>43152</v>
      </c>
      <c r="B692">
        <v>1.42</v>
      </c>
    </row>
    <row r="693" spans="1:2">
      <c r="A693" s="1">
        <v>43153</v>
      </c>
      <c r="B693">
        <v>1.42</v>
      </c>
    </row>
    <row r="694" spans="1:2">
      <c r="A694" s="1">
        <v>43154</v>
      </c>
      <c r="B694">
        <v>1.42</v>
      </c>
    </row>
    <row r="695" spans="1:2">
      <c r="A695" s="1">
        <v>43155</v>
      </c>
      <c r="B695">
        <v>1.42</v>
      </c>
    </row>
    <row r="696" spans="1:2">
      <c r="A696" s="1">
        <v>43156</v>
      </c>
      <c r="B696">
        <v>1.42</v>
      </c>
    </row>
    <row r="697" spans="1:2">
      <c r="A697" s="1">
        <v>43157</v>
      </c>
      <c r="B697">
        <v>1.42</v>
      </c>
    </row>
    <row r="698" spans="1:2">
      <c r="A698" s="1">
        <v>43158</v>
      </c>
      <c r="B698">
        <v>1.42</v>
      </c>
    </row>
    <row r="699" spans="1:2">
      <c r="A699" s="1">
        <v>43159</v>
      </c>
      <c r="B699">
        <v>1.35</v>
      </c>
    </row>
    <row r="700" spans="1:2">
      <c r="A700" s="1">
        <v>43160</v>
      </c>
      <c r="B700">
        <v>1.42</v>
      </c>
    </row>
    <row r="701" spans="1:2">
      <c r="A701" s="1">
        <v>43161</v>
      </c>
      <c r="B701">
        <v>1.42</v>
      </c>
    </row>
    <row r="702" spans="1:2">
      <c r="A702" s="1">
        <v>43162</v>
      </c>
      <c r="B702">
        <v>1.42</v>
      </c>
    </row>
    <row r="703" spans="1:2">
      <c r="A703" s="1">
        <v>43163</v>
      </c>
      <c r="B703">
        <v>1.42</v>
      </c>
    </row>
    <row r="704" spans="1:2">
      <c r="A704" s="1">
        <v>43164</v>
      </c>
      <c r="B704">
        <v>1.42</v>
      </c>
    </row>
    <row r="705" spans="1:2">
      <c r="A705" s="1">
        <v>43165</v>
      </c>
      <c r="B705">
        <v>1.42</v>
      </c>
    </row>
    <row r="706" spans="1:2">
      <c r="A706" s="1">
        <v>43166</v>
      </c>
      <c r="B706">
        <v>1.42</v>
      </c>
    </row>
    <row r="707" spans="1:2">
      <c r="A707" s="1">
        <v>43167</v>
      </c>
      <c r="B707">
        <v>1.42</v>
      </c>
    </row>
    <row r="708" spans="1:2">
      <c r="A708" s="1">
        <v>43168</v>
      </c>
      <c r="B708">
        <v>1.42</v>
      </c>
    </row>
    <row r="709" spans="1:2">
      <c r="A709" s="1">
        <v>43169</v>
      </c>
      <c r="B709">
        <v>1.42</v>
      </c>
    </row>
    <row r="710" spans="1:2">
      <c r="A710" s="1">
        <v>43170</v>
      </c>
      <c r="B710">
        <v>1.42</v>
      </c>
    </row>
    <row r="711" spans="1:2">
      <c r="A711" s="1">
        <v>43171</v>
      </c>
      <c r="B711">
        <v>1.42</v>
      </c>
    </row>
    <row r="712" spans="1:2">
      <c r="A712" s="1">
        <v>43172</v>
      </c>
      <c r="B712">
        <v>1.42</v>
      </c>
    </row>
    <row r="713" spans="1:2">
      <c r="A713" s="1">
        <v>43173</v>
      </c>
      <c r="B713">
        <v>1.42</v>
      </c>
    </row>
    <row r="714" spans="1:2">
      <c r="A714" s="1">
        <v>43174</v>
      </c>
      <c r="B714">
        <v>1.43</v>
      </c>
    </row>
    <row r="715" spans="1:2">
      <c r="A715" s="1">
        <v>43175</v>
      </c>
      <c r="B715">
        <v>1.43</v>
      </c>
    </row>
    <row r="716" spans="1:2">
      <c r="A716" s="1">
        <v>43176</v>
      </c>
      <c r="B716">
        <v>1.43</v>
      </c>
    </row>
    <row r="717" spans="1:2">
      <c r="A717" s="1">
        <v>43177</v>
      </c>
      <c r="B717">
        <v>1.43</v>
      </c>
    </row>
    <row r="718" spans="1:2">
      <c r="A718" s="1">
        <v>43178</v>
      </c>
      <c r="B718">
        <v>1.43</v>
      </c>
    </row>
    <row r="719" spans="1:2">
      <c r="A719" s="1">
        <v>43179</v>
      </c>
      <c r="B719">
        <v>1.44</v>
      </c>
    </row>
    <row r="720" spans="1:2">
      <c r="A720" s="1">
        <v>43180</v>
      </c>
      <c r="B720">
        <v>1.44</v>
      </c>
    </row>
    <row r="721" spans="1:2">
      <c r="A721" s="1">
        <v>43181</v>
      </c>
      <c r="B721">
        <v>1.68</v>
      </c>
    </row>
    <row r="722" spans="1:2">
      <c r="A722" s="1">
        <v>43182</v>
      </c>
      <c r="B722">
        <v>1.68</v>
      </c>
    </row>
    <row r="723" spans="1:2">
      <c r="A723" s="1">
        <v>43183</v>
      </c>
      <c r="B723">
        <v>1.68</v>
      </c>
    </row>
    <row r="724" spans="1:2">
      <c r="A724" s="1">
        <v>43184</v>
      </c>
      <c r="B724">
        <v>1.68</v>
      </c>
    </row>
    <row r="725" spans="1:2">
      <c r="A725" s="1">
        <v>43185</v>
      </c>
      <c r="B725">
        <v>1.68</v>
      </c>
    </row>
    <row r="726" spans="1:2">
      <c r="A726" s="1">
        <v>43186</v>
      </c>
      <c r="B726">
        <v>1.68</v>
      </c>
    </row>
    <row r="727" spans="1:2">
      <c r="A727" s="1">
        <v>43187</v>
      </c>
      <c r="B727">
        <v>1.68</v>
      </c>
    </row>
    <row r="728" spans="1:2">
      <c r="A728" s="1">
        <v>43188</v>
      </c>
      <c r="B728">
        <v>1.68</v>
      </c>
    </row>
    <row r="729" spans="1:2">
      <c r="A729" s="1">
        <v>43189</v>
      </c>
      <c r="B729">
        <v>1.67</v>
      </c>
    </row>
    <row r="730" spans="1:2">
      <c r="A730" s="1">
        <v>43190</v>
      </c>
      <c r="B730">
        <v>1.67</v>
      </c>
    </row>
    <row r="731" spans="1:2">
      <c r="A731" s="1">
        <v>43191</v>
      </c>
      <c r="B731">
        <v>1.67</v>
      </c>
    </row>
    <row r="732" spans="1:2">
      <c r="A732" s="1">
        <v>43192</v>
      </c>
      <c r="B732">
        <v>1.68</v>
      </c>
    </row>
    <row r="733" spans="1:2">
      <c r="A733" s="1">
        <v>43193</v>
      </c>
      <c r="B733">
        <v>1.69</v>
      </c>
    </row>
    <row r="734" spans="1:2">
      <c r="A734" s="1">
        <v>43194</v>
      </c>
      <c r="B734">
        <v>1.69</v>
      </c>
    </row>
    <row r="735" spans="1:2">
      <c r="A735" s="1">
        <v>43195</v>
      </c>
      <c r="B735">
        <v>1.69</v>
      </c>
    </row>
    <row r="736" spans="1:2">
      <c r="A736" s="1">
        <v>43196</v>
      </c>
      <c r="B736">
        <v>1.69</v>
      </c>
    </row>
    <row r="737" spans="1:2">
      <c r="A737" s="1">
        <v>43197</v>
      </c>
      <c r="B737">
        <v>1.69</v>
      </c>
    </row>
    <row r="738" spans="1:2">
      <c r="A738" s="1">
        <v>43198</v>
      </c>
      <c r="B738">
        <v>1.69</v>
      </c>
    </row>
    <row r="739" spans="1:2">
      <c r="A739" s="1">
        <v>43199</v>
      </c>
      <c r="B739">
        <v>1.69</v>
      </c>
    </row>
    <row r="740" spans="1:2">
      <c r="A740" s="1">
        <v>43200</v>
      </c>
      <c r="B740">
        <v>1.69</v>
      </c>
    </row>
    <row r="741" spans="1:2">
      <c r="A741" s="1">
        <v>43201</v>
      </c>
      <c r="B741">
        <v>1.69</v>
      </c>
    </row>
    <row r="742" spans="1:2">
      <c r="A742" s="1">
        <v>43202</v>
      </c>
      <c r="B742">
        <v>1.69</v>
      </c>
    </row>
    <row r="743" spans="1:2">
      <c r="A743" s="1">
        <v>43203</v>
      </c>
      <c r="B743">
        <v>1.69</v>
      </c>
    </row>
    <row r="744" spans="1:2">
      <c r="A744" s="1">
        <v>43204</v>
      </c>
      <c r="B744">
        <v>1.69</v>
      </c>
    </row>
    <row r="745" spans="1:2">
      <c r="A745" s="1">
        <v>43205</v>
      </c>
      <c r="B745">
        <v>1.69</v>
      </c>
    </row>
    <row r="746" spans="1:2">
      <c r="A746" s="1">
        <v>43206</v>
      </c>
      <c r="B746">
        <v>1.69</v>
      </c>
    </row>
    <row r="747" spans="1:2">
      <c r="A747" s="1">
        <v>43207</v>
      </c>
      <c r="B747">
        <v>1.69</v>
      </c>
    </row>
    <row r="748" spans="1:2">
      <c r="A748" s="1">
        <v>43208</v>
      </c>
      <c r="B748">
        <v>1.69</v>
      </c>
    </row>
    <row r="749" spans="1:2">
      <c r="A749" s="1">
        <v>43209</v>
      </c>
      <c r="B749">
        <v>1.69</v>
      </c>
    </row>
    <row r="750" spans="1:2">
      <c r="A750" s="1">
        <v>43210</v>
      </c>
      <c r="B750">
        <v>1.7</v>
      </c>
    </row>
    <row r="751" spans="1:2">
      <c r="A751" s="1">
        <v>43211</v>
      </c>
      <c r="B751">
        <v>1.7</v>
      </c>
    </row>
    <row r="752" spans="1:2">
      <c r="A752" s="1">
        <v>43212</v>
      </c>
      <c r="B752">
        <v>1.7</v>
      </c>
    </row>
    <row r="753" spans="1:2">
      <c r="A753" s="1">
        <v>43213</v>
      </c>
      <c r="B753">
        <v>1.7</v>
      </c>
    </row>
    <row r="754" spans="1:2">
      <c r="A754" s="1">
        <v>43214</v>
      </c>
      <c r="B754">
        <v>1.7</v>
      </c>
    </row>
    <row r="755" spans="1:2">
      <c r="A755" s="1">
        <v>43215</v>
      </c>
      <c r="B755">
        <v>1.7</v>
      </c>
    </row>
    <row r="756" spans="1:2">
      <c r="A756" s="1">
        <v>43216</v>
      </c>
      <c r="B756">
        <v>1.7</v>
      </c>
    </row>
    <row r="757" spans="1:2">
      <c r="A757" s="1">
        <v>43217</v>
      </c>
      <c r="B757">
        <v>1.7</v>
      </c>
    </row>
    <row r="758" spans="1:2">
      <c r="A758" s="1">
        <v>43218</v>
      </c>
      <c r="B758">
        <v>1.7</v>
      </c>
    </row>
    <row r="759" spans="1:2">
      <c r="A759" s="1">
        <v>43219</v>
      </c>
      <c r="B759">
        <v>1.7</v>
      </c>
    </row>
    <row r="760" spans="1:2">
      <c r="A760" s="1">
        <v>43220</v>
      </c>
      <c r="B760">
        <v>1.69</v>
      </c>
    </row>
    <row r="761" spans="1:2">
      <c r="A761" s="1">
        <v>43221</v>
      </c>
      <c r="B761">
        <v>1.7</v>
      </c>
    </row>
    <row r="762" spans="1:2">
      <c r="A762" s="1">
        <v>43222</v>
      </c>
      <c r="B762">
        <v>1.7</v>
      </c>
    </row>
    <row r="763" spans="1:2">
      <c r="A763" s="1">
        <v>43223</v>
      </c>
      <c r="B763">
        <v>1.7</v>
      </c>
    </row>
    <row r="764" spans="1:2">
      <c r="A764" s="1">
        <v>43224</v>
      </c>
      <c r="B764">
        <v>1.7</v>
      </c>
    </row>
    <row r="765" spans="1:2">
      <c r="A765" s="1">
        <v>43225</v>
      </c>
      <c r="B765">
        <v>1.7</v>
      </c>
    </row>
    <row r="766" spans="1:2">
      <c r="A766" s="1">
        <v>43226</v>
      </c>
      <c r="B766">
        <v>1.7</v>
      </c>
    </row>
    <row r="767" spans="1:2">
      <c r="A767" s="1">
        <v>43227</v>
      </c>
      <c r="B767">
        <v>1.7</v>
      </c>
    </row>
    <row r="768" spans="1:2">
      <c r="A768" s="1">
        <v>43228</v>
      </c>
      <c r="B768">
        <v>1.7</v>
      </c>
    </row>
    <row r="769" spans="1:2">
      <c r="A769" s="1">
        <v>43229</v>
      </c>
      <c r="B769">
        <v>1.7</v>
      </c>
    </row>
    <row r="770" spans="1:2">
      <c r="A770" s="1">
        <v>43230</v>
      </c>
      <c r="B770">
        <v>1.7</v>
      </c>
    </row>
    <row r="771" spans="1:2">
      <c r="A771" s="1">
        <v>43231</v>
      </c>
      <c r="B771">
        <v>1.7</v>
      </c>
    </row>
    <row r="772" spans="1:2">
      <c r="A772" s="1">
        <v>43232</v>
      </c>
      <c r="B772">
        <v>1.7</v>
      </c>
    </row>
    <row r="773" spans="1:2">
      <c r="A773" s="1">
        <v>43233</v>
      </c>
      <c r="B773">
        <v>1.7</v>
      </c>
    </row>
    <row r="774" spans="1:2">
      <c r="A774" s="1">
        <v>43234</v>
      </c>
      <c r="B774">
        <v>1.7</v>
      </c>
    </row>
    <row r="775" spans="1:2">
      <c r="A775" s="1">
        <v>43235</v>
      </c>
      <c r="B775">
        <v>1.7</v>
      </c>
    </row>
    <row r="776" spans="1:2">
      <c r="A776" s="1">
        <v>43236</v>
      </c>
      <c r="B776">
        <v>1.7</v>
      </c>
    </row>
    <row r="777" spans="1:2">
      <c r="A777" s="1">
        <v>43237</v>
      </c>
      <c r="B777">
        <v>1.7</v>
      </c>
    </row>
    <row r="778" spans="1:2">
      <c r="A778" s="1">
        <v>43238</v>
      </c>
      <c r="B778">
        <v>1.7</v>
      </c>
    </row>
    <row r="779" spans="1:2">
      <c r="A779" s="1">
        <v>43239</v>
      </c>
      <c r="B779">
        <v>1.7</v>
      </c>
    </row>
    <row r="780" spans="1:2">
      <c r="A780" s="1">
        <v>43240</v>
      </c>
      <c r="B780">
        <v>1.7</v>
      </c>
    </row>
    <row r="781" spans="1:2">
      <c r="A781" s="1">
        <v>43241</v>
      </c>
      <c r="B781">
        <v>1.7</v>
      </c>
    </row>
    <row r="782" spans="1:2">
      <c r="A782" s="1">
        <v>43242</v>
      </c>
      <c r="B782">
        <v>1.7</v>
      </c>
    </row>
    <row r="783" spans="1:2">
      <c r="A783" s="1">
        <v>43243</v>
      </c>
      <c r="B783">
        <v>1.7</v>
      </c>
    </row>
    <row r="784" spans="1:2">
      <c r="A784" s="1">
        <v>43244</v>
      </c>
      <c r="B784">
        <v>1.7</v>
      </c>
    </row>
    <row r="785" spans="1:2">
      <c r="A785" s="1">
        <v>43245</v>
      </c>
      <c r="B785">
        <v>1.7</v>
      </c>
    </row>
    <row r="786" spans="1:2">
      <c r="A786" s="1">
        <v>43246</v>
      </c>
      <c r="B786">
        <v>1.7</v>
      </c>
    </row>
    <row r="787" spans="1:2">
      <c r="A787" s="1">
        <v>43247</v>
      </c>
      <c r="B787">
        <v>1.7</v>
      </c>
    </row>
    <row r="788" spans="1:2">
      <c r="A788" s="1">
        <v>43248</v>
      </c>
      <c r="B788">
        <v>1.7</v>
      </c>
    </row>
    <row r="789" spans="1:2">
      <c r="A789" s="1">
        <v>43249</v>
      </c>
      <c r="B789">
        <v>1.7</v>
      </c>
    </row>
    <row r="790" spans="1:2">
      <c r="A790" s="1">
        <v>43250</v>
      </c>
      <c r="B790">
        <v>1.7</v>
      </c>
    </row>
    <row r="791" spans="1:2">
      <c r="A791" s="1">
        <v>43251</v>
      </c>
      <c r="B791">
        <v>1.7</v>
      </c>
    </row>
    <row r="792" spans="1:2">
      <c r="A792" s="1">
        <v>43252</v>
      </c>
      <c r="B792">
        <v>1.7</v>
      </c>
    </row>
    <row r="793" spans="1:2">
      <c r="A793" s="1">
        <v>43253</v>
      </c>
      <c r="B793">
        <v>1.7</v>
      </c>
    </row>
    <row r="794" spans="1:2">
      <c r="A794" s="1">
        <v>43254</v>
      </c>
      <c r="B794">
        <v>1.7</v>
      </c>
    </row>
    <row r="795" spans="1:2">
      <c r="A795" s="1">
        <v>43255</v>
      </c>
      <c r="B795">
        <v>1.7</v>
      </c>
    </row>
    <row r="796" spans="1:2">
      <c r="A796" s="1">
        <v>43256</v>
      </c>
      <c r="B796">
        <v>1.7</v>
      </c>
    </row>
    <row r="797" spans="1:2">
      <c r="A797" s="1">
        <v>43257</v>
      </c>
      <c r="B797">
        <v>1.7</v>
      </c>
    </row>
    <row r="798" spans="1:2">
      <c r="A798" s="1">
        <v>43258</v>
      </c>
      <c r="B798">
        <v>1.7</v>
      </c>
    </row>
    <row r="799" spans="1:2">
      <c r="A799" s="1">
        <v>43259</v>
      </c>
      <c r="B799">
        <v>1.7</v>
      </c>
    </row>
    <row r="800" spans="1:2">
      <c r="A800" s="1">
        <v>43260</v>
      </c>
      <c r="B800">
        <v>1.7</v>
      </c>
    </row>
    <row r="801" spans="1:2">
      <c r="A801" s="1">
        <v>43261</v>
      </c>
      <c r="B801">
        <v>1.7</v>
      </c>
    </row>
    <row r="802" spans="1:2">
      <c r="A802" s="1">
        <v>43262</v>
      </c>
      <c r="B802">
        <v>1.7</v>
      </c>
    </row>
    <row r="803" spans="1:2">
      <c r="A803" s="1">
        <v>43263</v>
      </c>
      <c r="B803">
        <v>1.7</v>
      </c>
    </row>
    <row r="804" spans="1:2">
      <c r="A804" s="1">
        <v>43264</v>
      </c>
      <c r="B804">
        <v>1.7</v>
      </c>
    </row>
    <row r="805" spans="1:2">
      <c r="A805" s="1">
        <v>43265</v>
      </c>
      <c r="B805">
        <v>1.9</v>
      </c>
    </row>
    <row r="806" spans="1:2">
      <c r="A806" s="1">
        <v>43266</v>
      </c>
      <c r="B806">
        <v>1.9</v>
      </c>
    </row>
    <row r="807" spans="1:2">
      <c r="A807" s="1">
        <v>43267</v>
      </c>
      <c r="B807">
        <v>1.9</v>
      </c>
    </row>
    <row r="808" spans="1:2">
      <c r="A808" s="1">
        <v>43268</v>
      </c>
      <c r="B808">
        <v>1.9</v>
      </c>
    </row>
    <row r="809" spans="1:2">
      <c r="A809" s="1">
        <v>43269</v>
      </c>
      <c r="B809">
        <v>1.9</v>
      </c>
    </row>
    <row r="810" spans="1:2">
      <c r="A810" s="1">
        <v>43270</v>
      </c>
      <c r="B810">
        <v>1.91</v>
      </c>
    </row>
    <row r="811" spans="1:2">
      <c r="A811" s="1">
        <v>43271</v>
      </c>
      <c r="B811">
        <v>1.92</v>
      </c>
    </row>
    <row r="812" spans="1:2">
      <c r="A812" s="1">
        <v>43272</v>
      </c>
      <c r="B812">
        <v>1.92</v>
      </c>
    </row>
    <row r="813" spans="1:2">
      <c r="A813" s="1">
        <v>43273</v>
      </c>
      <c r="B813">
        <v>1.92</v>
      </c>
    </row>
    <row r="814" spans="1:2">
      <c r="A814" s="1">
        <v>43274</v>
      </c>
      <c r="B814">
        <v>1.92</v>
      </c>
    </row>
    <row r="815" spans="1:2">
      <c r="A815" s="1">
        <v>43275</v>
      </c>
      <c r="B815">
        <v>1.92</v>
      </c>
    </row>
    <row r="816" spans="1:2">
      <c r="A816" s="1">
        <v>43276</v>
      </c>
      <c r="B816">
        <v>1.92</v>
      </c>
    </row>
    <row r="817" spans="1:2">
      <c r="A817" s="1">
        <v>43277</v>
      </c>
      <c r="B817">
        <v>1.92</v>
      </c>
    </row>
    <row r="818" spans="1:2">
      <c r="A818" s="1">
        <v>43278</v>
      </c>
      <c r="B818">
        <v>1.91</v>
      </c>
    </row>
    <row r="819" spans="1:2">
      <c r="A819" s="1">
        <v>43279</v>
      </c>
      <c r="B819">
        <v>1.91</v>
      </c>
    </row>
    <row r="820" spans="1:2">
      <c r="A820" s="1">
        <v>43280</v>
      </c>
      <c r="B820">
        <v>1.91</v>
      </c>
    </row>
    <row r="821" spans="1:2">
      <c r="A821" s="1">
        <v>43281</v>
      </c>
      <c r="B821">
        <v>1.91</v>
      </c>
    </row>
    <row r="822" spans="1:2">
      <c r="A822" s="1">
        <v>43282</v>
      </c>
      <c r="B822">
        <v>1.91</v>
      </c>
    </row>
    <row r="823" spans="1:2">
      <c r="A823" s="1">
        <v>43283</v>
      </c>
      <c r="B823">
        <v>1.91</v>
      </c>
    </row>
    <row r="824" spans="1:2">
      <c r="A824" s="1">
        <v>43284</v>
      </c>
      <c r="B824">
        <v>1.91</v>
      </c>
    </row>
    <row r="825" spans="1:2">
      <c r="A825" s="1">
        <v>43285</v>
      </c>
      <c r="B825">
        <v>1.91</v>
      </c>
    </row>
    <row r="826" spans="1:2">
      <c r="A826" s="1">
        <v>43286</v>
      </c>
      <c r="B826">
        <v>1.91</v>
      </c>
    </row>
    <row r="827" spans="1:2">
      <c r="A827" s="1">
        <v>43287</v>
      </c>
      <c r="B827">
        <v>1.91</v>
      </c>
    </row>
    <row r="828" spans="1:2">
      <c r="A828" s="1">
        <v>43288</v>
      </c>
      <c r="B828">
        <v>1.91</v>
      </c>
    </row>
    <row r="829" spans="1:2">
      <c r="A829" s="1">
        <v>43289</v>
      </c>
      <c r="B829">
        <v>1.91</v>
      </c>
    </row>
    <row r="830" spans="1:2">
      <c r="A830" s="1">
        <v>43290</v>
      </c>
      <c r="B830">
        <v>1.91</v>
      </c>
    </row>
    <row r="831" spans="1:2">
      <c r="A831" s="1">
        <v>43291</v>
      </c>
      <c r="B831">
        <v>1.91</v>
      </c>
    </row>
    <row r="832" spans="1:2">
      <c r="A832" s="1">
        <v>43292</v>
      </c>
      <c r="B832">
        <v>1.91</v>
      </c>
    </row>
    <row r="833" spans="1:2">
      <c r="A833" s="1">
        <v>43293</v>
      </c>
      <c r="B833">
        <v>1.91</v>
      </c>
    </row>
    <row r="834" spans="1:2">
      <c r="A834" s="1">
        <v>43294</v>
      </c>
      <c r="B834">
        <v>1.91</v>
      </c>
    </row>
    <row r="835" spans="1:2">
      <c r="A835" s="1">
        <v>43295</v>
      </c>
      <c r="B835">
        <v>1.91</v>
      </c>
    </row>
    <row r="836" spans="1:2">
      <c r="A836" s="1">
        <v>43296</v>
      </c>
      <c r="B836">
        <v>1.91</v>
      </c>
    </row>
    <row r="837" spans="1:2">
      <c r="A837" s="1">
        <v>43297</v>
      </c>
      <c r="B837">
        <v>1.91</v>
      </c>
    </row>
    <row r="838" spans="1:2">
      <c r="A838" s="1">
        <v>43298</v>
      </c>
      <c r="B838">
        <v>1.91</v>
      </c>
    </row>
    <row r="839" spans="1:2">
      <c r="A839" s="1">
        <v>43299</v>
      </c>
      <c r="B839">
        <v>1.91</v>
      </c>
    </row>
    <row r="840" spans="1:2">
      <c r="A840" s="1">
        <v>43300</v>
      </c>
      <c r="B840">
        <v>1.91</v>
      </c>
    </row>
    <row r="841" spans="1:2">
      <c r="A841" s="1">
        <v>43301</v>
      </c>
      <c r="B841">
        <v>1.91</v>
      </c>
    </row>
    <row r="842" spans="1:2">
      <c r="A842" s="1">
        <v>43302</v>
      </c>
      <c r="B842">
        <v>1.91</v>
      </c>
    </row>
    <row r="843" spans="1:2">
      <c r="A843" s="1">
        <v>43303</v>
      </c>
      <c r="B843">
        <v>1.91</v>
      </c>
    </row>
    <row r="844" spans="1:2">
      <c r="A844" s="1">
        <v>43304</v>
      </c>
      <c r="B844">
        <v>1.91</v>
      </c>
    </row>
    <row r="845" spans="1:2">
      <c r="A845" s="1">
        <v>43305</v>
      </c>
      <c r="B845">
        <v>1.91</v>
      </c>
    </row>
    <row r="846" spans="1:2">
      <c r="A846" s="1">
        <v>43306</v>
      </c>
      <c r="B846">
        <v>1.91</v>
      </c>
    </row>
    <row r="847" spans="1:2">
      <c r="A847" s="1">
        <v>43307</v>
      </c>
      <c r="B847">
        <v>1.91</v>
      </c>
    </row>
    <row r="848" spans="1:2">
      <c r="A848" s="1">
        <v>43308</v>
      </c>
      <c r="B848">
        <v>1.91</v>
      </c>
    </row>
    <row r="849" spans="1:2">
      <c r="A849" s="1">
        <v>43309</v>
      </c>
      <c r="B849">
        <v>1.91</v>
      </c>
    </row>
    <row r="850" spans="1:2">
      <c r="A850" s="1">
        <v>43310</v>
      </c>
      <c r="B850">
        <v>1.91</v>
      </c>
    </row>
    <row r="851" spans="1:2">
      <c r="A851" s="1">
        <v>43311</v>
      </c>
      <c r="B851">
        <v>1.91</v>
      </c>
    </row>
    <row r="852" spans="1:2">
      <c r="A852" s="1">
        <v>43312</v>
      </c>
      <c r="B852">
        <v>1.91</v>
      </c>
    </row>
    <row r="853" spans="1:2">
      <c r="A853" s="1">
        <v>43313</v>
      </c>
      <c r="B853">
        <v>1.91</v>
      </c>
    </row>
    <row r="854" spans="1:2">
      <c r="A854" s="1">
        <v>43314</v>
      </c>
      <c r="B854">
        <v>1.91</v>
      </c>
    </row>
    <row r="855" spans="1:2">
      <c r="A855" s="1">
        <v>43315</v>
      </c>
      <c r="B855">
        <v>1.91</v>
      </c>
    </row>
    <row r="856" spans="1:2">
      <c r="A856" s="1">
        <v>43316</v>
      </c>
      <c r="B856">
        <v>1.91</v>
      </c>
    </row>
    <row r="857" spans="1:2">
      <c r="A857" s="1">
        <v>43317</v>
      </c>
      <c r="B857">
        <v>1.91</v>
      </c>
    </row>
    <row r="858" spans="1:2">
      <c r="A858" s="1">
        <v>43318</v>
      </c>
      <c r="B858">
        <v>1.91</v>
      </c>
    </row>
    <row r="859" spans="1:2">
      <c r="A859" s="1">
        <v>43319</v>
      </c>
      <c r="B859">
        <v>1.91</v>
      </c>
    </row>
    <row r="860" spans="1:2">
      <c r="A860" s="1">
        <v>43320</v>
      </c>
      <c r="B860">
        <v>1.91</v>
      </c>
    </row>
    <row r="861" spans="1:2">
      <c r="A861" s="1">
        <v>43321</v>
      </c>
      <c r="B861">
        <v>1.91</v>
      </c>
    </row>
    <row r="862" spans="1:2">
      <c r="A862" s="1">
        <v>43322</v>
      </c>
      <c r="B862">
        <v>1.91</v>
      </c>
    </row>
    <row r="863" spans="1:2">
      <c r="A863" s="1">
        <v>43323</v>
      </c>
      <c r="B863">
        <v>1.91</v>
      </c>
    </row>
    <row r="864" spans="1:2">
      <c r="A864" s="1">
        <v>43324</v>
      </c>
      <c r="B864">
        <v>1.91</v>
      </c>
    </row>
    <row r="865" spans="1:2">
      <c r="A865" s="1">
        <v>43325</v>
      </c>
      <c r="B865">
        <v>1.91</v>
      </c>
    </row>
    <row r="866" spans="1:2">
      <c r="A866" s="1">
        <v>43326</v>
      </c>
      <c r="B866">
        <v>1.91</v>
      </c>
    </row>
    <row r="867" spans="1:2">
      <c r="A867" s="1">
        <v>43327</v>
      </c>
      <c r="B867">
        <v>1.91</v>
      </c>
    </row>
    <row r="868" spans="1:2">
      <c r="A868" s="1">
        <v>43328</v>
      </c>
      <c r="B868">
        <v>1.92</v>
      </c>
    </row>
    <row r="869" spans="1:2">
      <c r="A869" s="1">
        <v>43329</v>
      </c>
      <c r="B869">
        <v>1.92</v>
      </c>
    </row>
    <row r="870" spans="1:2">
      <c r="A870" s="1">
        <v>43330</v>
      </c>
      <c r="B870">
        <v>1.92</v>
      </c>
    </row>
    <row r="871" spans="1:2">
      <c r="A871" s="1">
        <v>43331</v>
      </c>
      <c r="B871">
        <v>1.92</v>
      </c>
    </row>
    <row r="872" spans="1:2">
      <c r="A872" s="1">
        <v>43332</v>
      </c>
      <c r="B872">
        <v>1.92</v>
      </c>
    </row>
    <row r="873" spans="1:2">
      <c r="A873" s="1">
        <v>43333</v>
      </c>
      <c r="B873">
        <v>1.92</v>
      </c>
    </row>
    <row r="874" spans="1:2">
      <c r="A874" s="1">
        <v>43334</v>
      </c>
      <c r="B874">
        <v>1.92</v>
      </c>
    </row>
    <row r="875" spans="1:2">
      <c r="A875" s="1">
        <v>43335</v>
      </c>
      <c r="B875">
        <v>1.92</v>
      </c>
    </row>
    <row r="876" spans="1:2">
      <c r="A876" s="1">
        <v>43336</v>
      </c>
      <c r="B876">
        <v>1.92</v>
      </c>
    </row>
    <row r="877" spans="1:2">
      <c r="A877" s="1">
        <v>43337</v>
      </c>
      <c r="B877">
        <v>1.92</v>
      </c>
    </row>
    <row r="878" spans="1:2">
      <c r="A878" s="1">
        <v>43338</v>
      </c>
      <c r="B878">
        <v>1.92</v>
      </c>
    </row>
    <row r="879" spans="1:2">
      <c r="A879" s="1">
        <v>43339</v>
      </c>
      <c r="B879">
        <v>1.92</v>
      </c>
    </row>
    <row r="880" spans="1:2">
      <c r="A880" s="1">
        <v>43340</v>
      </c>
      <c r="B880">
        <v>1.92</v>
      </c>
    </row>
    <row r="881" spans="1:2">
      <c r="A881" s="1">
        <v>43341</v>
      </c>
      <c r="B881">
        <v>1.92</v>
      </c>
    </row>
    <row r="882" spans="1:2">
      <c r="A882" s="1">
        <v>43342</v>
      </c>
      <c r="B882">
        <v>1.92</v>
      </c>
    </row>
    <row r="883" spans="1:2">
      <c r="A883" s="1">
        <v>43343</v>
      </c>
      <c r="B883">
        <v>1.91</v>
      </c>
    </row>
    <row r="884" spans="1:2">
      <c r="A884" s="1">
        <v>43344</v>
      </c>
      <c r="B884">
        <v>1.91</v>
      </c>
    </row>
    <row r="885" spans="1:2">
      <c r="A885" s="1">
        <v>43345</v>
      </c>
      <c r="B885">
        <v>1.91</v>
      </c>
    </row>
    <row r="886" spans="1:2">
      <c r="A886" s="1">
        <v>43346</v>
      </c>
      <c r="B886">
        <v>1.91</v>
      </c>
    </row>
    <row r="887" spans="1:2">
      <c r="A887" s="1">
        <v>43347</v>
      </c>
      <c r="B887">
        <v>1.92</v>
      </c>
    </row>
    <row r="888" spans="1:2">
      <c r="A888" s="1">
        <v>43348</v>
      </c>
      <c r="B888">
        <v>1.92</v>
      </c>
    </row>
    <row r="889" spans="1:2">
      <c r="A889" s="1">
        <v>43349</v>
      </c>
      <c r="B889">
        <v>1.92</v>
      </c>
    </row>
    <row r="890" spans="1:2">
      <c r="A890" s="1">
        <v>43350</v>
      </c>
      <c r="B890">
        <v>1.92</v>
      </c>
    </row>
    <row r="891" spans="1:2">
      <c r="A891" s="1">
        <v>43351</v>
      </c>
      <c r="B891">
        <v>1.92</v>
      </c>
    </row>
    <row r="892" spans="1:2">
      <c r="A892" s="1">
        <v>43352</v>
      </c>
      <c r="B892">
        <v>1.92</v>
      </c>
    </row>
    <row r="893" spans="1:2">
      <c r="A893" s="1">
        <v>43353</v>
      </c>
      <c r="B893">
        <v>1.92</v>
      </c>
    </row>
    <row r="894" spans="1:2">
      <c r="A894" s="1">
        <v>43354</v>
      </c>
      <c r="B894">
        <v>1.92</v>
      </c>
    </row>
    <row r="895" spans="1:2">
      <c r="A895" s="1">
        <v>43355</v>
      </c>
      <c r="B895">
        <v>1.92</v>
      </c>
    </row>
    <row r="896" spans="1:2">
      <c r="A896" s="1">
        <v>43356</v>
      </c>
      <c r="B896">
        <v>1.92</v>
      </c>
    </row>
    <row r="897" spans="1:2">
      <c r="A897" s="1">
        <v>43357</v>
      </c>
      <c r="B897">
        <v>1.92</v>
      </c>
    </row>
    <row r="898" spans="1:2">
      <c r="A898" s="1">
        <v>43358</v>
      </c>
      <c r="B898">
        <v>1.92</v>
      </c>
    </row>
    <row r="899" spans="1:2">
      <c r="A899" s="1">
        <v>43359</v>
      </c>
      <c r="B899">
        <v>1.92</v>
      </c>
    </row>
    <row r="900" spans="1:2">
      <c r="A900" s="1">
        <v>43360</v>
      </c>
      <c r="B900">
        <v>1.92</v>
      </c>
    </row>
    <row r="901" spans="1:2">
      <c r="A901" s="1">
        <v>43361</v>
      </c>
      <c r="B901">
        <v>1.92</v>
      </c>
    </row>
    <row r="902" spans="1:2">
      <c r="A902" s="1">
        <v>43362</v>
      </c>
      <c r="B902">
        <v>1.92</v>
      </c>
    </row>
    <row r="903" spans="1:2">
      <c r="A903" s="1">
        <v>43363</v>
      </c>
      <c r="B903">
        <v>1.92</v>
      </c>
    </row>
    <row r="904" spans="1:2">
      <c r="A904" s="1">
        <v>43364</v>
      </c>
      <c r="B904">
        <v>1.92</v>
      </c>
    </row>
    <row r="905" spans="1:2">
      <c r="A905" s="1">
        <v>43365</v>
      </c>
      <c r="B905">
        <v>1.92</v>
      </c>
    </row>
    <row r="906" spans="1:2">
      <c r="A906" s="1">
        <v>43366</v>
      </c>
      <c r="B906">
        <v>1.92</v>
      </c>
    </row>
    <row r="907" spans="1:2">
      <c r="A907" s="1">
        <v>43367</v>
      </c>
      <c r="B907">
        <v>1.93</v>
      </c>
    </row>
    <row r="908" spans="1:2">
      <c r="A908" s="1">
        <v>43368</v>
      </c>
      <c r="B908">
        <v>1.93</v>
      </c>
    </row>
    <row r="909" spans="1:2">
      <c r="A909" s="1">
        <v>43369</v>
      </c>
      <c r="B909">
        <v>1.93</v>
      </c>
    </row>
    <row r="910" spans="1:2">
      <c r="A910" s="1">
        <v>43370</v>
      </c>
      <c r="B910">
        <v>2.1800000000000002</v>
      </c>
    </row>
    <row r="911" spans="1:2">
      <c r="A911" s="1">
        <v>43371</v>
      </c>
      <c r="B911">
        <v>2.1800000000000002</v>
      </c>
    </row>
    <row r="912" spans="1:2">
      <c r="A912" s="1">
        <v>43372</v>
      </c>
      <c r="B912">
        <v>2.1800000000000002</v>
      </c>
    </row>
    <row r="913" spans="1:2">
      <c r="A913" s="1">
        <v>43373</v>
      </c>
      <c r="B913">
        <v>2.1800000000000002</v>
      </c>
    </row>
    <row r="914" spans="1:2">
      <c r="A914" s="1">
        <v>43374</v>
      </c>
      <c r="B914">
        <v>2.1800000000000002</v>
      </c>
    </row>
    <row r="915" spans="1:2">
      <c r="A915" s="1">
        <v>43375</v>
      </c>
      <c r="B915">
        <v>2.1800000000000002</v>
      </c>
    </row>
    <row r="916" spans="1:2">
      <c r="A916" s="1">
        <v>43376</v>
      </c>
      <c r="B916">
        <v>2.1800000000000002</v>
      </c>
    </row>
    <row r="917" spans="1:2">
      <c r="A917" s="1">
        <v>43377</v>
      </c>
      <c r="B917">
        <v>2.1800000000000002</v>
      </c>
    </row>
    <row r="918" spans="1:2">
      <c r="A918" s="1">
        <v>43378</v>
      </c>
      <c r="B918">
        <v>2.1800000000000002</v>
      </c>
    </row>
    <row r="919" spans="1:2">
      <c r="A919" s="1">
        <v>43379</v>
      </c>
      <c r="B919">
        <v>2.1800000000000002</v>
      </c>
    </row>
    <row r="920" spans="1:2">
      <c r="A920" s="1">
        <v>43380</v>
      </c>
      <c r="B920">
        <v>2.1800000000000002</v>
      </c>
    </row>
    <row r="921" spans="1:2">
      <c r="A921" s="1">
        <v>43381</v>
      </c>
      <c r="B921">
        <v>2.1800000000000002</v>
      </c>
    </row>
    <row r="922" spans="1:2">
      <c r="A922" s="1">
        <v>43382</v>
      </c>
      <c r="B922">
        <v>2.1800000000000002</v>
      </c>
    </row>
    <row r="923" spans="1:2">
      <c r="A923" s="1">
        <v>43383</v>
      </c>
      <c r="B923">
        <v>2.1800000000000002</v>
      </c>
    </row>
    <row r="924" spans="1:2">
      <c r="A924" s="1">
        <v>43384</v>
      </c>
      <c r="B924">
        <v>2.1800000000000002</v>
      </c>
    </row>
    <row r="925" spans="1:2">
      <c r="A925" s="1">
        <v>43385</v>
      </c>
      <c r="B925">
        <v>2.1800000000000002</v>
      </c>
    </row>
    <row r="926" spans="1:2">
      <c r="A926" s="1">
        <v>43386</v>
      </c>
      <c r="B926">
        <v>2.1800000000000002</v>
      </c>
    </row>
    <row r="927" spans="1:2">
      <c r="A927" s="1">
        <v>43387</v>
      </c>
      <c r="B927">
        <v>2.1800000000000002</v>
      </c>
    </row>
    <row r="928" spans="1:2">
      <c r="A928" s="1">
        <v>43388</v>
      </c>
      <c r="B928">
        <v>2.1800000000000002</v>
      </c>
    </row>
    <row r="929" spans="1:2">
      <c r="A929" s="1">
        <v>43389</v>
      </c>
      <c r="B929">
        <v>2.1800000000000002</v>
      </c>
    </row>
    <row r="930" spans="1:2">
      <c r="A930" s="1">
        <v>43390</v>
      </c>
      <c r="B930">
        <v>2.19</v>
      </c>
    </row>
    <row r="931" spans="1:2">
      <c r="A931" s="1">
        <v>43391</v>
      </c>
      <c r="B931">
        <v>2.19</v>
      </c>
    </row>
    <row r="932" spans="1:2">
      <c r="A932" s="1">
        <v>43392</v>
      </c>
      <c r="B932">
        <v>2.19</v>
      </c>
    </row>
    <row r="933" spans="1:2">
      <c r="A933" s="1">
        <v>43393</v>
      </c>
      <c r="B933">
        <v>2.19</v>
      </c>
    </row>
    <row r="934" spans="1:2">
      <c r="A934" s="1">
        <v>43394</v>
      </c>
      <c r="B934">
        <v>2.19</v>
      </c>
    </row>
    <row r="935" spans="1:2">
      <c r="A935" s="1">
        <v>43395</v>
      </c>
      <c r="B935">
        <v>2.19</v>
      </c>
    </row>
    <row r="936" spans="1:2">
      <c r="A936" s="1">
        <v>43396</v>
      </c>
      <c r="B936">
        <v>2.2000000000000002</v>
      </c>
    </row>
    <row r="937" spans="1:2">
      <c r="A937" s="1">
        <v>43397</v>
      </c>
      <c r="B937">
        <v>2.2000000000000002</v>
      </c>
    </row>
    <row r="938" spans="1:2">
      <c r="A938" s="1">
        <v>43398</v>
      </c>
      <c r="B938">
        <v>2.2000000000000002</v>
      </c>
    </row>
    <row r="939" spans="1:2">
      <c r="A939" s="1">
        <v>43399</v>
      </c>
      <c r="B939">
        <v>2.2000000000000002</v>
      </c>
    </row>
    <row r="940" spans="1:2">
      <c r="A940" s="1">
        <v>43400</v>
      </c>
      <c r="B940">
        <v>2.2000000000000002</v>
      </c>
    </row>
    <row r="941" spans="1:2">
      <c r="A941" s="1">
        <v>43401</v>
      </c>
      <c r="B941">
        <v>2.2000000000000002</v>
      </c>
    </row>
    <row r="942" spans="1:2">
      <c r="A942" s="1">
        <v>43402</v>
      </c>
      <c r="B942">
        <v>2.2000000000000002</v>
      </c>
    </row>
    <row r="943" spans="1:2">
      <c r="A943" s="1">
        <v>43403</v>
      </c>
      <c r="B943">
        <v>2.2000000000000002</v>
      </c>
    </row>
    <row r="944" spans="1:2">
      <c r="A944" s="1">
        <v>43404</v>
      </c>
      <c r="B944">
        <v>2.2000000000000002</v>
      </c>
    </row>
    <row r="945" spans="1:2">
      <c r="A945" s="1">
        <v>43405</v>
      </c>
      <c r="B945">
        <v>2.2000000000000002</v>
      </c>
    </row>
    <row r="946" spans="1:2">
      <c r="A946" s="1">
        <v>43406</v>
      </c>
      <c r="B946">
        <v>2.19</v>
      </c>
    </row>
    <row r="947" spans="1:2">
      <c r="A947" s="1">
        <v>43407</v>
      </c>
      <c r="B947">
        <v>2.19</v>
      </c>
    </row>
    <row r="948" spans="1:2">
      <c r="A948" s="1">
        <v>43408</v>
      </c>
      <c r="B948">
        <v>2.19</v>
      </c>
    </row>
    <row r="949" spans="1:2">
      <c r="A949" s="1">
        <v>43409</v>
      </c>
      <c r="B949">
        <v>2.2000000000000002</v>
      </c>
    </row>
    <row r="950" spans="1:2">
      <c r="A950" s="1">
        <v>43410</v>
      </c>
      <c r="B950">
        <v>2.2000000000000002</v>
      </c>
    </row>
    <row r="951" spans="1:2">
      <c r="A951" s="1">
        <v>43411</v>
      </c>
      <c r="B951">
        <v>2.2000000000000002</v>
      </c>
    </row>
    <row r="952" spans="1:2">
      <c r="A952" s="1">
        <v>43412</v>
      </c>
      <c r="B952">
        <v>2.2000000000000002</v>
      </c>
    </row>
    <row r="953" spans="1:2">
      <c r="A953" s="1">
        <v>43413</v>
      </c>
      <c r="B953">
        <v>2.19</v>
      </c>
    </row>
    <row r="954" spans="1:2">
      <c r="A954" s="1">
        <v>43414</v>
      </c>
      <c r="B954">
        <v>2.19</v>
      </c>
    </row>
    <row r="955" spans="1:2">
      <c r="A955" s="1">
        <v>43415</v>
      </c>
      <c r="B955">
        <v>2.19</v>
      </c>
    </row>
    <row r="956" spans="1:2">
      <c r="A956" s="1">
        <v>43416</v>
      </c>
      <c r="B956">
        <v>2.19</v>
      </c>
    </row>
    <row r="957" spans="1:2">
      <c r="A957" s="1">
        <v>43417</v>
      </c>
      <c r="B957">
        <v>2.2000000000000002</v>
      </c>
    </row>
    <row r="958" spans="1:2">
      <c r="A958" s="1">
        <v>43418</v>
      </c>
      <c r="B958">
        <v>2.2000000000000002</v>
      </c>
    </row>
    <row r="959" spans="1:2">
      <c r="A959" s="1">
        <v>43419</v>
      </c>
      <c r="B959">
        <v>2.2000000000000002</v>
      </c>
    </row>
    <row r="960" spans="1:2">
      <c r="A960" s="1">
        <v>43420</v>
      </c>
      <c r="B960">
        <v>2.2000000000000002</v>
      </c>
    </row>
    <row r="961" spans="1:2">
      <c r="A961" s="1">
        <v>43421</v>
      </c>
      <c r="B961">
        <v>2.2000000000000002</v>
      </c>
    </row>
    <row r="962" spans="1:2">
      <c r="A962" s="1">
        <v>43422</v>
      </c>
      <c r="B962">
        <v>2.2000000000000002</v>
      </c>
    </row>
    <row r="963" spans="1:2">
      <c r="A963" s="1">
        <v>43423</v>
      </c>
      <c r="B963">
        <v>2.2000000000000002</v>
      </c>
    </row>
    <row r="964" spans="1:2">
      <c r="A964" s="1">
        <v>43424</v>
      </c>
      <c r="B964">
        <v>2.2000000000000002</v>
      </c>
    </row>
    <row r="965" spans="1:2">
      <c r="A965" s="1">
        <v>43425</v>
      </c>
      <c r="B965">
        <v>2.2000000000000002</v>
      </c>
    </row>
    <row r="966" spans="1:2">
      <c r="A966" s="1">
        <v>43426</v>
      </c>
      <c r="B966">
        <v>2.2000000000000002</v>
      </c>
    </row>
    <row r="967" spans="1:2">
      <c r="A967" s="1">
        <v>43427</v>
      </c>
      <c r="B967">
        <v>2.2000000000000002</v>
      </c>
    </row>
    <row r="968" spans="1:2">
      <c r="A968" s="1">
        <v>43428</v>
      </c>
      <c r="B968">
        <v>2.2000000000000002</v>
      </c>
    </row>
    <row r="969" spans="1:2">
      <c r="A969" s="1">
        <v>43429</v>
      </c>
      <c r="B969">
        <v>2.2000000000000002</v>
      </c>
    </row>
    <row r="970" spans="1:2">
      <c r="A970" s="1">
        <v>43430</v>
      </c>
      <c r="B970">
        <v>2.2000000000000002</v>
      </c>
    </row>
    <row r="971" spans="1:2">
      <c r="A971" s="1">
        <v>43431</v>
      </c>
      <c r="B971">
        <v>2.2000000000000002</v>
      </c>
    </row>
    <row r="972" spans="1:2">
      <c r="A972" s="1">
        <v>43432</v>
      </c>
      <c r="B972">
        <v>2.2000000000000002</v>
      </c>
    </row>
    <row r="973" spans="1:2">
      <c r="A973" s="1">
        <v>43433</v>
      </c>
      <c r="B973">
        <v>2.2000000000000002</v>
      </c>
    </row>
    <row r="974" spans="1:2">
      <c r="A974" s="1">
        <v>43434</v>
      </c>
      <c r="B974">
        <v>2.2000000000000002</v>
      </c>
    </row>
    <row r="975" spans="1:2">
      <c r="A975" s="1">
        <v>43435</v>
      </c>
      <c r="B975">
        <v>2.2000000000000002</v>
      </c>
    </row>
    <row r="976" spans="1:2">
      <c r="A976" s="1">
        <v>43436</v>
      </c>
      <c r="B976">
        <v>2.2000000000000002</v>
      </c>
    </row>
    <row r="977" spans="1:2">
      <c r="A977" s="1">
        <v>43437</v>
      </c>
      <c r="B977">
        <v>2.19</v>
      </c>
    </row>
    <row r="978" spans="1:2">
      <c r="A978" s="1">
        <v>43438</v>
      </c>
      <c r="B978">
        <v>2.2000000000000002</v>
      </c>
    </row>
    <row r="979" spans="1:2">
      <c r="A979" s="1">
        <v>43439</v>
      </c>
      <c r="B979">
        <v>2.2000000000000002</v>
      </c>
    </row>
    <row r="980" spans="1:2">
      <c r="A980" s="1">
        <v>43440</v>
      </c>
      <c r="B980">
        <v>2.2000000000000002</v>
      </c>
    </row>
    <row r="981" spans="1:2">
      <c r="A981" s="1">
        <v>43441</v>
      </c>
      <c r="B981">
        <v>2.19</v>
      </c>
    </row>
    <row r="982" spans="1:2">
      <c r="A982" s="1">
        <v>43442</v>
      </c>
      <c r="B982">
        <v>2.19</v>
      </c>
    </row>
    <row r="983" spans="1:2">
      <c r="A983" s="1">
        <v>43443</v>
      </c>
      <c r="B983">
        <v>2.19</v>
      </c>
    </row>
    <row r="984" spans="1:2">
      <c r="A984" s="1">
        <v>43444</v>
      </c>
      <c r="B984">
        <v>2.2000000000000002</v>
      </c>
    </row>
    <row r="985" spans="1:2">
      <c r="A985" s="1">
        <v>43445</v>
      </c>
      <c r="B985">
        <v>2.19</v>
      </c>
    </row>
    <row r="986" spans="1:2">
      <c r="A986" s="1">
        <v>43446</v>
      </c>
      <c r="B986">
        <v>2.19</v>
      </c>
    </row>
    <row r="987" spans="1:2">
      <c r="A987" s="1">
        <v>43447</v>
      </c>
      <c r="B987">
        <v>2.19</v>
      </c>
    </row>
    <row r="988" spans="1:2">
      <c r="A988" s="1">
        <v>43448</v>
      </c>
      <c r="B988">
        <v>2.19</v>
      </c>
    </row>
    <row r="989" spans="1:2">
      <c r="A989" s="1">
        <v>43449</v>
      </c>
      <c r="B989">
        <v>2.19</v>
      </c>
    </row>
    <row r="990" spans="1:2">
      <c r="A990" s="1">
        <v>43450</v>
      </c>
      <c r="B990">
        <v>2.19</v>
      </c>
    </row>
    <row r="991" spans="1:2">
      <c r="A991" s="1">
        <v>43451</v>
      </c>
      <c r="B991">
        <v>2.2000000000000002</v>
      </c>
    </row>
    <row r="992" spans="1:2">
      <c r="A992" s="1">
        <v>43452</v>
      </c>
      <c r="B992">
        <v>2.2000000000000002</v>
      </c>
    </row>
    <row r="993" spans="1:2">
      <c r="A993" s="1">
        <v>43453</v>
      </c>
      <c r="B993">
        <v>2.2000000000000002</v>
      </c>
    </row>
    <row r="994" spans="1:2">
      <c r="A994" s="1">
        <v>43454</v>
      </c>
      <c r="B994">
        <v>2.4</v>
      </c>
    </row>
    <row r="995" spans="1:2">
      <c r="A995" s="1">
        <v>43455</v>
      </c>
      <c r="B995">
        <v>2.4</v>
      </c>
    </row>
    <row r="996" spans="1:2">
      <c r="A996" s="1">
        <v>43456</v>
      </c>
      <c r="B996">
        <v>2.4</v>
      </c>
    </row>
    <row r="997" spans="1:2">
      <c r="A997" s="1">
        <v>43457</v>
      </c>
      <c r="B997">
        <v>2.4</v>
      </c>
    </row>
    <row r="998" spans="1:2">
      <c r="A998" s="1">
        <v>43458</v>
      </c>
      <c r="B998">
        <v>2.4</v>
      </c>
    </row>
    <row r="999" spans="1:2">
      <c r="A999" s="1">
        <v>43459</v>
      </c>
      <c r="B999">
        <v>2.4</v>
      </c>
    </row>
    <row r="1000" spans="1:2">
      <c r="A1000" s="1">
        <v>43460</v>
      </c>
      <c r="B1000">
        <v>2.4</v>
      </c>
    </row>
    <row r="1001" spans="1:2">
      <c r="A1001" s="1">
        <v>43461</v>
      </c>
      <c r="B1001">
        <v>2.4</v>
      </c>
    </row>
    <row r="1002" spans="1:2">
      <c r="A1002" s="1">
        <v>43462</v>
      </c>
      <c r="B1002">
        <v>2.4</v>
      </c>
    </row>
    <row r="1003" spans="1:2">
      <c r="A1003" s="1">
        <v>43463</v>
      </c>
      <c r="B1003">
        <v>2.4</v>
      </c>
    </row>
    <row r="1004" spans="1:2">
      <c r="A1004" s="1">
        <v>43464</v>
      </c>
      <c r="B1004">
        <v>2.4</v>
      </c>
    </row>
    <row r="1005" spans="1:2">
      <c r="A1005" s="1">
        <v>43465</v>
      </c>
      <c r="B1005">
        <v>2.4</v>
      </c>
    </row>
    <row r="1006" spans="1:2">
      <c r="A1006" s="1">
        <v>43466</v>
      </c>
      <c r="B1006">
        <v>2.4</v>
      </c>
    </row>
    <row r="1007" spans="1:2">
      <c r="A1007" s="1">
        <v>43467</v>
      </c>
      <c r="B1007">
        <v>2.4</v>
      </c>
    </row>
    <row r="1008" spans="1:2">
      <c r="A1008" s="1">
        <v>43468</v>
      </c>
      <c r="B1008">
        <v>2.4</v>
      </c>
    </row>
    <row r="1009" spans="1:2">
      <c r="A1009" s="1">
        <v>43469</v>
      </c>
      <c r="B1009">
        <v>2.4</v>
      </c>
    </row>
    <row r="1010" spans="1:2">
      <c r="A1010" s="1">
        <v>43470</v>
      </c>
      <c r="B1010">
        <v>2.4</v>
      </c>
    </row>
    <row r="1011" spans="1:2">
      <c r="A1011" s="1">
        <v>43471</v>
      </c>
      <c r="B1011">
        <v>2.4</v>
      </c>
    </row>
    <row r="1012" spans="1:2">
      <c r="A1012" s="1">
        <v>43472</v>
      </c>
      <c r="B1012">
        <v>2.4</v>
      </c>
    </row>
    <row r="1013" spans="1:2">
      <c r="A1013" s="1">
        <v>43473</v>
      </c>
      <c r="B1013">
        <v>2.4</v>
      </c>
    </row>
    <row r="1014" spans="1:2">
      <c r="A1014" s="1">
        <v>43474</v>
      </c>
      <c r="B1014">
        <v>2.4</v>
      </c>
    </row>
    <row r="1015" spans="1:2">
      <c r="A1015" s="1">
        <v>43475</v>
      </c>
      <c r="B1015">
        <v>2.4</v>
      </c>
    </row>
    <row r="1016" spans="1:2">
      <c r="A1016" s="1">
        <v>43476</v>
      </c>
      <c r="B1016">
        <v>2.4</v>
      </c>
    </row>
    <row r="1017" spans="1:2">
      <c r="A1017" s="1">
        <v>43477</v>
      </c>
      <c r="B1017">
        <v>2.4</v>
      </c>
    </row>
    <row r="1018" spans="1:2">
      <c r="A1018" s="1">
        <v>43478</v>
      </c>
      <c r="B1018">
        <v>2.4</v>
      </c>
    </row>
    <row r="1019" spans="1:2">
      <c r="A1019" s="1">
        <v>43479</v>
      </c>
      <c r="B1019">
        <v>2.4</v>
      </c>
    </row>
    <row r="1020" spans="1:2">
      <c r="A1020" s="1">
        <v>43480</v>
      </c>
      <c r="B1020">
        <v>2.4</v>
      </c>
    </row>
    <row r="1021" spans="1:2">
      <c r="A1021" s="1">
        <v>43481</v>
      </c>
      <c r="B1021">
        <v>2.4</v>
      </c>
    </row>
    <row r="1022" spans="1:2">
      <c r="A1022" s="1">
        <v>43482</v>
      </c>
      <c r="B1022">
        <v>2.4</v>
      </c>
    </row>
    <row r="1023" spans="1:2">
      <c r="A1023" s="1">
        <v>43483</v>
      </c>
      <c r="B1023">
        <v>2.4</v>
      </c>
    </row>
    <row r="1024" spans="1:2">
      <c r="A1024" s="1">
        <v>43484</v>
      </c>
      <c r="B1024">
        <v>2.4</v>
      </c>
    </row>
    <row r="1025" spans="1:2">
      <c r="A1025" s="1">
        <v>43485</v>
      </c>
      <c r="B1025">
        <v>2.4</v>
      </c>
    </row>
    <row r="1026" spans="1:2">
      <c r="A1026" s="1">
        <v>43486</v>
      </c>
      <c r="B1026">
        <v>2.4</v>
      </c>
    </row>
    <row r="1027" spans="1:2">
      <c r="A1027" s="1">
        <v>43487</v>
      </c>
      <c r="B1027">
        <v>2.4</v>
      </c>
    </row>
    <row r="1028" spans="1:2">
      <c r="A1028" s="1">
        <v>43488</v>
      </c>
      <c r="B1028">
        <v>2.4</v>
      </c>
    </row>
    <row r="1029" spans="1:2">
      <c r="A1029" s="1">
        <v>43489</v>
      </c>
      <c r="B1029">
        <v>2.4</v>
      </c>
    </row>
    <row r="1030" spans="1:2">
      <c r="A1030" s="1">
        <v>43490</v>
      </c>
      <c r="B1030">
        <v>2.4</v>
      </c>
    </row>
    <row r="1031" spans="1:2">
      <c r="A1031" s="1">
        <v>43491</v>
      </c>
      <c r="B1031">
        <v>2.4</v>
      </c>
    </row>
    <row r="1032" spans="1:2">
      <c r="A1032" s="1">
        <v>43492</v>
      </c>
      <c r="B1032">
        <v>2.4</v>
      </c>
    </row>
    <row r="1033" spans="1:2">
      <c r="A1033" s="1">
        <v>43493</v>
      </c>
      <c r="B1033">
        <v>2.4</v>
      </c>
    </row>
    <row r="1034" spans="1:2">
      <c r="A1034" s="1">
        <v>43494</v>
      </c>
      <c r="B1034">
        <v>2.4</v>
      </c>
    </row>
    <row r="1035" spans="1:2">
      <c r="A1035" s="1">
        <v>43495</v>
      </c>
      <c r="B1035">
        <v>2.4</v>
      </c>
    </row>
    <row r="1036" spans="1:2">
      <c r="A1036" s="1">
        <v>43496</v>
      </c>
      <c r="B1036">
        <v>2.4</v>
      </c>
    </row>
    <row r="1037" spans="1:2">
      <c r="A1037" s="1">
        <v>43497</v>
      </c>
      <c r="B1037">
        <v>2.4</v>
      </c>
    </row>
    <row r="1038" spans="1:2">
      <c r="A1038" s="1">
        <v>43498</v>
      </c>
      <c r="B1038">
        <v>2.4</v>
      </c>
    </row>
    <row r="1039" spans="1:2">
      <c r="A1039" s="1">
        <v>43499</v>
      </c>
      <c r="B1039">
        <v>2.4</v>
      </c>
    </row>
    <row r="1040" spans="1:2">
      <c r="A1040" s="1">
        <v>43500</v>
      </c>
      <c r="B1040">
        <v>2.4</v>
      </c>
    </row>
    <row r="1041" spans="1:2">
      <c r="A1041" s="1">
        <v>43501</v>
      </c>
      <c r="B1041">
        <v>2.4</v>
      </c>
    </row>
    <row r="1042" spans="1:2">
      <c r="A1042" s="1">
        <v>43502</v>
      </c>
      <c r="B1042">
        <v>2.4</v>
      </c>
    </row>
    <row r="1043" spans="1:2">
      <c r="A1043" s="1">
        <v>43503</v>
      </c>
      <c r="B1043">
        <v>2.4</v>
      </c>
    </row>
    <row r="1044" spans="1:2">
      <c r="A1044" s="1">
        <v>43504</v>
      </c>
      <c r="B1044">
        <v>2.4</v>
      </c>
    </row>
    <row r="1045" spans="1:2">
      <c r="A1045" s="1">
        <v>43505</v>
      </c>
      <c r="B1045">
        <v>2.4</v>
      </c>
    </row>
    <row r="1046" spans="1:2">
      <c r="A1046" s="1">
        <v>43506</v>
      </c>
      <c r="B1046">
        <v>2.4</v>
      </c>
    </row>
    <row r="1047" spans="1:2">
      <c r="A1047" s="1">
        <v>43507</v>
      </c>
      <c r="B1047">
        <v>2.4</v>
      </c>
    </row>
    <row r="1048" spans="1:2">
      <c r="A1048" s="1">
        <v>43508</v>
      </c>
      <c r="B1048">
        <v>2.4</v>
      </c>
    </row>
    <row r="1049" spans="1:2">
      <c r="A1049" s="1">
        <v>43509</v>
      </c>
      <c r="B1049">
        <v>2.4</v>
      </c>
    </row>
    <row r="1050" spans="1:2">
      <c r="A1050" s="1">
        <v>43510</v>
      </c>
      <c r="B1050">
        <v>2.4</v>
      </c>
    </row>
    <row r="1051" spans="1:2">
      <c r="A1051" s="1">
        <v>43511</v>
      </c>
      <c r="B1051">
        <v>2.4</v>
      </c>
    </row>
    <row r="1052" spans="1:2">
      <c r="A1052" s="1">
        <v>43512</v>
      </c>
      <c r="B1052">
        <v>2.4</v>
      </c>
    </row>
    <row r="1053" spans="1:2">
      <c r="A1053" s="1">
        <v>43513</v>
      </c>
      <c r="B1053">
        <v>2.4</v>
      </c>
    </row>
    <row r="1054" spans="1:2">
      <c r="A1054" s="1">
        <v>43514</v>
      </c>
      <c r="B1054">
        <v>2.4</v>
      </c>
    </row>
    <row r="1055" spans="1:2">
      <c r="A1055" s="1">
        <v>43515</v>
      </c>
      <c r="B1055">
        <v>2.4</v>
      </c>
    </row>
    <row r="1056" spans="1:2">
      <c r="A1056" s="1">
        <v>43516</v>
      </c>
      <c r="B1056">
        <v>2.4</v>
      </c>
    </row>
    <row r="1057" spans="1:2">
      <c r="A1057" s="1">
        <v>43517</v>
      </c>
      <c r="B1057">
        <v>2.4</v>
      </c>
    </row>
    <row r="1058" spans="1:2">
      <c r="A1058" s="1">
        <v>43518</v>
      </c>
      <c r="B1058">
        <v>2.4</v>
      </c>
    </row>
    <row r="1059" spans="1:2">
      <c r="A1059" s="1">
        <v>43519</v>
      </c>
      <c r="B1059">
        <v>2.4</v>
      </c>
    </row>
    <row r="1060" spans="1:2">
      <c r="A1060" s="1">
        <v>43520</v>
      </c>
      <c r="B1060">
        <v>2.4</v>
      </c>
    </row>
    <row r="1061" spans="1:2">
      <c r="A1061" s="1">
        <v>43521</v>
      </c>
      <c r="B1061">
        <v>2.4</v>
      </c>
    </row>
    <row r="1062" spans="1:2">
      <c r="A1062" s="1">
        <v>43522</v>
      </c>
      <c r="B1062">
        <v>2.4</v>
      </c>
    </row>
    <row r="1063" spans="1:2">
      <c r="A1063" s="1">
        <v>43523</v>
      </c>
      <c r="B1063">
        <v>2.4</v>
      </c>
    </row>
    <row r="1064" spans="1:2">
      <c r="A1064" s="1">
        <v>43524</v>
      </c>
      <c r="B1064">
        <v>2.4</v>
      </c>
    </row>
    <row r="1065" spans="1:2">
      <c r="A1065" s="1">
        <v>43525</v>
      </c>
      <c r="B1065">
        <v>2.4</v>
      </c>
    </row>
    <row r="1066" spans="1:2">
      <c r="A1066" s="1">
        <v>43526</v>
      </c>
      <c r="B1066">
        <v>2.4</v>
      </c>
    </row>
    <row r="1067" spans="1:2">
      <c r="A1067" s="1">
        <v>43527</v>
      </c>
      <c r="B1067">
        <v>2.4</v>
      </c>
    </row>
    <row r="1068" spans="1:2">
      <c r="A1068" s="1">
        <v>43528</v>
      </c>
      <c r="B1068">
        <v>2.4</v>
      </c>
    </row>
    <row r="1069" spans="1:2">
      <c r="A1069" s="1">
        <v>43529</v>
      </c>
      <c r="B1069">
        <v>2.4</v>
      </c>
    </row>
    <row r="1070" spans="1:2">
      <c r="A1070" s="1">
        <v>43530</v>
      </c>
      <c r="B1070">
        <v>2.4</v>
      </c>
    </row>
    <row r="1071" spans="1:2">
      <c r="A1071" s="1">
        <v>43531</v>
      </c>
      <c r="B1071">
        <v>2.4</v>
      </c>
    </row>
    <row r="1072" spans="1:2">
      <c r="A1072" s="1">
        <v>43532</v>
      </c>
      <c r="B1072">
        <v>2.4</v>
      </c>
    </row>
    <row r="1073" spans="1:2">
      <c r="A1073" s="1">
        <v>43533</v>
      </c>
      <c r="B1073">
        <v>2.4</v>
      </c>
    </row>
    <row r="1074" spans="1:2">
      <c r="A1074" s="1">
        <v>43534</v>
      </c>
      <c r="B1074">
        <v>2.4</v>
      </c>
    </row>
    <row r="1075" spans="1:2">
      <c r="A1075" s="1">
        <v>43535</v>
      </c>
      <c r="B1075">
        <v>2.4</v>
      </c>
    </row>
    <row r="1076" spans="1:2">
      <c r="A1076" s="1">
        <v>43536</v>
      </c>
      <c r="B1076">
        <v>2.4</v>
      </c>
    </row>
    <row r="1077" spans="1:2">
      <c r="A1077" s="1">
        <v>43537</v>
      </c>
      <c r="B1077">
        <v>2.4</v>
      </c>
    </row>
    <row r="1078" spans="1:2">
      <c r="A1078" s="1">
        <v>43538</v>
      </c>
      <c r="B1078">
        <v>2.4</v>
      </c>
    </row>
    <row r="1079" spans="1:2">
      <c r="A1079" s="1">
        <v>43539</v>
      </c>
      <c r="B1079">
        <v>2.4</v>
      </c>
    </row>
    <row r="1080" spans="1:2">
      <c r="A1080" s="1">
        <v>43540</v>
      </c>
      <c r="B1080">
        <v>2.4</v>
      </c>
    </row>
    <row r="1081" spans="1:2">
      <c r="A1081" s="1">
        <v>43541</v>
      </c>
      <c r="B1081">
        <v>2.4</v>
      </c>
    </row>
    <row r="1082" spans="1:2">
      <c r="A1082" s="1">
        <v>43542</v>
      </c>
      <c r="B1082">
        <v>2.4</v>
      </c>
    </row>
    <row r="1083" spans="1:2">
      <c r="A1083" s="1">
        <v>43543</v>
      </c>
      <c r="B1083">
        <v>2.4</v>
      </c>
    </row>
    <row r="1084" spans="1:2">
      <c r="A1084" s="1">
        <v>43544</v>
      </c>
      <c r="B1084">
        <v>2.41</v>
      </c>
    </row>
    <row r="1085" spans="1:2">
      <c r="A1085" s="1">
        <v>43545</v>
      </c>
      <c r="B1085">
        <v>2.41</v>
      </c>
    </row>
    <row r="1086" spans="1:2">
      <c r="A1086" s="1">
        <v>43546</v>
      </c>
      <c r="B1086">
        <v>2.41</v>
      </c>
    </row>
    <row r="1087" spans="1:2">
      <c r="A1087" s="1">
        <v>43547</v>
      </c>
      <c r="B1087">
        <v>2.41</v>
      </c>
    </row>
    <row r="1088" spans="1:2">
      <c r="A1088" s="1">
        <v>43548</v>
      </c>
      <c r="B1088">
        <v>2.41</v>
      </c>
    </row>
    <row r="1089" spans="1:2">
      <c r="A1089" s="1">
        <v>43549</v>
      </c>
      <c r="B1089">
        <v>2.4</v>
      </c>
    </row>
    <row r="1090" spans="1:2">
      <c r="A1090" s="1">
        <v>43550</v>
      </c>
      <c r="B1090">
        <v>2.4</v>
      </c>
    </row>
    <row r="1091" spans="1:2">
      <c r="A1091" s="1">
        <v>43551</v>
      </c>
      <c r="B1091">
        <v>2.41</v>
      </c>
    </row>
    <row r="1092" spans="1:2">
      <c r="A1092" s="1">
        <v>43552</v>
      </c>
      <c r="B1092">
        <v>2.41</v>
      </c>
    </row>
    <row r="1093" spans="1:2">
      <c r="A1093" s="1">
        <v>43553</v>
      </c>
      <c r="B1093">
        <v>2.4300000000000002</v>
      </c>
    </row>
    <row r="1094" spans="1:2">
      <c r="A1094" s="1">
        <v>43554</v>
      </c>
      <c r="B1094">
        <v>2.4300000000000002</v>
      </c>
    </row>
    <row r="1095" spans="1:2">
      <c r="A1095" s="1">
        <v>43555</v>
      </c>
      <c r="B1095">
        <v>2.4300000000000002</v>
      </c>
    </row>
    <row r="1096" spans="1:2">
      <c r="A1096" s="1">
        <v>43556</v>
      </c>
      <c r="B1096">
        <v>2.41</v>
      </c>
    </row>
    <row r="1097" spans="1:2">
      <c r="A1097" s="1">
        <v>43557</v>
      </c>
      <c r="B1097">
        <v>2.41</v>
      </c>
    </row>
    <row r="1098" spans="1:2">
      <c r="A1098" s="1">
        <v>43558</v>
      </c>
      <c r="B1098">
        <v>2.41</v>
      </c>
    </row>
    <row r="1099" spans="1:2">
      <c r="A1099" s="1">
        <v>43559</v>
      </c>
      <c r="B1099">
        <v>2.41</v>
      </c>
    </row>
    <row r="1100" spans="1:2">
      <c r="A1100" s="1">
        <v>43560</v>
      </c>
      <c r="B1100">
        <v>2.41</v>
      </c>
    </row>
    <row r="1101" spans="1:2">
      <c r="A1101" s="1">
        <v>43561</v>
      </c>
      <c r="B1101">
        <v>2.41</v>
      </c>
    </row>
    <row r="1102" spans="1:2">
      <c r="A1102" s="1">
        <v>43562</v>
      </c>
      <c r="B1102">
        <v>2.41</v>
      </c>
    </row>
    <row r="1103" spans="1:2">
      <c r="A1103" s="1">
        <v>43563</v>
      </c>
      <c r="B1103">
        <v>2.41</v>
      </c>
    </row>
    <row r="1104" spans="1:2">
      <c r="A1104" s="1">
        <v>43564</v>
      </c>
      <c r="B1104">
        <v>2.41</v>
      </c>
    </row>
    <row r="1105" spans="1:2">
      <c r="A1105" s="1">
        <v>43565</v>
      </c>
      <c r="B1105">
        <v>2.41</v>
      </c>
    </row>
    <row r="1106" spans="1:2">
      <c r="A1106" s="1">
        <v>43566</v>
      </c>
      <c r="B1106">
        <v>2.41</v>
      </c>
    </row>
    <row r="1107" spans="1:2">
      <c r="A1107" s="1">
        <v>43567</v>
      </c>
      <c r="B1107">
        <v>2.41</v>
      </c>
    </row>
    <row r="1108" spans="1:2">
      <c r="A1108" s="1">
        <v>43568</v>
      </c>
      <c r="B1108">
        <v>2.41</v>
      </c>
    </row>
    <row r="1109" spans="1:2">
      <c r="A1109" s="1">
        <v>43569</v>
      </c>
      <c r="B1109">
        <v>2.41</v>
      </c>
    </row>
    <row r="1110" spans="1:2">
      <c r="A1110" s="1">
        <v>43570</v>
      </c>
      <c r="B1110">
        <v>2.41</v>
      </c>
    </row>
    <row r="1111" spans="1:2">
      <c r="A1111" s="1">
        <v>43571</v>
      </c>
      <c r="B1111">
        <v>2.41</v>
      </c>
    </row>
    <row r="1112" spans="1:2">
      <c r="A1112" s="1">
        <v>43572</v>
      </c>
      <c r="B1112">
        <v>2.42</v>
      </c>
    </row>
    <row r="1113" spans="1:2">
      <c r="A1113" s="1">
        <v>43573</v>
      </c>
      <c r="B1113">
        <v>2.4300000000000002</v>
      </c>
    </row>
    <row r="1114" spans="1:2">
      <c r="A1114" s="1">
        <v>43574</v>
      </c>
      <c r="B1114">
        <v>2.44</v>
      </c>
    </row>
    <row r="1115" spans="1:2">
      <c r="A1115" s="1">
        <v>43575</v>
      </c>
      <c r="B1115">
        <v>2.44</v>
      </c>
    </row>
    <row r="1116" spans="1:2">
      <c r="A1116" s="1">
        <v>43576</v>
      </c>
      <c r="B1116">
        <v>2.44</v>
      </c>
    </row>
    <row r="1117" spans="1:2">
      <c r="A1117" s="1">
        <v>43577</v>
      </c>
      <c r="B1117">
        <v>2.44</v>
      </c>
    </row>
    <row r="1118" spans="1:2">
      <c r="A1118" s="1">
        <v>43578</v>
      </c>
      <c r="B1118">
        <v>2.44</v>
      </c>
    </row>
    <row r="1119" spans="1:2">
      <c r="A1119" s="1">
        <v>43579</v>
      </c>
      <c r="B1119">
        <v>2.44</v>
      </c>
    </row>
    <row r="1120" spans="1:2">
      <c r="A1120" s="1">
        <v>43580</v>
      </c>
      <c r="B1120">
        <v>2.44</v>
      </c>
    </row>
    <row r="1121" spans="1:2">
      <c r="A1121" s="1">
        <v>43581</v>
      </c>
      <c r="B1121">
        <v>2.44</v>
      </c>
    </row>
    <row r="1122" spans="1:2">
      <c r="A1122" s="1">
        <v>43582</v>
      </c>
      <c r="B1122">
        <v>2.44</v>
      </c>
    </row>
    <row r="1123" spans="1:2">
      <c r="A1123" s="1">
        <v>43583</v>
      </c>
      <c r="B1123">
        <v>2.44</v>
      </c>
    </row>
    <row r="1124" spans="1:2">
      <c r="A1124" s="1">
        <v>43584</v>
      </c>
      <c r="B1124">
        <v>2.4500000000000002</v>
      </c>
    </row>
    <row r="1125" spans="1:2">
      <c r="A1125" s="1">
        <v>43585</v>
      </c>
      <c r="B1125">
        <v>2.4500000000000002</v>
      </c>
    </row>
    <row r="1126" spans="1:2">
      <c r="A1126" s="1">
        <v>43586</v>
      </c>
      <c r="B1126">
        <v>2.4500000000000002</v>
      </c>
    </row>
    <row r="1127" spans="1:2">
      <c r="A1127" s="1">
        <v>43587</v>
      </c>
      <c r="B1127">
        <v>2.41</v>
      </c>
    </row>
    <row r="1128" spans="1:2">
      <c r="A1128" s="1">
        <v>43588</v>
      </c>
      <c r="B1128">
        <v>2.4</v>
      </c>
    </row>
    <row r="1129" spans="1:2">
      <c r="A1129" s="1">
        <v>43589</v>
      </c>
      <c r="B1129">
        <v>2.4</v>
      </c>
    </row>
    <row r="1130" spans="1:2">
      <c r="A1130" s="1">
        <v>43590</v>
      </c>
      <c r="B1130">
        <v>2.4</v>
      </c>
    </row>
    <row r="1131" spans="1:2">
      <c r="A1131" s="1">
        <v>43591</v>
      </c>
      <c r="B1131">
        <v>2.4</v>
      </c>
    </row>
    <row r="1132" spans="1:2">
      <c r="A1132" s="1">
        <v>43592</v>
      </c>
      <c r="B1132">
        <v>2.4</v>
      </c>
    </row>
    <row r="1133" spans="1:2">
      <c r="A1133" s="1">
        <v>43593</v>
      </c>
      <c r="B1133">
        <v>2.39</v>
      </c>
    </row>
    <row r="1134" spans="1:2">
      <c r="A1134" s="1">
        <v>43594</v>
      </c>
      <c r="B1134">
        <v>2.38</v>
      </c>
    </row>
    <row r="1135" spans="1:2">
      <c r="A1135" s="1">
        <v>43595</v>
      </c>
      <c r="B1135">
        <v>2.38</v>
      </c>
    </row>
    <row r="1136" spans="1:2">
      <c r="A1136" s="1">
        <v>43596</v>
      </c>
      <c r="B1136">
        <v>2.38</v>
      </c>
    </row>
    <row r="1137" spans="1:2">
      <c r="A1137" s="1">
        <v>43597</v>
      </c>
      <c r="B1137">
        <v>2.38</v>
      </c>
    </row>
    <row r="1138" spans="1:2">
      <c r="A1138" s="1">
        <v>43598</v>
      </c>
      <c r="B1138">
        <v>2.38</v>
      </c>
    </row>
    <row r="1139" spans="1:2">
      <c r="A1139" s="1">
        <v>43599</v>
      </c>
      <c r="B1139">
        <v>2.38</v>
      </c>
    </row>
    <row r="1140" spans="1:2">
      <c r="A1140" s="1">
        <v>43600</v>
      </c>
      <c r="B1140">
        <v>2.4</v>
      </c>
    </row>
    <row r="1141" spans="1:2">
      <c r="A1141" s="1">
        <v>43601</v>
      </c>
      <c r="B1141">
        <v>2.39</v>
      </c>
    </row>
    <row r="1142" spans="1:2">
      <c r="A1142" s="1">
        <v>43602</v>
      </c>
      <c r="B1142">
        <v>2.39</v>
      </c>
    </row>
    <row r="1143" spans="1:2">
      <c r="A1143" s="1">
        <v>43603</v>
      </c>
      <c r="B1143">
        <v>2.39</v>
      </c>
    </row>
    <row r="1144" spans="1:2">
      <c r="A1144" s="1">
        <v>43604</v>
      </c>
      <c r="B1144">
        <v>2.39</v>
      </c>
    </row>
    <row r="1145" spans="1:2">
      <c r="A1145" s="1">
        <v>43605</v>
      </c>
      <c r="B1145">
        <v>2.39</v>
      </c>
    </row>
    <row r="1146" spans="1:2">
      <c r="A1146" s="1">
        <v>43606</v>
      </c>
      <c r="B1146">
        <v>2.39</v>
      </c>
    </row>
    <row r="1147" spans="1:2">
      <c r="A1147" s="1">
        <v>43607</v>
      </c>
      <c r="B1147">
        <v>2.38</v>
      </c>
    </row>
    <row r="1148" spans="1:2">
      <c r="A1148" s="1">
        <v>43608</v>
      </c>
      <c r="B1148">
        <v>2.38</v>
      </c>
    </row>
    <row r="1149" spans="1:2">
      <c r="A1149" s="1">
        <v>43609</v>
      </c>
      <c r="B1149">
        <v>2.38</v>
      </c>
    </row>
    <row r="1150" spans="1:2">
      <c r="A1150" s="1">
        <v>43610</v>
      </c>
      <c r="B1150">
        <v>2.38</v>
      </c>
    </row>
    <row r="1151" spans="1:2">
      <c r="A1151" s="1">
        <v>43611</v>
      </c>
      <c r="B1151">
        <v>2.38</v>
      </c>
    </row>
    <row r="1152" spans="1:2">
      <c r="A1152" s="1">
        <v>43612</v>
      </c>
      <c r="B1152">
        <v>2.38</v>
      </c>
    </row>
    <row r="1153" spans="1:2">
      <c r="A1153" s="1">
        <v>43613</v>
      </c>
      <c r="B1153">
        <v>2.39</v>
      </c>
    </row>
    <row r="1154" spans="1:2">
      <c r="A1154" s="1">
        <v>43614</v>
      </c>
      <c r="B1154">
        <v>2.39</v>
      </c>
    </row>
    <row r="1155" spans="1:2">
      <c r="A1155" s="1">
        <v>43615</v>
      </c>
      <c r="B1155">
        <v>2.39</v>
      </c>
    </row>
    <row r="1156" spans="1:2">
      <c r="A1156" s="1">
        <v>43616</v>
      </c>
      <c r="B1156">
        <v>2.4</v>
      </c>
    </row>
    <row r="1157" spans="1:2">
      <c r="A1157" s="1">
        <v>43617</v>
      </c>
      <c r="B1157">
        <v>2.4</v>
      </c>
    </row>
    <row r="1158" spans="1:2">
      <c r="A1158" s="1">
        <v>43618</v>
      </c>
      <c r="B1158">
        <v>2.4</v>
      </c>
    </row>
    <row r="1159" spans="1:2">
      <c r="A1159" s="1">
        <v>43619</v>
      </c>
      <c r="B1159">
        <v>2.38</v>
      </c>
    </row>
    <row r="1160" spans="1:2">
      <c r="A1160" s="1">
        <v>43620</v>
      </c>
      <c r="B1160">
        <v>2.38</v>
      </c>
    </row>
    <row r="1161" spans="1:2">
      <c r="A1161" s="1">
        <v>43621</v>
      </c>
      <c r="B1161">
        <v>2.38</v>
      </c>
    </row>
    <row r="1162" spans="1:2">
      <c r="A1162" s="1">
        <v>43622</v>
      </c>
      <c r="B1162">
        <v>2.37</v>
      </c>
    </row>
    <row r="1163" spans="1:2">
      <c r="A1163" s="1">
        <v>43623</v>
      </c>
      <c r="B1163">
        <v>2.37</v>
      </c>
    </row>
    <row r="1164" spans="1:2">
      <c r="A1164" s="1">
        <v>43624</v>
      </c>
      <c r="B1164">
        <v>2.37</v>
      </c>
    </row>
    <row r="1165" spans="1:2">
      <c r="A1165" s="1">
        <v>43625</v>
      </c>
      <c r="B1165">
        <v>2.37</v>
      </c>
    </row>
    <row r="1166" spans="1:2">
      <c r="A1166" s="1">
        <v>43626</v>
      </c>
      <c r="B1166">
        <v>2.37</v>
      </c>
    </row>
    <row r="1167" spans="1:2">
      <c r="A1167" s="1">
        <v>43627</v>
      </c>
      <c r="B1167">
        <v>2.37</v>
      </c>
    </row>
    <row r="1168" spans="1:2">
      <c r="A1168" s="1">
        <v>43628</v>
      </c>
      <c r="B1168">
        <v>2.37</v>
      </c>
    </row>
    <row r="1169" spans="1:2">
      <c r="A1169" s="1">
        <v>43629</v>
      </c>
      <c r="B1169">
        <v>2.37</v>
      </c>
    </row>
    <row r="1170" spans="1:2">
      <c r="A1170" s="1">
        <v>43630</v>
      </c>
      <c r="B1170">
        <v>2.36</v>
      </c>
    </row>
    <row r="1171" spans="1:2">
      <c r="A1171" s="1">
        <v>43631</v>
      </c>
      <c r="B1171">
        <v>2.36</v>
      </c>
    </row>
    <row r="1172" spans="1:2">
      <c r="A1172" s="1">
        <v>43632</v>
      </c>
      <c r="B1172">
        <v>2.36</v>
      </c>
    </row>
    <row r="1173" spans="1:2">
      <c r="A1173" s="1">
        <v>43633</v>
      </c>
      <c r="B1173">
        <v>2.38</v>
      </c>
    </row>
    <row r="1174" spans="1:2">
      <c r="A1174" s="1">
        <v>43634</v>
      </c>
      <c r="B1174">
        <v>2.37</v>
      </c>
    </row>
    <row r="1175" spans="1:2">
      <c r="A1175" s="1">
        <v>43635</v>
      </c>
      <c r="B1175">
        <v>2.37</v>
      </c>
    </row>
    <row r="1176" spans="1:2">
      <c r="A1176" s="1">
        <v>43636</v>
      </c>
      <c r="B1176">
        <v>2.37</v>
      </c>
    </row>
    <row r="1177" spans="1:2">
      <c r="A1177" s="1">
        <v>43637</v>
      </c>
      <c r="B1177">
        <v>2.38</v>
      </c>
    </row>
    <row r="1178" spans="1:2">
      <c r="A1178" s="1">
        <v>43638</v>
      </c>
      <c r="B1178">
        <v>2.38</v>
      </c>
    </row>
    <row r="1179" spans="1:2">
      <c r="A1179" s="1">
        <v>43639</v>
      </c>
      <c r="B1179">
        <v>2.38</v>
      </c>
    </row>
    <row r="1180" spans="1:2">
      <c r="A1180" s="1">
        <v>43640</v>
      </c>
      <c r="B1180">
        <v>2.38</v>
      </c>
    </row>
    <row r="1181" spans="1:2">
      <c r="A1181" s="1">
        <v>43641</v>
      </c>
      <c r="B1181">
        <v>2.38</v>
      </c>
    </row>
    <row r="1182" spans="1:2">
      <c r="A1182" s="1">
        <v>43642</v>
      </c>
      <c r="B1182">
        <v>2.38</v>
      </c>
    </row>
    <row r="1183" spans="1:2">
      <c r="A1183" s="1">
        <v>43643</v>
      </c>
      <c r="B1183">
        <v>2.38</v>
      </c>
    </row>
    <row r="1184" spans="1:2">
      <c r="A1184" s="1">
        <v>43644</v>
      </c>
      <c r="B1184">
        <v>2.4</v>
      </c>
    </row>
    <row r="1185" spans="1:2">
      <c r="A1185" s="1">
        <v>43645</v>
      </c>
      <c r="B1185">
        <v>2.4</v>
      </c>
    </row>
    <row r="1186" spans="1:2">
      <c r="A1186" s="1">
        <v>43646</v>
      </c>
      <c r="B1186">
        <v>2.4</v>
      </c>
    </row>
    <row r="1187" spans="1:2">
      <c r="A1187" s="1">
        <v>43647</v>
      </c>
      <c r="B1187">
        <v>2.39</v>
      </c>
    </row>
    <row r="1188" spans="1:2">
      <c r="A1188" s="1">
        <v>43648</v>
      </c>
      <c r="B1188">
        <v>2.4</v>
      </c>
    </row>
    <row r="1189" spans="1:2">
      <c r="A1189" s="1">
        <v>43649</v>
      </c>
      <c r="B1189">
        <v>2.41</v>
      </c>
    </row>
    <row r="1190" spans="1:2">
      <c r="A1190" s="1">
        <v>43650</v>
      </c>
      <c r="B1190">
        <v>2.41</v>
      </c>
    </row>
    <row r="1191" spans="1:2">
      <c r="A1191" s="1">
        <v>43651</v>
      </c>
      <c r="B1191">
        <v>2.42</v>
      </c>
    </row>
    <row r="1192" spans="1:2">
      <c r="A1192" s="1">
        <v>43652</v>
      </c>
      <c r="B1192">
        <v>2.42</v>
      </c>
    </row>
    <row r="1193" spans="1:2">
      <c r="A1193" s="1">
        <v>43653</v>
      </c>
      <c r="B1193">
        <v>2.42</v>
      </c>
    </row>
    <row r="1194" spans="1:2">
      <c r="A1194" s="1">
        <v>43654</v>
      </c>
      <c r="B1194">
        <v>2.41</v>
      </c>
    </row>
    <row r="1195" spans="1:2">
      <c r="A1195" s="1">
        <v>43655</v>
      </c>
      <c r="B1195">
        <v>2.41</v>
      </c>
    </row>
    <row r="1196" spans="1:2">
      <c r="A1196" s="1">
        <v>43656</v>
      </c>
      <c r="B1196">
        <v>2.41</v>
      </c>
    </row>
    <row r="1197" spans="1:2">
      <c r="A1197" s="1">
        <v>43657</v>
      </c>
      <c r="B1197">
        <v>2.4</v>
      </c>
    </row>
    <row r="1198" spans="1:2">
      <c r="A1198" s="1">
        <v>43658</v>
      </c>
      <c r="B1198">
        <v>2.38</v>
      </c>
    </row>
    <row r="1199" spans="1:2">
      <c r="A1199" s="1">
        <v>43659</v>
      </c>
      <c r="B1199">
        <v>2.38</v>
      </c>
    </row>
    <row r="1200" spans="1:2">
      <c r="A1200" s="1">
        <v>43660</v>
      </c>
      <c r="B1200">
        <v>2.38</v>
      </c>
    </row>
    <row r="1201" spans="1:2">
      <c r="A1201" s="1">
        <v>43661</v>
      </c>
      <c r="B1201">
        <v>2.4</v>
      </c>
    </row>
    <row r="1202" spans="1:2">
      <c r="A1202" s="1">
        <v>43662</v>
      </c>
      <c r="B1202">
        <v>2.41</v>
      </c>
    </row>
    <row r="1203" spans="1:2">
      <c r="A1203" s="1">
        <v>43663</v>
      </c>
      <c r="B1203">
        <v>2.41</v>
      </c>
    </row>
    <row r="1204" spans="1:2">
      <c r="A1204" s="1">
        <v>43664</v>
      </c>
      <c r="B1204">
        <v>2.41</v>
      </c>
    </row>
    <row r="1205" spans="1:2">
      <c r="A1205" s="1">
        <v>43665</v>
      </c>
      <c r="B1205">
        <v>2.41</v>
      </c>
    </row>
    <row r="1206" spans="1:2">
      <c r="A1206" s="1">
        <v>43666</v>
      </c>
      <c r="B1206">
        <v>2.41</v>
      </c>
    </row>
    <row r="1207" spans="1:2">
      <c r="A1207" s="1">
        <v>43667</v>
      </c>
      <c r="B1207">
        <v>2.41</v>
      </c>
    </row>
    <row r="1208" spans="1:2">
      <c r="A1208" s="1">
        <v>43668</v>
      </c>
      <c r="B1208">
        <v>2.4</v>
      </c>
    </row>
    <row r="1209" spans="1:2">
      <c r="A1209" s="1">
        <v>43669</v>
      </c>
      <c r="B1209">
        <v>2.4</v>
      </c>
    </row>
    <row r="1210" spans="1:2">
      <c r="A1210" s="1">
        <v>43670</v>
      </c>
      <c r="B1210">
        <v>2.4</v>
      </c>
    </row>
    <row r="1211" spans="1:2">
      <c r="A1211" s="1">
        <v>43671</v>
      </c>
      <c r="B1211">
        <v>2.4</v>
      </c>
    </row>
    <row r="1212" spans="1:2">
      <c r="A1212" s="1">
        <v>43672</v>
      </c>
      <c r="B1212">
        <v>2.4</v>
      </c>
    </row>
    <row r="1213" spans="1:2">
      <c r="A1213" s="1">
        <v>43673</v>
      </c>
      <c r="B1213">
        <v>2.4</v>
      </c>
    </row>
    <row r="1214" spans="1:2">
      <c r="A1214" s="1">
        <v>43674</v>
      </c>
      <c r="B1214">
        <v>2.4</v>
      </c>
    </row>
    <row r="1215" spans="1:2">
      <c r="A1215" s="1">
        <v>43675</v>
      </c>
      <c r="B1215">
        <v>2.4</v>
      </c>
    </row>
    <row r="1216" spans="1:2">
      <c r="A1216" s="1">
        <v>43676</v>
      </c>
      <c r="B1216">
        <v>2.39</v>
      </c>
    </row>
    <row r="1217" spans="1:2">
      <c r="A1217" s="1">
        <v>43677</v>
      </c>
      <c r="B1217">
        <v>2.4</v>
      </c>
    </row>
    <row r="1218" spans="1:2">
      <c r="A1218" s="1">
        <v>43678</v>
      </c>
      <c r="B1218">
        <v>2.14</v>
      </c>
    </row>
    <row r="1219" spans="1:2">
      <c r="A1219" s="1">
        <v>43679</v>
      </c>
      <c r="B1219">
        <v>2.14</v>
      </c>
    </row>
    <row r="1220" spans="1:2">
      <c r="A1220" s="1">
        <v>43680</v>
      </c>
      <c r="B1220">
        <v>2.14</v>
      </c>
    </row>
    <row r="1221" spans="1:2">
      <c r="A1221" s="1">
        <v>43681</v>
      </c>
      <c r="B1221">
        <v>2.14</v>
      </c>
    </row>
    <row r="1222" spans="1:2">
      <c r="A1222" s="1">
        <v>43682</v>
      </c>
      <c r="B1222">
        <v>2.13</v>
      </c>
    </row>
    <row r="1223" spans="1:2">
      <c r="A1223" s="1">
        <v>43683</v>
      </c>
      <c r="B1223">
        <v>2.13</v>
      </c>
    </row>
    <row r="1224" spans="1:2">
      <c r="A1224" s="1">
        <v>43684</v>
      </c>
      <c r="B1224">
        <v>2.12</v>
      </c>
    </row>
    <row r="1225" spans="1:2">
      <c r="A1225" s="1">
        <v>43685</v>
      </c>
      <c r="B1225">
        <v>2.12</v>
      </c>
    </row>
    <row r="1226" spans="1:2">
      <c r="A1226" s="1">
        <v>43686</v>
      </c>
      <c r="B1226">
        <v>2.12</v>
      </c>
    </row>
    <row r="1227" spans="1:2">
      <c r="A1227" s="1">
        <v>43687</v>
      </c>
      <c r="B1227">
        <v>2.12</v>
      </c>
    </row>
    <row r="1228" spans="1:2">
      <c r="A1228" s="1">
        <v>43688</v>
      </c>
      <c r="B1228">
        <v>2.12</v>
      </c>
    </row>
    <row r="1229" spans="1:2">
      <c r="A1229" s="1">
        <v>43689</v>
      </c>
      <c r="B1229">
        <v>2.12</v>
      </c>
    </row>
    <row r="1230" spans="1:2">
      <c r="A1230" s="1">
        <v>43690</v>
      </c>
      <c r="B1230">
        <v>2.12</v>
      </c>
    </row>
    <row r="1231" spans="1:2">
      <c r="A1231" s="1">
        <v>43691</v>
      </c>
      <c r="B1231">
        <v>2.12</v>
      </c>
    </row>
    <row r="1232" spans="1:2">
      <c r="A1232" s="1">
        <v>43692</v>
      </c>
      <c r="B1232">
        <v>2.13</v>
      </c>
    </row>
    <row r="1233" spans="1:2">
      <c r="A1233" s="1">
        <v>43693</v>
      </c>
      <c r="B1233">
        <v>2.13</v>
      </c>
    </row>
    <row r="1234" spans="1:2">
      <c r="A1234" s="1">
        <v>43694</v>
      </c>
      <c r="B1234">
        <v>2.13</v>
      </c>
    </row>
    <row r="1235" spans="1:2">
      <c r="A1235" s="1">
        <v>43695</v>
      </c>
      <c r="B1235">
        <v>2.13</v>
      </c>
    </row>
    <row r="1236" spans="1:2">
      <c r="A1236" s="1">
        <v>43696</v>
      </c>
      <c r="B1236">
        <v>2.13</v>
      </c>
    </row>
    <row r="1237" spans="1:2">
      <c r="A1237" s="1">
        <v>43697</v>
      </c>
      <c r="B1237">
        <v>2.13</v>
      </c>
    </row>
    <row r="1238" spans="1:2">
      <c r="A1238" s="1">
        <v>43698</v>
      </c>
      <c r="B1238">
        <v>2.12</v>
      </c>
    </row>
    <row r="1239" spans="1:2">
      <c r="A1239" s="1">
        <v>43699</v>
      </c>
      <c r="B1239">
        <v>2.12</v>
      </c>
    </row>
    <row r="1240" spans="1:2">
      <c r="A1240" s="1">
        <v>43700</v>
      </c>
      <c r="B1240">
        <v>2.12</v>
      </c>
    </row>
    <row r="1241" spans="1:2">
      <c r="A1241" s="1">
        <v>43701</v>
      </c>
      <c r="B1241">
        <v>2.12</v>
      </c>
    </row>
    <row r="1242" spans="1:2">
      <c r="A1242" s="1">
        <v>43702</v>
      </c>
      <c r="B1242">
        <v>2.12</v>
      </c>
    </row>
    <row r="1243" spans="1:2">
      <c r="A1243" s="1">
        <v>43703</v>
      </c>
      <c r="B1243">
        <v>2.12</v>
      </c>
    </row>
    <row r="1244" spans="1:2">
      <c r="A1244" s="1">
        <v>43704</v>
      </c>
      <c r="B1244">
        <v>2.12</v>
      </c>
    </row>
    <row r="1245" spans="1:2">
      <c r="A1245" s="1">
        <v>43705</v>
      </c>
      <c r="B1245">
        <v>2.12</v>
      </c>
    </row>
    <row r="1246" spans="1:2">
      <c r="A1246" s="1">
        <v>43706</v>
      </c>
      <c r="B1246">
        <v>2.12</v>
      </c>
    </row>
    <row r="1247" spans="1:2">
      <c r="A1247" s="1">
        <v>43707</v>
      </c>
      <c r="B1247">
        <v>2.13</v>
      </c>
    </row>
    <row r="1248" spans="1:2">
      <c r="A1248" s="1">
        <v>43708</v>
      </c>
      <c r="B1248">
        <v>2.13</v>
      </c>
    </row>
    <row r="1249" spans="1:2">
      <c r="A1249" s="1">
        <v>43709</v>
      </c>
      <c r="B1249">
        <v>2.13</v>
      </c>
    </row>
    <row r="1250" spans="1:2">
      <c r="A1250" s="1">
        <v>43710</v>
      </c>
      <c r="B1250">
        <v>2.13</v>
      </c>
    </row>
    <row r="1251" spans="1:2">
      <c r="A1251" s="1">
        <v>43711</v>
      </c>
      <c r="B1251">
        <v>2.13</v>
      </c>
    </row>
    <row r="1252" spans="1:2">
      <c r="A1252" s="1">
        <v>43712</v>
      </c>
      <c r="B1252">
        <v>2.13</v>
      </c>
    </row>
    <row r="1253" spans="1:2">
      <c r="A1253" s="1">
        <v>43713</v>
      </c>
      <c r="B1253">
        <v>2.13</v>
      </c>
    </row>
    <row r="1254" spans="1:2">
      <c r="A1254" s="1">
        <v>43714</v>
      </c>
      <c r="B1254">
        <v>2.12</v>
      </c>
    </row>
    <row r="1255" spans="1:2">
      <c r="A1255" s="1">
        <v>43715</v>
      </c>
      <c r="B1255">
        <v>2.12</v>
      </c>
    </row>
    <row r="1256" spans="1:2">
      <c r="A1256" s="1">
        <v>43716</v>
      </c>
      <c r="B1256">
        <v>2.12</v>
      </c>
    </row>
    <row r="1257" spans="1:2">
      <c r="A1257" s="1">
        <v>43717</v>
      </c>
      <c r="B1257">
        <v>2.13</v>
      </c>
    </row>
    <row r="1258" spans="1:2">
      <c r="A1258" s="1">
        <v>43718</v>
      </c>
      <c r="B1258">
        <v>2.13</v>
      </c>
    </row>
    <row r="1259" spans="1:2">
      <c r="A1259" s="1">
        <v>43719</v>
      </c>
      <c r="B1259">
        <v>2.13</v>
      </c>
    </row>
    <row r="1260" spans="1:2">
      <c r="A1260" s="1">
        <v>43720</v>
      </c>
      <c r="B1260">
        <v>2.13</v>
      </c>
    </row>
    <row r="1261" spans="1:2">
      <c r="A1261" s="1">
        <v>43721</v>
      </c>
      <c r="B1261">
        <v>2.14</v>
      </c>
    </row>
    <row r="1262" spans="1:2">
      <c r="A1262" s="1">
        <v>43722</v>
      </c>
      <c r="B1262">
        <v>2.14</v>
      </c>
    </row>
    <row r="1263" spans="1:2">
      <c r="A1263" s="1">
        <v>43723</v>
      </c>
      <c r="B1263">
        <v>2.14</v>
      </c>
    </row>
    <row r="1264" spans="1:2">
      <c r="A1264" s="1">
        <v>43724</v>
      </c>
      <c r="B1264">
        <v>2.25</v>
      </c>
    </row>
    <row r="1265" spans="1:2">
      <c r="A1265" s="1">
        <v>43725</v>
      </c>
      <c r="B1265">
        <v>2.2999999999999998</v>
      </c>
    </row>
    <row r="1266" spans="1:2">
      <c r="A1266" s="1">
        <v>43726</v>
      </c>
      <c r="B1266">
        <v>2.25</v>
      </c>
    </row>
    <row r="1267" spans="1:2">
      <c r="A1267" s="1">
        <v>43727</v>
      </c>
      <c r="B1267">
        <v>1.9</v>
      </c>
    </row>
    <row r="1268" spans="1:2">
      <c r="A1268" s="1">
        <v>43728</v>
      </c>
      <c r="B1268">
        <v>1.9</v>
      </c>
    </row>
    <row r="1269" spans="1:2">
      <c r="A1269" s="1">
        <v>43729</v>
      </c>
      <c r="B1269">
        <v>1.9</v>
      </c>
    </row>
    <row r="1270" spans="1:2">
      <c r="A1270" s="1">
        <v>43730</v>
      </c>
      <c r="B1270">
        <v>1.9</v>
      </c>
    </row>
    <row r="1271" spans="1:2">
      <c r="A1271" s="1">
        <v>43731</v>
      </c>
      <c r="B1271">
        <v>1.9</v>
      </c>
    </row>
    <row r="1272" spans="1:2">
      <c r="A1272" s="1">
        <v>43732</v>
      </c>
      <c r="B1272">
        <v>1.9</v>
      </c>
    </row>
    <row r="1273" spans="1:2">
      <c r="A1273" s="1">
        <v>43733</v>
      </c>
      <c r="B1273">
        <v>1.9</v>
      </c>
    </row>
    <row r="1274" spans="1:2">
      <c r="A1274" s="1">
        <v>43734</v>
      </c>
      <c r="B1274">
        <v>1.85</v>
      </c>
    </row>
    <row r="1275" spans="1:2">
      <c r="A1275" s="1">
        <v>43735</v>
      </c>
      <c r="B1275">
        <v>1.83</v>
      </c>
    </row>
    <row r="1276" spans="1:2">
      <c r="A1276" s="1">
        <v>43736</v>
      </c>
      <c r="B1276">
        <v>1.83</v>
      </c>
    </row>
    <row r="1277" spans="1:2">
      <c r="A1277" s="1">
        <v>43737</v>
      </c>
      <c r="B1277">
        <v>1.83</v>
      </c>
    </row>
    <row r="1278" spans="1:2">
      <c r="A1278" s="1">
        <v>43738</v>
      </c>
      <c r="B1278">
        <v>1.9</v>
      </c>
    </row>
    <row r="1279" spans="1:2">
      <c r="A1279" s="1">
        <v>43739</v>
      </c>
      <c r="B1279">
        <v>1.88</v>
      </c>
    </row>
    <row r="1280" spans="1:2">
      <c r="A1280" s="1">
        <v>43740</v>
      </c>
      <c r="B1280">
        <v>1.85</v>
      </c>
    </row>
    <row r="1281" spans="1:2">
      <c r="A1281" s="1">
        <v>43741</v>
      </c>
      <c r="B1281">
        <v>1.83</v>
      </c>
    </row>
    <row r="1282" spans="1:2">
      <c r="A1282" s="1">
        <v>43742</v>
      </c>
      <c r="B1282">
        <v>1.82</v>
      </c>
    </row>
    <row r="1283" spans="1:2">
      <c r="A1283" s="1">
        <v>43743</v>
      </c>
      <c r="B1283">
        <v>1.82</v>
      </c>
    </row>
    <row r="1284" spans="1:2">
      <c r="A1284" s="1">
        <v>43744</v>
      </c>
      <c r="B1284">
        <v>1.82</v>
      </c>
    </row>
    <row r="1285" spans="1:2">
      <c r="A1285" s="1">
        <v>43745</v>
      </c>
      <c r="B1285">
        <v>1.82</v>
      </c>
    </row>
    <row r="1286" spans="1:2">
      <c r="A1286" s="1">
        <v>43746</v>
      </c>
      <c r="B1286">
        <v>1.82</v>
      </c>
    </row>
    <row r="1287" spans="1:2">
      <c r="A1287" s="1">
        <v>43747</v>
      </c>
      <c r="B1287">
        <v>1.82</v>
      </c>
    </row>
    <row r="1288" spans="1:2">
      <c r="A1288" s="1">
        <v>43748</v>
      </c>
      <c r="B1288">
        <v>1.82</v>
      </c>
    </row>
    <row r="1289" spans="1:2">
      <c r="A1289" s="1">
        <v>43749</v>
      </c>
      <c r="B1289">
        <v>1.82</v>
      </c>
    </row>
    <row r="1290" spans="1:2">
      <c r="A1290" s="1">
        <v>43750</v>
      </c>
      <c r="B1290">
        <v>1.82</v>
      </c>
    </row>
    <row r="1291" spans="1:2">
      <c r="A1291" s="1">
        <v>43751</v>
      </c>
      <c r="B1291">
        <v>1.82</v>
      </c>
    </row>
    <row r="1292" spans="1:2">
      <c r="A1292" s="1">
        <v>43752</v>
      </c>
      <c r="B1292">
        <v>1.82</v>
      </c>
    </row>
    <row r="1293" spans="1:2">
      <c r="A1293" s="1">
        <v>43753</v>
      </c>
      <c r="B1293">
        <v>1.9</v>
      </c>
    </row>
    <row r="1294" spans="1:2">
      <c r="A1294" s="1">
        <v>43754</v>
      </c>
      <c r="B1294">
        <v>1.9</v>
      </c>
    </row>
    <row r="1295" spans="1:2">
      <c r="A1295" s="1">
        <v>43755</v>
      </c>
      <c r="B1295">
        <v>1.85</v>
      </c>
    </row>
    <row r="1296" spans="1:2">
      <c r="A1296" s="1">
        <v>43756</v>
      </c>
      <c r="B1296">
        <v>1.85</v>
      </c>
    </row>
    <row r="1297" spans="1:2">
      <c r="A1297" s="1">
        <v>43757</v>
      </c>
      <c r="B1297">
        <v>1.85</v>
      </c>
    </row>
    <row r="1298" spans="1:2">
      <c r="A1298" s="1">
        <v>43758</v>
      </c>
      <c r="B1298">
        <v>1.85</v>
      </c>
    </row>
    <row r="1299" spans="1:2">
      <c r="A1299" s="1">
        <v>43759</v>
      </c>
      <c r="B1299">
        <v>1.85</v>
      </c>
    </row>
    <row r="1300" spans="1:2">
      <c r="A1300" s="1">
        <v>43760</v>
      </c>
      <c r="B1300">
        <v>1.85</v>
      </c>
    </row>
    <row r="1301" spans="1:2">
      <c r="A1301" s="1">
        <v>43761</v>
      </c>
      <c r="B1301">
        <v>1.85</v>
      </c>
    </row>
    <row r="1302" spans="1:2">
      <c r="A1302" s="1">
        <v>43762</v>
      </c>
      <c r="B1302">
        <v>1.85</v>
      </c>
    </row>
    <row r="1303" spans="1:2">
      <c r="A1303" s="1">
        <v>43763</v>
      </c>
      <c r="B1303">
        <v>1.83</v>
      </c>
    </row>
    <row r="1304" spans="1:2">
      <c r="A1304" s="1">
        <v>43764</v>
      </c>
      <c r="B1304">
        <v>1.83</v>
      </c>
    </row>
    <row r="1305" spans="1:2">
      <c r="A1305" s="1">
        <v>43765</v>
      </c>
      <c r="B1305">
        <v>1.83</v>
      </c>
    </row>
    <row r="1306" spans="1:2">
      <c r="A1306" s="1">
        <v>43766</v>
      </c>
      <c r="B1306">
        <v>1.83</v>
      </c>
    </row>
    <row r="1307" spans="1:2">
      <c r="A1307" s="1">
        <v>43767</v>
      </c>
      <c r="B1307">
        <v>1.82</v>
      </c>
    </row>
    <row r="1308" spans="1:2">
      <c r="A1308" s="1">
        <v>43768</v>
      </c>
      <c r="B1308">
        <v>1.82</v>
      </c>
    </row>
    <row r="1309" spans="1:2">
      <c r="A1309" s="1">
        <v>43769</v>
      </c>
      <c r="B1309">
        <v>1.58</v>
      </c>
    </row>
    <row r="1310" spans="1:2">
      <c r="A1310" s="1">
        <v>43770</v>
      </c>
      <c r="B1310">
        <v>1.57</v>
      </c>
    </row>
    <row r="1311" spans="1:2">
      <c r="A1311" s="1">
        <v>43771</v>
      </c>
      <c r="B1311">
        <v>1.57</v>
      </c>
    </row>
    <row r="1312" spans="1:2">
      <c r="A1312" s="1">
        <v>43772</v>
      </c>
      <c r="B1312">
        <v>1.57</v>
      </c>
    </row>
    <row r="1313" spans="1:2">
      <c r="A1313" s="1">
        <v>43773</v>
      </c>
      <c r="B1313">
        <v>1.56</v>
      </c>
    </row>
    <row r="1314" spans="1:2">
      <c r="A1314" s="1">
        <v>43774</v>
      </c>
      <c r="B1314">
        <v>1.56</v>
      </c>
    </row>
    <row r="1315" spans="1:2">
      <c r="A1315" s="1">
        <v>43775</v>
      </c>
      <c r="B1315">
        <v>1.55</v>
      </c>
    </row>
    <row r="1316" spans="1:2">
      <c r="A1316" s="1">
        <v>43776</v>
      </c>
      <c r="B1316">
        <v>1.55</v>
      </c>
    </row>
    <row r="1317" spans="1:2">
      <c r="A1317" s="1">
        <v>43777</v>
      </c>
      <c r="B1317">
        <v>1.55</v>
      </c>
    </row>
    <row r="1318" spans="1:2">
      <c r="A1318" s="1">
        <v>43778</v>
      </c>
      <c r="B1318">
        <v>1.55</v>
      </c>
    </row>
    <row r="1319" spans="1:2">
      <c r="A1319" s="1">
        <v>43779</v>
      </c>
      <c r="B1319">
        <v>1.55</v>
      </c>
    </row>
    <row r="1320" spans="1:2">
      <c r="A1320" s="1">
        <v>43780</v>
      </c>
      <c r="B1320">
        <v>1.55</v>
      </c>
    </row>
    <row r="1321" spans="1:2">
      <c r="A1321" s="1">
        <v>43781</v>
      </c>
      <c r="B1321">
        <v>1.55</v>
      </c>
    </row>
    <row r="1322" spans="1:2">
      <c r="A1322" s="1">
        <v>43782</v>
      </c>
      <c r="B1322">
        <v>1.55</v>
      </c>
    </row>
    <row r="1323" spans="1:2">
      <c r="A1323" s="1">
        <v>43783</v>
      </c>
      <c r="B1323">
        <v>1.55</v>
      </c>
    </row>
    <row r="1324" spans="1:2">
      <c r="A1324" s="1">
        <v>43784</v>
      </c>
      <c r="B1324">
        <v>1.55</v>
      </c>
    </row>
    <row r="1325" spans="1:2">
      <c r="A1325" s="1">
        <v>43785</v>
      </c>
      <c r="B1325">
        <v>1.55</v>
      </c>
    </row>
    <row r="1326" spans="1:2">
      <c r="A1326" s="1">
        <v>43786</v>
      </c>
      <c r="B1326">
        <v>1.55</v>
      </c>
    </row>
    <row r="1327" spans="1:2">
      <c r="A1327" s="1">
        <v>43787</v>
      </c>
      <c r="B1327">
        <v>1.55</v>
      </c>
    </row>
    <row r="1328" spans="1:2">
      <c r="A1328" s="1">
        <v>43788</v>
      </c>
      <c r="B1328">
        <v>1.55</v>
      </c>
    </row>
    <row r="1329" spans="1:2">
      <c r="A1329" s="1">
        <v>43789</v>
      </c>
      <c r="B1329">
        <v>1.55</v>
      </c>
    </row>
    <row r="1330" spans="1:2">
      <c r="A1330" s="1">
        <v>43790</v>
      </c>
      <c r="B1330">
        <v>1.55</v>
      </c>
    </row>
    <row r="1331" spans="1:2">
      <c r="A1331" s="1">
        <v>43791</v>
      </c>
      <c r="B1331">
        <v>1.55</v>
      </c>
    </row>
    <row r="1332" spans="1:2">
      <c r="A1332" s="1">
        <v>43792</v>
      </c>
      <c r="B1332">
        <v>1.55</v>
      </c>
    </row>
    <row r="1333" spans="1:2">
      <c r="A1333" s="1">
        <v>43793</v>
      </c>
      <c r="B1333">
        <v>1.55</v>
      </c>
    </row>
    <row r="1334" spans="1:2">
      <c r="A1334" s="1">
        <v>43794</v>
      </c>
      <c r="B1334">
        <v>1.55</v>
      </c>
    </row>
    <row r="1335" spans="1:2">
      <c r="A1335" s="1">
        <v>43795</v>
      </c>
      <c r="B1335">
        <v>1.55</v>
      </c>
    </row>
    <row r="1336" spans="1:2">
      <c r="A1336" s="1">
        <v>43796</v>
      </c>
      <c r="B1336">
        <v>1.55</v>
      </c>
    </row>
    <row r="1337" spans="1:2">
      <c r="A1337" s="1">
        <v>43797</v>
      </c>
      <c r="B1337">
        <v>1.55</v>
      </c>
    </row>
    <row r="1338" spans="1:2">
      <c r="A1338" s="1">
        <v>43798</v>
      </c>
      <c r="B1338">
        <v>1.56</v>
      </c>
    </row>
    <row r="1339" spans="1:2">
      <c r="A1339" s="1">
        <v>43799</v>
      </c>
      <c r="B1339">
        <v>1.56</v>
      </c>
    </row>
    <row r="1340" spans="1:2">
      <c r="A1340" s="1">
        <v>43800</v>
      </c>
      <c r="B1340">
        <v>1.56</v>
      </c>
    </row>
    <row r="1341" spans="1:2">
      <c r="A1341" s="1">
        <v>43801</v>
      </c>
      <c r="B1341">
        <v>1.56</v>
      </c>
    </row>
    <row r="1342" spans="1:2">
      <c r="A1342" s="1">
        <v>43802</v>
      </c>
      <c r="B1342">
        <v>1.55</v>
      </c>
    </row>
    <row r="1343" spans="1:2">
      <c r="A1343" s="1">
        <v>43803</v>
      </c>
      <c r="B1343">
        <v>1.55</v>
      </c>
    </row>
    <row r="1344" spans="1:2">
      <c r="A1344" s="1">
        <v>43804</v>
      </c>
      <c r="B1344">
        <v>1.55</v>
      </c>
    </row>
    <row r="1345" spans="1:2">
      <c r="A1345" s="1">
        <v>43805</v>
      </c>
      <c r="B1345">
        <v>1.55</v>
      </c>
    </row>
    <row r="1346" spans="1:2">
      <c r="A1346" s="1">
        <v>43806</v>
      </c>
      <c r="B1346">
        <v>1.55</v>
      </c>
    </row>
    <row r="1347" spans="1:2">
      <c r="A1347" s="1">
        <v>43807</v>
      </c>
      <c r="B1347">
        <v>1.55</v>
      </c>
    </row>
    <row r="1348" spans="1:2">
      <c r="A1348" s="1">
        <v>43808</v>
      </c>
      <c r="B1348">
        <v>1.55</v>
      </c>
    </row>
    <row r="1349" spans="1:2">
      <c r="A1349" s="1">
        <v>43809</v>
      </c>
      <c r="B1349">
        <v>1.55</v>
      </c>
    </row>
    <row r="1350" spans="1:2">
      <c r="A1350" s="1">
        <v>43810</v>
      </c>
      <c r="B1350">
        <v>1.55</v>
      </c>
    </row>
    <row r="1351" spans="1:2">
      <c r="A1351" s="1">
        <v>43811</v>
      </c>
      <c r="B1351">
        <v>1.55</v>
      </c>
    </row>
    <row r="1352" spans="1:2">
      <c r="A1352" s="1">
        <v>43812</v>
      </c>
      <c r="B1352">
        <v>1.55</v>
      </c>
    </row>
    <row r="1353" spans="1:2">
      <c r="A1353" s="1">
        <v>43813</v>
      </c>
      <c r="B1353">
        <v>1.55</v>
      </c>
    </row>
    <row r="1354" spans="1:2">
      <c r="A1354" s="1">
        <v>43814</v>
      </c>
      <c r="B1354">
        <v>1.55</v>
      </c>
    </row>
    <row r="1355" spans="1:2">
      <c r="A1355" s="1">
        <v>43815</v>
      </c>
      <c r="B1355">
        <v>1.56</v>
      </c>
    </row>
    <row r="1356" spans="1:2">
      <c r="A1356" s="1">
        <v>43816</v>
      </c>
      <c r="B1356">
        <v>1.55</v>
      </c>
    </row>
    <row r="1357" spans="1:2">
      <c r="A1357" s="1">
        <v>43817</v>
      </c>
      <c r="B1357">
        <v>1.55</v>
      </c>
    </row>
    <row r="1358" spans="1:2">
      <c r="A1358" s="1">
        <v>43818</v>
      </c>
      <c r="B1358">
        <v>1.55</v>
      </c>
    </row>
    <row r="1359" spans="1:2">
      <c r="A1359" s="1">
        <v>43819</v>
      </c>
      <c r="B1359">
        <v>1.55</v>
      </c>
    </row>
    <row r="1360" spans="1:2">
      <c r="A1360" s="1">
        <v>43820</v>
      </c>
      <c r="B1360">
        <v>1.55</v>
      </c>
    </row>
    <row r="1361" spans="1:2">
      <c r="A1361" s="1">
        <v>43821</v>
      </c>
      <c r="B1361">
        <v>1.55</v>
      </c>
    </row>
    <row r="1362" spans="1:2">
      <c r="A1362" s="1">
        <v>43822</v>
      </c>
      <c r="B1362">
        <v>1.55</v>
      </c>
    </row>
    <row r="1363" spans="1:2">
      <c r="A1363" s="1">
        <v>43823</v>
      </c>
      <c r="B1363">
        <v>1.55</v>
      </c>
    </row>
    <row r="1364" spans="1:2">
      <c r="A1364" s="1">
        <v>43824</v>
      </c>
      <c r="B1364">
        <v>1.55</v>
      </c>
    </row>
    <row r="1365" spans="1:2">
      <c r="A1365" s="1">
        <v>43825</v>
      </c>
      <c r="B1365">
        <v>1.55</v>
      </c>
    </row>
    <row r="1366" spans="1:2">
      <c r="A1366" s="1">
        <v>43826</v>
      </c>
      <c r="B1366">
        <v>1.55</v>
      </c>
    </row>
    <row r="1367" spans="1:2">
      <c r="A1367" s="1">
        <v>43827</v>
      </c>
      <c r="B1367">
        <v>1.55</v>
      </c>
    </row>
    <row r="1368" spans="1:2">
      <c r="A1368" s="1">
        <v>43828</v>
      </c>
      <c r="B1368">
        <v>1.55</v>
      </c>
    </row>
    <row r="1369" spans="1:2">
      <c r="A1369" s="1">
        <v>43829</v>
      </c>
      <c r="B1369">
        <v>1.55</v>
      </c>
    </row>
    <row r="1370" spans="1:2">
      <c r="A1370" s="1">
        <v>43830</v>
      </c>
      <c r="B1370">
        <v>1.55</v>
      </c>
    </row>
    <row r="1371" spans="1:2">
      <c r="A1371" s="1">
        <v>43831</v>
      </c>
      <c r="B1371">
        <v>1.55</v>
      </c>
    </row>
    <row r="1372" spans="1:2">
      <c r="A1372" s="1">
        <v>43832</v>
      </c>
      <c r="B1372">
        <v>1.55</v>
      </c>
    </row>
    <row r="1373" spans="1:2">
      <c r="A1373" s="1">
        <v>43833</v>
      </c>
      <c r="B1373">
        <v>1.55</v>
      </c>
    </row>
    <row r="1374" spans="1:2">
      <c r="A1374" s="1">
        <v>43834</v>
      </c>
      <c r="B1374">
        <v>1.55</v>
      </c>
    </row>
    <row r="1375" spans="1:2">
      <c r="A1375" s="1">
        <v>43835</v>
      </c>
      <c r="B1375">
        <v>1.55</v>
      </c>
    </row>
    <row r="1376" spans="1:2">
      <c r="A1376" s="1">
        <v>43836</v>
      </c>
      <c r="B1376">
        <v>1.55</v>
      </c>
    </row>
    <row r="1377" spans="1:2">
      <c r="A1377" s="1">
        <v>43837</v>
      </c>
      <c r="B1377">
        <v>1.55</v>
      </c>
    </row>
    <row r="1378" spans="1:2">
      <c r="A1378" s="1">
        <v>43838</v>
      </c>
      <c r="B1378">
        <v>1.55</v>
      </c>
    </row>
    <row r="1379" spans="1:2">
      <c r="A1379" s="1">
        <v>43839</v>
      </c>
      <c r="B1379">
        <v>1.55</v>
      </c>
    </row>
    <row r="1380" spans="1:2">
      <c r="A1380" s="1">
        <v>43840</v>
      </c>
      <c r="B1380">
        <v>1.54</v>
      </c>
    </row>
    <row r="1381" spans="1:2">
      <c r="A1381" s="1">
        <v>43841</v>
      </c>
      <c r="B1381">
        <v>1.54</v>
      </c>
    </row>
    <row r="1382" spans="1:2">
      <c r="A1382" s="1">
        <v>43842</v>
      </c>
      <c r="B1382">
        <v>1.54</v>
      </c>
    </row>
    <row r="1383" spans="1:2">
      <c r="A1383" s="1">
        <v>43843</v>
      </c>
      <c r="B1383">
        <v>1.54</v>
      </c>
    </row>
    <row r="1384" spans="1:2">
      <c r="A1384" s="1">
        <v>43844</v>
      </c>
      <c r="B1384">
        <v>1.54</v>
      </c>
    </row>
    <row r="1385" spans="1:2">
      <c r="A1385" s="1">
        <v>43845</v>
      </c>
      <c r="B1385">
        <v>1.54</v>
      </c>
    </row>
    <row r="1386" spans="1:2">
      <c r="A1386" s="1">
        <v>43846</v>
      </c>
      <c r="B1386">
        <v>1.54</v>
      </c>
    </row>
    <row r="1387" spans="1:2">
      <c r="A1387" s="1">
        <v>43847</v>
      </c>
      <c r="B1387">
        <v>1.55</v>
      </c>
    </row>
    <row r="1388" spans="1:2">
      <c r="A1388" s="1">
        <v>43848</v>
      </c>
      <c r="B1388">
        <v>1.55</v>
      </c>
    </row>
    <row r="1389" spans="1:2">
      <c r="A1389" s="1">
        <v>43849</v>
      </c>
      <c r="B1389">
        <v>1.55</v>
      </c>
    </row>
    <row r="1390" spans="1:2">
      <c r="A1390" s="1">
        <v>43850</v>
      </c>
      <c r="B1390">
        <v>1.55</v>
      </c>
    </row>
    <row r="1391" spans="1:2">
      <c r="A1391" s="1">
        <v>43851</v>
      </c>
      <c r="B1391">
        <v>1.55</v>
      </c>
    </row>
    <row r="1392" spans="1:2">
      <c r="A1392" s="1">
        <v>43852</v>
      </c>
      <c r="B1392">
        <v>1.55</v>
      </c>
    </row>
    <row r="1393" spans="1:2">
      <c r="A1393" s="1">
        <v>43853</v>
      </c>
      <c r="B1393">
        <v>1.55</v>
      </c>
    </row>
    <row r="1394" spans="1:2">
      <c r="A1394" s="1">
        <v>43854</v>
      </c>
      <c r="B1394">
        <v>1.55</v>
      </c>
    </row>
    <row r="1395" spans="1:2">
      <c r="A1395" s="1">
        <v>43855</v>
      </c>
      <c r="B1395">
        <v>1.55</v>
      </c>
    </row>
    <row r="1396" spans="1:2">
      <c r="A1396" s="1">
        <v>43856</v>
      </c>
      <c r="B1396">
        <v>1.55</v>
      </c>
    </row>
    <row r="1397" spans="1:2">
      <c r="A1397" s="1">
        <v>43857</v>
      </c>
      <c r="B1397">
        <v>1.55</v>
      </c>
    </row>
    <row r="1398" spans="1:2">
      <c r="A1398" s="1">
        <v>43858</v>
      </c>
      <c r="B1398">
        <v>1.55</v>
      </c>
    </row>
    <row r="1399" spans="1:2">
      <c r="A1399" s="1">
        <v>43859</v>
      </c>
      <c r="B1399">
        <v>1.55</v>
      </c>
    </row>
    <row r="1400" spans="1:2">
      <c r="A1400" s="1">
        <v>43860</v>
      </c>
      <c r="B1400">
        <v>1.6</v>
      </c>
    </row>
    <row r="1401" spans="1:2">
      <c r="A1401" s="1">
        <v>43861</v>
      </c>
      <c r="B1401">
        <v>1.59</v>
      </c>
    </row>
    <row r="1402" spans="1:2">
      <c r="A1402" s="1">
        <v>43862</v>
      </c>
      <c r="B1402">
        <v>1.59</v>
      </c>
    </row>
    <row r="1403" spans="1:2">
      <c r="A1403" s="1">
        <v>43863</v>
      </c>
      <c r="B1403">
        <v>1.59</v>
      </c>
    </row>
    <row r="1404" spans="1:2">
      <c r="A1404" s="1">
        <v>43864</v>
      </c>
      <c r="B1404">
        <v>1.59</v>
      </c>
    </row>
    <row r="1405" spans="1:2">
      <c r="A1405" s="1">
        <v>43865</v>
      </c>
      <c r="B1405">
        <v>1.59</v>
      </c>
    </row>
    <row r="1406" spans="1:2">
      <c r="A1406" s="1">
        <v>43866</v>
      </c>
      <c r="B1406">
        <v>1.59</v>
      </c>
    </row>
    <row r="1407" spans="1:2">
      <c r="A1407" s="1">
        <v>43867</v>
      </c>
      <c r="B1407">
        <v>1.59</v>
      </c>
    </row>
    <row r="1408" spans="1:2">
      <c r="A1408" s="1">
        <v>43868</v>
      </c>
      <c r="B1408">
        <v>1.58</v>
      </c>
    </row>
    <row r="1409" spans="1:2">
      <c r="A1409" s="1">
        <v>43869</v>
      </c>
      <c r="B1409">
        <v>1.58</v>
      </c>
    </row>
    <row r="1410" spans="1:2">
      <c r="A1410" s="1">
        <v>43870</v>
      </c>
      <c r="B1410">
        <v>1.58</v>
      </c>
    </row>
    <row r="1411" spans="1:2">
      <c r="A1411" s="1">
        <v>43871</v>
      </c>
      <c r="B1411">
        <v>1.58</v>
      </c>
    </row>
    <row r="1412" spans="1:2">
      <c r="A1412" s="1">
        <v>43872</v>
      </c>
      <c r="B1412">
        <v>1.58</v>
      </c>
    </row>
    <row r="1413" spans="1:2">
      <c r="A1413" s="1">
        <v>43873</v>
      </c>
      <c r="B1413">
        <v>1.58</v>
      </c>
    </row>
    <row r="1414" spans="1:2">
      <c r="A1414" s="1">
        <v>43874</v>
      </c>
      <c r="B1414">
        <v>1.58</v>
      </c>
    </row>
    <row r="1415" spans="1:2">
      <c r="A1415" s="1">
        <v>43875</v>
      </c>
      <c r="B1415">
        <v>1.58</v>
      </c>
    </row>
    <row r="1416" spans="1:2">
      <c r="A1416" s="1">
        <v>43876</v>
      </c>
      <c r="B1416">
        <v>1.58</v>
      </c>
    </row>
    <row r="1417" spans="1:2">
      <c r="A1417" s="1">
        <v>43877</v>
      </c>
      <c r="B1417">
        <v>1.58</v>
      </c>
    </row>
    <row r="1418" spans="1:2">
      <c r="A1418" s="1">
        <v>43878</v>
      </c>
      <c r="B1418">
        <v>1.58</v>
      </c>
    </row>
    <row r="1419" spans="1:2">
      <c r="A1419" s="1">
        <v>43879</v>
      </c>
      <c r="B1419">
        <v>1.59</v>
      </c>
    </row>
    <row r="1420" spans="1:2">
      <c r="A1420" s="1">
        <v>43880</v>
      </c>
      <c r="B1420">
        <v>1.59</v>
      </c>
    </row>
    <row r="1421" spans="1:2">
      <c r="A1421" s="1">
        <v>43881</v>
      </c>
      <c r="B1421">
        <v>1.59</v>
      </c>
    </row>
    <row r="1422" spans="1:2">
      <c r="A1422" s="1">
        <v>43882</v>
      </c>
      <c r="B1422">
        <v>1.58</v>
      </c>
    </row>
    <row r="1423" spans="1:2">
      <c r="A1423" s="1">
        <v>43883</v>
      </c>
      <c r="B1423">
        <v>1.58</v>
      </c>
    </row>
    <row r="1424" spans="1:2">
      <c r="A1424" s="1">
        <v>43884</v>
      </c>
      <c r="B1424">
        <v>1.58</v>
      </c>
    </row>
    <row r="1425" spans="1:2">
      <c r="A1425" s="1">
        <v>43885</v>
      </c>
      <c r="B1425">
        <v>1.58</v>
      </c>
    </row>
    <row r="1426" spans="1:2">
      <c r="A1426" s="1">
        <v>43886</v>
      </c>
      <c r="B1426">
        <v>1.58</v>
      </c>
    </row>
    <row r="1427" spans="1:2">
      <c r="A1427" s="1">
        <v>43887</v>
      </c>
      <c r="B1427">
        <v>1.58</v>
      </c>
    </row>
    <row r="1428" spans="1:2">
      <c r="A1428" s="1">
        <v>43888</v>
      </c>
      <c r="B1428">
        <v>1.58</v>
      </c>
    </row>
    <row r="1429" spans="1:2">
      <c r="A1429" s="1">
        <v>43889</v>
      </c>
      <c r="B1429">
        <v>1.58</v>
      </c>
    </row>
    <row r="1430" spans="1:2">
      <c r="A1430" s="1">
        <v>43890</v>
      </c>
      <c r="B1430">
        <v>1.58</v>
      </c>
    </row>
    <row r="1431" spans="1:2">
      <c r="A1431" s="1">
        <v>43891</v>
      </c>
      <c r="B1431">
        <v>1.58</v>
      </c>
    </row>
    <row r="1432" spans="1:2">
      <c r="A1432" s="1">
        <v>43892</v>
      </c>
      <c r="B1432">
        <v>1.59</v>
      </c>
    </row>
    <row r="1433" spans="1:2">
      <c r="A1433" s="1">
        <v>43893</v>
      </c>
      <c r="B1433">
        <v>1.59</v>
      </c>
    </row>
    <row r="1434" spans="1:2">
      <c r="A1434" s="1">
        <v>43894</v>
      </c>
      <c r="B1434">
        <v>1.0900000000000001</v>
      </c>
    </row>
    <row r="1435" spans="1:2">
      <c r="A1435" s="1">
        <v>43895</v>
      </c>
      <c r="B1435">
        <v>1.0900000000000001</v>
      </c>
    </row>
    <row r="1436" spans="1:2">
      <c r="A1436" s="1">
        <v>43896</v>
      </c>
      <c r="B1436">
        <v>1.0900000000000001</v>
      </c>
    </row>
    <row r="1437" spans="1:2">
      <c r="A1437" s="1">
        <v>43897</v>
      </c>
      <c r="B1437">
        <v>1.0900000000000001</v>
      </c>
    </row>
    <row r="1438" spans="1:2">
      <c r="A1438" s="1">
        <v>43898</v>
      </c>
      <c r="B1438">
        <v>1.0900000000000001</v>
      </c>
    </row>
    <row r="1439" spans="1:2">
      <c r="A1439" s="1">
        <v>43899</v>
      </c>
      <c r="B1439">
        <v>1.0900000000000001</v>
      </c>
    </row>
    <row r="1440" spans="1:2">
      <c r="A1440" s="1">
        <v>43900</v>
      </c>
      <c r="B1440">
        <v>1.0900000000000001</v>
      </c>
    </row>
    <row r="1441" spans="1:2">
      <c r="A1441" s="1">
        <v>43901</v>
      </c>
      <c r="B1441">
        <v>1.0900000000000001</v>
      </c>
    </row>
    <row r="1442" spans="1:2">
      <c r="A1442" s="1">
        <v>43902</v>
      </c>
      <c r="B1442">
        <v>1.1000000000000001</v>
      </c>
    </row>
    <row r="1443" spans="1:2">
      <c r="A1443" s="1">
        <v>43903</v>
      </c>
      <c r="B1443">
        <v>1.1000000000000001</v>
      </c>
    </row>
    <row r="1444" spans="1:2">
      <c r="A1444" s="1">
        <v>43904</v>
      </c>
      <c r="B1444">
        <v>1.1000000000000001</v>
      </c>
    </row>
    <row r="1445" spans="1:2">
      <c r="A1445" s="1">
        <v>43905</v>
      </c>
      <c r="B1445">
        <v>1.1000000000000001</v>
      </c>
    </row>
    <row r="1446" spans="1:2">
      <c r="A1446" s="1">
        <v>43906</v>
      </c>
      <c r="B1446">
        <v>0.25</v>
      </c>
    </row>
    <row r="1447" spans="1:2">
      <c r="A1447" s="1">
        <v>43907</v>
      </c>
      <c r="B1447">
        <v>0.25</v>
      </c>
    </row>
    <row r="1448" spans="1:2">
      <c r="A1448" s="1">
        <v>43908</v>
      </c>
      <c r="B1448">
        <v>0.25</v>
      </c>
    </row>
    <row r="1449" spans="1:2">
      <c r="A1449" s="1">
        <v>43909</v>
      </c>
      <c r="B1449">
        <v>0.2</v>
      </c>
    </row>
    <row r="1450" spans="1:2">
      <c r="A1450" s="1">
        <v>43910</v>
      </c>
      <c r="B1450">
        <v>0.15</v>
      </c>
    </row>
    <row r="1451" spans="1:2">
      <c r="A1451" s="1">
        <v>43911</v>
      </c>
      <c r="B1451">
        <v>0.15</v>
      </c>
    </row>
    <row r="1452" spans="1:2">
      <c r="A1452" s="1">
        <v>43912</v>
      </c>
      <c r="B1452">
        <v>0.15</v>
      </c>
    </row>
    <row r="1453" spans="1:2">
      <c r="A1453" s="1">
        <v>43913</v>
      </c>
      <c r="B1453">
        <v>0.15</v>
      </c>
    </row>
    <row r="1454" spans="1:2">
      <c r="A1454" s="1">
        <v>43914</v>
      </c>
      <c r="B1454">
        <v>0.12</v>
      </c>
    </row>
    <row r="1455" spans="1:2">
      <c r="A1455" s="1">
        <v>43915</v>
      </c>
      <c r="B1455">
        <v>0.1</v>
      </c>
    </row>
    <row r="1456" spans="1:2">
      <c r="A1456" s="1">
        <v>43916</v>
      </c>
      <c r="B1456">
        <v>0.1</v>
      </c>
    </row>
    <row r="1457" spans="1:2">
      <c r="A1457" s="1">
        <v>43917</v>
      </c>
      <c r="B1457">
        <v>0.1</v>
      </c>
    </row>
    <row r="1458" spans="1:2">
      <c r="A1458" s="1">
        <v>43918</v>
      </c>
      <c r="B1458">
        <v>0.1</v>
      </c>
    </row>
    <row r="1459" spans="1:2">
      <c r="A1459" s="1">
        <v>43919</v>
      </c>
      <c r="B1459">
        <v>0.1</v>
      </c>
    </row>
    <row r="1460" spans="1:2">
      <c r="A1460" s="1">
        <v>43920</v>
      </c>
      <c r="B1460">
        <v>0.09</v>
      </c>
    </row>
    <row r="1461" spans="1:2">
      <c r="A1461" s="1">
        <v>43921</v>
      </c>
      <c r="B1461">
        <v>0.08</v>
      </c>
    </row>
    <row r="1462" spans="1:2">
      <c r="A1462" s="1">
        <v>43922</v>
      </c>
      <c r="B1462">
        <v>0.06</v>
      </c>
    </row>
    <row r="1463" spans="1:2">
      <c r="A1463" s="1">
        <v>43923</v>
      </c>
      <c r="B1463">
        <v>0.05</v>
      </c>
    </row>
    <row r="1464" spans="1:2">
      <c r="A1464" s="1">
        <v>43924</v>
      </c>
      <c r="B1464">
        <v>0.05</v>
      </c>
    </row>
    <row r="1465" spans="1:2">
      <c r="A1465" s="1">
        <v>43925</v>
      </c>
      <c r="B1465">
        <v>0.05</v>
      </c>
    </row>
    <row r="1466" spans="1:2">
      <c r="A1466" s="1">
        <v>43926</v>
      </c>
      <c r="B1466">
        <v>0.05</v>
      </c>
    </row>
    <row r="1467" spans="1:2">
      <c r="A1467" s="1">
        <v>43927</v>
      </c>
      <c r="B1467">
        <v>0.05</v>
      </c>
    </row>
    <row r="1468" spans="1:2">
      <c r="A1468" s="1">
        <v>43928</v>
      </c>
      <c r="B1468">
        <v>0.05</v>
      </c>
    </row>
    <row r="1469" spans="1:2">
      <c r="A1469" s="1">
        <v>43929</v>
      </c>
      <c r="B1469">
        <v>0.05</v>
      </c>
    </row>
    <row r="1470" spans="1:2">
      <c r="A1470" s="1">
        <v>43930</v>
      </c>
      <c r="B1470">
        <v>0.05</v>
      </c>
    </row>
    <row r="1471" spans="1:2">
      <c r="A1471" s="1">
        <v>43931</v>
      </c>
      <c r="B1471">
        <v>0.05</v>
      </c>
    </row>
    <row r="1472" spans="1:2">
      <c r="A1472" s="1">
        <v>43932</v>
      </c>
      <c r="B1472">
        <v>0.05</v>
      </c>
    </row>
    <row r="1473" spans="1:2">
      <c r="A1473" s="1">
        <v>43933</v>
      </c>
      <c r="B1473">
        <v>0.05</v>
      </c>
    </row>
    <row r="1474" spans="1:2">
      <c r="A1474" s="1">
        <v>43934</v>
      </c>
      <c r="B1474">
        <v>0.05</v>
      </c>
    </row>
    <row r="1475" spans="1:2">
      <c r="A1475" s="1">
        <v>43935</v>
      </c>
      <c r="B1475">
        <v>0.05</v>
      </c>
    </row>
    <row r="1476" spans="1:2">
      <c r="A1476" s="1">
        <v>43936</v>
      </c>
      <c r="B1476">
        <v>0.05</v>
      </c>
    </row>
    <row r="1477" spans="1:2">
      <c r="A1477" s="1">
        <v>43937</v>
      </c>
      <c r="B1477">
        <v>0.05</v>
      </c>
    </row>
    <row r="1478" spans="1:2">
      <c r="A1478" s="1">
        <v>43938</v>
      </c>
      <c r="B1478">
        <v>0.05</v>
      </c>
    </row>
    <row r="1479" spans="1:2">
      <c r="A1479" s="1">
        <v>43939</v>
      </c>
      <c r="B1479">
        <v>0.05</v>
      </c>
    </row>
    <row r="1480" spans="1:2">
      <c r="A1480" s="1">
        <v>43940</v>
      </c>
      <c r="B1480">
        <v>0.05</v>
      </c>
    </row>
    <row r="1481" spans="1:2">
      <c r="A1481" s="1">
        <v>43941</v>
      </c>
      <c r="B1481">
        <v>0.05</v>
      </c>
    </row>
    <row r="1482" spans="1:2">
      <c r="A1482" s="1">
        <v>43942</v>
      </c>
      <c r="B1482">
        <v>0.05</v>
      </c>
    </row>
    <row r="1483" spans="1:2">
      <c r="A1483" s="1">
        <v>43943</v>
      </c>
      <c r="B1483">
        <v>0.05</v>
      </c>
    </row>
    <row r="1484" spans="1:2">
      <c r="A1484" s="1">
        <v>43944</v>
      </c>
      <c r="B1484">
        <v>0.04</v>
      </c>
    </row>
    <row r="1485" spans="1:2">
      <c r="A1485" s="1">
        <v>43945</v>
      </c>
      <c r="B1485">
        <v>0.05</v>
      </c>
    </row>
    <row r="1486" spans="1:2">
      <c r="A1486" s="1">
        <v>43946</v>
      </c>
      <c r="B1486">
        <v>0.05</v>
      </c>
    </row>
    <row r="1487" spans="1:2">
      <c r="A1487" s="1">
        <v>43947</v>
      </c>
      <c r="B1487">
        <v>0.05</v>
      </c>
    </row>
    <row r="1488" spans="1:2">
      <c r="A1488" s="1">
        <v>43948</v>
      </c>
      <c r="B1488">
        <v>0.04</v>
      </c>
    </row>
    <row r="1489" spans="1:2">
      <c r="A1489" s="1">
        <v>43949</v>
      </c>
      <c r="B1489">
        <v>0.04</v>
      </c>
    </row>
    <row r="1490" spans="1:2">
      <c r="A1490" s="1">
        <v>43950</v>
      </c>
      <c r="B1490">
        <v>0.04</v>
      </c>
    </row>
    <row r="1491" spans="1:2">
      <c r="A1491" s="1">
        <v>43951</v>
      </c>
      <c r="B1491">
        <v>0.05</v>
      </c>
    </row>
    <row r="1492" spans="1:2">
      <c r="A1492" s="1">
        <v>43952</v>
      </c>
      <c r="B1492">
        <v>0.05</v>
      </c>
    </row>
    <row r="1493" spans="1:2">
      <c r="A1493" s="1">
        <v>43953</v>
      </c>
      <c r="B1493">
        <v>0.05</v>
      </c>
    </row>
    <row r="1494" spans="1:2">
      <c r="A1494" s="1">
        <v>43954</v>
      </c>
      <c r="B1494">
        <v>0.05</v>
      </c>
    </row>
    <row r="1495" spans="1:2">
      <c r="A1495" s="1">
        <v>43955</v>
      </c>
      <c r="B1495">
        <v>0.05</v>
      </c>
    </row>
    <row r="1496" spans="1:2">
      <c r="A1496" s="1">
        <v>43956</v>
      </c>
      <c r="B1496">
        <v>0.05</v>
      </c>
    </row>
    <row r="1497" spans="1:2">
      <c r="A1497" s="1">
        <v>43957</v>
      </c>
      <c r="B1497">
        <v>0.05</v>
      </c>
    </row>
    <row r="1498" spans="1:2">
      <c r="A1498" s="1">
        <v>43958</v>
      </c>
      <c r="B1498">
        <v>0.05</v>
      </c>
    </row>
    <row r="1499" spans="1:2">
      <c r="A1499" s="1">
        <v>43959</v>
      </c>
      <c r="B1499">
        <v>0.05</v>
      </c>
    </row>
    <row r="1500" spans="1:2">
      <c r="A1500" s="1">
        <v>43960</v>
      </c>
      <c r="B1500">
        <v>0.05</v>
      </c>
    </row>
    <row r="1501" spans="1:2">
      <c r="A1501" s="1">
        <v>43961</v>
      </c>
      <c r="B1501">
        <v>0.05</v>
      </c>
    </row>
    <row r="1502" spans="1:2">
      <c r="A1502" s="1">
        <v>43962</v>
      </c>
      <c r="B1502">
        <v>0.05</v>
      </c>
    </row>
    <row r="1503" spans="1:2">
      <c r="A1503" s="1">
        <v>43963</v>
      </c>
      <c r="B1503">
        <v>0.05</v>
      </c>
    </row>
    <row r="1504" spans="1:2">
      <c r="A1504" s="1">
        <v>43964</v>
      </c>
      <c r="B1504">
        <v>0.05</v>
      </c>
    </row>
    <row r="1505" spans="1:2">
      <c r="A1505" s="1">
        <v>43965</v>
      </c>
      <c r="B1505">
        <v>0.05</v>
      </c>
    </row>
    <row r="1506" spans="1:2">
      <c r="A1506" s="1">
        <v>43966</v>
      </c>
      <c r="B1506">
        <v>0.05</v>
      </c>
    </row>
    <row r="1507" spans="1:2">
      <c r="A1507" s="1">
        <v>43967</v>
      </c>
      <c r="B1507">
        <v>0.05</v>
      </c>
    </row>
    <row r="1508" spans="1:2">
      <c r="A1508" s="1">
        <v>43968</v>
      </c>
      <c r="B1508">
        <v>0.05</v>
      </c>
    </row>
    <row r="1509" spans="1:2">
      <c r="A1509" s="1">
        <v>43969</v>
      </c>
      <c r="B1509">
        <v>0.05</v>
      </c>
    </row>
    <row r="1510" spans="1:2">
      <c r="A1510" s="1">
        <v>43970</v>
      </c>
      <c r="B1510">
        <v>0.05</v>
      </c>
    </row>
    <row r="1511" spans="1:2">
      <c r="A1511" s="1">
        <v>43971</v>
      </c>
      <c r="B1511">
        <v>0.05</v>
      </c>
    </row>
    <row r="1512" spans="1:2">
      <c r="A1512" s="1">
        <v>43972</v>
      </c>
      <c r="B1512">
        <v>0.05</v>
      </c>
    </row>
    <row r="1513" spans="1:2">
      <c r="A1513" s="1">
        <v>43973</v>
      </c>
      <c r="B1513">
        <v>0.05</v>
      </c>
    </row>
    <row r="1514" spans="1:2">
      <c r="A1514" s="1">
        <v>43974</v>
      </c>
      <c r="B1514">
        <v>0.05</v>
      </c>
    </row>
    <row r="1515" spans="1:2">
      <c r="A1515" s="1">
        <v>43975</v>
      </c>
      <c r="B1515">
        <v>0.05</v>
      </c>
    </row>
    <row r="1516" spans="1:2">
      <c r="A1516" s="1">
        <v>43976</v>
      </c>
      <c r="B1516">
        <v>0.05</v>
      </c>
    </row>
    <row r="1517" spans="1:2">
      <c r="A1517" s="1">
        <v>43977</v>
      </c>
      <c r="B1517">
        <v>0.05</v>
      </c>
    </row>
    <row r="1518" spans="1:2">
      <c r="A1518" s="1">
        <v>43978</v>
      </c>
      <c r="B1518">
        <v>0.05</v>
      </c>
    </row>
    <row r="1519" spans="1:2">
      <c r="A1519" s="1">
        <v>43979</v>
      </c>
      <c r="B1519">
        <v>0.05</v>
      </c>
    </row>
    <row r="1520" spans="1:2">
      <c r="A1520" s="1">
        <v>43980</v>
      </c>
      <c r="B1520">
        <v>0.05</v>
      </c>
    </row>
    <row r="1521" spans="1:2">
      <c r="A1521" s="1">
        <v>43981</v>
      </c>
      <c r="B1521">
        <v>0.05</v>
      </c>
    </row>
    <row r="1522" spans="1:2">
      <c r="A1522" s="1">
        <v>43982</v>
      </c>
      <c r="B1522">
        <v>0.05</v>
      </c>
    </row>
    <row r="1523" spans="1:2">
      <c r="A1523" s="1">
        <v>43983</v>
      </c>
      <c r="B1523">
        <v>0.05</v>
      </c>
    </row>
    <row r="1524" spans="1:2">
      <c r="A1524" s="1">
        <v>43984</v>
      </c>
      <c r="B1524">
        <v>0.06</v>
      </c>
    </row>
    <row r="1525" spans="1:2">
      <c r="A1525" s="1">
        <v>43985</v>
      </c>
      <c r="B1525">
        <v>0.06</v>
      </c>
    </row>
    <row r="1526" spans="1:2">
      <c r="A1526" s="1">
        <v>43986</v>
      </c>
      <c r="B1526">
        <v>0.06</v>
      </c>
    </row>
    <row r="1527" spans="1:2">
      <c r="A1527" s="1">
        <v>43987</v>
      </c>
      <c r="B1527">
        <v>7.0000000000000007E-2</v>
      </c>
    </row>
    <row r="1528" spans="1:2">
      <c r="A1528" s="1">
        <v>43988</v>
      </c>
      <c r="B1528">
        <v>7.0000000000000007E-2</v>
      </c>
    </row>
    <row r="1529" spans="1:2">
      <c r="A1529" s="1">
        <v>43989</v>
      </c>
      <c r="B1529">
        <v>7.0000000000000007E-2</v>
      </c>
    </row>
    <row r="1530" spans="1:2">
      <c r="A1530" s="1">
        <v>43990</v>
      </c>
      <c r="B1530">
        <v>7.0000000000000007E-2</v>
      </c>
    </row>
    <row r="1531" spans="1:2">
      <c r="A1531" s="1">
        <v>43991</v>
      </c>
      <c r="B1531">
        <v>7.0000000000000007E-2</v>
      </c>
    </row>
    <row r="1532" spans="1:2">
      <c r="A1532" s="1">
        <v>43992</v>
      </c>
      <c r="B1532">
        <v>0.08</v>
      </c>
    </row>
    <row r="1533" spans="1:2">
      <c r="A1533" s="1">
        <v>43993</v>
      </c>
      <c r="B1533">
        <v>0.08</v>
      </c>
    </row>
    <row r="1534" spans="1:2">
      <c r="A1534" s="1">
        <v>43994</v>
      </c>
      <c r="B1534">
        <v>0.08</v>
      </c>
    </row>
    <row r="1535" spans="1:2">
      <c r="A1535" s="1">
        <v>43995</v>
      </c>
      <c r="B1535">
        <v>0.08</v>
      </c>
    </row>
    <row r="1536" spans="1:2">
      <c r="A1536" s="1">
        <v>43996</v>
      </c>
      <c r="B1536">
        <v>0.08</v>
      </c>
    </row>
    <row r="1537" spans="1:2">
      <c r="A1537" s="1">
        <v>43997</v>
      </c>
      <c r="B1537">
        <v>0.09</v>
      </c>
    </row>
    <row r="1538" spans="1:2">
      <c r="A1538" s="1">
        <v>43998</v>
      </c>
      <c r="B1538">
        <v>0.09</v>
      </c>
    </row>
    <row r="1539" spans="1:2">
      <c r="A1539" s="1">
        <v>43999</v>
      </c>
      <c r="B1539">
        <v>0.09</v>
      </c>
    </row>
    <row r="1540" spans="1:2">
      <c r="A1540" s="1">
        <v>44000</v>
      </c>
      <c r="B1540">
        <v>0.09</v>
      </c>
    </row>
    <row r="1541" spans="1:2">
      <c r="A1541" s="1">
        <v>44001</v>
      </c>
      <c r="B1541">
        <v>0.09</v>
      </c>
    </row>
    <row r="1542" spans="1:2">
      <c r="A1542" s="1">
        <v>44002</v>
      </c>
      <c r="B1542">
        <v>0.09</v>
      </c>
    </row>
    <row r="1543" spans="1:2">
      <c r="A1543" s="1">
        <v>44003</v>
      </c>
      <c r="B1543">
        <v>0.09</v>
      </c>
    </row>
    <row r="1544" spans="1:2">
      <c r="A1544" s="1">
        <v>44004</v>
      </c>
      <c r="B1544">
        <v>0.08</v>
      </c>
    </row>
    <row r="1545" spans="1:2">
      <c r="A1545" s="1">
        <v>44005</v>
      </c>
      <c r="B1545">
        <v>0.08</v>
      </c>
    </row>
    <row r="1546" spans="1:2">
      <c r="A1546" s="1">
        <v>44006</v>
      </c>
      <c r="B1546">
        <v>0.08</v>
      </c>
    </row>
    <row r="1547" spans="1:2">
      <c r="A1547" s="1">
        <v>44007</v>
      </c>
      <c r="B1547">
        <v>0.08</v>
      </c>
    </row>
    <row r="1548" spans="1:2">
      <c r="A1548" s="1">
        <v>44008</v>
      </c>
      <c r="B1548">
        <v>0.08</v>
      </c>
    </row>
    <row r="1549" spans="1:2">
      <c r="A1549" s="1">
        <v>44009</v>
      </c>
      <c r="B1549">
        <v>0.08</v>
      </c>
    </row>
    <row r="1550" spans="1:2">
      <c r="A1550" s="1">
        <v>44010</v>
      </c>
      <c r="B1550">
        <v>0.08</v>
      </c>
    </row>
    <row r="1551" spans="1:2">
      <c r="A1551" s="1">
        <v>44011</v>
      </c>
      <c r="B1551">
        <v>0.08</v>
      </c>
    </row>
    <row r="1552" spans="1:2">
      <c r="A1552" s="1">
        <v>44012</v>
      </c>
      <c r="B1552">
        <v>0.08</v>
      </c>
    </row>
    <row r="1553" spans="1:2">
      <c r="A1553" s="1">
        <v>44013</v>
      </c>
      <c r="B1553">
        <v>0.08</v>
      </c>
    </row>
    <row r="1554" spans="1:2">
      <c r="A1554" s="1">
        <v>44014</v>
      </c>
      <c r="B1554">
        <v>0.09</v>
      </c>
    </row>
    <row r="1555" spans="1:2">
      <c r="A1555" s="1">
        <v>44015</v>
      </c>
      <c r="B1555">
        <v>0.09</v>
      </c>
    </row>
    <row r="1556" spans="1:2">
      <c r="A1556" s="1">
        <v>44016</v>
      </c>
      <c r="B1556">
        <v>0.09</v>
      </c>
    </row>
    <row r="1557" spans="1:2">
      <c r="A1557" s="1">
        <v>44017</v>
      </c>
      <c r="B1557">
        <v>0.09</v>
      </c>
    </row>
    <row r="1558" spans="1:2">
      <c r="A1558" s="1">
        <v>44018</v>
      </c>
      <c r="B1558">
        <v>0.09</v>
      </c>
    </row>
    <row r="1559" spans="1:2">
      <c r="A1559" s="1">
        <v>44019</v>
      </c>
      <c r="B1559">
        <v>0.09</v>
      </c>
    </row>
    <row r="1560" spans="1:2">
      <c r="A1560" s="1">
        <v>44020</v>
      </c>
      <c r="B1560">
        <v>0.09</v>
      </c>
    </row>
    <row r="1561" spans="1:2">
      <c r="A1561" s="1">
        <v>44021</v>
      </c>
      <c r="B1561">
        <v>0.09</v>
      </c>
    </row>
    <row r="1562" spans="1:2">
      <c r="A1562" s="1">
        <v>44022</v>
      </c>
      <c r="B1562">
        <v>0.09</v>
      </c>
    </row>
    <row r="1563" spans="1:2">
      <c r="A1563" s="1">
        <v>44023</v>
      </c>
      <c r="B1563">
        <v>0.09</v>
      </c>
    </row>
    <row r="1564" spans="1:2">
      <c r="A1564" s="1">
        <v>44024</v>
      </c>
      <c r="B1564">
        <v>0.09</v>
      </c>
    </row>
    <row r="1565" spans="1:2">
      <c r="A1565" s="1">
        <v>44025</v>
      </c>
      <c r="B1565">
        <v>0.09</v>
      </c>
    </row>
    <row r="1566" spans="1:2">
      <c r="A1566" s="1">
        <v>44026</v>
      </c>
      <c r="B1566">
        <v>0.09</v>
      </c>
    </row>
    <row r="1567" spans="1:2">
      <c r="A1567" s="1">
        <v>44027</v>
      </c>
      <c r="B1567">
        <v>0.1</v>
      </c>
    </row>
    <row r="1568" spans="1:2">
      <c r="A1568" s="1">
        <v>44028</v>
      </c>
      <c r="B1568">
        <v>0.1</v>
      </c>
    </row>
    <row r="1569" spans="1:2">
      <c r="A1569" s="1">
        <v>44029</v>
      </c>
      <c r="B1569">
        <v>0.09</v>
      </c>
    </row>
    <row r="1570" spans="1:2">
      <c r="A1570" s="1">
        <v>44030</v>
      </c>
      <c r="B1570">
        <v>0.09</v>
      </c>
    </row>
    <row r="1571" spans="1:2">
      <c r="A1571" s="1">
        <v>44031</v>
      </c>
      <c r="B1571">
        <v>0.09</v>
      </c>
    </row>
    <row r="1572" spans="1:2">
      <c r="A1572" s="1">
        <v>44032</v>
      </c>
      <c r="B1572">
        <v>0.1</v>
      </c>
    </row>
    <row r="1573" spans="1:2">
      <c r="A1573" s="1">
        <v>44033</v>
      </c>
      <c r="B1573">
        <v>0.1</v>
      </c>
    </row>
    <row r="1574" spans="1:2">
      <c r="A1574" s="1">
        <v>44034</v>
      </c>
      <c r="B1574">
        <v>0.09</v>
      </c>
    </row>
    <row r="1575" spans="1:2">
      <c r="A1575" s="1">
        <v>44035</v>
      </c>
      <c r="B1575">
        <v>0.09</v>
      </c>
    </row>
    <row r="1576" spans="1:2">
      <c r="A1576" s="1">
        <v>44036</v>
      </c>
      <c r="B1576">
        <v>0.09</v>
      </c>
    </row>
    <row r="1577" spans="1:2">
      <c r="A1577" s="1">
        <v>44037</v>
      </c>
      <c r="B1577">
        <v>0.09</v>
      </c>
    </row>
    <row r="1578" spans="1:2">
      <c r="A1578" s="1">
        <v>44038</v>
      </c>
      <c r="B1578">
        <v>0.09</v>
      </c>
    </row>
    <row r="1579" spans="1:2">
      <c r="A1579" s="1">
        <v>44039</v>
      </c>
      <c r="B1579">
        <v>0.1</v>
      </c>
    </row>
    <row r="1580" spans="1:2">
      <c r="A1580" s="1">
        <v>44040</v>
      </c>
      <c r="B1580">
        <v>0.1</v>
      </c>
    </row>
    <row r="1581" spans="1:2">
      <c r="A1581" s="1">
        <v>44041</v>
      </c>
      <c r="B1581">
        <v>0.1</v>
      </c>
    </row>
    <row r="1582" spans="1:2">
      <c r="A1582" s="1">
        <v>44042</v>
      </c>
      <c r="B1582">
        <v>0.1</v>
      </c>
    </row>
    <row r="1583" spans="1:2">
      <c r="A1583" s="1">
        <v>44043</v>
      </c>
      <c r="B1583">
        <v>0.1</v>
      </c>
    </row>
    <row r="1584" spans="1:2">
      <c r="A1584" s="1">
        <v>44044</v>
      </c>
      <c r="B1584">
        <v>0.1</v>
      </c>
    </row>
    <row r="1585" spans="1:2">
      <c r="A1585" s="1">
        <v>44045</v>
      </c>
      <c r="B1585">
        <v>0.1</v>
      </c>
    </row>
    <row r="1586" spans="1:2">
      <c r="A1586" s="1">
        <v>44046</v>
      </c>
      <c r="B1586">
        <v>0.1</v>
      </c>
    </row>
    <row r="1587" spans="1:2">
      <c r="A1587" s="1">
        <v>44047</v>
      </c>
      <c r="B1587">
        <v>0.1</v>
      </c>
    </row>
    <row r="1588" spans="1:2">
      <c r="A1588" s="1">
        <v>44048</v>
      </c>
      <c r="B1588">
        <v>0.1</v>
      </c>
    </row>
    <row r="1589" spans="1:2">
      <c r="A1589" s="1">
        <v>44049</v>
      </c>
      <c r="B1589">
        <v>0.1</v>
      </c>
    </row>
    <row r="1590" spans="1:2">
      <c r="A1590" s="1">
        <v>44050</v>
      </c>
      <c r="B1590">
        <v>0.1</v>
      </c>
    </row>
    <row r="1591" spans="1:2">
      <c r="A1591" s="1">
        <v>44051</v>
      </c>
      <c r="B1591">
        <v>0.1</v>
      </c>
    </row>
    <row r="1592" spans="1:2">
      <c r="A1592" s="1">
        <v>44052</v>
      </c>
      <c r="B1592">
        <v>0.1</v>
      </c>
    </row>
    <row r="1593" spans="1:2">
      <c r="A1593" s="1">
        <v>44053</v>
      </c>
      <c r="B1593">
        <v>0.1</v>
      </c>
    </row>
    <row r="1594" spans="1:2">
      <c r="A1594" s="1">
        <v>44054</v>
      </c>
      <c r="B1594">
        <v>0.1</v>
      </c>
    </row>
    <row r="1595" spans="1:2">
      <c r="A1595" s="1">
        <v>44055</v>
      </c>
      <c r="B1595">
        <v>0.1</v>
      </c>
    </row>
    <row r="1596" spans="1:2">
      <c r="A1596" s="1">
        <v>44056</v>
      </c>
      <c r="B1596">
        <v>0.1</v>
      </c>
    </row>
    <row r="1597" spans="1:2">
      <c r="A1597" s="1">
        <v>44057</v>
      </c>
      <c r="B1597">
        <v>0.1</v>
      </c>
    </row>
    <row r="1598" spans="1:2">
      <c r="A1598" s="1">
        <v>44058</v>
      </c>
      <c r="B1598">
        <v>0.1</v>
      </c>
    </row>
    <row r="1599" spans="1:2">
      <c r="A1599" s="1">
        <v>44059</v>
      </c>
      <c r="B1599">
        <v>0.1</v>
      </c>
    </row>
    <row r="1600" spans="1:2">
      <c r="A1600" s="1">
        <v>44060</v>
      </c>
      <c r="B1600">
        <v>0.1</v>
      </c>
    </row>
    <row r="1601" spans="1:2">
      <c r="A1601" s="1">
        <v>44061</v>
      </c>
      <c r="B1601">
        <v>0.09</v>
      </c>
    </row>
    <row r="1602" spans="1:2">
      <c r="A1602" s="1">
        <v>44062</v>
      </c>
      <c r="B1602">
        <v>0.09</v>
      </c>
    </row>
    <row r="1603" spans="1:2">
      <c r="A1603" s="1">
        <v>44063</v>
      </c>
      <c r="B1603">
        <v>0.09</v>
      </c>
    </row>
    <row r="1604" spans="1:2">
      <c r="A1604" s="1">
        <v>44064</v>
      </c>
      <c r="B1604">
        <v>0.09</v>
      </c>
    </row>
    <row r="1605" spans="1:2">
      <c r="A1605" s="1">
        <v>44065</v>
      </c>
      <c r="B1605">
        <v>0.09</v>
      </c>
    </row>
    <row r="1606" spans="1:2">
      <c r="A1606" s="1">
        <v>44066</v>
      </c>
      <c r="B1606">
        <v>0.09</v>
      </c>
    </row>
    <row r="1607" spans="1:2">
      <c r="A1607" s="1">
        <v>44067</v>
      </c>
      <c r="B1607">
        <v>0.09</v>
      </c>
    </row>
    <row r="1608" spans="1:2">
      <c r="A1608" s="1">
        <v>44068</v>
      </c>
      <c r="B1608">
        <v>0.09</v>
      </c>
    </row>
    <row r="1609" spans="1:2">
      <c r="A1609" s="1">
        <v>44069</v>
      </c>
      <c r="B1609">
        <v>0.09</v>
      </c>
    </row>
    <row r="1610" spans="1:2">
      <c r="A1610" s="1">
        <v>44070</v>
      </c>
      <c r="B1610">
        <v>0.08</v>
      </c>
    </row>
    <row r="1611" spans="1:2">
      <c r="A1611" s="1">
        <v>44071</v>
      </c>
      <c r="B1611">
        <v>0.09</v>
      </c>
    </row>
    <row r="1612" spans="1:2">
      <c r="A1612" s="1">
        <v>44072</v>
      </c>
      <c r="B1612">
        <v>0.09</v>
      </c>
    </row>
    <row r="1613" spans="1:2">
      <c r="A1613" s="1">
        <v>44073</v>
      </c>
      <c r="B1613">
        <v>0.09</v>
      </c>
    </row>
    <row r="1614" spans="1:2">
      <c r="A1614" s="1">
        <v>44074</v>
      </c>
      <c r="B1614">
        <v>0.09</v>
      </c>
    </row>
    <row r="1615" spans="1:2">
      <c r="A1615" s="1">
        <v>44075</v>
      </c>
      <c r="B1615">
        <v>0.09</v>
      </c>
    </row>
    <row r="1616" spans="1:2">
      <c r="A1616" s="1">
        <v>44076</v>
      </c>
      <c r="B1616">
        <v>0.09</v>
      </c>
    </row>
    <row r="1617" spans="1:2">
      <c r="A1617" s="1">
        <v>44077</v>
      </c>
      <c r="B1617">
        <v>0.09</v>
      </c>
    </row>
    <row r="1618" spans="1:2">
      <c r="A1618" s="1">
        <v>44078</v>
      </c>
      <c r="B1618">
        <v>0.09</v>
      </c>
    </row>
    <row r="1619" spans="1:2">
      <c r="A1619" s="1">
        <v>44079</v>
      </c>
      <c r="B1619">
        <v>0.09</v>
      </c>
    </row>
    <row r="1620" spans="1:2">
      <c r="A1620" s="1">
        <v>44080</v>
      </c>
      <c r="B1620">
        <v>0.09</v>
      </c>
    </row>
    <row r="1621" spans="1:2">
      <c r="A1621" s="1">
        <v>44081</v>
      </c>
      <c r="B1621">
        <v>0.09</v>
      </c>
    </row>
    <row r="1622" spans="1:2">
      <c r="A1622" s="1">
        <v>44082</v>
      </c>
      <c r="B1622">
        <v>0.09</v>
      </c>
    </row>
    <row r="1623" spans="1:2">
      <c r="A1623" s="1">
        <v>44083</v>
      </c>
      <c r="B1623">
        <v>0.09</v>
      </c>
    </row>
    <row r="1624" spans="1:2">
      <c r="A1624" s="1">
        <v>44084</v>
      </c>
      <c r="B1624">
        <v>0.09</v>
      </c>
    </row>
    <row r="1625" spans="1:2">
      <c r="A1625" s="1">
        <v>44085</v>
      </c>
      <c r="B1625">
        <v>0.09</v>
      </c>
    </row>
    <row r="1626" spans="1:2">
      <c r="A1626" s="1">
        <v>44086</v>
      </c>
      <c r="B1626">
        <v>0.09</v>
      </c>
    </row>
    <row r="1627" spans="1:2">
      <c r="A1627" s="1">
        <v>44087</v>
      </c>
      <c r="B1627">
        <v>0.09</v>
      </c>
    </row>
    <row r="1628" spans="1:2">
      <c r="A1628" s="1">
        <v>44088</v>
      </c>
      <c r="B1628">
        <v>0.09</v>
      </c>
    </row>
    <row r="1629" spans="1:2">
      <c r="A1629" s="1">
        <v>44089</v>
      </c>
      <c r="B1629">
        <v>0.09</v>
      </c>
    </row>
    <row r="1630" spans="1:2">
      <c r="A1630" s="1">
        <v>44090</v>
      </c>
      <c r="B1630">
        <v>0.09</v>
      </c>
    </row>
    <row r="1631" spans="1:2">
      <c r="A1631" s="1">
        <v>44091</v>
      </c>
      <c r="B1631">
        <v>0.09</v>
      </c>
    </row>
    <row r="1632" spans="1:2">
      <c r="A1632" s="1">
        <v>44092</v>
      </c>
      <c r="B1632">
        <v>0.09</v>
      </c>
    </row>
    <row r="1633" spans="1:2">
      <c r="A1633" s="1">
        <v>44093</v>
      </c>
      <c r="B1633">
        <v>0.09</v>
      </c>
    </row>
    <row r="1634" spans="1:2">
      <c r="A1634" s="1">
        <v>44094</v>
      </c>
      <c r="B1634">
        <v>0.09</v>
      </c>
    </row>
    <row r="1635" spans="1:2">
      <c r="A1635" s="1">
        <v>44095</v>
      </c>
      <c r="B1635">
        <v>0.09</v>
      </c>
    </row>
    <row r="1636" spans="1:2">
      <c r="A1636" s="1">
        <v>44096</v>
      </c>
      <c r="B1636">
        <v>0.09</v>
      </c>
    </row>
    <row r="1637" spans="1:2">
      <c r="A1637" s="1">
        <v>44097</v>
      </c>
      <c r="B1637">
        <v>0.09</v>
      </c>
    </row>
    <row r="1638" spans="1:2">
      <c r="A1638" s="1">
        <v>44098</v>
      </c>
      <c r="B1638">
        <v>0.09</v>
      </c>
    </row>
    <row r="1639" spans="1:2">
      <c r="A1639" s="1">
        <v>44099</v>
      </c>
      <c r="B1639">
        <v>0.09</v>
      </c>
    </row>
    <row r="1640" spans="1:2">
      <c r="A1640" s="1">
        <v>44100</v>
      </c>
      <c r="B1640">
        <v>0.09</v>
      </c>
    </row>
    <row r="1641" spans="1:2">
      <c r="A1641" s="1">
        <v>44101</v>
      </c>
      <c r="B1641">
        <v>0.09</v>
      </c>
    </row>
    <row r="1642" spans="1:2">
      <c r="A1642" s="1">
        <v>44102</v>
      </c>
      <c r="B1642">
        <v>0.09</v>
      </c>
    </row>
    <row r="1643" spans="1:2">
      <c r="A1643" s="1">
        <v>44103</v>
      </c>
      <c r="B1643">
        <v>0.09</v>
      </c>
    </row>
    <row r="1644" spans="1:2">
      <c r="A1644" s="1">
        <v>44104</v>
      </c>
      <c r="B1644">
        <v>0.09</v>
      </c>
    </row>
    <row r="1645" spans="1:2">
      <c r="A1645" s="1">
        <v>44105</v>
      </c>
      <c r="B1645">
        <v>0.09</v>
      </c>
    </row>
    <row r="1646" spans="1:2">
      <c r="A1646" s="1">
        <v>44106</v>
      </c>
      <c r="B1646">
        <v>0.09</v>
      </c>
    </row>
    <row r="1647" spans="1:2">
      <c r="A1647" s="1">
        <v>44107</v>
      </c>
      <c r="B1647">
        <v>0.09</v>
      </c>
    </row>
    <row r="1648" spans="1:2">
      <c r="A1648" s="1">
        <v>44108</v>
      </c>
      <c r="B1648">
        <v>0.09</v>
      </c>
    </row>
    <row r="1649" spans="1:2">
      <c r="A1649" s="1">
        <v>44109</v>
      </c>
      <c r="B1649">
        <v>0.09</v>
      </c>
    </row>
    <row r="1650" spans="1:2">
      <c r="A1650" s="1">
        <v>44110</v>
      </c>
      <c r="B1650">
        <v>0.09</v>
      </c>
    </row>
    <row r="1651" spans="1:2">
      <c r="A1651" s="1">
        <v>44111</v>
      </c>
      <c r="B1651">
        <v>0.09</v>
      </c>
    </row>
    <row r="1652" spans="1:2">
      <c r="A1652" s="1">
        <v>44112</v>
      </c>
      <c r="B1652">
        <v>0.09</v>
      </c>
    </row>
    <row r="1653" spans="1:2">
      <c r="A1653" s="1">
        <v>44113</v>
      </c>
      <c r="B1653">
        <v>0.09</v>
      </c>
    </row>
    <row r="1654" spans="1:2">
      <c r="A1654" s="1">
        <v>44114</v>
      </c>
      <c r="B1654">
        <v>0.09</v>
      </c>
    </row>
    <row r="1655" spans="1:2">
      <c r="A1655" s="1">
        <v>44115</v>
      </c>
      <c r="B1655">
        <v>0.09</v>
      </c>
    </row>
    <row r="1656" spans="1:2">
      <c r="A1656" s="1">
        <v>44116</v>
      </c>
      <c r="B1656">
        <v>0.09</v>
      </c>
    </row>
    <row r="1657" spans="1:2">
      <c r="A1657" s="1">
        <v>44117</v>
      </c>
      <c r="B1657">
        <v>0.09</v>
      </c>
    </row>
    <row r="1658" spans="1:2">
      <c r="A1658" s="1">
        <v>44118</v>
      </c>
      <c r="B1658">
        <v>0.09</v>
      </c>
    </row>
    <row r="1659" spans="1:2">
      <c r="A1659" s="1">
        <v>44119</v>
      </c>
      <c r="B1659">
        <v>0.09</v>
      </c>
    </row>
    <row r="1660" spans="1:2">
      <c r="A1660" s="1">
        <v>44120</v>
      </c>
      <c r="B1660">
        <v>0.09</v>
      </c>
    </row>
    <row r="1661" spans="1:2">
      <c r="A1661" s="1">
        <v>44121</v>
      </c>
      <c r="B1661">
        <v>0.09</v>
      </c>
    </row>
    <row r="1662" spans="1:2">
      <c r="A1662" s="1">
        <v>44122</v>
      </c>
      <c r="B1662">
        <v>0.09</v>
      </c>
    </row>
    <row r="1663" spans="1:2">
      <c r="A1663" s="1">
        <v>44123</v>
      </c>
      <c r="B1663">
        <v>0.09</v>
      </c>
    </row>
    <row r="1664" spans="1:2">
      <c r="A1664" s="1">
        <v>44124</v>
      </c>
      <c r="B1664">
        <v>0.09</v>
      </c>
    </row>
    <row r="1665" spans="1:2">
      <c r="A1665" s="1">
        <v>44125</v>
      </c>
      <c r="B1665">
        <v>0.09</v>
      </c>
    </row>
    <row r="1666" spans="1:2">
      <c r="A1666" s="1">
        <v>44126</v>
      </c>
      <c r="B1666">
        <v>0.09</v>
      </c>
    </row>
    <row r="1667" spans="1:2">
      <c r="A1667" s="1">
        <v>44127</v>
      </c>
      <c r="B1667">
        <v>0.09</v>
      </c>
    </row>
    <row r="1668" spans="1:2">
      <c r="A1668" s="1">
        <v>44128</v>
      </c>
      <c r="B1668">
        <v>0.09</v>
      </c>
    </row>
    <row r="1669" spans="1:2">
      <c r="A1669" s="1">
        <v>44129</v>
      </c>
      <c r="B1669">
        <v>0.09</v>
      </c>
    </row>
    <row r="1670" spans="1:2">
      <c r="A1670" s="1">
        <v>44130</v>
      </c>
      <c r="B1670">
        <v>0.09</v>
      </c>
    </row>
    <row r="1671" spans="1:2">
      <c r="A1671" s="1">
        <v>44131</v>
      </c>
      <c r="B1671">
        <v>0.09</v>
      </c>
    </row>
    <row r="1672" spans="1:2">
      <c r="A1672" s="1">
        <v>44132</v>
      </c>
      <c r="B1672">
        <v>0.09</v>
      </c>
    </row>
    <row r="1673" spans="1:2">
      <c r="A1673" s="1">
        <v>44133</v>
      </c>
      <c r="B1673">
        <v>0.09</v>
      </c>
    </row>
    <row r="1674" spans="1:2">
      <c r="A1674" s="1">
        <v>44134</v>
      </c>
      <c r="B1674">
        <v>0.09</v>
      </c>
    </row>
    <row r="1675" spans="1:2">
      <c r="A1675" s="1">
        <v>44135</v>
      </c>
      <c r="B1675">
        <v>0.09</v>
      </c>
    </row>
    <row r="1676" spans="1:2">
      <c r="A1676" s="1">
        <v>44136</v>
      </c>
      <c r="B1676">
        <v>0.09</v>
      </c>
    </row>
    <row r="1677" spans="1:2">
      <c r="A1677" s="1">
        <v>44137</v>
      </c>
      <c r="B1677">
        <v>0.09</v>
      </c>
    </row>
    <row r="1678" spans="1:2">
      <c r="A1678" s="1">
        <v>44138</v>
      </c>
      <c r="B1678">
        <v>0.09</v>
      </c>
    </row>
    <row r="1679" spans="1:2">
      <c r="A1679" s="1">
        <v>44139</v>
      </c>
      <c r="B1679">
        <v>0.09</v>
      </c>
    </row>
    <row r="1680" spans="1:2">
      <c r="A1680" s="1">
        <v>44140</v>
      </c>
      <c r="B1680">
        <v>0.09</v>
      </c>
    </row>
    <row r="1681" spans="1:2">
      <c r="A1681" s="1">
        <v>44141</v>
      </c>
      <c r="B1681">
        <v>0.09</v>
      </c>
    </row>
    <row r="1682" spans="1:2">
      <c r="A1682" s="1">
        <v>44142</v>
      </c>
      <c r="B1682">
        <v>0.09</v>
      </c>
    </row>
    <row r="1683" spans="1:2">
      <c r="A1683" s="1">
        <v>44143</v>
      </c>
      <c r="B1683">
        <v>0.09</v>
      </c>
    </row>
    <row r="1684" spans="1:2">
      <c r="A1684" s="1">
        <v>44144</v>
      </c>
      <c r="B1684">
        <v>0.09</v>
      </c>
    </row>
    <row r="1685" spans="1:2">
      <c r="A1685" s="1">
        <v>44145</v>
      </c>
      <c r="B1685">
        <v>0.09</v>
      </c>
    </row>
    <row r="1686" spans="1:2">
      <c r="A1686" s="1">
        <v>44146</v>
      </c>
      <c r="B1686">
        <v>0.09</v>
      </c>
    </row>
    <row r="1687" spans="1:2">
      <c r="A1687" s="1">
        <v>44147</v>
      </c>
      <c r="B1687">
        <v>0.09</v>
      </c>
    </row>
    <row r="1688" spans="1:2">
      <c r="A1688" s="1">
        <v>44148</v>
      </c>
      <c r="B1688">
        <v>0.09</v>
      </c>
    </row>
    <row r="1689" spans="1:2">
      <c r="A1689" s="1">
        <v>44149</v>
      </c>
      <c r="B1689">
        <v>0.09</v>
      </c>
    </row>
    <row r="1690" spans="1:2">
      <c r="A1690" s="1">
        <v>44150</v>
      </c>
      <c r="B1690">
        <v>0.09</v>
      </c>
    </row>
    <row r="1691" spans="1:2">
      <c r="A1691" s="1">
        <v>44151</v>
      </c>
      <c r="B1691">
        <v>0.09</v>
      </c>
    </row>
    <row r="1692" spans="1:2">
      <c r="A1692" s="1">
        <v>44152</v>
      </c>
      <c r="B1692">
        <v>0.09</v>
      </c>
    </row>
    <row r="1693" spans="1:2">
      <c r="A1693" s="1">
        <v>44153</v>
      </c>
      <c r="B1693">
        <v>0.09</v>
      </c>
    </row>
    <row r="1694" spans="1:2">
      <c r="A1694" s="1">
        <v>44154</v>
      </c>
      <c r="B1694">
        <v>0.08</v>
      </c>
    </row>
    <row r="1695" spans="1:2">
      <c r="A1695" s="1">
        <v>44155</v>
      </c>
      <c r="B1695">
        <v>0.08</v>
      </c>
    </row>
    <row r="1696" spans="1:2">
      <c r="A1696" s="1">
        <v>44156</v>
      </c>
      <c r="B1696">
        <v>0.08</v>
      </c>
    </row>
    <row r="1697" spans="1:2">
      <c r="A1697" s="1">
        <v>44157</v>
      </c>
      <c r="B1697">
        <v>0.08</v>
      </c>
    </row>
    <row r="1698" spans="1:2">
      <c r="A1698" s="1">
        <v>44158</v>
      </c>
      <c r="B1698">
        <v>0.08</v>
      </c>
    </row>
    <row r="1699" spans="1:2">
      <c r="A1699" s="1">
        <v>44159</v>
      </c>
      <c r="B1699">
        <v>0.08</v>
      </c>
    </row>
    <row r="1700" spans="1:2">
      <c r="A1700" s="1">
        <v>44160</v>
      </c>
      <c r="B1700">
        <v>0.08</v>
      </c>
    </row>
    <row r="1701" spans="1:2">
      <c r="A1701" s="1">
        <v>44161</v>
      </c>
      <c r="B1701">
        <v>0.08</v>
      </c>
    </row>
    <row r="1702" spans="1:2">
      <c r="A1702" s="1">
        <v>44162</v>
      </c>
      <c r="B1702">
        <v>0.08</v>
      </c>
    </row>
    <row r="1703" spans="1:2">
      <c r="A1703" s="1">
        <v>44163</v>
      </c>
      <c r="B1703">
        <v>0.08</v>
      </c>
    </row>
    <row r="1704" spans="1:2">
      <c r="A1704" s="1">
        <v>44164</v>
      </c>
      <c r="B1704">
        <v>0.08</v>
      </c>
    </row>
    <row r="1705" spans="1:2">
      <c r="A1705" s="1">
        <v>44165</v>
      </c>
      <c r="B1705">
        <v>0.09</v>
      </c>
    </row>
    <row r="1706" spans="1:2">
      <c r="A1706" s="1">
        <v>44166</v>
      </c>
      <c r="B1706">
        <v>0.09</v>
      </c>
    </row>
    <row r="1707" spans="1:2">
      <c r="A1707" s="1">
        <v>44167</v>
      </c>
      <c r="B1707">
        <v>0.09</v>
      </c>
    </row>
    <row r="1708" spans="1:2">
      <c r="A1708" s="1">
        <v>44168</v>
      </c>
      <c r="B1708">
        <v>0.09</v>
      </c>
    </row>
    <row r="1709" spans="1:2">
      <c r="A1709" s="1">
        <v>44169</v>
      </c>
      <c r="B1709">
        <v>0.09</v>
      </c>
    </row>
    <row r="1710" spans="1:2">
      <c r="A1710" s="1">
        <v>44170</v>
      </c>
      <c r="B1710">
        <v>0.09</v>
      </c>
    </row>
    <row r="1711" spans="1:2">
      <c r="A1711" s="1">
        <v>44171</v>
      </c>
      <c r="B1711">
        <v>0.09</v>
      </c>
    </row>
    <row r="1712" spans="1:2">
      <c r="A1712" s="1">
        <v>44172</v>
      </c>
      <c r="B1712">
        <v>0.09</v>
      </c>
    </row>
    <row r="1713" spans="1:2">
      <c r="A1713" s="1">
        <v>44173</v>
      </c>
      <c r="B1713">
        <v>0.09</v>
      </c>
    </row>
    <row r="1714" spans="1:2">
      <c r="A1714" s="1">
        <v>44174</v>
      </c>
      <c r="B1714">
        <v>0.09</v>
      </c>
    </row>
    <row r="1715" spans="1:2">
      <c r="A1715" s="1">
        <v>44175</v>
      </c>
      <c r="B1715">
        <v>0.09</v>
      </c>
    </row>
    <row r="1716" spans="1:2">
      <c r="A1716" s="1">
        <v>44176</v>
      </c>
      <c r="B1716">
        <v>0.09</v>
      </c>
    </row>
    <row r="1717" spans="1:2">
      <c r="A1717" s="1">
        <v>44177</v>
      </c>
      <c r="B1717">
        <v>0.09</v>
      </c>
    </row>
    <row r="1718" spans="1:2">
      <c r="A1718" s="1">
        <v>44178</v>
      </c>
      <c r="B1718">
        <v>0.09</v>
      </c>
    </row>
    <row r="1719" spans="1:2">
      <c r="A1719" s="1">
        <v>44179</v>
      </c>
      <c r="B1719">
        <v>0.09</v>
      </c>
    </row>
    <row r="1720" spans="1:2">
      <c r="A1720" s="1">
        <v>44180</v>
      </c>
      <c r="B1720">
        <v>0.09</v>
      </c>
    </row>
    <row r="1721" spans="1:2">
      <c r="A1721" s="1">
        <v>44181</v>
      </c>
      <c r="B1721">
        <v>0.09</v>
      </c>
    </row>
    <row r="1722" spans="1:2">
      <c r="A1722" s="1">
        <v>44182</v>
      </c>
      <c r="B1722">
        <v>0.09</v>
      </c>
    </row>
    <row r="1723" spans="1:2">
      <c r="A1723" s="1">
        <v>44183</v>
      </c>
      <c r="B1723">
        <v>0.09</v>
      </c>
    </row>
    <row r="1724" spans="1:2">
      <c r="A1724" s="1">
        <v>44184</v>
      </c>
      <c r="B1724">
        <v>0.09</v>
      </c>
    </row>
    <row r="1725" spans="1:2">
      <c r="A1725" s="1">
        <v>44185</v>
      </c>
      <c r="B1725">
        <v>0.09</v>
      </c>
    </row>
    <row r="1726" spans="1:2">
      <c r="A1726" s="1">
        <v>44186</v>
      </c>
      <c r="B1726">
        <v>0.09</v>
      </c>
    </row>
    <row r="1727" spans="1:2">
      <c r="A1727" s="1">
        <v>44187</v>
      </c>
      <c r="B1727">
        <v>0.09</v>
      </c>
    </row>
    <row r="1728" spans="1:2">
      <c r="A1728" s="1">
        <v>44188</v>
      </c>
      <c r="B1728">
        <v>0.09</v>
      </c>
    </row>
    <row r="1729" spans="1:2">
      <c r="A1729" s="1">
        <v>44189</v>
      </c>
      <c r="B1729">
        <v>0.09</v>
      </c>
    </row>
    <row r="1730" spans="1:2">
      <c r="A1730" s="1">
        <v>44190</v>
      </c>
      <c r="B1730">
        <v>0.09</v>
      </c>
    </row>
    <row r="1731" spans="1:2">
      <c r="A1731" s="1">
        <v>44191</v>
      </c>
      <c r="B1731">
        <v>0.09</v>
      </c>
    </row>
    <row r="1732" spans="1:2">
      <c r="A1732" s="1">
        <v>44192</v>
      </c>
      <c r="B1732">
        <v>0.09</v>
      </c>
    </row>
    <row r="1733" spans="1:2">
      <c r="A1733" s="1">
        <v>44193</v>
      </c>
      <c r="B1733">
        <v>0.09</v>
      </c>
    </row>
    <row r="1734" spans="1:2">
      <c r="A1734" s="1">
        <v>44194</v>
      </c>
      <c r="B1734">
        <v>0.09</v>
      </c>
    </row>
    <row r="1735" spans="1:2">
      <c r="A1735" s="1">
        <v>44195</v>
      </c>
      <c r="B1735">
        <v>0.09</v>
      </c>
    </row>
    <row r="1736" spans="1:2">
      <c r="A1736" s="1">
        <v>44196</v>
      </c>
      <c r="B1736">
        <v>0.09</v>
      </c>
    </row>
    <row r="1737" spans="1:2">
      <c r="A1737" s="1">
        <v>44197</v>
      </c>
      <c r="B1737">
        <v>0.09</v>
      </c>
    </row>
    <row r="1738" spans="1:2">
      <c r="A1738" s="1">
        <v>44198</v>
      </c>
      <c r="B1738">
        <v>0.09</v>
      </c>
    </row>
    <row r="1739" spans="1:2">
      <c r="A1739" s="1">
        <v>44199</v>
      </c>
      <c r="B1739">
        <v>0.09</v>
      </c>
    </row>
    <row r="1740" spans="1:2">
      <c r="A1740" s="1">
        <v>44200</v>
      </c>
      <c r="B1740">
        <v>0.09</v>
      </c>
    </row>
    <row r="1741" spans="1:2">
      <c r="A1741" s="1">
        <v>44201</v>
      </c>
      <c r="B1741">
        <v>0.09</v>
      </c>
    </row>
    <row r="1742" spans="1:2">
      <c r="A1742" s="1">
        <v>44202</v>
      </c>
      <c r="B1742">
        <v>0.09</v>
      </c>
    </row>
    <row r="1743" spans="1:2">
      <c r="A1743" s="1">
        <v>44203</v>
      </c>
      <c r="B1743">
        <v>0.09</v>
      </c>
    </row>
    <row r="1744" spans="1:2">
      <c r="A1744" s="1">
        <v>44204</v>
      </c>
      <c r="B1744">
        <v>0.09</v>
      </c>
    </row>
    <row r="1745" spans="1:2">
      <c r="A1745" s="1">
        <v>44205</v>
      </c>
      <c r="B1745">
        <v>0.09</v>
      </c>
    </row>
    <row r="1746" spans="1:2">
      <c r="A1746" s="1">
        <v>44206</v>
      </c>
      <c r="B1746">
        <v>0.09</v>
      </c>
    </row>
    <row r="1747" spans="1:2">
      <c r="A1747" s="1">
        <v>44207</v>
      </c>
      <c r="B1747">
        <v>0.09</v>
      </c>
    </row>
    <row r="1748" spans="1:2">
      <c r="A1748" s="1">
        <v>44208</v>
      </c>
      <c r="B1748">
        <v>0.09</v>
      </c>
    </row>
    <row r="1749" spans="1:2">
      <c r="A1749" s="1">
        <v>44209</v>
      </c>
      <c r="B1749">
        <v>0.09</v>
      </c>
    </row>
    <row r="1750" spans="1:2">
      <c r="A1750" s="1">
        <v>44210</v>
      </c>
      <c r="B1750">
        <v>0.09</v>
      </c>
    </row>
    <row r="1751" spans="1:2">
      <c r="A1751" s="1">
        <v>44211</v>
      </c>
      <c r="B1751">
        <v>0.09</v>
      </c>
    </row>
    <row r="1752" spans="1:2">
      <c r="A1752" s="1">
        <v>44212</v>
      </c>
      <c r="B1752">
        <v>0.09</v>
      </c>
    </row>
    <row r="1753" spans="1:2">
      <c r="A1753" s="1">
        <v>44213</v>
      </c>
      <c r="B1753">
        <v>0.09</v>
      </c>
    </row>
    <row r="1754" spans="1:2">
      <c r="A1754" s="1">
        <v>44214</v>
      </c>
      <c r="B1754">
        <v>0.09</v>
      </c>
    </row>
    <row r="1755" spans="1:2">
      <c r="A1755" s="1">
        <v>44215</v>
      </c>
      <c r="B1755">
        <v>0.09</v>
      </c>
    </row>
    <row r="1756" spans="1:2">
      <c r="A1756" s="1">
        <v>44216</v>
      </c>
      <c r="B1756">
        <v>0.09</v>
      </c>
    </row>
    <row r="1757" spans="1:2">
      <c r="A1757" s="1">
        <v>44217</v>
      </c>
      <c r="B1757">
        <v>0.08</v>
      </c>
    </row>
    <row r="1758" spans="1:2">
      <c r="A1758" s="1">
        <v>44218</v>
      </c>
      <c r="B1758">
        <v>0.08</v>
      </c>
    </row>
    <row r="1759" spans="1:2">
      <c r="A1759" s="1">
        <v>44219</v>
      </c>
      <c r="B1759">
        <v>0.08</v>
      </c>
    </row>
    <row r="1760" spans="1:2">
      <c r="A1760" s="1">
        <v>44220</v>
      </c>
      <c r="B1760">
        <v>0.08</v>
      </c>
    </row>
    <row r="1761" spans="1:2">
      <c r="A1761" s="1">
        <v>44221</v>
      </c>
      <c r="B1761">
        <v>0.08</v>
      </c>
    </row>
    <row r="1762" spans="1:2">
      <c r="A1762" s="1">
        <v>44222</v>
      </c>
      <c r="B1762">
        <v>0.08</v>
      </c>
    </row>
    <row r="1763" spans="1:2">
      <c r="A1763" s="1">
        <v>44223</v>
      </c>
      <c r="B1763">
        <v>0.08</v>
      </c>
    </row>
    <row r="1764" spans="1:2">
      <c r="A1764" s="1">
        <v>44224</v>
      </c>
      <c r="B1764">
        <v>7.0000000000000007E-2</v>
      </c>
    </row>
    <row r="1765" spans="1:2">
      <c r="A1765" s="1">
        <v>44225</v>
      </c>
      <c r="B1765">
        <v>7.0000000000000007E-2</v>
      </c>
    </row>
    <row r="1766" spans="1:2">
      <c r="A1766" s="1">
        <v>44226</v>
      </c>
      <c r="B1766">
        <v>7.0000000000000007E-2</v>
      </c>
    </row>
    <row r="1767" spans="1:2">
      <c r="A1767" s="1">
        <v>44227</v>
      </c>
      <c r="B1767">
        <v>7.0000000000000007E-2</v>
      </c>
    </row>
    <row r="1768" spans="1:2">
      <c r="A1768" s="1">
        <v>44228</v>
      </c>
      <c r="B1768">
        <v>0.08</v>
      </c>
    </row>
    <row r="1769" spans="1:2">
      <c r="A1769" s="1">
        <v>44229</v>
      </c>
      <c r="B1769">
        <v>0.08</v>
      </c>
    </row>
    <row r="1770" spans="1:2">
      <c r="A1770" s="1">
        <v>44230</v>
      </c>
      <c r="B1770">
        <v>0.08</v>
      </c>
    </row>
    <row r="1771" spans="1:2">
      <c r="A1771" s="1">
        <v>44231</v>
      </c>
      <c r="B1771">
        <v>0.08</v>
      </c>
    </row>
    <row r="1772" spans="1:2">
      <c r="A1772" s="1">
        <v>44232</v>
      </c>
      <c r="B1772">
        <v>0.08</v>
      </c>
    </row>
    <row r="1773" spans="1:2">
      <c r="A1773" s="1">
        <v>44233</v>
      </c>
      <c r="B1773">
        <v>0.08</v>
      </c>
    </row>
    <row r="1774" spans="1:2">
      <c r="A1774" s="1">
        <v>44234</v>
      </c>
      <c r="B1774">
        <v>0.08</v>
      </c>
    </row>
    <row r="1775" spans="1:2">
      <c r="A1775" s="1">
        <v>44235</v>
      </c>
      <c r="B1775">
        <v>7.0000000000000007E-2</v>
      </c>
    </row>
    <row r="1776" spans="1:2">
      <c r="A1776" s="1">
        <v>44236</v>
      </c>
      <c r="B1776">
        <v>0.08</v>
      </c>
    </row>
    <row r="1777" spans="1:2">
      <c r="A1777" s="1">
        <v>44237</v>
      </c>
      <c r="B1777">
        <v>0.08</v>
      </c>
    </row>
    <row r="1778" spans="1:2">
      <c r="A1778" s="1">
        <v>44238</v>
      </c>
      <c r="B1778">
        <v>0.08</v>
      </c>
    </row>
    <row r="1779" spans="1:2">
      <c r="A1779" s="1">
        <v>44239</v>
      </c>
      <c r="B1779">
        <v>0.08</v>
      </c>
    </row>
    <row r="1780" spans="1:2">
      <c r="A1780" s="1">
        <v>44240</v>
      </c>
      <c r="B1780">
        <v>0.08</v>
      </c>
    </row>
    <row r="1781" spans="1:2">
      <c r="A1781" s="1">
        <v>44241</v>
      </c>
      <c r="B1781">
        <v>0.08</v>
      </c>
    </row>
    <row r="1782" spans="1:2">
      <c r="A1782" s="1">
        <v>44242</v>
      </c>
      <c r="B1782">
        <v>0.08</v>
      </c>
    </row>
    <row r="1783" spans="1:2">
      <c r="A1783" s="1">
        <v>44243</v>
      </c>
      <c r="B1783">
        <v>0.08</v>
      </c>
    </row>
    <row r="1784" spans="1:2">
      <c r="A1784" s="1">
        <v>44244</v>
      </c>
      <c r="B1784">
        <v>0.08</v>
      </c>
    </row>
    <row r="1785" spans="1:2">
      <c r="A1785" s="1">
        <v>44245</v>
      </c>
      <c r="B1785">
        <v>7.0000000000000007E-2</v>
      </c>
    </row>
    <row r="1786" spans="1:2">
      <c r="A1786" s="1">
        <v>44246</v>
      </c>
      <c r="B1786">
        <v>7.0000000000000007E-2</v>
      </c>
    </row>
    <row r="1787" spans="1:2">
      <c r="A1787" s="1">
        <v>44247</v>
      </c>
      <c r="B1787">
        <v>7.0000000000000007E-2</v>
      </c>
    </row>
    <row r="1788" spans="1:2">
      <c r="A1788" s="1">
        <v>44248</v>
      </c>
      <c r="B1788">
        <v>7.0000000000000007E-2</v>
      </c>
    </row>
    <row r="1789" spans="1:2">
      <c r="A1789" s="1">
        <v>44249</v>
      </c>
      <c r="B1789">
        <v>7.0000000000000007E-2</v>
      </c>
    </row>
    <row r="1790" spans="1:2">
      <c r="A1790" s="1">
        <v>44250</v>
      </c>
      <c r="B1790">
        <v>7.0000000000000007E-2</v>
      </c>
    </row>
    <row r="1791" spans="1:2">
      <c r="A1791" s="1">
        <v>44251</v>
      </c>
      <c r="B1791">
        <v>7.0000000000000007E-2</v>
      </c>
    </row>
    <row r="1792" spans="1:2">
      <c r="A1792" s="1">
        <v>44252</v>
      </c>
      <c r="B1792">
        <v>7.0000000000000007E-2</v>
      </c>
    </row>
    <row r="1793" spans="1:2">
      <c r="A1793" s="1">
        <v>44253</v>
      </c>
      <c r="B1793">
        <v>7.0000000000000007E-2</v>
      </c>
    </row>
    <row r="1794" spans="1:2">
      <c r="A1794" s="1">
        <v>44254</v>
      </c>
      <c r="B1794">
        <v>7.0000000000000007E-2</v>
      </c>
    </row>
    <row r="1795" spans="1:2">
      <c r="A1795" s="1">
        <v>44255</v>
      </c>
      <c r="B1795">
        <v>7.0000000000000007E-2</v>
      </c>
    </row>
    <row r="1796" spans="1:2">
      <c r="A1796" s="1">
        <v>44256</v>
      </c>
      <c r="B1796">
        <v>7.0000000000000007E-2</v>
      </c>
    </row>
    <row r="1797" spans="1:2">
      <c r="A1797" s="1">
        <v>44257</v>
      </c>
      <c r="B1797">
        <v>7.0000000000000007E-2</v>
      </c>
    </row>
    <row r="1798" spans="1:2">
      <c r="A1798" s="1">
        <v>44258</v>
      </c>
      <c r="B1798">
        <v>7.0000000000000007E-2</v>
      </c>
    </row>
    <row r="1799" spans="1:2">
      <c r="A1799" s="1">
        <v>44259</v>
      </c>
      <c r="B1799">
        <v>7.0000000000000007E-2</v>
      </c>
    </row>
    <row r="1800" spans="1:2">
      <c r="A1800" s="1">
        <v>44260</v>
      </c>
      <c r="B1800">
        <v>7.0000000000000007E-2</v>
      </c>
    </row>
    <row r="1801" spans="1:2">
      <c r="A1801" s="1">
        <v>44261</v>
      </c>
      <c r="B1801">
        <v>7.0000000000000007E-2</v>
      </c>
    </row>
    <row r="1802" spans="1:2">
      <c r="A1802" s="1">
        <v>44262</v>
      </c>
      <c r="B1802">
        <v>7.0000000000000007E-2</v>
      </c>
    </row>
    <row r="1803" spans="1:2">
      <c r="A1803" s="1">
        <v>44263</v>
      </c>
      <c r="B1803">
        <v>7.0000000000000007E-2</v>
      </c>
    </row>
    <row r="1804" spans="1:2">
      <c r="A1804" s="1">
        <v>44264</v>
      </c>
      <c r="B1804">
        <v>7.0000000000000007E-2</v>
      </c>
    </row>
    <row r="1805" spans="1:2">
      <c r="A1805" s="1">
        <v>44265</v>
      </c>
      <c r="B1805">
        <v>7.0000000000000007E-2</v>
      </c>
    </row>
    <row r="1806" spans="1:2">
      <c r="A1806" s="1">
        <v>44266</v>
      </c>
      <c r="B1806">
        <v>7.0000000000000007E-2</v>
      </c>
    </row>
    <row r="1807" spans="1:2">
      <c r="A1807" s="1">
        <v>44267</v>
      </c>
      <c r="B1807">
        <v>7.0000000000000007E-2</v>
      </c>
    </row>
    <row r="1808" spans="1:2">
      <c r="A1808" s="1">
        <v>44268</v>
      </c>
      <c r="B1808">
        <v>7.0000000000000007E-2</v>
      </c>
    </row>
    <row r="1809" spans="1:2">
      <c r="A1809" s="1">
        <v>44269</v>
      </c>
      <c r="B1809">
        <v>7.0000000000000007E-2</v>
      </c>
    </row>
    <row r="1810" spans="1:2">
      <c r="A1810" s="1">
        <v>44270</v>
      </c>
      <c r="B1810">
        <v>7.0000000000000007E-2</v>
      </c>
    </row>
    <row r="1811" spans="1:2">
      <c r="A1811" s="1">
        <v>44271</v>
      </c>
      <c r="B1811">
        <v>7.0000000000000007E-2</v>
      </c>
    </row>
    <row r="1812" spans="1:2">
      <c r="A1812" s="1">
        <v>44272</v>
      </c>
      <c r="B1812">
        <v>7.0000000000000007E-2</v>
      </c>
    </row>
    <row r="1813" spans="1:2">
      <c r="A1813" s="1">
        <v>44273</v>
      </c>
      <c r="B1813">
        <v>7.0000000000000007E-2</v>
      </c>
    </row>
    <row r="1814" spans="1:2">
      <c r="A1814" s="1">
        <v>44274</v>
      </c>
      <c r="B1814">
        <v>7.0000000000000007E-2</v>
      </c>
    </row>
    <row r="1815" spans="1:2">
      <c r="A1815" s="1">
        <v>44275</v>
      </c>
      <c r="B1815">
        <v>7.0000000000000007E-2</v>
      </c>
    </row>
    <row r="1816" spans="1:2">
      <c r="A1816" s="1">
        <v>44276</v>
      </c>
      <c r="B1816">
        <v>7.0000000000000007E-2</v>
      </c>
    </row>
    <row r="1817" spans="1:2">
      <c r="A1817" s="1">
        <v>44277</v>
      </c>
      <c r="B1817">
        <v>7.0000000000000007E-2</v>
      </c>
    </row>
    <row r="1818" spans="1:2">
      <c r="A1818" s="1">
        <v>44278</v>
      </c>
      <c r="B1818">
        <v>7.0000000000000007E-2</v>
      </c>
    </row>
    <row r="1819" spans="1:2">
      <c r="A1819" s="1">
        <v>44279</v>
      </c>
      <c r="B1819">
        <v>7.0000000000000007E-2</v>
      </c>
    </row>
    <row r="1820" spans="1:2">
      <c r="A1820" s="1">
        <v>44280</v>
      </c>
      <c r="B1820">
        <v>7.0000000000000007E-2</v>
      </c>
    </row>
    <row r="1821" spans="1:2">
      <c r="A1821" s="1">
        <v>44281</v>
      </c>
      <c r="B1821">
        <v>7.0000000000000007E-2</v>
      </c>
    </row>
    <row r="1822" spans="1:2">
      <c r="A1822" s="1">
        <v>44282</v>
      </c>
      <c r="B1822">
        <v>7.0000000000000007E-2</v>
      </c>
    </row>
    <row r="1823" spans="1:2">
      <c r="A1823" s="1">
        <v>44283</v>
      </c>
      <c r="B1823">
        <v>7.0000000000000007E-2</v>
      </c>
    </row>
    <row r="1824" spans="1:2">
      <c r="A1824" s="1">
        <v>44284</v>
      </c>
      <c r="B1824">
        <v>7.0000000000000007E-2</v>
      </c>
    </row>
    <row r="1825" spans="1:2">
      <c r="A1825" s="1">
        <v>44285</v>
      </c>
      <c r="B1825">
        <v>7.0000000000000007E-2</v>
      </c>
    </row>
    <row r="1826" spans="1:2">
      <c r="A1826" s="1">
        <v>44286</v>
      </c>
      <c r="B1826">
        <v>0.06</v>
      </c>
    </row>
    <row r="1827" spans="1:2">
      <c r="A1827" s="1">
        <v>44287</v>
      </c>
      <c r="B1827">
        <v>7.0000000000000007E-2</v>
      </c>
    </row>
    <row r="1828" spans="1:2">
      <c r="A1828" s="1">
        <v>44288</v>
      </c>
      <c r="B1828">
        <v>7.0000000000000007E-2</v>
      </c>
    </row>
    <row r="1829" spans="1:2">
      <c r="A1829" s="1">
        <v>44289</v>
      </c>
      <c r="B1829">
        <v>7.0000000000000007E-2</v>
      </c>
    </row>
    <row r="1830" spans="1:2">
      <c r="A1830" s="1">
        <v>44290</v>
      </c>
      <c r="B1830">
        <v>7.0000000000000007E-2</v>
      </c>
    </row>
    <row r="1831" spans="1:2">
      <c r="A1831" s="1">
        <v>44291</v>
      </c>
      <c r="B1831">
        <v>7.0000000000000007E-2</v>
      </c>
    </row>
    <row r="1832" spans="1:2">
      <c r="A1832" s="1">
        <v>44292</v>
      </c>
      <c r="B1832">
        <v>7.0000000000000007E-2</v>
      </c>
    </row>
    <row r="1833" spans="1:2">
      <c r="A1833" s="1">
        <v>44293</v>
      </c>
      <c r="B1833">
        <v>7.0000000000000007E-2</v>
      </c>
    </row>
    <row r="1834" spans="1:2">
      <c r="A1834" s="1">
        <v>44294</v>
      </c>
      <c r="B1834">
        <v>7.0000000000000007E-2</v>
      </c>
    </row>
    <row r="1835" spans="1:2">
      <c r="A1835" s="1">
        <v>44295</v>
      </c>
      <c r="B1835">
        <v>7.0000000000000007E-2</v>
      </c>
    </row>
    <row r="1836" spans="1:2">
      <c r="A1836" s="1">
        <v>44296</v>
      </c>
      <c r="B1836">
        <v>7.0000000000000007E-2</v>
      </c>
    </row>
    <row r="1837" spans="1:2">
      <c r="A1837" s="1">
        <v>44297</v>
      </c>
      <c r="B1837">
        <v>7.0000000000000007E-2</v>
      </c>
    </row>
    <row r="1838" spans="1:2">
      <c r="A1838" s="1">
        <v>44298</v>
      </c>
      <c r="B1838">
        <v>7.0000000000000007E-2</v>
      </c>
    </row>
    <row r="1839" spans="1:2">
      <c r="A1839" s="1">
        <v>44299</v>
      </c>
      <c r="B1839">
        <v>7.0000000000000007E-2</v>
      </c>
    </row>
    <row r="1840" spans="1:2">
      <c r="A1840" s="1">
        <v>44300</v>
      </c>
      <c r="B1840">
        <v>7.0000000000000007E-2</v>
      </c>
    </row>
    <row r="1841" spans="1:2">
      <c r="A1841" s="1">
        <v>44301</v>
      </c>
      <c r="B1841">
        <v>7.0000000000000007E-2</v>
      </c>
    </row>
    <row r="1842" spans="1:2">
      <c r="A1842" s="1">
        <v>44302</v>
      </c>
      <c r="B1842">
        <v>7.0000000000000007E-2</v>
      </c>
    </row>
    <row r="1843" spans="1:2">
      <c r="A1843" s="1">
        <v>44303</v>
      </c>
      <c r="B1843">
        <v>7.0000000000000007E-2</v>
      </c>
    </row>
    <row r="1844" spans="1:2">
      <c r="A1844" s="1">
        <v>44304</v>
      </c>
      <c r="B1844">
        <v>7.0000000000000007E-2</v>
      </c>
    </row>
    <row r="1845" spans="1:2">
      <c r="A1845" s="1">
        <v>44305</v>
      </c>
      <c r="B1845">
        <v>7.0000000000000007E-2</v>
      </c>
    </row>
    <row r="1846" spans="1:2">
      <c r="A1846" s="1">
        <v>44306</v>
      </c>
      <c r="B1846">
        <v>7.0000000000000007E-2</v>
      </c>
    </row>
    <row r="1847" spans="1:2">
      <c r="A1847" s="1">
        <v>44307</v>
      </c>
      <c r="B1847">
        <v>7.0000000000000007E-2</v>
      </c>
    </row>
    <row r="1848" spans="1:2">
      <c r="A1848" s="1">
        <v>44308</v>
      </c>
      <c r="B1848">
        <v>7.0000000000000007E-2</v>
      </c>
    </row>
    <row r="1849" spans="1:2">
      <c r="A1849" s="1">
        <v>44309</v>
      </c>
      <c r="B1849">
        <v>7.0000000000000007E-2</v>
      </c>
    </row>
    <row r="1850" spans="1:2">
      <c r="A1850" s="1">
        <v>44310</v>
      </c>
      <c r="B1850">
        <v>7.0000000000000007E-2</v>
      </c>
    </row>
    <row r="1851" spans="1:2">
      <c r="A1851" s="1">
        <v>44311</v>
      </c>
      <c r="B1851">
        <v>7.0000000000000007E-2</v>
      </c>
    </row>
    <row r="1852" spans="1:2">
      <c r="A1852" s="1">
        <v>44312</v>
      </c>
      <c r="B1852">
        <v>7.0000000000000007E-2</v>
      </c>
    </row>
    <row r="1853" spans="1:2">
      <c r="A1853" s="1">
        <v>44313</v>
      </c>
      <c r="B1853">
        <v>7.0000000000000007E-2</v>
      </c>
    </row>
    <row r="1854" spans="1:2">
      <c r="A1854" s="1">
        <v>44314</v>
      </c>
      <c r="B1854">
        <v>7.0000000000000007E-2</v>
      </c>
    </row>
    <row r="1855" spans="1:2">
      <c r="A1855" s="1">
        <v>44315</v>
      </c>
      <c r="B1855">
        <v>0.06</v>
      </c>
    </row>
    <row r="1856" spans="1:2">
      <c r="A1856" s="1">
        <v>44316</v>
      </c>
      <c r="B1856">
        <v>0.05</v>
      </c>
    </row>
    <row r="1857" spans="1:2">
      <c r="A1857" s="1">
        <v>44317</v>
      </c>
      <c r="B1857">
        <v>0.05</v>
      </c>
    </row>
    <row r="1858" spans="1:2">
      <c r="A1858" s="1">
        <v>44318</v>
      </c>
      <c r="B1858">
        <v>0.05</v>
      </c>
    </row>
    <row r="1859" spans="1:2">
      <c r="A1859" s="1">
        <v>44319</v>
      </c>
      <c r="B1859">
        <v>0.06</v>
      </c>
    </row>
    <row r="1860" spans="1:2">
      <c r="A1860" s="1">
        <v>44320</v>
      </c>
      <c r="B1860">
        <v>0.06</v>
      </c>
    </row>
    <row r="1861" spans="1:2">
      <c r="A1861" s="1">
        <v>44321</v>
      </c>
      <c r="B1861">
        <v>0.06</v>
      </c>
    </row>
    <row r="1862" spans="1:2">
      <c r="A1862" s="1">
        <v>44322</v>
      </c>
      <c r="B1862">
        <v>0.06</v>
      </c>
    </row>
    <row r="1863" spans="1:2">
      <c r="A1863" s="1">
        <v>44323</v>
      </c>
      <c r="B1863">
        <v>0.06</v>
      </c>
    </row>
    <row r="1864" spans="1:2">
      <c r="A1864" s="1">
        <v>44324</v>
      </c>
      <c r="B1864">
        <v>0.06</v>
      </c>
    </row>
    <row r="1865" spans="1:2">
      <c r="A1865" s="1">
        <v>44325</v>
      </c>
      <c r="B1865">
        <v>0.06</v>
      </c>
    </row>
    <row r="1866" spans="1:2">
      <c r="A1866" s="1">
        <v>44326</v>
      </c>
      <c r="B1866">
        <v>0.06</v>
      </c>
    </row>
    <row r="1867" spans="1:2">
      <c r="A1867" s="1">
        <v>44327</v>
      </c>
      <c r="B1867">
        <v>0.06</v>
      </c>
    </row>
    <row r="1868" spans="1:2">
      <c r="A1868" s="1">
        <v>44328</v>
      </c>
      <c r="B1868">
        <v>0.06</v>
      </c>
    </row>
    <row r="1869" spans="1:2">
      <c r="A1869" s="1">
        <v>44329</v>
      </c>
      <c r="B1869">
        <v>0.06</v>
      </c>
    </row>
    <row r="1870" spans="1:2">
      <c r="A1870" s="1">
        <v>44330</v>
      </c>
      <c r="B1870">
        <v>0.06</v>
      </c>
    </row>
    <row r="1871" spans="1:2">
      <c r="A1871" s="1">
        <v>44331</v>
      </c>
      <c r="B1871">
        <v>0.06</v>
      </c>
    </row>
    <row r="1872" spans="1:2">
      <c r="A1872" s="1">
        <v>44332</v>
      </c>
      <c r="B1872">
        <v>0.06</v>
      </c>
    </row>
    <row r="1873" spans="1:2">
      <c r="A1873" s="1">
        <v>44333</v>
      </c>
      <c r="B1873">
        <v>0.06</v>
      </c>
    </row>
    <row r="1874" spans="1:2">
      <c r="A1874" s="1">
        <v>44334</v>
      </c>
      <c r="B1874">
        <v>0.06</v>
      </c>
    </row>
    <row r="1875" spans="1:2">
      <c r="A1875" s="1">
        <v>44335</v>
      </c>
      <c r="B1875">
        <v>0.06</v>
      </c>
    </row>
    <row r="1876" spans="1:2">
      <c r="A1876" s="1">
        <v>44336</v>
      </c>
      <c r="B1876">
        <v>0.06</v>
      </c>
    </row>
    <row r="1877" spans="1:2">
      <c r="A1877" s="1">
        <v>44337</v>
      </c>
      <c r="B1877">
        <v>0.06</v>
      </c>
    </row>
    <row r="1878" spans="1:2">
      <c r="A1878" s="1">
        <v>44338</v>
      </c>
      <c r="B1878">
        <v>0.06</v>
      </c>
    </row>
    <row r="1879" spans="1:2">
      <c r="A1879" s="1">
        <v>44339</v>
      </c>
      <c r="B1879">
        <v>0.06</v>
      </c>
    </row>
    <row r="1880" spans="1:2">
      <c r="A1880" s="1">
        <v>44340</v>
      </c>
      <c r="B1880">
        <v>0.06</v>
      </c>
    </row>
    <row r="1881" spans="1:2">
      <c r="A1881" s="1">
        <v>44341</v>
      </c>
      <c r="B1881">
        <v>0.06</v>
      </c>
    </row>
    <row r="1882" spans="1:2">
      <c r="A1882" s="1">
        <v>44342</v>
      </c>
      <c r="B1882">
        <v>0.06</v>
      </c>
    </row>
    <row r="1883" spans="1:2">
      <c r="A1883" s="1">
        <v>44343</v>
      </c>
      <c r="B1883">
        <v>0.06</v>
      </c>
    </row>
    <row r="1884" spans="1:2">
      <c r="A1884" s="1">
        <v>44344</v>
      </c>
      <c r="B1884">
        <v>0.05</v>
      </c>
    </row>
    <row r="1885" spans="1:2">
      <c r="A1885" s="1">
        <v>44345</v>
      </c>
      <c r="B1885">
        <v>0.05</v>
      </c>
    </row>
    <row r="1886" spans="1:2">
      <c r="A1886" s="1">
        <v>44346</v>
      </c>
      <c r="B1886">
        <v>0.05</v>
      </c>
    </row>
    <row r="1887" spans="1:2">
      <c r="A1887" s="1">
        <v>44347</v>
      </c>
      <c r="B1887">
        <v>0.05</v>
      </c>
    </row>
    <row r="1888" spans="1:2">
      <c r="A1888" s="1">
        <v>44348</v>
      </c>
      <c r="B1888">
        <v>0.06</v>
      </c>
    </row>
    <row r="1889" spans="1:2">
      <c r="A1889" s="1">
        <v>44349</v>
      </c>
      <c r="B1889">
        <v>0.06</v>
      </c>
    </row>
    <row r="1890" spans="1:2">
      <c r="A1890" s="1">
        <v>44350</v>
      </c>
      <c r="B1890">
        <v>0.06</v>
      </c>
    </row>
    <row r="1891" spans="1:2">
      <c r="A1891" s="1">
        <v>44351</v>
      </c>
      <c r="B1891">
        <v>0.06</v>
      </c>
    </row>
    <row r="1892" spans="1:2">
      <c r="A1892" s="1">
        <v>44352</v>
      </c>
      <c r="B1892">
        <v>0.06</v>
      </c>
    </row>
    <row r="1893" spans="1:2">
      <c r="A1893" s="1">
        <v>44353</v>
      </c>
      <c r="B1893">
        <v>0.06</v>
      </c>
    </row>
    <row r="1894" spans="1:2">
      <c r="A1894" s="1">
        <v>44354</v>
      </c>
      <c r="B1894">
        <v>0.06</v>
      </c>
    </row>
    <row r="1895" spans="1:2">
      <c r="A1895" s="1">
        <v>44355</v>
      </c>
      <c r="B1895">
        <v>0.06</v>
      </c>
    </row>
    <row r="1896" spans="1:2">
      <c r="A1896" s="1">
        <v>44356</v>
      </c>
      <c r="B1896">
        <v>0.06</v>
      </c>
    </row>
    <row r="1897" spans="1:2">
      <c r="A1897" s="1">
        <v>44357</v>
      </c>
      <c r="B1897">
        <v>0.06</v>
      </c>
    </row>
    <row r="1898" spans="1:2">
      <c r="A1898" s="1">
        <v>44358</v>
      </c>
      <c r="B1898">
        <v>0.06</v>
      </c>
    </row>
    <row r="1899" spans="1:2">
      <c r="A1899" s="1">
        <v>44359</v>
      </c>
      <c r="B1899">
        <v>0.06</v>
      </c>
    </row>
    <row r="1900" spans="1:2">
      <c r="A1900" s="1">
        <v>44360</v>
      </c>
      <c r="B1900">
        <v>0.06</v>
      </c>
    </row>
    <row r="1901" spans="1:2">
      <c r="A1901" s="1">
        <v>44361</v>
      </c>
      <c r="B1901">
        <v>0.06</v>
      </c>
    </row>
    <row r="1902" spans="1:2">
      <c r="A1902" s="1">
        <v>44362</v>
      </c>
      <c r="B1902">
        <v>0.06</v>
      </c>
    </row>
    <row r="1903" spans="1:2">
      <c r="A1903" s="1">
        <v>44363</v>
      </c>
      <c r="B1903">
        <v>0.06</v>
      </c>
    </row>
    <row r="1904" spans="1:2">
      <c r="A1904" s="1">
        <v>44364</v>
      </c>
      <c r="B1904">
        <v>0.1</v>
      </c>
    </row>
    <row r="1905" spans="1:2">
      <c r="A1905" s="1">
        <v>44365</v>
      </c>
      <c r="B1905">
        <v>0.1</v>
      </c>
    </row>
    <row r="1906" spans="1:2">
      <c r="A1906" s="1">
        <v>44366</v>
      </c>
      <c r="B1906">
        <v>0.1</v>
      </c>
    </row>
    <row r="1907" spans="1:2">
      <c r="A1907" s="1">
        <v>44367</v>
      </c>
      <c r="B1907">
        <v>0.1</v>
      </c>
    </row>
    <row r="1908" spans="1:2">
      <c r="A1908" s="1">
        <v>44368</v>
      </c>
      <c r="B1908">
        <v>0.1</v>
      </c>
    </row>
    <row r="1909" spans="1:2">
      <c r="A1909" s="1">
        <v>44369</v>
      </c>
      <c r="B1909">
        <v>0.1</v>
      </c>
    </row>
    <row r="1910" spans="1:2">
      <c r="A1910" s="1">
        <v>44370</v>
      </c>
      <c r="B1910">
        <v>0.1</v>
      </c>
    </row>
    <row r="1911" spans="1:2">
      <c r="A1911" s="1">
        <v>44371</v>
      </c>
      <c r="B1911">
        <v>0.1</v>
      </c>
    </row>
    <row r="1912" spans="1:2">
      <c r="A1912" s="1">
        <v>44372</v>
      </c>
      <c r="B1912">
        <v>0.1</v>
      </c>
    </row>
    <row r="1913" spans="1:2">
      <c r="A1913" s="1">
        <v>44373</v>
      </c>
      <c r="B1913">
        <v>0.1</v>
      </c>
    </row>
    <row r="1914" spans="1:2">
      <c r="A1914" s="1">
        <v>44374</v>
      </c>
      <c r="B1914">
        <v>0.1</v>
      </c>
    </row>
    <row r="1915" spans="1:2">
      <c r="A1915" s="1">
        <v>44375</v>
      </c>
      <c r="B1915">
        <v>0.1</v>
      </c>
    </row>
    <row r="1916" spans="1:2">
      <c r="A1916" s="1">
        <v>44376</v>
      </c>
      <c r="B1916">
        <v>0.1</v>
      </c>
    </row>
    <row r="1917" spans="1:2">
      <c r="A1917" s="1">
        <v>44377</v>
      </c>
      <c r="B1917">
        <v>0.08</v>
      </c>
    </row>
    <row r="1918" spans="1:2">
      <c r="A1918" s="1">
        <v>44378</v>
      </c>
      <c r="B1918">
        <v>0.1</v>
      </c>
    </row>
    <row r="1919" spans="1:2">
      <c r="A1919" s="1">
        <v>44379</v>
      </c>
      <c r="B1919">
        <v>0.1</v>
      </c>
    </row>
    <row r="1920" spans="1:2">
      <c r="A1920" s="1">
        <v>44380</v>
      </c>
      <c r="B1920">
        <v>0.1</v>
      </c>
    </row>
    <row r="1921" spans="1:2">
      <c r="A1921" s="1">
        <v>44381</v>
      </c>
      <c r="B1921">
        <v>0.1</v>
      </c>
    </row>
    <row r="1922" spans="1:2">
      <c r="A1922" s="1">
        <v>44382</v>
      </c>
      <c r="B1922">
        <v>0.1</v>
      </c>
    </row>
    <row r="1923" spans="1:2">
      <c r="A1923" s="1">
        <v>44383</v>
      </c>
      <c r="B1923">
        <v>0.1</v>
      </c>
    </row>
    <row r="1924" spans="1:2">
      <c r="A1924" s="1">
        <v>44384</v>
      </c>
      <c r="B1924">
        <v>0.1</v>
      </c>
    </row>
    <row r="1925" spans="1:2">
      <c r="A1925" s="1">
        <v>44385</v>
      </c>
      <c r="B1925">
        <v>0.1</v>
      </c>
    </row>
    <row r="1926" spans="1:2">
      <c r="A1926" s="1">
        <v>44386</v>
      </c>
      <c r="B1926">
        <v>0.1</v>
      </c>
    </row>
    <row r="1927" spans="1:2">
      <c r="A1927" s="1">
        <v>44387</v>
      </c>
      <c r="B1927">
        <v>0.1</v>
      </c>
    </row>
    <row r="1928" spans="1:2">
      <c r="A1928" s="1">
        <v>44388</v>
      </c>
      <c r="B1928">
        <v>0.1</v>
      </c>
    </row>
    <row r="1929" spans="1:2">
      <c r="A1929" s="1">
        <v>44389</v>
      </c>
      <c r="B1929">
        <v>0.1</v>
      </c>
    </row>
    <row r="1930" spans="1:2">
      <c r="A1930" s="1">
        <v>44390</v>
      </c>
      <c r="B1930">
        <v>0.1</v>
      </c>
    </row>
    <row r="1931" spans="1:2">
      <c r="A1931" s="1">
        <v>44391</v>
      </c>
      <c r="B1931">
        <v>0.1</v>
      </c>
    </row>
    <row r="1932" spans="1:2">
      <c r="A1932" s="1">
        <v>44392</v>
      </c>
      <c r="B1932">
        <v>0.1</v>
      </c>
    </row>
    <row r="1933" spans="1:2">
      <c r="A1933" s="1">
        <v>44393</v>
      </c>
      <c r="B1933">
        <v>0.1</v>
      </c>
    </row>
    <row r="1934" spans="1:2">
      <c r="A1934" s="1">
        <v>44394</v>
      </c>
      <c r="B1934">
        <v>0.1</v>
      </c>
    </row>
    <row r="1935" spans="1:2">
      <c r="A1935" s="1">
        <v>44395</v>
      </c>
      <c r="B1935">
        <v>0.1</v>
      </c>
    </row>
    <row r="1936" spans="1:2">
      <c r="A1936" s="1">
        <v>44396</v>
      </c>
      <c r="B1936">
        <v>0.1</v>
      </c>
    </row>
    <row r="1937" spans="1:2">
      <c r="A1937" s="1">
        <v>44397</v>
      </c>
      <c r="B1937">
        <v>0.1</v>
      </c>
    </row>
    <row r="1938" spans="1:2">
      <c r="A1938" s="1">
        <v>44398</v>
      </c>
      <c r="B1938">
        <v>0.1</v>
      </c>
    </row>
    <row r="1939" spans="1:2">
      <c r="A1939" s="1">
        <v>44399</v>
      </c>
      <c r="B1939">
        <v>0.1</v>
      </c>
    </row>
    <row r="1940" spans="1:2">
      <c r="A1940" s="1">
        <v>44400</v>
      </c>
      <c r="B1940">
        <v>0.1</v>
      </c>
    </row>
    <row r="1941" spans="1:2">
      <c r="A1941" s="1">
        <v>44401</v>
      </c>
      <c r="B1941">
        <v>0.1</v>
      </c>
    </row>
    <row r="1942" spans="1:2">
      <c r="A1942" s="1">
        <v>44402</v>
      </c>
      <c r="B1942">
        <v>0.1</v>
      </c>
    </row>
    <row r="1943" spans="1:2">
      <c r="A1943" s="1">
        <v>44403</v>
      </c>
      <c r="B1943">
        <v>0.1</v>
      </c>
    </row>
    <row r="1944" spans="1:2">
      <c r="A1944" s="1">
        <v>44404</v>
      </c>
      <c r="B1944">
        <v>0.1</v>
      </c>
    </row>
    <row r="1945" spans="1:2">
      <c r="A1945" s="1">
        <v>44405</v>
      </c>
      <c r="B1945">
        <v>0.1</v>
      </c>
    </row>
    <row r="1946" spans="1:2">
      <c r="A1946" s="1">
        <v>44406</v>
      </c>
      <c r="B1946">
        <v>0.1</v>
      </c>
    </row>
    <row r="1947" spans="1:2">
      <c r="A1947" s="1">
        <v>44407</v>
      </c>
      <c r="B1947">
        <v>7.0000000000000007E-2</v>
      </c>
    </row>
    <row r="1948" spans="1:2">
      <c r="A1948" s="1">
        <v>44408</v>
      </c>
      <c r="B1948">
        <v>7.0000000000000007E-2</v>
      </c>
    </row>
    <row r="1949" spans="1:2">
      <c r="A1949" s="1">
        <v>44409</v>
      </c>
      <c r="B1949">
        <v>7.0000000000000007E-2</v>
      </c>
    </row>
    <row r="1950" spans="1:2">
      <c r="A1950" s="1">
        <v>44410</v>
      </c>
      <c r="B1950">
        <v>0.1</v>
      </c>
    </row>
    <row r="1951" spans="1:2">
      <c r="A1951" s="1">
        <v>44411</v>
      </c>
      <c r="B1951">
        <v>0.1</v>
      </c>
    </row>
    <row r="1952" spans="1:2">
      <c r="A1952" s="1">
        <v>44412</v>
      </c>
      <c r="B1952">
        <v>0.1</v>
      </c>
    </row>
    <row r="1953" spans="1:2">
      <c r="A1953" s="1">
        <v>44413</v>
      </c>
      <c r="B1953">
        <v>0.1</v>
      </c>
    </row>
    <row r="1954" spans="1:2">
      <c r="A1954" s="1">
        <v>44414</v>
      </c>
      <c r="B1954">
        <v>0.1</v>
      </c>
    </row>
    <row r="1955" spans="1:2">
      <c r="A1955" s="1">
        <v>44415</v>
      </c>
      <c r="B1955">
        <v>0.1</v>
      </c>
    </row>
    <row r="1956" spans="1:2">
      <c r="A1956" s="1">
        <v>44416</v>
      </c>
      <c r="B1956">
        <v>0.1</v>
      </c>
    </row>
    <row r="1957" spans="1:2">
      <c r="A1957" s="1">
        <v>44417</v>
      </c>
      <c r="B1957">
        <v>0.1</v>
      </c>
    </row>
    <row r="1958" spans="1:2">
      <c r="A1958" s="1">
        <v>44418</v>
      </c>
      <c r="B1958">
        <v>0.1</v>
      </c>
    </row>
    <row r="1959" spans="1:2">
      <c r="A1959" s="1">
        <v>44419</v>
      </c>
      <c r="B1959">
        <v>0.1</v>
      </c>
    </row>
    <row r="1960" spans="1:2">
      <c r="A1960" s="1">
        <v>44420</v>
      </c>
      <c r="B1960">
        <v>0.1</v>
      </c>
    </row>
    <row r="1961" spans="1:2">
      <c r="A1961" s="1">
        <v>44421</v>
      </c>
      <c r="B1961">
        <v>0.1</v>
      </c>
    </row>
    <row r="1962" spans="1:2">
      <c r="A1962" s="1">
        <v>44422</v>
      </c>
      <c r="B1962">
        <v>0.1</v>
      </c>
    </row>
    <row r="1963" spans="1:2">
      <c r="A1963" s="1">
        <v>44423</v>
      </c>
      <c r="B1963">
        <v>0.1</v>
      </c>
    </row>
    <row r="1964" spans="1:2">
      <c r="A1964" s="1">
        <v>44424</v>
      </c>
      <c r="B1964">
        <v>0.1</v>
      </c>
    </row>
    <row r="1965" spans="1:2">
      <c r="A1965" s="1">
        <v>44425</v>
      </c>
      <c r="B1965">
        <v>0.1</v>
      </c>
    </row>
    <row r="1966" spans="1:2">
      <c r="A1966" s="1">
        <v>44426</v>
      </c>
      <c r="B1966">
        <v>0.09</v>
      </c>
    </row>
    <row r="1967" spans="1:2">
      <c r="A1967" s="1">
        <v>44427</v>
      </c>
      <c r="B1967">
        <v>0.09</v>
      </c>
    </row>
    <row r="1968" spans="1:2">
      <c r="A1968" s="1">
        <v>44428</v>
      </c>
      <c r="B1968">
        <v>0.09</v>
      </c>
    </row>
    <row r="1969" spans="1:2">
      <c r="A1969" s="1">
        <v>44429</v>
      </c>
      <c r="B1969">
        <v>0.09</v>
      </c>
    </row>
    <row r="1970" spans="1:2">
      <c r="A1970" s="1">
        <v>44430</v>
      </c>
      <c r="B1970">
        <v>0.09</v>
      </c>
    </row>
    <row r="1971" spans="1:2">
      <c r="A1971" s="1">
        <v>44431</v>
      </c>
      <c r="B1971">
        <v>0.09</v>
      </c>
    </row>
    <row r="1972" spans="1:2">
      <c r="A1972" s="1">
        <v>44432</v>
      </c>
      <c r="B1972">
        <v>0.09</v>
      </c>
    </row>
    <row r="1973" spans="1:2">
      <c r="A1973" s="1">
        <v>44433</v>
      </c>
      <c r="B1973">
        <v>0.09</v>
      </c>
    </row>
    <row r="1974" spans="1:2">
      <c r="A1974" s="1">
        <v>44434</v>
      </c>
      <c r="B1974">
        <v>0.09</v>
      </c>
    </row>
    <row r="1975" spans="1:2">
      <c r="A1975" s="1">
        <v>44435</v>
      </c>
      <c r="B1975">
        <v>0.08</v>
      </c>
    </row>
    <row r="1976" spans="1:2">
      <c r="A1976" s="1">
        <v>44436</v>
      </c>
      <c r="B1976">
        <v>0.08</v>
      </c>
    </row>
    <row r="1977" spans="1:2">
      <c r="A1977" s="1">
        <v>44437</v>
      </c>
      <c r="B1977">
        <v>0.08</v>
      </c>
    </row>
    <row r="1978" spans="1:2">
      <c r="A1978" s="1">
        <v>44438</v>
      </c>
      <c r="B1978">
        <v>0.08</v>
      </c>
    </row>
    <row r="1979" spans="1:2">
      <c r="A1979" s="1">
        <v>44439</v>
      </c>
      <c r="B1979">
        <v>0.06</v>
      </c>
    </row>
    <row r="1980" spans="1:2">
      <c r="A1980" s="1">
        <v>44440</v>
      </c>
      <c r="B1980">
        <v>0.08</v>
      </c>
    </row>
    <row r="1981" spans="1:2">
      <c r="A1981" s="1">
        <v>44441</v>
      </c>
      <c r="B1981">
        <v>0.08</v>
      </c>
    </row>
    <row r="1982" spans="1:2">
      <c r="A1982" s="1">
        <v>44442</v>
      </c>
      <c r="B1982">
        <v>0.08</v>
      </c>
    </row>
    <row r="1983" spans="1:2">
      <c r="A1983" s="1">
        <v>44443</v>
      </c>
      <c r="B1983">
        <v>0.08</v>
      </c>
    </row>
    <row r="1984" spans="1:2">
      <c r="A1984" s="1">
        <v>44444</v>
      </c>
      <c r="B1984">
        <v>0.08</v>
      </c>
    </row>
    <row r="1985" spans="1:2">
      <c r="A1985" s="1">
        <v>44445</v>
      </c>
      <c r="B1985">
        <v>0.08</v>
      </c>
    </row>
    <row r="1986" spans="1:2">
      <c r="A1986" s="1">
        <v>44446</v>
      </c>
      <c r="B1986">
        <v>0.08</v>
      </c>
    </row>
    <row r="1987" spans="1:2">
      <c r="A1987" s="1">
        <v>44447</v>
      </c>
      <c r="B1987">
        <v>0.08</v>
      </c>
    </row>
    <row r="1988" spans="1:2">
      <c r="A1988" s="1">
        <v>44448</v>
      </c>
      <c r="B1988">
        <v>0.08</v>
      </c>
    </row>
    <row r="1989" spans="1:2">
      <c r="A1989" s="1">
        <v>44449</v>
      </c>
      <c r="B1989">
        <v>0.08</v>
      </c>
    </row>
    <row r="1990" spans="1:2">
      <c r="A1990" s="1">
        <v>44450</v>
      </c>
      <c r="B1990">
        <v>0.08</v>
      </c>
    </row>
    <row r="1991" spans="1:2">
      <c r="A1991" s="1">
        <v>44451</v>
      </c>
      <c r="B1991">
        <v>0.08</v>
      </c>
    </row>
    <row r="1992" spans="1:2">
      <c r="A1992" s="1">
        <v>44452</v>
      </c>
      <c r="B1992">
        <v>0.08</v>
      </c>
    </row>
    <row r="1993" spans="1:2">
      <c r="A1993" s="1">
        <v>44453</v>
      </c>
      <c r="B1993">
        <v>0.08</v>
      </c>
    </row>
    <row r="1994" spans="1:2">
      <c r="A1994" s="1">
        <v>44454</v>
      </c>
      <c r="B1994">
        <v>0.08</v>
      </c>
    </row>
    <row r="1995" spans="1:2">
      <c r="A1995" s="1">
        <v>44455</v>
      </c>
      <c r="B1995">
        <v>0.08</v>
      </c>
    </row>
    <row r="1996" spans="1:2">
      <c r="A1996" s="1">
        <v>44456</v>
      </c>
      <c r="B1996">
        <v>0.08</v>
      </c>
    </row>
    <row r="1997" spans="1:2">
      <c r="A1997" s="1">
        <v>44457</v>
      </c>
      <c r="B1997">
        <v>0.08</v>
      </c>
    </row>
    <row r="1998" spans="1:2">
      <c r="A1998" s="1">
        <v>44458</v>
      </c>
      <c r="B1998">
        <v>0.08</v>
      </c>
    </row>
    <row r="1999" spans="1:2">
      <c r="A1999" s="1">
        <v>44459</v>
      </c>
      <c r="B1999">
        <v>0.08</v>
      </c>
    </row>
    <row r="2000" spans="1:2">
      <c r="A2000" s="1">
        <v>44460</v>
      </c>
      <c r="B2000">
        <v>0.08</v>
      </c>
    </row>
    <row r="2001" spans="1:2">
      <c r="A2001" s="1">
        <v>44461</v>
      </c>
      <c r="B2001">
        <v>0.08</v>
      </c>
    </row>
    <row r="2002" spans="1:2">
      <c r="A2002" s="1">
        <v>44462</v>
      </c>
      <c r="B2002">
        <v>0.08</v>
      </c>
    </row>
    <row r="2003" spans="1:2">
      <c r="A2003" s="1">
        <v>44463</v>
      </c>
      <c r="B2003">
        <v>0.08</v>
      </c>
    </row>
    <row r="2004" spans="1:2">
      <c r="A2004" s="1">
        <v>44464</v>
      </c>
      <c r="B2004">
        <v>0.08</v>
      </c>
    </row>
    <row r="2005" spans="1:2">
      <c r="A2005" s="1">
        <v>44465</v>
      </c>
      <c r="B2005">
        <v>0.08</v>
      </c>
    </row>
    <row r="2006" spans="1:2">
      <c r="A2006" s="1">
        <v>44466</v>
      </c>
      <c r="B2006">
        <v>0.08</v>
      </c>
    </row>
    <row r="2007" spans="1:2">
      <c r="A2007" s="1">
        <v>44467</v>
      </c>
      <c r="B2007">
        <v>0.08</v>
      </c>
    </row>
    <row r="2008" spans="1:2">
      <c r="A2008" s="1">
        <v>44468</v>
      </c>
      <c r="B2008">
        <v>0.08</v>
      </c>
    </row>
    <row r="2009" spans="1:2">
      <c r="A2009" s="1">
        <v>44469</v>
      </c>
      <c r="B2009">
        <v>0.06</v>
      </c>
    </row>
    <row r="2010" spans="1:2">
      <c r="A2010" s="1">
        <v>44470</v>
      </c>
      <c r="B2010">
        <v>0.08</v>
      </c>
    </row>
    <row r="2011" spans="1:2">
      <c r="A2011" s="1">
        <v>44471</v>
      </c>
      <c r="B2011">
        <v>0.08</v>
      </c>
    </row>
    <row r="2012" spans="1:2">
      <c r="A2012" s="1">
        <v>44472</v>
      </c>
      <c r="B2012">
        <v>0.08</v>
      </c>
    </row>
    <row r="2013" spans="1:2">
      <c r="A2013" s="1">
        <v>44473</v>
      </c>
      <c r="B2013">
        <v>0.08</v>
      </c>
    </row>
    <row r="2014" spans="1:2">
      <c r="A2014" s="1">
        <v>44474</v>
      </c>
      <c r="B2014">
        <v>0.08</v>
      </c>
    </row>
    <row r="2015" spans="1:2">
      <c r="A2015" s="1">
        <v>44475</v>
      </c>
      <c r="B2015">
        <v>0.08</v>
      </c>
    </row>
    <row r="2016" spans="1:2">
      <c r="A2016" s="1">
        <v>44476</v>
      </c>
      <c r="B2016">
        <v>0.08</v>
      </c>
    </row>
    <row r="2017" spans="1:2">
      <c r="A2017" s="1">
        <v>44477</v>
      </c>
      <c r="B2017">
        <v>0.08</v>
      </c>
    </row>
    <row r="2018" spans="1:2">
      <c r="A2018" s="1">
        <v>44478</v>
      </c>
      <c r="B2018">
        <v>0.08</v>
      </c>
    </row>
    <row r="2019" spans="1:2">
      <c r="A2019" s="1">
        <v>44479</v>
      </c>
      <c r="B2019">
        <v>0.08</v>
      </c>
    </row>
    <row r="2020" spans="1:2">
      <c r="A2020" s="1">
        <v>44480</v>
      </c>
      <c r="B2020">
        <v>0.08</v>
      </c>
    </row>
    <row r="2021" spans="1:2">
      <c r="A2021" s="1">
        <v>44481</v>
      </c>
      <c r="B2021">
        <v>0.08</v>
      </c>
    </row>
    <row r="2022" spans="1:2">
      <c r="A2022" s="1">
        <v>44482</v>
      </c>
      <c r="B2022">
        <v>0.08</v>
      </c>
    </row>
    <row r="2023" spans="1:2">
      <c r="A2023" s="1">
        <v>44483</v>
      </c>
      <c r="B2023">
        <v>0.08</v>
      </c>
    </row>
    <row r="2024" spans="1:2">
      <c r="A2024" s="1">
        <v>44484</v>
      </c>
      <c r="B2024">
        <v>0.08</v>
      </c>
    </row>
    <row r="2025" spans="1:2">
      <c r="A2025" s="1">
        <v>44485</v>
      </c>
      <c r="B2025">
        <v>0.08</v>
      </c>
    </row>
    <row r="2026" spans="1:2">
      <c r="A2026" s="1">
        <v>44486</v>
      </c>
      <c r="B2026">
        <v>0.08</v>
      </c>
    </row>
    <row r="2027" spans="1:2">
      <c r="A2027" s="1">
        <v>44487</v>
      </c>
      <c r="B2027">
        <v>0.08</v>
      </c>
    </row>
    <row r="2028" spans="1:2">
      <c r="A2028" s="1">
        <v>44488</v>
      </c>
      <c r="B2028">
        <v>0.08</v>
      </c>
    </row>
    <row r="2029" spans="1:2">
      <c r="A2029" s="1">
        <v>44489</v>
      </c>
      <c r="B2029">
        <v>0.08</v>
      </c>
    </row>
    <row r="2030" spans="1:2">
      <c r="A2030" s="1">
        <v>44490</v>
      </c>
      <c r="B2030">
        <v>0.08</v>
      </c>
    </row>
    <row r="2031" spans="1:2">
      <c r="A2031" s="1">
        <v>44491</v>
      </c>
      <c r="B2031">
        <v>0.08</v>
      </c>
    </row>
    <row r="2032" spans="1:2">
      <c r="A2032" s="1">
        <v>44492</v>
      </c>
      <c r="B2032">
        <v>0.08</v>
      </c>
    </row>
    <row r="2033" spans="1:2">
      <c r="A2033" s="1">
        <v>44493</v>
      </c>
      <c r="B2033">
        <v>0.08</v>
      </c>
    </row>
    <row r="2034" spans="1:2">
      <c r="A2034" s="1">
        <v>44494</v>
      </c>
      <c r="B2034">
        <v>0.08</v>
      </c>
    </row>
    <row r="2035" spans="1:2">
      <c r="A2035" s="1">
        <v>44495</v>
      </c>
      <c r="B2035">
        <v>0.08</v>
      </c>
    </row>
    <row r="2036" spans="1:2">
      <c r="A2036" s="1">
        <v>44496</v>
      </c>
      <c r="B2036">
        <v>0.08</v>
      </c>
    </row>
    <row r="2037" spans="1:2">
      <c r="A2037" s="1">
        <v>44497</v>
      </c>
      <c r="B2037">
        <v>0.08</v>
      </c>
    </row>
    <row r="2038" spans="1:2">
      <c r="A2038" s="1">
        <v>44498</v>
      </c>
      <c r="B2038">
        <v>7.0000000000000007E-2</v>
      </c>
    </row>
    <row r="2039" spans="1:2">
      <c r="A2039" s="1">
        <v>44499</v>
      </c>
      <c r="B2039">
        <v>7.0000000000000007E-2</v>
      </c>
    </row>
    <row r="2040" spans="1:2">
      <c r="A2040" s="1">
        <v>44500</v>
      </c>
      <c r="B2040">
        <v>7.0000000000000007E-2</v>
      </c>
    </row>
    <row r="2041" spans="1:2">
      <c r="A2041" s="1">
        <v>44501</v>
      </c>
      <c r="B2041">
        <v>0.08</v>
      </c>
    </row>
    <row r="2042" spans="1:2">
      <c r="A2042" s="1">
        <v>44502</v>
      </c>
      <c r="B2042">
        <v>0.08</v>
      </c>
    </row>
    <row r="2043" spans="1:2">
      <c r="A2043" s="1">
        <v>44503</v>
      </c>
      <c r="B2043">
        <v>0.08</v>
      </c>
    </row>
    <row r="2044" spans="1:2">
      <c r="A2044" s="1">
        <v>44504</v>
      </c>
      <c r="B2044">
        <v>0.08</v>
      </c>
    </row>
    <row r="2045" spans="1:2">
      <c r="A2045" s="1">
        <v>44505</v>
      </c>
      <c r="B2045">
        <v>0.08</v>
      </c>
    </row>
    <row r="2046" spans="1:2">
      <c r="A2046" s="1">
        <v>44506</v>
      </c>
      <c r="B2046">
        <v>0.08</v>
      </c>
    </row>
    <row r="2047" spans="1:2">
      <c r="A2047" s="1">
        <v>44507</v>
      </c>
      <c r="B2047">
        <v>0.08</v>
      </c>
    </row>
    <row r="2048" spans="1:2">
      <c r="A2048" s="1">
        <v>44508</v>
      </c>
      <c r="B2048">
        <v>0.08</v>
      </c>
    </row>
    <row r="2049" spans="1:2">
      <c r="A2049" s="1">
        <v>44509</v>
      </c>
      <c r="B2049">
        <v>0.08</v>
      </c>
    </row>
    <row r="2050" spans="1:2">
      <c r="A2050" s="1">
        <v>44510</v>
      </c>
      <c r="B2050">
        <v>0.08</v>
      </c>
    </row>
    <row r="2051" spans="1:2">
      <c r="A2051" s="1">
        <v>44511</v>
      </c>
      <c r="B2051">
        <v>0.08</v>
      </c>
    </row>
    <row r="2052" spans="1:2">
      <c r="A2052" s="1">
        <v>44512</v>
      </c>
      <c r="B2052">
        <v>0.08</v>
      </c>
    </row>
    <row r="2053" spans="1:2">
      <c r="A2053" s="1">
        <v>44513</v>
      </c>
      <c r="B2053">
        <v>0.08</v>
      </c>
    </row>
    <row r="2054" spans="1:2">
      <c r="A2054" s="1">
        <v>44514</v>
      </c>
      <c r="B2054">
        <v>0.08</v>
      </c>
    </row>
    <row r="2055" spans="1:2">
      <c r="A2055" s="1">
        <v>44515</v>
      </c>
      <c r="B2055">
        <v>0.08</v>
      </c>
    </row>
    <row r="2056" spans="1:2">
      <c r="A2056" s="1">
        <v>44516</v>
      </c>
      <c r="B2056">
        <v>0.08</v>
      </c>
    </row>
    <row r="2057" spans="1:2">
      <c r="A2057" s="1">
        <v>44517</v>
      </c>
      <c r="B2057">
        <v>0.08</v>
      </c>
    </row>
    <row r="2058" spans="1:2">
      <c r="A2058" s="1">
        <v>44518</v>
      </c>
      <c r="B2058">
        <v>0.08</v>
      </c>
    </row>
    <row r="2059" spans="1:2">
      <c r="A2059" s="1">
        <v>44519</v>
      </c>
      <c r="B2059">
        <v>0.08</v>
      </c>
    </row>
    <row r="2060" spans="1:2">
      <c r="A2060" s="1">
        <v>44520</v>
      </c>
      <c r="B2060">
        <v>0.08</v>
      </c>
    </row>
    <row r="2061" spans="1:2">
      <c r="A2061" s="1">
        <v>44521</v>
      </c>
      <c r="B2061">
        <v>0.08</v>
      </c>
    </row>
    <row r="2062" spans="1:2">
      <c r="A2062" s="1">
        <v>44522</v>
      </c>
      <c r="B2062">
        <v>0.08</v>
      </c>
    </row>
    <row r="2063" spans="1:2">
      <c r="A2063" s="1">
        <v>44523</v>
      </c>
      <c r="B2063">
        <v>0.08</v>
      </c>
    </row>
    <row r="2064" spans="1:2">
      <c r="A2064" s="1">
        <v>44524</v>
      </c>
      <c r="B2064">
        <v>0.08</v>
      </c>
    </row>
    <row r="2065" spans="1:2">
      <c r="A2065" s="1">
        <v>44525</v>
      </c>
      <c r="B2065">
        <v>0.08</v>
      </c>
    </row>
    <row r="2066" spans="1:2">
      <c r="A2066" s="1">
        <v>44526</v>
      </c>
      <c r="B2066">
        <v>0.08</v>
      </c>
    </row>
    <row r="2067" spans="1:2">
      <c r="A2067" s="1">
        <v>44527</v>
      </c>
      <c r="B2067">
        <v>0.08</v>
      </c>
    </row>
    <row r="2068" spans="1:2">
      <c r="A2068" s="1">
        <v>44528</v>
      </c>
      <c r="B2068">
        <v>0.08</v>
      </c>
    </row>
    <row r="2069" spans="1:2">
      <c r="A2069" s="1">
        <v>44529</v>
      </c>
      <c r="B2069">
        <v>0.08</v>
      </c>
    </row>
    <row r="2070" spans="1:2">
      <c r="A2070" s="1">
        <v>44530</v>
      </c>
      <c r="B2070">
        <v>7.0000000000000007E-2</v>
      </c>
    </row>
    <row r="2071" spans="1:2">
      <c r="A2071" s="1">
        <v>44531</v>
      </c>
      <c r="B2071">
        <v>0.08</v>
      </c>
    </row>
    <row r="2072" spans="1:2">
      <c r="A2072" s="1">
        <v>44532</v>
      </c>
      <c r="B2072">
        <v>0.08</v>
      </c>
    </row>
    <row r="2073" spans="1:2">
      <c r="A2073" s="1">
        <v>44533</v>
      </c>
      <c r="B2073">
        <v>0.08</v>
      </c>
    </row>
    <row r="2074" spans="1:2">
      <c r="A2074" s="1">
        <v>44534</v>
      </c>
      <c r="B2074">
        <v>0.08</v>
      </c>
    </row>
    <row r="2075" spans="1:2">
      <c r="A2075" s="1">
        <v>44535</v>
      </c>
      <c r="B2075">
        <v>0.08</v>
      </c>
    </row>
    <row r="2076" spans="1:2">
      <c r="A2076" s="1">
        <v>44536</v>
      </c>
      <c r="B2076">
        <v>0.08</v>
      </c>
    </row>
    <row r="2077" spans="1:2">
      <c r="A2077" s="1">
        <v>44537</v>
      </c>
      <c r="B2077">
        <v>0.08</v>
      </c>
    </row>
    <row r="2078" spans="1:2">
      <c r="A2078" s="1">
        <v>44538</v>
      </c>
      <c r="B2078">
        <v>0.08</v>
      </c>
    </row>
    <row r="2079" spans="1:2">
      <c r="A2079" s="1">
        <v>44539</v>
      </c>
      <c r="B2079">
        <v>0.08</v>
      </c>
    </row>
    <row r="2080" spans="1:2">
      <c r="A2080" s="1">
        <v>44540</v>
      </c>
      <c r="B2080">
        <v>0.08</v>
      </c>
    </row>
    <row r="2081" spans="1:2">
      <c r="A2081" s="1">
        <v>44541</v>
      </c>
      <c r="B2081">
        <v>0.08</v>
      </c>
    </row>
    <row r="2082" spans="1:2">
      <c r="A2082" s="1">
        <v>44542</v>
      </c>
      <c r="B2082">
        <v>0.08</v>
      </c>
    </row>
    <row r="2083" spans="1:2">
      <c r="A2083" s="1">
        <v>44543</v>
      </c>
      <c r="B2083">
        <v>0.08</v>
      </c>
    </row>
    <row r="2084" spans="1:2">
      <c r="A2084" s="1">
        <v>44544</v>
      </c>
      <c r="B2084">
        <v>0.08</v>
      </c>
    </row>
    <row r="2085" spans="1:2">
      <c r="A2085" s="1">
        <v>44545</v>
      </c>
      <c r="B2085">
        <v>0.08</v>
      </c>
    </row>
    <row r="2086" spans="1:2">
      <c r="A2086" s="1">
        <v>44546</v>
      </c>
      <c r="B2086">
        <v>0.08</v>
      </c>
    </row>
    <row r="2087" spans="1:2">
      <c r="A2087" s="1">
        <v>44547</v>
      </c>
      <c r="B2087">
        <v>0.08</v>
      </c>
    </row>
    <row r="2088" spans="1:2">
      <c r="A2088" s="1">
        <v>44548</v>
      </c>
      <c r="B2088">
        <v>0.08</v>
      </c>
    </row>
    <row r="2089" spans="1:2">
      <c r="A2089" s="1">
        <v>44549</v>
      </c>
      <c r="B2089">
        <v>0.08</v>
      </c>
    </row>
    <row r="2090" spans="1:2">
      <c r="A2090" s="1">
        <v>44550</v>
      </c>
      <c r="B2090">
        <v>0.08</v>
      </c>
    </row>
    <row r="2091" spans="1:2">
      <c r="A2091" s="1">
        <v>44551</v>
      </c>
      <c r="B2091">
        <v>0.08</v>
      </c>
    </row>
    <row r="2092" spans="1:2">
      <c r="A2092" s="1">
        <v>44552</v>
      </c>
      <c r="B2092">
        <v>0.08</v>
      </c>
    </row>
    <row r="2093" spans="1:2">
      <c r="A2093" s="1">
        <v>44553</v>
      </c>
      <c r="B2093">
        <v>0.08</v>
      </c>
    </row>
    <row r="2094" spans="1:2">
      <c r="A2094" s="1">
        <v>44554</v>
      </c>
      <c r="B2094">
        <v>0.08</v>
      </c>
    </row>
    <row r="2095" spans="1:2">
      <c r="A2095" s="1">
        <v>44555</v>
      </c>
      <c r="B2095">
        <v>0.08</v>
      </c>
    </row>
    <row r="2096" spans="1:2">
      <c r="A2096" s="1">
        <v>44556</v>
      </c>
      <c r="B2096">
        <v>0.08</v>
      </c>
    </row>
    <row r="2097" spans="1:2">
      <c r="A2097" s="1">
        <v>44557</v>
      </c>
      <c r="B2097">
        <v>0.08</v>
      </c>
    </row>
    <row r="2098" spans="1:2">
      <c r="A2098" s="1">
        <v>44558</v>
      </c>
      <c r="B2098">
        <v>0.08</v>
      </c>
    </row>
    <row r="2099" spans="1:2">
      <c r="A2099" s="1">
        <v>44559</v>
      </c>
      <c r="B2099">
        <v>0.08</v>
      </c>
    </row>
    <row r="2100" spans="1:2">
      <c r="A2100" s="1">
        <v>44560</v>
      </c>
      <c r="B2100">
        <v>0.08</v>
      </c>
    </row>
    <row r="2101" spans="1:2">
      <c r="A2101" s="1">
        <v>44561</v>
      </c>
      <c r="B2101">
        <v>7.0000000000000007E-2</v>
      </c>
    </row>
    <row r="2102" spans="1:2">
      <c r="A2102" s="1">
        <v>44562</v>
      </c>
      <c r="B2102">
        <v>7.0000000000000007E-2</v>
      </c>
    </row>
    <row r="2103" spans="1:2">
      <c r="A2103" s="1">
        <v>44563</v>
      </c>
      <c r="B2103">
        <v>7.0000000000000007E-2</v>
      </c>
    </row>
    <row r="2104" spans="1:2">
      <c r="A2104" s="1">
        <v>44564</v>
      </c>
      <c r="B2104">
        <v>0.08</v>
      </c>
    </row>
    <row r="2105" spans="1:2">
      <c r="A2105" s="1">
        <v>44565</v>
      </c>
      <c r="B2105">
        <v>0.08</v>
      </c>
    </row>
    <row r="2106" spans="1:2">
      <c r="A2106" s="1">
        <v>44566</v>
      </c>
      <c r="B2106">
        <v>0.08</v>
      </c>
    </row>
    <row r="2107" spans="1:2">
      <c r="A2107" s="1">
        <v>44567</v>
      </c>
      <c r="B2107">
        <v>0.08</v>
      </c>
    </row>
    <row r="2108" spans="1:2">
      <c r="A2108" s="1">
        <v>44568</v>
      </c>
      <c r="B2108">
        <v>0.08</v>
      </c>
    </row>
    <row r="2109" spans="1:2">
      <c r="A2109" s="1">
        <v>44569</v>
      </c>
      <c r="B2109">
        <v>0.08</v>
      </c>
    </row>
    <row r="2110" spans="1:2">
      <c r="A2110" s="1">
        <v>44570</v>
      </c>
      <c r="B2110">
        <v>0.08</v>
      </c>
    </row>
    <row r="2111" spans="1:2">
      <c r="A2111" s="1">
        <v>44571</v>
      </c>
      <c r="B2111">
        <v>0.08</v>
      </c>
    </row>
    <row r="2112" spans="1:2">
      <c r="A2112" s="1">
        <v>44572</v>
      </c>
      <c r="B2112">
        <v>0.08</v>
      </c>
    </row>
    <row r="2113" spans="1:2">
      <c r="A2113" s="1">
        <v>44573</v>
      </c>
      <c r="B2113">
        <v>0.08</v>
      </c>
    </row>
    <row r="2114" spans="1:2">
      <c r="A2114" s="1">
        <v>44574</v>
      </c>
      <c r="B2114">
        <v>0.08</v>
      </c>
    </row>
    <row r="2115" spans="1:2">
      <c r="A2115" s="1">
        <v>44575</v>
      </c>
      <c r="B2115">
        <v>0.08</v>
      </c>
    </row>
    <row r="2116" spans="1:2">
      <c r="A2116" s="1">
        <v>44576</v>
      </c>
      <c r="B2116">
        <v>0.08</v>
      </c>
    </row>
    <row r="2117" spans="1:2">
      <c r="A2117" s="1">
        <v>44577</v>
      </c>
      <c r="B2117">
        <v>0.08</v>
      </c>
    </row>
    <row r="2118" spans="1:2">
      <c r="A2118" s="1">
        <v>44578</v>
      </c>
      <c r="B2118">
        <v>0.08</v>
      </c>
    </row>
    <row r="2119" spans="1:2">
      <c r="A2119" s="1">
        <v>44579</v>
      </c>
      <c r="B2119">
        <v>0.08</v>
      </c>
    </row>
    <row r="2120" spans="1:2">
      <c r="A2120" s="1">
        <v>44580</v>
      </c>
      <c r="B2120">
        <v>0.08</v>
      </c>
    </row>
    <row r="2121" spans="1:2">
      <c r="A2121" s="1">
        <v>44581</v>
      </c>
      <c r="B2121">
        <v>0.08</v>
      </c>
    </row>
    <row r="2122" spans="1:2">
      <c r="A2122" s="1">
        <v>44582</v>
      </c>
      <c r="B2122">
        <v>0.08</v>
      </c>
    </row>
    <row r="2123" spans="1:2">
      <c r="A2123" s="1">
        <v>44583</v>
      </c>
      <c r="B2123">
        <v>0.08</v>
      </c>
    </row>
    <row r="2124" spans="1:2">
      <c r="A2124" s="1">
        <v>44584</v>
      </c>
      <c r="B2124">
        <v>0.08</v>
      </c>
    </row>
    <row r="2125" spans="1:2">
      <c r="A2125" s="1">
        <v>44585</v>
      </c>
      <c r="B2125">
        <v>0.08</v>
      </c>
    </row>
    <row r="2126" spans="1:2">
      <c r="A2126" s="1">
        <v>44586</v>
      </c>
      <c r="B2126">
        <v>0.08</v>
      </c>
    </row>
    <row r="2127" spans="1:2">
      <c r="A2127" s="1">
        <v>44587</v>
      </c>
      <c r="B2127">
        <v>0.08</v>
      </c>
    </row>
    <row r="2128" spans="1:2">
      <c r="A2128" s="1">
        <v>44588</v>
      </c>
      <c r="B2128">
        <v>0.08</v>
      </c>
    </row>
    <row r="2129" spans="1:2">
      <c r="A2129" s="1">
        <v>44589</v>
      </c>
      <c r="B2129">
        <v>0.08</v>
      </c>
    </row>
    <row r="2130" spans="1:2">
      <c r="A2130" s="1">
        <v>44590</v>
      </c>
      <c r="B2130">
        <v>0.08</v>
      </c>
    </row>
    <row r="2131" spans="1:2">
      <c r="A2131" s="1">
        <v>44591</v>
      </c>
      <c r="B2131">
        <v>0.08</v>
      </c>
    </row>
    <row r="2132" spans="1:2">
      <c r="A2132" s="1">
        <v>44592</v>
      </c>
      <c r="B2132">
        <v>0.08</v>
      </c>
    </row>
    <row r="2133" spans="1:2">
      <c r="A2133" s="1">
        <v>44593</v>
      </c>
      <c r="B2133">
        <v>0.08</v>
      </c>
    </row>
    <row r="2134" spans="1:2">
      <c r="A2134" s="1">
        <v>44594</v>
      </c>
      <c r="B2134">
        <v>0.08</v>
      </c>
    </row>
    <row r="2135" spans="1:2">
      <c r="A2135" s="1">
        <v>44595</v>
      </c>
      <c r="B2135">
        <v>0.08</v>
      </c>
    </row>
    <row r="2136" spans="1:2">
      <c r="A2136" s="1">
        <v>44596</v>
      </c>
      <c r="B2136">
        <v>0.08</v>
      </c>
    </row>
    <row r="2137" spans="1:2">
      <c r="A2137" s="1">
        <v>44597</v>
      </c>
      <c r="B2137">
        <v>0.08</v>
      </c>
    </row>
    <row r="2138" spans="1:2">
      <c r="A2138" s="1">
        <v>44598</v>
      </c>
      <c r="B2138">
        <v>0.08</v>
      </c>
    </row>
    <row r="2139" spans="1:2">
      <c r="A2139" s="1">
        <v>44599</v>
      </c>
      <c r="B2139">
        <v>0.08</v>
      </c>
    </row>
    <row r="2140" spans="1:2">
      <c r="A2140" s="1">
        <v>44600</v>
      </c>
      <c r="B2140">
        <v>0.08</v>
      </c>
    </row>
    <row r="2141" spans="1:2">
      <c r="A2141" s="1">
        <v>44601</v>
      </c>
      <c r="B2141">
        <v>0.08</v>
      </c>
    </row>
    <row r="2142" spans="1:2">
      <c r="A2142" s="1">
        <v>44602</v>
      </c>
      <c r="B2142">
        <v>0.08</v>
      </c>
    </row>
    <row r="2143" spans="1:2">
      <c r="A2143" s="1">
        <v>44603</v>
      </c>
      <c r="B2143">
        <v>0.08</v>
      </c>
    </row>
    <row r="2144" spans="1:2">
      <c r="A2144" s="1">
        <v>44604</v>
      </c>
      <c r="B2144">
        <v>0.08</v>
      </c>
    </row>
    <row r="2145" spans="1:2">
      <c r="A2145" s="1">
        <v>44605</v>
      </c>
      <c r="B2145">
        <v>0.08</v>
      </c>
    </row>
    <row r="2146" spans="1:2">
      <c r="A2146" s="1">
        <v>44606</v>
      </c>
      <c r="B2146">
        <v>0.08</v>
      </c>
    </row>
    <row r="2147" spans="1:2">
      <c r="A2147" s="1">
        <v>44607</v>
      </c>
      <c r="B2147">
        <v>0.08</v>
      </c>
    </row>
    <row r="2148" spans="1:2">
      <c r="A2148" s="1">
        <v>44608</v>
      </c>
      <c r="B2148">
        <v>0.08</v>
      </c>
    </row>
    <row r="2149" spans="1:2">
      <c r="A2149" s="1">
        <v>44609</v>
      </c>
      <c r="B2149">
        <v>0.08</v>
      </c>
    </row>
    <row r="2150" spans="1:2">
      <c r="A2150" s="1">
        <v>44610</v>
      </c>
      <c r="B2150">
        <v>0.08</v>
      </c>
    </row>
    <row r="2151" spans="1:2">
      <c r="A2151" s="1">
        <v>44611</v>
      </c>
      <c r="B2151">
        <v>0.08</v>
      </c>
    </row>
    <row r="2152" spans="1:2">
      <c r="A2152" s="1">
        <v>44612</v>
      </c>
      <c r="B2152">
        <v>0.08</v>
      </c>
    </row>
    <row r="2153" spans="1:2">
      <c r="A2153" s="1">
        <v>44613</v>
      </c>
      <c r="B2153">
        <v>0.08</v>
      </c>
    </row>
    <row r="2154" spans="1:2">
      <c r="A2154" s="1">
        <v>44614</v>
      </c>
      <c r="B2154">
        <v>0.08</v>
      </c>
    </row>
    <row r="2155" spans="1:2">
      <c r="A2155" s="1">
        <v>44615</v>
      </c>
      <c r="B2155">
        <v>0.08</v>
      </c>
    </row>
    <row r="2156" spans="1:2">
      <c r="A2156" s="1">
        <v>44616</v>
      </c>
      <c r="B2156">
        <v>0.08</v>
      </c>
    </row>
    <row r="2157" spans="1:2">
      <c r="A2157" s="1">
        <v>44617</v>
      </c>
      <c r="B2157">
        <v>0.08</v>
      </c>
    </row>
    <row r="2158" spans="1:2">
      <c r="A2158" s="1">
        <v>44618</v>
      </c>
      <c r="B2158">
        <v>0.08</v>
      </c>
    </row>
    <row r="2159" spans="1:2">
      <c r="A2159" s="1">
        <v>44619</v>
      </c>
      <c r="B2159">
        <v>0.08</v>
      </c>
    </row>
    <row r="2160" spans="1:2">
      <c r="A2160" s="1">
        <v>44620</v>
      </c>
      <c r="B2160">
        <v>0.08</v>
      </c>
    </row>
    <row r="2161" spans="1:2">
      <c r="A2161" s="1">
        <v>44621</v>
      </c>
      <c r="B2161">
        <v>0.08</v>
      </c>
    </row>
    <row r="2162" spans="1:2">
      <c r="A2162" s="1">
        <v>44622</v>
      </c>
      <c r="B2162">
        <v>0.08</v>
      </c>
    </row>
    <row r="2163" spans="1:2">
      <c r="A2163" s="1">
        <v>44623</v>
      </c>
      <c r="B2163">
        <v>0.08</v>
      </c>
    </row>
    <row r="2164" spans="1:2">
      <c r="A2164" s="1">
        <v>44624</v>
      </c>
      <c r="B2164">
        <v>0.08</v>
      </c>
    </row>
    <row r="2165" spans="1:2">
      <c r="A2165" s="1">
        <v>44625</v>
      </c>
      <c r="B2165">
        <v>0.08</v>
      </c>
    </row>
    <row r="2166" spans="1:2">
      <c r="A2166" s="1">
        <v>44626</v>
      </c>
      <c r="B2166">
        <v>0.08</v>
      </c>
    </row>
    <row r="2167" spans="1:2">
      <c r="A2167" s="1">
        <v>44627</v>
      </c>
      <c r="B2167">
        <v>0.08</v>
      </c>
    </row>
    <row r="2168" spans="1:2">
      <c r="A2168" s="1">
        <v>44628</v>
      </c>
      <c r="B2168">
        <v>0.08</v>
      </c>
    </row>
    <row r="2169" spans="1:2">
      <c r="A2169" s="1">
        <v>44629</v>
      </c>
      <c r="B2169">
        <v>0.08</v>
      </c>
    </row>
    <row r="2170" spans="1:2">
      <c r="A2170" s="1">
        <v>44630</v>
      </c>
      <c r="B2170">
        <v>0.08</v>
      </c>
    </row>
    <row r="2171" spans="1:2">
      <c r="A2171" s="1">
        <v>44631</v>
      </c>
      <c r="B2171">
        <v>0.08</v>
      </c>
    </row>
    <row r="2172" spans="1:2">
      <c r="A2172" s="1">
        <v>44632</v>
      </c>
      <c r="B2172">
        <v>0.08</v>
      </c>
    </row>
    <row r="2173" spans="1:2">
      <c r="A2173" s="1">
        <v>44633</v>
      </c>
      <c r="B2173">
        <v>0.08</v>
      </c>
    </row>
    <row r="2174" spans="1:2">
      <c r="A2174" s="1">
        <v>44634</v>
      </c>
      <c r="B2174">
        <v>0.08</v>
      </c>
    </row>
    <row r="2175" spans="1:2">
      <c r="A2175" s="1">
        <v>44635</v>
      </c>
      <c r="B2175">
        <v>0.08</v>
      </c>
    </row>
    <row r="2176" spans="1:2">
      <c r="A2176" s="1">
        <v>44636</v>
      </c>
      <c r="B2176">
        <v>0.08</v>
      </c>
    </row>
    <row r="2177" spans="1:2">
      <c r="A2177" s="1">
        <v>44637</v>
      </c>
      <c r="B2177">
        <v>0.33</v>
      </c>
    </row>
    <row r="2178" spans="1:2">
      <c r="A2178" s="1">
        <v>44638</v>
      </c>
      <c r="B2178">
        <v>0.33</v>
      </c>
    </row>
    <row r="2179" spans="1:2">
      <c r="A2179" s="1">
        <v>44639</v>
      </c>
      <c r="B2179">
        <v>0.33</v>
      </c>
    </row>
    <row r="2180" spans="1:2">
      <c r="A2180" s="1">
        <v>44640</v>
      </c>
      <c r="B2180">
        <v>0.33</v>
      </c>
    </row>
    <row r="2181" spans="1:2">
      <c r="A2181" s="1">
        <v>44641</v>
      </c>
      <c r="B2181">
        <v>0.33</v>
      </c>
    </row>
    <row r="2182" spans="1:2">
      <c r="A2182" s="1">
        <v>44642</v>
      </c>
      <c r="B2182">
        <v>0.33</v>
      </c>
    </row>
    <row r="2183" spans="1:2">
      <c r="A2183" s="1">
        <v>44643</v>
      </c>
      <c r="B2183">
        <v>0.33</v>
      </c>
    </row>
    <row r="2184" spans="1:2">
      <c r="A2184" s="1">
        <v>44644</v>
      </c>
      <c r="B2184">
        <v>0.33</v>
      </c>
    </row>
    <row r="2185" spans="1:2">
      <c r="A2185" s="1">
        <v>44645</v>
      </c>
      <c r="B2185">
        <v>0.33</v>
      </c>
    </row>
    <row r="2186" spans="1:2">
      <c r="A2186" s="1">
        <v>44646</v>
      </c>
      <c r="B2186">
        <v>0.33</v>
      </c>
    </row>
    <row r="2187" spans="1:2">
      <c r="A2187" s="1">
        <v>44647</v>
      </c>
      <c r="B2187">
        <v>0.33</v>
      </c>
    </row>
    <row r="2188" spans="1:2">
      <c r="A2188" s="1">
        <v>44648</v>
      </c>
      <c r="B2188">
        <v>0.33</v>
      </c>
    </row>
    <row r="2189" spans="1:2">
      <c r="A2189" s="1">
        <v>44649</v>
      </c>
      <c r="B2189">
        <v>0.33</v>
      </c>
    </row>
    <row r="2190" spans="1:2">
      <c r="A2190" s="1">
        <v>44650</v>
      </c>
      <c r="B2190">
        <v>0.33</v>
      </c>
    </row>
    <row r="2191" spans="1:2">
      <c r="A2191" s="1">
        <v>44651</v>
      </c>
      <c r="B2191">
        <v>0.33</v>
      </c>
    </row>
    <row r="2192" spans="1:2">
      <c r="A2192" s="1">
        <v>44652</v>
      </c>
      <c r="B2192">
        <v>0.33</v>
      </c>
    </row>
    <row r="2193" spans="1:2">
      <c r="A2193" s="1">
        <v>44653</v>
      </c>
      <c r="B2193">
        <v>0.33</v>
      </c>
    </row>
    <row r="2194" spans="1:2">
      <c r="A2194" s="1">
        <v>44654</v>
      </c>
      <c r="B2194">
        <v>0.33</v>
      </c>
    </row>
    <row r="2195" spans="1:2">
      <c r="A2195" s="1">
        <v>44655</v>
      </c>
      <c r="B2195">
        <v>0.33</v>
      </c>
    </row>
    <row r="2196" spans="1:2">
      <c r="A2196" s="1">
        <v>44656</v>
      </c>
      <c r="B2196">
        <v>0.33</v>
      </c>
    </row>
    <row r="2197" spans="1:2">
      <c r="A2197" s="1">
        <v>44657</v>
      </c>
      <c r="B2197">
        <v>0.33</v>
      </c>
    </row>
    <row r="2198" spans="1:2">
      <c r="A2198" s="1">
        <v>44658</v>
      </c>
      <c r="B2198">
        <v>0.33</v>
      </c>
    </row>
    <row r="2199" spans="1:2">
      <c r="A2199" s="1">
        <v>44659</v>
      </c>
      <c r="B2199">
        <v>0.33</v>
      </c>
    </row>
    <row r="2200" spans="1:2">
      <c r="A2200" s="1">
        <v>44660</v>
      </c>
      <c r="B2200">
        <v>0.33</v>
      </c>
    </row>
    <row r="2201" spans="1:2">
      <c r="A2201" s="1">
        <v>44661</v>
      </c>
      <c r="B2201">
        <v>0.33</v>
      </c>
    </row>
    <row r="2202" spans="1:2">
      <c r="A2202" s="1">
        <v>44662</v>
      </c>
      <c r="B2202">
        <v>0.33</v>
      </c>
    </row>
    <row r="2203" spans="1:2">
      <c r="A2203" s="1">
        <v>44663</v>
      </c>
      <c r="B2203">
        <v>0.33</v>
      </c>
    </row>
    <row r="2204" spans="1:2">
      <c r="A2204" s="1">
        <v>44664</v>
      </c>
      <c r="B2204">
        <v>0.33</v>
      </c>
    </row>
    <row r="2205" spans="1:2">
      <c r="A2205" s="1">
        <v>44665</v>
      </c>
      <c r="B2205">
        <v>0.33</v>
      </c>
    </row>
    <row r="2206" spans="1:2">
      <c r="A2206" s="1">
        <v>44666</v>
      </c>
      <c r="B2206">
        <v>0.33</v>
      </c>
    </row>
    <row r="2207" spans="1:2">
      <c r="A2207" s="1">
        <v>44667</v>
      </c>
      <c r="B2207">
        <v>0.33</v>
      </c>
    </row>
    <row r="2208" spans="1:2">
      <c r="A2208" s="1">
        <v>44668</v>
      </c>
      <c r="B2208">
        <v>0.33</v>
      </c>
    </row>
    <row r="2209" spans="1:2">
      <c r="A2209" s="1">
        <v>44669</v>
      </c>
      <c r="B2209">
        <v>0.33</v>
      </c>
    </row>
    <row r="2210" spans="1:2">
      <c r="A2210" s="1">
        <v>44670</v>
      </c>
      <c r="B2210">
        <v>0.33</v>
      </c>
    </row>
    <row r="2211" spans="1:2">
      <c r="A2211" s="1">
        <v>44671</v>
      </c>
      <c r="B2211">
        <v>0.33</v>
      </c>
    </row>
    <row r="2212" spans="1:2">
      <c r="A2212" s="1">
        <v>44672</v>
      </c>
      <c r="B2212">
        <v>0.33</v>
      </c>
    </row>
    <row r="2213" spans="1:2">
      <c r="A2213" s="1">
        <v>44673</v>
      </c>
      <c r="B2213">
        <v>0.33</v>
      </c>
    </row>
    <row r="2214" spans="1:2">
      <c r="A2214" s="1">
        <v>44674</v>
      </c>
      <c r="B2214">
        <v>0.33</v>
      </c>
    </row>
    <row r="2215" spans="1:2">
      <c r="A2215" s="1">
        <v>44675</v>
      </c>
      <c r="B2215">
        <v>0.33</v>
      </c>
    </row>
    <row r="2216" spans="1:2">
      <c r="A2216" s="1">
        <v>44676</v>
      </c>
      <c r="B2216">
        <v>0.33</v>
      </c>
    </row>
    <row r="2217" spans="1:2">
      <c r="A2217" s="1">
        <v>44677</v>
      </c>
      <c r="B2217">
        <v>0.33</v>
      </c>
    </row>
    <row r="2218" spans="1:2">
      <c r="A2218" s="1">
        <v>44678</v>
      </c>
      <c r="B2218">
        <v>0.33</v>
      </c>
    </row>
    <row r="2219" spans="1:2">
      <c r="A2219" s="1">
        <v>44679</v>
      </c>
      <c r="B2219">
        <v>0.33</v>
      </c>
    </row>
    <row r="2220" spans="1:2">
      <c r="A2220" s="1">
        <v>44680</v>
      </c>
      <c r="B2220">
        <v>0.33</v>
      </c>
    </row>
    <row r="2221" spans="1:2">
      <c r="A2221" s="1">
        <v>44681</v>
      </c>
      <c r="B2221">
        <v>0.33</v>
      </c>
    </row>
    <row r="2222" spans="1:2">
      <c r="A2222" s="1">
        <v>44682</v>
      </c>
      <c r="B2222">
        <v>0.33</v>
      </c>
    </row>
    <row r="2223" spans="1:2">
      <c r="A2223" s="1">
        <v>44683</v>
      </c>
      <c r="B2223">
        <v>0.33</v>
      </c>
    </row>
    <row r="2224" spans="1:2">
      <c r="A2224" s="1">
        <v>44684</v>
      </c>
      <c r="B2224">
        <v>0.33</v>
      </c>
    </row>
    <row r="2225" spans="1:2">
      <c r="A2225" s="1">
        <v>44685</v>
      </c>
      <c r="B2225">
        <v>0.33</v>
      </c>
    </row>
    <row r="2226" spans="1:2">
      <c r="A2226" s="1">
        <v>44686</v>
      </c>
      <c r="B2226">
        <v>0.83</v>
      </c>
    </row>
    <row r="2227" spans="1:2">
      <c r="A2227" s="1">
        <v>44687</v>
      </c>
      <c r="B2227">
        <v>0.83</v>
      </c>
    </row>
    <row r="2228" spans="1:2">
      <c r="A2228" s="1">
        <v>44688</v>
      </c>
      <c r="B2228">
        <v>0.83</v>
      </c>
    </row>
    <row r="2229" spans="1:2">
      <c r="A2229" s="1">
        <v>44689</v>
      </c>
      <c r="B2229">
        <v>0.83</v>
      </c>
    </row>
    <row r="2230" spans="1:2">
      <c r="A2230" s="1">
        <v>44690</v>
      </c>
      <c r="B2230">
        <v>0.83</v>
      </c>
    </row>
    <row r="2231" spans="1:2">
      <c r="A2231" s="1">
        <v>44691</v>
      </c>
      <c r="B2231">
        <v>0.83</v>
      </c>
    </row>
    <row r="2232" spans="1:2">
      <c r="A2232" s="1">
        <v>44692</v>
      </c>
      <c r="B2232">
        <v>0.83</v>
      </c>
    </row>
    <row r="2233" spans="1:2">
      <c r="A2233" s="1">
        <v>44693</v>
      </c>
      <c r="B2233">
        <v>0.83</v>
      </c>
    </row>
    <row r="2234" spans="1:2">
      <c r="A2234" s="1">
        <v>44694</v>
      </c>
      <c r="B2234">
        <v>0.83</v>
      </c>
    </row>
    <row r="2235" spans="1:2">
      <c r="A2235" s="1">
        <v>44695</v>
      </c>
      <c r="B2235">
        <v>0.83</v>
      </c>
    </row>
    <row r="2236" spans="1:2">
      <c r="A2236" s="1">
        <v>44696</v>
      </c>
      <c r="B2236">
        <v>0.83</v>
      </c>
    </row>
    <row r="2237" spans="1:2">
      <c r="A2237" s="1">
        <v>44697</v>
      </c>
      <c r="B2237">
        <v>0.83</v>
      </c>
    </row>
    <row r="2238" spans="1:2">
      <c r="A2238" s="1">
        <v>44698</v>
      </c>
      <c r="B2238">
        <v>0.83</v>
      </c>
    </row>
    <row r="2239" spans="1:2">
      <c r="A2239" s="1">
        <v>44699</v>
      </c>
      <c r="B2239">
        <v>0.83</v>
      </c>
    </row>
    <row r="2240" spans="1:2">
      <c r="A2240" s="1">
        <v>44700</v>
      </c>
      <c r="B2240">
        <v>0.83</v>
      </c>
    </row>
    <row r="2241" spans="1:2">
      <c r="A2241" s="1">
        <v>44701</v>
      </c>
      <c r="B2241">
        <v>0.83</v>
      </c>
    </row>
    <row r="2242" spans="1:2">
      <c r="A2242" s="1">
        <v>44702</v>
      </c>
      <c r="B2242">
        <v>0.83</v>
      </c>
    </row>
    <row r="2243" spans="1:2">
      <c r="A2243" s="1">
        <v>44703</v>
      </c>
      <c r="B2243">
        <v>0.83</v>
      </c>
    </row>
    <row r="2244" spans="1:2">
      <c r="A2244" s="1">
        <v>44704</v>
      </c>
      <c r="B2244">
        <v>0.83</v>
      </c>
    </row>
    <row r="2245" spans="1:2">
      <c r="A2245" s="1">
        <v>44705</v>
      </c>
      <c r="B2245">
        <v>0.83</v>
      </c>
    </row>
    <row r="2246" spans="1:2">
      <c r="A2246" s="1">
        <v>44706</v>
      </c>
      <c r="B2246">
        <v>0.83</v>
      </c>
    </row>
    <row r="2247" spans="1:2">
      <c r="A2247" s="1">
        <v>44707</v>
      </c>
      <c r="B2247">
        <v>0.83</v>
      </c>
    </row>
    <row r="2248" spans="1:2">
      <c r="A2248" s="1">
        <v>44708</v>
      </c>
      <c r="B2248">
        <v>0.83</v>
      </c>
    </row>
    <row r="2249" spans="1:2">
      <c r="A2249" s="1">
        <v>44709</v>
      </c>
      <c r="B2249">
        <v>0.83</v>
      </c>
    </row>
    <row r="2250" spans="1:2">
      <c r="A2250" s="1">
        <v>44710</v>
      </c>
      <c r="B2250">
        <v>0.83</v>
      </c>
    </row>
    <row r="2251" spans="1:2">
      <c r="A2251" s="1">
        <v>44711</v>
      </c>
      <c r="B2251">
        <v>0.83</v>
      </c>
    </row>
    <row r="2252" spans="1:2">
      <c r="A2252" s="1">
        <v>44712</v>
      </c>
      <c r="B2252">
        <v>0.83</v>
      </c>
    </row>
    <row r="2253" spans="1:2">
      <c r="A2253" s="1">
        <v>44713</v>
      </c>
      <c r="B2253">
        <v>0.83</v>
      </c>
    </row>
    <row r="2254" spans="1:2">
      <c r="A2254" s="1">
        <v>44714</v>
      </c>
      <c r="B2254">
        <v>0.83</v>
      </c>
    </row>
    <row r="2255" spans="1:2">
      <c r="A2255" s="1">
        <v>44715</v>
      </c>
      <c r="B2255">
        <v>0.83</v>
      </c>
    </row>
    <row r="2256" spans="1:2">
      <c r="A2256" s="1">
        <v>44716</v>
      </c>
      <c r="B2256">
        <v>0.83</v>
      </c>
    </row>
    <row r="2257" spans="1:2">
      <c r="A2257" s="1">
        <v>44717</v>
      </c>
      <c r="B2257">
        <v>0.83</v>
      </c>
    </row>
    <row r="2258" spans="1:2">
      <c r="A2258" s="1">
        <v>44718</v>
      </c>
      <c r="B2258">
        <v>0.83</v>
      </c>
    </row>
    <row r="2259" spans="1:2">
      <c r="A2259" s="1">
        <v>44719</v>
      </c>
      <c r="B2259">
        <v>0.83</v>
      </c>
    </row>
    <row r="2260" spans="1:2">
      <c r="A2260" s="1">
        <v>44720</v>
      </c>
      <c r="B2260">
        <v>0.83</v>
      </c>
    </row>
    <row r="2261" spans="1:2">
      <c r="A2261" s="1">
        <v>44721</v>
      </c>
      <c r="B2261">
        <v>0.83</v>
      </c>
    </row>
    <row r="2262" spans="1:2">
      <c r="A2262" s="1">
        <v>44722</v>
      </c>
      <c r="B2262">
        <v>0.83</v>
      </c>
    </row>
    <row r="2263" spans="1:2">
      <c r="A2263" s="1">
        <v>44723</v>
      </c>
      <c r="B2263">
        <v>0.83</v>
      </c>
    </row>
    <row r="2264" spans="1:2">
      <c r="A2264" s="1">
        <v>44724</v>
      </c>
      <c r="B2264">
        <v>0.83</v>
      </c>
    </row>
    <row r="2265" spans="1:2">
      <c r="A2265" s="1">
        <v>44725</v>
      </c>
      <c r="B2265">
        <v>0.83</v>
      </c>
    </row>
    <row r="2266" spans="1:2">
      <c r="A2266" s="1">
        <v>44726</v>
      </c>
      <c r="B2266">
        <v>0.83</v>
      </c>
    </row>
    <row r="2267" spans="1:2">
      <c r="A2267" s="1">
        <v>44727</v>
      </c>
      <c r="B2267">
        <v>0.83</v>
      </c>
    </row>
    <row r="2268" spans="1:2">
      <c r="A2268" s="1">
        <v>44728</v>
      </c>
      <c r="B2268">
        <v>1.58</v>
      </c>
    </row>
    <row r="2269" spans="1:2">
      <c r="A2269" s="1">
        <v>44729</v>
      </c>
      <c r="B2269">
        <v>1.58</v>
      </c>
    </row>
    <row r="2270" spans="1:2">
      <c r="A2270" s="1">
        <v>44730</v>
      </c>
      <c r="B2270">
        <v>1.58</v>
      </c>
    </row>
    <row r="2271" spans="1:2">
      <c r="A2271" s="1">
        <v>44731</v>
      </c>
      <c r="B2271">
        <v>1.58</v>
      </c>
    </row>
    <row r="2272" spans="1:2">
      <c r="A2272" s="1">
        <v>44732</v>
      </c>
      <c r="B2272">
        <v>1.58</v>
      </c>
    </row>
    <row r="2273" spans="1:2">
      <c r="A2273" s="1">
        <v>44733</v>
      </c>
      <c r="B2273">
        <v>1.58</v>
      </c>
    </row>
    <row r="2274" spans="1:2">
      <c r="A2274" s="1">
        <v>44734</v>
      </c>
      <c r="B2274">
        <v>1.58</v>
      </c>
    </row>
    <row r="2275" spans="1:2">
      <c r="A2275" s="1">
        <v>44735</v>
      </c>
      <c r="B2275">
        <v>1.58</v>
      </c>
    </row>
    <row r="2276" spans="1:2">
      <c r="A2276" s="1">
        <v>44736</v>
      </c>
      <c r="B2276">
        <v>1.58</v>
      </c>
    </row>
    <row r="2277" spans="1:2">
      <c r="A2277" s="1">
        <v>44737</v>
      </c>
      <c r="B2277">
        <v>1.58</v>
      </c>
    </row>
    <row r="2278" spans="1:2">
      <c r="A2278" s="1">
        <v>44738</v>
      </c>
      <c r="B2278">
        <v>1.58</v>
      </c>
    </row>
    <row r="2279" spans="1:2">
      <c r="A2279" s="1">
        <v>44739</v>
      </c>
      <c r="B2279">
        <v>1.58</v>
      </c>
    </row>
    <row r="2280" spans="1:2">
      <c r="A2280" s="1">
        <v>44740</v>
      </c>
      <c r="B2280">
        <v>1.58</v>
      </c>
    </row>
    <row r="2281" spans="1:2">
      <c r="A2281" s="1">
        <v>44741</v>
      </c>
      <c r="B2281">
        <v>1.58</v>
      </c>
    </row>
    <row r="2282" spans="1:2">
      <c r="A2282" s="1">
        <v>44742</v>
      </c>
      <c r="B2282">
        <v>1.58</v>
      </c>
    </row>
    <row r="2283" spans="1:2">
      <c r="A2283" s="1">
        <v>44743</v>
      </c>
      <c r="B2283">
        <v>1.58</v>
      </c>
    </row>
    <row r="2284" spans="1:2">
      <c r="A2284" s="1">
        <v>44744</v>
      </c>
      <c r="B2284">
        <v>1.58</v>
      </c>
    </row>
    <row r="2285" spans="1:2">
      <c r="A2285" s="1">
        <v>44745</v>
      </c>
      <c r="B2285">
        <v>1.58</v>
      </c>
    </row>
    <row r="2286" spans="1:2">
      <c r="A2286" s="1">
        <v>44746</v>
      </c>
      <c r="B2286">
        <v>1.58</v>
      </c>
    </row>
    <row r="2287" spans="1:2">
      <c r="A2287" s="1">
        <v>44747</v>
      </c>
      <c r="B2287">
        <v>1.58</v>
      </c>
    </row>
    <row r="2288" spans="1:2">
      <c r="A2288" s="1">
        <v>44748</v>
      </c>
      <c r="B2288">
        <v>1.58</v>
      </c>
    </row>
    <row r="2289" spans="1:2">
      <c r="A2289" s="1">
        <v>44749</v>
      </c>
      <c r="B2289">
        <v>1.58</v>
      </c>
    </row>
    <row r="2290" spans="1:2">
      <c r="A2290" s="1">
        <v>44750</v>
      </c>
      <c r="B2290">
        <v>1.58</v>
      </c>
    </row>
    <row r="2291" spans="1:2">
      <c r="A2291" s="1">
        <v>44751</v>
      </c>
      <c r="B2291">
        <v>1.58</v>
      </c>
    </row>
    <row r="2292" spans="1:2">
      <c r="A2292" s="1">
        <v>44752</v>
      </c>
      <c r="B2292">
        <v>1.58</v>
      </c>
    </row>
    <row r="2293" spans="1:2">
      <c r="A2293" s="1">
        <v>44753</v>
      </c>
      <c r="B2293">
        <v>1.58</v>
      </c>
    </row>
    <row r="2294" spans="1:2">
      <c r="A2294" s="1">
        <v>44754</v>
      </c>
      <c r="B2294">
        <v>1.58</v>
      </c>
    </row>
    <row r="2295" spans="1:2">
      <c r="A2295" s="1">
        <v>44755</v>
      </c>
      <c r="B2295">
        <v>1.58</v>
      </c>
    </row>
    <row r="2296" spans="1:2">
      <c r="A2296" s="1">
        <v>44756</v>
      </c>
      <c r="B2296">
        <v>1.58</v>
      </c>
    </row>
    <row r="2297" spans="1:2">
      <c r="A2297" s="1">
        <v>44757</v>
      </c>
      <c r="B2297">
        <v>1.58</v>
      </c>
    </row>
    <row r="2298" spans="1:2">
      <c r="A2298" s="1">
        <v>44758</v>
      </c>
      <c r="B2298">
        <v>1.58</v>
      </c>
    </row>
    <row r="2299" spans="1:2">
      <c r="A2299" s="1">
        <v>44759</v>
      </c>
      <c r="B2299">
        <v>1.58</v>
      </c>
    </row>
    <row r="2300" spans="1:2">
      <c r="A2300" s="1">
        <v>44760</v>
      </c>
      <c r="B2300">
        <v>1.58</v>
      </c>
    </row>
    <row r="2301" spans="1:2">
      <c r="A2301" s="1">
        <v>44761</v>
      </c>
      <c r="B2301">
        <v>1.58</v>
      </c>
    </row>
    <row r="2302" spans="1:2">
      <c r="A2302" s="1">
        <v>44762</v>
      </c>
      <c r="B2302">
        <v>1.58</v>
      </c>
    </row>
    <row r="2303" spans="1:2">
      <c r="A2303" s="1">
        <v>44763</v>
      </c>
      <c r="B2303">
        <v>1.58</v>
      </c>
    </row>
    <row r="2304" spans="1:2">
      <c r="A2304" s="1">
        <v>44764</v>
      </c>
      <c r="B2304">
        <v>1.58</v>
      </c>
    </row>
    <row r="2305" spans="1:2">
      <c r="A2305" s="1">
        <v>44765</v>
      </c>
      <c r="B2305">
        <v>1.58</v>
      </c>
    </row>
    <row r="2306" spans="1:2">
      <c r="A2306" s="1">
        <v>44766</v>
      </c>
      <c r="B2306">
        <v>1.58</v>
      </c>
    </row>
    <row r="2307" spans="1:2">
      <c r="A2307" s="1">
        <v>44767</v>
      </c>
      <c r="B2307">
        <v>1.58</v>
      </c>
    </row>
    <row r="2308" spans="1:2">
      <c r="A2308" s="1">
        <v>44768</v>
      </c>
      <c r="B2308">
        <v>1.58</v>
      </c>
    </row>
    <row r="2309" spans="1:2">
      <c r="A2309" s="1">
        <v>44769</v>
      </c>
      <c r="B2309">
        <v>1.58</v>
      </c>
    </row>
    <row r="2310" spans="1:2">
      <c r="A2310" s="1">
        <v>44770</v>
      </c>
      <c r="B2310">
        <v>2.33</v>
      </c>
    </row>
    <row r="2311" spans="1:2">
      <c r="A2311" s="1">
        <v>44771</v>
      </c>
      <c r="B2311">
        <v>2.3199999999999998</v>
      </c>
    </row>
    <row r="2312" spans="1:2">
      <c r="A2312" s="1">
        <v>44772</v>
      </c>
      <c r="B2312">
        <v>2.3199999999999998</v>
      </c>
    </row>
    <row r="2313" spans="1:2">
      <c r="A2313" s="1">
        <v>44773</v>
      </c>
      <c r="B2313">
        <v>2.3199999999999998</v>
      </c>
    </row>
    <row r="2314" spans="1:2">
      <c r="A2314" s="1">
        <v>44774</v>
      </c>
      <c r="B2314">
        <v>2.33</v>
      </c>
    </row>
    <row r="2315" spans="1:2">
      <c r="A2315" s="1">
        <v>44775</v>
      </c>
      <c r="B2315">
        <v>2.33</v>
      </c>
    </row>
    <row r="2316" spans="1:2">
      <c r="A2316" s="1">
        <v>44776</v>
      </c>
      <c r="B2316">
        <v>2.33</v>
      </c>
    </row>
    <row r="2317" spans="1:2">
      <c r="A2317" s="1">
        <v>44777</v>
      </c>
      <c r="B2317">
        <v>2.33</v>
      </c>
    </row>
    <row r="2318" spans="1:2">
      <c r="A2318" s="1">
        <v>44778</v>
      </c>
      <c r="B2318">
        <v>2.33</v>
      </c>
    </row>
    <row r="2319" spans="1:2">
      <c r="A2319" s="1">
        <v>44779</v>
      </c>
      <c r="B2319">
        <v>2.33</v>
      </c>
    </row>
    <row r="2320" spans="1:2">
      <c r="A2320" s="1">
        <v>44780</v>
      </c>
      <c r="B2320">
        <v>2.33</v>
      </c>
    </row>
    <row r="2321" spans="1:2">
      <c r="A2321" s="1">
        <v>44781</v>
      </c>
      <c r="B2321">
        <v>2.33</v>
      </c>
    </row>
    <row r="2322" spans="1:2">
      <c r="A2322" s="1">
        <v>44782</v>
      </c>
      <c r="B2322">
        <v>2.33</v>
      </c>
    </row>
    <row r="2323" spans="1:2">
      <c r="A2323" s="1">
        <v>44783</v>
      </c>
      <c r="B2323">
        <v>2.33</v>
      </c>
    </row>
    <row r="2324" spans="1:2">
      <c r="A2324" s="1">
        <v>44784</v>
      </c>
      <c r="B2324">
        <v>2.33</v>
      </c>
    </row>
    <row r="2325" spans="1:2">
      <c r="A2325" s="1">
        <v>44785</v>
      </c>
      <c r="B2325">
        <v>2.33</v>
      </c>
    </row>
    <row r="2326" spans="1:2">
      <c r="A2326" s="1">
        <v>44786</v>
      </c>
      <c r="B2326">
        <v>2.33</v>
      </c>
    </row>
    <row r="2327" spans="1:2">
      <c r="A2327" s="1">
        <v>44787</v>
      </c>
      <c r="B2327">
        <v>2.33</v>
      </c>
    </row>
    <row r="2328" spans="1:2">
      <c r="A2328" s="1">
        <v>44788</v>
      </c>
      <c r="B2328">
        <v>2.33</v>
      </c>
    </row>
    <row r="2329" spans="1:2">
      <c r="A2329" s="1">
        <v>44789</v>
      </c>
      <c r="B2329">
        <v>2.33</v>
      </c>
    </row>
    <row r="2330" spans="1:2">
      <c r="A2330" s="1">
        <v>44790</v>
      </c>
      <c r="B2330">
        <v>2.33</v>
      </c>
    </row>
    <row r="2331" spans="1:2">
      <c r="A2331" s="1">
        <v>44791</v>
      </c>
      <c r="B2331">
        <v>2.33</v>
      </c>
    </row>
    <row r="2332" spans="1:2">
      <c r="A2332" s="1">
        <v>44792</v>
      </c>
      <c r="B2332">
        <v>2.33</v>
      </c>
    </row>
    <row r="2333" spans="1:2">
      <c r="A2333" s="1">
        <v>44793</v>
      </c>
      <c r="B2333">
        <v>2.33</v>
      </c>
    </row>
    <row r="2334" spans="1:2">
      <c r="A2334" s="1">
        <v>44794</v>
      </c>
      <c r="B2334">
        <v>2.33</v>
      </c>
    </row>
    <row r="2335" spans="1:2">
      <c r="A2335" s="1">
        <v>44795</v>
      </c>
      <c r="B2335">
        <v>2.33</v>
      </c>
    </row>
    <row r="2336" spans="1:2">
      <c r="A2336" s="1">
        <v>44796</v>
      </c>
      <c r="B2336">
        <v>2.33</v>
      </c>
    </row>
    <row r="2337" spans="1:2">
      <c r="A2337" s="1">
        <v>44797</v>
      </c>
      <c r="B2337">
        <v>2.33</v>
      </c>
    </row>
    <row r="2338" spans="1:2">
      <c r="A2338" s="1">
        <v>44798</v>
      </c>
      <c r="B2338">
        <v>2.33</v>
      </c>
    </row>
    <row r="2339" spans="1:2">
      <c r="A2339" s="1">
        <v>44799</v>
      </c>
      <c r="B2339">
        <v>2.33</v>
      </c>
    </row>
    <row r="2340" spans="1:2">
      <c r="A2340" s="1">
        <v>44800</v>
      </c>
      <c r="B2340">
        <v>2.33</v>
      </c>
    </row>
    <row r="2341" spans="1:2">
      <c r="A2341" s="1">
        <v>44801</v>
      </c>
      <c r="B2341">
        <v>2.33</v>
      </c>
    </row>
    <row r="2342" spans="1:2">
      <c r="A2342" s="1">
        <v>44802</v>
      </c>
      <c r="B2342">
        <v>2.33</v>
      </c>
    </row>
    <row r="2343" spans="1:2">
      <c r="A2343" s="1">
        <v>44803</v>
      </c>
      <c r="B2343">
        <v>2.33</v>
      </c>
    </row>
    <row r="2344" spans="1:2">
      <c r="A2344" s="1">
        <v>44804</v>
      </c>
      <c r="B2344">
        <v>2.33</v>
      </c>
    </row>
    <row r="2345" spans="1:2">
      <c r="A2345" s="1">
        <v>44805</v>
      </c>
      <c r="B2345">
        <v>2.33</v>
      </c>
    </row>
    <row r="2346" spans="1:2">
      <c r="A2346" s="1">
        <v>44806</v>
      </c>
      <c r="B2346">
        <v>2.33</v>
      </c>
    </row>
    <row r="2347" spans="1:2">
      <c r="A2347" s="1">
        <v>44807</v>
      </c>
      <c r="B2347">
        <v>2.33</v>
      </c>
    </row>
    <row r="2348" spans="1:2">
      <c r="A2348" s="1">
        <v>44808</v>
      </c>
      <c r="B2348">
        <v>2.33</v>
      </c>
    </row>
    <row r="2349" spans="1:2">
      <c r="A2349" s="1">
        <v>44809</v>
      </c>
      <c r="B2349">
        <v>2.33</v>
      </c>
    </row>
    <row r="2350" spans="1:2">
      <c r="A2350" s="1">
        <v>44810</v>
      </c>
      <c r="B2350">
        <v>2.33</v>
      </c>
    </row>
    <row r="2351" spans="1:2">
      <c r="A2351" s="1">
        <v>44811</v>
      </c>
      <c r="B2351">
        <v>2.33</v>
      </c>
    </row>
    <row r="2352" spans="1:2">
      <c r="A2352" s="1">
        <v>44812</v>
      </c>
      <c r="B2352">
        <v>2.33</v>
      </c>
    </row>
    <row r="2353" spans="1:2">
      <c r="A2353" s="1">
        <v>44813</v>
      </c>
      <c r="B2353">
        <v>2.33</v>
      </c>
    </row>
    <row r="2354" spans="1:2">
      <c r="A2354" s="1">
        <v>44814</v>
      </c>
      <c r="B2354">
        <v>2.33</v>
      </c>
    </row>
    <row r="2355" spans="1:2">
      <c r="A2355" s="1">
        <v>44815</v>
      </c>
      <c r="B2355">
        <v>2.33</v>
      </c>
    </row>
    <row r="2356" spans="1:2">
      <c r="A2356" s="1">
        <v>44816</v>
      </c>
      <c r="B2356">
        <v>2.33</v>
      </c>
    </row>
    <row r="2357" spans="1:2">
      <c r="A2357" s="1">
        <v>44817</v>
      </c>
      <c r="B2357">
        <v>2.33</v>
      </c>
    </row>
    <row r="2358" spans="1:2">
      <c r="A2358" s="1">
        <v>44818</v>
      </c>
      <c r="B2358">
        <v>2.33</v>
      </c>
    </row>
    <row r="2359" spans="1:2">
      <c r="A2359" s="1">
        <v>44819</v>
      </c>
      <c r="B2359">
        <v>2.33</v>
      </c>
    </row>
    <row r="2360" spans="1:2">
      <c r="A2360" s="1">
        <v>44820</v>
      </c>
      <c r="B2360">
        <v>2.33</v>
      </c>
    </row>
    <row r="2361" spans="1:2">
      <c r="A2361" s="1">
        <v>44821</v>
      </c>
      <c r="B2361">
        <v>2.33</v>
      </c>
    </row>
    <row r="2362" spans="1:2">
      <c r="A2362" s="1">
        <v>44822</v>
      </c>
      <c r="B2362">
        <v>2.33</v>
      </c>
    </row>
    <row r="2363" spans="1:2">
      <c r="A2363" s="1">
        <v>44823</v>
      </c>
      <c r="B2363">
        <v>2.33</v>
      </c>
    </row>
    <row r="2364" spans="1:2">
      <c r="A2364" s="1">
        <v>44824</v>
      </c>
      <c r="B2364">
        <v>2.33</v>
      </c>
    </row>
    <row r="2365" spans="1:2">
      <c r="A2365" s="1">
        <v>44825</v>
      </c>
      <c r="B2365">
        <v>2.33</v>
      </c>
    </row>
    <row r="2366" spans="1:2">
      <c r="A2366" s="1">
        <v>44826</v>
      </c>
      <c r="B2366">
        <v>3.08</v>
      </c>
    </row>
    <row r="2367" spans="1:2">
      <c r="A2367" s="1">
        <v>44827</v>
      </c>
      <c r="B2367">
        <v>3.08</v>
      </c>
    </row>
    <row r="2368" spans="1:2">
      <c r="A2368" s="1">
        <v>44828</v>
      </c>
      <c r="B2368">
        <v>3.08</v>
      </c>
    </row>
    <row r="2369" spans="1:2">
      <c r="A2369" s="1">
        <v>44829</v>
      </c>
      <c r="B2369">
        <v>3.08</v>
      </c>
    </row>
    <row r="2370" spans="1:2">
      <c r="A2370" s="1">
        <v>44830</v>
      </c>
      <c r="B2370">
        <v>3.08</v>
      </c>
    </row>
    <row r="2371" spans="1:2">
      <c r="A2371" s="1">
        <v>44831</v>
      </c>
      <c r="B2371">
        <v>3.08</v>
      </c>
    </row>
    <row r="2372" spans="1:2">
      <c r="A2372" s="1">
        <v>44832</v>
      </c>
      <c r="B2372">
        <v>3.08</v>
      </c>
    </row>
    <row r="2373" spans="1:2">
      <c r="A2373" s="1">
        <v>44833</v>
      </c>
      <c r="B2373">
        <v>3.08</v>
      </c>
    </row>
    <row r="2374" spans="1:2">
      <c r="A2374" s="1">
        <v>44834</v>
      </c>
      <c r="B2374">
        <v>3.08</v>
      </c>
    </row>
    <row r="2375" spans="1:2">
      <c r="A2375" s="1">
        <v>44835</v>
      </c>
      <c r="B2375">
        <v>3.08</v>
      </c>
    </row>
    <row r="2376" spans="1:2">
      <c r="A2376" s="1">
        <v>44836</v>
      </c>
      <c r="B2376">
        <v>3.08</v>
      </c>
    </row>
    <row r="2377" spans="1:2">
      <c r="A2377" s="1">
        <v>44837</v>
      </c>
      <c r="B2377">
        <v>3.08</v>
      </c>
    </row>
    <row r="2378" spans="1:2">
      <c r="A2378" s="1">
        <v>44838</v>
      </c>
      <c r="B2378">
        <v>3.08</v>
      </c>
    </row>
    <row r="2379" spans="1:2">
      <c r="A2379" s="1">
        <v>44839</v>
      </c>
      <c r="B2379">
        <v>3.08</v>
      </c>
    </row>
    <row r="2380" spans="1:2">
      <c r="A2380" s="1">
        <v>44840</v>
      </c>
      <c r="B2380">
        <v>3.08</v>
      </c>
    </row>
    <row r="2381" spans="1:2">
      <c r="A2381" s="1">
        <v>44841</v>
      </c>
      <c r="B2381">
        <v>3.08</v>
      </c>
    </row>
    <row r="2382" spans="1:2">
      <c r="A2382" s="1">
        <v>44842</v>
      </c>
      <c r="B2382">
        <v>3.08</v>
      </c>
    </row>
    <row r="2383" spans="1:2">
      <c r="A2383" s="1">
        <v>44843</v>
      </c>
      <c r="B2383">
        <v>3.08</v>
      </c>
    </row>
    <row r="2384" spans="1:2">
      <c r="A2384" s="1">
        <v>44844</v>
      </c>
      <c r="B2384">
        <v>3.08</v>
      </c>
    </row>
    <row r="2385" spans="1:2">
      <c r="A2385" s="1">
        <v>44845</v>
      </c>
      <c r="B2385">
        <v>3.08</v>
      </c>
    </row>
    <row r="2386" spans="1:2">
      <c r="A2386" s="1">
        <v>44846</v>
      </c>
      <c r="B2386">
        <v>3.08</v>
      </c>
    </row>
    <row r="2387" spans="1:2">
      <c r="A2387" s="1">
        <v>44847</v>
      </c>
      <c r="B2387">
        <v>3.08</v>
      </c>
    </row>
    <row r="2388" spans="1:2">
      <c r="A2388" s="1">
        <v>44848</v>
      </c>
      <c r="B2388">
        <v>3.08</v>
      </c>
    </row>
    <row r="2389" spans="1:2">
      <c r="A2389" s="1">
        <v>44849</v>
      </c>
      <c r="B2389">
        <v>3.08</v>
      </c>
    </row>
    <row r="2390" spans="1:2">
      <c r="A2390" s="1">
        <v>44850</v>
      </c>
      <c r="B2390">
        <v>3.08</v>
      </c>
    </row>
    <row r="2391" spans="1:2">
      <c r="A2391" s="1">
        <v>44851</v>
      </c>
      <c r="B2391">
        <v>3.08</v>
      </c>
    </row>
    <row r="2392" spans="1:2">
      <c r="A2392" s="1">
        <v>44852</v>
      </c>
      <c r="B2392">
        <v>3.08</v>
      </c>
    </row>
    <row r="2393" spans="1:2">
      <c r="A2393" s="1">
        <v>44853</v>
      </c>
      <c r="B2393">
        <v>3.08</v>
      </c>
    </row>
    <row r="2394" spans="1:2">
      <c r="A2394" s="1">
        <v>44854</v>
      </c>
      <c r="B2394">
        <v>3.08</v>
      </c>
    </row>
    <row r="2395" spans="1:2">
      <c r="A2395" s="1">
        <v>44855</v>
      </c>
      <c r="B2395">
        <v>3.08</v>
      </c>
    </row>
    <row r="2396" spans="1:2">
      <c r="A2396" s="1">
        <v>44856</v>
      </c>
      <c r="B2396">
        <v>3.08</v>
      </c>
    </row>
    <row r="2397" spans="1:2">
      <c r="A2397" s="1">
        <v>44857</v>
      </c>
      <c r="B2397">
        <v>3.08</v>
      </c>
    </row>
    <row r="2398" spans="1:2">
      <c r="A2398" s="1">
        <v>44858</v>
      </c>
      <c r="B2398">
        <v>3.08</v>
      </c>
    </row>
    <row r="2399" spans="1:2">
      <c r="A2399" s="1">
        <v>44859</v>
      </c>
      <c r="B2399">
        <v>3.08</v>
      </c>
    </row>
    <row r="2400" spans="1:2">
      <c r="A2400" s="1">
        <v>44860</v>
      </c>
      <c r="B2400">
        <v>3.08</v>
      </c>
    </row>
    <row r="2401" spans="1:2">
      <c r="A2401" s="1">
        <v>44861</v>
      </c>
      <c r="B2401">
        <v>3.08</v>
      </c>
    </row>
    <row r="2402" spans="1:2">
      <c r="A2402" s="1">
        <v>44862</v>
      </c>
      <c r="B2402">
        <v>3.08</v>
      </c>
    </row>
    <row r="2403" spans="1:2">
      <c r="A2403" s="1">
        <v>44863</v>
      </c>
      <c r="B2403">
        <v>3.08</v>
      </c>
    </row>
    <row r="2404" spans="1:2">
      <c r="A2404" s="1">
        <v>44864</v>
      </c>
      <c r="B2404">
        <v>3.08</v>
      </c>
    </row>
    <row r="2405" spans="1:2">
      <c r="A2405" s="1">
        <v>44865</v>
      </c>
      <c r="B2405">
        <v>3.08</v>
      </c>
    </row>
    <row r="2406" spans="1:2">
      <c r="A2406" s="1">
        <v>44866</v>
      </c>
      <c r="B2406">
        <v>3.08</v>
      </c>
    </row>
    <row r="2407" spans="1:2">
      <c r="A2407" s="1">
        <v>44867</v>
      </c>
      <c r="B2407">
        <v>3.08</v>
      </c>
    </row>
    <row r="2408" spans="1:2">
      <c r="A2408" s="1">
        <v>44868</v>
      </c>
      <c r="B2408">
        <v>3.83</v>
      </c>
    </row>
    <row r="2409" spans="1:2">
      <c r="A2409" s="1">
        <v>44869</v>
      </c>
      <c r="B2409">
        <v>3.83</v>
      </c>
    </row>
    <row r="2410" spans="1:2">
      <c r="A2410" s="1">
        <v>44870</v>
      </c>
      <c r="B2410">
        <v>3.83</v>
      </c>
    </row>
    <row r="2411" spans="1:2">
      <c r="A2411" s="1">
        <v>44871</v>
      </c>
      <c r="B2411">
        <v>3.83</v>
      </c>
    </row>
    <row r="2412" spans="1:2">
      <c r="A2412" s="1">
        <v>44872</v>
      </c>
      <c r="B2412">
        <v>3.83</v>
      </c>
    </row>
    <row r="2413" spans="1:2">
      <c r="A2413" s="1">
        <v>44873</v>
      </c>
      <c r="B2413">
        <v>3.83</v>
      </c>
    </row>
    <row r="2414" spans="1:2">
      <c r="A2414" s="1">
        <v>44874</v>
      </c>
      <c r="B2414">
        <v>3.83</v>
      </c>
    </row>
    <row r="2415" spans="1:2">
      <c r="A2415" s="1">
        <v>44875</v>
      </c>
      <c r="B2415">
        <v>3.83</v>
      </c>
    </row>
    <row r="2416" spans="1:2">
      <c r="A2416" s="1">
        <v>44876</v>
      </c>
      <c r="B2416">
        <v>3.83</v>
      </c>
    </row>
    <row r="2417" spans="1:2">
      <c r="A2417" s="1">
        <v>44877</v>
      </c>
      <c r="B2417">
        <v>3.83</v>
      </c>
    </row>
    <row r="2418" spans="1:2">
      <c r="A2418" s="1">
        <v>44878</v>
      </c>
      <c r="B2418">
        <v>3.83</v>
      </c>
    </row>
    <row r="2419" spans="1:2">
      <c r="A2419" s="1">
        <v>44879</v>
      </c>
      <c r="B2419">
        <v>3.83</v>
      </c>
    </row>
    <row r="2420" spans="1:2">
      <c r="A2420" s="1">
        <v>44880</v>
      </c>
      <c r="B2420">
        <v>3.83</v>
      </c>
    </row>
    <row r="2421" spans="1:2">
      <c r="A2421" s="1">
        <v>44881</v>
      </c>
      <c r="B2421">
        <v>3.83</v>
      </c>
    </row>
    <row r="2422" spans="1:2">
      <c r="A2422" s="1">
        <v>44882</v>
      </c>
      <c r="B2422">
        <v>3.83</v>
      </c>
    </row>
    <row r="2423" spans="1:2">
      <c r="A2423" s="1">
        <v>44883</v>
      </c>
      <c r="B2423">
        <v>3.83</v>
      </c>
    </row>
    <row r="2424" spans="1:2">
      <c r="A2424" s="1">
        <v>44884</v>
      </c>
      <c r="B2424">
        <v>3.83</v>
      </c>
    </row>
    <row r="2425" spans="1:2">
      <c r="A2425" s="1">
        <v>44885</v>
      </c>
      <c r="B2425">
        <v>3.83</v>
      </c>
    </row>
    <row r="2426" spans="1:2">
      <c r="A2426" s="1">
        <v>44886</v>
      </c>
      <c r="B2426">
        <v>3.83</v>
      </c>
    </row>
    <row r="2427" spans="1:2">
      <c r="A2427" s="1">
        <v>44887</v>
      </c>
      <c r="B2427">
        <v>3.83</v>
      </c>
    </row>
    <row r="2428" spans="1:2">
      <c r="A2428" s="1">
        <v>44888</v>
      </c>
      <c r="B2428">
        <v>3.83</v>
      </c>
    </row>
    <row r="2429" spans="1:2">
      <c r="A2429" s="1">
        <v>44889</v>
      </c>
      <c r="B2429">
        <v>3.83</v>
      </c>
    </row>
    <row r="2430" spans="1:2">
      <c r="A2430" s="1">
        <v>44890</v>
      </c>
      <c r="B2430">
        <v>3.83</v>
      </c>
    </row>
    <row r="2431" spans="1:2">
      <c r="A2431" s="1">
        <v>44891</v>
      </c>
      <c r="B2431">
        <v>3.83</v>
      </c>
    </row>
    <row r="2432" spans="1:2">
      <c r="A2432" s="1">
        <v>44892</v>
      </c>
      <c r="B2432">
        <v>3.83</v>
      </c>
    </row>
    <row r="2433" spans="1:2">
      <c r="A2433" s="1">
        <v>44893</v>
      </c>
      <c r="B2433">
        <v>3.83</v>
      </c>
    </row>
    <row r="2434" spans="1:2">
      <c r="A2434" s="1">
        <v>44894</v>
      </c>
      <c r="B2434">
        <v>3.83</v>
      </c>
    </row>
    <row r="2435" spans="1:2">
      <c r="A2435" s="1">
        <v>44895</v>
      </c>
      <c r="B2435">
        <v>3.83</v>
      </c>
    </row>
    <row r="2436" spans="1:2">
      <c r="A2436" s="1">
        <v>44896</v>
      </c>
      <c r="B2436">
        <v>3.83</v>
      </c>
    </row>
    <row r="2437" spans="1:2">
      <c r="A2437" s="1">
        <v>44897</v>
      </c>
      <c r="B2437">
        <v>3.83</v>
      </c>
    </row>
    <row r="2438" spans="1:2">
      <c r="A2438" s="1">
        <v>44898</v>
      </c>
      <c r="B2438">
        <v>3.83</v>
      </c>
    </row>
    <row r="2439" spans="1:2">
      <c r="A2439" s="1">
        <v>44899</v>
      </c>
      <c r="B2439">
        <v>3.83</v>
      </c>
    </row>
    <row r="2440" spans="1:2">
      <c r="A2440" s="1">
        <v>44900</v>
      </c>
      <c r="B2440">
        <v>3.83</v>
      </c>
    </row>
    <row r="2441" spans="1:2">
      <c r="A2441" s="1">
        <v>44901</v>
      </c>
      <c r="B2441">
        <v>3.83</v>
      </c>
    </row>
    <row r="2442" spans="1:2">
      <c r="A2442" s="1">
        <v>44902</v>
      </c>
      <c r="B2442">
        <v>3.83</v>
      </c>
    </row>
    <row r="2443" spans="1:2">
      <c r="A2443" s="1">
        <v>44903</v>
      </c>
      <c r="B2443">
        <v>3.83</v>
      </c>
    </row>
    <row r="2444" spans="1:2">
      <c r="A2444" s="1">
        <v>44904</v>
      </c>
      <c r="B2444">
        <v>3.83</v>
      </c>
    </row>
    <row r="2445" spans="1:2">
      <c r="A2445" s="1">
        <v>44905</v>
      </c>
      <c r="B2445">
        <v>3.83</v>
      </c>
    </row>
    <row r="2446" spans="1:2">
      <c r="A2446" s="1">
        <v>44906</v>
      </c>
      <c r="B2446">
        <v>3.83</v>
      </c>
    </row>
    <row r="2447" spans="1:2">
      <c r="A2447" s="1">
        <v>44907</v>
      </c>
      <c r="B2447">
        <v>3.83</v>
      </c>
    </row>
    <row r="2448" spans="1:2">
      <c r="A2448" s="1">
        <v>44908</v>
      </c>
      <c r="B2448">
        <v>3.83</v>
      </c>
    </row>
    <row r="2449" spans="1:2">
      <c r="A2449" s="1">
        <v>44909</v>
      </c>
      <c r="B2449">
        <v>3.83</v>
      </c>
    </row>
    <row r="2450" spans="1:2">
      <c r="A2450" s="1">
        <v>44910</v>
      </c>
      <c r="B2450">
        <v>4.33</v>
      </c>
    </row>
    <row r="2451" spans="1:2">
      <c r="A2451" s="1">
        <v>44911</v>
      </c>
      <c r="B2451">
        <v>4.33</v>
      </c>
    </row>
    <row r="2452" spans="1:2">
      <c r="A2452" s="1">
        <v>44912</v>
      </c>
      <c r="B2452">
        <v>4.33</v>
      </c>
    </row>
    <row r="2453" spans="1:2">
      <c r="A2453" s="1">
        <v>44913</v>
      </c>
      <c r="B2453">
        <v>4.33</v>
      </c>
    </row>
    <row r="2454" spans="1:2">
      <c r="A2454" s="1">
        <v>44914</v>
      </c>
      <c r="B2454">
        <v>4.33</v>
      </c>
    </row>
    <row r="2455" spans="1:2">
      <c r="A2455" s="1">
        <v>44915</v>
      </c>
      <c r="B2455">
        <v>4.33</v>
      </c>
    </row>
    <row r="2456" spans="1:2">
      <c r="A2456" s="1">
        <v>44916</v>
      </c>
      <c r="B2456">
        <v>4.33</v>
      </c>
    </row>
    <row r="2457" spans="1:2">
      <c r="A2457" s="1">
        <v>44917</v>
      </c>
      <c r="B2457">
        <v>4.33</v>
      </c>
    </row>
    <row r="2458" spans="1:2">
      <c r="A2458" s="1">
        <v>44918</v>
      </c>
      <c r="B2458">
        <v>4.33</v>
      </c>
    </row>
    <row r="2459" spans="1:2">
      <c r="A2459" s="1">
        <v>44919</v>
      </c>
      <c r="B2459">
        <v>4.33</v>
      </c>
    </row>
    <row r="2460" spans="1:2">
      <c r="A2460" s="1">
        <v>44920</v>
      </c>
      <c r="B2460">
        <v>4.33</v>
      </c>
    </row>
    <row r="2461" spans="1:2">
      <c r="A2461" s="1">
        <v>44921</v>
      </c>
      <c r="B2461">
        <v>4.33</v>
      </c>
    </row>
    <row r="2462" spans="1:2">
      <c r="A2462" s="1">
        <v>44922</v>
      </c>
      <c r="B2462">
        <v>4.33</v>
      </c>
    </row>
    <row r="2463" spans="1:2">
      <c r="A2463" s="1">
        <v>44923</v>
      </c>
      <c r="B2463">
        <v>4.33</v>
      </c>
    </row>
    <row r="2464" spans="1:2">
      <c r="A2464" s="1">
        <v>44924</v>
      </c>
      <c r="B2464">
        <v>4.33</v>
      </c>
    </row>
    <row r="2465" spans="1:2">
      <c r="A2465" s="1">
        <v>44925</v>
      </c>
      <c r="B2465">
        <v>4.33</v>
      </c>
    </row>
    <row r="2466" spans="1:2">
      <c r="A2466" s="1">
        <v>44926</v>
      </c>
      <c r="B2466">
        <v>4.33</v>
      </c>
    </row>
    <row r="2467" spans="1:2">
      <c r="A2467" s="1">
        <v>44927</v>
      </c>
      <c r="B2467">
        <v>4.33</v>
      </c>
    </row>
    <row r="2468" spans="1:2">
      <c r="A2468" s="1">
        <v>44928</v>
      </c>
      <c r="B2468">
        <v>4.33</v>
      </c>
    </row>
    <row r="2469" spans="1:2">
      <c r="A2469" s="1">
        <v>44929</v>
      </c>
      <c r="B2469">
        <v>4.33</v>
      </c>
    </row>
    <row r="2470" spans="1:2">
      <c r="A2470" s="1">
        <v>44930</v>
      </c>
      <c r="B2470">
        <v>4.33</v>
      </c>
    </row>
    <row r="2471" spans="1:2">
      <c r="A2471" s="1">
        <v>44931</v>
      </c>
      <c r="B2471">
        <v>4.33</v>
      </c>
    </row>
    <row r="2472" spans="1:2">
      <c r="A2472" s="1">
        <v>44932</v>
      </c>
      <c r="B2472">
        <v>4.33</v>
      </c>
    </row>
    <row r="2473" spans="1:2">
      <c r="A2473" s="1">
        <v>44933</v>
      </c>
      <c r="B2473">
        <v>4.33</v>
      </c>
    </row>
    <row r="2474" spans="1:2">
      <c r="A2474" s="1">
        <v>44934</v>
      </c>
      <c r="B2474">
        <v>4.33</v>
      </c>
    </row>
    <row r="2475" spans="1:2">
      <c r="A2475" s="1">
        <v>44935</v>
      </c>
      <c r="B2475">
        <v>4.33</v>
      </c>
    </row>
    <row r="2476" spans="1:2">
      <c r="A2476" s="1">
        <v>44936</v>
      </c>
      <c r="B2476">
        <v>4.33</v>
      </c>
    </row>
    <row r="2477" spans="1:2">
      <c r="A2477" s="1">
        <v>44937</v>
      </c>
      <c r="B2477">
        <v>4.33</v>
      </c>
    </row>
    <row r="2478" spans="1:2">
      <c r="A2478" s="1">
        <v>44938</v>
      </c>
      <c r="B2478">
        <v>4.33</v>
      </c>
    </row>
    <row r="2479" spans="1:2">
      <c r="A2479" s="1">
        <v>44939</v>
      </c>
      <c r="B2479">
        <v>4.33</v>
      </c>
    </row>
    <row r="2480" spans="1:2">
      <c r="A2480" s="1">
        <v>44940</v>
      </c>
      <c r="B2480">
        <v>4.33</v>
      </c>
    </row>
    <row r="2481" spans="1:2">
      <c r="A2481" s="1">
        <v>44941</v>
      </c>
      <c r="B2481">
        <v>4.33</v>
      </c>
    </row>
    <row r="2482" spans="1:2">
      <c r="A2482" s="1">
        <v>44942</v>
      </c>
      <c r="B2482">
        <v>4.33</v>
      </c>
    </row>
    <row r="2483" spans="1:2">
      <c r="A2483" s="1">
        <v>44943</v>
      </c>
      <c r="B2483">
        <v>4.33</v>
      </c>
    </row>
    <row r="2484" spans="1:2">
      <c r="A2484" s="1">
        <v>44944</v>
      </c>
      <c r="B2484">
        <v>4.33</v>
      </c>
    </row>
    <row r="2485" spans="1:2">
      <c r="A2485" s="1">
        <v>44945</v>
      </c>
      <c r="B2485">
        <v>4.33</v>
      </c>
    </row>
    <row r="2486" spans="1:2">
      <c r="A2486" s="1">
        <v>44946</v>
      </c>
      <c r="B2486">
        <v>4.33</v>
      </c>
    </row>
    <row r="2487" spans="1:2">
      <c r="A2487" s="1">
        <v>44947</v>
      </c>
      <c r="B2487">
        <v>4.33</v>
      </c>
    </row>
    <row r="2488" spans="1:2">
      <c r="A2488" s="1">
        <v>44948</v>
      </c>
      <c r="B2488">
        <v>4.33</v>
      </c>
    </row>
    <row r="2489" spans="1:2">
      <c r="A2489" s="1">
        <v>44949</v>
      </c>
      <c r="B2489">
        <v>4.33</v>
      </c>
    </row>
    <row r="2490" spans="1:2">
      <c r="A2490" s="1">
        <v>44950</v>
      </c>
      <c r="B2490">
        <v>4.33</v>
      </c>
    </row>
    <row r="2491" spans="1:2">
      <c r="A2491" s="1">
        <v>44951</v>
      </c>
      <c r="B2491">
        <v>4.33</v>
      </c>
    </row>
    <row r="2492" spans="1:2">
      <c r="A2492" s="1">
        <v>44952</v>
      </c>
      <c r="B2492">
        <v>4.33</v>
      </c>
    </row>
    <row r="2493" spans="1:2">
      <c r="A2493" s="1">
        <v>44953</v>
      </c>
      <c r="B2493">
        <v>4.33</v>
      </c>
    </row>
    <row r="2494" spans="1:2">
      <c r="A2494" s="1">
        <v>44954</v>
      </c>
      <c r="B2494">
        <v>4.33</v>
      </c>
    </row>
    <row r="2495" spans="1:2">
      <c r="A2495" s="1">
        <v>44955</v>
      </c>
      <c r="B2495">
        <v>4.33</v>
      </c>
    </row>
    <row r="2496" spans="1:2">
      <c r="A2496" s="1">
        <v>44956</v>
      </c>
      <c r="B2496">
        <v>4.33</v>
      </c>
    </row>
    <row r="2497" spans="1:2">
      <c r="A2497" s="1">
        <v>44957</v>
      </c>
      <c r="B2497">
        <v>4.33</v>
      </c>
    </row>
    <row r="2498" spans="1:2">
      <c r="A2498" s="1">
        <v>44958</v>
      </c>
      <c r="B2498">
        <v>4.33</v>
      </c>
    </row>
    <row r="2499" spans="1:2">
      <c r="A2499" s="1">
        <v>44959</v>
      </c>
      <c r="B2499">
        <v>4.58</v>
      </c>
    </row>
    <row r="2500" spans="1:2">
      <c r="A2500" s="1">
        <v>44960</v>
      </c>
      <c r="B2500">
        <v>4.58</v>
      </c>
    </row>
    <row r="2501" spans="1:2">
      <c r="A2501" s="1">
        <v>44961</v>
      </c>
      <c r="B2501">
        <v>4.58</v>
      </c>
    </row>
    <row r="2502" spans="1:2">
      <c r="A2502" s="1">
        <v>44962</v>
      </c>
      <c r="B2502">
        <v>4.58</v>
      </c>
    </row>
    <row r="2503" spans="1:2">
      <c r="A2503" s="1">
        <v>44963</v>
      </c>
      <c r="B2503">
        <v>4.58</v>
      </c>
    </row>
    <row r="2504" spans="1:2">
      <c r="A2504" s="1">
        <v>44964</v>
      </c>
      <c r="B2504">
        <v>4.58</v>
      </c>
    </row>
    <row r="2505" spans="1:2">
      <c r="A2505" s="1">
        <v>44965</v>
      </c>
      <c r="B2505">
        <v>4.58</v>
      </c>
    </row>
    <row r="2506" spans="1:2">
      <c r="A2506" s="1">
        <v>44966</v>
      </c>
      <c r="B2506">
        <v>4.57</v>
      </c>
    </row>
    <row r="2507" spans="1:2">
      <c r="A2507" s="1">
        <v>44967</v>
      </c>
      <c r="B2507">
        <v>4.58</v>
      </c>
    </row>
    <row r="2508" spans="1:2">
      <c r="A2508" s="1">
        <v>44968</v>
      </c>
      <c r="B2508">
        <v>4.58</v>
      </c>
    </row>
    <row r="2509" spans="1:2">
      <c r="A2509" s="1">
        <v>44969</v>
      </c>
      <c r="B2509">
        <v>4.58</v>
      </c>
    </row>
    <row r="2510" spans="1:2">
      <c r="A2510" s="1">
        <v>44970</v>
      </c>
      <c r="B2510">
        <v>4.58</v>
      </c>
    </row>
    <row r="2511" spans="1:2">
      <c r="A2511" s="1">
        <v>44971</v>
      </c>
      <c r="B2511">
        <v>4.58</v>
      </c>
    </row>
    <row r="2512" spans="1:2">
      <c r="A2512" s="1">
        <v>44972</v>
      </c>
      <c r="B2512">
        <v>4.58</v>
      </c>
    </row>
    <row r="2513" spans="1:2">
      <c r="A2513" s="1">
        <v>44973</v>
      </c>
      <c r="B2513">
        <v>4.58</v>
      </c>
    </row>
    <row r="2514" spans="1:2">
      <c r="A2514" s="1">
        <v>44974</v>
      </c>
      <c r="B2514">
        <v>4.58</v>
      </c>
    </row>
    <row r="2515" spans="1:2">
      <c r="A2515" s="1">
        <v>44975</v>
      </c>
      <c r="B2515">
        <v>4.58</v>
      </c>
    </row>
    <row r="2516" spans="1:2">
      <c r="A2516" s="1">
        <v>44976</v>
      </c>
      <c r="B2516">
        <v>4.58</v>
      </c>
    </row>
    <row r="2517" spans="1:2">
      <c r="A2517" s="1">
        <v>44977</v>
      </c>
      <c r="B2517">
        <v>4.58</v>
      </c>
    </row>
    <row r="2518" spans="1:2">
      <c r="A2518" s="1">
        <v>44978</v>
      </c>
      <c r="B2518">
        <v>4.58</v>
      </c>
    </row>
    <row r="2519" spans="1:2">
      <c r="A2519" s="1">
        <v>44979</v>
      </c>
      <c r="B2519">
        <v>4.58</v>
      </c>
    </row>
    <row r="2520" spans="1:2">
      <c r="A2520" s="1">
        <v>44980</v>
      </c>
      <c r="B2520">
        <v>4.58</v>
      </c>
    </row>
    <row r="2521" spans="1:2">
      <c r="A2521" s="1">
        <v>44981</v>
      </c>
      <c r="B2521">
        <v>4.58</v>
      </c>
    </row>
    <row r="2522" spans="1:2">
      <c r="A2522" s="1">
        <v>44982</v>
      </c>
      <c r="B2522">
        <v>4.58</v>
      </c>
    </row>
    <row r="2523" spans="1:2">
      <c r="A2523" s="1">
        <v>44983</v>
      </c>
      <c r="B2523">
        <v>4.58</v>
      </c>
    </row>
    <row r="2524" spans="1:2">
      <c r="A2524" s="1">
        <v>44984</v>
      </c>
      <c r="B2524">
        <v>4.57</v>
      </c>
    </row>
    <row r="2525" spans="1:2">
      <c r="A2525" s="1">
        <v>44985</v>
      </c>
      <c r="B2525">
        <v>4.57</v>
      </c>
    </row>
    <row r="2526" spans="1:2">
      <c r="A2526" s="1">
        <v>44986</v>
      </c>
      <c r="B2526">
        <v>4.58</v>
      </c>
    </row>
    <row r="2527" spans="1:2">
      <c r="A2527" s="1">
        <v>44987</v>
      </c>
      <c r="B2527">
        <v>4.57</v>
      </c>
    </row>
    <row r="2528" spans="1:2">
      <c r="A2528" s="1">
        <v>44988</v>
      </c>
      <c r="B2528">
        <v>4.57</v>
      </c>
    </row>
    <row r="2529" spans="1:2">
      <c r="A2529" s="1">
        <v>44989</v>
      </c>
      <c r="B2529">
        <v>4.57</v>
      </c>
    </row>
    <row r="2530" spans="1:2">
      <c r="A2530" s="1">
        <v>44990</v>
      </c>
      <c r="B2530">
        <v>4.57</v>
      </c>
    </row>
    <row r="2531" spans="1:2">
      <c r="A2531" s="1">
        <v>44991</v>
      </c>
      <c r="B2531">
        <v>4.57</v>
      </c>
    </row>
    <row r="2532" spans="1:2">
      <c r="A2532" s="1">
        <v>44992</v>
      </c>
      <c r="B2532">
        <v>4.57</v>
      </c>
    </row>
    <row r="2533" spans="1:2">
      <c r="A2533" s="1">
        <v>44993</v>
      </c>
      <c r="B2533">
        <v>4.57</v>
      </c>
    </row>
    <row r="2534" spans="1:2">
      <c r="A2534" s="1">
        <v>44994</v>
      </c>
      <c r="B2534">
        <v>4.57</v>
      </c>
    </row>
    <row r="2535" spans="1:2">
      <c r="A2535" s="1">
        <v>44995</v>
      </c>
      <c r="B2535">
        <v>4.57</v>
      </c>
    </row>
    <row r="2536" spans="1:2">
      <c r="A2536" s="1">
        <v>44996</v>
      </c>
      <c r="B2536">
        <v>4.57</v>
      </c>
    </row>
    <row r="2537" spans="1:2">
      <c r="A2537" s="1">
        <v>44997</v>
      </c>
      <c r="B2537">
        <v>4.57</v>
      </c>
    </row>
    <row r="2538" spans="1:2">
      <c r="A2538" s="1">
        <v>44998</v>
      </c>
      <c r="B2538">
        <v>4.58</v>
      </c>
    </row>
    <row r="2539" spans="1:2">
      <c r="A2539" s="1">
        <v>44999</v>
      </c>
      <c r="B2539">
        <v>4.58</v>
      </c>
    </row>
    <row r="2540" spans="1:2">
      <c r="A2540" s="1">
        <v>45000</v>
      </c>
      <c r="B2540">
        <v>4.58</v>
      </c>
    </row>
    <row r="2541" spans="1:2">
      <c r="A2541" s="1">
        <v>45001</v>
      </c>
      <c r="B2541">
        <v>4.58</v>
      </c>
    </row>
    <row r="2542" spans="1:2">
      <c r="A2542" s="1">
        <v>45002</v>
      </c>
      <c r="B2542">
        <v>4.58</v>
      </c>
    </row>
    <row r="2543" spans="1:2">
      <c r="A2543" s="1">
        <v>45003</v>
      </c>
      <c r="B2543">
        <v>4.58</v>
      </c>
    </row>
    <row r="2544" spans="1:2">
      <c r="A2544" s="1">
        <v>45004</v>
      </c>
      <c r="B2544">
        <v>4.58</v>
      </c>
    </row>
    <row r="2545" spans="1:2">
      <c r="A2545" s="1">
        <v>45005</v>
      </c>
      <c r="B2545">
        <v>4.58</v>
      </c>
    </row>
    <row r="2546" spans="1:2">
      <c r="A2546" s="1">
        <v>45006</v>
      </c>
      <c r="B2546">
        <v>4.58</v>
      </c>
    </row>
    <row r="2547" spans="1:2">
      <c r="A2547" s="1">
        <v>45007</v>
      </c>
      <c r="B2547">
        <v>4.58</v>
      </c>
    </row>
    <row r="2548" spans="1:2">
      <c r="A2548" s="1">
        <v>45008</v>
      </c>
      <c r="B2548">
        <v>4.83</v>
      </c>
    </row>
    <row r="2549" spans="1:2">
      <c r="A2549" s="1">
        <v>45009</v>
      </c>
      <c r="B2549">
        <v>4.83</v>
      </c>
    </row>
    <row r="2550" spans="1:2">
      <c r="A2550" s="1">
        <v>45010</v>
      </c>
      <c r="B2550">
        <v>4.83</v>
      </c>
    </row>
    <row r="2551" spans="1:2">
      <c r="A2551" s="1">
        <v>45011</v>
      </c>
      <c r="B2551">
        <v>4.83</v>
      </c>
    </row>
    <row r="2552" spans="1:2">
      <c r="A2552" s="1">
        <v>45012</v>
      </c>
      <c r="B2552">
        <v>4.83</v>
      </c>
    </row>
    <row r="2553" spans="1:2">
      <c r="A2553" s="1">
        <v>45013</v>
      </c>
      <c r="B2553">
        <v>4.83</v>
      </c>
    </row>
    <row r="2554" spans="1:2">
      <c r="A2554" s="1">
        <v>45014</v>
      </c>
      <c r="B2554">
        <v>4.83</v>
      </c>
    </row>
    <row r="2555" spans="1:2">
      <c r="A2555" s="1">
        <v>45015</v>
      </c>
      <c r="B2555">
        <v>4.83</v>
      </c>
    </row>
    <row r="2556" spans="1:2">
      <c r="A2556" s="1">
        <v>45016</v>
      </c>
      <c r="B2556">
        <v>4.83</v>
      </c>
    </row>
    <row r="2557" spans="1:2">
      <c r="A2557" s="1">
        <v>45017</v>
      </c>
      <c r="B2557">
        <v>4.83</v>
      </c>
    </row>
    <row r="2558" spans="1:2">
      <c r="A2558" s="1">
        <v>45018</v>
      </c>
      <c r="B2558">
        <v>4.83</v>
      </c>
    </row>
    <row r="2559" spans="1:2">
      <c r="A2559" s="1">
        <v>45019</v>
      </c>
      <c r="B2559">
        <v>4.83</v>
      </c>
    </row>
    <row r="2560" spans="1:2">
      <c r="A2560" s="1">
        <v>45020</v>
      </c>
      <c r="B2560">
        <v>4.83</v>
      </c>
    </row>
    <row r="2561" spans="1:2">
      <c r="A2561" s="1">
        <v>45021</v>
      </c>
      <c r="B2561">
        <v>4.83</v>
      </c>
    </row>
    <row r="2562" spans="1:2">
      <c r="A2562" s="1">
        <v>45022</v>
      </c>
      <c r="B2562">
        <v>4.83</v>
      </c>
    </row>
    <row r="2563" spans="1:2">
      <c r="A2563" s="1">
        <v>45023</v>
      </c>
      <c r="B2563">
        <v>4.83</v>
      </c>
    </row>
    <row r="2564" spans="1:2">
      <c r="A2564" s="1">
        <v>45024</v>
      </c>
      <c r="B2564">
        <v>4.83</v>
      </c>
    </row>
    <row r="2565" spans="1:2">
      <c r="A2565" s="1">
        <v>45025</v>
      </c>
      <c r="B2565">
        <v>4.83</v>
      </c>
    </row>
    <row r="2566" spans="1:2">
      <c r="A2566" s="1">
        <v>45026</v>
      </c>
      <c r="B2566">
        <v>4.83</v>
      </c>
    </row>
    <row r="2567" spans="1:2">
      <c r="A2567" s="1">
        <v>45027</v>
      </c>
      <c r="B2567">
        <v>4.83</v>
      </c>
    </row>
    <row r="2568" spans="1:2">
      <c r="A2568" s="1">
        <v>45028</v>
      </c>
      <c r="B2568">
        <v>4.83</v>
      </c>
    </row>
    <row r="2569" spans="1:2">
      <c r="A2569" s="1">
        <v>45029</v>
      </c>
      <c r="B2569">
        <v>4.83</v>
      </c>
    </row>
    <row r="2570" spans="1:2">
      <c r="A2570" s="1">
        <v>45030</v>
      </c>
      <c r="B2570">
        <v>4.83</v>
      </c>
    </row>
    <row r="2571" spans="1:2">
      <c r="A2571" s="1">
        <v>45031</v>
      </c>
      <c r="B2571">
        <v>4.83</v>
      </c>
    </row>
    <row r="2572" spans="1:2">
      <c r="A2572" s="1">
        <v>45032</v>
      </c>
      <c r="B2572">
        <v>4.83</v>
      </c>
    </row>
    <row r="2573" spans="1:2">
      <c r="A2573" s="1">
        <v>45033</v>
      </c>
      <c r="B2573">
        <v>4.83</v>
      </c>
    </row>
    <row r="2574" spans="1:2">
      <c r="A2574" s="1">
        <v>45034</v>
      </c>
      <c r="B2574">
        <v>4.83</v>
      </c>
    </row>
    <row r="2575" spans="1:2">
      <c r="A2575" s="1">
        <v>45035</v>
      </c>
      <c r="B2575">
        <v>4.83</v>
      </c>
    </row>
    <row r="2576" spans="1:2">
      <c r="A2576" s="1">
        <v>45036</v>
      </c>
      <c r="B2576">
        <v>4.83</v>
      </c>
    </row>
    <row r="2577" spans="1:2">
      <c r="A2577" s="1">
        <v>45037</v>
      </c>
      <c r="B2577">
        <v>4.83</v>
      </c>
    </row>
    <row r="2578" spans="1:2">
      <c r="A2578" s="1">
        <v>45038</v>
      </c>
      <c r="B2578">
        <v>4.83</v>
      </c>
    </row>
    <row r="2579" spans="1:2">
      <c r="A2579" s="1">
        <v>45039</v>
      </c>
      <c r="B2579">
        <v>4.83</v>
      </c>
    </row>
    <row r="2580" spans="1:2">
      <c r="A2580" s="1">
        <v>45040</v>
      </c>
      <c r="B2580">
        <v>4.83</v>
      </c>
    </row>
    <row r="2581" spans="1:2">
      <c r="A2581" s="1">
        <v>45041</v>
      </c>
      <c r="B2581">
        <v>4.83</v>
      </c>
    </row>
    <row r="2582" spans="1:2">
      <c r="A2582" s="1">
        <v>45042</v>
      </c>
      <c r="B2582">
        <v>4.83</v>
      </c>
    </row>
    <row r="2583" spans="1:2">
      <c r="A2583" s="1">
        <v>45043</v>
      </c>
      <c r="B2583">
        <v>4.83</v>
      </c>
    </row>
    <row r="2584" spans="1:2">
      <c r="A2584" s="1">
        <v>45044</v>
      </c>
      <c r="B2584">
        <v>4.83</v>
      </c>
    </row>
    <row r="2585" spans="1:2">
      <c r="A2585" s="1">
        <v>45045</v>
      </c>
      <c r="B2585">
        <v>4.83</v>
      </c>
    </row>
    <row r="2586" spans="1:2">
      <c r="A2586" s="1">
        <v>45046</v>
      </c>
      <c r="B2586">
        <v>4.83</v>
      </c>
    </row>
    <row r="2587" spans="1:2">
      <c r="A2587" s="1">
        <v>45047</v>
      </c>
      <c r="B2587">
        <v>4.83</v>
      </c>
    </row>
    <row r="2588" spans="1:2">
      <c r="A2588" s="1">
        <v>45048</v>
      </c>
      <c r="B2588">
        <v>4.83</v>
      </c>
    </row>
    <row r="2589" spans="1:2">
      <c r="A2589" s="1">
        <v>45049</v>
      </c>
      <c r="B2589">
        <v>4.83</v>
      </c>
    </row>
    <row r="2590" spans="1:2">
      <c r="A2590" s="1">
        <v>45050</v>
      </c>
      <c r="B2590">
        <v>5.08</v>
      </c>
    </row>
    <row r="2591" spans="1:2">
      <c r="A2591" s="1">
        <v>45051</v>
      </c>
      <c r="B2591">
        <v>5.08</v>
      </c>
    </row>
    <row r="2592" spans="1:2">
      <c r="A2592" s="1">
        <v>45052</v>
      </c>
      <c r="B2592">
        <v>5.08</v>
      </c>
    </row>
    <row r="2593" spans="1:2">
      <c r="A2593" s="1">
        <v>45053</v>
      </c>
      <c r="B2593">
        <v>5.08</v>
      </c>
    </row>
    <row r="2594" spans="1:2">
      <c r="A2594" s="1">
        <v>45054</v>
      </c>
      <c r="B2594">
        <v>5.08</v>
      </c>
    </row>
    <row r="2595" spans="1:2">
      <c r="A2595" s="1">
        <v>45055</v>
      </c>
      <c r="B2595">
        <v>5.08</v>
      </c>
    </row>
    <row r="2596" spans="1:2">
      <c r="A2596" s="1">
        <v>45056</v>
      </c>
      <c r="B2596">
        <v>5.08</v>
      </c>
    </row>
    <row r="2597" spans="1:2">
      <c r="A2597" s="1">
        <v>45057</v>
      </c>
      <c r="B2597">
        <v>5.08</v>
      </c>
    </row>
    <row r="2598" spans="1:2">
      <c r="A2598" s="1">
        <v>45058</v>
      </c>
      <c r="B2598">
        <v>5.08</v>
      </c>
    </row>
    <row r="2599" spans="1:2">
      <c r="A2599" s="1">
        <v>45059</v>
      </c>
      <c r="B2599">
        <v>5.08</v>
      </c>
    </row>
    <row r="2600" spans="1:2">
      <c r="A2600" s="1">
        <v>45060</v>
      </c>
      <c r="B2600">
        <v>5.08</v>
      </c>
    </row>
    <row r="2601" spans="1:2">
      <c r="A2601" s="1">
        <v>45061</v>
      </c>
      <c r="B2601">
        <v>5.08</v>
      </c>
    </row>
    <row r="2602" spans="1:2">
      <c r="A2602" s="1">
        <v>45062</v>
      </c>
      <c r="B2602">
        <v>5.08</v>
      </c>
    </row>
    <row r="2603" spans="1:2">
      <c r="A2603" s="1">
        <v>45063</v>
      </c>
      <c r="B2603">
        <v>5.08</v>
      </c>
    </row>
    <row r="2604" spans="1:2">
      <c r="A2604" s="1">
        <v>45064</v>
      </c>
      <c r="B2604">
        <v>5.08</v>
      </c>
    </row>
    <row r="2605" spans="1:2">
      <c r="A2605" s="1">
        <v>45065</v>
      </c>
      <c r="B2605">
        <v>5.08</v>
      </c>
    </row>
    <row r="2606" spans="1:2">
      <c r="A2606" s="1">
        <v>45066</v>
      </c>
      <c r="B2606">
        <v>5.08</v>
      </c>
    </row>
    <row r="2607" spans="1:2">
      <c r="A2607" s="1">
        <v>45067</v>
      </c>
      <c r="B2607">
        <v>5.08</v>
      </c>
    </row>
    <row r="2608" spans="1:2">
      <c r="A2608" s="1">
        <v>45068</v>
      </c>
      <c r="B2608">
        <v>5.08</v>
      </c>
    </row>
    <row r="2609" spans="1:2">
      <c r="A2609" s="1">
        <v>45069</v>
      </c>
      <c r="B2609">
        <v>5.08</v>
      </c>
    </row>
    <row r="2610" spans="1:2">
      <c r="A2610" s="1">
        <v>45070</v>
      </c>
      <c r="B2610">
        <v>5.08</v>
      </c>
    </row>
    <row r="2611" spans="1:2">
      <c r="A2611" s="1">
        <v>45071</v>
      </c>
      <c r="B2611">
        <v>5.08</v>
      </c>
    </row>
    <row r="2612" spans="1:2">
      <c r="A2612" s="1">
        <v>45072</v>
      </c>
      <c r="B2612">
        <v>5.08</v>
      </c>
    </row>
    <row r="2613" spans="1:2">
      <c r="A2613" s="1">
        <v>45073</v>
      </c>
      <c r="B2613">
        <v>5.08</v>
      </c>
    </row>
    <row r="2614" spans="1:2">
      <c r="A2614" s="1">
        <v>45074</v>
      </c>
      <c r="B2614">
        <v>5.08</v>
      </c>
    </row>
    <row r="2615" spans="1:2">
      <c r="A2615" s="1">
        <v>45075</v>
      </c>
      <c r="B2615">
        <v>5.08</v>
      </c>
    </row>
    <row r="2616" spans="1:2">
      <c r="A2616" s="1">
        <v>45076</v>
      </c>
      <c r="B2616">
        <v>5.08</v>
      </c>
    </row>
    <row r="2617" spans="1:2">
      <c r="A2617" s="1">
        <v>45077</v>
      </c>
      <c r="B2617">
        <v>5.08</v>
      </c>
    </row>
    <row r="2618" spans="1:2">
      <c r="A2618" s="1">
        <v>45078</v>
      </c>
      <c r="B2618">
        <v>5.08</v>
      </c>
    </row>
    <row r="2619" spans="1:2">
      <c r="A2619" s="1">
        <v>45079</v>
      </c>
      <c r="B2619">
        <v>5.08</v>
      </c>
    </row>
    <row r="2620" spans="1:2">
      <c r="A2620" s="1">
        <v>45080</v>
      </c>
      <c r="B2620">
        <v>5.08</v>
      </c>
    </row>
    <row r="2621" spans="1:2">
      <c r="A2621" s="1">
        <v>45081</v>
      </c>
      <c r="B2621">
        <v>5.08</v>
      </c>
    </row>
    <row r="2622" spans="1:2">
      <c r="A2622" s="1">
        <v>45082</v>
      </c>
      <c r="B2622">
        <v>5.08</v>
      </c>
    </row>
    <row r="2623" spans="1:2">
      <c r="A2623" s="1">
        <v>45083</v>
      </c>
      <c r="B2623">
        <v>5.08</v>
      </c>
    </row>
    <row r="2624" spans="1:2">
      <c r="A2624" s="1">
        <v>45084</v>
      </c>
      <c r="B2624">
        <v>5.08</v>
      </c>
    </row>
    <row r="2625" spans="1:2">
      <c r="A2625" s="1">
        <v>45085</v>
      </c>
      <c r="B2625">
        <v>5.08</v>
      </c>
    </row>
    <row r="2626" spans="1:2">
      <c r="A2626" s="1">
        <v>45086</v>
      </c>
      <c r="B2626">
        <v>5.08</v>
      </c>
    </row>
    <row r="2627" spans="1:2">
      <c r="A2627" s="1">
        <v>45087</v>
      </c>
      <c r="B2627">
        <v>5.08</v>
      </c>
    </row>
    <row r="2628" spans="1:2">
      <c r="A2628" s="1">
        <v>45088</v>
      </c>
      <c r="B2628">
        <v>5.08</v>
      </c>
    </row>
    <row r="2629" spans="1:2">
      <c r="A2629" s="1">
        <v>45089</v>
      </c>
      <c r="B2629">
        <v>5.08</v>
      </c>
    </row>
    <row r="2630" spans="1:2">
      <c r="A2630" s="1">
        <v>45090</v>
      </c>
      <c r="B2630">
        <v>5.08</v>
      </c>
    </row>
    <row r="2631" spans="1:2">
      <c r="A2631" s="1">
        <v>45091</v>
      </c>
      <c r="B2631">
        <v>5.08</v>
      </c>
    </row>
    <row r="2632" spans="1:2">
      <c r="A2632" s="1">
        <v>45092</v>
      </c>
      <c r="B2632">
        <v>5.07</v>
      </c>
    </row>
    <row r="2633" spans="1:2">
      <c r="A2633" s="1">
        <v>45093</v>
      </c>
      <c r="B2633">
        <v>5.08</v>
      </c>
    </row>
    <row r="2634" spans="1:2">
      <c r="A2634" s="1">
        <v>45094</v>
      </c>
      <c r="B2634">
        <v>5.08</v>
      </c>
    </row>
    <row r="2635" spans="1:2">
      <c r="A2635" s="1">
        <v>45095</v>
      </c>
      <c r="B2635">
        <v>5.08</v>
      </c>
    </row>
    <row r="2636" spans="1:2">
      <c r="A2636" s="1">
        <v>45096</v>
      </c>
      <c r="B2636">
        <v>5.08</v>
      </c>
    </row>
    <row r="2637" spans="1:2">
      <c r="A2637" s="1">
        <v>45097</v>
      </c>
      <c r="B2637">
        <v>5.07</v>
      </c>
    </row>
    <row r="2638" spans="1:2">
      <c r="A2638" s="1">
        <v>45098</v>
      </c>
      <c r="B2638">
        <v>5.07</v>
      </c>
    </row>
    <row r="2639" spans="1:2">
      <c r="A2639" s="1">
        <v>45099</v>
      </c>
      <c r="B2639">
        <v>5.07</v>
      </c>
    </row>
    <row r="2640" spans="1:2">
      <c r="A2640" s="1">
        <v>45100</v>
      </c>
      <c r="B2640">
        <v>5.07</v>
      </c>
    </row>
    <row r="2641" spans="1:2">
      <c r="A2641" s="1">
        <v>45101</v>
      </c>
      <c r="B2641">
        <v>5.07</v>
      </c>
    </row>
    <row r="2642" spans="1:2">
      <c r="A2642" s="1">
        <v>45102</v>
      </c>
      <c r="B2642">
        <v>5.07</v>
      </c>
    </row>
    <row r="2643" spans="1:2">
      <c r="A2643" s="1">
        <v>45103</v>
      </c>
      <c r="B2643">
        <v>5.07</v>
      </c>
    </row>
    <row r="2644" spans="1:2">
      <c r="A2644" s="1">
        <v>45104</v>
      </c>
      <c r="B2644">
        <v>5.07</v>
      </c>
    </row>
    <row r="2645" spans="1:2">
      <c r="A2645" s="1">
        <v>45105</v>
      </c>
      <c r="B2645">
        <v>5.07</v>
      </c>
    </row>
    <row r="2646" spans="1:2">
      <c r="A2646" s="1">
        <v>45106</v>
      </c>
      <c r="B2646">
        <v>5.07</v>
      </c>
    </row>
    <row r="2647" spans="1:2">
      <c r="A2647" s="1">
        <v>45107</v>
      </c>
      <c r="B2647">
        <v>5.08</v>
      </c>
    </row>
    <row r="2648" spans="1:2">
      <c r="A2648" s="1">
        <v>45108</v>
      </c>
      <c r="B2648">
        <v>5.08</v>
      </c>
    </row>
    <row r="2649" spans="1:2">
      <c r="A2649" s="1">
        <v>45109</v>
      </c>
      <c r="B2649">
        <v>5.08</v>
      </c>
    </row>
    <row r="2650" spans="1:2">
      <c r="A2650" s="1">
        <v>45110</v>
      </c>
      <c r="B2650">
        <v>5.08</v>
      </c>
    </row>
    <row r="2651" spans="1:2">
      <c r="A2651" s="1">
        <v>45111</v>
      </c>
      <c r="B2651">
        <v>5.08</v>
      </c>
    </row>
    <row r="2652" spans="1:2">
      <c r="A2652" s="1">
        <v>45112</v>
      </c>
      <c r="B2652">
        <v>5.08</v>
      </c>
    </row>
    <row r="2653" spans="1:2">
      <c r="A2653" s="1">
        <v>45113</v>
      </c>
      <c r="B2653">
        <v>5.08</v>
      </c>
    </row>
    <row r="2654" spans="1:2">
      <c r="A2654" s="1">
        <v>45114</v>
      </c>
      <c r="B2654">
        <v>5.08</v>
      </c>
    </row>
    <row r="2655" spans="1:2">
      <c r="A2655" s="1">
        <v>45115</v>
      </c>
      <c r="B2655">
        <v>5.08</v>
      </c>
    </row>
    <row r="2656" spans="1:2">
      <c r="A2656" s="1">
        <v>45116</v>
      </c>
      <c r="B2656">
        <v>5.08</v>
      </c>
    </row>
    <row r="2657" spans="1:2">
      <c r="A2657" s="1">
        <v>45117</v>
      </c>
      <c r="B2657">
        <v>5.07</v>
      </c>
    </row>
    <row r="2658" spans="1:2">
      <c r="A2658" s="1">
        <v>45118</v>
      </c>
      <c r="B2658">
        <v>5.08</v>
      </c>
    </row>
    <row r="2659" spans="1:2">
      <c r="A2659" s="1">
        <v>45119</v>
      </c>
      <c r="B2659">
        <v>5.08</v>
      </c>
    </row>
    <row r="2660" spans="1:2">
      <c r="A2660" s="1">
        <v>45120</v>
      </c>
      <c r="B2660">
        <v>5.08</v>
      </c>
    </row>
    <row r="2661" spans="1:2">
      <c r="A2661" s="1">
        <v>45121</v>
      </c>
      <c r="B2661">
        <v>5.08</v>
      </c>
    </row>
    <row r="2662" spans="1:2">
      <c r="A2662" s="1">
        <v>45122</v>
      </c>
      <c r="B2662">
        <v>5.08</v>
      </c>
    </row>
    <row r="2663" spans="1:2">
      <c r="A2663" s="1">
        <v>45123</v>
      </c>
      <c r="B2663">
        <v>5.08</v>
      </c>
    </row>
    <row r="2664" spans="1:2">
      <c r="A2664" s="1">
        <v>45124</v>
      </c>
      <c r="B2664">
        <v>5.08</v>
      </c>
    </row>
    <row r="2665" spans="1:2">
      <c r="A2665" s="1">
        <v>45125</v>
      </c>
      <c r="B2665">
        <v>5.08</v>
      </c>
    </row>
    <row r="2666" spans="1:2">
      <c r="A2666" s="1">
        <v>45126</v>
      </c>
      <c r="B2666">
        <v>5.08</v>
      </c>
    </row>
    <row r="2667" spans="1:2">
      <c r="A2667" s="1">
        <v>45127</v>
      </c>
      <c r="B2667">
        <v>5.08</v>
      </c>
    </row>
    <row r="2668" spans="1:2">
      <c r="A2668" s="1">
        <v>45128</v>
      </c>
      <c r="B2668">
        <v>5.08</v>
      </c>
    </row>
    <row r="2669" spans="1:2">
      <c r="A2669" s="1">
        <v>45129</v>
      </c>
      <c r="B2669">
        <v>5.08</v>
      </c>
    </row>
    <row r="2670" spans="1:2">
      <c r="A2670" s="1">
        <v>45130</v>
      </c>
      <c r="B2670">
        <v>5.08</v>
      </c>
    </row>
    <row r="2671" spans="1:2">
      <c r="A2671" s="1">
        <v>45131</v>
      </c>
      <c r="B2671">
        <v>5.08</v>
      </c>
    </row>
    <row r="2672" spans="1:2">
      <c r="A2672" s="1">
        <v>45132</v>
      </c>
      <c r="B2672">
        <v>5.08</v>
      </c>
    </row>
    <row r="2673" spans="1:2">
      <c r="A2673" s="1">
        <v>45133</v>
      </c>
      <c r="B2673">
        <v>5.08</v>
      </c>
    </row>
    <row r="2674" spans="1:2">
      <c r="A2674" s="1">
        <v>45134</v>
      </c>
      <c r="B2674">
        <v>5.33</v>
      </c>
    </row>
    <row r="2675" spans="1:2">
      <c r="A2675" s="1">
        <v>45135</v>
      </c>
      <c r="B2675">
        <v>5.33</v>
      </c>
    </row>
    <row r="2676" spans="1:2">
      <c r="A2676" s="1">
        <v>45136</v>
      </c>
      <c r="B2676">
        <v>5.33</v>
      </c>
    </row>
    <row r="2677" spans="1:2">
      <c r="A2677" s="1">
        <v>45137</v>
      </c>
      <c r="B2677">
        <v>5.33</v>
      </c>
    </row>
    <row r="2678" spans="1:2">
      <c r="A2678" s="1">
        <v>45138</v>
      </c>
      <c r="B2678">
        <v>5.33</v>
      </c>
    </row>
    <row r="2679" spans="1:2">
      <c r="A2679" s="1">
        <v>45139</v>
      </c>
      <c r="B2679">
        <v>5.33</v>
      </c>
    </row>
    <row r="2680" spans="1:2">
      <c r="A2680" s="1">
        <v>45140</v>
      </c>
      <c r="B2680">
        <v>5.33</v>
      </c>
    </row>
    <row r="2681" spans="1:2">
      <c r="A2681" s="1">
        <v>45141</v>
      </c>
      <c r="B2681">
        <v>5.33</v>
      </c>
    </row>
    <row r="2682" spans="1:2">
      <c r="A2682" s="1">
        <v>45142</v>
      </c>
      <c r="B2682">
        <v>5.33</v>
      </c>
    </row>
    <row r="2683" spans="1:2">
      <c r="A2683" s="1">
        <v>45143</v>
      </c>
      <c r="B2683">
        <v>5.33</v>
      </c>
    </row>
    <row r="2684" spans="1:2">
      <c r="A2684" s="1">
        <v>45144</v>
      </c>
      <c r="B2684">
        <v>5.33</v>
      </c>
    </row>
    <row r="2685" spans="1:2">
      <c r="A2685" s="1">
        <v>45145</v>
      </c>
      <c r="B2685">
        <v>5.33</v>
      </c>
    </row>
    <row r="2686" spans="1:2">
      <c r="A2686" s="1">
        <v>45146</v>
      </c>
      <c r="B2686">
        <v>5.33</v>
      </c>
    </row>
    <row r="2687" spans="1:2">
      <c r="A2687" s="1">
        <v>45147</v>
      </c>
      <c r="B2687">
        <v>5.33</v>
      </c>
    </row>
    <row r="2688" spans="1:2">
      <c r="A2688" s="1">
        <v>45148</v>
      </c>
      <c r="B2688">
        <v>5.33</v>
      </c>
    </row>
    <row r="2689" spans="1:2">
      <c r="A2689" s="1">
        <v>45149</v>
      </c>
      <c r="B2689">
        <v>5.33</v>
      </c>
    </row>
    <row r="2690" spans="1:2">
      <c r="A2690" s="1">
        <v>45150</v>
      </c>
      <c r="B2690">
        <v>5.33</v>
      </c>
    </row>
    <row r="2691" spans="1:2">
      <c r="A2691" s="1">
        <v>45151</v>
      </c>
      <c r="B2691">
        <v>5.33</v>
      </c>
    </row>
    <row r="2692" spans="1:2">
      <c r="A2692" s="1">
        <v>45152</v>
      </c>
      <c r="B2692">
        <v>5.33</v>
      </c>
    </row>
    <row r="2693" spans="1:2">
      <c r="A2693" s="1">
        <v>45153</v>
      </c>
      <c r="B2693">
        <v>5.33</v>
      </c>
    </row>
    <row r="2694" spans="1:2">
      <c r="A2694" s="1">
        <v>45154</v>
      </c>
      <c r="B2694">
        <v>5.33</v>
      </c>
    </row>
    <row r="2695" spans="1:2">
      <c r="A2695" s="1">
        <v>45155</v>
      </c>
      <c r="B2695">
        <v>5.33</v>
      </c>
    </row>
    <row r="2696" spans="1:2">
      <c r="A2696" s="1">
        <v>45156</v>
      </c>
      <c r="B2696">
        <v>5.33</v>
      </c>
    </row>
    <row r="2697" spans="1:2">
      <c r="A2697" s="1">
        <v>45157</v>
      </c>
      <c r="B2697">
        <v>5.33</v>
      </c>
    </row>
    <row r="2698" spans="1:2">
      <c r="A2698" s="1">
        <v>45158</v>
      </c>
      <c r="B2698">
        <v>5.33</v>
      </c>
    </row>
    <row r="2699" spans="1:2">
      <c r="A2699" s="1">
        <v>45159</v>
      </c>
      <c r="B2699">
        <v>5.33</v>
      </c>
    </row>
    <row r="2700" spans="1:2">
      <c r="A2700" s="1">
        <v>45160</v>
      </c>
      <c r="B2700">
        <v>5.33</v>
      </c>
    </row>
    <row r="2701" spans="1:2">
      <c r="A2701" s="1">
        <v>45161</v>
      </c>
      <c r="B2701">
        <v>5.33</v>
      </c>
    </row>
    <row r="2702" spans="1:2">
      <c r="A2702" s="1">
        <v>45162</v>
      </c>
      <c r="B2702">
        <v>5.33</v>
      </c>
    </row>
    <row r="2703" spans="1:2">
      <c r="A2703" s="1">
        <v>45163</v>
      </c>
      <c r="B2703">
        <v>5.33</v>
      </c>
    </row>
    <row r="2704" spans="1:2">
      <c r="A2704" s="1">
        <v>45164</v>
      </c>
      <c r="B2704">
        <v>5.33</v>
      </c>
    </row>
    <row r="2705" spans="1:2">
      <c r="A2705" s="1">
        <v>45165</v>
      </c>
      <c r="B2705">
        <v>5.33</v>
      </c>
    </row>
    <row r="2706" spans="1:2">
      <c r="A2706" s="1">
        <v>45166</v>
      </c>
      <c r="B2706">
        <v>5.33</v>
      </c>
    </row>
    <row r="2707" spans="1:2">
      <c r="A2707" s="1">
        <v>45167</v>
      </c>
      <c r="B2707">
        <v>5.33</v>
      </c>
    </row>
    <row r="2708" spans="1:2">
      <c r="A2708" s="1">
        <v>45168</v>
      </c>
      <c r="B2708">
        <v>5.33</v>
      </c>
    </row>
    <row r="2709" spans="1:2">
      <c r="A2709" s="1">
        <v>45169</v>
      </c>
      <c r="B2709">
        <v>5.33</v>
      </c>
    </row>
    <row r="2710" spans="1:2">
      <c r="A2710" s="1">
        <v>45170</v>
      </c>
      <c r="B2710">
        <v>5.33</v>
      </c>
    </row>
    <row r="2711" spans="1:2">
      <c r="A2711" s="1">
        <v>45171</v>
      </c>
      <c r="B2711">
        <v>5.33</v>
      </c>
    </row>
    <row r="2712" spans="1:2">
      <c r="A2712" s="1">
        <v>45172</v>
      </c>
      <c r="B2712">
        <v>5.33</v>
      </c>
    </row>
    <row r="2713" spans="1:2">
      <c r="A2713" s="1">
        <v>45173</v>
      </c>
      <c r="B2713">
        <v>5.33</v>
      </c>
    </row>
    <row r="2714" spans="1:2">
      <c r="A2714" s="1">
        <v>45174</v>
      </c>
      <c r="B2714">
        <v>5.33</v>
      </c>
    </row>
    <row r="2715" spans="1:2">
      <c r="A2715" s="1">
        <v>45175</v>
      </c>
      <c r="B2715">
        <v>5.33</v>
      </c>
    </row>
    <row r="2716" spans="1:2">
      <c r="A2716" s="1">
        <v>45176</v>
      </c>
      <c r="B2716">
        <v>5.33</v>
      </c>
    </row>
    <row r="2717" spans="1:2">
      <c r="A2717" s="1">
        <v>45177</v>
      </c>
      <c r="B2717">
        <v>5.33</v>
      </c>
    </row>
    <row r="2718" spans="1:2">
      <c r="A2718" s="1">
        <v>45178</v>
      </c>
      <c r="B2718">
        <v>5.33</v>
      </c>
    </row>
    <row r="2719" spans="1:2">
      <c r="A2719" s="1">
        <v>45179</v>
      </c>
      <c r="B2719">
        <v>5.33</v>
      </c>
    </row>
    <row r="2720" spans="1:2">
      <c r="A2720" s="1">
        <v>45180</v>
      </c>
      <c r="B2720">
        <v>5.33</v>
      </c>
    </row>
    <row r="2721" spans="1:2">
      <c r="A2721" s="1">
        <v>45181</v>
      </c>
      <c r="B2721">
        <v>5.33</v>
      </c>
    </row>
    <row r="2722" spans="1:2">
      <c r="A2722" s="1">
        <v>45182</v>
      </c>
      <c r="B2722">
        <v>5.33</v>
      </c>
    </row>
    <row r="2723" spans="1:2">
      <c r="A2723" s="1">
        <v>45183</v>
      </c>
      <c r="B2723">
        <v>5.33</v>
      </c>
    </row>
    <row r="2724" spans="1:2">
      <c r="A2724" s="1">
        <v>45184</v>
      </c>
      <c r="B2724">
        <v>5.33</v>
      </c>
    </row>
    <row r="2725" spans="1:2">
      <c r="A2725" s="1">
        <v>45185</v>
      </c>
      <c r="B2725">
        <v>5.33</v>
      </c>
    </row>
    <row r="2726" spans="1:2">
      <c r="A2726" s="1">
        <v>45186</v>
      </c>
      <c r="B2726">
        <v>5.33</v>
      </c>
    </row>
    <row r="2727" spans="1:2">
      <c r="A2727" s="1">
        <v>45187</v>
      </c>
      <c r="B2727">
        <v>5.33</v>
      </c>
    </row>
    <row r="2728" spans="1:2">
      <c r="A2728" s="1">
        <v>45188</v>
      </c>
      <c r="B2728">
        <v>5.33</v>
      </c>
    </row>
    <row r="2729" spans="1:2">
      <c r="A2729" s="1">
        <v>45189</v>
      </c>
      <c r="B2729">
        <v>5.33</v>
      </c>
    </row>
    <row r="2730" spans="1:2">
      <c r="A2730" s="1">
        <v>45190</v>
      </c>
      <c r="B2730">
        <v>5.33</v>
      </c>
    </row>
    <row r="2731" spans="1:2">
      <c r="A2731" s="1">
        <v>45191</v>
      </c>
      <c r="B2731">
        <v>5.33</v>
      </c>
    </row>
    <row r="2732" spans="1:2">
      <c r="A2732" s="1">
        <v>45192</v>
      </c>
      <c r="B2732">
        <v>5.33</v>
      </c>
    </row>
    <row r="2733" spans="1:2">
      <c r="A2733" s="1">
        <v>45193</v>
      </c>
      <c r="B2733">
        <v>5.33</v>
      </c>
    </row>
    <row r="2734" spans="1:2">
      <c r="A2734" s="1">
        <v>45194</v>
      </c>
      <c r="B2734">
        <v>5.33</v>
      </c>
    </row>
    <row r="2735" spans="1:2">
      <c r="A2735" s="1">
        <v>45195</v>
      </c>
      <c r="B2735">
        <v>5.33</v>
      </c>
    </row>
    <row r="2736" spans="1:2">
      <c r="A2736" s="1">
        <v>45196</v>
      </c>
      <c r="B2736">
        <v>5.33</v>
      </c>
    </row>
    <row r="2737" spans="1:2">
      <c r="A2737" s="1">
        <v>45197</v>
      </c>
      <c r="B2737">
        <v>5.33</v>
      </c>
    </row>
    <row r="2738" spans="1:2">
      <c r="A2738" s="1">
        <v>45198</v>
      </c>
      <c r="B2738">
        <v>5.33</v>
      </c>
    </row>
    <row r="2739" spans="1:2">
      <c r="A2739" s="1">
        <v>45199</v>
      </c>
      <c r="B2739">
        <v>5.33</v>
      </c>
    </row>
    <row r="2740" spans="1:2">
      <c r="A2740" s="1">
        <v>45200</v>
      </c>
      <c r="B2740">
        <v>5.33</v>
      </c>
    </row>
    <row r="2741" spans="1:2">
      <c r="A2741" s="1">
        <v>45201</v>
      </c>
      <c r="B2741">
        <v>5.33</v>
      </c>
    </row>
    <row r="2742" spans="1:2">
      <c r="A2742" s="1">
        <v>45202</v>
      </c>
      <c r="B2742">
        <v>5.33</v>
      </c>
    </row>
    <row r="2743" spans="1:2">
      <c r="A2743" s="1">
        <v>45203</v>
      </c>
      <c r="B2743">
        <v>5.33</v>
      </c>
    </row>
    <row r="2744" spans="1:2">
      <c r="A2744" s="1">
        <v>45204</v>
      </c>
      <c r="B2744">
        <v>5.33</v>
      </c>
    </row>
    <row r="2745" spans="1:2">
      <c r="A2745" s="1">
        <v>45205</v>
      </c>
      <c r="B2745">
        <v>5.33</v>
      </c>
    </row>
    <row r="2746" spans="1:2">
      <c r="A2746" s="1">
        <v>45206</v>
      </c>
      <c r="B2746">
        <v>5.33</v>
      </c>
    </row>
    <row r="2747" spans="1:2">
      <c r="A2747" s="1">
        <v>45207</v>
      </c>
      <c r="B2747">
        <v>5.33</v>
      </c>
    </row>
    <row r="2748" spans="1:2">
      <c r="A2748" s="1">
        <v>45208</v>
      </c>
      <c r="B2748">
        <v>5.33</v>
      </c>
    </row>
    <row r="2749" spans="1:2">
      <c r="A2749" s="1">
        <v>45209</v>
      </c>
      <c r="B2749">
        <v>5.33</v>
      </c>
    </row>
    <row r="2750" spans="1:2">
      <c r="A2750" s="1">
        <v>45210</v>
      </c>
      <c r="B2750">
        <v>5.33</v>
      </c>
    </row>
    <row r="2751" spans="1:2">
      <c r="A2751" s="1">
        <v>45211</v>
      </c>
      <c r="B2751">
        <v>5.33</v>
      </c>
    </row>
    <row r="2752" spans="1:2">
      <c r="A2752" s="1">
        <v>45212</v>
      </c>
      <c r="B2752">
        <v>5.33</v>
      </c>
    </row>
    <row r="2753" spans="1:2">
      <c r="A2753" s="1">
        <v>45213</v>
      </c>
      <c r="B2753">
        <v>5.33</v>
      </c>
    </row>
    <row r="2754" spans="1:2">
      <c r="A2754" s="1">
        <v>45214</v>
      </c>
      <c r="B2754">
        <v>5.33</v>
      </c>
    </row>
    <row r="2755" spans="1:2">
      <c r="A2755" s="1">
        <v>45215</v>
      </c>
      <c r="B2755">
        <v>5.33</v>
      </c>
    </row>
    <row r="2756" spans="1:2">
      <c r="A2756" s="1">
        <v>45216</v>
      </c>
      <c r="B2756">
        <v>5.33</v>
      </c>
    </row>
    <row r="2757" spans="1:2">
      <c r="A2757" s="1">
        <v>45217</v>
      </c>
      <c r="B2757">
        <v>5.33</v>
      </c>
    </row>
    <row r="2758" spans="1:2">
      <c r="A2758" s="1">
        <v>45218</v>
      </c>
      <c r="B2758">
        <v>5.33</v>
      </c>
    </row>
    <row r="2759" spans="1:2">
      <c r="A2759" s="1">
        <v>45219</v>
      </c>
      <c r="B2759">
        <v>5.33</v>
      </c>
    </row>
    <row r="2760" spans="1:2">
      <c r="A2760" s="1">
        <v>45220</v>
      </c>
      <c r="B2760">
        <v>5.33</v>
      </c>
    </row>
    <row r="2761" spans="1:2">
      <c r="A2761" s="1">
        <v>45221</v>
      </c>
      <c r="B2761">
        <v>5.33</v>
      </c>
    </row>
    <row r="2762" spans="1:2">
      <c r="A2762" s="1">
        <v>45222</v>
      </c>
      <c r="B2762">
        <v>5.33</v>
      </c>
    </row>
    <row r="2763" spans="1:2">
      <c r="A2763" s="1">
        <v>45223</v>
      </c>
      <c r="B2763">
        <v>5.33</v>
      </c>
    </row>
    <row r="2764" spans="1:2">
      <c r="A2764" s="1">
        <v>45224</v>
      </c>
      <c r="B2764">
        <v>5.33</v>
      </c>
    </row>
    <row r="2765" spans="1:2">
      <c r="A2765" s="1">
        <v>45225</v>
      </c>
      <c r="B2765">
        <v>5.33</v>
      </c>
    </row>
    <row r="2766" spans="1:2">
      <c r="A2766" s="1">
        <v>45226</v>
      </c>
      <c r="B2766">
        <v>5.33</v>
      </c>
    </row>
    <row r="2767" spans="1:2">
      <c r="A2767" s="1">
        <v>45227</v>
      </c>
      <c r="B2767">
        <v>5.33</v>
      </c>
    </row>
    <row r="2768" spans="1:2">
      <c r="A2768" s="1">
        <v>45228</v>
      </c>
      <c r="B2768">
        <v>5.33</v>
      </c>
    </row>
    <row r="2769" spans="1:2">
      <c r="A2769" s="1">
        <v>45229</v>
      </c>
      <c r="B2769">
        <v>5.33</v>
      </c>
    </row>
    <row r="2770" spans="1:2">
      <c r="A2770" s="1">
        <v>45230</v>
      </c>
      <c r="B2770">
        <v>5.33</v>
      </c>
    </row>
    <row r="2771" spans="1:2">
      <c r="A2771" s="1">
        <v>45231</v>
      </c>
      <c r="B2771">
        <v>5.33</v>
      </c>
    </row>
    <row r="2772" spans="1:2">
      <c r="A2772" s="1">
        <v>45232</v>
      </c>
      <c r="B2772">
        <v>5.33</v>
      </c>
    </row>
    <row r="2773" spans="1:2">
      <c r="A2773" s="1">
        <v>45233</v>
      </c>
      <c r="B2773">
        <v>5.33</v>
      </c>
    </row>
    <row r="2774" spans="1:2">
      <c r="A2774" s="1">
        <v>45234</v>
      </c>
      <c r="B2774">
        <v>5.33</v>
      </c>
    </row>
    <row r="2775" spans="1:2">
      <c r="A2775" s="1">
        <v>45235</v>
      </c>
      <c r="B2775">
        <v>5.33</v>
      </c>
    </row>
    <row r="2776" spans="1:2">
      <c r="A2776" s="1">
        <v>45236</v>
      </c>
      <c r="B2776">
        <v>5.33</v>
      </c>
    </row>
    <row r="2777" spans="1:2">
      <c r="A2777" s="1">
        <v>45237</v>
      </c>
      <c r="B2777">
        <v>5.33</v>
      </c>
    </row>
    <row r="2778" spans="1:2">
      <c r="A2778" s="1">
        <v>45238</v>
      </c>
      <c r="B2778">
        <v>5.33</v>
      </c>
    </row>
    <row r="2779" spans="1:2">
      <c r="A2779" s="1">
        <v>45239</v>
      </c>
      <c r="B2779">
        <v>5.33</v>
      </c>
    </row>
    <row r="2780" spans="1:2">
      <c r="A2780" s="1">
        <v>45240</v>
      </c>
      <c r="B2780">
        <v>5.33</v>
      </c>
    </row>
    <row r="2781" spans="1:2">
      <c r="A2781" s="1">
        <v>45241</v>
      </c>
      <c r="B2781">
        <v>5.33</v>
      </c>
    </row>
    <row r="2782" spans="1:2">
      <c r="A2782" s="1">
        <v>45242</v>
      </c>
      <c r="B2782">
        <v>5.33</v>
      </c>
    </row>
    <row r="2783" spans="1:2">
      <c r="A2783" s="1">
        <v>45243</v>
      </c>
      <c r="B2783">
        <v>5.33</v>
      </c>
    </row>
    <row r="2784" spans="1:2">
      <c r="A2784" s="1">
        <v>45244</v>
      </c>
      <c r="B2784">
        <v>5.33</v>
      </c>
    </row>
    <row r="2785" spans="1:2">
      <c r="A2785" s="1">
        <v>45245</v>
      </c>
      <c r="B2785">
        <v>5.33</v>
      </c>
    </row>
    <row r="2786" spans="1:2">
      <c r="A2786" s="1">
        <v>45246</v>
      </c>
      <c r="B2786">
        <v>5.33</v>
      </c>
    </row>
    <row r="2787" spans="1:2">
      <c r="A2787" s="1">
        <v>45247</v>
      </c>
      <c r="B2787">
        <v>5.33</v>
      </c>
    </row>
    <row r="2788" spans="1:2">
      <c r="A2788" s="1">
        <v>45248</v>
      </c>
      <c r="B2788">
        <v>5.33</v>
      </c>
    </row>
    <row r="2789" spans="1:2">
      <c r="A2789" s="1">
        <v>45249</v>
      </c>
      <c r="B2789">
        <v>5.33</v>
      </c>
    </row>
    <row r="2790" spans="1:2">
      <c r="A2790" s="1">
        <v>45250</v>
      </c>
      <c r="B2790">
        <v>5.33</v>
      </c>
    </row>
    <row r="2791" spans="1:2">
      <c r="A2791" s="1">
        <v>45251</v>
      </c>
      <c r="B2791">
        <v>5.33</v>
      </c>
    </row>
    <row r="2792" spans="1:2">
      <c r="A2792" s="1">
        <v>45252</v>
      </c>
      <c r="B2792">
        <v>5.33</v>
      </c>
    </row>
    <row r="2793" spans="1:2">
      <c r="A2793" s="1">
        <v>45253</v>
      </c>
      <c r="B2793">
        <v>5.33</v>
      </c>
    </row>
    <row r="2794" spans="1:2">
      <c r="A2794" s="1">
        <v>45254</v>
      </c>
      <c r="B2794">
        <v>5.33</v>
      </c>
    </row>
    <row r="2795" spans="1:2">
      <c r="A2795" s="1">
        <v>45255</v>
      </c>
      <c r="B2795">
        <v>5.33</v>
      </c>
    </row>
    <row r="2796" spans="1:2">
      <c r="A2796" s="1">
        <v>45256</v>
      </c>
      <c r="B2796">
        <v>5.33</v>
      </c>
    </row>
    <row r="2797" spans="1:2">
      <c r="A2797" s="1">
        <v>45257</v>
      </c>
      <c r="B2797">
        <v>5.33</v>
      </c>
    </row>
    <row r="2798" spans="1:2">
      <c r="A2798" s="1">
        <v>45258</v>
      </c>
      <c r="B2798">
        <v>5.33</v>
      </c>
    </row>
    <row r="2799" spans="1:2">
      <c r="A2799" s="1">
        <v>45259</v>
      </c>
      <c r="B2799">
        <v>5.33</v>
      </c>
    </row>
    <row r="2800" spans="1:2">
      <c r="A2800" s="1">
        <v>45260</v>
      </c>
      <c r="B2800">
        <v>5.33</v>
      </c>
    </row>
    <row r="2801" spans="1:2">
      <c r="A2801" s="1">
        <v>45261</v>
      </c>
      <c r="B2801">
        <v>5.33</v>
      </c>
    </row>
    <row r="2802" spans="1:2">
      <c r="A2802" s="1">
        <v>45262</v>
      </c>
      <c r="B2802">
        <v>5.33</v>
      </c>
    </row>
    <row r="2803" spans="1:2">
      <c r="A2803" s="1">
        <v>45263</v>
      </c>
      <c r="B2803">
        <v>5.33</v>
      </c>
    </row>
    <row r="2804" spans="1:2">
      <c r="A2804" s="1">
        <v>45264</v>
      </c>
      <c r="B2804">
        <v>5.33</v>
      </c>
    </row>
    <row r="2805" spans="1:2">
      <c r="A2805" s="1">
        <v>45265</v>
      </c>
      <c r="B2805">
        <v>5.33</v>
      </c>
    </row>
    <row r="2806" spans="1:2">
      <c r="A2806" s="1">
        <v>45266</v>
      </c>
      <c r="B2806">
        <v>5.33</v>
      </c>
    </row>
    <row r="2807" spans="1:2">
      <c r="A2807" s="1">
        <v>45267</v>
      </c>
      <c r="B2807">
        <v>5.33</v>
      </c>
    </row>
    <row r="2808" spans="1:2">
      <c r="A2808" s="1">
        <v>45268</v>
      </c>
      <c r="B2808">
        <v>5.33</v>
      </c>
    </row>
    <row r="2809" spans="1:2">
      <c r="A2809" s="1">
        <v>45269</v>
      </c>
      <c r="B2809">
        <v>5.33</v>
      </c>
    </row>
    <row r="2810" spans="1:2">
      <c r="A2810" s="1">
        <v>45270</v>
      </c>
      <c r="B2810">
        <v>5.33</v>
      </c>
    </row>
    <row r="2811" spans="1:2">
      <c r="A2811" s="1">
        <v>45271</v>
      </c>
      <c r="B2811">
        <v>5.33</v>
      </c>
    </row>
    <row r="2812" spans="1:2">
      <c r="A2812" s="1">
        <v>45272</v>
      </c>
      <c r="B2812">
        <v>5.33</v>
      </c>
    </row>
    <row r="2813" spans="1:2">
      <c r="A2813" s="1">
        <v>45273</v>
      </c>
      <c r="B2813">
        <v>5.33</v>
      </c>
    </row>
    <row r="2814" spans="1:2">
      <c r="A2814" s="1">
        <v>45274</v>
      </c>
      <c r="B2814">
        <v>5.33</v>
      </c>
    </row>
    <row r="2815" spans="1:2">
      <c r="A2815" s="1">
        <v>45275</v>
      </c>
      <c r="B2815">
        <v>5.33</v>
      </c>
    </row>
    <row r="2816" spans="1:2">
      <c r="A2816" s="1">
        <v>45276</v>
      </c>
      <c r="B2816">
        <v>5.33</v>
      </c>
    </row>
    <row r="2817" spans="1:2">
      <c r="A2817" s="1">
        <v>45277</v>
      </c>
      <c r="B2817">
        <v>5.33</v>
      </c>
    </row>
    <row r="2818" spans="1:2">
      <c r="A2818" s="1">
        <v>45278</v>
      </c>
      <c r="B2818">
        <v>5.33</v>
      </c>
    </row>
    <row r="2819" spans="1:2">
      <c r="A2819" s="1">
        <v>45279</v>
      </c>
      <c r="B2819">
        <v>5.33</v>
      </c>
    </row>
    <row r="2820" spans="1:2">
      <c r="A2820" s="1">
        <v>45280</v>
      </c>
      <c r="B2820">
        <v>5.33</v>
      </c>
    </row>
    <row r="2821" spans="1:2">
      <c r="A2821" s="1">
        <v>45281</v>
      </c>
      <c r="B2821">
        <v>5.33</v>
      </c>
    </row>
    <row r="2822" spans="1:2">
      <c r="A2822" s="1">
        <v>45282</v>
      </c>
      <c r="B2822">
        <v>5.33</v>
      </c>
    </row>
    <row r="2823" spans="1:2">
      <c r="A2823" s="1">
        <v>45283</v>
      </c>
      <c r="B2823">
        <v>5.33</v>
      </c>
    </row>
    <row r="2824" spans="1:2">
      <c r="A2824" s="1">
        <v>45284</v>
      </c>
      <c r="B2824">
        <v>5.33</v>
      </c>
    </row>
    <row r="2825" spans="1:2">
      <c r="A2825" s="1">
        <v>45285</v>
      </c>
      <c r="B2825">
        <v>5.33</v>
      </c>
    </row>
    <row r="2826" spans="1:2">
      <c r="A2826" s="1">
        <v>45286</v>
      </c>
      <c r="B2826">
        <v>5.33</v>
      </c>
    </row>
    <row r="2827" spans="1:2">
      <c r="A2827" s="1">
        <v>45287</v>
      </c>
      <c r="B2827">
        <v>5.33</v>
      </c>
    </row>
    <row r="2828" spans="1:2">
      <c r="A2828" s="1">
        <v>45288</v>
      </c>
      <c r="B2828">
        <v>5.33</v>
      </c>
    </row>
    <row r="2829" spans="1:2">
      <c r="A2829" s="1">
        <v>45289</v>
      </c>
      <c r="B2829">
        <v>5.33</v>
      </c>
    </row>
    <row r="2830" spans="1:2">
      <c r="A2830" s="1">
        <v>45290</v>
      </c>
      <c r="B2830">
        <v>5.33</v>
      </c>
    </row>
    <row r="2831" spans="1:2">
      <c r="A2831" s="1">
        <v>45291</v>
      </c>
      <c r="B2831">
        <v>5.33</v>
      </c>
    </row>
    <row r="2832" spans="1:2">
      <c r="A2832" s="1">
        <v>45292</v>
      </c>
      <c r="B2832">
        <v>5.33</v>
      </c>
    </row>
    <row r="2833" spans="1:2">
      <c r="A2833" s="1">
        <v>45293</v>
      </c>
      <c r="B2833">
        <v>5.33</v>
      </c>
    </row>
    <row r="2834" spans="1:2">
      <c r="A2834" s="1">
        <v>45294</v>
      </c>
      <c r="B2834">
        <v>5.33</v>
      </c>
    </row>
    <row r="2835" spans="1:2">
      <c r="A2835" s="1">
        <v>45295</v>
      </c>
      <c r="B2835">
        <v>5.33</v>
      </c>
    </row>
    <row r="2836" spans="1:2">
      <c r="A2836" s="1">
        <v>45296</v>
      </c>
      <c r="B2836">
        <v>5.33</v>
      </c>
    </row>
    <row r="2837" spans="1:2">
      <c r="A2837" s="1">
        <v>45297</v>
      </c>
      <c r="B2837">
        <v>5.33</v>
      </c>
    </row>
    <row r="2838" spans="1:2">
      <c r="A2838" s="1">
        <v>45298</v>
      </c>
      <c r="B2838">
        <v>5.33</v>
      </c>
    </row>
    <row r="2839" spans="1:2">
      <c r="A2839" s="1">
        <v>45299</v>
      </c>
      <c r="B2839">
        <v>5.33</v>
      </c>
    </row>
    <row r="2840" spans="1:2">
      <c r="A2840" s="1">
        <v>45300</v>
      </c>
      <c r="B2840">
        <v>5.33</v>
      </c>
    </row>
    <row r="2841" spans="1:2">
      <c r="A2841" s="1">
        <v>45301</v>
      </c>
      <c r="B2841">
        <v>5.33</v>
      </c>
    </row>
    <row r="2842" spans="1:2">
      <c r="A2842" s="1">
        <v>45302</v>
      </c>
      <c r="B2842">
        <v>5.33</v>
      </c>
    </row>
    <row r="2843" spans="1:2">
      <c r="A2843" s="1">
        <v>45303</v>
      </c>
      <c r="B2843">
        <v>5.33</v>
      </c>
    </row>
    <row r="2844" spans="1:2">
      <c r="A2844" s="1">
        <v>45304</v>
      </c>
      <c r="B2844">
        <v>5.33</v>
      </c>
    </row>
    <row r="2845" spans="1:2">
      <c r="A2845" s="1">
        <v>45305</v>
      </c>
      <c r="B2845">
        <v>5.33</v>
      </c>
    </row>
    <row r="2846" spans="1:2">
      <c r="A2846" s="1">
        <v>45306</v>
      </c>
      <c r="B2846">
        <v>5.33</v>
      </c>
    </row>
    <row r="2847" spans="1:2">
      <c r="A2847" s="1">
        <v>45307</v>
      </c>
      <c r="B2847">
        <v>5.33</v>
      </c>
    </row>
    <row r="2848" spans="1:2">
      <c r="A2848" s="1">
        <v>45308</v>
      </c>
      <c r="B2848">
        <v>5.33</v>
      </c>
    </row>
    <row r="2849" spans="1:2">
      <c r="A2849" s="1">
        <v>45309</v>
      </c>
      <c r="B2849">
        <v>5.33</v>
      </c>
    </row>
    <row r="2850" spans="1:2">
      <c r="A2850" s="1">
        <v>45310</v>
      </c>
      <c r="B2850">
        <v>5.33</v>
      </c>
    </row>
    <row r="2851" spans="1:2">
      <c r="A2851" s="1">
        <v>45311</v>
      </c>
      <c r="B2851">
        <v>5.33</v>
      </c>
    </row>
    <row r="2852" spans="1:2">
      <c r="A2852" s="1">
        <v>45312</v>
      </c>
      <c r="B2852">
        <v>5.33</v>
      </c>
    </row>
    <row r="2853" spans="1:2">
      <c r="A2853" s="1">
        <v>45313</v>
      </c>
      <c r="B2853">
        <v>5.33</v>
      </c>
    </row>
    <row r="2854" spans="1:2">
      <c r="A2854" s="1">
        <v>45314</v>
      </c>
      <c r="B2854">
        <v>5.33</v>
      </c>
    </row>
    <row r="2855" spans="1:2">
      <c r="A2855" s="1">
        <v>45315</v>
      </c>
      <c r="B2855">
        <v>5.33</v>
      </c>
    </row>
    <row r="2856" spans="1:2">
      <c r="A2856" s="1">
        <v>45316</v>
      </c>
      <c r="B2856">
        <v>5.33</v>
      </c>
    </row>
    <row r="2857" spans="1:2">
      <c r="A2857" s="1">
        <v>45317</v>
      </c>
      <c r="B2857">
        <v>5.33</v>
      </c>
    </row>
    <row r="2858" spans="1:2">
      <c r="A2858" s="1">
        <v>45318</v>
      </c>
      <c r="B2858">
        <v>5.33</v>
      </c>
    </row>
    <row r="2859" spans="1:2">
      <c r="A2859" s="1">
        <v>45319</v>
      </c>
      <c r="B2859">
        <v>5.33</v>
      </c>
    </row>
    <row r="2860" spans="1:2">
      <c r="A2860" s="1">
        <v>45320</v>
      </c>
      <c r="B2860">
        <v>5.33</v>
      </c>
    </row>
    <row r="2861" spans="1:2">
      <c r="A2861" s="1">
        <v>45321</v>
      </c>
      <c r="B2861">
        <v>5.33</v>
      </c>
    </row>
    <row r="2862" spans="1:2">
      <c r="A2862" s="1">
        <v>45322</v>
      </c>
      <c r="B2862">
        <v>5.33</v>
      </c>
    </row>
    <row r="2863" spans="1:2">
      <c r="A2863" s="1">
        <v>45323</v>
      </c>
      <c r="B2863">
        <v>5.33</v>
      </c>
    </row>
    <row r="2864" spans="1:2">
      <c r="A2864" s="1">
        <v>45324</v>
      </c>
      <c r="B2864">
        <v>5.33</v>
      </c>
    </row>
    <row r="2865" spans="1:2">
      <c r="A2865" s="1">
        <v>45325</v>
      </c>
      <c r="B2865">
        <v>5.33</v>
      </c>
    </row>
    <row r="2866" spans="1:2">
      <c r="A2866" s="1">
        <v>45326</v>
      </c>
      <c r="B2866">
        <v>5.33</v>
      </c>
    </row>
    <row r="2867" spans="1:2">
      <c r="A2867" s="1">
        <v>45327</v>
      </c>
      <c r="B2867">
        <v>5.33</v>
      </c>
    </row>
    <row r="2868" spans="1:2">
      <c r="A2868" s="1">
        <v>45328</v>
      </c>
      <c r="B2868">
        <v>5.33</v>
      </c>
    </row>
    <row r="2869" spans="1:2">
      <c r="A2869" s="1">
        <v>45329</v>
      </c>
      <c r="B2869">
        <v>5.33</v>
      </c>
    </row>
    <row r="2870" spans="1:2">
      <c r="A2870" s="1">
        <v>45330</v>
      </c>
      <c r="B2870">
        <v>5.33</v>
      </c>
    </row>
    <row r="2871" spans="1:2">
      <c r="A2871" s="1">
        <v>45331</v>
      </c>
      <c r="B2871">
        <v>5.33</v>
      </c>
    </row>
    <row r="2872" spans="1:2">
      <c r="A2872" s="1">
        <v>45332</v>
      </c>
      <c r="B2872">
        <v>5.33</v>
      </c>
    </row>
    <row r="2873" spans="1:2">
      <c r="A2873" s="1">
        <v>45333</v>
      </c>
      <c r="B2873">
        <v>5.33</v>
      </c>
    </row>
    <row r="2874" spans="1:2">
      <c r="A2874" s="1">
        <v>45334</v>
      </c>
      <c r="B2874">
        <v>5.33</v>
      </c>
    </row>
    <row r="2875" spans="1:2">
      <c r="A2875" s="1">
        <v>45335</v>
      </c>
      <c r="B2875">
        <v>5.33</v>
      </c>
    </row>
    <row r="2876" spans="1:2">
      <c r="A2876" s="1">
        <v>45336</v>
      </c>
      <c r="B2876">
        <v>5.33</v>
      </c>
    </row>
    <row r="2877" spans="1:2">
      <c r="A2877" s="1">
        <v>45337</v>
      </c>
      <c r="B2877">
        <v>5.33</v>
      </c>
    </row>
    <row r="2878" spans="1:2">
      <c r="A2878" s="1">
        <v>45338</v>
      </c>
      <c r="B2878">
        <v>5.33</v>
      </c>
    </row>
    <row r="2879" spans="1:2">
      <c r="A2879" s="1">
        <v>45339</v>
      </c>
      <c r="B2879">
        <v>5.33</v>
      </c>
    </row>
    <row r="2880" spans="1:2">
      <c r="A2880" s="1">
        <v>45340</v>
      </c>
      <c r="B2880">
        <v>5.33</v>
      </c>
    </row>
    <row r="2881" spans="1:2">
      <c r="A2881" s="1">
        <v>45341</v>
      </c>
      <c r="B2881">
        <v>5.33</v>
      </c>
    </row>
    <row r="2882" spans="1:2">
      <c r="A2882" s="1">
        <v>45342</v>
      </c>
      <c r="B2882">
        <v>5.33</v>
      </c>
    </row>
    <row r="2883" spans="1:2">
      <c r="A2883" s="1">
        <v>45343</v>
      </c>
      <c r="B2883">
        <v>5.33</v>
      </c>
    </row>
    <row r="2884" spans="1:2">
      <c r="A2884" s="1">
        <v>45344</v>
      </c>
      <c r="B2884">
        <v>5.33</v>
      </c>
    </row>
    <row r="2885" spans="1:2">
      <c r="A2885" s="1">
        <v>45345</v>
      </c>
      <c r="B2885">
        <v>5.33</v>
      </c>
    </row>
    <row r="2886" spans="1:2">
      <c r="A2886" s="1">
        <v>45346</v>
      </c>
      <c r="B2886">
        <v>5.33</v>
      </c>
    </row>
    <row r="2887" spans="1:2">
      <c r="A2887" s="1">
        <v>45347</v>
      </c>
      <c r="B2887">
        <v>5.33</v>
      </c>
    </row>
    <row r="2888" spans="1:2">
      <c r="A2888" s="1">
        <v>45348</v>
      </c>
      <c r="B2888">
        <v>5.33</v>
      </c>
    </row>
    <row r="2889" spans="1:2">
      <c r="A2889" s="1">
        <v>45349</v>
      </c>
      <c r="B2889">
        <v>5.33</v>
      </c>
    </row>
    <row r="2890" spans="1:2">
      <c r="A2890" s="1">
        <v>45350</v>
      </c>
      <c r="B2890">
        <v>5.33</v>
      </c>
    </row>
    <row r="2891" spans="1:2">
      <c r="A2891" s="1">
        <v>45351</v>
      </c>
      <c r="B2891">
        <v>5.33</v>
      </c>
    </row>
    <row r="2892" spans="1:2">
      <c r="A2892" s="1">
        <v>45352</v>
      </c>
      <c r="B2892">
        <v>5.33</v>
      </c>
    </row>
    <row r="2893" spans="1:2">
      <c r="A2893" s="1">
        <v>45353</v>
      </c>
      <c r="B2893">
        <v>5.33</v>
      </c>
    </row>
    <row r="2894" spans="1:2">
      <c r="A2894" s="1">
        <v>45354</v>
      </c>
      <c r="B2894">
        <v>5.33</v>
      </c>
    </row>
    <row r="2895" spans="1:2">
      <c r="A2895" s="1">
        <v>45355</v>
      </c>
      <c r="B2895">
        <v>5.33</v>
      </c>
    </row>
    <row r="2896" spans="1:2">
      <c r="A2896" s="1">
        <v>45356</v>
      </c>
      <c r="B2896">
        <v>5.33</v>
      </c>
    </row>
    <row r="2897" spans="1:2">
      <c r="A2897" s="1">
        <v>45357</v>
      </c>
      <c r="B2897">
        <v>5.33</v>
      </c>
    </row>
    <row r="2898" spans="1:2">
      <c r="A2898" s="1">
        <v>45358</v>
      </c>
      <c r="B2898">
        <v>5.33</v>
      </c>
    </row>
    <row r="2899" spans="1:2">
      <c r="A2899" s="1">
        <v>45359</v>
      </c>
      <c r="B2899">
        <v>5.33</v>
      </c>
    </row>
    <row r="2900" spans="1:2">
      <c r="A2900" s="1">
        <v>45360</v>
      </c>
      <c r="B2900">
        <v>5.33</v>
      </c>
    </row>
    <row r="2901" spans="1:2">
      <c r="A2901" s="1">
        <v>45361</v>
      </c>
      <c r="B2901">
        <v>5.33</v>
      </c>
    </row>
    <row r="2902" spans="1:2">
      <c r="A2902" s="1">
        <v>45362</v>
      </c>
      <c r="B2902">
        <v>5.33</v>
      </c>
    </row>
    <row r="2903" spans="1:2">
      <c r="A2903" s="1">
        <v>45363</v>
      </c>
      <c r="B2903">
        <v>5.33</v>
      </c>
    </row>
    <row r="2904" spans="1:2">
      <c r="A2904" s="1">
        <v>45364</v>
      </c>
      <c r="B2904">
        <v>5.33</v>
      </c>
    </row>
    <row r="2905" spans="1:2">
      <c r="A2905" s="1">
        <v>45365</v>
      </c>
      <c r="B2905">
        <v>5.33</v>
      </c>
    </row>
    <row r="2906" spans="1:2">
      <c r="A2906" s="1">
        <v>45366</v>
      </c>
      <c r="B2906">
        <v>5.33</v>
      </c>
    </row>
    <row r="2907" spans="1:2">
      <c r="A2907" s="1">
        <v>45367</v>
      </c>
      <c r="B2907">
        <v>5.33</v>
      </c>
    </row>
    <row r="2908" spans="1:2">
      <c r="A2908" s="1">
        <v>45368</v>
      </c>
      <c r="B2908">
        <v>5.33</v>
      </c>
    </row>
    <row r="2909" spans="1:2">
      <c r="A2909" s="1">
        <v>45369</v>
      </c>
      <c r="B2909">
        <v>5.33</v>
      </c>
    </row>
    <row r="2910" spans="1:2">
      <c r="A2910" s="1">
        <v>45370</v>
      </c>
      <c r="B2910">
        <v>5.33</v>
      </c>
    </row>
    <row r="2911" spans="1:2">
      <c r="A2911" s="1">
        <v>45371</v>
      </c>
      <c r="B2911">
        <v>5.33</v>
      </c>
    </row>
    <row r="2912" spans="1:2">
      <c r="A2912" s="1">
        <v>45372</v>
      </c>
      <c r="B2912">
        <v>5.33</v>
      </c>
    </row>
    <row r="2913" spans="1:2">
      <c r="A2913" s="1">
        <v>45373</v>
      </c>
      <c r="B2913">
        <v>5.33</v>
      </c>
    </row>
    <row r="2914" spans="1:2">
      <c r="A2914" s="1">
        <v>45374</v>
      </c>
      <c r="B2914">
        <v>5.33</v>
      </c>
    </row>
    <row r="2915" spans="1:2">
      <c r="A2915" s="1">
        <v>45375</v>
      </c>
      <c r="B2915">
        <v>5.33</v>
      </c>
    </row>
    <row r="2916" spans="1:2">
      <c r="A2916" s="1">
        <v>45376</v>
      </c>
      <c r="B2916">
        <v>5.33</v>
      </c>
    </row>
    <row r="2917" spans="1:2">
      <c r="A2917" s="1">
        <v>45377</v>
      </c>
      <c r="B2917">
        <v>5.33</v>
      </c>
    </row>
    <row r="2918" spans="1:2">
      <c r="A2918" s="1">
        <v>45378</v>
      </c>
      <c r="B2918">
        <v>5.33</v>
      </c>
    </row>
    <row r="2919" spans="1:2">
      <c r="A2919" s="1">
        <v>45379</v>
      </c>
      <c r="B2919">
        <v>5.33</v>
      </c>
    </row>
    <row r="2920" spans="1:2">
      <c r="A2920" s="1">
        <v>45380</v>
      </c>
      <c r="B2920">
        <v>5.33</v>
      </c>
    </row>
    <row r="2921" spans="1:2">
      <c r="A2921" s="1">
        <v>45381</v>
      </c>
      <c r="B2921">
        <v>5.33</v>
      </c>
    </row>
    <row r="2922" spans="1:2">
      <c r="A2922" s="1">
        <v>45382</v>
      </c>
      <c r="B2922">
        <v>5.33</v>
      </c>
    </row>
    <row r="2923" spans="1:2">
      <c r="A2923" s="1">
        <v>45383</v>
      </c>
      <c r="B2923">
        <v>5.33</v>
      </c>
    </row>
    <row r="2924" spans="1:2">
      <c r="A2924" s="1">
        <v>45384</v>
      </c>
      <c r="B2924">
        <v>5.33</v>
      </c>
    </row>
    <row r="2925" spans="1:2">
      <c r="A2925" s="1">
        <v>45385</v>
      </c>
      <c r="B2925">
        <v>5.33</v>
      </c>
    </row>
    <row r="2926" spans="1:2">
      <c r="A2926" s="1">
        <v>45386</v>
      </c>
      <c r="B2926">
        <v>5.33</v>
      </c>
    </row>
    <row r="2927" spans="1:2">
      <c r="A2927" s="1">
        <v>45387</v>
      </c>
      <c r="B2927">
        <v>5.33</v>
      </c>
    </row>
    <row r="2928" spans="1:2">
      <c r="A2928" s="1">
        <v>45388</v>
      </c>
      <c r="B2928">
        <v>5.33</v>
      </c>
    </row>
    <row r="2929" spans="1:2">
      <c r="A2929" s="1">
        <v>45389</v>
      </c>
      <c r="B2929">
        <v>5.33</v>
      </c>
    </row>
    <row r="2930" spans="1:2">
      <c r="A2930" s="1">
        <v>45390</v>
      </c>
      <c r="B2930">
        <v>5.33</v>
      </c>
    </row>
    <row r="2931" spans="1:2">
      <c r="A2931" s="1">
        <v>45391</v>
      </c>
      <c r="B2931">
        <v>5.33</v>
      </c>
    </row>
    <row r="2932" spans="1:2">
      <c r="A2932" s="1">
        <v>45392</v>
      </c>
      <c r="B2932">
        <v>5.33</v>
      </c>
    </row>
    <row r="2933" spans="1:2">
      <c r="A2933" s="1">
        <v>45393</v>
      </c>
      <c r="B2933">
        <v>5.33</v>
      </c>
    </row>
    <row r="2934" spans="1:2">
      <c r="A2934" s="1">
        <v>45394</v>
      </c>
      <c r="B2934">
        <v>5.33</v>
      </c>
    </row>
    <row r="2935" spans="1:2">
      <c r="A2935" s="1">
        <v>45395</v>
      </c>
      <c r="B2935">
        <v>5.33</v>
      </c>
    </row>
    <row r="2936" spans="1:2">
      <c r="A2936" s="1">
        <v>45396</v>
      </c>
      <c r="B2936">
        <v>5.33</v>
      </c>
    </row>
    <row r="2937" spans="1:2">
      <c r="A2937" s="1">
        <v>45397</v>
      </c>
      <c r="B2937">
        <v>5.33</v>
      </c>
    </row>
    <row r="2938" spans="1:2">
      <c r="A2938" s="1">
        <v>45398</v>
      </c>
      <c r="B2938">
        <v>5.33</v>
      </c>
    </row>
    <row r="2939" spans="1:2">
      <c r="A2939" s="1">
        <v>45399</v>
      </c>
      <c r="B2939">
        <v>5.33</v>
      </c>
    </row>
    <row r="2940" spans="1:2">
      <c r="A2940" s="1">
        <v>45400</v>
      </c>
      <c r="B2940">
        <v>5.33</v>
      </c>
    </row>
    <row r="2941" spans="1:2">
      <c r="A2941" s="1">
        <v>45401</v>
      </c>
      <c r="B2941">
        <v>5.33</v>
      </c>
    </row>
    <row r="2942" spans="1:2">
      <c r="A2942" s="1">
        <v>45402</v>
      </c>
      <c r="B2942">
        <v>5.33</v>
      </c>
    </row>
    <row r="2943" spans="1:2">
      <c r="A2943" s="1">
        <v>45403</v>
      </c>
      <c r="B2943">
        <v>5.33</v>
      </c>
    </row>
    <row r="2944" spans="1:2">
      <c r="A2944" s="1">
        <v>45404</v>
      </c>
      <c r="B2944">
        <v>5.33</v>
      </c>
    </row>
    <row r="2945" spans="1:2">
      <c r="A2945" s="1">
        <v>45405</v>
      </c>
      <c r="B2945">
        <v>5.33</v>
      </c>
    </row>
    <row r="2946" spans="1:2">
      <c r="A2946" s="1">
        <v>45406</v>
      </c>
      <c r="B2946">
        <v>5.33</v>
      </c>
    </row>
    <row r="2947" spans="1:2">
      <c r="A2947" s="1">
        <v>45407</v>
      </c>
      <c r="B2947">
        <v>5.33</v>
      </c>
    </row>
    <row r="2948" spans="1:2">
      <c r="A2948" s="1">
        <v>45408</v>
      </c>
      <c r="B2948">
        <v>5.33</v>
      </c>
    </row>
    <row r="2949" spans="1:2">
      <c r="A2949" s="1">
        <v>45409</v>
      </c>
      <c r="B2949">
        <v>5.33</v>
      </c>
    </row>
    <row r="2950" spans="1:2">
      <c r="A2950" s="1">
        <v>45410</v>
      </c>
      <c r="B2950">
        <v>5.33</v>
      </c>
    </row>
    <row r="2951" spans="1:2">
      <c r="A2951" s="1">
        <v>45411</v>
      </c>
      <c r="B2951">
        <v>5.33</v>
      </c>
    </row>
    <row r="2952" spans="1:2">
      <c r="A2952" s="1">
        <v>45412</v>
      </c>
      <c r="B2952">
        <v>5.33</v>
      </c>
    </row>
    <row r="2953" spans="1:2">
      <c r="A2953" s="1">
        <v>45413</v>
      </c>
      <c r="B2953">
        <v>5.33</v>
      </c>
    </row>
    <row r="2954" spans="1:2">
      <c r="A2954" s="1">
        <v>45414</v>
      </c>
      <c r="B2954">
        <v>5.33</v>
      </c>
    </row>
    <row r="2955" spans="1:2">
      <c r="A2955" s="1">
        <v>45415</v>
      </c>
      <c r="B2955">
        <v>5.33</v>
      </c>
    </row>
    <row r="2956" spans="1:2">
      <c r="A2956" s="1">
        <v>45416</v>
      </c>
      <c r="B2956">
        <v>5.33</v>
      </c>
    </row>
    <row r="2957" spans="1:2">
      <c r="A2957" s="1">
        <v>45417</v>
      </c>
      <c r="B2957">
        <v>5.33</v>
      </c>
    </row>
    <row r="2958" spans="1:2">
      <c r="A2958" s="1">
        <v>45418</v>
      </c>
      <c r="B2958">
        <v>5.33</v>
      </c>
    </row>
    <row r="2959" spans="1:2">
      <c r="A2959" s="1">
        <v>45419</v>
      </c>
      <c r="B2959">
        <v>5.33</v>
      </c>
    </row>
    <row r="2960" spans="1:2">
      <c r="A2960" s="1">
        <v>45420</v>
      </c>
      <c r="B2960">
        <v>5.33</v>
      </c>
    </row>
    <row r="2961" spans="1:2">
      <c r="A2961" s="1">
        <v>45421</v>
      </c>
      <c r="B2961">
        <v>5.33</v>
      </c>
    </row>
    <row r="2962" spans="1:2">
      <c r="A2962" s="1">
        <v>45422</v>
      </c>
      <c r="B2962">
        <v>5.33</v>
      </c>
    </row>
    <row r="2963" spans="1:2">
      <c r="A2963" s="1">
        <v>45423</v>
      </c>
      <c r="B2963">
        <v>5.33</v>
      </c>
    </row>
    <row r="2964" spans="1:2">
      <c r="A2964" s="1">
        <v>45424</v>
      </c>
      <c r="B2964">
        <v>5.33</v>
      </c>
    </row>
    <row r="2965" spans="1:2">
      <c r="A2965" s="1">
        <v>45425</v>
      </c>
      <c r="B2965">
        <v>5.33</v>
      </c>
    </row>
    <row r="2966" spans="1:2">
      <c r="A2966" s="1">
        <v>45426</v>
      </c>
      <c r="B2966">
        <v>5.33</v>
      </c>
    </row>
    <row r="2967" spans="1:2">
      <c r="A2967" s="1">
        <v>45427</v>
      </c>
      <c r="B2967">
        <v>5.33</v>
      </c>
    </row>
    <row r="2968" spans="1:2">
      <c r="A2968" s="1">
        <v>45428</v>
      </c>
      <c r="B2968">
        <v>5.33</v>
      </c>
    </row>
    <row r="2969" spans="1:2">
      <c r="A2969" s="1">
        <v>45429</v>
      </c>
      <c r="B2969">
        <v>5.33</v>
      </c>
    </row>
    <row r="2970" spans="1:2">
      <c r="A2970" s="1">
        <v>45430</v>
      </c>
      <c r="B2970">
        <v>5.33</v>
      </c>
    </row>
    <row r="2971" spans="1:2">
      <c r="A2971" s="1">
        <v>45431</v>
      </c>
      <c r="B2971">
        <v>5.33</v>
      </c>
    </row>
    <row r="2972" spans="1:2">
      <c r="A2972" s="1">
        <v>45432</v>
      </c>
      <c r="B2972">
        <v>5.33</v>
      </c>
    </row>
    <row r="2973" spans="1:2">
      <c r="A2973" s="1">
        <v>45433</v>
      </c>
      <c r="B2973">
        <v>5.33</v>
      </c>
    </row>
    <row r="2974" spans="1:2">
      <c r="A2974" s="1">
        <v>45434</v>
      </c>
      <c r="B2974">
        <v>5.33</v>
      </c>
    </row>
    <row r="2975" spans="1:2">
      <c r="A2975" s="1">
        <v>45435</v>
      </c>
      <c r="B2975">
        <v>5.33</v>
      </c>
    </row>
    <row r="2976" spans="1:2">
      <c r="A2976" s="1">
        <v>45436</v>
      </c>
      <c r="B2976">
        <v>5.33</v>
      </c>
    </row>
    <row r="2977" spans="1:2">
      <c r="A2977" s="1">
        <v>45437</v>
      </c>
      <c r="B2977">
        <v>5.33</v>
      </c>
    </row>
    <row r="2978" spans="1:2">
      <c r="A2978" s="1">
        <v>45438</v>
      </c>
      <c r="B2978">
        <v>5.33</v>
      </c>
    </row>
    <row r="2979" spans="1:2">
      <c r="A2979" s="1">
        <v>45439</v>
      </c>
      <c r="B2979">
        <v>5.33</v>
      </c>
    </row>
    <row r="2980" spans="1:2">
      <c r="A2980" s="1">
        <v>45440</v>
      </c>
      <c r="B2980">
        <v>5.33</v>
      </c>
    </row>
    <row r="2981" spans="1:2">
      <c r="A2981" s="1">
        <v>45441</v>
      </c>
      <c r="B2981">
        <v>5.33</v>
      </c>
    </row>
    <row r="2982" spans="1:2">
      <c r="A2982" s="1">
        <v>45442</v>
      </c>
      <c r="B2982">
        <v>5.33</v>
      </c>
    </row>
    <row r="2983" spans="1:2">
      <c r="A2983" s="1">
        <v>45443</v>
      </c>
      <c r="B2983">
        <v>5.33</v>
      </c>
    </row>
    <row r="2984" spans="1:2">
      <c r="A2984" s="1">
        <v>45444</v>
      </c>
      <c r="B2984">
        <v>5.33</v>
      </c>
    </row>
    <row r="2985" spans="1:2">
      <c r="A2985" s="1">
        <v>45445</v>
      </c>
      <c r="B2985">
        <v>5.33</v>
      </c>
    </row>
    <row r="2986" spans="1:2">
      <c r="A2986" s="1">
        <v>45446</v>
      </c>
      <c r="B2986">
        <v>5.33</v>
      </c>
    </row>
    <row r="2987" spans="1:2">
      <c r="A2987" s="1">
        <v>45447</v>
      </c>
      <c r="B2987">
        <v>5.33</v>
      </c>
    </row>
    <row r="2988" spans="1:2">
      <c r="A2988" s="1">
        <v>45448</v>
      </c>
      <c r="B2988">
        <v>5.33</v>
      </c>
    </row>
    <row r="2989" spans="1:2">
      <c r="A2989" s="1">
        <v>45449</v>
      </c>
      <c r="B2989">
        <v>5.33</v>
      </c>
    </row>
    <row r="2990" spans="1:2">
      <c r="A2990" s="1">
        <v>45450</v>
      </c>
      <c r="B2990">
        <v>5.33</v>
      </c>
    </row>
    <row r="2991" spans="1:2">
      <c r="A2991" s="1">
        <v>45451</v>
      </c>
      <c r="B2991">
        <v>5.33</v>
      </c>
    </row>
    <row r="2992" spans="1:2">
      <c r="A2992" s="1">
        <v>45452</v>
      </c>
      <c r="B2992">
        <v>5.33</v>
      </c>
    </row>
    <row r="2993" spans="1:2">
      <c r="A2993" s="1">
        <v>45453</v>
      </c>
      <c r="B2993">
        <v>5.33</v>
      </c>
    </row>
    <row r="2994" spans="1:2">
      <c r="A2994" s="1">
        <v>45454</v>
      </c>
      <c r="B2994">
        <v>5.33</v>
      </c>
    </row>
    <row r="2995" spans="1:2">
      <c r="A2995" s="1">
        <v>45455</v>
      </c>
      <c r="B2995">
        <v>5.33</v>
      </c>
    </row>
    <row r="2996" spans="1:2">
      <c r="A2996" s="1">
        <v>45456</v>
      </c>
      <c r="B2996">
        <v>5.33</v>
      </c>
    </row>
    <row r="2997" spans="1:2">
      <c r="A2997" s="1">
        <v>45457</v>
      </c>
      <c r="B2997">
        <v>5.33</v>
      </c>
    </row>
    <row r="2998" spans="1:2">
      <c r="A2998" s="1">
        <v>45458</v>
      </c>
      <c r="B2998">
        <v>5.33</v>
      </c>
    </row>
    <row r="2999" spans="1:2">
      <c r="A2999" s="1">
        <v>45459</v>
      </c>
      <c r="B2999">
        <v>5.33</v>
      </c>
    </row>
    <row r="3000" spans="1:2">
      <c r="A3000" s="1">
        <v>45460</v>
      </c>
      <c r="B3000">
        <v>5.33</v>
      </c>
    </row>
    <row r="3001" spans="1:2">
      <c r="A3001" s="1">
        <v>45461</v>
      </c>
      <c r="B3001">
        <v>5.33</v>
      </c>
    </row>
    <row r="3002" spans="1:2">
      <c r="A3002" s="1">
        <v>45462</v>
      </c>
      <c r="B3002">
        <v>5.33</v>
      </c>
    </row>
    <row r="3003" spans="1:2">
      <c r="A3003" s="1">
        <v>45463</v>
      </c>
      <c r="B3003">
        <v>5.33</v>
      </c>
    </row>
    <row r="3004" spans="1:2">
      <c r="A3004" s="1">
        <v>45464</v>
      </c>
      <c r="B3004">
        <v>5.33</v>
      </c>
    </row>
    <row r="3005" spans="1:2">
      <c r="A3005" s="1">
        <v>45465</v>
      </c>
      <c r="B3005">
        <v>5.33</v>
      </c>
    </row>
    <row r="3006" spans="1:2">
      <c r="A3006" s="1">
        <v>45466</v>
      </c>
      <c r="B3006">
        <v>5.33</v>
      </c>
    </row>
    <row r="3007" spans="1:2">
      <c r="A3007" s="1">
        <v>45467</v>
      </c>
      <c r="B3007">
        <v>5.33</v>
      </c>
    </row>
    <row r="3008" spans="1:2">
      <c r="A3008" s="1">
        <v>45468</v>
      </c>
      <c r="B3008">
        <v>5.33</v>
      </c>
    </row>
    <row r="3009" spans="1:2">
      <c r="A3009" s="1">
        <v>45469</v>
      </c>
      <c r="B3009">
        <v>5.33</v>
      </c>
    </row>
    <row r="3010" spans="1:2">
      <c r="A3010" s="1">
        <v>45470</v>
      </c>
      <c r="B3010">
        <v>5.33</v>
      </c>
    </row>
    <row r="3011" spans="1:2">
      <c r="A3011" s="1">
        <v>45471</v>
      </c>
      <c r="B3011">
        <v>5.33</v>
      </c>
    </row>
    <row r="3012" spans="1:2">
      <c r="A3012" s="1">
        <v>45472</v>
      </c>
      <c r="B3012">
        <v>5.33</v>
      </c>
    </row>
    <row r="3013" spans="1:2">
      <c r="A3013" s="1">
        <v>45473</v>
      </c>
      <c r="B3013">
        <v>5.33</v>
      </c>
    </row>
    <row r="3014" spans="1:2">
      <c r="A3014" s="1">
        <v>45474</v>
      </c>
      <c r="B3014">
        <v>5.33</v>
      </c>
    </row>
    <row r="3015" spans="1:2">
      <c r="A3015" s="1">
        <v>45475</v>
      </c>
      <c r="B3015">
        <v>5.33</v>
      </c>
    </row>
    <row r="3016" spans="1:2">
      <c r="A3016" s="1">
        <v>45476</v>
      </c>
      <c r="B3016">
        <v>5.33</v>
      </c>
    </row>
    <row r="3017" spans="1:2">
      <c r="A3017" s="1">
        <v>45477</v>
      </c>
      <c r="B3017">
        <v>5.33</v>
      </c>
    </row>
    <row r="3018" spans="1:2">
      <c r="A3018" s="1">
        <v>45478</v>
      </c>
      <c r="B3018">
        <v>5.33</v>
      </c>
    </row>
    <row r="3019" spans="1:2">
      <c r="A3019" s="1">
        <v>45479</v>
      </c>
      <c r="B3019">
        <v>5.33</v>
      </c>
    </row>
    <row r="3020" spans="1:2">
      <c r="A3020" s="1">
        <v>45480</v>
      </c>
      <c r="B3020">
        <v>5.33</v>
      </c>
    </row>
    <row r="3021" spans="1:2">
      <c r="A3021" s="1">
        <v>45481</v>
      </c>
      <c r="B3021">
        <v>5.33</v>
      </c>
    </row>
    <row r="3022" spans="1:2">
      <c r="A3022" s="1">
        <v>45482</v>
      </c>
      <c r="B3022">
        <v>5.33</v>
      </c>
    </row>
    <row r="3023" spans="1:2">
      <c r="A3023" s="1">
        <v>45483</v>
      </c>
      <c r="B3023">
        <v>5.33</v>
      </c>
    </row>
    <row r="3024" spans="1:2">
      <c r="A3024" s="1">
        <v>45484</v>
      </c>
      <c r="B3024">
        <v>5.33</v>
      </c>
    </row>
    <row r="3025" spans="1:2">
      <c r="A3025" s="1">
        <v>45485</v>
      </c>
      <c r="B3025">
        <v>5.33</v>
      </c>
    </row>
    <row r="3026" spans="1:2">
      <c r="A3026" s="1">
        <v>45486</v>
      </c>
      <c r="B3026">
        <v>5.33</v>
      </c>
    </row>
    <row r="3027" spans="1:2">
      <c r="A3027" s="1">
        <v>45487</v>
      </c>
      <c r="B3027">
        <v>5.33</v>
      </c>
    </row>
    <row r="3028" spans="1:2">
      <c r="A3028" s="1">
        <v>45488</v>
      </c>
      <c r="B3028">
        <v>5.33</v>
      </c>
    </row>
    <row r="3029" spans="1:2">
      <c r="A3029" s="1">
        <v>45489</v>
      </c>
      <c r="B3029">
        <v>5.33</v>
      </c>
    </row>
    <row r="3030" spans="1:2">
      <c r="A3030" s="1">
        <v>45490</v>
      </c>
      <c r="B3030">
        <v>5.33</v>
      </c>
    </row>
    <row r="3031" spans="1:2">
      <c r="A3031" s="1">
        <v>45491</v>
      </c>
      <c r="B3031">
        <v>5.33</v>
      </c>
    </row>
    <row r="3032" spans="1:2">
      <c r="A3032" s="1">
        <v>45492</v>
      </c>
      <c r="B3032">
        <v>5.33</v>
      </c>
    </row>
    <row r="3033" spans="1:2">
      <c r="A3033" s="1">
        <v>45493</v>
      </c>
      <c r="B3033">
        <v>5.33</v>
      </c>
    </row>
    <row r="3034" spans="1:2">
      <c r="A3034" s="1">
        <v>45494</v>
      </c>
      <c r="B3034">
        <v>5.33</v>
      </c>
    </row>
    <row r="3035" spans="1:2">
      <c r="A3035" s="1">
        <v>45495</v>
      </c>
      <c r="B3035">
        <v>5.33</v>
      </c>
    </row>
    <row r="3036" spans="1:2">
      <c r="A3036" s="1">
        <v>45496</v>
      </c>
      <c r="B3036">
        <v>5.33</v>
      </c>
    </row>
    <row r="3037" spans="1:2">
      <c r="A3037" s="1">
        <v>45497</v>
      </c>
      <c r="B3037">
        <v>5.33</v>
      </c>
    </row>
    <row r="3038" spans="1:2">
      <c r="A3038" s="1">
        <v>45498</v>
      </c>
      <c r="B3038">
        <v>5.33</v>
      </c>
    </row>
    <row r="3039" spans="1:2">
      <c r="A3039" s="1">
        <v>45499</v>
      </c>
      <c r="B3039">
        <v>5.33</v>
      </c>
    </row>
    <row r="3040" spans="1:2">
      <c r="A3040" s="1">
        <v>45500</v>
      </c>
      <c r="B3040">
        <v>5.33</v>
      </c>
    </row>
    <row r="3041" spans="1:2">
      <c r="A3041" s="1">
        <v>45501</v>
      </c>
      <c r="B3041">
        <v>5.33</v>
      </c>
    </row>
    <row r="3042" spans="1:2">
      <c r="A3042" s="1">
        <v>45502</v>
      </c>
      <c r="B3042">
        <v>5.33</v>
      </c>
    </row>
    <row r="3043" spans="1:2">
      <c r="A3043" s="1">
        <v>45503</v>
      </c>
      <c r="B3043">
        <v>5.33</v>
      </c>
    </row>
    <row r="3044" spans="1:2">
      <c r="A3044" s="1">
        <v>45504</v>
      </c>
      <c r="B3044">
        <v>5.33</v>
      </c>
    </row>
    <row r="3045" spans="1:2">
      <c r="A3045" s="1">
        <v>45505</v>
      </c>
      <c r="B3045">
        <v>5.33</v>
      </c>
    </row>
    <row r="3046" spans="1:2">
      <c r="A3046" s="1">
        <v>45506</v>
      </c>
      <c r="B3046">
        <v>5.33</v>
      </c>
    </row>
    <row r="3047" spans="1:2">
      <c r="A3047" s="1">
        <v>45507</v>
      </c>
      <c r="B3047">
        <v>5.33</v>
      </c>
    </row>
    <row r="3048" spans="1:2">
      <c r="A3048" s="1">
        <v>45508</v>
      </c>
      <c r="B3048">
        <v>5.33</v>
      </c>
    </row>
    <row r="3049" spans="1:2">
      <c r="A3049" s="1">
        <v>45509</v>
      </c>
      <c r="B3049">
        <v>5.33</v>
      </c>
    </row>
    <row r="3050" spans="1:2">
      <c r="A3050" s="1">
        <v>45510</v>
      </c>
      <c r="B3050">
        <v>5.33</v>
      </c>
    </row>
    <row r="3051" spans="1:2">
      <c r="A3051" s="1">
        <v>45511</v>
      </c>
      <c r="B3051">
        <v>5.33</v>
      </c>
    </row>
    <row r="3052" spans="1:2">
      <c r="A3052" s="1">
        <v>45512</v>
      </c>
      <c r="B3052">
        <v>5.33</v>
      </c>
    </row>
    <row r="3053" spans="1:2">
      <c r="A3053" s="1">
        <v>45513</v>
      </c>
      <c r="B3053">
        <v>5.33</v>
      </c>
    </row>
    <row r="3054" spans="1:2">
      <c r="A3054" s="1">
        <v>45514</v>
      </c>
      <c r="B3054">
        <v>5.33</v>
      </c>
    </row>
    <row r="3055" spans="1:2">
      <c r="A3055" s="1">
        <v>45515</v>
      </c>
      <c r="B3055">
        <v>5.33</v>
      </c>
    </row>
    <row r="3056" spans="1:2">
      <c r="A3056" s="1">
        <v>45516</v>
      </c>
      <c r="B3056">
        <v>5.33</v>
      </c>
    </row>
    <row r="3057" spans="1:2">
      <c r="A3057" s="1">
        <v>45517</v>
      </c>
      <c r="B3057">
        <v>5.33</v>
      </c>
    </row>
    <row r="3058" spans="1:2">
      <c r="A3058" s="1">
        <v>45518</v>
      </c>
      <c r="B3058">
        <v>5.33</v>
      </c>
    </row>
    <row r="3059" spans="1:2">
      <c r="A3059" s="1">
        <v>45519</v>
      </c>
      <c r="B3059">
        <v>5.33</v>
      </c>
    </row>
    <row r="3060" spans="1:2">
      <c r="A3060" s="1">
        <v>45520</v>
      </c>
      <c r="B3060">
        <v>5.33</v>
      </c>
    </row>
    <row r="3061" spans="1:2">
      <c r="A3061" s="1">
        <v>45521</v>
      </c>
      <c r="B3061">
        <v>5.33</v>
      </c>
    </row>
    <row r="3062" spans="1:2">
      <c r="A3062" s="1">
        <v>45522</v>
      </c>
      <c r="B3062">
        <v>5.33</v>
      </c>
    </row>
    <row r="3063" spans="1:2">
      <c r="A3063" s="1">
        <v>45523</v>
      </c>
      <c r="B3063">
        <v>5.33</v>
      </c>
    </row>
    <row r="3064" spans="1:2">
      <c r="A3064" s="1">
        <v>45524</v>
      </c>
      <c r="B3064">
        <v>5.33</v>
      </c>
    </row>
    <row r="3065" spans="1:2">
      <c r="A3065" s="1">
        <v>45525</v>
      </c>
      <c r="B3065">
        <v>5.33</v>
      </c>
    </row>
    <row r="3066" spans="1:2">
      <c r="A3066" s="1">
        <v>45526</v>
      </c>
      <c r="B3066">
        <v>5.33</v>
      </c>
    </row>
    <row r="3067" spans="1:2">
      <c r="A3067" s="1">
        <v>45527</v>
      </c>
      <c r="B3067">
        <v>5.33</v>
      </c>
    </row>
    <row r="3068" spans="1:2">
      <c r="A3068" s="1">
        <v>45528</v>
      </c>
      <c r="B3068">
        <v>5.33</v>
      </c>
    </row>
    <row r="3069" spans="1:2">
      <c r="A3069" s="1">
        <v>45529</v>
      </c>
      <c r="B3069">
        <v>5.33</v>
      </c>
    </row>
    <row r="3070" spans="1:2">
      <c r="A3070" s="1">
        <v>45530</v>
      </c>
      <c r="B3070">
        <v>5.33</v>
      </c>
    </row>
    <row r="3071" spans="1:2">
      <c r="A3071" s="1">
        <v>45531</v>
      </c>
      <c r="B3071">
        <v>5.33</v>
      </c>
    </row>
    <row r="3072" spans="1:2">
      <c r="A3072" s="1">
        <v>45532</v>
      </c>
      <c r="B3072">
        <v>5.33</v>
      </c>
    </row>
    <row r="3073" spans="1:2">
      <c r="A3073" s="1">
        <v>45533</v>
      </c>
      <c r="B3073">
        <v>5.33</v>
      </c>
    </row>
    <row r="3074" spans="1:2">
      <c r="A3074" s="1">
        <v>45534</v>
      </c>
      <c r="B3074">
        <v>5.33</v>
      </c>
    </row>
    <row r="3075" spans="1:2">
      <c r="A3075" s="1">
        <v>45535</v>
      </c>
      <c r="B3075">
        <v>5.33</v>
      </c>
    </row>
    <row r="3076" spans="1:2">
      <c r="A3076" s="1">
        <v>45536</v>
      </c>
      <c r="B3076">
        <v>5.33</v>
      </c>
    </row>
    <row r="3077" spans="1:2">
      <c r="A3077" s="1">
        <v>45537</v>
      </c>
      <c r="B3077">
        <v>5.33</v>
      </c>
    </row>
    <row r="3078" spans="1:2">
      <c r="A3078" s="1">
        <v>45538</v>
      </c>
      <c r="B3078">
        <v>5.33</v>
      </c>
    </row>
    <row r="3079" spans="1:2">
      <c r="A3079" s="1">
        <v>45539</v>
      </c>
      <c r="B3079">
        <v>5.33</v>
      </c>
    </row>
    <row r="3080" spans="1:2">
      <c r="A3080" s="1">
        <v>45540</v>
      </c>
      <c r="B3080">
        <v>5.33</v>
      </c>
    </row>
    <row r="3081" spans="1:2">
      <c r="A3081" s="1">
        <v>45541</v>
      </c>
      <c r="B3081">
        <v>5.33</v>
      </c>
    </row>
    <row r="3082" spans="1:2">
      <c r="A3082" s="1">
        <v>45542</v>
      </c>
      <c r="B3082">
        <v>5.33</v>
      </c>
    </row>
    <row r="3083" spans="1:2">
      <c r="A3083" s="1">
        <v>45543</v>
      </c>
      <c r="B3083">
        <v>5.33</v>
      </c>
    </row>
    <row r="3084" spans="1:2">
      <c r="A3084" s="1">
        <v>45544</v>
      </c>
      <c r="B3084">
        <v>5.33</v>
      </c>
    </row>
    <row r="3085" spans="1:2">
      <c r="A3085" s="1">
        <v>45545</v>
      </c>
      <c r="B3085">
        <v>5.33</v>
      </c>
    </row>
    <row r="3086" spans="1:2">
      <c r="A3086" s="1">
        <v>45546</v>
      </c>
      <c r="B3086">
        <v>5.33</v>
      </c>
    </row>
    <row r="3087" spans="1:2">
      <c r="A3087" s="1">
        <v>45547</v>
      </c>
      <c r="B3087">
        <v>5.33</v>
      </c>
    </row>
    <row r="3088" spans="1:2">
      <c r="A3088" s="1">
        <v>45548</v>
      </c>
      <c r="B3088">
        <v>5.33</v>
      </c>
    </row>
    <row r="3089" spans="1:2">
      <c r="A3089" s="1">
        <v>45549</v>
      </c>
      <c r="B3089">
        <v>5.33</v>
      </c>
    </row>
    <row r="3090" spans="1:2">
      <c r="A3090" s="1">
        <v>45550</v>
      </c>
      <c r="B3090">
        <v>5.33</v>
      </c>
    </row>
    <row r="3091" spans="1:2">
      <c r="A3091" s="1">
        <v>45551</v>
      </c>
      <c r="B3091">
        <v>5.33</v>
      </c>
    </row>
    <row r="3092" spans="1:2">
      <c r="A3092" s="1">
        <v>45552</v>
      </c>
      <c r="B3092">
        <v>5.33</v>
      </c>
    </row>
    <row r="3093" spans="1:2">
      <c r="A3093" s="1">
        <v>45553</v>
      </c>
      <c r="B3093">
        <v>5.33</v>
      </c>
    </row>
    <row r="3094" spans="1:2">
      <c r="A3094" s="1">
        <v>45554</v>
      </c>
      <c r="B3094">
        <v>4.83</v>
      </c>
    </row>
    <row r="3095" spans="1:2">
      <c r="A3095" s="1">
        <v>45555</v>
      </c>
      <c r="B3095">
        <v>4.83</v>
      </c>
    </row>
    <row r="3096" spans="1:2">
      <c r="A3096" s="1">
        <v>45556</v>
      </c>
      <c r="B3096">
        <v>4.83</v>
      </c>
    </row>
    <row r="3097" spans="1:2">
      <c r="A3097" s="1">
        <v>45557</v>
      </c>
      <c r="B3097">
        <v>4.83</v>
      </c>
    </row>
    <row r="3098" spans="1:2">
      <c r="A3098" s="1">
        <v>45558</v>
      </c>
      <c r="B3098">
        <v>4.83</v>
      </c>
    </row>
    <row r="3099" spans="1:2">
      <c r="A3099" s="1">
        <v>45559</v>
      </c>
      <c r="B3099">
        <v>4.83</v>
      </c>
    </row>
    <row r="3100" spans="1:2">
      <c r="A3100" s="1">
        <v>45560</v>
      </c>
      <c r="B3100">
        <v>4.83</v>
      </c>
    </row>
    <row r="3101" spans="1:2">
      <c r="A3101" s="1">
        <v>45561</v>
      </c>
      <c r="B3101">
        <v>4.83</v>
      </c>
    </row>
    <row r="3102" spans="1:2">
      <c r="A3102" s="1">
        <v>45562</v>
      </c>
      <c r="B3102">
        <v>4.83</v>
      </c>
    </row>
    <row r="3103" spans="1:2">
      <c r="A3103" s="1">
        <v>45563</v>
      </c>
      <c r="B3103">
        <v>4.83</v>
      </c>
    </row>
    <row r="3104" spans="1:2">
      <c r="A3104" s="1">
        <v>45564</v>
      </c>
      <c r="B3104">
        <v>4.83</v>
      </c>
    </row>
    <row r="3105" spans="1:2">
      <c r="A3105" s="1">
        <v>45565</v>
      </c>
      <c r="B3105">
        <v>4.83</v>
      </c>
    </row>
    <row r="3106" spans="1:2">
      <c r="A3106" s="1">
        <v>45566</v>
      </c>
      <c r="B3106">
        <v>4.83</v>
      </c>
    </row>
    <row r="3107" spans="1:2">
      <c r="A3107" s="1">
        <v>45567</v>
      </c>
      <c r="B3107">
        <v>4.83</v>
      </c>
    </row>
    <row r="3108" spans="1:2">
      <c r="A3108" s="1">
        <v>45568</v>
      </c>
      <c r="B3108">
        <v>4.83</v>
      </c>
    </row>
    <row r="3109" spans="1:2">
      <c r="A3109" s="1">
        <v>45569</v>
      </c>
      <c r="B3109">
        <v>4.83</v>
      </c>
    </row>
    <row r="3110" spans="1:2">
      <c r="A3110" s="1">
        <v>45570</v>
      </c>
      <c r="B3110">
        <v>4.83</v>
      </c>
    </row>
    <row r="3111" spans="1:2">
      <c r="A3111" s="1">
        <v>45571</v>
      </c>
      <c r="B3111">
        <v>4.83</v>
      </c>
    </row>
    <row r="3112" spans="1:2">
      <c r="A3112" s="1">
        <v>45572</v>
      </c>
      <c r="B3112">
        <v>4.83</v>
      </c>
    </row>
    <row r="3113" spans="1:2">
      <c r="A3113" s="1">
        <v>45573</v>
      </c>
      <c r="B3113">
        <v>4.83</v>
      </c>
    </row>
    <row r="3114" spans="1:2">
      <c r="A3114" s="1">
        <v>45574</v>
      </c>
      <c r="B3114">
        <v>4.83</v>
      </c>
    </row>
    <row r="3115" spans="1:2">
      <c r="A3115" s="1">
        <v>45575</v>
      </c>
      <c r="B3115">
        <v>4.83</v>
      </c>
    </row>
    <row r="3116" spans="1:2">
      <c r="A3116" s="1">
        <v>45576</v>
      </c>
      <c r="B3116">
        <v>4.83</v>
      </c>
    </row>
    <row r="3117" spans="1:2">
      <c r="A3117" s="1">
        <v>45577</v>
      </c>
      <c r="B3117">
        <v>4.83</v>
      </c>
    </row>
    <row r="3118" spans="1:2">
      <c r="A3118" s="1">
        <v>45578</v>
      </c>
      <c r="B3118">
        <v>4.83</v>
      </c>
    </row>
    <row r="3119" spans="1:2">
      <c r="A3119" s="1">
        <v>45579</v>
      </c>
      <c r="B3119">
        <v>4.83</v>
      </c>
    </row>
    <row r="3120" spans="1:2">
      <c r="A3120" s="1">
        <v>45580</v>
      </c>
      <c r="B3120">
        <v>4.83</v>
      </c>
    </row>
    <row r="3121" spans="1:2">
      <c r="A3121" s="1">
        <v>45581</v>
      </c>
      <c r="B3121">
        <v>4.83</v>
      </c>
    </row>
    <row r="3122" spans="1:2">
      <c r="A3122" s="1">
        <v>45582</v>
      </c>
      <c r="B3122">
        <v>4.83</v>
      </c>
    </row>
    <row r="3123" spans="1:2">
      <c r="A3123" s="1">
        <v>45583</v>
      </c>
      <c r="B3123">
        <v>4.83</v>
      </c>
    </row>
    <row r="3124" spans="1:2">
      <c r="A3124" s="1">
        <v>45584</v>
      </c>
      <c r="B3124">
        <v>4.83</v>
      </c>
    </row>
    <row r="3125" spans="1:2">
      <c r="A3125" s="1">
        <v>45585</v>
      </c>
      <c r="B3125">
        <v>4.83</v>
      </c>
    </row>
    <row r="3126" spans="1:2">
      <c r="A3126" s="1">
        <v>45586</v>
      </c>
      <c r="B3126">
        <v>4.83</v>
      </c>
    </row>
    <row r="3127" spans="1:2">
      <c r="A3127" s="1">
        <v>45587</v>
      </c>
      <c r="B3127">
        <v>4.83</v>
      </c>
    </row>
    <row r="3128" spans="1:2">
      <c r="A3128" s="1">
        <v>45588</v>
      </c>
      <c r="B3128">
        <v>4.83</v>
      </c>
    </row>
    <row r="3129" spans="1:2">
      <c r="A3129" s="1">
        <v>45589</v>
      </c>
      <c r="B3129">
        <v>4.83</v>
      </c>
    </row>
    <row r="3130" spans="1:2">
      <c r="A3130" s="1">
        <v>45590</v>
      </c>
      <c r="B3130">
        <v>4.83</v>
      </c>
    </row>
    <row r="3131" spans="1:2">
      <c r="A3131" s="1">
        <v>45591</v>
      </c>
      <c r="B3131">
        <v>4.83</v>
      </c>
    </row>
    <row r="3132" spans="1:2">
      <c r="A3132" s="1">
        <v>45592</v>
      </c>
      <c r="B3132">
        <v>4.83</v>
      </c>
    </row>
    <row r="3133" spans="1:2">
      <c r="A3133" s="1">
        <v>45593</v>
      </c>
      <c r="B3133">
        <v>4.83</v>
      </c>
    </row>
    <row r="3134" spans="1:2">
      <c r="A3134" s="1">
        <v>45594</v>
      </c>
      <c r="B3134">
        <v>4.83</v>
      </c>
    </row>
    <row r="3135" spans="1:2">
      <c r="A3135" s="1">
        <v>45595</v>
      </c>
      <c r="B3135">
        <v>4.83</v>
      </c>
    </row>
    <row r="3136" spans="1:2">
      <c r="A3136" s="1">
        <v>45596</v>
      </c>
      <c r="B3136">
        <v>4.83</v>
      </c>
    </row>
    <row r="3137" spans="1:2">
      <c r="A3137" s="1">
        <v>45597</v>
      </c>
      <c r="B3137">
        <v>4.83</v>
      </c>
    </row>
    <row r="3138" spans="1:2">
      <c r="A3138" s="1">
        <v>45598</v>
      </c>
      <c r="B3138">
        <v>4.83</v>
      </c>
    </row>
    <row r="3139" spans="1:2">
      <c r="A3139" s="1">
        <v>45599</v>
      </c>
      <c r="B3139">
        <v>4.83</v>
      </c>
    </row>
    <row r="3140" spans="1:2">
      <c r="A3140" s="1">
        <v>45600</v>
      </c>
      <c r="B3140">
        <v>4.83</v>
      </c>
    </row>
    <row r="3141" spans="1:2">
      <c r="A3141" s="1">
        <v>45601</v>
      </c>
      <c r="B3141">
        <v>4.83</v>
      </c>
    </row>
    <row r="3142" spans="1:2">
      <c r="A3142" s="1">
        <v>45602</v>
      </c>
      <c r="B3142">
        <v>4.83</v>
      </c>
    </row>
    <row r="3143" spans="1:2">
      <c r="A3143" s="1">
        <v>45603</v>
      </c>
      <c r="B3143">
        <v>4.83</v>
      </c>
    </row>
    <row r="3144" spans="1:2">
      <c r="A3144" s="1">
        <v>45604</v>
      </c>
      <c r="B3144">
        <v>4.58</v>
      </c>
    </row>
    <row r="3145" spans="1:2">
      <c r="A3145" s="1">
        <v>45605</v>
      </c>
      <c r="B3145">
        <v>4.58</v>
      </c>
    </row>
    <row r="3146" spans="1:2">
      <c r="A3146" s="1">
        <v>45606</v>
      </c>
      <c r="B3146">
        <v>4.58</v>
      </c>
    </row>
    <row r="3147" spans="1:2">
      <c r="A3147" s="1">
        <v>45607</v>
      </c>
      <c r="B3147">
        <v>4.58</v>
      </c>
    </row>
    <row r="3148" spans="1:2">
      <c r="A3148" s="1">
        <v>45608</v>
      </c>
      <c r="B3148">
        <v>4.58</v>
      </c>
    </row>
    <row r="3149" spans="1:2">
      <c r="A3149" s="1">
        <v>45609</v>
      </c>
      <c r="B3149">
        <v>4.58</v>
      </c>
    </row>
    <row r="3150" spans="1:2">
      <c r="A3150" s="1">
        <v>45610</v>
      </c>
      <c r="B3150">
        <v>4.58</v>
      </c>
    </row>
    <row r="3151" spans="1:2">
      <c r="A3151" s="1">
        <v>45611</v>
      </c>
      <c r="B3151">
        <v>4.58</v>
      </c>
    </row>
    <row r="3152" spans="1:2">
      <c r="A3152" s="1">
        <v>45612</v>
      </c>
      <c r="B3152">
        <v>4.58</v>
      </c>
    </row>
    <row r="3153" spans="1:2">
      <c r="A3153" s="1">
        <v>45613</v>
      </c>
      <c r="B3153">
        <v>4.58</v>
      </c>
    </row>
    <row r="3154" spans="1:2">
      <c r="A3154" s="1">
        <v>45614</v>
      </c>
      <c r="B3154">
        <v>4.58</v>
      </c>
    </row>
    <row r="3155" spans="1:2">
      <c r="A3155" s="1">
        <v>45615</v>
      </c>
      <c r="B3155">
        <v>4.58</v>
      </c>
    </row>
    <row r="3156" spans="1:2">
      <c r="A3156" s="1">
        <v>45616</v>
      </c>
      <c r="B3156">
        <v>4.58</v>
      </c>
    </row>
    <row r="3157" spans="1:2">
      <c r="A3157" s="1">
        <v>45617</v>
      </c>
      <c r="B3157">
        <v>4.58</v>
      </c>
    </row>
    <row r="3158" spans="1:2">
      <c r="A3158" s="1">
        <v>45618</v>
      </c>
      <c r="B3158">
        <v>4.58</v>
      </c>
    </row>
    <row r="3159" spans="1:2">
      <c r="A3159" s="1">
        <v>45619</v>
      </c>
      <c r="B3159">
        <v>4.58</v>
      </c>
    </row>
    <row r="3160" spans="1:2">
      <c r="A3160" s="1">
        <v>45620</v>
      </c>
      <c r="B3160">
        <v>4.58</v>
      </c>
    </row>
    <row r="3161" spans="1:2">
      <c r="A3161" s="1">
        <v>45621</v>
      </c>
      <c r="B3161">
        <v>4.58</v>
      </c>
    </row>
    <row r="3162" spans="1:2">
      <c r="A3162" s="1">
        <v>45622</v>
      </c>
      <c r="B3162">
        <v>4.58</v>
      </c>
    </row>
    <row r="3163" spans="1:2">
      <c r="A3163" s="1">
        <v>45623</v>
      </c>
      <c r="B3163">
        <v>4.58</v>
      </c>
    </row>
    <row r="3164" spans="1:2">
      <c r="A3164" s="1">
        <v>45624</v>
      </c>
      <c r="B3164">
        <v>4.58</v>
      </c>
    </row>
    <row r="3165" spans="1:2">
      <c r="A3165" s="1">
        <v>45625</v>
      </c>
      <c r="B3165">
        <v>4.58</v>
      </c>
    </row>
    <row r="3166" spans="1:2">
      <c r="A3166" s="1">
        <v>45626</v>
      </c>
      <c r="B3166">
        <v>4.58</v>
      </c>
    </row>
    <row r="3167" spans="1:2">
      <c r="A3167" s="1">
        <v>45627</v>
      </c>
      <c r="B3167">
        <v>4.58</v>
      </c>
    </row>
    <row r="3168" spans="1:2">
      <c r="A3168" s="1">
        <v>45628</v>
      </c>
      <c r="B3168">
        <v>4.58</v>
      </c>
    </row>
    <row r="3169" spans="1:2">
      <c r="A3169" s="1">
        <v>45629</v>
      </c>
      <c r="B3169">
        <v>4.58</v>
      </c>
    </row>
    <row r="3170" spans="1:2">
      <c r="A3170" s="1">
        <v>45630</v>
      </c>
      <c r="B3170">
        <v>4.58</v>
      </c>
    </row>
    <row r="3171" spans="1:2">
      <c r="A3171" s="1">
        <v>45631</v>
      </c>
      <c r="B3171">
        <v>4.58</v>
      </c>
    </row>
    <row r="3172" spans="1:2">
      <c r="A3172" s="1">
        <v>45632</v>
      </c>
      <c r="B3172">
        <v>4.58</v>
      </c>
    </row>
    <row r="3173" spans="1:2">
      <c r="A3173" s="1">
        <v>45633</v>
      </c>
      <c r="B3173">
        <v>4.58</v>
      </c>
    </row>
    <row r="3174" spans="1:2">
      <c r="A3174" s="1">
        <v>45634</v>
      </c>
      <c r="B3174">
        <v>4.58</v>
      </c>
    </row>
    <row r="3175" spans="1:2">
      <c r="A3175" s="1">
        <v>45635</v>
      </c>
      <c r="B3175">
        <v>4.58</v>
      </c>
    </row>
    <row r="3176" spans="1:2">
      <c r="A3176" s="1">
        <v>45636</v>
      </c>
      <c r="B3176">
        <v>4.58</v>
      </c>
    </row>
    <row r="3177" spans="1:2">
      <c r="A3177" s="1">
        <v>45637</v>
      </c>
      <c r="B3177">
        <v>4.58</v>
      </c>
    </row>
    <row r="3178" spans="1:2">
      <c r="A3178" s="1">
        <v>45638</v>
      </c>
      <c r="B3178">
        <v>4.58</v>
      </c>
    </row>
    <row r="3179" spans="1:2">
      <c r="A3179" s="1">
        <v>45639</v>
      </c>
      <c r="B3179">
        <v>4.58</v>
      </c>
    </row>
    <row r="3180" spans="1:2">
      <c r="A3180" s="1">
        <v>45640</v>
      </c>
      <c r="B3180">
        <v>4.58</v>
      </c>
    </row>
    <row r="3181" spans="1:2">
      <c r="A3181" s="1">
        <v>45641</v>
      </c>
      <c r="B3181">
        <v>4.58</v>
      </c>
    </row>
    <row r="3182" spans="1:2">
      <c r="A3182" s="1">
        <v>45642</v>
      </c>
      <c r="B3182">
        <v>4.58</v>
      </c>
    </row>
    <row r="3183" spans="1:2">
      <c r="A3183" s="1">
        <v>45643</v>
      </c>
      <c r="B3183">
        <v>4.58</v>
      </c>
    </row>
    <row r="3184" spans="1:2">
      <c r="A3184" s="1">
        <v>45644</v>
      </c>
      <c r="B3184">
        <v>4.58</v>
      </c>
    </row>
    <row r="3185" spans="1:2">
      <c r="A3185" s="1">
        <v>45645</v>
      </c>
      <c r="B3185">
        <v>4.33</v>
      </c>
    </row>
    <row r="3186" spans="1:2">
      <c r="A3186" s="1">
        <v>45646</v>
      </c>
      <c r="B3186">
        <v>4.33</v>
      </c>
    </row>
    <row r="3187" spans="1:2">
      <c r="A3187" s="1">
        <v>45647</v>
      </c>
      <c r="B3187">
        <v>4.33</v>
      </c>
    </row>
    <row r="3188" spans="1:2">
      <c r="A3188" s="1">
        <v>45648</v>
      </c>
      <c r="B3188">
        <v>4.33</v>
      </c>
    </row>
    <row r="3189" spans="1:2">
      <c r="A3189" s="1">
        <v>45649</v>
      </c>
      <c r="B3189">
        <v>4.33</v>
      </c>
    </row>
    <row r="3190" spans="1:2">
      <c r="A3190" s="1">
        <v>45650</v>
      </c>
      <c r="B3190">
        <v>4.33</v>
      </c>
    </row>
    <row r="3191" spans="1:2">
      <c r="A3191" s="1">
        <v>45651</v>
      </c>
      <c r="B3191">
        <v>4.33</v>
      </c>
    </row>
    <row r="3192" spans="1:2">
      <c r="A3192" s="1">
        <v>45652</v>
      </c>
      <c r="B3192">
        <v>4.33</v>
      </c>
    </row>
    <row r="3193" spans="1:2">
      <c r="A3193" s="1">
        <v>45653</v>
      </c>
      <c r="B3193">
        <v>4.33</v>
      </c>
    </row>
    <row r="3194" spans="1:2">
      <c r="A3194" s="1">
        <v>45654</v>
      </c>
      <c r="B3194">
        <v>4.33</v>
      </c>
    </row>
    <row r="3195" spans="1:2">
      <c r="A3195" s="1">
        <v>45655</v>
      </c>
      <c r="B3195">
        <v>4.33</v>
      </c>
    </row>
    <row r="3196" spans="1:2">
      <c r="A3196" s="1">
        <v>45656</v>
      </c>
      <c r="B3196">
        <v>4.33</v>
      </c>
    </row>
    <row r="3197" spans="1:2">
      <c r="A3197" s="1">
        <v>45657</v>
      </c>
      <c r="B3197">
        <v>4.33</v>
      </c>
    </row>
    <row r="3198" spans="1:2">
      <c r="A3198" s="1">
        <v>45658</v>
      </c>
      <c r="B3198">
        <v>4.33</v>
      </c>
    </row>
    <row r="3199" spans="1:2">
      <c r="A3199" s="1">
        <v>45659</v>
      </c>
      <c r="B3199">
        <v>4.33</v>
      </c>
    </row>
    <row r="3200" spans="1:2">
      <c r="A3200" s="1">
        <v>45660</v>
      </c>
      <c r="B3200">
        <v>4.33</v>
      </c>
    </row>
    <row r="3201" spans="1:2">
      <c r="A3201" s="1">
        <v>45661</v>
      </c>
      <c r="B3201">
        <v>4.33</v>
      </c>
    </row>
    <row r="3202" spans="1:2">
      <c r="A3202" s="1">
        <v>45662</v>
      </c>
      <c r="B3202">
        <v>4.33</v>
      </c>
    </row>
    <row r="3203" spans="1:2">
      <c r="A3203" s="1">
        <v>45663</v>
      </c>
      <c r="B3203">
        <v>4.33</v>
      </c>
    </row>
    <row r="3204" spans="1:2">
      <c r="A3204" s="1">
        <v>45664</v>
      </c>
      <c r="B3204">
        <v>4.33</v>
      </c>
    </row>
    <row r="3205" spans="1:2">
      <c r="A3205" s="1">
        <v>45665</v>
      </c>
      <c r="B3205">
        <v>4.33</v>
      </c>
    </row>
    <row r="3206" spans="1:2">
      <c r="A3206" s="1">
        <v>45666</v>
      </c>
      <c r="B3206">
        <v>4.33</v>
      </c>
    </row>
    <row r="3207" spans="1:2">
      <c r="A3207" s="1">
        <v>45667</v>
      </c>
      <c r="B3207">
        <v>4.33</v>
      </c>
    </row>
    <row r="3208" spans="1:2">
      <c r="A3208" s="1">
        <v>45668</v>
      </c>
      <c r="B3208">
        <v>4.33</v>
      </c>
    </row>
    <row r="3209" spans="1:2">
      <c r="A3209" s="1">
        <v>45669</v>
      </c>
      <c r="B3209">
        <v>4.33</v>
      </c>
    </row>
    <row r="3210" spans="1:2">
      <c r="A3210" s="1">
        <v>45670</v>
      </c>
      <c r="B3210">
        <v>4.33</v>
      </c>
    </row>
    <row r="3211" spans="1:2">
      <c r="A3211" s="1">
        <v>45671</v>
      </c>
      <c r="B3211">
        <v>4.33</v>
      </c>
    </row>
    <row r="3212" spans="1:2">
      <c r="A3212" s="1">
        <v>45672</v>
      </c>
      <c r="B3212">
        <v>4.33</v>
      </c>
    </row>
    <row r="3213" spans="1:2">
      <c r="A3213" s="1">
        <v>45673</v>
      </c>
      <c r="B3213">
        <v>4.33</v>
      </c>
    </row>
    <row r="3214" spans="1:2">
      <c r="A3214" s="1">
        <v>45674</v>
      </c>
      <c r="B3214">
        <v>4.33</v>
      </c>
    </row>
    <row r="3215" spans="1:2">
      <c r="A3215" s="1">
        <v>45675</v>
      </c>
      <c r="B3215">
        <v>4.33</v>
      </c>
    </row>
    <row r="3216" spans="1:2">
      <c r="A3216" s="1">
        <v>45676</v>
      </c>
      <c r="B3216">
        <v>4.33</v>
      </c>
    </row>
    <row r="3217" spans="1:2">
      <c r="A3217" s="1">
        <v>45677</v>
      </c>
      <c r="B3217">
        <v>4.33</v>
      </c>
    </row>
    <row r="3218" spans="1:2">
      <c r="A3218" s="1">
        <v>45678</v>
      </c>
      <c r="B3218">
        <v>4.33</v>
      </c>
    </row>
    <row r="3219" spans="1:2">
      <c r="A3219" s="1">
        <v>45679</v>
      </c>
      <c r="B3219">
        <v>4.33</v>
      </c>
    </row>
    <row r="3220" spans="1:2">
      <c r="A3220" s="1">
        <v>45680</v>
      </c>
      <c r="B3220">
        <v>4.33</v>
      </c>
    </row>
    <row r="3221" spans="1:2">
      <c r="A3221" s="1">
        <v>45681</v>
      </c>
      <c r="B3221">
        <v>4.33</v>
      </c>
    </row>
    <row r="3222" spans="1:2">
      <c r="A3222" s="1">
        <v>45682</v>
      </c>
      <c r="B3222">
        <v>4.33</v>
      </c>
    </row>
    <row r="3223" spans="1:2">
      <c r="A3223" s="1">
        <v>45683</v>
      </c>
      <c r="B3223">
        <v>4.33</v>
      </c>
    </row>
    <row r="3224" spans="1:2">
      <c r="A3224" s="1">
        <v>45684</v>
      </c>
      <c r="B3224">
        <v>4.33</v>
      </c>
    </row>
    <row r="3225" spans="1:2">
      <c r="A3225" s="1">
        <v>45685</v>
      </c>
      <c r="B3225">
        <v>4.33</v>
      </c>
    </row>
    <row r="3226" spans="1:2">
      <c r="A3226" s="1">
        <v>45686</v>
      </c>
      <c r="B3226">
        <v>4.33</v>
      </c>
    </row>
    <row r="3227" spans="1:2">
      <c r="A3227" s="1">
        <v>45687</v>
      </c>
      <c r="B3227">
        <v>4.33</v>
      </c>
    </row>
    <row r="3228" spans="1:2">
      <c r="A3228" s="1">
        <v>45688</v>
      </c>
      <c r="B3228">
        <v>4.33</v>
      </c>
    </row>
    <row r="3229" spans="1:2">
      <c r="A3229" s="1">
        <v>45689</v>
      </c>
      <c r="B3229">
        <v>4.33</v>
      </c>
    </row>
    <row r="3230" spans="1:2">
      <c r="A3230" s="1">
        <v>45690</v>
      </c>
      <c r="B3230">
        <v>4.33</v>
      </c>
    </row>
    <row r="3231" spans="1:2">
      <c r="A3231" s="1">
        <v>45691</v>
      </c>
      <c r="B3231">
        <v>4.33</v>
      </c>
    </row>
    <row r="3232" spans="1:2">
      <c r="A3232" s="1">
        <v>45692</v>
      </c>
      <c r="B3232">
        <v>4.33</v>
      </c>
    </row>
    <row r="3233" spans="1:2">
      <c r="A3233" s="1">
        <v>45693</v>
      </c>
      <c r="B3233">
        <v>4.33</v>
      </c>
    </row>
    <row r="3234" spans="1:2">
      <c r="A3234" s="1">
        <v>45694</v>
      </c>
      <c r="B3234">
        <v>4.33</v>
      </c>
    </row>
    <row r="3235" spans="1:2">
      <c r="A3235" s="1">
        <v>45695</v>
      </c>
      <c r="B3235">
        <v>4.33</v>
      </c>
    </row>
    <row r="3236" spans="1:2">
      <c r="A3236" s="1">
        <v>45696</v>
      </c>
      <c r="B3236">
        <v>4.33</v>
      </c>
    </row>
    <row r="3237" spans="1:2">
      <c r="A3237" s="1">
        <v>45697</v>
      </c>
      <c r="B3237">
        <v>4.33</v>
      </c>
    </row>
    <row r="3238" spans="1:2">
      <c r="A3238" s="1">
        <v>45698</v>
      </c>
      <c r="B3238">
        <v>4.33</v>
      </c>
    </row>
    <row r="3239" spans="1:2">
      <c r="A3239" s="1">
        <v>45699</v>
      </c>
      <c r="B3239">
        <v>4.33</v>
      </c>
    </row>
    <row r="3240" spans="1:2">
      <c r="A3240" s="1">
        <v>45700</v>
      </c>
      <c r="B3240">
        <v>4.33</v>
      </c>
    </row>
    <row r="3241" spans="1:2">
      <c r="A3241" s="1">
        <v>45701</v>
      </c>
      <c r="B3241">
        <v>4.33</v>
      </c>
    </row>
    <row r="3242" spans="1:2">
      <c r="A3242" s="1">
        <v>45702</v>
      </c>
      <c r="B3242">
        <v>4.33</v>
      </c>
    </row>
    <row r="3243" spans="1:2">
      <c r="A3243" s="1">
        <v>45703</v>
      </c>
      <c r="B3243">
        <v>4.33</v>
      </c>
    </row>
    <row r="3244" spans="1:2">
      <c r="A3244" s="1">
        <v>45704</v>
      </c>
      <c r="B3244">
        <v>4.33</v>
      </c>
    </row>
    <row r="3245" spans="1:2">
      <c r="A3245" s="1">
        <v>45705</v>
      </c>
      <c r="B3245">
        <v>4.33</v>
      </c>
    </row>
    <row r="3246" spans="1:2">
      <c r="A3246" s="1">
        <v>45706</v>
      </c>
      <c r="B3246">
        <v>4.33</v>
      </c>
    </row>
    <row r="3247" spans="1:2">
      <c r="A3247" s="1">
        <v>45707</v>
      </c>
      <c r="B3247">
        <v>4.33</v>
      </c>
    </row>
    <row r="3248" spans="1:2">
      <c r="A3248" s="1">
        <v>45708</v>
      </c>
      <c r="B3248">
        <v>4.33</v>
      </c>
    </row>
    <row r="3249" spans="1:2">
      <c r="A3249" s="1">
        <v>45709</v>
      </c>
      <c r="B3249">
        <v>4.33</v>
      </c>
    </row>
    <row r="3250" spans="1:2">
      <c r="A3250" s="1">
        <v>45710</v>
      </c>
      <c r="B3250">
        <v>4.33</v>
      </c>
    </row>
    <row r="3251" spans="1:2">
      <c r="A3251" s="1">
        <v>45711</v>
      </c>
      <c r="B3251">
        <v>4.33</v>
      </c>
    </row>
    <row r="3252" spans="1:2">
      <c r="A3252" s="1">
        <v>45712</v>
      </c>
      <c r="B3252">
        <v>4.33</v>
      </c>
    </row>
    <row r="3253" spans="1:2">
      <c r="A3253" s="1">
        <v>45713</v>
      </c>
      <c r="B3253">
        <v>4.33</v>
      </c>
    </row>
    <row r="3254" spans="1:2">
      <c r="A3254" s="1">
        <v>45714</v>
      </c>
      <c r="B3254">
        <v>4.33</v>
      </c>
    </row>
    <row r="3255" spans="1:2">
      <c r="A3255" s="1">
        <v>45715</v>
      </c>
      <c r="B3255">
        <v>4.33</v>
      </c>
    </row>
    <row r="3256" spans="1:2">
      <c r="A3256" s="1">
        <v>45716</v>
      </c>
      <c r="B3256">
        <v>4.33</v>
      </c>
    </row>
    <row r="3257" spans="1:2">
      <c r="A3257" s="1">
        <v>45717</v>
      </c>
      <c r="B3257">
        <v>4.33</v>
      </c>
    </row>
    <row r="3258" spans="1:2">
      <c r="A3258" s="1">
        <v>45718</v>
      </c>
      <c r="B3258">
        <v>4.33</v>
      </c>
    </row>
    <row r="3259" spans="1:2">
      <c r="A3259" s="1">
        <v>45719</v>
      </c>
      <c r="B3259">
        <v>4.33</v>
      </c>
    </row>
    <row r="3260" spans="1:2">
      <c r="A3260" s="1">
        <v>45720</v>
      </c>
      <c r="B3260">
        <v>4.33</v>
      </c>
    </row>
    <row r="3261" spans="1:2">
      <c r="A3261" s="1">
        <v>45721</v>
      </c>
      <c r="B3261">
        <v>4.33</v>
      </c>
    </row>
    <row r="3262" spans="1:2">
      <c r="A3262" s="1">
        <v>45722</v>
      </c>
      <c r="B3262">
        <v>4.33</v>
      </c>
    </row>
    <row r="3263" spans="1:2">
      <c r="A3263" s="1">
        <v>45723</v>
      </c>
      <c r="B3263">
        <v>4.33</v>
      </c>
    </row>
    <row r="3264" spans="1:2">
      <c r="A3264" s="1">
        <v>45724</v>
      </c>
      <c r="B3264">
        <v>4.33</v>
      </c>
    </row>
    <row r="3265" spans="1:2">
      <c r="A3265" s="1">
        <v>45725</v>
      </c>
      <c r="B3265">
        <v>4.33</v>
      </c>
    </row>
    <row r="3266" spans="1:2">
      <c r="A3266" s="1">
        <v>45726</v>
      </c>
      <c r="B3266">
        <v>4.33</v>
      </c>
    </row>
    <row r="3267" spans="1:2">
      <c r="A3267" s="1">
        <v>45727</v>
      </c>
      <c r="B3267">
        <v>4.33</v>
      </c>
    </row>
    <row r="3268" spans="1:2">
      <c r="A3268" s="1">
        <v>45728</v>
      </c>
      <c r="B3268">
        <v>4.33</v>
      </c>
    </row>
    <row r="3269" spans="1:2">
      <c r="A3269" s="1">
        <v>45729</v>
      </c>
      <c r="B3269">
        <v>4.33</v>
      </c>
    </row>
    <row r="3270" spans="1:2">
      <c r="A3270" s="1">
        <v>45730</v>
      </c>
      <c r="B3270">
        <v>4.33</v>
      </c>
    </row>
    <row r="3271" spans="1:2">
      <c r="A3271" s="1">
        <v>45731</v>
      </c>
      <c r="B3271">
        <v>4.33</v>
      </c>
    </row>
    <row r="3272" spans="1:2">
      <c r="A3272" s="1">
        <v>45732</v>
      </c>
      <c r="B3272">
        <v>4.33</v>
      </c>
    </row>
    <row r="3273" spans="1:2">
      <c r="A3273" s="1">
        <v>45733</v>
      </c>
      <c r="B3273">
        <v>4.33</v>
      </c>
    </row>
    <row r="3274" spans="1:2">
      <c r="A3274" s="1">
        <v>45734</v>
      </c>
      <c r="B3274">
        <v>4.33</v>
      </c>
    </row>
    <row r="3275" spans="1:2">
      <c r="A3275" s="1">
        <v>45735</v>
      </c>
      <c r="B3275">
        <v>4.33</v>
      </c>
    </row>
    <row r="3276" spans="1:2">
      <c r="A3276" s="1">
        <v>45736</v>
      </c>
      <c r="B3276">
        <v>4.33</v>
      </c>
    </row>
    <row r="3277" spans="1:2">
      <c r="A3277" s="1">
        <v>45737</v>
      </c>
      <c r="B3277">
        <v>4.33</v>
      </c>
    </row>
    <row r="3278" spans="1:2">
      <c r="A3278" s="1">
        <v>45738</v>
      </c>
      <c r="B3278">
        <v>4.33</v>
      </c>
    </row>
    <row r="3279" spans="1:2">
      <c r="A3279" s="1">
        <v>45739</v>
      </c>
      <c r="B3279">
        <v>4.33</v>
      </c>
    </row>
    <row r="3280" spans="1:2">
      <c r="A3280" s="1">
        <v>45740</v>
      </c>
      <c r="B3280">
        <v>4.33</v>
      </c>
    </row>
    <row r="3281" spans="1:2">
      <c r="A3281" s="1">
        <v>45741</v>
      </c>
      <c r="B3281">
        <v>4.33</v>
      </c>
    </row>
    <row r="3282" spans="1:2">
      <c r="A3282" s="1">
        <v>45742</v>
      </c>
      <c r="B3282">
        <v>4.33</v>
      </c>
    </row>
    <row r="3283" spans="1:2">
      <c r="A3283" s="1">
        <v>45743</v>
      </c>
      <c r="B3283">
        <v>4.33</v>
      </c>
    </row>
    <row r="3284" spans="1:2">
      <c r="A3284" s="1">
        <v>45744</v>
      </c>
      <c r="B3284">
        <v>4.33</v>
      </c>
    </row>
    <row r="3285" spans="1:2">
      <c r="A3285" s="1">
        <v>45745</v>
      </c>
      <c r="B3285">
        <v>4.33</v>
      </c>
    </row>
    <row r="3286" spans="1:2">
      <c r="A3286" s="1">
        <v>45746</v>
      </c>
      <c r="B3286">
        <v>4.33</v>
      </c>
    </row>
    <row r="3287" spans="1:2">
      <c r="A3287" s="1">
        <v>45747</v>
      </c>
      <c r="B3287">
        <v>4.33</v>
      </c>
    </row>
    <row r="3288" spans="1:2">
      <c r="A3288" s="1">
        <v>45748</v>
      </c>
      <c r="B3288">
        <v>4.33</v>
      </c>
    </row>
    <row r="3289" spans="1:2">
      <c r="A3289" s="1">
        <v>45749</v>
      </c>
      <c r="B3289">
        <v>4.33</v>
      </c>
    </row>
    <row r="3290" spans="1:2">
      <c r="A3290" s="1">
        <v>45750</v>
      </c>
      <c r="B3290">
        <v>4.33</v>
      </c>
    </row>
    <row r="3291" spans="1:2">
      <c r="A3291" s="1">
        <v>45751</v>
      </c>
      <c r="B3291">
        <v>4.33</v>
      </c>
    </row>
    <row r="3292" spans="1:2">
      <c r="A3292" s="1">
        <v>45752</v>
      </c>
      <c r="B3292">
        <v>4.33</v>
      </c>
    </row>
    <row r="3293" spans="1:2">
      <c r="A3293" s="1">
        <v>45753</v>
      </c>
      <c r="B3293">
        <v>4.33</v>
      </c>
    </row>
    <row r="3294" spans="1:2">
      <c r="A3294" s="1">
        <v>45754</v>
      </c>
      <c r="B3294">
        <v>4.33</v>
      </c>
    </row>
    <row r="3295" spans="1:2">
      <c r="A3295" s="1">
        <v>45755</v>
      </c>
      <c r="B3295">
        <v>4.33</v>
      </c>
    </row>
    <row r="3296" spans="1:2">
      <c r="A3296" s="1">
        <v>45756</v>
      </c>
      <c r="B3296">
        <v>4.33</v>
      </c>
    </row>
    <row r="3297" spans="1:2">
      <c r="A3297" s="1">
        <v>45757</v>
      </c>
      <c r="B3297">
        <v>4.33</v>
      </c>
    </row>
    <row r="3298" spans="1:2">
      <c r="A3298" s="1">
        <v>45758</v>
      </c>
      <c r="B3298">
        <v>4.33</v>
      </c>
    </row>
    <row r="3299" spans="1:2">
      <c r="A3299" s="1">
        <v>45759</v>
      </c>
      <c r="B3299">
        <v>4.33</v>
      </c>
    </row>
    <row r="3300" spans="1:2">
      <c r="A3300" s="1">
        <v>45760</v>
      </c>
      <c r="B3300">
        <v>4.33</v>
      </c>
    </row>
    <row r="3301" spans="1:2">
      <c r="A3301" s="1">
        <v>45761</v>
      </c>
      <c r="B3301">
        <v>4.33</v>
      </c>
    </row>
    <row r="3302" spans="1:2">
      <c r="A3302" s="1">
        <v>45762</v>
      </c>
      <c r="B3302">
        <v>4.33</v>
      </c>
    </row>
    <row r="3303" spans="1:2">
      <c r="A3303" s="1">
        <v>45763</v>
      </c>
      <c r="B3303">
        <v>4.33</v>
      </c>
    </row>
    <row r="3304" spans="1:2">
      <c r="A3304" s="1">
        <v>45764</v>
      </c>
      <c r="B3304">
        <v>4.33</v>
      </c>
    </row>
    <row r="3305" spans="1:2">
      <c r="A3305" s="1">
        <v>45765</v>
      </c>
      <c r="B3305">
        <v>4.33</v>
      </c>
    </row>
    <row r="3306" spans="1:2">
      <c r="A3306" s="1">
        <v>45766</v>
      </c>
      <c r="B3306">
        <v>4.33</v>
      </c>
    </row>
    <row r="3307" spans="1:2">
      <c r="A3307" s="1">
        <v>45767</v>
      </c>
      <c r="B3307">
        <v>4.33</v>
      </c>
    </row>
    <row r="3308" spans="1:2">
      <c r="A3308" s="1">
        <v>45768</v>
      </c>
      <c r="B3308">
        <v>4.33</v>
      </c>
    </row>
    <row r="3309" spans="1:2">
      <c r="A3309" s="1">
        <v>45769</v>
      </c>
      <c r="B3309">
        <v>4.33</v>
      </c>
    </row>
    <row r="3310" spans="1:2">
      <c r="A3310" s="1">
        <v>45770</v>
      </c>
      <c r="B3310">
        <v>4.33</v>
      </c>
    </row>
    <row r="3311" spans="1:2">
      <c r="A3311" s="1">
        <v>45771</v>
      </c>
      <c r="B3311">
        <v>4.33</v>
      </c>
    </row>
    <row r="3312" spans="1:2">
      <c r="A3312" s="1">
        <v>45772</v>
      </c>
      <c r="B3312">
        <v>4.33</v>
      </c>
    </row>
    <row r="3313" spans="1:2">
      <c r="A3313" s="1">
        <v>45773</v>
      </c>
      <c r="B3313">
        <v>4.33</v>
      </c>
    </row>
    <row r="3314" spans="1:2">
      <c r="A3314" s="1">
        <v>45774</v>
      </c>
      <c r="B3314">
        <v>4.33</v>
      </c>
    </row>
    <row r="3315" spans="1:2">
      <c r="A3315" s="1">
        <v>45775</v>
      </c>
      <c r="B3315">
        <v>4.33</v>
      </c>
    </row>
    <row r="3316" spans="1:2">
      <c r="A3316" s="1">
        <v>45776</v>
      </c>
      <c r="B3316">
        <v>4.33</v>
      </c>
    </row>
    <row r="3317" spans="1:2">
      <c r="A3317" s="1">
        <v>45777</v>
      </c>
      <c r="B3317">
        <v>4.33</v>
      </c>
    </row>
    <row r="3318" spans="1:2">
      <c r="A3318" s="1">
        <v>45778</v>
      </c>
      <c r="B3318">
        <v>4.33</v>
      </c>
    </row>
    <row r="3319" spans="1:2">
      <c r="A3319" s="1">
        <v>45779</v>
      </c>
      <c r="B3319">
        <v>4.33</v>
      </c>
    </row>
    <row r="3320" spans="1:2">
      <c r="A3320" s="1">
        <v>45780</v>
      </c>
      <c r="B3320">
        <v>4.33</v>
      </c>
    </row>
    <row r="3321" spans="1:2">
      <c r="A3321" s="1">
        <v>45781</v>
      </c>
      <c r="B3321">
        <v>4.33</v>
      </c>
    </row>
    <row r="3322" spans="1:2">
      <c r="A3322" s="1">
        <v>45782</v>
      </c>
      <c r="B3322">
        <v>4.33</v>
      </c>
    </row>
    <row r="3323" spans="1:2">
      <c r="A3323" s="1">
        <v>45783</v>
      </c>
      <c r="B3323">
        <v>4.33</v>
      </c>
    </row>
    <row r="3324" spans="1:2">
      <c r="A3324" s="1">
        <v>45784</v>
      </c>
      <c r="B3324">
        <v>4.33</v>
      </c>
    </row>
    <row r="3325" spans="1:2">
      <c r="A3325" s="1">
        <v>45785</v>
      </c>
      <c r="B3325">
        <v>4.33</v>
      </c>
    </row>
    <row r="3326" spans="1:2">
      <c r="A3326" s="1">
        <v>45786</v>
      </c>
      <c r="B3326">
        <v>4.33</v>
      </c>
    </row>
    <row r="3327" spans="1:2">
      <c r="A3327" s="1">
        <v>45787</v>
      </c>
      <c r="B3327">
        <v>4.33</v>
      </c>
    </row>
    <row r="3328" spans="1:2">
      <c r="A3328" s="1">
        <v>45788</v>
      </c>
      <c r="B3328">
        <v>4.33</v>
      </c>
    </row>
    <row r="3329" spans="1:2">
      <c r="A3329" s="1">
        <v>45789</v>
      </c>
      <c r="B3329">
        <v>4.33</v>
      </c>
    </row>
    <row r="3330" spans="1:2">
      <c r="A3330" s="1">
        <v>45790</v>
      </c>
      <c r="B3330">
        <v>4.33</v>
      </c>
    </row>
    <row r="3331" spans="1:2">
      <c r="A3331" s="1">
        <v>45791</v>
      </c>
      <c r="B3331">
        <v>4.33</v>
      </c>
    </row>
    <row r="3332" spans="1:2">
      <c r="A3332" s="1">
        <v>45792</v>
      </c>
      <c r="B3332">
        <v>4.33</v>
      </c>
    </row>
    <row r="3333" spans="1:2">
      <c r="A3333" s="1">
        <v>45793</v>
      </c>
      <c r="B3333">
        <v>4.33</v>
      </c>
    </row>
    <row r="3334" spans="1:2">
      <c r="A3334" s="1">
        <v>45794</v>
      </c>
      <c r="B3334">
        <v>4.33</v>
      </c>
    </row>
    <row r="3335" spans="1:2">
      <c r="A3335" s="1">
        <v>45795</v>
      </c>
      <c r="B3335">
        <v>4.33</v>
      </c>
    </row>
    <row r="3336" spans="1:2">
      <c r="A3336" s="1">
        <v>45796</v>
      </c>
      <c r="B3336">
        <v>4.33</v>
      </c>
    </row>
    <row r="3337" spans="1:2">
      <c r="A3337" s="1">
        <v>45797</v>
      </c>
      <c r="B3337">
        <v>4.33</v>
      </c>
    </row>
    <row r="3338" spans="1:2">
      <c r="A3338" s="1">
        <v>45798</v>
      </c>
      <c r="B3338">
        <v>4.33</v>
      </c>
    </row>
    <row r="3339" spans="1:2">
      <c r="A3339" s="1">
        <v>45799</v>
      </c>
      <c r="B3339">
        <v>4.33</v>
      </c>
    </row>
    <row r="3340" spans="1:2">
      <c r="A3340" s="1">
        <v>45800</v>
      </c>
      <c r="B3340">
        <v>4.33</v>
      </c>
    </row>
    <row r="3341" spans="1:2">
      <c r="A3341" s="1">
        <v>45801</v>
      </c>
      <c r="B3341">
        <v>4.33</v>
      </c>
    </row>
    <row r="3342" spans="1:2">
      <c r="A3342" s="1">
        <v>45802</v>
      </c>
      <c r="B3342">
        <v>4.33</v>
      </c>
    </row>
    <row r="3343" spans="1:2">
      <c r="A3343" s="1">
        <v>45803</v>
      </c>
      <c r="B3343">
        <v>4.33</v>
      </c>
    </row>
    <row r="3344" spans="1:2">
      <c r="A3344" s="1">
        <v>45804</v>
      </c>
      <c r="B3344">
        <v>4.33</v>
      </c>
    </row>
    <row r="3345" spans="1:2">
      <c r="A3345" s="1">
        <v>45805</v>
      </c>
      <c r="B3345">
        <v>4.33</v>
      </c>
    </row>
    <row r="3346" spans="1:2">
      <c r="A3346" s="1">
        <v>45806</v>
      </c>
      <c r="B3346">
        <v>4.33</v>
      </c>
    </row>
    <row r="3347" spans="1:2">
      <c r="A3347" s="1">
        <v>45807</v>
      </c>
      <c r="B3347">
        <v>4.33</v>
      </c>
    </row>
    <row r="3348" spans="1:2">
      <c r="A3348" s="1">
        <v>45808</v>
      </c>
      <c r="B3348">
        <v>4.33</v>
      </c>
    </row>
    <row r="3349" spans="1:2">
      <c r="A3349" s="1">
        <v>45809</v>
      </c>
      <c r="B3349">
        <v>4.33</v>
      </c>
    </row>
    <row r="3350" spans="1:2">
      <c r="A3350" s="1">
        <v>45810</v>
      </c>
      <c r="B3350">
        <v>4.33</v>
      </c>
    </row>
    <row r="3351" spans="1:2">
      <c r="A3351" s="1">
        <v>45811</v>
      </c>
      <c r="B3351">
        <v>4.33</v>
      </c>
    </row>
    <row r="3352" spans="1:2">
      <c r="A3352" s="1">
        <v>45812</v>
      </c>
      <c r="B3352">
        <v>4.33</v>
      </c>
    </row>
    <row r="3353" spans="1:2">
      <c r="A3353" s="1">
        <v>45813</v>
      </c>
      <c r="B3353">
        <v>4.33</v>
      </c>
    </row>
    <row r="3354" spans="1:2">
      <c r="A3354" s="1">
        <v>45814</v>
      </c>
      <c r="B3354">
        <v>4.33</v>
      </c>
    </row>
    <row r="3355" spans="1:2">
      <c r="A3355" s="1">
        <v>45815</v>
      </c>
      <c r="B3355">
        <v>4.33</v>
      </c>
    </row>
    <row r="3356" spans="1:2">
      <c r="A3356" s="1">
        <v>45816</v>
      </c>
      <c r="B3356">
        <v>4.33</v>
      </c>
    </row>
    <row r="3357" spans="1:2">
      <c r="A3357" s="1">
        <v>45817</v>
      </c>
      <c r="B3357">
        <v>4.33</v>
      </c>
    </row>
    <row r="3358" spans="1:2">
      <c r="A3358" s="1">
        <v>45818</v>
      </c>
      <c r="B3358">
        <v>4.33</v>
      </c>
    </row>
    <row r="3359" spans="1:2">
      <c r="A3359" s="1">
        <v>45819</v>
      </c>
      <c r="B3359">
        <v>4.33</v>
      </c>
    </row>
    <row r="3360" spans="1:2">
      <c r="A3360" s="1">
        <v>45820</v>
      </c>
      <c r="B3360">
        <v>4.33</v>
      </c>
    </row>
    <row r="3361" spans="1:2">
      <c r="A3361" s="1">
        <v>45821</v>
      </c>
      <c r="B3361">
        <v>4.33</v>
      </c>
    </row>
    <row r="3362" spans="1:2">
      <c r="A3362" s="1">
        <v>45822</v>
      </c>
      <c r="B3362">
        <v>4.33</v>
      </c>
    </row>
    <row r="3363" spans="1:2">
      <c r="A3363" s="1">
        <v>45823</v>
      </c>
      <c r="B3363">
        <v>4.33</v>
      </c>
    </row>
    <row r="3364" spans="1:2">
      <c r="A3364" s="1">
        <v>45824</v>
      </c>
      <c r="B3364">
        <v>4.33</v>
      </c>
    </row>
    <row r="3365" spans="1:2">
      <c r="A3365" s="1">
        <v>45825</v>
      </c>
      <c r="B3365">
        <v>4.33</v>
      </c>
    </row>
    <row r="3366" spans="1:2">
      <c r="A3366" s="1">
        <v>45826</v>
      </c>
      <c r="B3366">
        <v>4.33</v>
      </c>
    </row>
    <row r="3367" spans="1:2">
      <c r="A3367" s="1">
        <v>45827</v>
      </c>
      <c r="B3367">
        <v>4.33</v>
      </c>
    </row>
    <row r="3368" spans="1:2">
      <c r="A3368" s="1">
        <v>45828</v>
      </c>
      <c r="B3368">
        <v>4.33</v>
      </c>
    </row>
    <row r="3369" spans="1:2">
      <c r="A3369" s="1">
        <v>45829</v>
      </c>
      <c r="B3369">
        <v>4.33</v>
      </c>
    </row>
    <row r="3370" spans="1:2">
      <c r="A3370" s="1">
        <v>45830</v>
      </c>
      <c r="B3370">
        <v>4.33</v>
      </c>
    </row>
    <row r="3371" spans="1:2">
      <c r="A3371" s="1">
        <v>45831</v>
      </c>
      <c r="B3371">
        <v>4.33</v>
      </c>
    </row>
    <row r="3372" spans="1:2">
      <c r="A3372" s="1">
        <v>45832</v>
      </c>
      <c r="B3372">
        <v>4.33</v>
      </c>
    </row>
    <row r="3373" spans="1:2">
      <c r="A3373" s="1">
        <v>45833</v>
      </c>
      <c r="B3373">
        <v>4.33</v>
      </c>
    </row>
    <row r="3374" spans="1:2">
      <c r="A3374" s="1">
        <v>45834</v>
      </c>
      <c r="B3374">
        <v>4.33</v>
      </c>
    </row>
    <row r="3375" spans="1:2">
      <c r="A3375" s="1">
        <v>45835</v>
      </c>
      <c r="B3375">
        <v>4.33</v>
      </c>
    </row>
    <row r="3376" spans="1:2">
      <c r="A3376" s="1">
        <v>45836</v>
      </c>
      <c r="B3376">
        <v>4.33</v>
      </c>
    </row>
    <row r="3377" spans="1:2">
      <c r="A3377" s="1">
        <v>45837</v>
      </c>
      <c r="B3377">
        <v>4.33</v>
      </c>
    </row>
    <row r="3378" spans="1:2">
      <c r="A3378" s="1">
        <v>45838</v>
      </c>
      <c r="B3378">
        <v>4.33</v>
      </c>
    </row>
    <row r="3379" spans="1:2">
      <c r="A3379" s="1">
        <v>45839</v>
      </c>
      <c r="B3379">
        <v>4.33</v>
      </c>
    </row>
    <row r="3380" spans="1:2">
      <c r="A3380" s="1">
        <v>45840</v>
      </c>
      <c r="B3380">
        <v>4.33</v>
      </c>
    </row>
    <row r="3381" spans="1:2">
      <c r="A3381" s="1">
        <v>45841</v>
      </c>
      <c r="B3381">
        <v>4.33</v>
      </c>
    </row>
    <row r="3382" spans="1:2">
      <c r="A3382" s="1">
        <v>45842</v>
      </c>
      <c r="B3382">
        <v>4.33</v>
      </c>
    </row>
    <row r="3383" spans="1:2">
      <c r="A3383" s="1">
        <v>45843</v>
      </c>
      <c r="B3383">
        <v>4.33</v>
      </c>
    </row>
    <row r="3384" spans="1:2">
      <c r="A3384" s="1">
        <v>45844</v>
      </c>
      <c r="B3384">
        <v>4.33</v>
      </c>
    </row>
    <row r="3385" spans="1:2">
      <c r="A3385" s="1">
        <v>45845</v>
      </c>
      <c r="B3385">
        <v>4.33</v>
      </c>
    </row>
    <row r="3386" spans="1:2">
      <c r="A3386" s="1">
        <v>45846</v>
      </c>
      <c r="B3386">
        <v>4.33</v>
      </c>
    </row>
    <row r="3387" spans="1:2">
      <c r="A3387" s="1">
        <v>45847</v>
      </c>
      <c r="B3387">
        <v>4.33</v>
      </c>
    </row>
    <row r="3388" spans="1:2">
      <c r="A3388" s="1">
        <v>45848</v>
      </c>
      <c r="B3388">
        <v>4.33</v>
      </c>
    </row>
    <row r="3389" spans="1:2">
      <c r="A3389" s="1">
        <v>45849</v>
      </c>
      <c r="B3389">
        <v>4.33</v>
      </c>
    </row>
    <row r="3390" spans="1:2">
      <c r="A3390" s="1">
        <v>45850</v>
      </c>
      <c r="B3390">
        <v>4.33</v>
      </c>
    </row>
    <row r="3391" spans="1:2">
      <c r="A3391" s="1">
        <v>45851</v>
      </c>
      <c r="B3391">
        <v>4.33</v>
      </c>
    </row>
    <row r="3392" spans="1:2">
      <c r="A3392" s="1">
        <v>45852</v>
      </c>
      <c r="B3392">
        <v>4.33</v>
      </c>
    </row>
    <row r="3393" spans="1:2">
      <c r="A3393" s="1">
        <v>45853</v>
      </c>
      <c r="B3393">
        <v>4.33</v>
      </c>
    </row>
    <row r="3394" spans="1:2">
      <c r="A3394" s="1">
        <v>45854</v>
      </c>
      <c r="B3394">
        <v>4.33</v>
      </c>
    </row>
    <row r="3395" spans="1:2">
      <c r="A3395" s="1">
        <v>45855</v>
      </c>
      <c r="B3395">
        <v>4.33</v>
      </c>
    </row>
    <row r="3396" spans="1:2">
      <c r="A3396" s="1">
        <v>45856</v>
      </c>
      <c r="B3396">
        <v>4.33</v>
      </c>
    </row>
    <row r="3397" spans="1:2">
      <c r="A3397" s="1">
        <v>45857</v>
      </c>
      <c r="B3397">
        <v>4.33</v>
      </c>
    </row>
    <row r="3398" spans="1:2">
      <c r="A3398" s="1">
        <v>45858</v>
      </c>
      <c r="B3398">
        <v>4.33</v>
      </c>
    </row>
    <row r="3399" spans="1:2">
      <c r="A3399" s="1">
        <v>45859</v>
      </c>
      <c r="B3399">
        <v>4.33</v>
      </c>
    </row>
    <row r="3400" spans="1:2">
      <c r="A3400" s="1">
        <v>45860</v>
      </c>
      <c r="B3400">
        <v>4.33</v>
      </c>
    </row>
    <row r="3401" spans="1:2">
      <c r="A3401" s="1">
        <v>45861</v>
      </c>
      <c r="B3401">
        <v>4.33</v>
      </c>
    </row>
    <row r="3402" spans="1:2">
      <c r="A3402" s="1">
        <v>45862</v>
      </c>
      <c r="B3402">
        <v>4.33</v>
      </c>
    </row>
    <row r="3403" spans="1:2">
      <c r="A3403" s="1">
        <v>45863</v>
      </c>
      <c r="B3403">
        <v>4.33</v>
      </c>
    </row>
    <row r="3404" spans="1:2">
      <c r="A3404" s="1">
        <v>45864</v>
      </c>
      <c r="B3404">
        <v>4.33</v>
      </c>
    </row>
    <row r="3405" spans="1:2">
      <c r="A3405" s="1">
        <v>45865</v>
      </c>
      <c r="B3405">
        <v>4.33</v>
      </c>
    </row>
    <row r="3406" spans="1:2">
      <c r="A3406" s="1">
        <v>45866</v>
      </c>
      <c r="B3406">
        <v>4.33</v>
      </c>
    </row>
    <row r="3407" spans="1:2">
      <c r="A3407" s="1">
        <v>45867</v>
      </c>
      <c r="B3407">
        <v>4.33</v>
      </c>
    </row>
    <row r="3408" spans="1:2">
      <c r="A3408" s="1">
        <v>45868</v>
      </c>
      <c r="B3408">
        <v>4.33</v>
      </c>
    </row>
    <row r="3409" spans="1:2">
      <c r="A3409" s="1">
        <v>45869</v>
      </c>
      <c r="B3409">
        <v>4.33</v>
      </c>
    </row>
    <row r="3410" spans="1:2">
      <c r="A3410" s="1">
        <v>45870</v>
      </c>
      <c r="B3410">
        <v>4.33</v>
      </c>
    </row>
    <row r="3411" spans="1:2">
      <c r="A3411" s="1">
        <v>45871</v>
      </c>
      <c r="B3411">
        <v>4.33</v>
      </c>
    </row>
    <row r="3412" spans="1:2">
      <c r="A3412" s="1">
        <v>45872</v>
      </c>
      <c r="B3412">
        <v>4.33</v>
      </c>
    </row>
    <row r="3413" spans="1:2">
      <c r="A3413" s="1">
        <v>45873</v>
      </c>
      <c r="B3413">
        <v>4.33</v>
      </c>
    </row>
    <row r="3414" spans="1:2">
      <c r="A3414" s="1">
        <v>45874</v>
      </c>
      <c r="B3414">
        <v>4.33</v>
      </c>
    </row>
    <row r="3415" spans="1:2">
      <c r="A3415" s="1">
        <v>45875</v>
      </c>
      <c r="B3415">
        <v>4.33</v>
      </c>
    </row>
    <row r="3416" spans="1:2">
      <c r="A3416" s="1">
        <v>45876</v>
      </c>
      <c r="B3416">
        <v>4.33</v>
      </c>
    </row>
    <row r="3417" spans="1:2">
      <c r="A3417" s="1">
        <v>45877</v>
      </c>
      <c r="B3417">
        <v>4.33</v>
      </c>
    </row>
    <row r="3418" spans="1:2">
      <c r="A3418" s="1">
        <v>45878</v>
      </c>
      <c r="B3418">
        <v>4.33</v>
      </c>
    </row>
    <row r="3419" spans="1:2">
      <c r="A3419" s="1">
        <v>45879</v>
      </c>
      <c r="B3419">
        <v>4.33</v>
      </c>
    </row>
    <row r="3420" spans="1:2">
      <c r="A3420" s="1">
        <v>45880</v>
      </c>
      <c r="B3420">
        <v>4.33</v>
      </c>
    </row>
    <row r="3421" spans="1:2">
      <c r="A3421" s="1">
        <v>45881</v>
      </c>
      <c r="B3421">
        <v>4.33</v>
      </c>
    </row>
    <row r="3422" spans="1:2">
      <c r="A3422" s="1">
        <v>45882</v>
      </c>
      <c r="B3422">
        <v>4.33</v>
      </c>
    </row>
    <row r="3423" spans="1:2">
      <c r="A3423" s="1">
        <v>45883</v>
      </c>
      <c r="B3423">
        <v>4.33</v>
      </c>
    </row>
    <row r="3424" spans="1:2">
      <c r="A3424" s="1">
        <v>45884</v>
      </c>
      <c r="B3424">
        <v>4.33</v>
      </c>
    </row>
    <row r="3425" spans="1:2">
      <c r="A3425" s="1">
        <v>45885</v>
      </c>
      <c r="B3425">
        <v>4.33</v>
      </c>
    </row>
    <row r="3426" spans="1:2">
      <c r="A3426" s="1">
        <v>45886</v>
      </c>
      <c r="B3426">
        <v>4.33</v>
      </c>
    </row>
    <row r="3427" spans="1:2">
      <c r="A3427" s="1">
        <v>45887</v>
      </c>
      <c r="B3427">
        <v>4.33</v>
      </c>
    </row>
    <row r="3428" spans="1:2">
      <c r="A3428" s="1">
        <v>45888</v>
      </c>
      <c r="B3428">
        <v>4.33</v>
      </c>
    </row>
    <row r="3429" spans="1:2">
      <c r="A3429" s="1">
        <v>45889</v>
      </c>
      <c r="B3429">
        <v>4.33</v>
      </c>
    </row>
    <row r="3430" spans="1:2">
      <c r="A3430" s="1">
        <v>45890</v>
      </c>
      <c r="B3430">
        <v>4.33</v>
      </c>
    </row>
    <row r="3431" spans="1:2">
      <c r="A3431" s="1">
        <v>45891</v>
      </c>
      <c r="B3431">
        <v>4.33</v>
      </c>
    </row>
    <row r="3432" spans="1:2">
      <c r="A3432" s="1">
        <v>45892</v>
      </c>
      <c r="B3432">
        <v>4.33</v>
      </c>
    </row>
    <row r="3433" spans="1:2">
      <c r="A3433" s="1">
        <v>45893</v>
      </c>
      <c r="B3433">
        <v>4.33</v>
      </c>
    </row>
    <row r="3434" spans="1:2">
      <c r="A3434" s="1">
        <v>45894</v>
      </c>
      <c r="B3434">
        <v>4.33</v>
      </c>
    </row>
    <row r="3435" spans="1:2">
      <c r="A3435" s="1">
        <v>45895</v>
      </c>
      <c r="B3435">
        <v>4.33</v>
      </c>
    </row>
    <row r="3436" spans="1:2">
      <c r="A3436" s="1">
        <v>45896</v>
      </c>
      <c r="B3436">
        <v>4.33</v>
      </c>
    </row>
    <row r="3437" spans="1:2">
      <c r="A3437" s="1">
        <v>45897</v>
      </c>
      <c r="B3437">
        <v>4.33</v>
      </c>
    </row>
    <row r="3438" spans="1:2">
      <c r="A3438" s="1">
        <v>45898</v>
      </c>
      <c r="B3438">
        <v>4.33</v>
      </c>
    </row>
    <row r="3439" spans="1:2">
      <c r="A3439" s="1">
        <v>45899</v>
      </c>
      <c r="B3439">
        <v>4.33</v>
      </c>
    </row>
    <row r="3440" spans="1:2">
      <c r="A3440" s="1">
        <v>45900</v>
      </c>
      <c r="B3440">
        <v>4.33</v>
      </c>
    </row>
    <row r="3441" spans="1:2">
      <c r="A3441" s="1">
        <v>45901</v>
      </c>
      <c r="B3441">
        <v>4.33</v>
      </c>
    </row>
    <row r="3442" spans="1:2">
      <c r="A3442" s="1">
        <v>45902</v>
      </c>
      <c r="B3442">
        <v>4.33</v>
      </c>
    </row>
    <row r="3443" spans="1:2">
      <c r="A3443" s="1">
        <v>45903</v>
      </c>
      <c r="B3443">
        <v>4.33</v>
      </c>
    </row>
    <row r="3444" spans="1:2">
      <c r="A3444" s="1">
        <v>45904</v>
      </c>
      <c r="B3444">
        <v>4.33</v>
      </c>
    </row>
    <row r="3445" spans="1:2">
      <c r="A3445" s="1">
        <v>45905</v>
      </c>
      <c r="B3445">
        <v>4.33</v>
      </c>
    </row>
    <row r="3446" spans="1:2">
      <c r="A3446" s="1">
        <v>45906</v>
      </c>
      <c r="B3446">
        <v>4.33</v>
      </c>
    </row>
    <row r="3447" spans="1:2">
      <c r="A3447" s="1">
        <v>45907</v>
      </c>
      <c r="B3447">
        <v>4.33</v>
      </c>
    </row>
    <row r="3448" spans="1:2">
      <c r="A3448" s="1">
        <v>45908</v>
      </c>
      <c r="B3448">
        <v>4.33</v>
      </c>
    </row>
    <row r="3449" spans="1:2">
      <c r="A3449" s="1">
        <v>45909</v>
      </c>
      <c r="B3449">
        <v>4.33</v>
      </c>
    </row>
    <row r="3450" spans="1:2">
      <c r="A3450" s="1">
        <v>45910</v>
      </c>
      <c r="B3450">
        <v>4.33</v>
      </c>
    </row>
    <row r="3451" spans="1:2">
      <c r="A3451" s="1">
        <v>45911</v>
      </c>
      <c r="B3451">
        <v>4.33</v>
      </c>
    </row>
    <row r="3452" spans="1:2">
      <c r="A3452" s="1">
        <v>45912</v>
      </c>
      <c r="B3452">
        <v>4.33</v>
      </c>
    </row>
    <row r="3453" spans="1:2">
      <c r="A3453" s="1">
        <v>45913</v>
      </c>
      <c r="B3453">
        <v>4.33</v>
      </c>
    </row>
    <row r="3454" spans="1:2">
      <c r="A3454" s="1">
        <v>45914</v>
      </c>
      <c r="B3454">
        <v>4.33</v>
      </c>
    </row>
    <row r="3455" spans="1:2">
      <c r="A3455" s="1">
        <v>45915</v>
      </c>
      <c r="B3455">
        <v>4.33</v>
      </c>
    </row>
    <row r="3456" spans="1:2">
      <c r="A3456" s="1">
        <v>45916</v>
      </c>
      <c r="B3456">
        <v>4.33</v>
      </c>
    </row>
    <row r="3457" spans="1:2">
      <c r="A3457" s="1">
        <v>45917</v>
      </c>
      <c r="B3457">
        <v>4.33</v>
      </c>
    </row>
    <row r="3458" spans="1:2">
      <c r="A3458" s="1">
        <v>45918</v>
      </c>
      <c r="B3458">
        <v>4.08</v>
      </c>
    </row>
    <row r="3459" spans="1:2">
      <c r="A3459" s="1">
        <v>45919</v>
      </c>
      <c r="B3459">
        <v>4.08</v>
      </c>
    </row>
    <row r="3460" spans="1:2">
      <c r="A3460" s="1">
        <v>45920</v>
      </c>
      <c r="B3460">
        <v>4.08</v>
      </c>
    </row>
    <row r="3461" spans="1:2">
      <c r="A3461" s="1">
        <v>45921</v>
      </c>
      <c r="B3461">
        <v>4.08</v>
      </c>
    </row>
    <row r="3462" spans="1:2">
      <c r="A3462" s="1">
        <v>45922</v>
      </c>
      <c r="B3462">
        <v>4.09</v>
      </c>
    </row>
    <row r="3463" spans="1:2">
      <c r="A3463" s="1">
        <v>45923</v>
      </c>
      <c r="B3463">
        <v>4.09</v>
      </c>
    </row>
    <row r="3464" spans="1:2">
      <c r="A3464" s="1">
        <v>45924</v>
      </c>
      <c r="B3464">
        <v>4.09</v>
      </c>
    </row>
    <row r="3465" spans="1:2">
      <c r="A3465" s="1">
        <v>45925</v>
      </c>
      <c r="B3465">
        <v>4.09</v>
      </c>
    </row>
    <row r="3466" spans="1:2">
      <c r="A3466" s="1">
        <v>45926</v>
      </c>
      <c r="B3466">
        <v>4.09</v>
      </c>
    </row>
    <row r="3467" spans="1:2">
      <c r="A3467" s="1">
        <v>45927</v>
      </c>
      <c r="B3467">
        <v>4.09</v>
      </c>
    </row>
    <row r="3468" spans="1:2">
      <c r="A3468" s="1">
        <v>45928</v>
      </c>
      <c r="B3468">
        <v>4.09</v>
      </c>
    </row>
    <row r="3469" spans="1:2">
      <c r="A3469" s="1">
        <v>45929</v>
      </c>
      <c r="B3469">
        <v>4.09</v>
      </c>
    </row>
    <row r="3470" spans="1:2">
      <c r="A3470" s="1">
        <v>45930</v>
      </c>
      <c r="B3470">
        <v>4.09</v>
      </c>
    </row>
    <row r="3471" spans="1:2">
      <c r="A3471" s="1">
        <v>45931</v>
      </c>
      <c r="B3471">
        <v>4.09</v>
      </c>
    </row>
    <row r="3472" spans="1:2">
      <c r="A3472" s="1">
        <v>45932</v>
      </c>
      <c r="B3472">
        <v>4.09</v>
      </c>
    </row>
    <row r="3473" spans="1:2">
      <c r="A3473" s="1">
        <v>45933</v>
      </c>
      <c r="B3473">
        <v>4.09</v>
      </c>
    </row>
    <row r="3474" spans="1:2">
      <c r="A3474" s="1">
        <v>45934</v>
      </c>
      <c r="B3474">
        <v>4.09</v>
      </c>
    </row>
    <row r="3475" spans="1:2">
      <c r="A3475" s="1">
        <v>45935</v>
      </c>
      <c r="B3475">
        <v>4.09</v>
      </c>
    </row>
    <row r="3476" spans="1:2">
      <c r="A3476" s="1">
        <v>45936</v>
      </c>
      <c r="B3476">
        <v>4.09</v>
      </c>
    </row>
    <row r="3477" spans="1:2">
      <c r="A3477" s="1">
        <v>45937</v>
      </c>
      <c r="B3477">
        <v>4.09</v>
      </c>
    </row>
    <row r="3478" spans="1:2">
      <c r="A3478" s="1">
        <v>45938</v>
      </c>
      <c r="B3478">
        <v>4.0999999999999996</v>
      </c>
    </row>
    <row r="3479" spans="1:2">
      <c r="A3479" s="1">
        <v>45939</v>
      </c>
      <c r="B3479">
        <v>4.0999999999999996</v>
      </c>
    </row>
    <row r="3480" spans="1:2">
      <c r="A3480" s="1">
        <v>45940</v>
      </c>
      <c r="B3480">
        <v>4.0999999999999996</v>
      </c>
    </row>
    <row r="3481" spans="1:2">
      <c r="A3481" s="1">
        <v>45941</v>
      </c>
      <c r="B3481">
        <v>4.0999999999999996</v>
      </c>
    </row>
    <row r="3482" spans="1:2">
      <c r="A3482" s="1">
        <v>45942</v>
      </c>
      <c r="B3482">
        <v>4.0999999999999996</v>
      </c>
    </row>
    <row r="3483" spans="1:2">
      <c r="A3483" s="1">
        <v>45943</v>
      </c>
      <c r="B3483">
        <v>4.0999999999999996</v>
      </c>
    </row>
    <row r="3484" spans="1:2">
      <c r="A3484" s="1">
        <v>45944</v>
      </c>
      <c r="B3484">
        <v>4.0999999999999996</v>
      </c>
    </row>
    <row r="3485" spans="1:2">
      <c r="A3485" s="1">
        <v>45945</v>
      </c>
      <c r="B3485">
        <v>4.0999999999999996</v>
      </c>
    </row>
    <row r="3486" spans="1:2">
      <c r="A3486" s="1">
        <v>45946</v>
      </c>
      <c r="B3486">
        <v>4.1100000000000003</v>
      </c>
    </row>
    <row r="3487" spans="1:2">
      <c r="A3487" s="1">
        <v>45947</v>
      </c>
      <c r="B3487">
        <v>4.1100000000000003</v>
      </c>
    </row>
    <row r="3488" spans="1:2">
      <c r="A3488" s="1">
        <v>45948</v>
      </c>
      <c r="B3488">
        <v>4.1100000000000003</v>
      </c>
    </row>
    <row r="3489" spans="1:2">
      <c r="A3489" s="1">
        <v>45949</v>
      </c>
      <c r="B3489">
        <v>4.1100000000000003</v>
      </c>
    </row>
    <row r="3490" spans="1:2">
      <c r="A3490" s="1">
        <v>45950</v>
      </c>
      <c r="B3490">
        <v>4.1100000000000003</v>
      </c>
    </row>
    <row r="3491" spans="1:2">
      <c r="A3491" s="1">
        <v>45951</v>
      </c>
      <c r="B3491">
        <v>4.1100000000000003</v>
      </c>
    </row>
    <row r="3492" spans="1:2">
      <c r="A3492" s="1">
        <v>45952</v>
      </c>
      <c r="B3492">
        <v>4.1100000000000003</v>
      </c>
    </row>
    <row r="3493" spans="1:2">
      <c r="A3493" s="1">
        <v>45953</v>
      </c>
      <c r="B3493">
        <v>4.1100000000000003</v>
      </c>
    </row>
    <row r="3494" spans="1:2">
      <c r="A3494" s="1">
        <v>45954</v>
      </c>
      <c r="B3494">
        <v>4.1100000000000003</v>
      </c>
    </row>
    <row r="3495" spans="1:2">
      <c r="A3495" s="1">
        <v>45955</v>
      </c>
      <c r="B3495">
        <v>4.1100000000000003</v>
      </c>
    </row>
    <row r="3496" spans="1:2">
      <c r="A3496" s="1">
        <v>45956</v>
      </c>
      <c r="B3496">
        <v>4.1100000000000003</v>
      </c>
    </row>
    <row r="3497" spans="1:2">
      <c r="A3497" s="1">
        <v>45957</v>
      </c>
      <c r="B3497">
        <v>4.12</v>
      </c>
    </row>
    <row r="3498" spans="1:2">
      <c r="A3498" s="1">
        <v>45958</v>
      </c>
      <c r="B3498">
        <v>4.12</v>
      </c>
    </row>
    <row r="3499" spans="1:2">
      <c r="A3499" s="1">
        <v>45959</v>
      </c>
      <c r="B3499">
        <v>4.12</v>
      </c>
    </row>
    <row r="3500" spans="1:2">
      <c r="A3500" s="1">
        <v>45960</v>
      </c>
      <c r="B3500">
        <v>3.87</v>
      </c>
    </row>
    <row r="3501" spans="1:2">
      <c r="A3501" s="1">
        <v>45961</v>
      </c>
      <c r="B3501">
        <v>3.86</v>
      </c>
    </row>
    <row r="3502" spans="1:2">
      <c r="A3502" s="1">
        <v>45962</v>
      </c>
      <c r="B3502">
        <v>3.86</v>
      </c>
    </row>
    <row r="3503" spans="1:2">
      <c r="A3503" s="1">
        <v>45963</v>
      </c>
      <c r="B3503">
        <v>3.86</v>
      </c>
    </row>
    <row r="3504" spans="1:2">
      <c r="A3504" s="1">
        <v>45964</v>
      </c>
      <c r="B3504">
        <v>3.87</v>
      </c>
    </row>
    <row r="3505" spans="1:2">
      <c r="A3505" s="1">
        <v>45965</v>
      </c>
      <c r="B3505">
        <v>3.87</v>
      </c>
    </row>
    <row r="3506" spans="1:2">
      <c r="A3506" s="1">
        <v>45966</v>
      </c>
      <c r="B3506">
        <v>3.87</v>
      </c>
    </row>
    <row r="3507" spans="1:2">
      <c r="A3507" s="1">
        <v>45967</v>
      </c>
      <c r="B3507">
        <v>3.87</v>
      </c>
    </row>
    <row r="3508" spans="1:2">
      <c r="A3508" s="1">
        <v>45968</v>
      </c>
      <c r="B3508">
        <v>3.87</v>
      </c>
    </row>
    <row r="3509" spans="1:2">
      <c r="A3509" s="1">
        <v>45969</v>
      </c>
      <c r="B3509">
        <v>3.87</v>
      </c>
    </row>
    <row r="3510" spans="1:2">
      <c r="A3510" s="1">
        <v>45970</v>
      </c>
      <c r="B3510">
        <v>3.87</v>
      </c>
    </row>
    <row r="3511" spans="1:2">
      <c r="A3511" s="1">
        <v>45971</v>
      </c>
      <c r="B3511">
        <v>3.87</v>
      </c>
    </row>
    <row r="3512" spans="1:2">
      <c r="A3512" s="1">
        <v>45972</v>
      </c>
      <c r="B3512">
        <v>3.87</v>
      </c>
    </row>
    <row r="3513" spans="1:2">
      <c r="A3513" s="1">
        <v>45973</v>
      </c>
      <c r="B3513">
        <v>3.87</v>
      </c>
    </row>
    <row r="3514" spans="1:2">
      <c r="A3514" s="1">
        <v>45974</v>
      </c>
      <c r="B3514">
        <v>3.88</v>
      </c>
    </row>
    <row r="3515" spans="1:2">
      <c r="A3515" s="1">
        <v>45975</v>
      </c>
      <c r="B3515">
        <v>3.88</v>
      </c>
    </row>
    <row r="3516" spans="1:2">
      <c r="A3516" s="1">
        <v>45976</v>
      </c>
      <c r="B3516">
        <v>3.88</v>
      </c>
    </row>
    <row r="3517" spans="1:2">
      <c r="A3517" s="1">
        <v>45977</v>
      </c>
      <c r="B3517">
        <v>3.88</v>
      </c>
    </row>
    <row r="3518" spans="1:2">
      <c r="A3518" s="1">
        <v>45978</v>
      </c>
      <c r="B3518">
        <v>3.88</v>
      </c>
    </row>
    <row r="3519" spans="1:2">
      <c r="A3519" s="1">
        <v>45979</v>
      </c>
      <c r="B3519">
        <v>3.88</v>
      </c>
    </row>
    <row r="3520" spans="1:2">
      <c r="A3520" s="1">
        <v>45980</v>
      </c>
      <c r="B3520">
        <v>3.88</v>
      </c>
    </row>
    <row r="3521" spans="1:2">
      <c r="A3521" s="1">
        <v>45981</v>
      </c>
      <c r="B3521">
        <v>3.88</v>
      </c>
    </row>
    <row r="3522" spans="1:2">
      <c r="A3522" s="1">
        <v>45982</v>
      </c>
      <c r="B3522">
        <v>3.88</v>
      </c>
    </row>
    <row r="3523" spans="1:2">
      <c r="A3523" s="1">
        <v>45983</v>
      </c>
      <c r="B3523">
        <v>3.88</v>
      </c>
    </row>
    <row r="3524" spans="1:2">
      <c r="A3524" s="1">
        <v>45984</v>
      </c>
      <c r="B3524">
        <v>3.88</v>
      </c>
    </row>
    <row r="3525" spans="1:2">
      <c r="A3525" s="1">
        <v>45985</v>
      </c>
      <c r="B3525">
        <v>3.88</v>
      </c>
    </row>
    <row r="3526" spans="1:2">
      <c r="A3526" s="1">
        <v>45986</v>
      </c>
      <c r="B3526">
        <v>3.88</v>
      </c>
    </row>
    <row r="3527" spans="1:2">
      <c r="A3527" s="1">
        <v>45987</v>
      </c>
      <c r="B3527">
        <v>3.88</v>
      </c>
    </row>
    <row r="3528" spans="1:2">
      <c r="A3528" s="1">
        <v>45988</v>
      </c>
      <c r="B3528">
        <v>3.88</v>
      </c>
    </row>
    <row r="3529" spans="1:2">
      <c r="A3529" s="1">
        <v>45989</v>
      </c>
      <c r="B3529">
        <v>3.89</v>
      </c>
    </row>
    <row r="3530" spans="1:2">
      <c r="A3530" s="1">
        <v>45990</v>
      </c>
      <c r="B3530">
        <v>3.89</v>
      </c>
    </row>
    <row r="3531" spans="1:2">
      <c r="A3531" s="1">
        <v>45991</v>
      </c>
      <c r="B3531">
        <v>3.89</v>
      </c>
    </row>
    <row r="3532" spans="1:2">
      <c r="A3532" s="1">
        <v>45992</v>
      </c>
      <c r="B3532">
        <v>3.89</v>
      </c>
    </row>
    <row r="3533" spans="1:2">
      <c r="A3533" s="1">
        <v>45993</v>
      </c>
      <c r="B3533">
        <v>3.89</v>
      </c>
    </row>
    <row r="3534" spans="1:2">
      <c r="A3534" s="1">
        <v>45994</v>
      </c>
      <c r="B3534">
        <v>3.89</v>
      </c>
    </row>
    <row r="3535" spans="1:2">
      <c r="A3535" s="1">
        <v>45995</v>
      </c>
      <c r="B3535">
        <v>3.89</v>
      </c>
    </row>
    <row r="3536" spans="1:2">
      <c r="A3536" s="1">
        <v>45996</v>
      </c>
      <c r="B3536">
        <v>3.89</v>
      </c>
    </row>
    <row r="3537" spans="1:2">
      <c r="A3537" s="1">
        <v>45997</v>
      </c>
      <c r="B3537">
        <v>3.89</v>
      </c>
    </row>
    <row r="3538" spans="1:2">
      <c r="A3538" s="1">
        <v>45998</v>
      </c>
      <c r="B3538">
        <v>3.89</v>
      </c>
    </row>
    <row r="3539" spans="1:2">
      <c r="A3539" s="1">
        <v>45999</v>
      </c>
      <c r="B3539">
        <v>3.89</v>
      </c>
    </row>
    <row r="3540" spans="1:2">
      <c r="A3540" s="1">
        <v>46000</v>
      </c>
      <c r="B3540">
        <v>3.89</v>
      </c>
    </row>
    <row r="3541" spans="1:2">
      <c r="A3541" s="1">
        <v>46001</v>
      </c>
      <c r="B3541">
        <v>3.89</v>
      </c>
    </row>
    <row r="3542" spans="1:2">
      <c r="A3542" s="1">
        <v>46002</v>
      </c>
      <c r="B3542">
        <v>3.64</v>
      </c>
    </row>
    <row r="3543" spans="1:2">
      <c r="A3543" s="1">
        <v>46003</v>
      </c>
      <c r="B3543">
        <v>3.64</v>
      </c>
    </row>
    <row r="3544" spans="1:2">
      <c r="A3544" s="1">
        <v>46004</v>
      </c>
      <c r="B3544">
        <v>3.64</v>
      </c>
    </row>
    <row r="3545" spans="1:2">
      <c r="A3545" s="1">
        <v>46005</v>
      </c>
      <c r="B3545">
        <v>3.64</v>
      </c>
    </row>
    <row r="3546" spans="1:2">
      <c r="A3546" s="1">
        <v>46006</v>
      </c>
      <c r="B3546">
        <v>3.64</v>
      </c>
    </row>
    <row r="3547" spans="1:2">
      <c r="A3547" s="1">
        <v>46007</v>
      </c>
      <c r="B3547">
        <v>3.64</v>
      </c>
    </row>
    <row r="3548" spans="1:2">
      <c r="A3548" s="1">
        <v>46008</v>
      </c>
      <c r="B3548">
        <v>3.64</v>
      </c>
    </row>
    <row r="3549" spans="1:2">
      <c r="A3549" s="1">
        <v>46009</v>
      </c>
      <c r="B3549">
        <v>3.64</v>
      </c>
    </row>
    <row r="3550" spans="1:2">
      <c r="A3550" s="1">
        <v>46010</v>
      </c>
      <c r="B3550">
        <v>3.64</v>
      </c>
    </row>
    <row r="3551" spans="1:2">
      <c r="A3551" s="1">
        <v>46011</v>
      </c>
      <c r="B3551">
        <v>3.64</v>
      </c>
    </row>
    <row r="3552" spans="1:2">
      <c r="A3552" s="1">
        <v>46012</v>
      </c>
      <c r="B3552">
        <v>3.64</v>
      </c>
    </row>
    <row r="3553" spans="1:2">
      <c r="A3553" s="1">
        <v>46013</v>
      </c>
      <c r="B3553">
        <v>3.64</v>
      </c>
    </row>
    <row r="3554" spans="1:2">
      <c r="A3554" s="1">
        <v>46014</v>
      </c>
      <c r="B3554">
        <v>3.64</v>
      </c>
    </row>
    <row r="3555" spans="1:2">
      <c r="A3555" s="1">
        <v>46015</v>
      </c>
      <c r="B3555">
        <v>3.64</v>
      </c>
    </row>
    <row r="3556" spans="1:2">
      <c r="A3556" s="1">
        <v>46016</v>
      </c>
      <c r="B3556">
        <v>3.64</v>
      </c>
    </row>
    <row r="3557" spans="1:2">
      <c r="A3557" s="1">
        <v>46017</v>
      </c>
      <c r="B3557">
        <v>3.64</v>
      </c>
    </row>
    <row r="3558" spans="1:2">
      <c r="A3558" s="1">
        <v>46018</v>
      </c>
      <c r="B3558">
        <v>3.64</v>
      </c>
    </row>
    <row r="3559" spans="1:2">
      <c r="A3559" s="1">
        <v>46019</v>
      </c>
      <c r="B3559">
        <v>3.64</v>
      </c>
    </row>
    <row r="3560" spans="1:2">
      <c r="A3560" s="1">
        <v>46020</v>
      </c>
      <c r="B3560">
        <v>3.64</v>
      </c>
    </row>
    <row r="3561" spans="1:2">
      <c r="A3561" s="1">
        <v>46021</v>
      </c>
      <c r="B3561">
        <v>3.64</v>
      </c>
    </row>
    <row r="3562" spans="1:2">
      <c r="A3562" s="1">
        <v>46022</v>
      </c>
      <c r="B3562">
        <v>3.64</v>
      </c>
    </row>
    <row r="3563" spans="1:2">
      <c r="A3563" s="1">
        <v>46023</v>
      </c>
      <c r="B3563">
        <v>3.64</v>
      </c>
    </row>
    <row r="3564" spans="1:2">
      <c r="A3564" s="1">
        <v>46024</v>
      </c>
      <c r="B3564">
        <v>3.64</v>
      </c>
    </row>
    <row r="3565" spans="1:2">
      <c r="A3565" s="1">
        <v>46025</v>
      </c>
      <c r="B3565">
        <v>3.64</v>
      </c>
    </row>
    <row r="3566" spans="1:2">
      <c r="A3566" s="1">
        <v>46026</v>
      </c>
      <c r="B3566">
        <v>3.64</v>
      </c>
    </row>
    <row r="3567" spans="1:2">
      <c r="A3567" s="1">
        <v>46027</v>
      </c>
      <c r="B3567">
        <v>3.64</v>
      </c>
    </row>
    <row r="3568" spans="1:2">
      <c r="A3568" s="1">
        <v>46028</v>
      </c>
      <c r="B3568">
        <v>3.64</v>
      </c>
    </row>
    <row r="3569" spans="1:2">
      <c r="A3569" s="1">
        <v>46029</v>
      </c>
      <c r="B3569">
        <v>3.64</v>
      </c>
    </row>
    <row r="3570" spans="1:2">
      <c r="A3570" s="1">
        <v>46030</v>
      </c>
      <c r="B3570">
        <v>3.64</v>
      </c>
    </row>
    <row r="3571" spans="1:2">
      <c r="A3571" s="1">
        <v>46031</v>
      </c>
      <c r="B3571">
        <v>3.64</v>
      </c>
    </row>
    <row r="3572" spans="1:2">
      <c r="A3572" s="1">
        <v>46032</v>
      </c>
      <c r="B3572">
        <v>3.64</v>
      </c>
    </row>
    <row r="3573" spans="1:2">
      <c r="A3573" s="1">
        <v>46033</v>
      </c>
      <c r="B3573">
        <v>3.64</v>
      </c>
    </row>
    <row r="3574" spans="1:2">
      <c r="A3574" s="1">
        <v>46034</v>
      </c>
      <c r="B3574">
        <v>3.64</v>
      </c>
    </row>
    <row r="3575" spans="1:2">
      <c r="A3575" s="1">
        <v>46035</v>
      </c>
      <c r="B3575">
        <v>3.64</v>
      </c>
    </row>
    <row r="3576" spans="1:2">
      <c r="A3576" s="1">
        <v>46036</v>
      </c>
      <c r="B3576">
        <v>3.64</v>
      </c>
    </row>
    <row r="3577" spans="1:2">
      <c r="A3577" s="1">
        <v>46037</v>
      </c>
      <c r="B3577">
        <v>3.64</v>
      </c>
    </row>
    <row r="3578" spans="1:2">
      <c r="A3578" s="1">
        <v>46038</v>
      </c>
      <c r="B3578">
        <v>3.64</v>
      </c>
    </row>
    <row r="3579" spans="1:2">
      <c r="A3579" s="1">
        <v>46039</v>
      </c>
      <c r="B3579">
        <v>3.64</v>
      </c>
    </row>
    <row r="3580" spans="1:2">
      <c r="A3580" s="1">
        <v>46040</v>
      </c>
      <c r="B3580">
        <v>3.64</v>
      </c>
    </row>
    <row r="3581" spans="1:2">
      <c r="A3581" s="1">
        <v>46041</v>
      </c>
      <c r="B3581">
        <v>3.64</v>
      </c>
    </row>
    <row r="3582" spans="1:2">
      <c r="A3582" s="1">
        <v>46042</v>
      </c>
      <c r="B3582">
        <v>3.64</v>
      </c>
    </row>
    <row r="3583" spans="1:2">
      <c r="A3583" s="1">
        <v>46043</v>
      </c>
      <c r="B3583">
        <v>3.64</v>
      </c>
    </row>
    <row r="3584" spans="1:2">
      <c r="A3584" s="1">
        <v>46044</v>
      </c>
      <c r="B3584">
        <v>3.64</v>
      </c>
    </row>
    <row r="3585" spans="1:2">
      <c r="A3585" s="1">
        <v>46045</v>
      </c>
      <c r="B3585">
        <v>3.64</v>
      </c>
    </row>
    <row r="3586" spans="1:2">
      <c r="A3586" s="1">
        <v>46046</v>
      </c>
      <c r="B3586">
        <v>3.64</v>
      </c>
    </row>
    <row r="3587" spans="1:2">
      <c r="A3587" s="1">
        <v>46047</v>
      </c>
      <c r="B3587">
        <v>3.64</v>
      </c>
    </row>
    <row r="3588" spans="1:2">
      <c r="A3588" s="1">
        <v>46048</v>
      </c>
      <c r="B3588">
        <v>3.64</v>
      </c>
    </row>
    <row r="3589" spans="1:2">
      <c r="A3589" s="1">
        <v>46049</v>
      </c>
      <c r="B3589">
        <v>3.64</v>
      </c>
    </row>
    <row r="3590" spans="1:2">
      <c r="A3590" s="1">
        <v>46050</v>
      </c>
      <c r="B3590">
        <v>3.64</v>
      </c>
    </row>
    <row r="3591" spans="1:2">
      <c r="A3591" s="1">
        <v>46051</v>
      </c>
      <c r="B3591">
        <v>3.64</v>
      </c>
    </row>
    <row r="3592" spans="1:2">
      <c r="A3592" s="1">
        <v>46052</v>
      </c>
      <c r="B3592">
        <v>3.64</v>
      </c>
    </row>
    <row r="3593" spans="1:2">
      <c r="A3593" s="1">
        <v>46053</v>
      </c>
      <c r="B3593">
        <v>3.64</v>
      </c>
    </row>
    <row r="3594" spans="1:2">
      <c r="A3594" s="1">
        <v>46054</v>
      </c>
      <c r="B3594">
        <v>3.64</v>
      </c>
    </row>
    <row r="3595" spans="1:2">
      <c r="A3595" s="1">
        <v>46055</v>
      </c>
      <c r="B3595">
        <v>3.64</v>
      </c>
    </row>
    <row r="3596" spans="1:2">
      <c r="A3596" s="1">
        <v>46056</v>
      </c>
      <c r="B3596">
        <v>3.64</v>
      </c>
    </row>
    <row r="3597" spans="1:2">
      <c r="A3597" s="1">
        <v>46057</v>
      </c>
      <c r="B3597">
        <v>3.64</v>
      </c>
    </row>
    <row r="3598" spans="1:2">
      <c r="A3598" s="1">
        <v>46058</v>
      </c>
      <c r="B3598">
        <v>3.64</v>
      </c>
    </row>
    <row r="3599" spans="1:2">
      <c r="A3599" s="1">
        <v>46059</v>
      </c>
      <c r="B3599">
        <v>3.64</v>
      </c>
    </row>
    <row r="3600" spans="1:2">
      <c r="A3600" s="1">
        <v>46060</v>
      </c>
      <c r="B3600">
        <v>3.64</v>
      </c>
    </row>
    <row r="3601" spans="1:2">
      <c r="A3601" s="1">
        <v>46061</v>
      </c>
      <c r="B3601">
        <v>3.64</v>
      </c>
    </row>
    <row r="3602" spans="1:2">
      <c r="A3602" s="1">
        <v>46062</v>
      </c>
      <c r="B3602">
        <v>3.64</v>
      </c>
    </row>
    <row r="3603" spans="1:2">
      <c r="A3603" s="1">
        <v>46063</v>
      </c>
      <c r="B3603">
        <v>3.64</v>
      </c>
    </row>
    <row r="3604" spans="1:2">
      <c r="A3604" s="1">
        <v>46064</v>
      </c>
      <c r="B3604">
        <v>3.64</v>
      </c>
    </row>
    <row r="3605" spans="1:2">
      <c r="A3605" s="1">
        <v>46065</v>
      </c>
      <c r="B3605">
        <v>3.64</v>
      </c>
    </row>
    <row r="3606" spans="1:2">
      <c r="A3606" s="1">
        <v>46066</v>
      </c>
      <c r="B3606">
        <v>3.64</v>
      </c>
    </row>
    <row r="3607" spans="1:2">
      <c r="A3607" s="1">
        <v>46067</v>
      </c>
      <c r="B3607">
        <v>3.64</v>
      </c>
    </row>
    <row r="3608" spans="1:2">
      <c r="A3608" s="1">
        <v>46068</v>
      </c>
      <c r="B3608">
        <v>3.64</v>
      </c>
    </row>
    <row r="3609" spans="1:2">
      <c r="A3609" s="1">
        <v>46069</v>
      </c>
      <c r="B3609">
        <v>3.64</v>
      </c>
    </row>
    <row r="3610" spans="1:2">
      <c r="A3610" s="1">
        <v>46070</v>
      </c>
      <c r="B3610">
        <v>3.64</v>
      </c>
    </row>
    <row r="3611" spans="1:2">
      <c r="A3611" s="1">
        <v>46071</v>
      </c>
      <c r="B3611">
        <v>3.64</v>
      </c>
    </row>
    <row r="3612" spans="1:2">
      <c r="A3612" s="1">
        <v>46072</v>
      </c>
      <c r="B3612">
        <v>3.64</v>
      </c>
    </row>
    <row r="3613" spans="1:2">
      <c r="A3613" s="1">
        <v>46073</v>
      </c>
      <c r="B3613">
        <v>3.64</v>
      </c>
    </row>
    <row r="3614" spans="1:2">
      <c r="A3614" s="1">
        <v>46074</v>
      </c>
      <c r="B3614">
        <v>3.64</v>
      </c>
    </row>
    <row r="3615" spans="1:2">
      <c r="A3615" s="1">
        <v>46075</v>
      </c>
      <c r="B3615">
        <v>3.64</v>
      </c>
    </row>
    <row r="3616" spans="1:2">
      <c r="A3616" s="1">
        <v>46076</v>
      </c>
      <c r="B3616">
        <v>3.64</v>
      </c>
    </row>
    <row r="3617" spans="1:2">
      <c r="A3617" s="1">
        <v>46077</v>
      </c>
      <c r="B3617">
        <v>3.64</v>
      </c>
    </row>
    <row r="3618" spans="1:2">
      <c r="A3618" s="1">
        <v>46078</v>
      </c>
      <c r="B3618">
        <v>3.64</v>
      </c>
    </row>
    <row r="3619" spans="1:2">
      <c r="A3619" s="1">
        <v>46079</v>
      </c>
      <c r="B3619">
        <v>3.64</v>
      </c>
    </row>
    <row r="3620" spans="1:2">
      <c r="A3620" s="1">
        <v>46080</v>
      </c>
      <c r="B3620">
        <v>3.64</v>
      </c>
    </row>
    <row r="3621" spans="1:2">
      <c r="A3621" s="1">
        <v>46081</v>
      </c>
      <c r="B3621">
        <v>3.64</v>
      </c>
    </row>
    <row r="3622" spans="1:2">
      <c r="A3622" s="1">
        <v>46082</v>
      </c>
      <c r="B3622">
        <v>3.64</v>
      </c>
    </row>
    <row r="3623" spans="1:2">
      <c r="A3623" s="1">
        <v>46083</v>
      </c>
      <c r="B3623">
        <v>3.64</v>
      </c>
    </row>
    <row r="3624" spans="1:2">
      <c r="A3624" s="1">
        <v>46084</v>
      </c>
      <c r="B3624">
        <v>3.64</v>
      </c>
    </row>
    <row r="3625" spans="1:2">
      <c r="A3625" s="1">
        <v>46085</v>
      </c>
      <c r="B3625">
        <v>3.64</v>
      </c>
    </row>
    <row r="3626" spans="1:2">
      <c r="A3626" s="1">
        <v>46086</v>
      </c>
      <c r="B3626">
        <v>3.64</v>
      </c>
    </row>
    <row r="3627" spans="1:2">
      <c r="A3627" s="1">
        <v>46087</v>
      </c>
      <c r="B3627">
        <v>3.64</v>
      </c>
    </row>
    <row r="3628" spans="1:2">
      <c r="A3628" s="1">
        <v>46088</v>
      </c>
      <c r="B3628">
        <v>3.64</v>
      </c>
    </row>
    <row r="3629" spans="1:2">
      <c r="A3629" s="1">
        <v>46089</v>
      </c>
      <c r="B3629">
        <v>3.64</v>
      </c>
    </row>
    <row r="3630" spans="1:2">
      <c r="A3630" s="1">
        <v>46090</v>
      </c>
      <c r="B3630">
        <v>3.64</v>
      </c>
    </row>
    <row r="3631" spans="1:2">
      <c r="A3631" s="1">
        <v>46091</v>
      </c>
      <c r="B3631">
        <v>3.64</v>
      </c>
    </row>
    <row r="3632" spans="1:2">
      <c r="A3632" s="1">
        <v>46092</v>
      </c>
      <c r="B3632">
        <v>3.64</v>
      </c>
    </row>
    <row r="3633" spans="1:2">
      <c r="A3633" s="1">
        <v>46093</v>
      </c>
      <c r="B3633">
        <v>3.64</v>
      </c>
    </row>
    <row r="3634" spans="1:2">
      <c r="A3634" s="1">
        <v>46094</v>
      </c>
      <c r="B3634">
        <v>3.64</v>
      </c>
    </row>
    <row r="3635" spans="1:2">
      <c r="A3635" s="1">
        <v>46095</v>
      </c>
      <c r="B3635">
        <v>3.64</v>
      </c>
    </row>
    <row r="3636" spans="1:2">
      <c r="A3636" s="1">
        <v>46096</v>
      </c>
      <c r="B3636">
        <v>3.64</v>
      </c>
    </row>
    <row r="3637" spans="1:2">
      <c r="A3637" s="1">
        <v>46097</v>
      </c>
      <c r="B3637">
        <v>3.64</v>
      </c>
    </row>
    <row r="3638" spans="1:2">
      <c r="A3638" s="1">
        <v>46098</v>
      </c>
      <c r="B3638">
        <v>3.64</v>
      </c>
    </row>
    <row r="3639" spans="1:2">
      <c r="A3639" s="1">
        <v>46099</v>
      </c>
      <c r="B3639">
        <v>3.64</v>
      </c>
    </row>
    <row r="3640" spans="1:2">
      <c r="A3640" s="1">
        <v>46100</v>
      </c>
      <c r="B3640">
        <v>3.64</v>
      </c>
    </row>
    <row r="3641" spans="1:2">
      <c r="A3641" s="1">
        <v>46101</v>
      </c>
      <c r="B3641">
        <v>3.64</v>
      </c>
    </row>
    <row r="3642" spans="1:2">
      <c r="A3642" s="1">
        <v>46102</v>
      </c>
      <c r="B3642">
        <v>3.64</v>
      </c>
    </row>
    <row r="3643" spans="1:2">
      <c r="A3643" s="1">
        <v>46103</v>
      </c>
      <c r="B3643">
        <v>3.64</v>
      </c>
    </row>
    <row r="3644" spans="1:2">
      <c r="A3644" s="1">
        <v>46104</v>
      </c>
      <c r="B3644">
        <v>3.64</v>
      </c>
    </row>
    <row r="3645" spans="1:2">
      <c r="A3645" s="1">
        <v>46105</v>
      </c>
      <c r="B3645">
        <v>3.64</v>
      </c>
    </row>
    <row r="3646" spans="1:2">
      <c r="A3646" s="1">
        <v>46106</v>
      </c>
      <c r="B3646">
        <v>3.64</v>
      </c>
    </row>
    <row r="3647" spans="1:2">
      <c r="A3647" s="1">
        <v>46107</v>
      </c>
      <c r="B3647">
        <v>3.64</v>
      </c>
    </row>
    <row r="3648" spans="1:2">
      <c r="A3648" s="1">
        <v>46108</v>
      </c>
      <c r="B3648">
        <v>3.64</v>
      </c>
    </row>
    <row r="3649" spans="1:2">
      <c r="A3649" s="1">
        <v>46109</v>
      </c>
      <c r="B3649">
        <v>3.64</v>
      </c>
    </row>
    <row r="3650" spans="1:2">
      <c r="A3650" s="1">
        <v>46110</v>
      </c>
      <c r="B3650">
        <v>3.64</v>
      </c>
    </row>
    <row r="3651" spans="1:2">
      <c r="A3651" s="1">
        <v>46111</v>
      </c>
      <c r="B3651">
        <v>3.64</v>
      </c>
    </row>
    <row r="3652" spans="1:2">
      <c r="A3652" s="1">
        <v>46112</v>
      </c>
      <c r="B3652">
        <v>3.64</v>
      </c>
    </row>
    <row r="3653" spans="1:2">
      <c r="A3653" s="1">
        <v>46113</v>
      </c>
      <c r="B3653">
        <v>3.64</v>
      </c>
    </row>
    <row r="3654" spans="1:2">
      <c r="A3654" s="1">
        <v>46114</v>
      </c>
      <c r="B3654">
        <v>3.64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EDE0C-31F8-455A-9B31-F3C32E63FB4C}">
  <dimension ref="A1:B2610"/>
  <sheetViews>
    <sheetView workbookViewId="0"/>
  </sheetViews>
  <sheetFormatPr defaultRowHeight="14.4"/>
  <sheetData>
    <row r="1" spans="1:2">
      <c r="A1" t="s">
        <v>0</v>
      </c>
      <c r="B1" t="s">
        <v>14</v>
      </c>
    </row>
    <row r="2" spans="1:2">
      <c r="A2" s="1">
        <v>42464</v>
      </c>
      <c r="B2">
        <v>0.75</v>
      </c>
    </row>
    <row r="3" spans="1:2">
      <c r="A3" s="1">
        <v>42465</v>
      </c>
      <c r="B3">
        <v>0.72</v>
      </c>
    </row>
    <row r="4" spans="1:2">
      <c r="A4" s="1">
        <v>42466</v>
      </c>
      <c r="B4">
        <v>0.73</v>
      </c>
    </row>
    <row r="5" spans="1:2">
      <c r="A5" s="1">
        <v>42467</v>
      </c>
      <c r="B5">
        <v>0.7</v>
      </c>
    </row>
    <row r="6" spans="1:2">
      <c r="A6" s="1">
        <v>42468</v>
      </c>
      <c r="B6">
        <v>0.7</v>
      </c>
    </row>
    <row r="7" spans="1:2">
      <c r="A7" s="1">
        <v>42471</v>
      </c>
      <c r="B7">
        <v>0.7</v>
      </c>
    </row>
    <row r="8" spans="1:2">
      <c r="A8" s="1">
        <v>42472</v>
      </c>
      <c r="B8">
        <v>0.74</v>
      </c>
    </row>
    <row r="9" spans="1:2">
      <c r="A9" s="1">
        <v>42473</v>
      </c>
      <c r="B9">
        <v>0.75</v>
      </c>
    </row>
    <row r="10" spans="1:2">
      <c r="A10" s="1">
        <v>42474</v>
      </c>
      <c r="B10">
        <v>0.77</v>
      </c>
    </row>
    <row r="11" spans="1:2">
      <c r="A11" s="1">
        <v>42475</v>
      </c>
      <c r="B11">
        <v>0.74</v>
      </c>
    </row>
    <row r="12" spans="1:2">
      <c r="A12" s="1">
        <v>42478</v>
      </c>
      <c r="B12">
        <v>0.75</v>
      </c>
    </row>
    <row r="13" spans="1:2">
      <c r="A13" s="1">
        <v>42479</v>
      </c>
      <c r="B13">
        <v>0.77</v>
      </c>
    </row>
    <row r="14" spans="1:2">
      <c r="A14" s="1">
        <v>42480</v>
      </c>
      <c r="B14">
        <v>0.8</v>
      </c>
    </row>
    <row r="15" spans="1:2">
      <c r="A15" s="1">
        <v>42481</v>
      </c>
      <c r="B15">
        <v>0.82</v>
      </c>
    </row>
    <row r="16" spans="1:2">
      <c r="A16" s="1">
        <v>42482</v>
      </c>
      <c r="B16">
        <v>0.84</v>
      </c>
    </row>
    <row r="17" spans="1:2">
      <c r="A17" s="1">
        <v>42485</v>
      </c>
      <c r="B17">
        <v>0.85</v>
      </c>
    </row>
    <row r="18" spans="1:2">
      <c r="A18" s="1">
        <v>42486</v>
      </c>
      <c r="B18">
        <v>0.86</v>
      </c>
    </row>
    <row r="19" spans="1:2">
      <c r="A19" s="1">
        <v>42487</v>
      </c>
      <c r="B19">
        <v>0.83</v>
      </c>
    </row>
    <row r="20" spans="1:2">
      <c r="A20" s="1">
        <v>42488</v>
      </c>
      <c r="B20">
        <v>0.78</v>
      </c>
    </row>
    <row r="21" spans="1:2">
      <c r="A21" s="1">
        <v>42489</v>
      </c>
      <c r="B21">
        <v>0.77</v>
      </c>
    </row>
    <row r="22" spans="1:2">
      <c r="A22" s="1">
        <v>42492</v>
      </c>
      <c r="B22">
        <v>0.8</v>
      </c>
    </row>
    <row r="23" spans="1:2">
      <c r="A23" s="1">
        <v>42493</v>
      </c>
      <c r="B23">
        <v>0.75</v>
      </c>
    </row>
    <row r="24" spans="1:2">
      <c r="A24" s="1">
        <v>42494</v>
      </c>
      <c r="B24">
        <v>0.75</v>
      </c>
    </row>
    <row r="25" spans="1:2">
      <c r="A25" s="1">
        <v>42495</v>
      </c>
      <c r="B25">
        <v>0.72</v>
      </c>
    </row>
    <row r="26" spans="1:2">
      <c r="A26" s="1">
        <v>42496</v>
      </c>
      <c r="B26">
        <v>0.74</v>
      </c>
    </row>
    <row r="27" spans="1:2">
      <c r="A27" s="1">
        <v>42499</v>
      </c>
      <c r="B27">
        <v>0.72</v>
      </c>
    </row>
    <row r="28" spans="1:2">
      <c r="A28" s="1">
        <v>42500</v>
      </c>
      <c r="B28">
        <v>0.72</v>
      </c>
    </row>
    <row r="29" spans="1:2">
      <c r="A29" s="1">
        <v>42501</v>
      </c>
      <c r="B29">
        <v>0.74</v>
      </c>
    </row>
    <row r="30" spans="1:2">
      <c r="A30" s="1">
        <v>42502</v>
      </c>
      <c r="B30">
        <v>0.76</v>
      </c>
    </row>
    <row r="31" spans="1:2">
      <c r="A31" s="1">
        <v>42503</v>
      </c>
      <c r="B31">
        <v>0.76</v>
      </c>
    </row>
    <row r="32" spans="1:2">
      <c r="A32" s="1">
        <v>42506</v>
      </c>
      <c r="B32">
        <v>0.79</v>
      </c>
    </row>
    <row r="33" spans="1:2">
      <c r="A33" s="1">
        <v>42507</v>
      </c>
      <c r="B33">
        <v>0.82</v>
      </c>
    </row>
    <row r="34" spans="1:2">
      <c r="A34" s="1">
        <v>42508</v>
      </c>
      <c r="B34">
        <v>0.9</v>
      </c>
    </row>
    <row r="35" spans="1:2">
      <c r="A35" s="1">
        <v>42509</v>
      </c>
      <c r="B35">
        <v>0.89</v>
      </c>
    </row>
    <row r="36" spans="1:2">
      <c r="A36" s="1">
        <v>42510</v>
      </c>
      <c r="B36">
        <v>0.89</v>
      </c>
    </row>
    <row r="37" spans="1:2">
      <c r="A37" s="1">
        <v>42513</v>
      </c>
      <c r="B37">
        <v>0.91</v>
      </c>
    </row>
    <row r="38" spans="1:2">
      <c r="A38" s="1">
        <v>42514</v>
      </c>
      <c r="B38">
        <v>0.92</v>
      </c>
    </row>
    <row r="39" spans="1:2">
      <c r="A39" s="1">
        <v>42515</v>
      </c>
      <c r="B39">
        <v>0.92</v>
      </c>
    </row>
    <row r="40" spans="1:2">
      <c r="A40" s="1">
        <v>42516</v>
      </c>
      <c r="B40">
        <v>0.87</v>
      </c>
    </row>
    <row r="41" spans="1:2">
      <c r="A41" s="1">
        <v>42517</v>
      </c>
      <c r="B41">
        <v>0.9</v>
      </c>
    </row>
    <row r="42" spans="1:2">
      <c r="A42" s="1">
        <v>42520</v>
      </c>
    </row>
    <row r="43" spans="1:2">
      <c r="A43" s="1">
        <v>42521</v>
      </c>
      <c r="B43">
        <v>0.87</v>
      </c>
    </row>
    <row r="44" spans="1:2">
      <c r="A44" s="1">
        <v>42522</v>
      </c>
      <c r="B44">
        <v>0.91</v>
      </c>
    </row>
    <row r="45" spans="1:2">
      <c r="A45" s="1">
        <v>42523</v>
      </c>
      <c r="B45">
        <v>0.89</v>
      </c>
    </row>
    <row r="46" spans="1:2">
      <c r="A46" s="1">
        <v>42524</v>
      </c>
      <c r="B46">
        <v>0.78</v>
      </c>
    </row>
    <row r="47" spans="1:2">
      <c r="A47" s="1">
        <v>42527</v>
      </c>
      <c r="B47">
        <v>0.8</v>
      </c>
    </row>
    <row r="48" spans="1:2">
      <c r="A48" s="1">
        <v>42528</v>
      </c>
      <c r="B48">
        <v>0.78</v>
      </c>
    </row>
    <row r="49" spans="1:2">
      <c r="A49" s="1">
        <v>42529</v>
      </c>
      <c r="B49">
        <v>0.78</v>
      </c>
    </row>
    <row r="50" spans="1:2">
      <c r="A50" s="1">
        <v>42530</v>
      </c>
      <c r="B50">
        <v>0.77</v>
      </c>
    </row>
    <row r="51" spans="1:2">
      <c r="A51" s="1">
        <v>42531</v>
      </c>
      <c r="B51">
        <v>0.73</v>
      </c>
    </row>
    <row r="52" spans="1:2">
      <c r="A52" s="1">
        <v>42534</v>
      </c>
      <c r="B52">
        <v>0.73</v>
      </c>
    </row>
    <row r="53" spans="1:2">
      <c r="A53" s="1">
        <v>42535</v>
      </c>
      <c r="B53">
        <v>0.74</v>
      </c>
    </row>
    <row r="54" spans="1:2">
      <c r="A54" s="1">
        <v>42536</v>
      </c>
      <c r="B54">
        <v>0.69</v>
      </c>
    </row>
    <row r="55" spans="1:2">
      <c r="A55" s="1">
        <v>42537</v>
      </c>
      <c r="B55">
        <v>0.7</v>
      </c>
    </row>
    <row r="56" spans="1:2">
      <c r="A56" s="1">
        <v>42538</v>
      </c>
      <c r="B56">
        <v>0.7</v>
      </c>
    </row>
    <row r="57" spans="1:2">
      <c r="A57" s="1">
        <v>42541</v>
      </c>
      <c r="B57">
        <v>0.74</v>
      </c>
    </row>
    <row r="58" spans="1:2">
      <c r="A58" s="1">
        <v>42542</v>
      </c>
      <c r="B58">
        <v>0.76</v>
      </c>
    </row>
    <row r="59" spans="1:2">
      <c r="A59" s="1">
        <v>42543</v>
      </c>
      <c r="B59">
        <v>0.75</v>
      </c>
    </row>
    <row r="60" spans="1:2">
      <c r="A60" s="1">
        <v>42544</v>
      </c>
      <c r="B60">
        <v>0.78</v>
      </c>
    </row>
    <row r="61" spans="1:2">
      <c r="A61" s="1">
        <v>42545</v>
      </c>
      <c r="B61">
        <v>0.64</v>
      </c>
    </row>
    <row r="62" spans="1:2">
      <c r="A62" s="1">
        <v>42548</v>
      </c>
      <c r="B62">
        <v>0.61</v>
      </c>
    </row>
    <row r="63" spans="1:2">
      <c r="A63" s="1">
        <v>42549</v>
      </c>
      <c r="B63">
        <v>0.61</v>
      </c>
    </row>
    <row r="64" spans="1:2">
      <c r="A64" s="1">
        <v>42550</v>
      </c>
      <c r="B64">
        <v>0.62</v>
      </c>
    </row>
    <row r="65" spans="1:2">
      <c r="A65" s="1">
        <v>42551</v>
      </c>
      <c r="B65">
        <v>0.57999999999999996</v>
      </c>
    </row>
    <row r="66" spans="1:2">
      <c r="A66" s="1">
        <v>42552</v>
      </c>
      <c r="B66">
        <v>0.59</v>
      </c>
    </row>
    <row r="67" spans="1:2">
      <c r="A67" s="1">
        <v>42555</v>
      </c>
    </row>
    <row r="68" spans="1:2">
      <c r="A68" s="1">
        <v>42556</v>
      </c>
      <c r="B68">
        <v>0.56000000000000005</v>
      </c>
    </row>
    <row r="69" spans="1:2">
      <c r="A69" s="1">
        <v>42557</v>
      </c>
      <c r="B69">
        <v>0.57999999999999996</v>
      </c>
    </row>
    <row r="70" spans="1:2">
      <c r="A70" s="1">
        <v>42558</v>
      </c>
      <c r="B70">
        <v>0.57999999999999996</v>
      </c>
    </row>
    <row r="71" spans="1:2">
      <c r="A71" s="1">
        <v>42559</v>
      </c>
      <c r="B71">
        <v>0.61</v>
      </c>
    </row>
    <row r="72" spans="1:2">
      <c r="A72" s="1">
        <v>42562</v>
      </c>
      <c r="B72">
        <v>0.66</v>
      </c>
    </row>
    <row r="73" spans="1:2">
      <c r="A73" s="1">
        <v>42563</v>
      </c>
      <c r="B73">
        <v>0.69</v>
      </c>
    </row>
    <row r="74" spans="1:2">
      <c r="A74" s="1">
        <v>42564</v>
      </c>
      <c r="B74">
        <v>0.68</v>
      </c>
    </row>
    <row r="75" spans="1:2">
      <c r="A75" s="1">
        <v>42565</v>
      </c>
      <c r="B75">
        <v>0.68</v>
      </c>
    </row>
    <row r="76" spans="1:2">
      <c r="A76" s="1">
        <v>42566</v>
      </c>
      <c r="B76">
        <v>0.71</v>
      </c>
    </row>
    <row r="77" spans="1:2">
      <c r="A77" s="1">
        <v>42569</v>
      </c>
      <c r="B77">
        <v>0.68</v>
      </c>
    </row>
    <row r="78" spans="1:2">
      <c r="A78" s="1">
        <v>42570</v>
      </c>
      <c r="B78">
        <v>0.7</v>
      </c>
    </row>
    <row r="79" spans="1:2">
      <c r="A79" s="1">
        <v>42571</v>
      </c>
      <c r="B79">
        <v>0.73</v>
      </c>
    </row>
    <row r="80" spans="1:2">
      <c r="A80" s="1">
        <v>42572</v>
      </c>
      <c r="B80">
        <v>0.7</v>
      </c>
    </row>
    <row r="81" spans="1:2">
      <c r="A81" s="1">
        <v>42573</v>
      </c>
      <c r="B81">
        <v>0.71</v>
      </c>
    </row>
    <row r="82" spans="1:2">
      <c r="A82" s="1">
        <v>42576</v>
      </c>
      <c r="B82">
        <v>0.72</v>
      </c>
    </row>
    <row r="83" spans="1:2">
      <c r="A83" s="1">
        <v>42577</v>
      </c>
      <c r="B83">
        <v>0.75</v>
      </c>
    </row>
    <row r="84" spans="1:2">
      <c r="A84" s="1">
        <v>42578</v>
      </c>
      <c r="B84">
        <v>0.73</v>
      </c>
    </row>
    <row r="85" spans="1:2">
      <c r="A85" s="1">
        <v>42579</v>
      </c>
      <c r="B85">
        <v>0.72</v>
      </c>
    </row>
    <row r="86" spans="1:2">
      <c r="A86" s="1">
        <v>42580</v>
      </c>
      <c r="B86">
        <v>0.67</v>
      </c>
    </row>
    <row r="87" spans="1:2">
      <c r="A87" s="1">
        <v>42583</v>
      </c>
      <c r="B87">
        <v>0.67</v>
      </c>
    </row>
    <row r="88" spans="1:2">
      <c r="A88" s="1">
        <v>42584</v>
      </c>
      <c r="B88">
        <v>0.67</v>
      </c>
    </row>
    <row r="89" spans="1:2">
      <c r="A89" s="1">
        <v>42585</v>
      </c>
      <c r="B89">
        <v>0.67</v>
      </c>
    </row>
    <row r="90" spans="1:2">
      <c r="A90" s="1">
        <v>42586</v>
      </c>
      <c r="B90">
        <v>0.64</v>
      </c>
    </row>
    <row r="91" spans="1:2">
      <c r="A91" s="1">
        <v>42587</v>
      </c>
      <c r="B91">
        <v>0.72</v>
      </c>
    </row>
    <row r="92" spans="1:2">
      <c r="A92" s="1">
        <v>42590</v>
      </c>
      <c r="B92">
        <v>0.74</v>
      </c>
    </row>
    <row r="93" spans="1:2">
      <c r="A93" s="1">
        <v>42591</v>
      </c>
      <c r="B93">
        <v>0.71</v>
      </c>
    </row>
    <row r="94" spans="1:2">
      <c r="A94" s="1">
        <v>42592</v>
      </c>
      <c r="B94">
        <v>0.69</v>
      </c>
    </row>
    <row r="95" spans="1:2">
      <c r="A95" s="1">
        <v>42593</v>
      </c>
      <c r="B95">
        <v>0.76</v>
      </c>
    </row>
    <row r="96" spans="1:2">
      <c r="A96" s="1">
        <v>42594</v>
      </c>
      <c r="B96">
        <v>0.71</v>
      </c>
    </row>
    <row r="97" spans="1:2">
      <c r="A97" s="1">
        <v>42597</v>
      </c>
      <c r="B97">
        <v>0.72</v>
      </c>
    </row>
    <row r="98" spans="1:2">
      <c r="A98" s="1">
        <v>42598</v>
      </c>
      <c r="B98">
        <v>0.76</v>
      </c>
    </row>
    <row r="99" spans="1:2">
      <c r="A99" s="1">
        <v>42599</v>
      </c>
      <c r="B99">
        <v>0.74</v>
      </c>
    </row>
    <row r="100" spans="1:2">
      <c r="A100" s="1">
        <v>42600</v>
      </c>
      <c r="B100">
        <v>0.71</v>
      </c>
    </row>
    <row r="101" spans="1:2">
      <c r="A101" s="1">
        <v>42601</v>
      </c>
      <c r="B101">
        <v>0.76</v>
      </c>
    </row>
    <row r="102" spans="1:2">
      <c r="A102" s="1">
        <v>42604</v>
      </c>
      <c r="B102">
        <v>0.76</v>
      </c>
    </row>
    <row r="103" spans="1:2">
      <c r="A103" s="1">
        <v>42605</v>
      </c>
      <c r="B103">
        <v>0.74</v>
      </c>
    </row>
    <row r="104" spans="1:2">
      <c r="A104" s="1">
        <v>42606</v>
      </c>
      <c r="B104">
        <v>0.76</v>
      </c>
    </row>
    <row r="105" spans="1:2">
      <c r="A105" s="1">
        <v>42607</v>
      </c>
      <c r="B105">
        <v>0.78</v>
      </c>
    </row>
    <row r="106" spans="1:2">
      <c r="A106" s="1">
        <v>42608</v>
      </c>
      <c r="B106">
        <v>0.84</v>
      </c>
    </row>
    <row r="107" spans="1:2">
      <c r="A107" s="1">
        <v>42611</v>
      </c>
      <c r="B107">
        <v>0.81</v>
      </c>
    </row>
    <row r="108" spans="1:2">
      <c r="A108" s="1">
        <v>42612</v>
      </c>
      <c r="B108">
        <v>0.8</v>
      </c>
    </row>
    <row r="109" spans="1:2">
      <c r="A109" s="1">
        <v>42613</v>
      </c>
      <c r="B109">
        <v>0.8</v>
      </c>
    </row>
    <row r="110" spans="1:2">
      <c r="A110" s="1">
        <v>42614</v>
      </c>
      <c r="B110">
        <v>0.78</v>
      </c>
    </row>
    <row r="111" spans="1:2">
      <c r="A111" s="1">
        <v>42615</v>
      </c>
      <c r="B111">
        <v>0.8</v>
      </c>
    </row>
    <row r="112" spans="1:2">
      <c r="A112" s="1">
        <v>42618</v>
      </c>
    </row>
    <row r="113" spans="1:2">
      <c r="A113" s="1">
        <v>42619</v>
      </c>
      <c r="B113">
        <v>0.74</v>
      </c>
    </row>
    <row r="114" spans="1:2">
      <c r="A114" s="1">
        <v>42620</v>
      </c>
      <c r="B114">
        <v>0.74</v>
      </c>
    </row>
    <row r="115" spans="1:2">
      <c r="A115" s="1">
        <v>42621</v>
      </c>
      <c r="B115">
        <v>0.78</v>
      </c>
    </row>
    <row r="116" spans="1:2">
      <c r="A116" s="1">
        <v>42622</v>
      </c>
      <c r="B116">
        <v>0.79</v>
      </c>
    </row>
    <row r="117" spans="1:2">
      <c r="A117" s="1">
        <v>42625</v>
      </c>
      <c r="B117">
        <v>0.79</v>
      </c>
    </row>
    <row r="118" spans="1:2">
      <c r="A118" s="1">
        <v>42626</v>
      </c>
      <c r="B118">
        <v>0.8</v>
      </c>
    </row>
    <row r="119" spans="1:2">
      <c r="A119" s="1">
        <v>42627</v>
      </c>
      <c r="B119">
        <v>0.77</v>
      </c>
    </row>
    <row r="120" spans="1:2">
      <c r="A120" s="1">
        <v>42628</v>
      </c>
      <c r="B120">
        <v>0.74</v>
      </c>
    </row>
    <row r="121" spans="1:2">
      <c r="A121" s="1">
        <v>42629</v>
      </c>
      <c r="B121">
        <v>0.77</v>
      </c>
    </row>
    <row r="122" spans="1:2">
      <c r="A122" s="1">
        <v>42632</v>
      </c>
      <c r="B122">
        <v>0.79</v>
      </c>
    </row>
    <row r="123" spans="1:2">
      <c r="A123" s="1">
        <v>42633</v>
      </c>
      <c r="B123">
        <v>0.79</v>
      </c>
    </row>
    <row r="124" spans="1:2">
      <c r="A124" s="1">
        <v>42634</v>
      </c>
      <c r="B124">
        <v>0.79</v>
      </c>
    </row>
    <row r="125" spans="1:2">
      <c r="A125" s="1">
        <v>42635</v>
      </c>
      <c r="B125">
        <v>0.79</v>
      </c>
    </row>
    <row r="126" spans="1:2">
      <c r="A126" s="1">
        <v>42636</v>
      </c>
      <c r="B126">
        <v>0.77</v>
      </c>
    </row>
    <row r="127" spans="1:2">
      <c r="A127" s="1">
        <v>42639</v>
      </c>
      <c r="B127">
        <v>0.76</v>
      </c>
    </row>
    <row r="128" spans="1:2">
      <c r="A128" s="1">
        <v>42640</v>
      </c>
      <c r="B128">
        <v>0.75</v>
      </c>
    </row>
    <row r="129" spans="1:2">
      <c r="A129" s="1">
        <v>42641</v>
      </c>
      <c r="B129">
        <v>0.75</v>
      </c>
    </row>
    <row r="130" spans="1:2">
      <c r="A130" s="1">
        <v>42642</v>
      </c>
      <c r="B130">
        <v>0.73</v>
      </c>
    </row>
    <row r="131" spans="1:2">
      <c r="A131" s="1">
        <v>42643</v>
      </c>
      <c r="B131">
        <v>0.77</v>
      </c>
    </row>
    <row r="132" spans="1:2">
      <c r="A132" s="1">
        <v>42646</v>
      </c>
      <c r="B132">
        <v>0.8</v>
      </c>
    </row>
    <row r="133" spans="1:2">
      <c r="A133" s="1">
        <v>42647</v>
      </c>
      <c r="B133">
        <v>0.82</v>
      </c>
    </row>
    <row r="134" spans="1:2">
      <c r="A134" s="1">
        <v>42648</v>
      </c>
      <c r="B134">
        <v>0.85</v>
      </c>
    </row>
    <row r="135" spans="1:2">
      <c r="A135" s="1">
        <v>42649</v>
      </c>
      <c r="B135">
        <v>0.86</v>
      </c>
    </row>
    <row r="136" spans="1:2">
      <c r="A136" s="1">
        <v>42650</v>
      </c>
      <c r="B136">
        <v>0.83</v>
      </c>
    </row>
    <row r="137" spans="1:2">
      <c r="A137" s="1">
        <v>42653</v>
      </c>
    </row>
    <row r="138" spans="1:2">
      <c r="A138" s="1">
        <v>42654</v>
      </c>
      <c r="B138">
        <v>0.87</v>
      </c>
    </row>
    <row r="139" spans="1:2">
      <c r="A139" s="1">
        <v>42655</v>
      </c>
      <c r="B139">
        <v>0.87</v>
      </c>
    </row>
    <row r="140" spans="1:2">
      <c r="A140" s="1">
        <v>42656</v>
      </c>
      <c r="B140">
        <v>0.85</v>
      </c>
    </row>
    <row r="141" spans="1:2">
      <c r="A141" s="1">
        <v>42657</v>
      </c>
      <c r="B141">
        <v>0.84</v>
      </c>
    </row>
    <row r="142" spans="1:2">
      <c r="A142" s="1">
        <v>42660</v>
      </c>
      <c r="B142">
        <v>0.81</v>
      </c>
    </row>
    <row r="143" spans="1:2">
      <c r="A143" s="1">
        <v>42661</v>
      </c>
      <c r="B143">
        <v>0.82</v>
      </c>
    </row>
    <row r="144" spans="1:2">
      <c r="A144" s="1">
        <v>42662</v>
      </c>
      <c r="B144">
        <v>0.81</v>
      </c>
    </row>
    <row r="145" spans="1:2">
      <c r="A145" s="1">
        <v>42663</v>
      </c>
      <c r="B145">
        <v>0.84</v>
      </c>
    </row>
    <row r="146" spans="1:2">
      <c r="A146" s="1">
        <v>42664</v>
      </c>
      <c r="B146">
        <v>0.84</v>
      </c>
    </row>
    <row r="147" spans="1:2">
      <c r="A147" s="1">
        <v>42667</v>
      </c>
      <c r="B147">
        <v>0.84</v>
      </c>
    </row>
    <row r="148" spans="1:2">
      <c r="A148" s="1">
        <v>42668</v>
      </c>
      <c r="B148">
        <v>0.86</v>
      </c>
    </row>
    <row r="149" spans="1:2">
      <c r="A149" s="1">
        <v>42669</v>
      </c>
      <c r="B149">
        <v>0.86</v>
      </c>
    </row>
    <row r="150" spans="1:2">
      <c r="A150" s="1">
        <v>42670</v>
      </c>
      <c r="B150">
        <v>0.87</v>
      </c>
    </row>
    <row r="151" spans="1:2">
      <c r="A151" s="1">
        <v>42671</v>
      </c>
      <c r="B151">
        <v>0.86</v>
      </c>
    </row>
    <row r="152" spans="1:2">
      <c r="A152" s="1">
        <v>42674</v>
      </c>
      <c r="B152">
        <v>0.86</v>
      </c>
    </row>
    <row r="153" spans="1:2">
      <c r="A153" s="1">
        <v>42675</v>
      </c>
      <c r="B153">
        <v>0.83</v>
      </c>
    </row>
    <row r="154" spans="1:2">
      <c r="A154" s="1">
        <v>42676</v>
      </c>
      <c r="B154">
        <v>0.81</v>
      </c>
    </row>
    <row r="155" spans="1:2">
      <c r="A155" s="1">
        <v>42677</v>
      </c>
      <c r="B155">
        <v>0.81</v>
      </c>
    </row>
    <row r="156" spans="1:2">
      <c r="A156" s="1">
        <v>42678</v>
      </c>
      <c r="B156">
        <v>0.8</v>
      </c>
    </row>
    <row r="157" spans="1:2">
      <c r="A157" s="1">
        <v>42681</v>
      </c>
      <c r="B157">
        <v>0.82</v>
      </c>
    </row>
    <row r="158" spans="1:2">
      <c r="A158" s="1">
        <v>42682</v>
      </c>
      <c r="B158">
        <v>0.87</v>
      </c>
    </row>
    <row r="159" spans="1:2">
      <c r="A159" s="1">
        <v>42683</v>
      </c>
      <c r="B159">
        <v>0.9</v>
      </c>
    </row>
    <row r="160" spans="1:2">
      <c r="A160" s="1">
        <v>42684</v>
      </c>
      <c r="B160">
        <v>0.92</v>
      </c>
    </row>
    <row r="161" spans="1:2">
      <c r="A161" s="1">
        <v>42685</v>
      </c>
    </row>
    <row r="162" spans="1:2">
      <c r="A162" s="1">
        <v>42688</v>
      </c>
      <c r="B162">
        <v>1</v>
      </c>
    </row>
    <row r="163" spans="1:2">
      <c r="A163" s="1">
        <v>42689</v>
      </c>
      <c r="B163">
        <v>1.02</v>
      </c>
    </row>
    <row r="164" spans="1:2">
      <c r="A164" s="1">
        <v>42690</v>
      </c>
      <c r="B164">
        <v>1</v>
      </c>
    </row>
    <row r="165" spans="1:2">
      <c r="A165" s="1">
        <v>42691</v>
      </c>
      <c r="B165">
        <v>1.04</v>
      </c>
    </row>
    <row r="166" spans="1:2">
      <c r="A166" s="1">
        <v>42692</v>
      </c>
      <c r="B166">
        <v>1.07</v>
      </c>
    </row>
    <row r="167" spans="1:2">
      <c r="A167" s="1">
        <v>42695</v>
      </c>
      <c r="B167">
        <v>1.08</v>
      </c>
    </row>
    <row r="168" spans="1:2">
      <c r="A168" s="1">
        <v>42696</v>
      </c>
      <c r="B168">
        <v>1.07</v>
      </c>
    </row>
    <row r="169" spans="1:2">
      <c r="A169" s="1">
        <v>42697</v>
      </c>
      <c r="B169">
        <v>1.1200000000000001</v>
      </c>
    </row>
    <row r="170" spans="1:2">
      <c r="A170" s="1">
        <v>42698</v>
      </c>
    </row>
    <row r="171" spans="1:2">
      <c r="A171" s="1">
        <v>42699</v>
      </c>
      <c r="B171">
        <v>1.1200000000000001</v>
      </c>
    </row>
    <row r="172" spans="1:2">
      <c r="A172" s="1">
        <v>42702</v>
      </c>
      <c r="B172">
        <v>1.1100000000000001</v>
      </c>
    </row>
    <row r="173" spans="1:2">
      <c r="A173" s="1">
        <v>42703</v>
      </c>
      <c r="B173">
        <v>1.0900000000000001</v>
      </c>
    </row>
    <row r="174" spans="1:2">
      <c r="A174" s="1">
        <v>42704</v>
      </c>
      <c r="B174">
        <v>1.1100000000000001</v>
      </c>
    </row>
    <row r="175" spans="1:2">
      <c r="A175" s="1">
        <v>42705</v>
      </c>
      <c r="B175">
        <v>1.1399999999999999</v>
      </c>
    </row>
    <row r="176" spans="1:2">
      <c r="A176" s="1">
        <v>42706</v>
      </c>
      <c r="B176">
        <v>1.1100000000000001</v>
      </c>
    </row>
    <row r="177" spans="1:2">
      <c r="A177" s="1">
        <v>42709</v>
      </c>
      <c r="B177">
        <v>1.1299999999999999</v>
      </c>
    </row>
    <row r="178" spans="1:2">
      <c r="A178" s="1">
        <v>42710</v>
      </c>
      <c r="B178">
        <v>1.1200000000000001</v>
      </c>
    </row>
    <row r="179" spans="1:2">
      <c r="A179" s="1">
        <v>42711</v>
      </c>
      <c r="B179">
        <v>1.1000000000000001</v>
      </c>
    </row>
    <row r="180" spans="1:2">
      <c r="A180" s="1">
        <v>42712</v>
      </c>
      <c r="B180">
        <v>1.1200000000000001</v>
      </c>
    </row>
    <row r="181" spans="1:2">
      <c r="A181" s="1">
        <v>42713</v>
      </c>
      <c r="B181">
        <v>1.1499999999999999</v>
      </c>
    </row>
    <row r="182" spans="1:2">
      <c r="A182" s="1">
        <v>42716</v>
      </c>
      <c r="B182">
        <v>1.1499999999999999</v>
      </c>
    </row>
    <row r="183" spans="1:2">
      <c r="A183" s="1">
        <v>42717</v>
      </c>
      <c r="B183">
        <v>1.17</v>
      </c>
    </row>
    <row r="184" spans="1:2">
      <c r="A184" s="1">
        <v>42718</v>
      </c>
      <c r="B184">
        <v>1.27</v>
      </c>
    </row>
    <row r="185" spans="1:2">
      <c r="A185" s="1">
        <v>42719</v>
      </c>
      <c r="B185">
        <v>1.29</v>
      </c>
    </row>
    <row r="186" spans="1:2">
      <c r="A186" s="1">
        <v>42720</v>
      </c>
      <c r="B186">
        <v>1.28</v>
      </c>
    </row>
    <row r="187" spans="1:2">
      <c r="A187" s="1">
        <v>42723</v>
      </c>
      <c r="B187">
        <v>1.24</v>
      </c>
    </row>
    <row r="188" spans="1:2">
      <c r="A188" s="1">
        <v>42724</v>
      </c>
      <c r="B188">
        <v>1.25</v>
      </c>
    </row>
    <row r="189" spans="1:2">
      <c r="A189" s="1">
        <v>42725</v>
      </c>
      <c r="B189">
        <v>1.21</v>
      </c>
    </row>
    <row r="190" spans="1:2">
      <c r="A190" s="1">
        <v>42726</v>
      </c>
      <c r="B190">
        <v>1.22</v>
      </c>
    </row>
    <row r="191" spans="1:2">
      <c r="A191" s="1">
        <v>42727</v>
      </c>
      <c r="B191">
        <v>1.22</v>
      </c>
    </row>
    <row r="192" spans="1:2">
      <c r="A192" s="1">
        <v>42730</v>
      </c>
    </row>
    <row r="193" spans="1:2">
      <c r="A193" s="1">
        <v>42731</v>
      </c>
      <c r="B193">
        <v>1.28</v>
      </c>
    </row>
    <row r="194" spans="1:2">
      <c r="A194" s="1">
        <v>42732</v>
      </c>
      <c r="B194">
        <v>1.26</v>
      </c>
    </row>
    <row r="195" spans="1:2">
      <c r="A195" s="1">
        <v>42733</v>
      </c>
      <c r="B195">
        <v>1.22</v>
      </c>
    </row>
    <row r="196" spans="1:2">
      <c r="A196" s="1">
        <v>42734</v>
      </c>
      <c r="B196">
        <v>1.2</v>
      </c>
    </row>
    <row r="197" spans="1:2">
      <c r="A197" s="1">
        <v>42737</v>
      </c>
    </row>
    <row r="198" spans="1:2">
      <c r="A198" s="1">
        <v>42738</v>
      </c>
      <c r="B198">
        <v>1.22</v>
      </c>
    </row>
    <row r="199" spans="1:2">
      <c r="A199" s="1">
        <v>42739</v>
      </c>
      <c r="B199">
        <v>1.24</v>
      </c>
    </row>
    <row r="200" spans="1:2">
      <c r="A200" s="1">
        <v>42740</v>
      </c>
      <c r="B200">
        <v>1.17</v>
      </c>
    </row>
    <row r="201" spans="1:2">
      <c r="A201" s="1">
        <v>42741</v>
      </c>
      <c r="B201">
        <v>1.22</v>
      </c>
    </row>
    <row r="202" spans="1:2">
      <c r="A202" s="1">
        <v>42744</v>
      </c>
      <c r="B202">
        <v>1.21</v>
      </c>
    </row>
    <row r="203" spans="1:2">
      <c r="A203" s="1">
        <v>42745</v>
      </c>
      <c r="B203">
        <v>1.19</v>
      </c>
    </row>
    <row r="204" spans="1:2">
      <c r="A204" s="1">
        <v>42746</v>
      </c>
      <c r="B204">
        <v>1.2</v>
      </c>
    </row>
    <row r="205" spans="1:2">
      <c r="A205" s="1">
        <v>42747</v>
      </c>
      <c r="B205">
        <v>1.18</v>
      </c>
    </row>
    <row r="206" spans="1:2">
      <c r="A206" s="1">
        <v>42748</v>
      </c>
      <c r="B206">
        <v>1.21</v>
      </c>
    </row>
    <row r="207" spans="1:2">
      <c r="A207" s="1">
        <v>42751</v>
      </c>
    </row>
    <row r="208" spans="1:2">
      <c r="A208" s="1">
        <v>42752</v>
      </c>
      <c r="B208">
        <v>1.17</v>
      </c>
    </row>
    <row r="209" spans="1:2">
      <c r="A209" s="1">
        <v>42753</v>
      </c>
      <c r="B209">
        <v>1.23</v>
      </c>
    </row>
    <row r="210" spans="1:2">
      <c r="A210" s="1">
        <v>42754</v>
      </c>
      <c r="B210">
        <v>1.25</v>
      </c>
    </row>
    <row r="211" spans="1:2">
      <c r="A211" s="1">
        <v>42755</v>
      </c>
      <c r="B211">
        <v>1.2</v>
      </c>
    </row>
    <row r="212" spans="1:2">
      <c r="A212" s="1">
        <v>42758</v>
      </c>
      <c r="B212">
        <v>1.1599999999999999</v>
      </c>
    </row>
    <row r="213" spans="1:2">
      <c r="A213" s="1">
        <v>42759</v>
      </c>
      <c r="B213">
        <v>1.21</v>
      </c>
    </row>
    <row r="214" spans="1:2">
      <c r="A214" s="1">
        <v>42760</v>
      </c>
      <c r="B214">
        <v>1.23</v>
      </c>
    </row>
    <row r="215" spans="1:2">
      <c r="A215" s="1">
        <v>42761</v>
      </c>
      <c r="B215">
        <v>1.21</v>
      </c>
    </row>
    <row r="216" spans="1:2">
      <c r="A216" s="1">
        <v>42762</v>
      </c>
      <c r="B216">
        <v>1.22</v>
      </c>
    </row>
    <row r="217" spans="1:2">
      <c r="A217" s="1">
        <v>42765</v>
      </c>
      <c r="B217">
        <v>1.22</v>
      </c>
    </row>
    <row r="218" spans="1:2">
      <c r="A218" s="1">
        <v>42766</v>
      </c>
      <c r="B218">
        <v>1.19</v>
      </c>
    </row>
    <row r="219" spans="1:2">
      <c r="A219" s="1">
        <v>42767</v>
      </c>
      <c r="B219">
        <v>1.22</v>
      </c>
    </row>
    <row r="220" spans="1:2">
      <c r="A220" s="1">
        <v>42768</v>
      </c>
      <c r="B220">
        <v>1.21</v>
      </c>
    </row>
    <row r="221" spans="1:2">
      <c r="A221" s="1">
        <v>42769</v>
      </c>
      <c r="B221">
        <v>1.21</v>
      </c>
    </row>
    <row r="222" spans="1:2">
      <c r="A222" s="1">
        <v>42772</v>
      </c>
      <c r="B222">
        <v>1.1599999999999999</v>
      </c>
    </row>
    <row r="223" spans="1:2">
      <c r="A223" s="1">
        <v>42773</v>
      </c>
      <c r="B223">
        <v>1.1599999999999999</v>
      </c>
    </row>
    <row r="224" spans="1:2">
      <c r="A224" s="1">
        <v>42774</v>
      </c>
      <c r="B224">
        <v>1.1499999999999999</v>
      </c>
    </row>
    <row r="225" spans="1:2">
      <c r="A225" s="1">
        <v>42775</v>
      </c>
      <c r="B225">
        <v>1.2</v>
      </c>
    </row>
    <row r="226" spans="1:2">
      <c r="A226" s="1">
        <v>42776</v>
      </c>
      <c r="B226">
        <v>1.2</v>
      </c>
    </row>
    <row r="227" spans="1:2">
      <c r="A227" s="1">
        <v>42779</v>
      </c>
      <c r="B227">
        <v>1.2</v>
      </c>
    </row>
    <row r="228" spans="1:2">
      <c r="A228" s="1">
        <v>42780</v>
      </c>
      <c r="B228">
        <v>1.25</v>
      </c>
    </row>
    <row r="229" spans="1:2">
      <c r="A229" s="1">
        <v>42781</v>
      </c>
      <c r="B229">
        <v>1.27</v>
      </c>
    </row>
    <row r="230" spans="1:2">
      <c r="A230" s="1">
        <v>42782</v>
      </c>
      <c r="B230">
        <v>1.22</v>
      </c>
    </row>
    <row r="231" spans="1:2">
      <c r="A231" s="1">
        <v>42783</v>
      </c>
      <c r="B231">
        <v>1.21</v>
      </c>
    </row>
    <row r="232" spans="1:2">
      <c r="A232" s="1">
        <v>42786</v>
      </c>
    </row>
    <row r="233" spans="1:2">
      <c r="A233" s="1">
        <v>42787</v>
      </c>
      <c r="B233">
        <v>1.22</v>
      </c>
    </row>
    <row r="234" spans="1:2">
      <c r="A234" s="1">
        <v>42788</v>
      </c>
      <c r="B234">
        <v>1.22</v>
      </c>
    </row>
    <row r="235" spans="1:2">
      <c r="A235" s="1">
        <v>42789</v>
      </c>
      <c r="B235">
        <v>1.18</v>
      </c>
    </row>
    <row r="236" spans="1:2">
      <c r="A236" s="1">
        <v>42790</v>
      </c>
      <c r="B236">
        <v>1.1200000000000001</v>
      </c>
    </row>
    <row r="237" spans="1:2">
      <c r="A237" s="1">
        <v>42793</v>
      </c>
      <c r="B237">
        <v>1.2</v>
      </c>
    </row>
    <row r="238" spans="1:2">
      <c r="A238" s="1">
        <v>42794</v>
      </c>
      <c r="B238">
        <v>1.22</v>
      </c>
    </row>
    <row r="239" spans="1:2">
      <c r="A239" s="1">
        <v>42795</v>
      </c>
      <c r="B239">
        <v>1.29</v>
      </c>
    </row>
    <row r="240" spans="1:2">
      <c r="A240" s="1">
        <v>42796</v>
      </c>
      <c r="B240">
        <v>1.32</v>
      </c>
    </row>
    <row r="241" spans="1:2">
      <c r="A241" s="1">
        <v>42797</v>
      </c>
      <c r="B241">
        <v>1.32</v>
      </c>
    </row>
    <row r="242" spans="1:2">
      <c r="A242" s="1">
        <v>42800</v>
      </c>
      <c r="B242">
        <v>1.31</v>
      </c>
    </row>
    <row r="243" spans="1:2">
      <c r="A243" s="1">
        <v>42801</v>
      </c>
      <c r="B243">
        <v>1.32</v>
      </c>
    </row>
    <row r="244" spans="1:2">
      <c r="A244" s="1">
        <v>42802</v>
      </c>
      <c r="B244">
        <v>1.36</v>
      </c>
    </row>
    <row r="245" spans="1:2">
      <c r="A245" s="1">
        <v>42803</v>
      </c>
      <c r="B245">
        <v>1.37</v>
      </c>
    </row>
    <row r="246" spans="1:2">
      <c r="A246" s="1">
        <v>42804</v>
      </c>
      <c r="B246">
        <v>1.36</v>
      </c>
    </row>
    <row r="247" spans="1:2">
      <c r="A247" s="1">
        <v>42807</v>
      </c>
      <c r="B247">
        <v>1.4</v>
      </c>
    </row>
    <row r="248" spans="1:2">
      <c r="A248" s="1">
        <v>42808</v>
      </c>
      <c r="B248">
        <v>1.4</v>
      </c>
    </row>
    <row r="249" spans="1:2">
      <c r="A249" s="1">
        <v>42809</v>
      </c>
      <c r="B249">
        <v>1.33</v>
      </c>
    </row>
    <row r="250" spans="1:2">
      <c r="A250" s="1">
        <v>42810</v>
      </c>
      <c r="B250">
        <v>1.35</v>
      </c>
    </row>
    <row r="251" spans="1:2">
      <c r="A251" s="1">
        <v>42811</v>
      </c>
      <c r="B251">
        <v>1.33</v>
      </c>
    </row>
    <row r="252" spans="1:2">
      <c r="A252" s="1">
        <v>42814</v>
      </c>
      <c r="B252">
        <v>1.3</v>
      </c>
    </row>
    <row r="253" spans="1:2">
      <c r="A253" s="1">
        <v>42815</v>
      </c>
      <c r="B253">
        <v>1.27</v>
      </c>
    </row>
    <row r="254" spans="1:2">
      <c r="A254" s="1">
        <v>42816</v>
      </c>
      <c r="B254">
        <v>1.27</v>
      </c>
    </row>
    <row r="255" spans="1:2">
      <c r="A255" s="1">
        <v>42817</v>
      </c>
      <c r="B255">
        <v>1.26</v>
      </c>
    </row>
    <row r="256" spans="1:2">
      <c r="A256" s="1">
        <v>42818</v>
      </c>
      <c r="B256">
        <v>1.26</v>
      </c>
    </row>
    <row r="257" spans="1:2">
      <c r="A257" s="1">
        <v>42821</v>
      </c>
      <c r="B257">
        <v>1.27</v>
      </c>
    </row>
    <row r="258" spans="1:2">
      <c r="A258" s="1">
        <v>42822</v>
      </c>
      <c r="B258">
        <v>1.3</v>
      </c>
    </row>
    <row r="259" spans="1:2">
      <c r="A259" s="1">
        <v>42823</v>
      </c>
      <c r="B259">
        <v>1.26</v>
      </c>
    </row>
    <row r="260" spans="1:2">
      <c r="A260" s="1">
        <v>42824</v>
      </c>
      <c r="B260">
        <v>1.28</v>
      </c>
    </row>
    <row r="261" spans="1:2">
      <c r="A261" s="1">
        <v>42825</v>
      </c>
      <c r="B261">
        <v>1.27</v>
      </c>
    </row>
    <row r="262" spans="1:2">
      <c r="A262" s="1">
        <v>42828</v>
      </c>
      <c r="B262">
        <v>1.24</v>
      </c>
    </row>
    <row r="263" spans="1:2">
      <c r="A263" s="1">
        <v>42829</v>
      </c>
      <c r="B263">
        <v>1.25</v>
      </c>
    </row>
    <row r="264" spans="1:2">
      <c r="A264" s="1">
        <v>42830</v>
      </c>
      <c r="B264">
        <v>1.24</v>
      </c>
    </row>
    <row r="265" spans="1:2">
      <c r="A265" s="1">
        <v>42831</v>
      </c>
      <c r="B265">
        <v>1.24</v>
      </c>
    </row>
    <row r="266" spans="1:2">
      <c r="A266" s="1">
        <v>42832</v>
      </c>
      <c r="B266">
        <v>1.29</v>
      </c>
    </row>
    <row r="267" spans="1:2">
      <c r="A267" s="1">
        <v>42835</v>
      </c>
      <c r="B267">
        <v>1.29</v>
      </c>
    </row>
    <row r="268" spans="1:2">
      <c r="A268" s="1">
        <v>42836</v>
      </c>
      <c r="B268">
        <v>1.24</v>
      </c>
    </row>
    <row r="269" spans="1:2">
      <c r="A269" s="1">
        <v>42837</v>
      </c>
      <c r="B269">
        <v>1.24</v>
      </c>
    </row>
    <row r="270" spans="1:2">
      <c r="A270" s="1">
        <v>42838</v>
      </c>
      <c r="B270">
        <v>1.21</v>
      </c>
    </row>
    <row r="271" spans="1:2">
      <c r="A271" s="1">
        <v>42839</v>
      </c>
    </row>
    <row r="272" spans="1:2">
      <c r="A272" s="1">
        <v>42842</v>
      </c>
      <c r="B272">
        <v>1.21</v>
      </c>
    </row>
    <row r="273" spans="1:2">
      <c r="A273" s="1">
        <v>42843</v>
      </c>
      <c r="B273">
        <v>1.18</v>
      </c>
    </row>
    <row r="274" spans="1:2">
      <c r="A274" s="1">
        <v>42844</v>
      </c>
      <c r="B274">
        <v>1.19</v>
      </c>
    </row>
    <row r="275" spans="1:2">
      <c r="A275" s="1">
        <v>42845</v>
      </c>
      <c r="B275">
        <v>1.21</v>
      </c>
    </row>
    <row r="276" spans="1:2">
      <c r="A276" s="1">
        <v>42846</v>
      </c>
      <c r="B276">
        <v>1.2</v>
      </c>
    </row>
    <row r="277" spans="1:2">
      <c r="A277" s="1">
        <v>42849</v>
      </c>
      <c r="B277">
        <v>1.25</v>
      </c>
    </row>
    <row r="278" spans="1:2">
      <c r="A278" s="1">
        <v>42850</v>
      </c>
      <c r="B278">
        <v>1.29</v>
      </c>
    </row>
    <row r="279" spans="1:2">
      <c r="A279" s="1">
        <v>42851</v>
      </c>
      <c r="B279">
        <v>1.28</v>
      </c>
    </row>
    <row r="280" spans="1:2">
      <c r="A280" s="1">
        <v>42852</v>
      </c>
      <c r="B280">
        <v>1.25</v>
      </c>
    </row>
    <row r="281" spans="1:2">
      <c r="A281" s="1">
        <v>42853</v>
      </c>
      <c r="B281">
        <v>1.28</v>
      </c>
    </row>
    <row r="282" spans="1:2">
      <c r="A282" s="1">
        <v>42856</v>
      </c>
      <c r="B282">
        <v>1.28</v>
      </c>
    </row>
    <row r="283" spans="1:2">
      <c r="A283" s="1">
        <v>42857</v>
      </c>
      <c r="B283">
        <v>1.27</v>
      </c>
    </row>
    <row r="284" spans="1:2">
      <c r="A284" s="1">
        <v>42858</v>
      </c>
      <c r="B284">
        <v>1.3</v>
      </c>
    </row>
    <row r="285" spans="1:2">
      <c r="A285" s="1">
        <v>42859</v>
      </c>
      <c r="B285">
        <v>1.32</v>
      </c>
    </row>
    <row r="286" spans="1:2">
      <c r="A286" s="1">
        <v>42860</v>
      </c>
      <c r="B286">
        <v>1.32</v>
      </c>
    </row>
    <row r="287" spans="1:2">
      <c r="A287" s="1">
        <v>42863</v>
      </c>
      <c r="B287">
        <v>1.33</v>
      </c>
    </row>
    <row r="288" spans="1:2">
      <c r="A288" s="1">
        <v>42864</v>
      </c>
      <c r="B288">
        <v>1.37</v>
      </c>
    </row>
    <row r="289" spans="1:2">
      <c r="A289" s="1">
        <v>42865</v>
      </c>
      <c r="B289">
        <v>1.35</v>
      </c>
    </row>
    <row r="290" spans="1:2">
      <c r="A290" s="1">
        <v>42866</v>
      </c>
      <c r="B290">
        <v>1.35</v>
      </c>
    </row>
    <row r="291" spans="1:2">
      <c r="A291" s="1">
        <v>42867</v>
      </c>
      <c r="B291">
        <v>1.29</v>
      </c>
    </row>
    <row r="292" spans="1:2">
      <c r="A292" s="1">
        <v>42870</v>
      </c>
      <c r="B292">
        <v>1.31</v>
      </c>
    </row>
    <row r="293" spans="1:2">
      <c r="A293" s="1">
        <v>42871</v>
      </c>
      <c r="B293">
        <v>1.29</v>
      </c>
    </row>
    <row r="294" spans="1:2">
      <c r="A294" s="1">
        <v>42872</v>
      </c>
      <c r="B294">
        <v>1.26</v>
      </c>
    </row>
    <row r="295" spans="1:2">
      <c r="A295" s="1">
        <v>42873</v>
      </c>
      <c r="B295">
        <v>1.27</v>
      </c>
    </row>
    <row r="296" spans="1:2">
      <c r="A296" s="1">
        <v>42874</v>
      </c>
      <c r="B296">
        <v>1.28</v>
      </c>
    </row>
    <row r="297" spans="1:2">
      <c r="A297" s="1">
        <v>42877</v>
      </c>
      <c r="B297">
        <v>1.29</v>
      </c>
    </row>
    <row r="298" spans="1:2">
      <c r="A298" s="1">
        <v>42878</v>
      </c>
      <c r="B298">
        <v>1.31</v>
      </c>
    </row>
    <row r="299" spans="1:2">
      <c r="A299" s="1">
        <v>42879</v>
      </c>
      <c r="B299">
        <v>1.29</v>
      </c>
    </row>
    <row r="300" spans="1:2">
      <c r="A300" s="1">
        <v>42880</v>
      </c>
      <c r="B300">
        <v>1.3</v>
      </c>
    </row>
    <row r="301" spans="1:2">
      <c r="A301" s="1">
        <v>42881</v>
      </c>
      <c r="B301">
        <v>1.3</v>
      </c>
    </row>
    <row r="302" spans="1:2">
      <c r="A302" s="1">
        <v>42884</v>
      </c>
    </row>
    <row r="303" spans="1:2">
      <c r="A303" s="1">
        <v>42885</v>
      </c>
      <c r="B303">
        <v>1.28</v>
      </c>
    </row>
    <row r="304" spans="1:2">
      <c r="A304" s="1">
        <v>42886</v>
      </c>
      <c r="B304">
        <v>1.28</v>
      </c>
    </row>
    <row r="305" spans="1:2">
      <c r="A305" s="1">
        <v>42887</v>
      </c>
      <c r="B305">
        <v>1.28</v>
      </c>
    </row>
    <row r="306" spans="1:2">
      <c r="A306" s="1">
        <v>42888</v>
      </c>
      <c r="B306">
        <v>1.28</v>
      </c>
    </row>
    <row r="307" spans="1:2">
      <c r="A307" s="1">
        <v>42891</v>
      </c>
      <c r="B307">
        <v>1.32</v>
      </c>
    </row>
    <row r="308" spans="1:2">
      <c r="A308" s="1">
        <v>42892</v>
      </c>
      <c r="B308">
        <v>1.3</v>
      </c>
    </row>
    <row r="309" spans="1:2">
      <c r="A309" s="1">
        <v>42893</v>
      </c>
      <c r="B309">
        <v>1.32</v>
      </c>
    </row>
    <row r="310" spans="1:2">
      <c r="A310" s="1">
        <v>42894</v>
      </c>
      <c r="B310">
        <v>1.33</v>
      </c>
    </row>
    <row r="311" spans="1:2">
      <c r="A311" s="1">
        <v>42895</v>
      </c>
      <c r="B311">
        <v>1.35</v>
      </c>
    </row>
    <row r="312" spans="1:2">
      <c r="A312" s="1">
        <v>42898</v>
      </c>
      <c r="B312">
        <v>1.35</v>
      </c>
    </row>
    <row r="313" spans="1:2">
      <c r="A313" s="1">
        <v>42899</v>
      </c>
      <c r="B313">
        <v>1.38</v>
      </c>
    </row>
    <row r="314" spans="1:2">
      <c r="A314" s="1">
        <v>42900</v>
      </c>
      <c r="B314">
        <v>1.35</v>
      </c>
    </row>
    <row r="315" spans="1:2">
      <c r="A315" s="1">
        <v>42901</v>
      </c>
      <c r="B315">
        <v>1.35</v>
      </c>
    </row>
    <row r="316" spans="1:2">
      <c r="A316" s="1">
        <v>42902</v>
      </c>
      <c r="B316">
        <v>1.32</v>
      </c>
    </row>
    <row r="317" spans="1:2">
      <c r="A317" s="1">
        <v>42905</v>
      </c>
      <c r="B317">
        <v>1.36</v>
      </c>
    </row>
    <row r="318" spans="1:2">
      <c r="A318" s="1">
        <v>42906</v>
      </c>
      <c r="B318">
        <v>1.36</v>
      </c>
    </row>
    <row r="319" spans="1:2">
      <c r="A319" s="1">
        <v>42907</v>
      </c>
      <c r="B319">
        <v>1.36</v>
      </c>
    </row>
    <row r="320" spans="1:2">
      <c r="A320" s="1">
        <v>42908</v>
      </c>
      <c r="B320">
        <v>1.34</v>
      </c>
    </row>
    <row r="321" spans="1:2">
      <c r="A321" s="1">
        <v>42909</v>
      </c>
      <c r="B321">
        <v>1.34</v>
      </c>
    </row>
    <row r="322" spans="1:2">
      <c r="A322" s="1">
        <v>42912</v>
      </c>
      <c r="B322">
        <v>1.36</v>
      </c>
    </row>
    <row r="323" spans="1:2">
      <c r="A323" s="1">
        <v>42913</v>
      </c>
      <c r="B323">
        <v>1.38</v>
      </c>
    </row>
    <row r="324" spans="1:2">
      <c r="A324" s="1">
        <v>42914</v>
      </c>
      <c r="B324">
        <v>1.34</v>
      </c>
    </row>
    <row r="325" spans="1:2">
      <c r="A325" s="1">
        <v>42915</v>
      </c>
      <c r="B325">
        <v>1.38</v>
      </c>
    </row>
    <row r="326" spans="1:2">
      <c r="A326" s="1">
        <v>42916</v>
      </c>
      <c r="B326">
        <v>1.38</v>
      </c>
    </row>
    <row r="327" spans="1:2">
      <c r="A327" s="1">
        <v>42919</v>
      </c>
      <c r="B327">
        <v>1.41</v>
      </c>
    </row>
    <row r="328" spans="1:2">
      <c r="A328" s="1">
        <v>42920</v>
      </c>
    </row>
    <row r="329" spans="1:2">
      <c r="A329" s="1">
        <v>42921</v>
      </c>
      <c r="B329">
        <v>1.41</v>
      </c>
    </row>
    <row r="330" spans="1:2">
      <c r="A330" s="1">
        <v>42922</v>
      </c>
      <c r="B330">
        <v>1.4</v>
      </c>
    </row>
    <row r="331" spans="1:2">
      <c r="A331" s="1">
        <v>42923</v>
      </c>
      <c r="B331">
        <v>1.4</v>
      </c>
    </row>
    <row r="332" spans="1:2">
      <c r="A332" s="1">
        <v>42926</v>
      </c>
      <c r="B332">
        <v>1.4</v>
      </c>
    </row>
    <row r="333" spans="1:2">
      <c r="A333" s="1">
        <v>42927</v>
      </c>
      <c r="B333">
        <v>1.37</v>
      </c>
    </row>
    <row r="334" spans="1:2">
      <c r="A334" s="1">
        <v>42928</v>
      </c>
      <c r="B334">
        <v>1.35</v>
      </c>
    </row>
    <row r="335" spans="1:2">
      <c r="A335" s="1">
        <v>42929</v>
      </c>
      <c r="B335">
        <v>1.37</v>
      </c>
    </row>
    <row r="336" spans="1:2">
      <c r="A336" s="1">
        <v>42930</v>
      </c>
      <c r="B336">
        <v>1.35</v>
      </c>
    </row>
    <row r="337" spans="1:2">
      <c r="A337" s="1">
        <v>42933</v>
      </c>
      <c r="B337">
        <v>1.36</v>
      </c>
    </row>
    <row r="338" spans="1:2">
      <c r="A338" s="1">
        <v>42934</v>
      </c>
      <c r="B338">
        <v>1.36</v>
      </c>
    </row>
    <row r="339" spans="1:2">
      <c r="A339" s="1">
        <v>42935</v>
      </c>
      <c r="B339">
        <v>1.37</v>
      </c>
    </row>
    <row r="340" spans="1:2">
      <c r="A340" s="1">
        <v>42936</v>
      </c>
      <c r="B340">
        <v>1.37</v>
      </c>
    </row>
    <row r="341" spans="1:2">
      <c r="A341" s="1">
        <v>42937</v>
      </c>
      <c r="B341">
        <v>1.36</v>
      </c>
    </row>
    <row r="342" spans="1:2">
      <c r="A342" s="1">
        <v>42940</v>
      </c>
      <c r="B342">
        <v>1.37</v>
      </c>
    </row>
    <row r="343" spans="1:2">
      <c r="A343" s="1">
        <v>42941</v>
      </c>
      <c r="B343">
        <v>1.4</v>
      </c>
    </row>
    <row r="344" spans="1:2">
      <c r="A344" s="1">
        <v>42942</v>
      </c>
      <c r="B344">
        <v>1.36</v>
      </c>
    </row>
    <row r="345" spans="1:2">
      <c r="A345" s="1">
        <v>42943</v>
      </c>
      <c r="B345">
        <v>1.36</v>
      </c>
    </row>
    <row r="346" spans="1:2">
      <c r="A346" s="1">
        <v>42944</v>
      </c>
      <c r="B346">
        <v>1.34</v>
      </c>
    </row>
    <row r="347" spans="1:2">
      <c r="A347" s="1">
        <v>42947</v>
      </c>
      <c r="B347">
        <v>1.34</v>
      </c>
    </row>
    <row r="348" spans="1:2">
      <c r="A348" s="1">
        <v>42948</v>
      </c>
      <c r="B348">
        <v>1.34</v>
      </c>
    </row>
    <row r="349" spans="1:2">
      <c r="A349" s="1">
        <v>42949</v>
      </c>
      <c r="B349">
        <v>1.36</v>
      </c>
    </row>
    <row r="350" spans="1:2">
      <c r="A350" s="1">
        <v>42950</v>
      </c>
      <c r="B350">
        <v>1.34</v>
      </c>
    </row>
    <row r="351" spans="1:2">
      <c r="A351" s="1">
        <v>42951</v>
      </c>
      <c r="B351">
        <v>1.36</v>
      </c>
    </row>
    <row r="352" spans="1:2">
      <c r="A352" s="1">
        <v>42954</v>
      </c>
      <c r="B352">
        <v>1.36</v>
      </c>
    </row>
    <row r="353" spans="1:2">
      <c r="A353" s="1">
        <v>42955</v>
      </c>
      <c r="B353">
        <v>1.36</v>
      </c>
    </row>
    <row r="354" spans="1:2">
      <c r="A354" s="1">
        <v>42956</v>
      </c>
      <c r="B354">
        <v>1.33</v>
      </c>
    </row>
    <row r="355" spans="1:2">
      <c r="A355" s="1">
        <v>42957</v>
      </c>
      <c r="B355">
        <v>1.33</v>
      </c>
    </row>
    <row r="356" spans="1:2">
      <c r="A356" s="1">
        <v>42958</v>
      </c>
      <c r="B356">
        <v>1.3</v>
      </c>
    </row>
    <row r="357" spans="1:2">
      <c r="A357" s="1">
        <v>42961</v>
      </c>
      <c r="B357">
        <v>1.33</v>
      </c>
    </row>
    <row r="358" spans="1:2">
      <c r="A358" s="1">
        <v>42962</v>
      </c>
      <c r="B358">
        <v>1.35</v>
      </c>
    </row>
    <row r="359" spans="1:2">
      <c r="A359" s="1">
        <v>42963</v>
      </c>
      <c r="B359">
        <v>1.33</v>
      </c>
    </row>
    <row r="360" spans="1:2">
      <c r="A360" s="1">
        <v>42964</v>
      </c>
      <c r="B360">
        <v>1.32</v>
      </c>
    </row>
    <row r="361" spans="1:2">
      <c r="A361" s="1">
        <v>42965</v>
      </c>
      <c r="B361">
        <v>1.33</v>
      </c>
    </row>
    <row r="362" spans="1:2">
      <c r="A362" s="1">
        <v>42968</v>
      </c>
      <c r="B362">
        <v>1.32</v>
      </c>
    </row>
    <row r="363" spans="1:2">
      <c r="A363" s="1">
        <v>42969</v>
      </c>
      <c r="B363">
        <v>1.33</v>
      </c>
    </row>
    <row r="364" spans="1:2">
      <c r="A364" s="1">
        <v>42970</v>
      </c>
      <c r="B364">
        <v>1.32</v>
      </c>
    </row>
    <row r="365" spans="1:2">
      <c r="A365" s="1">
        <v>42971</v>
      </c>
      <c r="B365">
        <v>1.33</v>
      </c>
    </row>
    <row r="366" spans="1:2">
      <c r="A366" s="1">
        <v>42972</v>
      </c>
      <c r="B366">
        <v>1.35</v>
      </c>
    </row>
    <row r="367" spans="1:2">
      <c r="A367" s="1">
        <v>42975</v>
      </c>
      <c r="B367">
        <v>1.33</v>
      </c>
    </row>
    <row r="368" spans="1:2">
      <c r="A368" s="1">
        <v>42976</v>
      </c>
      <c r="B368">
        <v>1.33</v>
      </c>
    </row>
    <row r="369" spans="1:2">
      <c r="A369" s="1">
        <v>42977</v>
      </c>
      <c r="B369">
        <v>1.33</v>
      </c>
    </row>
    <row r="370" spans="1:2">
      <c r="A370" s="1">
        <v>42978</v>
      </c>
      <c r="B370">
        <v>1.33</v>
      </c>
    </row>
    <row r="371" spans="1:2">
      <c r="A371" s="1">
        <v>42979</v>
      </c>
      <c r="B371">
        <v>1.35</v>
      </c>
    </row>
    <row r="372" spans="1:2">
      <c r="A372" s="1">
        <v>42982</v>
      </c>
    </row>
    <row r="373" spans="1:2">
      <c r="A373" s="1">
        <v>42983</v>
      </c>
      <c r="B373">
        <v>1.3</v>
      </c>
    </row>
    <row r="374" spans="1:2">
      <c r="A374" s="1">
        <v>42984</v>
      </c>
      <c r="B374">
        <v>1.3</v>
      </c>
    </row>
    <row r="375" spans="1:2">
      <c r="A375" s="1">
        <v>42985</v>
      </c>
      <c r="B375">
        <v>1.27</v>
      </c>
    </row>
    <row r="376" spans="1:2">
      <c r="A376" s="1">
        <v>42986</v>
      </c>
      <c r="B376">
        <v>1.27</v>
      </c>
    </row>
    <row r="377" spans="1:2">
      <c r="A377" s="1">
        <v>42989</v>
      </c>
      <c r="B377">
        <v>1.32</v>
      </c>
    </row>
    <row r="378" spans="1:2">
      <c r="A378" s="1">
        <v>42990</v>
      </c>
      <c r="B378">
        <v>1.33</v>
      </c>
    </row>
    <row r="379" spans="1:2">
      <c r="A379" s="1">
        <v>42991</v>
      </c>
      <c r="B379">
        <v>1.35</v>
      </c>
    </row>
    <row r="380" spans="1:2">
      <c r="A380" s="1">
        <v>42992</v>
      </c>
      <c r="B380">
        <v>1.37</v>
      </c>
    </row>
    <row r="381" spans="1:2">
      <c r="A381" s="1">
        <v>42993</v>
      </c>
      <c r="B381">
        <v>1.39</v>
      </c>
    </row>
    <row r="382" spans="1:2">
      <c r="A382" s="1">
        <v>42996</v>
      </c>
      <c r="B382">
        <v>1.4</v>
      </c>
    </row>
    <row r="383" spans="1:2">
      <c r="A383" s="1">
        <v>42997</v>
      </c>
      <c r="B383">
        <v>1.4</v>
      </c>
    </row>
    <row r="384" spans="1:2">
      <c r="A384" s="1">
        <v>42998</v>
      </c>
      <c r="B384">
        <v>1.45</v>
      </c>
    </row>
    <row r="385" spans="1:2">
      <c r="A385" s="1">
        <v>42999</v>
      </c>
      <c r="B385">
        <v>1.45</v>
      </c>
    </row>
    <row r="386" spans="1:2">
      <c r="A386" s="1">
        <v>43000</v>
      </c>
      <c r="B386">
        <v>1.46</v>
      </c>
    </row>
    <row r="387" spans="1:2">
      <c r="A387" s="1">
        <v>43003</v>
      </c>
      <c r="B387">
        <v>1.44</v>
      </c>
    </row>
    <row r="388" spans="1:2">
      <c r="A388" s="1">
        <v>43004</v>
      </c>
      <c r="B388">
        <v>1.45</v>
      </c>
    </row>
    <row r="389" spans="1:2">
      <c r="A389" s="1">
        <v>43005</v>
      </c>
      <c r="B389">
        <v>1.47</v>
      </c>
    </row>
    <row r="390" spans="1:2">
      <c r="A390" s="1">
        <v>43006</v>
      </c>
      <c r="B390">
        <v>1.45</v>
      </c>
    </row>
    <row r="391" spans="1:2">
      <c r="A391" s="1">
        <v>43007</v>
      </c>
      <c r="B391">
        <v>1.47</v>
      </c>
    </row>
    <row r="392" spans="1:2">
      <c r="A392" s="1">
        <v>43010</v>
      </c>
      <c r="B392">
        <v>1.49</v>
      </c>
    </row>
    <row r="393" spans="1:2">
      <c r="A393" s="1">
        <v>43011</v>
      </c>
      <c r="B393">
        <v>1.47</v>
      </c>
    </row>
    <row r="394" spans="1:2">
      <c r="A394" s="1">
        <v>43012</v>
      </c>
      <c r="B394">
        <v>1.47</v>
      </c>
    </row>
    <row r="395" spans="1:2">
      <c r="A395" s="1">
        <v>43013</v>
      </c>
      <c r="B395">
        <v>1.49</v>
      </c>
    </row>
    <row r="396" spans="1:2">
      <c r="A396" s="1">
        <v>43014</v>
      </c>
      <c r="B396">
        <v>1.54</v>
      </c>
    </row>
    <row r="397" spans="1:2">
      <c r="A397" s="1">
        <v>43017</v>
      </c>
    </row>
    <row r="398" spans="1:2">
      <c r="A398" s="1">
        <v>43018</v>
      </c>
      <c r="B398">
        <v>1.51</v>
      </c>
    </row>
    <row r="399" spans="1:2">
      <c r="A399" s="1">
        <v>43019</v>
      </c>
      <c r="B399">
        <v>1.51</v>
      </c>
    </row>
    <row r="400" spans="1:2">
      <c r="A400" s="1">
        <v>43020</v>
      </c>
      <c r="B400">
        <v>1.51</v>
      </c>
    </row>
    <row r="401" spans="1:2">
      <c r="A401" s="1">
        <v>43021</v>
      </c>
      <c r="B401">
        <v>1.51</v>
      </c>
    </row>
    <row r="402" spans="1:2">
      <c r="A402" s="1">
        <v>43024</v>
      </c>
      <c r="B402">
        <v>1.54</v>
      </c>
    </row>
    <row r="403" spans="1:2">
      <c r="A403" s="1">
        <v>43025</v>
      </c>
      <c r="B403">
        <v>1.54</v>
      </c>
    </row>
    <row r="404" spans="1:2">
      <c r="A404" s="1">
        <v>43026</v>
      </c>
      <c r="B404">
        <v>1.59</v>
      </c>
    </row>
    <row r="405" spans="1:2">
      <c r="A405" s="1">
        <v>43027</v>
      </c>
      <c r="B405">
        <v>1.58</v>
      </c>
    </row>
    <row r="406" spans="1:2">
      <c r="A406" s="1">
        <v>43028</v>
      </c>
      <c r="B406">
        <v>1.6</v>
      </c>
    </row>
    <row r="407" spans="1:2">
      <c r="A407" s="1">
        <v>43031</v>
      </c>
      <c r="B407">
        <v>1.58</v>
      </c>
    </row>
    <row r="408" spans="1:2">
      <c r="A408" s="1">
        <v>43032</v>
      </c>
      <c r="B408">
        <v>1.6</v>
      </c>
    </row>
    <row r="409" spans="1:2">
      <c r="A409" s="1">
        <v>43033</v>
      </c>
      <c r="B409">
        <v>1.61</v>
      </c>
    </row>
    <row r="410" spans="1:2">
      <c r="A410" s="1">
        <v>43034</v>
      </c>
      <c r="B410">
        <v>1.63</v>
      </c>
    </row>
    <row r="411" spans="1:2">
      <c r="A411" s="1">
        <v>43035</v>
      </c>
      <c r="B411">
        <v>1.59</v>
      </c>
    </row>
    <row r="412" spans="1:2">
      <c r="A412" s="1">
        <v>43038</v>
      </c>
      <c r="B412">
        <v>1.58</v>
      </c>
    </row>
    <row r="413" spans="1:2">
      <c r="A413" s="1">
        <v>43039</v>
      </c>
      <c r="B413">
        <v>1.6</v>
      </c>
    </row>
    <row r="414" spans="1:2">
      <c r="A414" s="1">
        <v>43040</v>
      </c>
      <c r="B414">
        <v>1.61</v>
      </c>
    </row>
    <row r="415" spans="1:2">
      <c r="A415" s="1">
        <v>43041</v>
      </c>
      <c r="B415">
        <v>1.61</v>
      </c>
    </row>
    <row r="416" spans="1:2">
      <c r="A416" s="1">
        <v>43042</v>
      </c>
      <c r="B416">
        <v>1.63</v>
      </c>
    </row>
    <row r="417" spans="1:2">
      <c r="A417" s="1">
        <v>43045</v>
      </c>
      <c r="B417">
        <v>1.61</v>
      </c>
    </row>
    <row r="418" spans="1:2">
      <c r="A418" s="1">
        <v>43046</v>
      </c>
      <c r="B418">
        <v>1.63</v>
      </c>
    </row>
    <row r="419" spans="1:2">
      <c r="A419" s="1">
        <v>43047</v>
      </c>
      <c r="B419">
        <v>1.65</v>
      </c>
    </row>
    <row r="420" spans="1:2">
      <c r="A420" s="1">
        <v>43048</v>
      </c>
      <c r="B420">
        <v>1.63</v>
      </c>
    </row>
    <row r="421" spans="1:2">
      <c r="A421" s="1">
        <v>43049</v>
      </c>
      <c r="B421">
        <v>1.67</v>
      </c>
    </row>
    <row r="422" spans="1:2">
      <c r="A422" s="1">
        <v>43052</v>
      </c>
      <c r="B422">
        <v>1.7</v>
      </c>
    </row>
    <row r="423" spans="1:2">
      <c r="A423" s="1">
        <v>43053</v>
      </c>
      <c r="B423">
        <v>1.68</v>
      </c>
    </row>
    <row r="424" spans="1:2">
      <c r="A424" s="1">
        <v>43054</v>
      </c>
      <c r="B424">
        <v>1.68</v>
      </c>
    </row>
    <row r="425" spans="1:2">
      <c r="A425" s="1">
        <v>43055</v>
      </c>
      <c r="B425">
        <v>1.72</v>
      </c>
    </row>
    <row r="426" spans="1:2">
      <c r="A426" s="1">
        <v>43056</v>
      </c>
      <c r="B426">
        <v>1.73</v>
      </c>
    </row>
    <row r="427" spans="1:2">
      <c r="A427" s="1">
        <v>43059</v>
      </c>
      <c r="B427">
        <v>1.77</v>
      </c>
    </row>
    <row r="428" spans="1:2">
      <c r="A428" s="1">
        <v>43060</v>
      </c>
      <c r="B428">
        <v>1.77</v>
      </c>
    </row>
    <row r="429" spans="1:2">
      <c r="A429" s="1">
        <v>43061</v>
      </c>
      <c r="B429">
        <v>1.74</v>
      </c>
    </row>
    <row r="430" spans="1:2">
      <c r="A430" s="1">
        <v>43062</v>
      </c>
    </row>
    <row r="431" spans="1:2">
      <c r="A431" s="1">
        <v>43063</v>
      </c>
      <c r="B431">
        <v>1.75</v>
      </c>
    </row>
    <row r="432" spans="1:2">
      <c r="A432" s="1">
        <v>43066</v>
      </c>
      <c r="B432">
        <v>1.74</v>
      </c>
    </row>
    <row r="433" spans="1:2">
      <c r="A433" s="1">
        <v>43067</v>
      </c>
      <c r="B433">
        <v>1.75</v>
      </c>
    </row>
    <row r="434" spans="1:2">
      <c r="A434" s="1">
        <v>43068</v>
      </c>
      <c r="B434">
        <v>1.78</v>
      </c>
    </row>
    <row r="435" spans="1:2">
      <c r="A435" s="1">
        <v>43069</v>
      </c>
      <c r="B435">
        <v>1.78</v>
      </c>
    </row>
    <row r="436" spans="1:2">
      <c r="A436" s="1">
        <v>43070</v>
      </c>
      <c r="B436">
        <v>1.78</v>
      </c>
    </row>
    <row r="437" spans="1:2">
      <c r="A437" s="1">
        <v>43073</v>
      </c>
      <c r="B437">
        <v>1.8</v>
      </c>
    </row>
    <row r="438" spans="1:2">
      <c r="A438" s="1">
        <v>43074</v>
      </c>
      <c r="B438">
        <v>1.83</v>
      </c>
    </row>
    <row r="439" spans="1:2">
      <c r="A439" s="1">
        <v>43075</v>
      </c>
      <c r="B439">
        <v>1.78</v>
      </c>
    </row>
    <row r="440" spans="1:2">
      <c r="A440" s="1">
        <v>43076</v>
      </c>
      <c r="B440">
        <v>1.8</v>
      </c>
    </row>
    <row r="441" spans="1:2">
      <c r="A441" s="1">
        <v>43077</v>
      </c>
      <c r="B441">
        <v>1.8</v>
      </c>
    </row>
    <row r="442" spans="1:2">
      <c r="A442" s="1">
        <v>43080</v>
      </c>
      <c r="B442">
        <v>1.82</v>
      </c>
    </row>
    <row r="443" spans="1:2">
      <c r="A443" s="1">
        <v>43081</v>
      </c>
      <c r="B443">
        <v>1.83</v>
      </c>
    </row>
    <row r="444" spans="1:2">
      <c r="A444" s="1">
        <v>43082</v>
      </c>
      <c r="B444">
        <v>1.79</v>
      </c>
    </row>
    <row r="445" spans="1:2">
      <c r="A445" s="1">
        <v>43083</v>
      </c>
      <c r="B445">
        <v>1.82</v>
      </c>
    </row>
    <row r="446" spans="1:2">
      <c r="A446" s="1">
        <v>43084</v>
      </c>
      <c r="B446">
        <v>1.84</v>
      </c>
    </row>
    <row r="447" spans="1:2">
      <c r="A447" s="1">
        <v>43087</v>
      </c>
      <c r="B447">
        <v>1.84</v>
      </c>
    </row>
    <row r="448" spans="1:2">
      <c r="A448" s="1">
        <v>43088</v>
      </c>
      <c r="B448">
        <v>1.87</v>
      </c>
    </row>
    <row r="449" spans="1:2">
      <c r="A449" s="1">
        <v>43089</v>
      </c>
      <c r="B449">
        <v>1.87</v>
      </c>
    </row>
    <row r="450" spans="1:2">
      <c r="A450" s="1">
        <v>43090</v>
      </c>
      <c r="B450">
        <v>1.89</v>
      </c>
    </row>
    <row r="451" spans="1:2">
      <c r="A451" s="1">
        <v>43091</v>
      </c>
      <c r="B451">
        <v>1.91</v>
      </c>
    </row>
    <row r="452" spans="1:2">
      <c r="A452" s="1">
        <v>43094</v>
      </c>
    </row>
    <row r="453" spans="1:2">
      <c r="A453" s="1">
        <v>43095</v>
      </c>
      <c r="B453">
        <v>1.92</v>
      </c>
    </row>
    <row r="454" spans="1:2">
      <c r="A454" s="1">
        <v>43096</v>
      </c>
      <c r="B454">
        <v>1.89</v>
      </c>
    </row>
    <row r="455" spans="1:2">
      <c r="A455" s="1">
        <v>43097</v>
      </c>
      <c r="B455">
        <v>1.91</v>
      </c>
    </row>
    <row r="456" spans="1:2">
      <c r="A456" s="1">
        <v>43098</v>
      </c>
      <c r="B456">
        <v>1.89</v>
      </c>
    </row>
    <row r="457" spans="1:2">
      <c r="A457" s="1">
        <v>43101</v>
      </c>
    </row>
    <row r="458" spans="1:2">
      <c r="A458" s="1">
        <v>43102</v>
      </c>
      <c r="B458">
        <v>1.92</v>
      </c>
    </row>
    <row r="459" spans="1:2">
      <c r="A459" s="1">
        <v>43103</v>
      </c>
      <c r="B459">
        <v>1.94</v>
      </c>
    </row>
    <row r="460" spans="1:2">
      <c r="A460" s="1">
        <v>43104</v>
      </c>
      <c r="B460">
        <v>1.96</v>
      </c>
    </row>
    <row r="461" spans="1:2">
      <c r="A461" s="1">
        <v>43105</v>
      </c>
      <c r="B461">
        <v>1.96</v>
      </c>
    </row>
    <row r="462" spans="1:2">
      <c r="A462" s="1">
        <v>43108</v>
      </c>
      <c r="B462">
        <v>1.96</v>
      </c>
    </row>
    <row r="463" spans="1:2">
      <c r="A463" s="1">
        <v>43109</v>
      </c>
      <c r="B463">
        <v>1.98</v>
      </c>
    </row>
    <row r="464" spans="1:2">
      <c r="A464" s="1">
        <v>43110</v>
      </c>
      <c r="B464">
        <v>1.98</v>
      </c>
    </row>
    <row r="465" spans="1:2">
      <c r="A465" s="1">
        <v>43111</v>
      </c>
      <c r="B465">
        <v>1.98</v>
      </c>
    </row>
    <row r="466" spans="1:2">
      <c r="A466" s="1">
        <v>43112</v>
      </c>
      <c r="B466">
        <v>1.99</v>
      </c>
    </row>
    <row r="467" spans="1:2">
      <c r="A467" s="1">
        <v>43115</v>
      </c>
    </row>
    <row r="468" spans="1:2">
      <c r="A468" s="1">
        <v>43116</v>
      </c>
      <c r="B468">
        <v>2.0299999999999998</v>
      </c>
    </row>
    <row r="469" spans="1:2">
      <c r="A469" s="1">
        <v>43117</v>
      </c>
      <c r="B469">
        <v>2.0499999999999998</v>
      </c>
    </row>
    <row r="470" spans="1:2">
      <c r="A470" s="1">
        <v>43118</v>
      </c>
      <c r="B470">
        <v>2.0499999999999998</v>
      </c>
    </row>
    <row r="471" spans="1:2">
      <c r="A471" s="1">
        <v>43119</v>
      </c>
      <c r="B471">
        <v>2.06</v>
      </c>
    </row>
    <row r="472" spans="1:2">
      <c r="A472" s="1">
        <v>43122</v>
      </c>
      <c r="B472">
        <v>2.08</v>
      </c>
    </row>
    <row r="473" spans="1:2">
      <c r="A473" s="1">
        <v>43123</v>
      </c>
      <c r="B473">
        <v>2.06</v>
      </c>
    </row>
    <row r="474" spans="1:2">
      <c r="A474" s="1">
        <v>43124</v>
      </c>
      <c r="B474">
        <v>2.08</v>
      </c>
    </row>
    <row r="475" spans="1:2">
      <c r="A475" s="1">
        <v>43125</v>
      </c>
      <c r="B475">
        <v>2.08</v>
      </c>
    </row>
    <row r="476" spans="1:2">
      <c r="A476" s="1">
        <v>43126</v>
      </c>
      <c r="B476">
        <v>2.13</v>
      </c>
    </row>
    <row r="477" spans="1:2">
      <c r="A477" s="1">
        <v>43129</v>
      </c>
      <c r="B477">
        <v>2.11</v>
      </c>
    </row>
    <row r="478" spans="1:2">
      <c r="A478" s="1">
        <v>43130</v>
      </c>
      <c r="B478">
        <v>2.13</v>
      </c>
    </row>
    <row r="479" spans="1:2">
      <c r="A479" s="1">
        <v>43131</v>
      </c>
      <c r="B479">
        <v>2.14</v>
      </c>
    </row>
    <row r="480" spans="1:2">
      <c r="A480" s="1">
        <v>43132</v>
      </c>
      <c r="B480">
        <v>2.16</v>
      </c>
    </row>
    <row r="481" spans="1:2">
      <c r="A481" s="1">
        <v>43133</v>
      </c>
      <c r="B481">
        <v>2.15</v>
      </c>
    </row>
    <row r="482" spans="1:2">
      <c r="A482" s="1">
        <v>43136</v>
      </c>
      <c r="B482">
        <v>2.08</v>
      </c>
    </row>
    <row r="483" spans="1:2">
      <c r="A483" s="1">
        <v>43137</v>
      </c>
      <c r="B483">
        <v>2.1</v>
      </c>
    </row>
    <row r="484" spans="1:2">
      <c r="A484" s="1">
        <v>43138</v>
      </c>
      <c r="B484">
        <v>2.15</v>
      </c>
    </row>
    <row r="485" spans="1:2">
      <c r="A485" s="1">
        <v>43139</v>
      </c>
      <c r="B485">
        <v>2.13</v>
      </c>
    </row>
    <row r="486" spans="1:2">
      <c r="A486" s="1">
        <v>43140</v>
      </c>
      <c r="B486">
        <v>2.0499999999999998</v>
      </c>
    </row>
    <row r="487" spans="1:2">
      <c r="A487" s="1">
        <v>43143</v>
      </c>
      <c r="B487">
        <v>2.09</v>
      </c>
    </row>
    <row r="488" spans="1:2">
      <c r="A488" s="1">
        <v>43144</v>
      </c>
      <c r="B488">
        <v>2.1</v>
      </c>
    </row>
    <row r="489" spans="1:2">
      <c r="A489" s="1">
        <v>43145</v>
      </c>
      <c r="B489">
        <v>2.17</v>
      </c>
    </row>
    <row r="490" spans="1:2">
      <c r="A490" s="1">
        <v>43146</v>
      </c>
      <c r="B490">
        <v>2.19</v>
      </c>
    </row>
    <row r="491" spans="1:2">
      <c r="A491" s="1">
        <v>43147</v>
      </c>
      <c r="B491">
        <v>2.21</v>
      </c>
    </row>
    <row r="492" spans="1:2">
      <c r="A492" s="1">
        <v>43150</v>
      </c>
    </row>
    <row r="493" spans="1:2">
      <c r="A493" s="1">
        <v>43151</v>
      </c>
      <c r="B493">
        <v>2.25</v>
      </c>
    </row>
    <row r="494" spans="1:2">
      <c r="A494" s="1">
        <v>43152</v>
      </c>
      <c r="B494">
        <v>2.2599999999999998</v>
      </c>
    </row>
    <row r="495" spans="1:2">
      <c r="A495" s="1">
        <v>43153</v>
      </c>
      <c r="B495">
        <v>2.25</v>
      </c>
    </row>
    <row r="496" spans="1:2">
      <c r="A496" s="1">
        <v>43154</v>
      </c>
      <c r="B496">
        <v>2.25</v>
      </c>
    </row>
    <row r="497" spans="1:2">
      <c r="A497" s="1">
        <v>43157</v>
      </c>
      <c r="B497">
        <v>2.2200000000000002</v>
      </c>
    </row>
    <row r="498" spans="1:2">
      <c r="A498" s="1">
        <v>43158</v>
      </c>
      <c r="B498">
        <v>2.27</v>
      </c>
    </row>
    <row r="499" spans="1:2">
      <c r="A499" s="1">
        <v>43159</v>
      </c>
      <c r="B499">
        <v>2.25</v>
      </c>
    </row>
    <row r="500" spans="1:2">
      <c r="A500" s="1">
        <v>43160</v>
      </c>
      <c r="B500">
        <v>2.2200000000000002</v>
      </c>
    </row>
    <row r="501" spans="1:2">
      <c r="A501" s="1">
        <v>43161</v>
      </c>
      <c r="B501">
        <v>2.25</v>
      </c>
    </row>
    <row r="502" spans="1:2">
      <c r="A502" s="1">
        <v>43164</v>
      </c>
      <c r="B502">
        <v>2.2400000000000002</v>
      </c>
    </row>
    <row r="503" spans="1:2">
      <c r="A503" s="1">
        <v>43165</v>
      </c>
      <c r="B503">
        <v>2.25</v>
      </c>
    </row>
    <row r="504" spans="1:2">
      <c r="A504" s="1">
        <v>43166</v>
      </c>
      <c r="B504">
        <v>2.25</v>
      </c>
    </row>
    <row r="505" spans="1:2">
      <c r="A505" s="1">
        <v>43167</v>
      </c>
      <c r="B505">
        <v>2.25</v>
      </c>
    </row>
    <row r="506" spans="1:2">
      <c r="A506" s="1">
        <v>43168</v>
      </c>
      <c r="B506">
        <v>2.27</v>
      </c>
    </row>
    <row r="507" spans="1:2">
      <c r="A507" s="1">
        <v>43171</v>
      </c>
      <c r="B507">
        <v>2.27</v>
      </c>
    </row>
    <row r="508" spans="1:2">
      <c r="A508" s="1">
        <v>43172</v>
      </c>
      <c r="B508">
        <v>2.2599999999999998</v>
      </c>
    </row>
    <row r="509" spans="1:2">
      <c r="A509" s="1">
        <v>43173</v>
      </c>
      <c r="B509">
        <v>2.2599999999999998</v>
      </c>
    </row>
    <row r="510" spans="1:2">
      <c r="A510" s="1">
        <v>43174</v>
      </c>
      <c r="B510">
        <v>2.29</v>
      </c>
    </row>
    <row r="511" spans="1:2">
      <c r="A511" s="1">
        <v>43175</v>
      </c>
      <c r="B511">
        <v>2.31</v>
      </c>
    </row>
    <row r="512" spans="1:2">
      <c r="A512" s="1">
        <v>43178</v>
      </c>
      <c r="B512">
        <v>2.31</v>
      </c>
    </row>
    <row r="513" spans="1:2">
      <c r="A513" s="1">
        <v>43179</v>
      </c>
      <c r="B513">
        <v>2.34</v>
      </c>
    </row>
    <row r="514" spans="1:2">
      <c r="A514" s="1">
        <v>43180</v>
      </c>
      <c r="B514">
        <v>2.31</v>
      </c>
    </row>
    <row r="515" spans="1:2">
      <c r="A515" s="1">
        <v>43181</v>
      </c>
      <c r="B515">
        <v>2.29</v>
      </c>
    </row>
    <row r="516" spans="1:2">
      <c r="A516" s="1">
        <v>43182</v>
      </c>
      <c r="B516">
        <v>2.2799999999999998</v>
      </c>
    </row>
    <row r="517" spans="1:2">
      <c r="A517" s="1">
        <v>43185</v>
      </c>
      <c r="B517">
        <v>2.33</v>
      </c>
    </row>
    <row r="518" spans="1:2">
      <c r="A518" s="1">
        <v>43186</v>
      </c>
      <c r="B518">
        <v>2.2599999999999998</v>
      </c>
    </row>
    <row r="519" spans="1:2">
      <c r="A519" s="1">
        <v>43187</v>
      </c>
      <c r="B519">
        <v>2.2799999999999998</v>
      </c>
    </row>
    <row r="520" spans="1:2">
      <c r="A520" s="1">
        <v>43188</v>
      </c>
      <c r="B520">
        <v>2.27</v>
      </c>
    </row>
    <row r="521" spans="1:2">
      <c r="A521" s="1">
        <v>43189</v>
      </c>
    </row>
    <row r="522" spans="1:2">
      <c r="A522" s="1">
        <v>43192</v>
      </c>
      <c r="B522">
        <v>2.25</v>
      </c>
    </row>
    <row r="523" spans="1:2">
      <c r="A523" s="1">
        <v>43193</v>
      </c>
      <c r="B523">
        <v>2.2799999999999998</v>
      </c>
    </row>
    <row r="524" spans="1:2">
      <c r="A524" s="1">
        <v>43194</v>
      </c>
      <c r="B524">
        <v>2.2799999999999998</v>
      </c>
    </row>
    <row r="525" spans="1:2">
      <c r="A525" s="1">
        <v>43195</v>
      </c>
      <c r="B525">
        <v>2.2999999999999998</v>
      </c>
    </row>
    <row r="526" spans="1:2">
      <c r="A526" s="1">
        <v>43196</v>
      </c>
      <c r="B526">
        <v>2.27</v>
      </c>
    </row>
    <row r="527" spans="1:2">
      <c r="A527" s="1">
        <v>43199</v>
      </c>
      <c r="B527">
        <v>2.29</v>
      </c>
    </row>
    <row r="528" spans="1:2">
      <c r="A528" s="1">
        <v>43200</v>
      </c>
      <c r="B528">
        <v>2.3199999999999998</v>
      </c>
    </row>
    <row r="529" spans="1:2">
      <c r="A529" s="1">
        <v>43201</v>
      </c>
      <c r="B529">
        <v>2.3199999999999998</v>
      </c>
    </row>
    <row r="530" spans="1:2">
      <c r="A530" s="1">
        <v>43202</v>
      </c>
      <c r="B530">
        <v>2.34</v>
      </c>
    </row>
    <row r="531" spans="1:2">
      <c r="A531" s="1">
        <v>43203</v>
      </c>
      <c r="B531">
        <v>2.37</v>
      </c>
    </row>
    <row r="532" spans="1:2">
      <c r="A532" s="1">
        <v>43206</v>
      </c>
      <c r="B532">
        <v>2.39</v>
      </c>
    </row>
    <row r="533" spans="1:2">
      <c r="A533" s="1">
        <v>43207</v>
      </c>
      <c r="B533">
        <v>2.41</v>
      </c>
    </row>
    <row r="534" spans="1:2">
      <c r="A534" s="1">
        <v>43208</v>
      </c>
      <c r="B534">
        <v>2.42</v>
      </c>
    </row>
    <row r="535" spans="1:2">
      <c r="A535" s="1">
        <v>43209</v>
      </c>
      <c r="B535">
        <v>2.44</v>
      </c>
    </row>
    <row r="536" spans="1:2">
      <c r="A536" s="1">
        <v>43210</v>
      </c>
      <c r="B536">
        <v>2.46</v>
      </c>
    </row>
    <row r="537" spans="1:2">
      <c r="A537" s="1">
        <v>43213</v>
      </c>
      <c r="B537">
        <v>2.4900000000000002</v>
      </c>
    </row>
    <row r="538" spans="1:2">
      <c r="A538" s="1">
        <v>43214</v>
      </c>
      <c r="B538">
        <v>2.48</v>
      </c>
    </row>
    <row r="539" spans="1:2">
      <c r="A539" s="1">
        <v>43215</v>
      </c>
      <c r="B539">
        <v>2.4900000000000002</v>
      </c>
    </row>
    <row r="540" spans="1:2">
      <c r="A540" s="1">
        <v>43216</v>
      </c>
      <c r="B540">
        <v>2.4900000000000002</v>
      </c>
    </row>
    <row r="541" spans="1:2">
      <c r="A541" s="1">
        <v>43217</v>
      </c>
      <c r="B541">
        <v>2.4900000000000002</v>
      </c>
    </row>
    <row r="542" spans="1:2">
      <c r="A542" s="1">
        <v>43220</v>
      </c>
      <c r="B542">
        <v>2.4900000000000002</v>
      </c>
    </row>
    <row r="543" spans="1:2">
      <c r="A543" s="1">
        <v>43221</v>
      </c>
      <c r="B543">
        <v>2.5</v>
      </c>
    </row>
    <row r="544" spans="1:2">
      <c r="A544" s="1">
        <v>43222</v>
      </c>
      <c r="B544">
        <v>2.4900000000000002</v>
      </c>
    </row>
    <row r="545" spans="1:2">
      <c r="A545" s="1">
        <v>43223</v>
      </c>
      <c r="B545">
        <v>2.4900000000000002</v>
      </c>
    </row>
    <row r="546" spans="1:2">
      <c r="A546" s="1">
        <v>43224</v>
      </c>
      <c r="B546">
        <v>2.5099999999999998</v>
      </c>
    </row>
    <row r="547" spans="1:2">
      <c r="A547" s="1">
        <v>43227</v>
      </c>
      <c r="B547">
        <v>2.4900000000000002</v>
      </c>
    </row>
    <row r="548" spans="1:2">
      <c r="A548" s="1">
        <v>43228</v>
      </c>
      <c r="B548">
        <v>2.5099999999999998</v>
      </c>
    </row>
    <row r="549" spans="1:2">
      <c r="A549" s="1">
        <v>43229</v>
      </c>
      <c r="B549">
        <v>2.54</v>
      </c>
    </row>
    <row r="550" spans="1:2">
      <c r="A550" s="1">
        <v>43230</v>
      </c>
      <c r="B550">
        <v>2.54</v>
      </c>
    </row>
    <row r="551" spans="1:2">
      <c r="A551" s="1">
        <v>43231</v>
      </c>
      <c r="B551">
        <v>2.54</v>
      </c>
    </row>
    <row r="552" spans="1:2">
      <c r="A552" s="1">
        <v>43234</v>
      </c>
      <c r="B552">
        <v>2.5499999999999998</v>
      </c>
    </row>
    <row r="553" spans="1:2">
      <c r="A553" s="1">
        <v>43235</v>
      </c>
      <c r="B553">
        <v>2.58</v>
      </c>
    </row>
    <row r="554" spans="1:2">
      <c r="A554" s="1">
        <v>43236</v>
      </c>
      <c r="B554">
        <v>2.58</v>
      </c>
    </row>
    <row r="555" spans="1:2">
      <c r="A555" s="1">
        <v>43237</v>
      </c>
      <c r="B555">
        <v>2.57</v>
      </c>
    </row>
    <row r="556" spans="1:2">
      <c r="A556" s="1">
        <v>43238</v>
      </c>
      <c r="B556">
        <v>2.5499999999999998</v>
      </c>
    </row>
    <row r="557" spans="1:2">
      <c r="A557" s="1">
        <v>43241</v>
      </c>
      <c r="B557">
        <v>2.58</v>
      </c>
    </row>
    <row r="558" spans="1:2">
      <c r="A558" s="1">
        <v>43242</v>
      </c>
      <c r="B558">
        <v>2.59</v>
      </c>
    </row>
    <row r="559" spans="1:2">
      <c r="A559" s="1">
        <v>43243</v>
      </c>
      <c r="B559">
        <v>2.5299999999999998</v>
      </c>
    </row>
    <row r="560" spans="1:2">
      <c r="A560" s="1">
        <v>43244</v>
      </c>
      <c r="B560">
        <v>2.5</v>
      </c>
    </row>
    <row r="561" spans="1:2">
      <c r="A561" s="1">
        <v>43245</v>
      </c>
      <c r="B561">
        <v>2.48</v>
      </c>
    </row>
    <row r="562" spans="1:2">
      <c r="A562" s="1">
        <v>43248</v>
      </c>
    </row>
    <row r="563" spans="1:2">
      <c r="A563" s="1">
        <v>43249</v>
      </c>
      <c r="B563">
        <v>2.3199999999999998</v>
      </c>
    </row>
    <row r="564" spans="1:2">
      <c r="A564" s="1">
        <v>43250</v>
      </c>
      <c r="B564">
        <v>2.42</v>
      </c>
    </row>
    <row r="565" spans="1:2">
      <c r="A565" s="1">
        <v>43251</v>
      </c>
      <c r="B565">
        <v>2.4</v>
      </c>
    </row>
    <row r="566" spans="1:2">
      <c r="A566" s="1">
        <v>43252</v>
      </c>
      <c r="B566">
        <v>2.4700000000000002</v>
      </c>
    </row>
    <row r="567" spans="1:2">
      <c r="A567" s="1">
        <v>43255</v>
      </c>
      <c r="B567">
        <v>2.52</v>
      </c>
    </row>
    <row r="568" spans="1:2">
      <c r="A568" s="1">
        <v>43256</v>
      </c>
      <c r="B568">
        <v>2.4900000000000002</v>
      </c>
    </row>
    <row r="569" spans="1:2">
      <c r="A569" s="1">
        <v>43257</v>
      </c>
      <c r="B569">
        <v>2.52</v>
      </c>
    </row>
    <row r="570" spans="1:2">
      <c r="A570" s="1">
        <v>43258</v>
      </c>
      <c r="B570">
        <v>2.5</v>
      </c>
    </row>
    <row r="571" spans="1:2">
      <c r="A571" s="1">
        <v>43259</v>
      </c>
      <c r="B571">
        <v>2.5</v>
      </c>
    </row>
    <row r="572" spans="1:2">
      <c r="A572" s="1">
        <v>43262</v>
      </c>
      <c r="B572">
        <v>2.52</v>
      </c>
    </row>
    <row r="573" spans="1:2">
      <c r="A573" s="1">
        <v>43263</v>
      </c>
      <c r="B573">
        <v>2.54</v>
      </c>
    </row>
    <row r="574" spans="1:2">
      <c r="A574" s="1">
        <v>43264</v>
      </c>
      <c r="B574">
        <v>2.59</v>
      </c>
    </row>
    <row r="575" spans="1:2">
      <c r="A575" s="1">
        <v>43265</v>
      </c>
      <c r="B575">
        <v>2.59</v>
      </c>
    </row>
    <row r="576" spans="1:2">
      <c r="A576" s="1">
        <v>43266</v>
      </c>
      <c r="B576">
        <v>2.5499999999999998</v>
      </c>
    </row>
    <row r="577" spans="1:2">
      <c r="A577" s="1">
        <v>43269</v>
      </c>
      <c r="B577">
        <v>2.56</v>
      </c>
    </row>
    <row r="578" spans="1:2">
      <c r="A578" s="1">
        <v>43270</v>
      </c>
      <c r="B578">
        <v>2.54</v>
      </c>
    </row>
    <row r="579" spans="1:2">
      <c r="A579" s="1">
        <v>43271</v>
      </c>
      <c r="B579">
        <v>2.56</v>
      </c>
    </row>
    <row r="580" spans="1:2">
      <c r="A580" s="1">
        <v>43272</v>
      </c>
      <c r="B580">
        <v>2.56</v>
      </c>
    </row>
    <row r="581" spans="1:2">
      <c r="A581" s="1">
        <v>43273</v>
      </c>
      <c r="B581">
        <v>2.56</v>
      </c>
    </row>
    <row r="582" spans="1:2">
      <c r="A582" s="1">
        <v>43276</v>
      </c>
      <c r="B582">
        <v>2.54</v>
      </c>
    </row>
    <row r="583" spans="1:2">
      <c r="A583" s="1">
        <v>43277</v>
      </c>
      <c r="B583">
        <v>2.5299999999999998</v>
      </c>
    </row>
    <row r="584" spans="1:2">
      <c r="A584" s="1">
        <v>43278</v>
      </c>
      <c r="B584">
        <v>2.52</v>
      </c>
    </row>
    <row r="585" spans="1:2">
      <c r="A585" s="1">
        <v>43279</v>
      </c>
      <c r="B585">
        <v>2.52</v>
      </c>
    </row>
    <row r="586" spans="1:2">
      <c r="A586" s="1">
        <v>43280</v>
      </c>
      <c r="B586">
        <v>2.52</v>
      </c>
    </row>
    <row r="587" spans="1:2">
      <c r="A587" s="1">
        <v>43283</v>
      </c>
      <c r="B587">
        <v>2.57</v>
      </c>
    </row>
    <row r="588" spans="1:2">
      <c r="A588" s="1">
        <v>43284</v>
      </c>
      <c r="B588">
        <v>2.5299999999999998</v>
      </c>
    </row>
    <row r="589" spans="1:2">
      <c r="A589" s="1">
        <v>43285</v>
      </c>
    </row>
    <row r="590" spans="1:2">
      <c r="A590" s="1">
        <v>43286</v>
      </c>
      <c r="B590">
        <v>2.5499999999999998</v>
      </c>
    </row>
    <row r="591" spans="1:2">
      <c r="A591" s="1">
        <v>43287</v>
      </c>
      <c r="B591">
        <v>2.5299999999999998</v>
      </c>
    </row>
    <row r="592" spans="1:2">
      <c r="A592" s="1">
        <v>43290</v>
      </c>
      <c r="B592">
        <v>2.57</v>
      </c>
    </row>
    <row r="593" spans="1:2">
      <c r="A593" s="1">
        <v>43291</v>
      </c>
      <c r="B593">
        <v>2.59</v>
      </c>
    </row>
    <row r="594" spans="1:2">
      <c r="A594" s="1">
        <v>43292</v>
      </c>
      <c r="B594">
        <v>2.58</v>
      </c>
    </row>
    <row r="595" spans="1:2">
      <c r="A595" s="1">
        <v>43293</v>
      </c>
      <c r="B595">
        <v>2.6</v>
      </c>
    </row>
    <row r="596" spans="1:2">
      <c r="A596" s="1">
        <v>43294</v>
      </c>
      <c r="B596">
        <v>2.59</v>
      </c>
    </row>
    <row r="597" spans="1:2">
      <c r="A597" s="1">
        <v>43297</v>
      </c>
      <c r="B597">
        <v>2.59</v>
      </c>
    </row>
    <row r="598" spans="1:2">
      <c r="A598" s="1">
        <v>43298</v>
      </c>
      <c r="B598">
        <v>2.62</v>
      </c>
    </row>
    <row r="599" spans="1:2">
      <c r="A599" s="1">
        <v>43299</v>
      </c>
      <c r="B599">
        <v>2.6</v>
      </c>
    </row>
    <row r="600" spans="1:2">
      <c r="A600" s="1">
        <v>43300</v>
      </c>
      <c r="B600">
        <v>2.6</v>
      </c>
    </row>
    <row r="601" spans="1:2">
      <c r="A601" s="1">
        <v>43301</v>
      </c>
      <c r="B601">
        <v>2.6</v>
      </c>
    </row>
    <row r="602" spans="1:2">
      <c r="A602" s="1">
        <v>43304</v>
      </c>
      <c r="B602">
        <v>2.64</v>
      </c>
    </row>
    <row r="603" spans="1:2">
      <c r="A603" s="1">
        <v>43305</v>
      </c>
      <c r="B603">
        <v>2.63</v>
      </c>
    </row>
    <row r="604" spans="1:2">
      <c r="A604" s="1">
        <v>43306</v>
      </c>
      <c r="B604">
        <v>2.66</v>
      </c>
    </row>
    <row r="605" spans="1:2">
      <c r="A605" s="1">
        <v>43307</v>
      </c>
      <c r="B605">
        <v>2.69</v>
      </c>
    </row>
    <row r="606" spans="1:2">
      <c r="A606" s="1">
        <v>43308</v>
      </c>
      <c r="B606">
        <v>2.67</v>
      </c>
    </row>
    <row r="607" spans="1:2">
      <c r="A607" s="1">
        <v>43311</v>
      </c>
      <c r="B607">
        <v>2.66</v>
      </c>
    </row>
    <row r="608" spans="1:2">
      <c r="A608" s="1">
        <v>43312</v>
      </c>
      <c r="B608">
        <v>2.67</v>
      </c>
    </row>
    <row r="609" spans="1:2">
      <c r="A609" s="1">
        <v>43313</v>
      </c>
      <c r="B609">
        <v>2.67</v>
      </c>
    </row>
    <row r="610" spans="1:2">
      <c r="A610" s="1">
        <v>43314</v>
      </c>
      <c r="B610">
        <v>2.66</v>
      </c>
    </row>
    <row r="611" spans="1:2">
      <c r="A611" s="1">
        <v>43315</v>
      </c>
      <c r="B611">
        <v>2.63</v>
      </c>
    </row>
    <row r="612" spans="1:2">
      <c r="A612" s="1">
        <v>43318</v>
      </c>
      <c r="B612">
        <v>2.64</v>
      </c>
    </row>
    <row r="613" spans="1:2">
      <c r="A613" s="1">
        <v>43319</v>
      </c>
      <c r="B613">
        <v>2.68</v>
      </c>
    </row>
    <row r="614" spans="1:2">
      <c r="A614" s="1">
        <v>43320</v>
      </c>
      <c r="B614">
        <v>2.68</v>
      </c>
    </row>
    <row r="615" spans="1:2">
      <c r="A615" s="1">
        <v>43321</v>
      </c>
      <c r="B615">
        <v>2.64</v>
      </c>
    </row>
    <row r="616" spans="1:2">
      <c r="A616" s="1">
        <v>43322</v>
      </c>
      <c r="B616">
        <v>2.61</v>
      </c>
    </row>
    <row r="617" spans="1:2">
      <c r="A617" s="1">
        <v>43325</v>
      </c>
      <c r="B617">
        <v>2.61</v>
      </c>
    </row>
    <row r="618" spans="1:2">
      <c r="A618" s="1">
        <v>43326</v>
      </c>
      <c r="B618">
        <v>2.63</v>
      </c>
    </row>
    <row r="619" spans="1:2">
      <c r="A619" s="1">
        <v>43327</v>
      </c>
      <c r="B619">
        <v>2.61</v>
      </c>
    </row>
    <row r="620" spans="1:2">
      <c r="A620" s="1">
        <v>43328</v>
      </c>
      <c r="B620">
        <v>2.63</v>
      </c>
    </row>
    <row r="621" spans="1:2">
      <c r="A621" s="1">
        <v>43329</v>
      </c>
      <c r="B621">
        <v>2.61</v>
      </c>
    </row>
    <row r="622" spans="1:2">
      <c r="A622" s="1">
        <v>43332</v>
      </c>
      <c r="B622">
        <v>2.6</v>
      </c>
    </row>
    <row r="623" spans="1:2">
      <c r="A623" s="1">
        <v>43333</v>
      </c>
      <c r="B623">
        <v>2.61</v>
      </c>
    </row>
    <row r="624" spans="1:2">
      <c r="A624" s="1">
        <v>43334</v>
      </c>
      <c r="B624">
        <v>2.6</v>
      </c>
    </row>
    <row r="625" spans="1:2">
      <c r="A625" s="1">
        <v>43335</v>
      </c>
      <c r="B625">
        <v>2.61</v>
      </c>
    </row>
    <row r="626" spans="1:2">
      <c r="A626" s="1">
        <v>43336</v>
      </c>
      <c r="B626">
        <v>2.63</v>
      </c>
    </row>
    <row r="627" spans="1:2">
      <c r="A627" s="1">
        <v>43339</v>
      </c>
      <c r="B627">
        <v>2.67</v>
      </c>
    </row>
    <row r="628" spans="1:2">
      <c r="A628" s="1">
        <v>43340</v>
      </c>
      <c r="B628">
        <v>2.67</v>
      </c>
    </row>
    <row r="629" spans="1:2">
      <c r="A629" s="1">
        <v>43341</v>
      </c>
      <c r="B629">
        <v>2.67</v>
      </c>
    </row>
    <row r="630" spans="1:2">
      <c r="A630" s="1">
        <v>43342</v>
      </c>
      <c r="B630">
        <v>2.64</v>
      </c>
    </row>
    <row r="631" spans="1:2">
      <c r="A631" s="1">
        <v>43343</v>
      </c>
      <c r="B631">
        <v>2.62</v>
      </c>
    </row>
    <row r="632" spans="1:2">
      <c r="A632" s="1">
        <v>43346</v>
      </c>
    </row>
    <row r="633" spans="1:2">
      <c r="A633" s="1">
        <v>43347</v>
      </c>
      <c r="B633">
        <v>2.66</v>
      </c>
    </row>
    <row r="634" spans="1:2">
      <c r="A634" s="1">
        <v>43348</v>
      </c>
      <c r="B634">
        <v>2.66</v>
      </c>
    </row>
    <row r="635" spans="1:2">
      <c r="A635" s="1">
        <v>43349</v>
      </c>
      <c r="B635">
        <v>2.64</v>
      </c>
    </row>
    <row r="636" spans="1:2">
      <c r="A636" s="1">
        <v>43350</v>
      </c>
      <c r="B636">
        <v>2.71</v>
      </c>
    </row>
    <row r="637" spans="1:2">
      <c r="A637" s="1">
        <v>43353</v>
      </c>
      <c r="B637">
        <v>2.73</v>
      </c>
    </row>
    <row r="638" spans="1:2">
      <c r="A638" s="1">
        <v>43354</v>
      </c>
      <c r="B638">
        <v>2.76</v>
      </c>
    </row>
    <row r="639" spans="1:2">
      <c r="A639" s="1">
        <v>43355</v>
      </c>
      <c r="B639">
        <v>2.74</v>
      </c>
    </row>
    <row r="640" spans="1:2">
      <c r="A640" s="1">
        <v>43356</v>
      </c>
      <c r="B640">
        <v>2.76</v>
      </c>
    </row>
    <row r="641" spans="1:2">
      <c r="A641" s="1">
        <v>43357</v>
      </c>
      <c r="B641">
        <v>2.78</v>
      </c>
    </row>
    <row r="642" spans="1:2">
      <c r="A642" s="1">
        <v>43360</v>
      </c>
      <c r="B642">
        <v>2.78</v>
      </c>
    </row>
    <row r="643" spans="1:2">
      <c r="A643" s="1">
        <v>43361</v>
      </c>
      <c r="B643">
        <v>2.81</v>
      </c>
    </row>
    <row r="644" spans="1:2">
      <c r="A644" s="1">
        <v>43362</v>
      </c>
      <c r="B644">
        <v>2.81</v>
      </c>
    </row>
    <row r="645" spans="1:2">
      <c r="A645" s="1">
        <v>43363</v>
      </c>
      <c r="B645">
        <v>2.81</v>
      </c>
    </row>
    <row r="646" spans="1:2">
      <c r="A646" s="1">
        <v>43364</v>
      </c>
      <c r="B646">
        <v>2.81</v>
      </c>
    </row>
    <row r="647" spans="1:2">
      <c r="A647" s="1">
        <v>43367</v>
      </c>
      <c r="B647">
        <v>2.83</v>
      </c>
    </row>
    <row r="648" spans="1:2">
      <c r="A648" s="1">
        <v>43368</v>
      </c>
      <c r="B648">
        <v>2.83</v>
      </c>
    </row>
    <row r="649" spans="1:2">
      <c r="A649" s="1">
        <v>43369</v>
      </c>
      <c r="B649">
        <v>2.83</v>
      </c>
    </row>
    <row r="650" spans="1:2">
      <c r="A650" s="1">
        <v>43370</v>
      </c>
      <c r="B650">
        <v>2.83</v>
      </c>
    </row>
    <row r="651" spans="1:2">
      <c r="A651" s="1">
        <v>43371</v>
      </c>
      <c r="B651">
        <v>2.81</v>
      </c>
    </row>
    <row r="652" spans="1:2">
      <c r="A652" s="1">
        <v>43374</v>
      </c>
      <c r="B652">
        <v>2.82</v>
      </c>
    </row>
    <row r="653" spans="1:2">
      <c r="A653" s="1">
        <v>43375</v>
      </c>
      <c r="B653">
        <v>2.82</v>
      </c>
    </row>
    <row r="654" spans="1:2">
      <c r="A654" s="1">
        <v>43376</v>
      </c>
      <c r="B654">
        <v>2.85</v>
      </c>
    </row>
    <row r="655" spans="1:2">
      <c r="A655" s="1">
        <v>43377</v>
      </c>
      <c r="B655">
        <v>2.87</v>
      </c>
    </row>
    <row r="656" spans="1:2">
      <c r="A656" s="1">
        <v>43378</v>
      </c>
      <c r="B656">
        <v>2.88</v>
      </c>
    </row>
    <row r="657" spans="1:2">
      <c r="A657" s="1">
        <v>43381</v>
      </c>
    </row>
    <row r="658" spans="1:2">
      <c r="A658" s="1">
        <v>43382</v>
      </c>
      <c r="B658">
        <v>2.88</v>
      </c>
    </row>
    <row r="659" spans="1:2">
      <c r="A659" s="1">
        <v>43383</v>
      </c>
      <c r="B659">
        <v>2.88</v>
      </c>
    </row>
    <row r="660" spans="1:2">
      <c r="A660" s="1">
        <v>43384</v>
      </c>
      <c r="B660">
        <v>2.85</v>
      </c>
    </row>
    <row r="661" spans="1:2">
      <c r="A661" s="1">
        <v>43385</v>
      </c>
      <c r="B661">
        <v>2.85</v>
      </c>
    </row>
    <row r="662" spans="1:2">
      <c r="A662" s="1">
        <v>43388</v>
      </c>
      <c r="B662">
        <v>2.85</v>
      </c>
    </row>
    <row r="663" spans="1:2">
      <c r="A663" s="1">
        <v>43389</v>
      </c>
      <c r="B663">
        <v>2.87</v>
      </c>
    </row>
    <row r="664" spans="1:2">
      <c r="A664" s="1">
        <v>43390</v>
      </c>
      <c r="B664">
        <v>2.89</v>
      </c>
    </row>
    <row r="665" spans="1:2">
      <c r="A665" s="1">
        <v>43391</v>
      </c>
      <c r="B665">
        <v>2.87</v>
      </c>
    </row>
    <row r="666" spans="1:2">
      <c r="A666" s="1">
        <v>43392</v>
      </c>
      <c r="B666">
        <v>2.92</v>
      </c>
    </row>
    <row r="667" spans="1:2">
      <c r="A667" s="1">
        <v>43395</v>
      </c>
      <c r="B667">
        <v>2.92</v>
      </c>
    </row>
    <row r="668" spans="1:2">
      <c r="A668" s="1">
        <v>43396</v>
      </c>
      <c r="B668">
        <v>2.89</v>
      </c>
    </row>
    <row r="669" spans="1:2">
      <c r="A669" s="1">
        <v>43397</v>
      </c>
      <c r="B669">
        <v>2.84</v>
      </c>
    </row>
    <row r="670" spans="1:2">
      <c r="A670" s="1">
        <v>43398</v>
      </c>
      <c r="B670">
        <v>2.86</v>
      </c>
    </row>
    <row r="671" spans="1:2">
      <c r="A671" s="1">
        <v>43399</v>
      </c>
      <c r="B671">
        <v>2.81</v>
      </c>
    </row>
    <row r="672" spans="1:2">
      <c r="A672" s="1">
        <v>43402</v>
      </c>
      <c r="B672">
        <v>2.81</v>
      </c>
    </row>
    <row r="673" spans="1:2">
      <c r="A673" s="1">
        <v>43403</v>
      </c>
      <c r="B673">
        <v>2.84</v>
      </c>
    </row>
    <row r="674" spans="1:2">
      <c r="A674" s="1">
        <v>43404</v>
      </c>
      <c r="B674">
        <v>2.87</v>
      </c>
    </row>
    <row r="675" spans="1:2">
      <c r="A675" s="1">
        <v>43405</v>
      </c>
      <c r="B675">
        <v>2.84</v>
      </c>
    </row>
    <row r="676" spans="1:2">
      <c r="A676" s="1">
        <v>43406</v>
      </c>
      <c r="B676">
        <v>2.91</v>
      </c>
    </row>
    <row r="677" spans="1:2">
      <c r="A677" s="1">
        <v>43409</v>
      </c>
      <c r="B677">
        <v>2.91</v>
      </c>
    </row>
    <row r="678" spans="1:2">
      <c r="A678" s="1">
        <v>43410</v>
      </c>
      <c r="B678">
        <v>2.93</v>
      </c>
    </row>
    <row r="679" spans="1:2">
      <c r="A679" s="1">
        <v>43411</v>
      </c>
      <c r="B679">
        <v>2.96</v>
      </c>
    </row>
    <row r="680" spans="1:2">
      <c r="A680" s="1">
        <v>43412</v>
      </c>
      <c r="B680">
        <v>2.98</v>
      </c>
    </row>
    <row r="681" spans="1:2">
      <c r="A681" s="1">
        <v>43413</v>
      </c>
      <c r="B681">
        <v>2.94</v>
      </c>
    </row>
    <row r="682" spans="1:2">
      <c r="A682" s="1">
        <v>43416</v>
      </c>
    </row>
    <row r="683" spans="1:2">
      <c r="A683" s="1">
        <v>43417</v>
      </c>
      <c r="B683">
        <v>2.89</v>
      </c>
    </row>
    <row r="684" spans="1:2">
      <c r="A684" s="1">
        <v>43418</v>
      </c>
      <c r="B684">
        <v>2.86</v>
      </c>
    </row>
    <row r="685" spans="1:2">
      <c r="A685" s="1">
        <v>43419</v>
      </c>
      <c r="B685">
        <v>2.86</v>
      </c>
    </row>
    <row r="686" spans="1:2">
      <c r="A686" s="1">
        <v>43420</v>
      </c>
      <c r="B686">
        <v>2.81</v>
      </c>
    </row>
    <row r="687" spans="1:2">
      <c r="A687" s="1">
        <v>43423</v>
      </c>
      <c r="B687">
        <v>2.79</v>
      </c>
    </row>
    <row r="688" spans="1:2">
      <c r="A688" s="1">
        <v>43424</v>
      </c>
      <c r="B688">
        <v>2.79</v>
      </c>
    </row>
    <row r="689" spans="1:2">
      <c r="A689" s="1">
        <v>43425</v>
      </c>
      <c r="B689">
        <v>2.81</v>
      </c>
    </row>
    <row r="690" spans="1:2">
      <c r="A690" s="1">
        <v>43426</v>
      </c>
    </row>
    <row r="691" spans="1:2">
      <c r="A691" s="1">
        <v>43427</v>
      </c>
      <c r="B691">
        <v>2.81</v>
      </c>
    </row>
    <row r="692" spans="1:2">
      <c r="A692" s="1">
        <v>43430</v>
      </c>
      <c r="B692">
        <v>2.84</v>
      </c>
    </row>
    <row r="693" spans="1:2">
      <c r="A693" s="1">
        <v>43431</v>
      </c>
      <c r="B693">
        <v>2.83</v>
      </c>
    </row>
    <row r="694" spans="1:2">
      <c r="A694" s="1">
        <v>43432</v>
      </c>
      <c r="B694">
        <v>2.81</v>
      </c>
    </row>
    <row r="695" spans="1:2">
      <c r="A695" s="1">
        <v>43433</v>
      </c>
      <c r="B695">
        <v>2.81</v>
      </c>
    </row>
    <row r="696" spans="1:2">
      <c r="A696" s="1">
        <v>43434</v>
      </c>
      <c r="B696">
        <v>2.8</v>
      </c>
    </row>
    <row r="697" spans="1:2">
      <c r="A697" s="1">
        <v>43437</v>
      </c>
      <c r="B697">
        <v>2.83</v>
      </c>
    </row>
    <row r="698" spans="1:2">
      <c r="A698" s="1">
        <v>43438</v>
      </c>
      <c r="B698">
        <v>2.8</v>
      </c>
    </row>
    <row r="699" spans="1:2">
      <c r="A699" s="1">
        <v>43439</v>
      </c>
    </row>
    <row r="700" spans="1:2">
      <c r="A700" s="1">
        <v>43440</v>
      </c>
      <c r="B700">
        <v>2.75</v>
      </c>
    </row>
    <row r="701" spans="1:2">
      <c r="A701" s="1">
        <v>43441</v>
      </c>
      <c r="B701">
        <v>2.72</v>
      </c>
    </row>
    <row r="702" spans="1:2">
      <c r="A702" s="1">
        <v>43444</v>
      </c>
      <c r="B702">
        <v>2.72</v>
      </c>
    </row>
    <row r="703" spans="1:2">
      <c r="A703" s="1">
        <v>43445</v>
      </c>
      <c r="B703">
        <v>2.78</v>
      </c>
    </row>
    <row r="704" spans="1:2">
      <c r="A704" s="1">
        <v>43446</v>
      </c>
      <c r="B704">
        <v>2.77</v>
      </c>
    </row>
    <row r="705" spans="1:2">
      <c r="A705" s="1">
        <v>43447</v>
      </c>
      <c r="B705">
        <v>2.75</v>
      </c>
    </row>
    <row r="706" spans="1:2">
      <c r="A706" s="1">
        <v>43448</v>
      </c>
      <c r="B706">
        <v>2.73</v>
      </c>
    </row>
    <row r="707" spans="1:2">
      <c r="A707" s="1">
        <v>43451</v>
      </c>
      <c r="B707">
        <v>2.7</v>
      </c>
    </row>
    <row r="708" spans="1:2">
      <c r="A708" s="1">
        <v>43452</v>
      </c>
      <c r="B708">
        <v>2.65</v>
      </c>
    </row>
    <row r="709" spans="1:2">
      <c r="A709" s="1">
        <v>43453</v>
      </c>
      <c r="B709">
        <v>2.63</v>
      </c>
    </row>
    <row r="710" spans="1:2">
      <c r="A710" s="1">
        <v>43454</v>
      </c>
      <c r="B710">
        <v>2.67</v>
      </c>
    </row>
    <row r="711" spans="1:2">
      <c r="A711" s="1">
        <v>43455</v>
      </c>
      <c r="B711">
        <v>2.63</v>
      </c>
    </row>
    <row r="712" spans="1:2">
      <c r="A712" s="1">
        <v>43458</v>
      </c>
      <c r="B712">
        <v>2.5499999999999998</v>
      </c>
    </row>
    <row r="713" spans="1:2">
      <c r="A713" s="1">
        <v>43459</v>
      </c>
    </row>
    <row r="714" spans="1:2">
      <c r="A714" s="1">
        <v>43460</v>
      </c>
      <c r="B714">
        <v>2.61</v>
      </c>
    </row>
    <row r="715" spans="1:2">
      <c r="A715" s="1">
        <v>43461</v>
      </c>
      <c r="B715">
        <v>2.56</v>
      </c>
    </row>
    <row r="716" spans="1:2">
      <c r="A716" s="1">
        <v>43462</v>
      </c>
      <c r="B716">
        <v>2.52</v>
      </c>
    </row>
    <row r="717" spans="1:2">
      <c r="A717" s="1">
        <v>43465</v>
      </c>
      <c r="B717">
        <v>2.48</v>
      </c>
    </row>
    <row r="718" spans="1:2">
      <c r="A718" s="1">
        <v>43466</v>
      </c>
    </row>
    <row r="719" spans="1:2">
      <c r="A719" s="1">
        <v>43467</v>
      </c>
      <c r="B719">
        <v>2.5</v>
      </c>
    </row>
    <row r="720" spans="1:2">
      <c r="A720" s="1">
        <v>43468</v>
      </c>
      <c r="B720">
        <v>2.39</v>
      </c>
    </row>
    <row r="721" spans="1:2">
      <c r="A721" s="1">
        <v>43469</v>
      </c>
      <c r="B721">
        <v>2.5</v>
      </c>
    </row>
    <row r="722" spans="1:2">
      <c r="A722" s="1">
        <v>43472</v>
      </c>
      <c r="B722">
        <v>2.5299999999999998</v>
      </c>
    </row>
    <row r="723" spans="1:2">
      <c r="A723" s="1">
        <v>43473</v>
      </c>
      <c r="B723">
        <v>2.58</v>
      </c>
    </row>
    <row r="724" spans="1:2">
      <c r="A724" s="1">
        <v>43474</v>
      </c>
      <c r="B724">
        <v>2.56</v>
      </c>
    </row>
    <row r="725" spans="1:2">
      <c r="A725" s="1">
        <v>43475</v>
      </c>
      <c r="B725">
        <v>2.56</v>
      </c>
    </row>
    <row r="726" spans="1:2">
      <c r="A726" s="1">
        <v>43476</v>
      </c>
      <c r="B726">
        <v>2.5499999999999998</v>
      </c>
    </row>
    <row r="727" spans="1:2">
      <c r="A727" s="1">
        <v>43479</v>
      </c>
      <c r="B727">
        <v>2.5299999999999998</v>
      </c>
    </row>
    <row r="728" spans="1:2">
      <c r="A728" s="1">
        <v>43480</v>
      </c>
      <c r="B728">
        <v>2.5299999999999998</v>
      </c>
    </row>
    <row r="729" spans="1:2">
      <c r="A729" s="1">
        <v>43481</v>
      </c>
      <c r="B729">
        <v>2.5499999999999998</v>
      </c>
    </row>
    <row r="730" spans="1:2">
      <c r="A730" s="1">
        <v>43482</v>
      </c>
      <c r="B730">
        <v>2.56</v>
      </c>
    </row>
    <row r="731" spans="1:2">
      <c r="A731" s="1">
        <v>43483</v>
      </c>
      <c r="B731">
        <v>2.62</v>
      </c>
    </row>
    <row r="732" spans="1:2">
      <c r="A732" s="1">
        <v>43486</v>
      </c>
    </row>
    <row r="733" spans="1:2">
      <c r="A733" s="1">
        <v>43487</v>
      </c>
      <c r="B733">
        <v>2.58</v>
      </c>
    </row>
    <row r="734" spans="1:2">
      <c r="A734" s="1">
        <v>43488</v>
      </c>
      <c r="B734">
        <v>2.58</v>
      </c>
    </row>
    <row r="735" spans="1:2">
      <c r="A735" s="1">
        <v>43489</v>
      </c>
      <c r="B735">
        <v>2.56</v>
      </c>
    </row>
    <row r="736" spans="1:2">
      <c r="A736" s="1">
        <v>43490</v>
      </c>
      <c r="B736">
        <v>2.6</v>
      </c>
    </row>
    <row r="737" spans="1:2">
      <c r="A737" s="1">
        <v>43493</v>
      </c>
      <c r="B737">
        <v>2.6</v>
      </c>
    </row>
    <row r="738" spans="1:2">
      <c r="A738" s="1">
        <v>43494</v>
      </c>
      <c r="B738">
        <v>2.56</v>
      </c>
    </row>
    <row r="739" spans="1:2">
      <c r="A739" s="1">
        <v>43495</v>
      </c>
      <c r="B739">
        <v>2.52</v>
      </c>
    </row>
    <row r="740" spans="1:2">
      <c r="A740" s="1">
        <v>43496</v>
      </c>
      <c r="B740">
        <v>2.4500000000000002</v>
      </c>
    </row>
    <row r="741" spans="1:2">
      <c r="A741" s="1">
        <v>43497</v>
      </c>
      <c r="B741">
        <v>2.52</v>
      </c>
    </row>
    <row r="742" spans="1:2">
      <c r="A742" s="1">
        <v>43500</v>
      </c>
      <c r="B742">
        <v>2.5299999999999998</v>
      </c>
    </row>
    <row r="743" spans="1:2">
      <c r="A743" s="1">
        <v>43501</v>
      </c>
      <c r="B743">
        <v>2.5299999999999998</v>
      </c>
    </row>
    <row r="744" spans="1:2">
      <c r="A744" s="1">
        <v>43502</v>
      </c>
      <c r="B744">
        <v>2.52</v>
      </c>
    </row>
    <row r="745" spans="1:2">
      <c r="A745" s="1">
        <v>43503</v>
      </c>
      <c r="B745">
        <v>2.48</v>
      </c>
    </row>
    <row r="746" spans="1:2">
      <c r="A746" s="1">
        <v>43504</v>
      </c>
      <c r="B746">
        <v>2.4500000000000002</v>
      </c>
    </row>
    <row r="747" spans="1:2">
      <c r="A747" s="1">
        <v>43507</v>
      </c>
      <c r="B747">
        <v>2.48</v>
      </c>
    </row>
    <row r="748" spans="1:2">
      <c r="A748" s="1">
        <v>43508</v>
      </c>
      <c r="B748">
        <v>2.5</v>
      </c>
    </row>
    <row r="749" spans="1:2">
      <c r="A749" s="1">
        <v>43509</v>
      </c>
      <c r="B749">
        <v>2.5299999999999998</v>
      </c>
    </row>
    <row r="750" spans="1:2">
      <c r="A750" s="1">
        <v>43510</v>
      </c>
      <c r="B750">
        <v>2.5</v>
      </c>
    </row>
    <row r="751" spans="1:2">
      <c r="A751" s="1">
        <v>43511</v>
      </c>
      <c r="B751">
        <v>2.52</v>
      </c>
    </row>
    <row r="752" spans="1:2">
      <c r="A752" s="1">
        <v>43514</v>
      </c>
    </row>
    <row r="753" spans="1:2">
      <c r="A753" s="1">
        <v>43515</v>
      </c>
      <c r="B753">
        <v>2.5</v>
      </c>
    </row>
    <row r="754" spans="1:2">
      <c r="A754" s="1">
        <v>43516</v>
      </c>
      <c r="B754">
        <v>2.5</v>
      </c>
    </row>
    <row r="755" spans="1:2">
      <c r="A755" s="1">
        <v>43517</v>
      </c>
      <c r="B755">
        <v>2.5299999999999998</v>
      </c>
    </row>
    <row r="756" spans="1:2">
      <c r="A756" s="1">
        <v>43518</v>
      </c>
      <c r="B756">
        <v>2.48</v>
      </c>
    </row>
    <row r="757" spans="1:2">
      <c r="A757" s="1">
        <v>43521</v>
      </c>
      <c r="B757">
        <v>2.5099999999999998</v>
      </c>
    </row>
    <row r="758" spans="1:2">
      <c r="A758" s="1">
        <v>43522</v>
      </c>
      <c r="B758">
        <v>2.48</v>
      </c>
    </row>
    <row r="759" spans="1:2">
      <c r="A759" s="1">
        <v>43523</v>
      </c>
      <c r="B759">
        <v>2.5</v>
      </c>
    </row>
    <row r="760" spans="1:2">
      <c r="A760" s="1">
        <v>43524</v>
      </c>
      <c r="B760">
        <v>2.52</v>
      </c>
    </row>
    <row r="761" spans="1:2">
      <c r="A761" s="1">
        <v>43525</v>
      </c>
      <c r="B761">
        <v>2.5499999999999998</v>
      </c>
    </row>
    <row r="762" spans="1:2">
      <c r="A762" s="1">
        <v>43528</v>
      </c>
      <c r="B762">
        <v>2.5499999999999998</v>
      </c>
    </row>
    <row r="763" spans="1:2">
      <c r="A763" s="1">
        <v>43529</v>
      </c>
      <c r="B763">
        <v>2.5499999999999998</v>
      </c>
    </row>
    <row r="764" spans="1:2">
      <c r="A764" s="1">
        <v>43530</v>
      </c>
      <c r="B764">
        <v>2.52</v>
      </c>
    </row>
    <row r="765" spans="1:2">
      <c r="A765" s="1">
        <v>43531</v>
      </c>
      <c r="B765">
        <v>2.4700000000000002</v>
      </c>
    </row>
    <row r="766" spans="1:2">
      <c r="A766" s="1">
        <v>43532</v>
      </c>
      <c r="B766">
        <v>2.4500000000000002</v>
      </c>
    </row>
    <row r="767" spans="1:2">
      <c r="A767" s="1">
        <v>43535</v>
      </c>
      <c r="B767">
        <v>2.4700000000000002</v>
      </c>
    </row>
    <row r="768" spans="1:2">
      <c r="A768" s="1">
        <v>43536</v>
      </c>
      <c r="B768">
        <v>2.4500000000000002</v>
      </c>
    </row>
    <row r="769" spans="1:2">
      <c r="A769" s="1">
        <v>43537</v>
      </c>
      <c r="B769">
        <v>2.4500000000000002</v>
      </c>
    </row>
    <row r="770" spans="1:2">
      <c r="A770" s="1">
        <v>43538</v>
      </c>
      <c r="B770">
        <v>2.46</v>
      </c>
    </row>
    <row r="771" spans="1:2">
      <c r="A771" s="1">
        <v>43539</v>
      </c>
      <c r="B771">
        <v>2.4300000000000002</v>
      </c>
    </row>
    <row r="772" spans="1:2">
      <c r="A772" s="1">
        <v>43542</v>
      </c>
      <c r="B772">
        <v>2.4500000000000002</v>
      </c>
    </row>
    <row r="773" spans="1:2">
      <c r="A773" s="1">
        <v>43543</v>
      </c>
      <c r="B773">
        <v>2.46</v>
      </c>
    </row>
    <row r="774" spans="1:2">
      <c r="A774" s="1">
        <v>43544</v>
      </c>
      <c r="B774">
        <v>2.4</v>
      </c>
    </row>
    <row r="775" spans="1:2">
      <c r="A775" s="1">
        <v>43545</v>
      </c>
      <c r="B775">
        <v>2.41</v>
      </c>
    </row>
    <row r="776" spans="1:2">
      <c r="A776" s="1">
        <v>43546</v>
      </c>
      <c r="B776">
        <v>2.31</v>
      </c>
    </row>
    <row r="777" spans="1:2">
      <c r="A777" s="1">
        <v>43549</v>
      </c>
      <c r="B777">
        <v>2.2599999999999998</v>
      </c>
    </row>
    <row r="778" spans="1:2">
      <c r="A778" s="1">
        <v>43550</v>
      </c>
      <c r="B778">
        <v>2.2400000000000002</v>
      </c>
    </row>
    <row r="779" spans="1:2">
      <c r="A779" s="1">
        <v>43551</v>
      </c>
      <c r="B779">
        <v>2.2200000000000002</v>
      </c>
    </row>
    <row r="780" spans="1:2">
      <c r="A780" s="1">
        <v>43552</v>
      </c>
      <c r="B780">
        <v>2.23</v>
      </c>
    </row>
    <row r="781" spans="1:2">
      <c r="A781" s="1">
        <v>43553</v>
      </c>
      <c r="B781">
        <v>2.27</v>
      </c>
    </row>
    <row r="782" spans="1:2">
      <c r="A782" s="1">
        <v>43556</v>
      </c>
      <c r="B782">
        <v>2.33</v>
      </c>
    </row>
    <row r="783" spans="1:2">
      <c r="A783" s="1">
        <v>43557</v>
      </c>
      <c r="B783">
        <v>2.2999999999999998</v>
      </c>
    </row>
    <row r="784" spans="1:2">
      <c r="A784" s="1">
        <v>43558</v>
      </c>
      <c r="B784">
        <v>2.33</v>
      </c>
    </row>
    <row r="785" spans="1:2">
      <c r="A785" s="1">
        <v>43559</v>
      </c>
      <c r="B785">
        <v>2.33</v>
      </c>
    </row>
    <row r="786" spans="1:2">
      <c r="A786" s="1">
        <v>43560</v>
      </c>
      <c r="B786">
        <v>2.35</v>
      </c>
    </row>
    <row r="787" spans="1:2">
      <c r="A787" s="1">
        <v>43563</v>
      </c>
      <c r="B787">
        <v>2.36</v>
      </c>
    </row>
    <row r="788" spans="1:2">
      <c r="A788" s="1">
        <v>43564</v>
      </c>
      <c r="B788">
        <v>2.35</v>
      </c>
    </row>
    <row r="789" spans="1:2">
      <c r="A789" s="1">
        <v>43565</v>
      </c>
      <c r="B789">
        <v>2.31</v>
      </c>
    </row>
    <row r="790" spans="1:2">
      <c r="A790" s="1">
        <v>43566</v>
      </c>
      <c r="B790">
        <v>2.35</v>
      </c>
    </row>
    <row r="791" spans="1:2">
      <c r="A791" s="1">
        <v>43567</v>
      </c>
      <c r="B791">
        <v>2.4</v>
      </c>
    </row>
    <row r="792" spans="1:2">
      <c r="A792" s="1">
        <v>43570</v>
      </c>
      <c r="B792">
        <v>2.4</v>
      </c>
    </row>
    <row r="793" spans="1:2">
      <c r="A793" s="1">
        <v>43571</v>
      </c>
      <c r="B793">
        <v>2.41</v>
      </c>
    </row>
    <row r="794" spans="1:2">
      <c r="A794" s="1">
        <v>43572</v>
      </c>
      <c r="B794">
        <v>2.4</v>
      </c>
    </row>
    <row r="795" spans="1:2">
      <c r="A795" s="1">
        <v>43573</v>
      </c>
      <c r="B795">
        <v>2.38</v>
      </c>
    </row>
    <row r="796" spans="1:2">
      <c r="A796" s="1">
        <v>43574</v>
      </c>
    </row>
    <row r="797" spans="1:2">
      <c r="A797" s="1">
        <v>43577</v>
      </c>
      <c r="B797">
        <v>2.38</v>
      </c>
    </row>
    <row r="798" spans="1:2">
      <c r="A798" s="1">
        <v>43578</v>
      </c>
      <c r="B798">
        <v>2.36</v>
      </c>
    </row>
    <row r="799" spans="1:2">
      <c r="A799" s="1">
        <v>43579</v>
      </c>
      <c r="B799">
        <v>2.3199999999999998</v>
      </c>
    </row>
    <row r="800" spans="1:2">
      <c r="A800" s="1">
        <v>43580</v>
      </c>
      <c r="B800">
        <v>2.33</v>
      </c>
    </row>
    <row r="801" spans="1:2">
      <c r="A801" s="1">
        <v>43581</v>
      </c>
      <c r="B801">
        <v>2.2799999999999998</v>
      </c>
    </row>
    <row r="802" spans="1:2">
      <c r="A802" s="1">
        <v>43584</v>
      </c>
      <c r="B802">
        <v>2.2999999999999998</v>
      </c>
    </row>
    <row r="803" spans="1:2">
      <c r="A803" s="1">
        <v>43585</v>
      </c>
      <c r="B803">
        <v>2.27</v>
      </c>
    </row>
    <row r="804" spans="1:2">
      <c r="A804" s="1">
        <v>43586</v>
      </c>
      <c r="B804">
        <v>2.31</v>
      </c>
    </row>
    <row r="805" spans="1:2">
      <c r="A805" s="1">
        <v>43587</v>
      </c>
      <c r="B805">
        <v>2.35</v>
      </c>
    </row>
    <row r="806" spans="1:2">
      <c r="A806" s="1">
        <v>43588</v>
      </c>
      <c r="B806">
        <v>2.33</v>
      </c>
    </row>
    <row r="807" spans="1:2">
      <c r="A807" s="1">
        <v>43591</v>
      </c>
      <c r="B807">
        <v>2.31</v>
      </c>
    </row>
    <row r="808" spans="1:2">
      <c r="A808" s="1">
        <v>43592</v>
      </c>
      <c r="B808">
        <v>2.2799999999999998</v>
      </c>
    </row>
    <row r="809" spans="1:2">
      <c r="A809" s="1">
        <v>43593</v>
      </c>
      <c r="B809">
        <v>2.2999999999999998</v>
      </c>
    </row>
    <row r="810" spans="1:2">
      <c r="A810" s="1">
        <v>43594</v>
      </c>
      <c r="B810">
        <v>2.2599999999999998</v>
      </c>
    </row>
    <row r="811" spans="1:2">
      <c r="A811" s="1">
        <v>43595</v>
      </c>
      <c r="B811">
        <v>2.2599999999999998</v>
      </c>
    </row>
    <row r="812" spans="1:2">
      <c r="A812" s="1">
        <v>43598</v>
      </c>
      <c r="B812">
        <v>2.1800000000000002</v>
      </c>
    </row>
    <row r="813" spans="1:2">
      <c r="A813" s="1">
        <v>43599</v>
      </c>
      <c r="B813">
        <v>2.2000000000000002</v>
      </c>
    </row>
    <row r="814" spans="1:2">
      <c r="A814" s="1">
        <v>43600</v>
      </c>
      <c r="B814">
        <v>2.16</v>
      </c>
    </row>
    <row r="815" spans="1:2">
      <c r="A815" s="1">
        <v>43601</v>
      </c>
      <c r="B815">
        <v>2.2000000000000002</v>
      </c>
    </row>
    <row r="816" spans="1:2">
      <c r="A816" s="1">
        <v>43602</v>
      </c>
      <c r="B816">
        <v>2.2000000000000002</v>
      </c>
    </row>
    <row r="817" spans="1:2">
      <c r="A817" s="1">
        <v>43605</v>
      </c>
      <c r="B817">
        <v>2.21</v>
      </c>
    </row>
    <row r="818" spans="1:2">
      <c r="A818" s="1">
        <v>43606</v>
      </c>
      <c r="B818">
        <v>2.2599999999999998</v>
      </c>
    </row>
    <row r="819" spans="1:2">
      <c r="A819" s="1">
        <v>43607</v>
      </c>
      <c r="B819">
        <v>2.23</v>
      </c>
    </row>
    <row r="820" spans="1:2">
      <c r="A820" s="1">
        <v>43608</v>
      </c>
      <c r="B820">
        <v>2.12</v>
      </c>
    </row>
    <row r="821" spans="1:2">
      <c r="A821" s="1">
        <v>43609</v>
      </c>
      <c r="B821">
        <v>2.16</v>
      </c>
    </row>
    <row r="822" spans="1:2">
      <c r="A822" s="1">
        <v>43612</v>
      </c>
    </row>
    <row r="823" spans="1:2">
      <c r="A823" s="1">
        <v>43613</v>
      </c>
      <c r="B823">
        <v>2.12</v>
      </c>
    </row>
    <row r="824" spans="1:2">
      <c r="A824" s="1">
        <v>43614</v>
      </c>
      <c r="B824">
        <v>2.09</v>
      </c>
    </row>
    <row r="825" spans="1:2">
      <c r="A825" s="1">
        <v>43615</v>
      </c>
      <c r="B825">
        <v>2.06</v>
      </c>
    </row>
    <row r="826" spans="1:2">
      <c r="A826" s="1">
        <v>43616</v>
      </c>
      <c r="B826">
        <v>1.95</v>
      </c>
    </row>
    <row r="827" spans="1:2">
      <c r="A827" s="1">
        <v>43619</v>
      </c>
      <c r="B827">
        <v>1.82</v>
      </c>
    </row>
    <row r="828" spans="1:2">
      <c r="A828" s="1">
        <v>43620</v>
      </c>
      <c r="B828">
        <v>1.88</v>
      </c>
    </row>
    <row r="829" spans="1:2">
      <c r="A829" s="1">
        <v>43621</v>
      </c>
      <c r="B829">
        <v>1.83</v>
      </c>
    </row>
    <row r="830" spans="1:2">
      <c r="A830" s="1">
        <v>43622</v>
      </c>
      <c r="B830">
        <v>1.88</v>
      </c>
    </row>
    <row r="831" spans="1:2">
      <c r="A831" s="1">
        <v>43623</v>
      </c>
      <c r="B831">
        <v>1.85</v>
      </c>
    </row>
    <row r="832" spans="1:2">
      <c r="A832" s="1">
        <v>43626</v>
      </c>
      <c r="B832">
        <v>1.9</v>
      </c>
    </row>
    <row r="833" spans="1:2">
      <c r="A833" s="1">
        <v>43627</v>
      </c>
      <c r="B833">
        <v>1.93</v>
      </c>
    </row>
    <row r="834" spans="1:2">
      <c r="A834" s="1">
        <v>43628</v>
      </c>
      <c r="B834">
        <v>1.88</v>
      </c>
    </row>
    <row r="835" spans="1:2">
      <c r="A835" s="1">
        <v>43629</v>
      </c>
      <c r="B835">
        <v>1.83</v>
      </c>
    </row>
    <row r="836" spans="1:2">
      <c r="A836" s="1">
        <v>43630</v>
      </c>
      <c r="B836">
        <v>1.84</v>
      </c>
    </row>
    <row r="837" spans="1:2">
      <c r="A837" s="1">
        <v>43633</v>
      </c>
      <c r="B837">
        <v>1.86</v>
      </c>
    </row>
    <row r="838" spans="1:2">
      <c r="A838" s="1">
        <v>43634</v>
      </c>
      <c r="B838">
        <v>1.86</v>
      </c>
    </row>
    <row r="839" spans="1:2">
      <c r="A839" s="1">
        <v>43635</v>
      </c>
      <c r="B839">
        <v>1.74</v>
      </c>
    </row>
    <row r="840" spans="1:2">
      <c r="A840" s="1">
        <v>43636</v>
      </c>
      <c r="B840">
        <v>1.72</v>
      </c>
    </row>
    <row r="841" spans="1:2">
      <c r="A841" s="1">
        <v>43637</v>
      </c>
      <c r="B841">
        <v>1.77</v>
      </c>
    </row>
    <row r="842" spans="1:2">
      <c r="A842" s="1">
        <v>43640</v>
      </c>
      <c r="B842">
        <v>1.72</v>
      </c>
    </row>
    <row r="843" spans="1:2">
      <c r="A843" s="1">
        <v>43641</v>
      </c>
      <c r="B843">
        <v>1.71</v>
      </c>
    </row>
    <row r="844" spans="1:2">
      <c r="A844" s="1">
        <v>43642</v>
      </c>
      <c r="B844">
        <v>1.77</v>
      </c>
    </row>
    <row r="845" spans="1:2">
      <c r="A845" s="1">
        <v>43643</v>
      </c>
      <c r="B845">
        <v>1.74</v>
      </c>
    </row>
    <row r="846" spans="1:2">
      <c r="A846" s="1">
        <v>43644</v>
      </c>
      <c r="B846">
        <v>1.75</v>
      </c>
    </row>
    <row r="847" spans="1:2">
      <c r="A847" s="1">
        <v>43647</v>
      </c>
      <c r="B847">
        <v>1.78</v>
      </c>
    </row>
    <row r="848" spans="1:2">
      <c r="A848" s="1">
        <v>43648</v>
      </c>
      <c r="B848">
        <v>1.77</v>
      </c>
    </row>
    <row r="849" spans="1:2">
      <c r="A849" s="1">
        <v>43649</v>
      </c>
      <c r="B849">
        <v>1.77</v>
      </c>
    </row>
    <row r="850" spans="1:2">
      <c r="A850" s="1">
        <v>43650</v>
      </c>
    </row>
    <row r="851" spans="1:2">
      <c r="A851" s="1">
        <v>43651</v>
      </c>
      <c r="B851">
        <v>1.87</v>
      </c>
    </row>
    <row r="852" spans="1:2">
      <c r="A852" s="1">
        <v>43654</v>
      </c>
      <c r="B852">
        <v>1.88</v>
      </c>
    </row>
    <row r="853" spans="1:2">
      <c r="A853" s="1">
        <v>43655</v>
      </c>
      <c r="B853">
        <v>1.92</v>
      </c>
    </row>
    <row r="854" spans="1:2">
      <c r="A854" s="1">
        <v>43656</v>
      </c>
      <c r="B854">
        <v>1.82</v>
      </c>
    </row>
    <row r="855" spans="1:2">
      <c r="A855" s="1">
        <v>43657</v>
      </c>
      <c r="B855">
        <v>1.85</v>
      </c>
    </row>
    <row r="856" spans="1:2">
      <c r="A856" s="1">
        <v>43658</v>
      </c>
      <c r="B856">
        <v>1.84</v>
      </c>
    </row>
    <row r="857" spans="1:2">
      <c r="A857" s="1">
        <v>43661</v>
      </c>
      <c r="B857">
        <v>1.83</v>
      </c>
    </row>
    <row r="858" spans="1:2">
      <c r="A858" s="1">
        <v>43662</v>
      </c>
      <c r="B858">
        <v>1.87</v>
      </c>
    </row>
    <row r="859" spans="1:2">
      <c r="A859" s="1">
        <v>43663</v>
      </c>
      <c r="B859">
        <v>1.83</v>
      </c>
    </row>
    <row r="860" spans="1:2">
      <c r="A860" s="1">
        <v>43664</v>
      </c>
      <c r="B860">
        <v>1.77</v>
      </c>
    </row>
    <row r="861" spans="1:2">
      <c r="A861" s="1">
        <v>43665</v>
      </c>
      <c r="B861">
        <v>1.8</v>
      </c>
    </row>
    <row r="862" spans="1:2">
      <c r="A862" s="1">
        <v>43668</v>
      </c>
      <c r="B862">
        <v>1.8</v>
      </c>
    </row>
    <row r="863" spans="1:2">
      <c r="A863" s="1">
        <v>43669</v>
      </c>
      <c r="B863">
        <v>1.83</v>
      </c>
    </row>
    <row r="864" spans="1:2">
      <c r="A864" s="1">
        <v>43670</v>
      </c>
      <c r="B864">
        <v>1.83</v>
      </c>
    </row>
    <row r="865" spans="1:2">
      <c r="A865" s="1">
        <v>43671</v>
      </c>
      <c r="B865">
        <v>1.86</v>
      </c>
    </row>
    <row r="866" spans="1:2">
      <c r="A866" s="1">
        <v>43672</v>
      </c>
      <c r="B866">
        <v>1.86</v>
      </c>
    </row>
    <row r="867" spans="1:2">
      <c r="A867" s="1">
        <v>43675</v>
      </c>
      <c r="B867">
        <v>1.85</v>
      </c>
    </row>
    <row r="868" spans="1:2">
      <c r="A868" s="1">
        <v>43676</v>
      </c>
      <c r="B868">
        <v>1.85</v>
      </c>
    </row>
    <row r="869" spans="1:2">
      <c r="A869" s="1">
        <v>43677</v>
      </c>
      <c r="B869">
        <v>1.89</v>
      </c>
    </row>
    <row r="870" spans="1:2">
      <c r="A870" s="1">
        <v>43678</v>
      </c>
      <c r="B870">
        <v>1.73</v>
      </c>
    </row>
    <row r="871" spans="1:2">
      <c r="A871" s="1">
        <v>43679</v>
      </c>
      <c r="B871">
        <v>1.72</v>
      </c>
    </row>
    <row r="872" spans="1:2">
      <c r="A872" s="1">
        <v>43682</v>
      </c>
      <c r="B872">
        <v>1.59</v>
      </c>
    </row>
    <row r="873" spans="1:2">
      <c r="A873" s="1">
        <v>43683</v>
      </c>
      <c r="B873">
        <v>1.6</v>
      </c>
    </row>
    <row r="874" spans="1:2">
      <c r="A874" s="1">
        <v>43684</v>
      </c>
      <c r="B874">
        <v>1.59</v>
      </c>
    </row>
    <row r="875" spans="1:2">
      <c r="A875" s="1">
        <v>43685</v>
      </c>
      <c r="B875">
        <v>1.62</v>
      </c>
    </row>
    <row r="876" spans="1:2">
      <c r="A876" s="1">
        <v>43686</v>
      </c>
      <c r="B876">
        <v>1.63</v>
      </c>
    </row>
    <row r="877" spans="1:2">
      <c r="A877" s="1">
        <v>43689</v>
      </c>
      <c r="B877">
        <v>1.58</v>
      </c>
    </row>
    <row r="878" spans="1:2">
      <c r="A878" s="1">
        <v>43690</v>
      </c>
      <c r="B878">
        <v>1.66</v>
      </c>
    </row>
    <row r="879" spans="1:2">
      <c r="A879" s="1">
        <v>43691</v>
      </c>
      <c r="B879">
        <v>1.58</v>
      </c>
    </row>
    <row r="880" spans="1:2">
      <c r="A880" s="1">
        <v>43692</v>
      </c>
      <c r="B880">
        <v>1.48</v>
      </c>
    </row>
    <row r="881" spans="1:2">
      <c r="A881" s="1">
        <v>43693</v>
      </c>
      <c r="B881">
        <v>1.48</v>
      </c>
    </row>
    <row r="882" spans="1:2">
      <c r="A882" s="1">
        <v>43696</v>
      </c>
      <c r="B882">
        <v>1.53</v>
      </c>
    </row>
    <row r="883" spans="1:2">
      <c r="A883" s="1">
        <v>43697</v>
      </c>
      <c r="B883">
        <v>1.5</v>
      </c>
    </row>
    <row r="884" spans="1:2">
      <c r="A884" s="1">
        <v>43698</v>
      </c>
      <c r="B884">
        <v>1.56</v>
      </c>
    </row>
    <row r="885" spans="1:2">
      <c r="A885" s="1">
        <v>43699</v>
      </c>
      <c r="B885">
        <v>1.61</v>
      </c>
    </row>
    <row r="886" spans="1:2">
      <c r="A886" s="1">
        <v>43700</v>
      </c>
      <c r="B886">
        <v>1.51</v>
      </c>
    </row>
    <row r="887" spans="1:2">
      <c r="A887" s="1">
        <v>43703</v>
      </c>
      <c r="B887">
        <v>1.54</v>
      </c>
    </row>
    <row r="888" spans="1:2">
      <c r="A888" s="1">
        <v>43704</v>
      </c>
      <c r="B888">
        <v>1.53</v>
      </c>
    </row>
    <row r="889" spans="1:2">
      <c r="A889" s="1">
        <v>43705</v>
      </c>
      <c r="B889">
        <v>1.5</v>
      </c>
    </row>
    <row r="890" spans="1:2">
      <c r="A890" s="1">
        <v>43706</v>
      </c>
      <c r="B890">
        <v>1.53</v>
      </c>
    </row>
    <row r="891" spans="1:2">
      <c r="A891" s="1">
        <v>43707</v>
      </c>
      <c r="B891">
        <v>1.5</v>
      </c>
    </row>
    <row r="892" spans="1:2">
      <c r="A892" s="1">
        <v>43710</v>
      </c>
    </row>
    <row r="893" spans="1:2">
      <c r="A893" s="1">
        <v>43711</v>
      </c>
      <c r="B893">
        <v>1.47</v>
      </c>
    </row>
    <row r="894" spans="1:2">
      <c r="A894" s="1">
        <v>43712</v>
      </c>
      <c r="B894">
        <v>1.43</v>
      </c>
    </row>
    <row r="895" spans="1:2">
      <c r="A895" s="1">
        <v>43713</v>
      </c>
      <c r="B895">
        <v>1.55</v>
      </c>
    </row>
    <row r="896" spans="1:2">
      <c r="A896" s="1">
        <v>43714</v>
      </c>
      <c r="B896">
        <v>1.53</v>
      </c>
    </row>
    <row r="897" spans="1:2">
      <c r="A897" s="1">
        <v>43717</v>
      </c>
      <c r="B897">
        <v>1.58</v>
      </c>
    </row>
    <row r="898" spans="1:2">
      <c r="A898" s="1">
        <v>43718</v>
      </c>
      <c r="B898">
        <v>1.67</v>
      </c>
    </row>
    <row r="899" spans="1:2">
      <c r="A899" s="1">
        <v>43719</v>
      </c>
      <c r="B899">
        <v>1.68</v>
      </c>
    </row>
    <row r="900" spans="1:2">
      <c r="A900" s="1">
        <v>43720</v>
      </c>
      <c r="B900">
        <v>1.72</v>
      </c>
    </row>
    <row r="901" spans="1:2">
      <c r="A901" s="1">
        <v>43721</v>
      </c>
      <c r="B901">
        <v>1.79</v>
      </c>
    </row>
    <row r="902" spans="1:2">
      <c r="A902" s="1">
        <v>43724</v>
      </c>
      <c r="B902">
        <v>1.74</v>
      </c>
    </row>
    <row r="903" spans="1:2">
      <c r="A903" s="1">
        <v>43725</v>
      </c>
      <c r="B903">
        <v>1.72</v>
      </c>
    </row>
    <row r="904" spans="1:2">
      <c r="A904" s="1">
        <v>43726</v>
      </c>
      <c r="B904">
        <v>1.77</v>
      </c>
    </row>
    <row r="905" spans="1:2">
      <c r="A905" s="1">
        <v>43727</v>
      </c>
      <c r="B905">
        <v>1.74</v>
      </c>
    </row>
    <row r="906" spans="1:2">
      <c r="A906" s="1">
        <v>43728</v>
      </c>
      <c r="B906">
        <v>1.69</v>
      </c>
    </row>
    <row r="907" spans="1:2">
      <c r="A907" s="1">
        <v>43731</v>
      </c>
      <c r="B907">
        <v>1.68</v>
      </c>
    </row>
    <row r="908" spans="1:2">
      <c r="A908" s="1">
        <v>43732</v>
      </c>
      <c r="B908">
        <v>1.6</v>
      </c>
    </row>
    <row r="909" spans="1:2">
      <c r="A909" s="1">
        <v>43733</v>
      </c>
      <c r="B909">
        <v>1.68</v>
      </c>
    </row>
    <row r="910" spans="1:2">
      <c r="A910" s="1">
        <v>43734</v>
      </c>
      <c r="B910">
        <v>1.66</v>
      </c>
    </row>
    <row r="911" spans="1:2">
      <c r="A911" s="1">
        <v>43735</v>
      </c>
      <c r="B911">
        <v>1.63</v>
      </c>
    </row>
    <row r="912" spans="1:2">
      <c r="A912" s="1">
        <v>43738</v>
      </c>
      <c r="B912">
        <v>1.63</v>
      </c>
    </row>
    <row r="913" spans="1:2">
      <c r="A913" s="1">
        <v>43739</v>
      </c>
      <c r="B913">
        <v>1.56</v>
      </c>
    </row>
    <row r="914" spans="1:2">
      <c r="A914" s="1">
        <v>43740</v>
      </c>
      <c r="B914">
        <v>1.48</v>
      </c>
    </row>
    <row r="915" spans="1:2">
      <c r="A915" s="1">
        <v>43741</v>
      </c>
      <c r="B915">
        <v>1.39</v>
      </c>
    </row>
    <row r="916" spans="1:2">
      <c r="A916" s="1">
        <v>43742</v>
      </c>
      <c r="B916">
        <v>1.4</v>
      </c>
    </row>
    <row r="917" spans="1:2">
      <c r="A917" s="1">
        <v>43745</v>
      </c>
      <c r="B917">
        <v>1.46</v>
      </c>
    </row>
    <row r="918" spans="1:2">
      <c r="A918" s="1">
        <v>43746</v>
      </c>
      <c r="B918">
        <v>1.42</v>
      </c>
    </row>
    <row r="919" spans="1:2">
      <c r="A919" s="1">
        <v>43747</v>
      </c>
      <c r="B919">
        <v>1.47</v>
      </c>
    </row>
    <row r="920" spans="1:2">
      <c r="A920" s="1">
        <v>43748</v>
      </c>
      <c r="B920">
        <v>1.53</v>
      </c>
    </row>
    <row r="921" spans="1:2">
      <c r="A921" s="1">
        <v>43749</v>
      </c>
      <c r="B921">
        <v>1.63</v>
      </c>
    </row>
    <row r="922" spans="1:2">
      <c r="A922" s="1">
        <v>43752</v>
      </c>
    </row>
    <row r="923" spans="1:2">
      <c r="A923" s="1">
        <v>43753</v>
      </c>
      <c r="B923">
        <v>1.61</v>
      </c>
    </row>
    <row r="924" spans="1:2">
      <c r="A924" s="1">
        <v>43754</v>
      </c>
      <c r="B924">
        <v>1.58</v>
      </c>
    </row>
    <row r="925" spans="1:2">
      <c r="A925" s="1">
        <v>43755</v>
      </c>
      <c r="B925">
        <v>1.6</v>
      </c>
    </row>
    <row r="926" spans="1:2">
      <c r="A926" s="1">
        <v>43756</v>
      </c>
      <c r="B926">
        <v>1.58</v>
      </c>
    </row>
    <row r="927" spans="1:2">
      <c r="A927" s="1">
        <v>43759</v>
      </c>
      <c r="B927">
        <v>1.62</v>
      </c>
    </row>
    <row r="928" spans="1:2">
      <c r="A928" s="1">
        <v>43760</v>
      </c>
      <c r="B928">
        <v>1.6</v>
      </c>
    </row>
    <row r="929" spans="1:2">
      <c r="A929" s="1">
        <v>43761</v>
      </c>
      <c r="B929">
        <v>1.58</v>
      </c>
    </row>
    <row r="930" spans="1:2">
      <c r="A930" s="1">
        <v>43762</v>
      </c>
      <c r="B930">
        <v>1.58</v>
      </c>
    </row>
    <row r="931" spans="1:2">
      <c r="A931" s="1">
        <v>43763</v>
      </c>
      <c r="B931">
        <v>1.63</v>
      </c>
    </row>
    <row r="932" spans="1:2">
      <c r="A932" s="1">
        <v>43766</v>
      </c>
      <c r="B932">
        <v>1.64</v>
      </c>
    </row>
    <row r="933" spans="1:2">
      <c r="A933" s="1">
        <v>43767</v>
      </c>
      <c r="B933">
        <v>1.64</v>
      </c>
    </row>
    <row r="934" spans="1:2">
      <c r="A934" s="1">
        <v>43768</v>
      </c>
      <c r="B934">
        <v>1.61</v>
      </c>
    </row>
    <row r="935" spans="1:2">
      <c r="A935" s="1">
        <v>43769</v>
      </c>
      <c r="B935">
        <v>1.52</v>
      </c>
    </row>
    <row r="936" spans="1:2">
      <c r="A936" s="1">
        <v>43770</v>
      </c>
      <c r="B936">
        <v>1.56</v>
      </c>
    </row>
    <row r="937" spans="1:2">
      <c r="A937" s="1">
        <v>43773</v>
      </c>
      <c r="B937">
        <v>1.6</v>
      </c>
    </row>
    <row r="938" spans="1:2">
      <c r="A938" s="1">
        <v>43774</v>
      </c>
      <c r="B938">
        <v>1.63</v>
      </c>
    </row>
    <row r="939" spans="1:2">
      <c r="A939" s="1">
        <v>43775</v>
      </c>
      <c r="B939">
        <v>1.61</v>
      </c>
    </row>
    <row r="940" spans="1:2">
      <c r="A940" s="1">
        <v>43776</v>
      </c>
      <c r="B940">
        <v>1.68</v>
      </c>
    </row>
    <row r="941" spans="1:2">
      <c r="A941" s="1">
        <v>43777</v>
      </c>
      <c r="B941">
        <v>1.68</v>
      </c>
    </row>
    <row r="942" spans="1:2">
      <c r="A942" s="1">
        <v>43780</v>
      </c>
    </row>
    <row r="943" spans="1:2">
      <c r="A943" s="1">
        <v>43781</v>
      </c>
      <c r="B943">
        <v>1.66</v>
      </c>
    </row>
    <row r="944" spans="1:2">
      <c r="A944" s="1">
        <v>43782</v>
      </c>
      <c r="B944">
        <v>1.63</v>
      </c>
    </row>
    <row r="945" spans="1:2">
      <c r="A945" s="1">
        <v>43783</v>
      </c>
      <c r="B945">
        <v>1.58</v>
      </c>
    </row>
    <row r="946" spans="1:2">
      <c r="A946" s="1">
        <v>43784</v>
      </c>
      <c r="B946">
        <v>1.61</v>
      </c>
    </row>
    <row r="947" spans="1:2">
      <c r="A947" s="1">
        <v>43787</v>
      </c>
      <c r="B947">
        <v>1.6</v>
      </c>
    </row>
    <row r="948" spans="1:2">
      <c r="A948" s="1">
        <v>43788</v>
      </c>
      <c r="B948">
        <v>1.6</v>
      </c>
    </row>
    <row r="949" spans="1:2">
      <c r="A949" s="1">
        <v>43789</v>
      </c>
      <c r="B949">
        <v>1.56</v>
      </c>
    </row>
    <row r="950" spans="1:2">
      <c r="A950" s="1">
        <v>43790</v>
      </c>
      <c r="B950">
        <v>1.6</v>
      </c>
    </row>
    <row r="951" spans="1:2">
      <c r="A951" s="1">
        <v>43791</v>
      </c>
      <c r="B951">
        <v>1.61</v>
      </c>
    </row>
    <row r="952" spans="1:2">
      <c r="A952" s="1">
        <v>43794</v>
      </c>
      <c r="B952">
        <v>1.61</v>
      </c>
    </row>
    <row r="953" spans="1:2">
      <c r="A953" s="1">
        <v>43795</v>
      </c>
      <c r="B953">
        <v>1.58</v>
      </c>
    </row>
    <row r="954" spans="1:2">
      <c r="A954" s="1">
        <v>43796</v>
      </c>
      <c r="B954">
        <v>1.63</v>
      </c>
    </row>
    <row r="955" spans="1:2">
      <c r="A955" s="1">
        <v>43797</v>
      </c>
    </row>
    <row r="956" spans="1:2">
      <c r="A956" s="1">
        <v>43798</v>
      </c>
      <c r="B956">
        <v>1.61</v>
      </c>
    </row>
    <row r="957" spans="1:2">
      <c r="A957" s="1">
        <v>43801</v>
      </c>
      <c r="B957">
        <v>1.61</v>
      </c>
    </row>
    <row r="958" spans="1:2">
      <c r="A958" s="1">
        <v>43802</v>
      </c>
      <c r="B958">
        <v>1.53</v>
      </c>
    </row>
    <row r="959" spans="1:2">
      <c r="A959" s="1">
        <v>43803</v>
      </c>
      <c r="B959">
        <v>1.58</v>
      </c>
    </row>
    <row r="960" spans="1:2">
      <c r="A960" s="1">
        <v>43804</v>
      </c>
      <c r="B960">
        <v>1.58</v>
      </c>
    </row>
    <row r="961" spans="1:2">
      <c r="A961" s="1">
        <v>43805</v>
      </c>
      <c r="B961">
        <v>1.61</v>
      </c>
    </row>
    <row r="962" spans="1:2">
      <c r="A962" s="1">
        <v>43808</v>
      </c>
      <c r="B962">
        <v>1.63</v>
      </c>
    </row>
    <row r="963" spans="1:2">
      <c r="A963" s="1">
        <v>43809</v>
      </c>
      <c r="B963">
        <v>1.65</v>
      </c>
    </row>
    <row r="964" spans="1:2">
      <c r="A964" s="1">
        <v>43810</v>
      </c>
      <c r="B964">
        <v>1.61</v>
      </c>
    </row>
    <row r="965" spans="1:2">
      <c r="A965" s="1">
        <v>43811</v>
      </c>
      <c r="B965">
        <v>1.66</v>
      </c>
    </row>
    <row r="966" spans="1:2">
      <c r="A966" s="1">
        <v>43812</v>
      </c>
      <c r="B966">
        <v>1.61</v>
      </c>
    </row>
    <row r="967" spans="1:2">
      <c r="A967" s="1">
        <v>43815</v>
      </c>
      <c r="B967">
        <v>1.65</v>
      </c>
    </row>
    <row r="968" spans="1:2">
      <c r="A968" s="1">
        <v>43816</v>
      </c>
      <c r="B968">
        <v>1.63</v>
      </c>
    </row>
    <row r="969" spans="1:2">
      <c r="A969" s="1">
        <v>43817</v>
      </c>
      <c r="B969">
        <v>1.63</v>
      </c>
    </row>
    <row r="970" spans="1:2">
      <c r="A970" s="1">
        <v>43818</v>
      </c>
      <c r="B970">
        <v>1.62</v>
      </c>
    </row>
    <row r="971" spans="1:2">
      <c r="A971" s="1">
        <v>43819</v>
      </c>
      <c r="B971">
        <v>1.63</v>
      </c>
    </row>
    <row r="972" spans="1:2">
      <c r="A972" s="1">
        <v>43822</v>
      </c>
      <c r="B972">
        <v>1.64</v>
      </c>
    </row>
    <row r="973" spans="1:2">
      <c r="A973" s="1">
        <v>43823</v>
      </c>
      <c r="B973">
        <v>1.62</v>
      </c>
    </row>
    <row r="974" spans="1:2">
      <c r="A974" s="1">
        <v>43824</v>
      </c>
    </row>
    <row r="975" spans="1:2">
      <c r="A975" s="1">
        <v>43825</v>
      </c>
      <c r="B975">
        <v>1.64</v>
      </c>
    </row>
    <row r="976" spans="1:2">
      <c r="A976" s="1">
        <v>43826</v>
      </c>
      <c r="B976">
        <v>1.59</v>
      </c>
    </row>
    <row r="977" spans="1:2">
      <c r="A977" s="1">
        <v>43829</v>
      </c>
      <c r="B977">
        <v>1.58</v>
      </c>
    </row>
    <row r="978" spans="1:2">
      <c r="A978" s="1">
        <v>43830</v>
      </c>
      <c r="B978">
        <v>1.58</v>
      </c>
    </row>
    <row r="979" spans="1:2">
      <c r="A979" s="1">
        <v>43831</v>
      </c>
    </row>
    <row r="980" spans="1:2">
      <c r="A980" s="1">
        <v>43832</v>
      </c>
      <c r="B980">
        <v>1.58</v>
      </c>
    </row>
    <row r="981" spans="1:2">
      <c r="A981" s="1">
        <v>43833</v>
      </c>
      <c r="B981">
        <v>1.53</v>
      </c>
    </row>
    <row r="982" spans="1:2">
      <c r="A982" s="1">
        <v>43836</v>
      </c>
      <c r="B982">
        <v>1.54</v>
      </c>
    </row>
    <row r="983" spans="1:2">
      <c r="A983" s="1">
        <v>43837</v>
      </c>
      <c r="B983">
        <v>1.54</v>
      </c>
    </row>
    <row r="984" spans="1:2">
      <c r="A984" s="1">
        <v>43838</v>
      </c>
      <c r="B984">
        <v>1.58</v>
      </c>
    </row>
    <row r="985" spans="1:2">
      <c r="A985" s="1">
        <v>43839</v>
      </c>
      <c r="B985">
        <v>1.58</v>
      </c>
    </row>
    <row r="986" spans="1:2">
      <c r="A986" s="1">
        <v>43840</v>
      </c>
      <c r="B986">
        <v>1.56</v>
      </c>
    </row>
    <row r="987" spans="1:2">
      <c r="A987" s="1">
        <v>43843</v>
      </c>
      <c r="B987">
        <v>1.58</v>
      </c>
    </row>
    <row r="988" spans="1:2">
      <c r="A988" s="1">
        <v>43844</v>
      </c>
      <c r="B988">
        <v>1.58</v>
      </c>
    </row>
    <row r="989" spans="1:2">
      <c r="A989" s="1">
        <v>43845</v>
      </c>
      <c r="B989">
        <v>1.56</v>
      </c>
    </row>
    <row r="990" spans="1:2">
      <c r="A990" s="1">
        <v>43846</v>
      </c>
      <c r="B990">
        <v>1.58</v>
      </c>
    </row>
    <row r="991" spans="1:2">
      <c r="A991" s="1">
        <v>43847</v>
      </c>
      <c r="B991">
        <v>1.58</v>
      </c>
    </row>
    <row r="992" spans="1:2">
      <c r="A992" s="1">
        <v>43850</v>
      </c>
    </row>
    <row r="993" spans="1:2">
      <c r="A993" s="1">
        <v>43851</v>
      </c>
      <c r="B993">
        <v>1.53</v>
      </c>
    </row>
    <row r="994" spans="1:2">
      <c r="A994" s="1">
        <v>43852</v>
      </c>
      <c r="B994">
        <v>1.53</v>
      </c>
    </row>
    <row r="995" spans="1:2">
      <c r="A995" s="1">
        <v>43853</v>
      </c>
      <c r="B995">
        <v>1.51</v>
      </c>
    </row>
    <row r="996" spans="1:2">
      <c r="A996" s="1">
        <v>43854</v>
      </c>
      <c r="B996">
        <v>1.49</v>
      </c>
    </row>
    <row r="997" spans="1:2">
      <c r="A997" s="1">
        <v>43857</v>
      </c>
      <c r="B997">
        <v>1.44</v>
      </c>
    </row>
    <row r="998" spans="1:2">
      <c r="A998" s="1">
        <v>43858</v>
      </c>
      <c r="B998">
        <v>1.45</v>
      </c>
    </row>
    <row r="999" spans="1:2">
      <c r="A999" s="1">
        <v>43859</v>
      </c>
      <c r="B999">
        <v>1.42</v>
      </c>
    </row>
    <row r="1000" spans="1:2">
      <c r="A1000" s="1">
        <v>43860</v>
      </c>
      <c r="B1000">
        <v>1.41</v>
      </c>
    </row>
    <row r="1001" spans="1:2">
      <c r="A1001" s="1">
        <v>43861</v>
      </c>
      <c r="B1001">
        <v>1.33</v>
      </c>
    </row>
    <row r="1002" spans="1:2">
      <c r="A1002" s="1">
        <v>43864</v>
      </c>
      <c r="B1002">
        <v>1.36</v>
      </c>
    </row>
    <row r="1003" spans="1:2">
      <c r="A1003" s="1">
        <v>43865</v>
      </c>
      <c r="B1003">
        <v>1.41</v>
      </c>
    </row>
    <row r="1004" spans="1:2">
      <c r="A1004" s="1">
        <v>43866</v>
      </c>
      <c r="B1004">
        <v>1.44</v>
      </c>
    </row>
    <row r="1005" spans="1:2">
      <c r="A1005" s="1">
        <v>43867</v>
      </c>
      <c r="B1005">
        <v>1.44</v>
      </c>
    </row>
    <row r="1006" spans="1:2">
      <c r="A1006" s="1">
        <v>43868</v>
      </c>
      <c r="B1006">
        <v>1.41</v>
      </c>
    </row>
    <row r="1007" spans="1:2">
      <c r="A1007" s="1">
        <v>43871</v>
      </c>
      <c r="B1007">
        <v>1.37</v>
      </c>
    </row>
    <row r="1008" spans="1:2">
      <c r="A1008" s="1">
        <v>43872</v>
      </c>
      <c r="B1008">
        <v>1.41</v>
      </c>
    </row>
    <row r="1009" spans="1:2">
      <c r="A1009" s="1">
        <v>43873</v>
      </c>
      <c r="B1009">
        <v>1.44</v>
      </c>
    </row>
    <row r="1010" spans="1:2">
      <c r="A1010" s="1">
        <v>43874</v>
      </c>
      <c r="B1010">
        <v>1.44</v>
      </c>
    </row>
    <row r="1011" spans="1:2">
      <c r="A1011" s="1">
        <v>43875</v>
      </c>
      <c r="B1011">
        <v>1.42</v>
      </c>
    </row>
    <row r="1012" spans="1:2">
      <c r="A1012" s="1">
        <v>43878</v>
      </c>
    </row>
    <row r="1013" spans="1:2">
      <c r="A1013" s="1">
        <v>43879</v>
      </c>
      <c r="B1013">
        <v>1.41</v>
      </c>
    </row>
    <row r="1014" spans="1:2">
      <c r="A1014" s="1">
        <v>43880</v>
      </c>
      <c r="B1014">
        <v>1.42</v>
      </c>
    </row>
    <row r="1015" spans="1:2">
      <c r="A1015" s="1">
        <v>43881</v>
      </c>
      <c r="B1015">
        <v>1.39</v>
      </c>
    </row>
    <row r="1016" spans="1:2">
      <c r="A1016" s="1">
        <v>43882</v>
      </c>
      <c r="B1016">
        <v>1.34</v>
      </c>
    </row>
    <row r="1017" spans="1:2">
      <c r="A1017" s="1">
        <v>43885</v>
      </c>
      <c r="B1017">
        <v>1.26</v>
      </c>
    </row>
    <row r="1018" spans="1:2">
      <c r="A1018" s="1">
        <v>43886</v>
      </c>
      <c r="B1018">
        <v>1.2</v>
      </c>
    </row>
    <row r="1019" spans="1:2">
      <c r="A1019" s="1">
        <v>43887</v>
      </c>
      <c r="B1019">
        <v>1.1599999999999999</v>
      </c>
    </row>
    <row r="1020" spans="1:2">
      <c r="A1020" s="1">
        <v>43888</v>
      </c>
      <c r="B1020">
        <v>1.1100000000000001</v>
      </c>
    </row>
    <row r="1021" spans="1:2">
      <c r="A1021" s="1">
        <v>43889</v>
      </c>
      <c r="B1021">
        <v>0.86</v>
      </c>
    </row>
    <row r="1022" spans="1:2">
      <c r="A1022" s="1">
        <v>43892</v>
      </c>
      <c r="B1022">
        <v>0.84</v>
      </c>
    </row>
    <row r="1023" spans="1:2">
      <c r="A1023" s="1">
        <v>43893</v>
      </c>
      <c r="B1023">
        <v>0.71</v>
      </c>
    </row>
    <row r="1024" spans="1:2">
      <c r="A1024" s="1">
        <v>43894</v>
      </c>
      <c r="B1024">
        <v>0.67</v>
      </c>
    </row>
    <row r="1025" spans="1:2">
      <c r="A1025" s="1">
        <v>43895</v>
      </c>
      <c r="B1025">
        <v>0.59</v>
      </c>
    </row>
    <row r="1026" spans="1:2">
      <c r="A1026" s="1">
        <v>43896</v>
      </c>
      <c r="B1026">
        <v>0.49</v>
      </c>
    </row>
    <row r="1027" spans="1:2">
      <c r="A1027" s="1">
        <v>43899</v>
      </c>
      <c r="B1027">
        <v>0.38</v>
      </c>
    </row>
    <row r="1028" spans="1:2">
      <c r="A1028" s="1">
        <v>43900</v>
      </c>
      <c r="B1028">
        <v>0.5</v>
      </c>
    </row>
    <row r="1029" spans="1:2">
      <c r="A1029" s="1">
        <v>43901</v>
      </c>
      <c r="B1029">
        <v>0.5</v>
      </c>
    </row>
    <row r="1030" spans="1:2">
      <c r="A1030" s="1">
        <v>43902</v>
      </c>
      <c r="B1030">
        <v>0.5</v>
      </c>
    </row>
    <row r="1031" spans="1:2">
      <c r="A1031" s="1">
        <v>43903</v>
      </c>
      <c r="B1031">
        <v>0.49</v>
      </c>
    </row>
    <row r="1032" spans="1:2">
      <c r="A1032" s="1">
        <v>43906</v>
      </c>
      <c r="B1032">
        <v>0.36</v>
      </c>
    </row>
    <row r="1033" spans="1:2">
      <c r="A1033" s="1">
        <v>43907</v>
      </c>
      <c r="B1033">
        <v>0.47</v>
      </c>
    </row>
    <row r="1034" spans="1:2">
      <c r="A1034" s="1">
        <v>43908</v>
      </c>
      <c r="B1034">
        <v>0.54</v>
      </c>
    </row>
    <row r="1035" spans="1:2">
      <c r="A1035" s="1">
        <v>43909</v>
      </c>
      <c r="B1035">
        <v>0.44</v>
      </c>
    </row>
    <row r="1036" spans="1:2">
      <c r="A1036" s="1">
        <v>43910</v>
      </c>
      <c r="B1036">
        <v>0.37</v>
      </c>
    </row>
    <row r="1037" spans="1:2">
      <c r="A1037" s="1">
        <v>43913</v>
      </c>
      <c r="B1037">
        <v>0.28000000000000003</v>
      </c>
    </row>
    <row r="1038" spans="1:2">
      <c r="A1038" s="1">
        <v>43914</v>
      </c>
      <c r="B1038">
        <v>0.38</v>
      </c>
    </row>
    <row r="1039" spans="1:2">
      <c r="A1039" s="1">
        <v>43915</v>
      </c>
      <c r="B1039">
        <v>0.34</v>
      </c>
    </row>
    <row r="1040" spans="1:2">
      <c r="A1040" s="1">
        <v>43916</v>
      </c>
      <c r="B1040">
        <v>0.3</v>
      </c>
    </row>
    <row r="1041" spans="1:2">
      <c r="A1041" s="1">
        <v>43917</v>
      </c>
      <c r="B1041">
        <v>0.25</v>
      </c>
    </row>
    <row r="1042" spans="1:2">
      <c r="A1042" s="1">
        <v>43920</v>
      </c>
      <c r="B1042">
        <v>0.23</v>
      </c>
    </row>
    <row r="1043" spans="1:2">
      <c r="A1043" s="1">
        <v>43921</v>
      </c>
      <c r="B1043">
        <v>0.23</v>
      </c>
    </row>
    <row r="1044" spans="1:2">
      <c r="A1044" s="1">
        <v>43922</v>
      </c>
      <c r="B1044">
        <v>0.23</v>
      </c>
    </row>
    <row r="1045" spans="1:2">
      <c r="A1045" s="1">
        <v>43923</v>
      </c>
      <c r="B1045">
        <v>0.23</v>
      </c>
    </row>
    <row r="1046" spans="1:2">
      <c r="A1046" s="1">
        <v>43924</v>
      </c>
      <c r="B1046">
        <v>0.23</v>
      </c>
    </row>
    <row r="1047" spans="1:2">
      <c r="A1047" s="1">
        <v>43927</v>
      </c>
      <c r="B1047">
        <v>0.27</v>
      </c>
    </row>
    <row r="1048" spans="1:2">
      <c r="A1048" s="1">
        <v>43928</v>
      </c>
      <c r="B1048">
        <v>0.28000000000000003</v>
      </c>
    </row>
    <row r="1049" spans="1:2">
      <c r="A1049" s="1">
        <v>43929</v>
      </c>
      <c r="B1049">
        <v>0.27</v>
      </c>
    </row>
    <row r="1050" spans="1:2">
      <c r="A1050" s="1">
        <v>43930</v>
      </c>
      <c r="B1050">
        <v>0.23</v>
      </c>
    </row>
    <row r="1051" spans="1:2">
      <c r="A1051" s="1">
        <v>43931</v>
      </c>
    </row>
    <row r="1052" spans="1:2">
      <c r="A1052" s="1">
        <v>43934</v>
      </c>
      <c r="B1052">
        <v>0.25</v>
      </c>
    </row>
    <row r="1053" spans="1:2">
      <c r="A1053" s="1">
        <v>43935</v>
      </c>
      <c r="B1053">
        <v>0.23</v>
      </c>
    </row>
    <row r="1054" spans="1:2">
      <c r="A1054" s="1">
        <v>43936</v>
      </c>
      <c r="B1054">
        <v>0.2</v>
      </c>
    </row>
    <row r="1055" spans="1:2">
      <c r="A1055" s="1">
        <v>43937</v>
      </c>
      <c r="B1055">
        <v>0.2</v>
      </c>
    </row>
    <row r="1056" spans="1:2">
      <c r="A1056" s="1">
        <v>43938</v>
      </c>
      <c r="B1056">
        <v>0.2</v>
      </c>
    </row>
    <row r="1057" spans="1:2">
      <c r="A1057" s="1">
        <v>43941</v>
      </c>
      <c r="B1057">
        <v>0.2</v>
      </c>
    </row>
    <row r="1058" spans="1:2">
      <c r="A1058" s="1">
        <v>43942</v>
      </c>
      <c r="B1058">
        <v>0.2</v>
      </c>
    </row>
    <row r="1059" spans="1:2">
      <c r="A1059" s="1">
        <v>43943</v>
      </c>
      <c r="B1059">
        <v>0.22</v>
      </c>
    </row>
    <row r="1060" spans="1:2">
      <c r="A1060" s="1">
        <v>43944</v>
      </c>
      <c r="B1060">
        <v>0.22</v>
      </c>
    </row>
    <row r="1061" spans="1:2">
      <c r="A1061" s="1">
        <v>43945</v>
      </c>
      <c r="B1061">
        <v>0.22</v>
      </c>
    </row>
    <row r="1062" spans="1:2">
      <c r="A1062" s="1">
        <v>43948</v>
      </c>
      <c r="B1062">
        <v>0.24</v>
      </c>
    </row>
    <row r="1063" spans="1:2">
      <c r="A1063" s="1">
        <v>43949</v>
      </c>
      <c r="B1063">
        <v>0.2</v>
      </c>
    </row>
    <row r="1064" spans="1:2">
      <c r="A1064" s="1">
        <v>43950</v>
      </c>
      <c r="B1064">
        <v>0.2</v>
      </c>
    </row>
    <row r="1065" spans="1:2">
      <c r="A1065" s="1">
        <v>43951</v>
      </c>
      <c r="B1065">
        <v>0.2</v>
      </c>
    </row>
    <row r="1066" spans="1:2">
      <c r="A1066" s="1">
        <v>43952</v>
      </c>
      <c r="B1066">
        <v>0.2</v>
      </c>
    </row>
    <row r="1067" spans="1:2">
      <c r="A1067" s="1">
        <v>43955</v>
      </c>
      <c r="B1067">
        <v>0.19</v>
      </c>
    </row>
    <row r="1068" spans="1:2">
      <c r="A1068" s="1">
        <v>43956</v>
      </c>
      <c r="B1068">
        <v>0.19</v>
      </c>
    </row>
    <row r="1069" spans="1:2">
      <c r="A1069" s="1">
        <v>43957</v>
      </c>
      <c r="B1069">
        <v>0.17</v>
      </c>
    </row>
    <row r="1070" spans="1:2">
      <c r="A1070" s="1">
        <v>43958</v>
      </c>
      <c r="B1070">
        <v>0.13</v>
      </c>
    </row>
    <row r="1071" spans="1:2">
      <c r="A1071" s="1">
        <v>43959</v>
      </c>
      <c r="B1071">
        <v>0.16</v>
      </c>
    </row>
    <row r="1072" spans="1:2">
      <c r="A1072" s="1">
        <v>43962</v>
      </c>
      <c r="B1072">
        <v>0.17</v>
      </c>
    </row>
    <row r="1073" spans="1:2">
      <c r="A1073" s="1">
        <v>43963</v>
      </c>
      <c r="B1073">
        <v>0.17</v>
      </c>
    </row>
    <row r="1074" spans="1:2">
      <c r="A1074" s="1">
        <v>43964</v>
      </c>
      <c r="B1074">
        <v>0.16</v>
      </c>
    </row>
    <row r="1075" spans="1:2">
      <c r="A1075" s="1">
        <v>43965</v>
      </c>
      <c r="B1075">
        <v>0.16</v>
      </c>
    </row>
    <row r="1076" spans="1:2">
      <c r="A1076" s="1">
        <v>43966</v>
      </c>
      <c r="B1076">
        <v>0.16</v>
      </c>
    </row>
    <row r="1077" spans="1:2">
      <c r="A1077" s="1">
        <v>43969</v>
      </c>
      <c r="B1077">
        <v>0.18</v>
      </c>
    </row>
    <row r="1078" spans="1:2">
      <c r="A1078" s="1">
        <v>43970</v>
      </c>
      <c r="B1078">
        <v>0.17</v>
      </c>
    </row>
    <row r="1079" spans="1:2">
      <c r="A1079" s="1">
        <v>43971</v>
      </c>
      <c r="B1079">
        <v>0.16</v>
      </c>
    </row>
    <row r="1080" spans="1:2">
      <c r="A1080" s="1">
        <v>43972</v>
      </c>
      <c r="B1080">
        <v>0.17</v>
      </c>
    </row>
    <row r="1081" spans="1:2">
      <c r="A1081" s="1">
        <v>43973</v>
      </c>
      <c r="B1081">
        <v>0.17</v>
      </c>
    </row>
    <row r="1082" spans="1:2">
      <c r="A1082" s="1">
        <v>43976</v>
      </c>
    </row>
    <row r="1083" spans="1:2">
      <c r="A1083" s="1">
        <v>43977</v>
      </c>
      <c r="B1083">
        <v>0.18</v>
      </c>
    </row>
    <row r="1084" spans="1:2">
      <c r="A1084" s="1">
        <v>43978</v>
      </c>
      <c r="B1084">
        <v>0.19</v>
      </c>
    </row>
    <row r="1085" spans="1:2">
      <c r="A1085" s="1">
        <v>43979</v>
      </c>
      <c r="B1085">
        <v>0.17</v>
      </c>
    </row>
    <row r="1086" spans="1:2">
      <c r="A1086" s="1">
        <v>43980</v>
      </c>
      <c r="B1086">
        <v>0.16</v>
      </c>
    </row>
    <row r="1087" spans="1:2">
      <c r="A1087" s="1">
        <v>43983</v>
      </c>
      <c r="B1087">
        <v>0.14000000000000001</v>
      </c>
    </row>
    <row r="1088" spans="1:2">
      <c r="A1088" s="1">
        <v>43984</v>
      </c>
      <c r="B1088">
        <v>0.17</v>
      </c>
    </row>
    <row r="1089" spans="1:2">
      <c r="A1089" s="1">
        <v>43985</v>
      </c>
      <c r="B1089">
        <v>0.19</v>
      </c>
    </row>
    <row r="1090" spans="1:2">
      <c r="A1090" s="1">
        <v>43986</v>
      </c>
      <c r="B1090">
        <v>0.19</v>
      </c>
    </row>
    <row r="1091" spans="1:2">
      <c r="A1091" s="1">
        <v>43987</v>
      </c>
      <c r="B1091">
        <v>0.22</v>
      </c>
    </row>
    <row r="1092" spans="1:2">
      <c r="A1092" s="1">
        <v>43990</v>
      </c>
      <c r="B1092">
        <v>0.22</v>
      </c>
    </row>
    <row r="1093" spans="1:2">
      <c r="A1093" s="1">
        <v>43991</v>
      </c>
      <c r="B1093">
        <v>0.2</v>
      </c>
    </row>
    <row r="1094" spans="1:2">
      <c r="A1094" s="1">
        <v>43992</v>
      </c>
      <c r="B1094">
        <v>0.17</v>
      </c>
    </row>
    <row r="1095" spans="1:2">
      <c r="A1095" s="1">
        <v>43993</v>
      </c>
      <c r="B1095">
        <v>0.19</v>
      </c>
    </row>
    <row r="1096" spans="1:2">
      <c r="A1096" s="1">
        <v>43994</v>
      </c>
      <c r="B1096">
        <v>0.19</v>
      </c>
    </row>
    <row r="1097" spans="1:2">
      <c r="A1097" s="1">
        <v>43997</v>
      </c>
      <c r="B1097">
        <v>0.19</v>
      </c>
    </row>
    <row r="1098" spans="1:2">
      <c r="A1098" s="1">
        <v>43998</v>
      </c>
      <c r="B1098">
        <v>0.21</v>
      </c>
    </row>
    <row r="1099" spans="1:2">
      <c r="A1099" s="1">
        <v>43999</v>
      </c>
      <c r="B1099">
        <v>0.19</v>
      </c>
    </row>
    <row r="1100" spans="1:2">
      <c r="A1100" s="1">
        <v>44000</v>
      </c>
      <c r="B1100">
        <v>0.19</v>
      </c>
    </row>
    <row r="1101" spans="1:2">
      <c r="A1101" s="1">
        <v>44001</v>
      </c>
      <c r="B1101">
        <v>0.19</v>
      </c>
    </row>
    <row r="1102" spans="1:2">
      <c r="A1102" s="1">
        <v>44004</v>
      </c>
      <c r="B1102">
        <v>0.19</v>
      </c>
    </row>
    <row r="1103" spans="1:2">
      <c r="A1103" s="1">
        <v>44005</v>
      </c>
      <c r="B1103">
        <v>0.18</v>
      </c>
    </row>
    <row r="1104" spans="1:2">
      <c r="A1104" s="1">
        <v>44006</v>
      </c>
      <c r="B1104">
        <v>0.19</v>
      </c>
    </row>
    <row r="1105" spans="1:2">
      <c r="A1105" s="1">
        <v>44007</v>
      </c>
      <c r="B1105">
        <v>0.17</v>
      </c>
    </row>
    <row r="1106" spans="1:2">
      <c r="A1106" s="1">
        <v>44008</v>
      </c>
      <c r="B1106">
        <v>0.17</v>
      </c>
    </row>
    <row r="1107" spans="1:2">
      <c r="A1107" s="1">
        <v>44011</v>
      </c>
      <c r="B1107">
        <v>0.16</v>
      </c>
    </row>
    <row r="1108" spans="1:2">
      <c r="A1108" s="1">
        <v>44012</v>
      </c>
      <c r="B1108">
        <v>0.16</v>
      </c>
    </row>
    <row r="1109" spans="1:2">
      <c r="A1109" s="1">
        <v>44013</v>
      </c>
      <c r="B1109">
        <v>0.17</v>
      </c>
    </row>
    <row r="1110" spans="1:2">
      <c r="A1110" s="1">
        <v>44014</v>
      </c>
      <c r="B1110">
        <v>0.16</v>
      </c>
    </row>
    <row r="1111" spans="1:2">
      <c r="A1111" s="1">
        <v>44015</v>
      </c>
    </row>
    <row r="1112" spans="1:2">
      <c r="A1112" s="1">
        <v>44018</v>
      </c>
      <c r="B1112">
        <v>0.16</v>
      </c>
    </row>
    <row r="1113" spans="1:2">
      <c r="A1113" s="1">
        <v>44019</v>
      </c>
      <c r="B1113">
        <v>0.16</v>
      </c>
    </row>
    <row r="1114" spans="1:2">
      <c r="A1114" s="1">
        <v>44020</v>
      </c>
      <c r="B1114">
        <v>0.16</v>
      </c>
    </row>
    <row r="1115" spans="1:2">
      <c r="A1115" s="1">
        <v>44021</v>
      </c>
      <c r="B1115">
        <v>0.16</v>
      </c>
    </row>
    <row r="1116" spans="1:2">
      <c r="A1116" s="1">
        <v>44022</v>
      </c>
      <c r="B1116">
        <v>0.16</v>
      </c>
    </row>
    <row r="1117" spans="1:2">
      <c r="A1117" s="1">
        <v>44025</v>
      </c>
      <c r="B1117">
        <v>0.16</v>
      </c>
    </row>
    <row r="1118" spans="1:2">
      <c r="A1118" s="1">
        <v>44026</v>
      </c>
      <c r="B1118">
        <v>0.14000000000000001</v>
      </c>
    </row>
    <row r="1119" spans="1:2">
      <c r="A1119" s="1">
        <v>44027</v>
      </c>
      <c r="B1119">
        <v>0.16</v>
      </c>
    </row>
    <row r="1120" spans="1:2">
      <c r="A1120" s="1">
        <v>44028</v>
      </c>
      <c r="B1120">
        <v>0.16</v>
      </c>
    </row>
    <row r="1121" spans="1:2">
      <c r="A1121" s="1">
        <v>44029</v>
      </c>
      <c r="B1121">
        <v>0.14000000000000001</v>
      </c>
    </row>
    <row r="1122" spans="1:2">
      <c r="A1122" s="1">
        <v>44032</v>
      </c>
      <c r="B1122">
        <v>0.16</v>
      </c>
    </row>
    <row r="1123" spans="1:2">
      <c r="A1123" s="1">
        <v>44033</v>
      </c>
      <c r="B1123">
        <v>0.14000000000000001</v>
      </c>
    </row>
    <row r="1124" spans="1:2">
      <c r="A1124" s="1">
        <v>44034</v>
      </c>
      <c r="B1124">
        <v>0.14000000000000001</v>
      </c>
    </row>
    <row r="1125" spans="1:2">
      <c r="A1125" s="1">
        <v>44035</v>
      </c>
      <c r="B1125">
        <v>0.16</v>
      </c>
    </row>
    <row r="1126" spans="1:2">
      <c r="A1126" s="1">
        <v>44036</v>
      </c>
      <c r="B1126">
        <v>0.14000000000000001</v>
      </c>
    </row>
    <row r="1127" spans="1:2">
      <c r="A1127" s="1">
        <v>44039</v>
      </c>
      <c r="B1127">
        <v>0.15</v>
      </c>
    </row>
    <row r="1128" spans="1:2">
      <c r="A1128" s="1">
        <v>44040</v>
      </c>
      <c r="B1128">
        <v>0.14000000000000001</v>
      </c>
    </row>
    <row r="1129" spans="1:2">
      <c r="A1129" s="1">
        <v>44041</v>
      </c>
      <c r="B1129">
        <v>0.12</v>
      </c>
    </row>
    <row r="1130" spans="1:2">
      <c r="A1130" s="1">
        <v>44042</v>
      </c>
      <c r="B1130">
        <v>0.11</v>
      </c>
    </row>
    <row r="1131" spans="1:2">
      <c r="A1131" s="1">
        <v>44043</v>
      </c>
      <c r="B1131">
        <v>0.11</v>
      </c>
    </row>
    <row r="1132" spans="1:2">
      <c r="A1132" s="1">
        <v>44046</v>
      </c>
      <c r="B1132">
        <v>0.11</v>
      </c>
    </row>
    <row r="1133" spans="1:2">
      <c r="A1133" s="1">
        <v>44047</v>
      </c>
      <c r="B1133">
        <v>0.11</v>
      </c>
    </row>
    <row r="1134" spans="1:2">
      <c r="A1134" s="1">
        <v>44048</v>
      </c>
      <c r="B1134">
        <v>0.11</v>
      </c>
    </row>
    <row r="1135" spans="1:2">
      <c r="A1135" s="1">
        <v>44049</v>
      </c>
      <c r="B1135">
        <v>0.11</v>
      </c>
    </row>
    <row r="1136" spans="1:2">
      <c r="A1136" s="1">
        <v>44050</v>
      </c>
      <c r="B1136">
        <v>0.13</v>
      </c>
    </row>
    <row r="1137" spans="1:2">
      <c r="A1137" s="1">
        <v>44053</v>
      </c>
      <c r="B1137">
        <v>0.14000000000000001</v>
      </c>
    </row>
    <row r="1138" spans="1:2">
      <c r="A1138" s="1">
        <v>44054</v>
      </c>
      <c r="B1138">
        <v>0.16</v>
      </c>
    </row>
    <row r="1139" spans="1:2">
      <c r="A1139" s="1">
        <v>44055</v>
      </c>
      <c r="B1139">
        <v>0.16</v>
      </c>
    </row>
    <row r="1140" spans="1:2">
      <c r="A1140" s="1">
        <v>44056</v>
      </c>
      <c r="B1140">
        <v>0.16</v>
      </c>
    </row>
    <row r="1141" spans="1:2">
      <c r="A1141" s="1">
        <v>44057</v>
      </c>
      <c r="B1141">
        <v>0.14000000000000001</v>
      </c>
    </row>
    <row r="1142" spans="1:2">
      <c r="A1142" s="1">
        <v>44060</v>
      </c>
      <c r="B1142">
        <v>0.14000000000000001</v>
      </c>
    </row>
    <row r="1143" spans="1:2">
      <c r="A1143" s="1">
        <v>44061</v>
      </c>
      <c r="B1143">
        <v>0.14000000000000001</v>
      </c>
    </row>
    <row r="1144" spans="1:2">
      <c r="A1144" s="1">
        <v>44062</v>
      </c>
      <c r="B1144">
        <v>0.14000000000000001</v>
      </c>
    </row>
    <row r="1145" spans="1:2">
      <c r="A1145" s="1">
        <v>44063</v>
      </c>
      <c r="B1145">
        <v>0.13</v>
      </c>
    </row>
    <row r="1146" spans="1:2">
      <c r="A1146" s="1">
        <v>44064</v>
      </c>
      <c r="B1146">
        <v>0.16</v>
      </c>
    </row>
    <row r="1147" spans="1:2">
      <c r="A1147" s="1">
        <v>44067</v>
      </c>
      <c r="B1147">
        <v>0.14000000000000001</v>
      </c>
    </row>
    <row r="1148" spans="1:2">
      <c r="A1148" s="1">
        <v>44068</v>
      </c>
      <c r="B1148">
        <v>0.15</v>
      </c>
    </row>
    <row r="1149" spans="1:2">
      <c r="A1149" s="1">
        <v>44069</v>
      </c>
      <c r="B1149">
        <v>0.16</v>
      </c>
    </row>
    <row r="1150" spans="1:2">
      <c r="A1150" s="1">
        <v>44070</v>
      </c>
      <c r="B1150">
        <v>0.16</v>
      </c>
    </row>
    <row r="1151" spans="1:2">
      <c r="A1151" s="1">
        <v>44071</v>
      </c>
      <c r="B1151">
        <v>0.14000000000000001</v>
      </c>
    </row>
    <row r="1152" spans="1:2">
      <c r="A1152" s="1">
        <v>44074</v>
      </c>
      <c r="B1152">
        <v>0.14000000000000001</v>
      </c>
    </row>
    <row r="1153" spans="1:2">
      <c r="A1153" s="1">
        <v>44075</v>
      </c>
      <c r="B1153">
        <v>0.13</v>
      </c>
    </row>
    <row r="1154" spans="1:2">
      <c r="A1154" s="1">
        <v>44076</v>
      </c>
      <c r="B1154">
        <v>0.14000000000000001</v>
      </c>
    </row>
    <row r="1155" spans="1:2">
      <c r="A1155" s="1">
        <v>44077</v>
      </c>
      <c r="B1155">
        <v>0.13</v>
      </c>
    </row>
    <row r="1156" spans="1:2">
      <c r="A1156" s="1">
        <v>44078</v>
      </c>
      <c r="B1156">
        <v>0.14000000000000001</v>
      </c>
    </row>
    <row r="1157" spans="1:2">
      <c r="A1157" s="1">
        <v>44081</v>
      </c>
    </row>
    <row r="1158" spans="1:2">
      <c r="A1158" s="1">
        <v>44082</v>
      </c>
      <c r="B1158">
        <v>0.14000000000000001</v>
      </c>
    </row>
    <row r="1159" spans="1:2">
      <c r="A1159" s="1">
        <v>44083</v>
      </c>
      <c r="B1159">
        <v>0.14000000000000001</v>
      </c>
    </row>
    <row r="1160" spans="1:2">
      <c r="A1160" s="1">
        <v>44084</v>
      </c>
      <c r="B1160">
        <v>0.14000000000000001</v>
      </c>
    </row>
    <row r="1161" spans="1:2">
      <c r="A1161" s="1">
        <v>44085</v>
      </c>
      <c r="B1161">
        <v>0.13</v>
      </c>
    </row>
    <row r="1162" spans="1:2">
      <c r="A1162" s="1">
        <v>44088</v>
      </c>
      <c r="B1162">
        <v>0.14000000000000001</v>
      </c>
    </row>
    <row r="1163" spans="1:2">
      <c r="A1163" s="1">
        <v>44089</v>
      </c>
      <c r="B1163">
        <v>0.14000000000000001</v>
      </c>
    </row>
    <row r="1164" spans="1:2">
      <c r="A1164" s="1">
        <v>44090</v>
      </c>
      <c r="B1164">
        <v>0.14000000000000001</v>
      </c>
    </row>
    <row r="1165" spans="1:2">
      <c r="A1165" s="1">
        <v>44091</v>
      </c>
      <c r="B1165">
        <v>0.13</v>
      </c>
    </row>
    <row r="1166" spans="1:2">
      <c r="A1166" s="1">
        <v>44092</v>
      </c>
      <c r="B1166">
        <v>0.14000000000000001</v>
      </c>
    </row>
    <row r="1167" spans="1:2">
      <c r="A1167" s="1">
        <v>44095</v>
      </c>
      <c r="B1167">
        <v>0.14000000000000001</v>
      </c>
    </row>
    <row r="1168" spans="1:2">
      <c r="A1168" s="1">
        <v>44096</v>
      </c>
      <c r="B1168">
        <v>0.13</v>
      </c>
    </row>
    <row r="1169" spans="1:2">
      <c r="A1169" s="1">
        <v>44097</v>
      </c>
      <c r="B1169">
        <v>0.14000000000000001</v>
      </c>
    </row>
    <row r="1170" spans="1:2">
      <c r="A1170" s="1">
        <v>44098</v>
      </c>
      <c r="B1170">
        <v>0.14000000000000001</v>
      </c>
    </row>
    <row r="1171" spans="1:2">
      <c r="A1171" s="1">
        <v>44099</v>
      </c>
      <c r="B1171">
        <v>0.12</v>
      </c>
    </row>
    <row r="1172" spans="1:2">
      <c r="A1172" s="1">
        <v>44102</v>
      </c>
      <c r="B1172">
        <v>0.14000000000000001</v>
      </c>
    </row>
    <row r="1173" spans="1:2">
      <c r="A1173" s="1">
        <v>44103</v>
      </c>
      <c r="B1173">
        <v>0.11</v>
      </c>
    </row>
    <row r="1174" spans="1:2">
      <c r="A1174" s="1">
        <v>44104</v>
      </c>
      <c r="B1174">
        <v>0.13</v>
      </c>
    </row>
    <row r="1175" spans="1:2">
      <c r="A1175" s="1">
        <v>44105</v>
      </c>
      <c r="B1175">
        <v>0.14000000000000001</v>
      </c>
    </row>
    <row r="1176" spans="1:2">
      <c r="A1176" s="1">
        <v>44106</v>
      </c>
      <c r="B1176">
        <v>0.13</v>
      </c>
    </row>
    <row r="1177" spans="1:2">
      <c r="A1177" s="1">
        <v>44109</v>
      </c>
      <c r="B1177">
        <v>0.14000000000000001</v>
      </c>
    </row>
    <row r="1178" spans="1:2">
      <c r="A1178" s="1">
        <v>44110</v>
      </c>
      <c r="B1178">
        <v>0.14000000000000001</v>
      </c>
    </row>
    <row r="1179" spans="1:2">
      <c r="A1179" s="1">
        <v>44111</v>
      </c>
      <c r="B1179">
        <v>0.16</v>
      </c>
    </row>
    <row r="1180" spans="1:2">
      <c r="A1180" s="1">
        <v>44112</v>
      </c>
      <c r="B1180">
        <v>0.13</v>
      </c>
    </row>
    <row r="1181" spans="1:2">
      <c r="A1181" s="1">
        <v>44113</v>
      </c>
      <c r="B1181">
        <v>0.16</v>
      </c>
    </row>
    <row r="1182" spans="1:2">
      <c r="A1182" s="1">
        <v>44116</v>
      </c>
    </row>
    <row r="1183" spans="1:2">
      <c r="A1183" s="1">
        <v>44117</v>
      </c>
      <c r="B1183">
        <v>0.16</v>
      </c>
    </row>
    <row r="1184" spans="1:2">
      <c r="A1184" s="1">
        <v>44118</v>
      </c>
      <c r="B1184">
        <v>0.14000000000000001</v>
      </c>
    </row>
    <row r="1185" spans="1:2">
      <c r="A1185" s="1">
        <v>44119</v>
      </c>
      <c r="B1185">
        <v>0.14000000000000001</v>
      </c>
    </row>
    <row r="1186" spans="1:2">
      <c r="A1186" s="1">
        <v>44120</v>
      </c>
      <c r="B1186">
        <v>0.14000000000000001</v>
      </c>
    </row>
    <row r="1187" spans="1:2">
      <c r="A1187" s="1">
        <v>44123</v>
      </c>
      <c r="B1187">
        <v>0.16</v>
      </c>
    </row>
    <row r="1188" spans="1:2">
      <c r="A1188" s="1">
        <v>44124</v>
      </c>
      <c r="B1188">
        <v>0.14000000000000001</v>
      </c>
    </row>
    <row r="1189" spans="1:2">
      <c r="A1189" s="1">
        <v>44125</v>
      </c>
      <c r="B1189">
        <v>0.14000000000000001</v>
      </c>
    </row>
    <row r="1190" spans="1:2">
      <c r="A1190" s="1">
        <v>44126</v>
      </c>
      <c r="B1190">
        <v>0.16</v>
      </c>
    </row>
    <row r="1191" spans="1:2">
      <c r="A1191" s="1">
        <v>44127</v>
      </c>
      <c r="B1191">
        <v>0.18</v>
      </c>
    </row>
    <row r="1192" spans="1:2">
      <c r="A1192" s="1">
        <v>44130</v>
      </c>
      <c r="B1192">
        <v>0.16</v>
      </c>
    </row>
    <row r="1193" spans="1:2">
      <c r="A1193" s="1">
        <v>44131</v>
      </c>
      <c r="B1193">
        <v>0.16</v>
      </c>
    </row>
    <row r="1194" spans="1:2">
      <c r="A1194" s="1">
        <v>44132</v>
      </c>
      <c r="B1194">
        <v>0.16</v>
      </c>
    </row>
    <row r="1195" spans="1:2">
      <c r="A1195" s="1">
        <v>44133</v>
      </c>
      <c r="B1195">
        <v>0.16</v>
      </c>
    </row>
    <row r="1196" spans="1:2">
      <c r="A1196" s="1">
        <v>44134</v>
      </c>
      <c r="B1196">
        <v>0.14000000000000001</v>
      </c>
    </row>
    <row r="1197" spans="1:2">
      <c r="A1197" s="1">
        <v>44137</v>
      </c>
      <c r="B1197">
        <v>0.16</v>
      </c>
    </row>
    <row r="1198" spans="1:2">
      <c r="A1198" s="1">
        <v>44138</v>
      </c>
      <c r="B1198">
        <v>0.17</v>
      </c>
    </row>
    <row r="1199" spans="1:2">
      <c r="A1199" s="1">
        <v>44139</v>
      </c>
      <c r="B1199">
        <v>0.14000000000000001</v>
      </c>
    </row>
    <row r="1200" spans="1:2">
      <c r="A1200" s="1">
        <v>44140</v>
      </c>
      <c r="B1200">
        <v>0.14000000000000001</v>
      </c>
    </row>
    <row r="1201" spans="1:2">
      <c r="A1201" s="1">
        <v>44141</v>
      </c>
      <c r="B1201">
        <v>0.16</v>
      </c>
    </row>
    <row r="1202" spans="1:2">
      <c r="A1202" s="1">
        <v>44144</v>
      </c>
      <c r="B1202">
        <v>0.17</v>
      </c>
    </row>
    <row r="1203" spans="1:2">
      <c r="A1203" s="1">
        <v>44145</v>
      </c>
      <c r="B1203">
        <v>0.19</v>
      </c>
    </row>
    <row r="1204" spans="1:2">
      <c r="A1204" s="1">
        <v>44146</v>
      </c>
    </row>
    <row r="1205" spans="1:2">
      <c r="A1205" s="1">
        <v>44147</v>
      </c>
      <c r="B1205">
        <v>0.17</v>
      </c>
    </row>
    <row r="1206" spans="1:2">
      <c r="A1206" s="1">
        <v>44148</v>
      </c>
      <c r="B1206">
        <v>0.17</v>
      </c>
    </row>
    <row r="1207" spans="1:2">
      <c r="A1207" s="1">
        <v>44151</v>
      </c>
      <c r="B1207">
        <v>0.19</v>
      </c>
    </row>
    <row r="1208" spans="1:2">
      <c r="A1208" s="1">
        <v>44152</v>
      </c>
      <c r="B1208">
        <v>0.18</v>
      </c>
    </row>
    <row r="1209" spans="1:2">
      <c r="A1209" s="1">
        <v>44153</v>
      </c>
      <c r="B1209">
        <v>0.16</v>
      </c>
    </row>
    <row r="1210" spans="1:2">
      <c r="A1210" s="1">
        <v>44154</v>
      </c>
      <c r="B1210">
        <v>0.18</v>
      </c>
    </row>
    <row r="1211" spans="1:2">
      <c r="A1211" s="1">
        <v>44155</v>
      </c>
      <c r="B1211">
        <v>0.16</v>
      </c>
    </row>
    <row r="1212" spans="1:2">
      <c r="A1212" s="1">
        <v>44158</v>
      </c>
      <c r="B1212">
        <v>0.16</v>
      </c>
    </row>
    <row r="1213" spans="1:2">
      <c r="A1213" s="1">
        <v>44159</v>
      </c>
      <c r="B1213">
        <v>0.16</v>
      </c>
    </row>
    <row r="1214" spans="1:2">
      <c r="A1214" s="1">
        <v>44160</v>
      </c>
      <c r="B1214">
        <v>0.17</v>
      </c>
    </row>
    <row r="1215" spans="1:2">
      <c r="A1215" s="1">
        <v>44161</v>
      </c>
    </row>
    <row r="1216" spans="1:2">
      <c r="A1216" s="1">
        <v>44162</v>
      </c>
      <c r="B1216">
        <v>0.16</v>
      </c>
    </row>
    <row r="1217" spans="1:2">
      <c r="A1217" s="1">
        <v>44165</v>
      </c>
      <c r="B1217">
        <v>0.16</v>
      </c>
    </row>
    <row r="1218" spans="1:2">
      <c r="A1218" s="1">
        <v>44166</v>
      </c>
      <c r="B1218">
        <v>0.17</v>
      </c>
    </row>
    <row r="1219" spans="1:2">
      <c r="A1219" s="1">
        <v>44167</v>
      </c>
      <c r="B1219">
        <v>0.16</v>
      </c>
    </row>
    <row r="1220" spans="1:2">
      <c r="A1220" s="1">
        <v>44168</v>
      </c>
      <c r="B1220">
        <v>0.16</v>
      </c>
    </row>
    <row r="1221" spans="1:2">
      <c r="A1221" s="1">
        <v>44169</v>
      </c>
      <c r="B1221">
        <v>0.16</v>
      </c>
    </row>
    <row r="1222" spans="1:2">
      <c r="A1222" s="1">
        <v>44172</v>
      </c>
      <c r="B1222">
        <v>0.14000000000000001</v>
      </c>
    </row>
    <row r="1223" spans="1:2">
      <c r="A1223" s="1">
        <v>44173</v>
      </c>
      <c r="B1223">
        <v>0.14000000000000001</v>
      </c>
    </row>
    <row r="1224" spans="1:2">
      <c r="A1224" s="1">
        <v>44174</v>
      </c>
      <c r="B1224">
        <v>0.16</v>
      </c>
    </row>
    <row r="1225" spans="1:2">
      <c r="A1225" s="1">
        <v>44175</v>
      </c>
      <c r="B1225">
        <v>0.14000000000000001</v>
      </c>
    </row>
    <row r="1226" spans="1:2">
      <c r="A1226" s="1">
        <v>44176</v>
      </c>
      <c r="B1226">
        <v>0.11</v>
      </c>
    </row>
    <row r="1227" spans="1:2">
      <c r="A1227" s="1">
        <v>44179</v>
      </c>
      <c r="B1227">
        <v>0.13</v>
      </c>
    </row>
    <row r="1228" spans="1:2">
      <c r="A1228" s="1">
        <v>44180</v>
      </c>
      <c r="B1228">
        <v>0.11</v>
      </c>
    </row>
    <row r="1229" spans="1:2">
      <c r="A1229" s="1">
        <v>44181</v>
      </c>
      <c r="B1229">
        <v>0.13</v>
      </c>
    </row>
    <row r="1230" spans="1:2">
      <c r="A1230" s="1">
        <v>44182</v>
      </c>
      <c r="B1230">
        <v>0.13</v>
      </c>
    </row>
    <row r="1231" spans="1:2">
      <c r="A1231" s="1">
        <v>44183</v>
      </c>
      <c r="B1231">
        <v>0.13</v>
      </c>
    </row>
    <row r="1232" spans="1:2">
      <c r="A1232" s="1">
        <v>44186</v>
      </c>
      <c r="B1232">
        <v>0.13</v>
      </c>
    </row>
    <row r="1233" spans="1:2">
      <c r="A1233" s="1">
        <v>44187</v>
      </c>
      <c r="B1233">
        <v>0.13</v>
      </c>
    </row>
    <row r="1234" spans="1:2">
      <c r="A1234" s="1">
        <v>44188</v>
      </c>
      <c r="B1234">
        <v>0.13</v>
      </c>
    </row>
    <row r="1235" spans="1:2">
      <c r="A1235" s="1">
        <v>44189</v>
      </c>
      <c r="B1235">
        <v>0.13</v>
      </c>
    </row>
    <row r="1236" spans="1:2">
      <c r="A1236" s="1">
        <v>44190</v>
      </c>
    </row>
    <row r="1237" spans="1:2">
      <c r="A1237" s="1">
        <v>44193</v>
      </c>
      <c r="B1237">
        <v>0.13</v>
      </c>
    </row>
    <row r="1238" spans="1:2">
      <c r="A1238" s="1">
        <v>44194</v>
      </c>
      <c r="B1238">
        <v>0.12</v>
      </c>
    </row>
    <row r="1239" spans="1:2">
      <c r="A1239" s="1">
        <v>44195</v>
      </c>
      <c r="B1239">
        <v>0.12</v>
      </c>
    </row>
    <row r="1240" spans="1:2">
      <c r="A1240" s="1">
        <v>44196</v>
      </c>
      <c r="B1240">
        <v>0.13</v>
      </c>
    </row>
    <row r="1241" spans="1:2">
      <c r="A1241" s="1">
        <v>44197</v>
      </c>
    </row>
    <row r="1242" spans="1:2">
      <c r="A1242" s="1">
        <v>44200</v>
      </c>
      <c r="B1242">
        <v>0.11</v>
      </c>
    </row>
    <row r="1243" spans="1:2">
      <c r="A1243" s="1">
        <v>44201</v>
      </c>
      <c r="B1243">
        <v>0.13</v>
      </c>
    </row>
    <row r="1244" spans="1:2">
      <c r="A1244" s="1">
        <v>44202</v>
      </c>
      <c r="B1244">
        <v>0.14000000000000001</v>
      </c>
    </row>
    <row r="1245" spans="1:2">
      <c r="A1245" s="1">
        <v>44203</v>
      </c>
      <c r="B1245">
        <v>0.14000000000000001</v>
      </c>
    </row>
    <row r="1246" spans="1:2">
      <c r="A1246" s="1">
        <v>44204</v>
      </c>
      <c r="B1246">
        <v>0.14000000000000001</v>
      </c>
    </row>
    <row r="1247" spans="1:2">
      <c r="A1247" s="1">
        <v>44207</v>
      </c>
      <c r="B1247">
        <v>0.14000000000000001</v>
      </c>
    </row>
    <row r="1248" spans="1:2">
      <c r="A1248" s="1">
        <v>44208</v>
      </c>
      <c r="B1248">
        <v>0.14000000000000001</v>
      </c>
    </row>
    <row r="1249" spans="1:2">
      <c r="A1249" s="1">
        <v>44209</v>
      </c>
      <c r="B1249">
        <v>0.14000000000000001</v>
      </c>
    </row>
    <row r="1250" spans="1:2">
      <c r="A1250" s="1">
        <v>44210</v>
      </c>
      <c r="B1250">
        <v>0.16</v>
      </c>
    </row>
    <row r="1251" spans="1:2">
      <c r="A1251" s="1">
        <v>44211</v>
      </c>
      <c r="B1251">
        <v>0.13</v>
      </c>
    </row>
    <row r="1252" spans="1:2">
      <c r="A1252" s="1">
        <v>44214</v>
      </c>
    </row>
    <row r="1253" spans="1:2">
      <c r="A1253" s="1">
        <v>44215</v>
      </c>
      <c r="B1253">
        <v>0.14000000000000001</v>
      </c>
    </row>
    <row r="1254" spans="1:2">
      <c r="A1254" s="1">
        <v>44216</v>
      </c>
      <c r="B1254">
        <v>0.13</v>
      </c>
    </row>
    <row r="1255" spans="1:2">
      <c r="A1255" s="1">
        <v>44217</v>
      </c>
      <c r="B1255">
        <v>0.13</v>
      </c>
    </row>
    <row r="1256" spans="1:2">
      <c r="A1256" s="1">
        <v>44218</v>
      </c>
      <c r="B1256">
        <v>0.13</v>
      </c>
    </row>
    <row r="1257" spans="1:2">
      <c r="A1257" s="1">
        <v>44221</v>
      </c>
      <c r="B1257">
        <v>0.13</v>
      </c>
    </row>
    <row r="1258" spans="1:2">
      <c r="A1258" s="1">
        <v>44222</v>
      </c>
      <c r="B1258">
        <v>0.11</v>
      </c>
    </row>
    <row r="1259" spans="1:2">
      <c r="A1259" s="1">
        <v>44223</v>
      </c>
      <c r="B1259">
        <v>0.12</v>
      </c>
    </row>
    <row r="1260" spans="1:2">
      <c r="A1260" s="1">
        <v>44224</v>
      </c>
      <c r="B1260">
        <v>0.12</v>
      </c>
    </row>
    <row r="1261" spans="1:2">
      <c r="A1261" s="1">
        <v>44225</v>
      </c>
      <c r="B1261">
        <v>0.11</v>
      </c>
    </row>
    <row r="1262" spans="1:2">
      <c r="A1262" s="1">
        <v>44228</v>
      </c>
      <c r="B1262">
        <v>0.11</v>
      </c>
    </row>
    <row r="1263" spans="1:2">
      <c r="A1263" s="1">
        <v>44229</v>
      </c>
      <c r="B1263">
        <v>0.11</v>
      </c>
    </row>
    <row r="1264" spans="1:2">
      <c r="A1264" s="1">
        <v>44230</v>
      </c>
      <c r="B1264">
        <v>0.11</v>
      </c>
    </row>
    <row r="1265" spans="1:2">
      <c r="A1265" s="1">
        <v>44231</v>
      </c>
      <c r="B1265">
        <v>0.11</v>
      </c>
    </row>
    <row r="1266" spans="1:2">
      <c r="A1266" s="1">
        <v>44232</v>
      </c>
      <c r="B1266">
        <v>0.09</v>
      </c>
    </row>
    <row r="1267" spans="1:2">
      <c r="A1267" s="1">
        <v>44235</v>
      </c>
      <c r="B1267">
        <v>0.11</v>
      </c>
    </row>
    <row r="1268" spans="1:2">
      <c r="A1268" s="1">
        <v>44236</v>
      </c>
      <c r="B1268">
        <v>0.11</v>
      </c>
    </row>
    <row r="1269" spans="1:2">
      <c r="A1269" s="1">
        <v>44237</v>
      </c>
      <c r="B1269">
        <v>0.11</v>
      </c>
    </row>
    <row r="1270" spans="1:2">
      <c r="A1270" s="1">
        <v>44238</v>
      </c>
      <c r="B1270">
        <v>0.11</v>
      </c>
    </row>
    <row r="1271" spans="1:2">
      <c r="A1271" s="1">
        <v>44239</v>
      </c>
      <c r="B1271">
        <v>0.11</v>
      </c>
    </row>
    <row r="1272" spans="1:2">
      <c r="A1272" s="1">
        <v>44242</v>
      </c>
    </row>
    <row r="1273" spans="1:2">
      <c r="A1273" s="1">
        <v>44243</v>
      </c>
      <c r="B1273">
        <v>0.13</v>
      </c>
    </row>
    <row r="1274" spans="1:2">
      <c r="A1274" s="1">
        <v>44244</v>
      </c>
      <c r="B1274">
        <v>0.11</v>
      </c>
    </row>
    <row r="1275" spans="1:2">
      <c r="A1275" s="1">
        <v>44245</v>
      </c>
      <c r="B1275">
        <v>0.11</v>
      </c>
    </row>
    <row r="1276" spans="1:2">
      <c r="A1276" s="1">
        <v>44246</v>
      </c>
      <c r="B1276">
        <v>0.11</v>
      </c>
    </row>
    <row r="1277" spans="1:2">
      <c r="A1277" s="1">
        <v>44249</v>
      </c>
      <c r="B1277">
        <v>0.11</v>
      </c>
    </row>
    <row r="1278" spans="1:2">
      <c r="A1278" s="1">
        <v>44250</v>
      </c>
      <c r="B1278">
        <v>0.11</v>
      </c>
    </row>
    <row r="1279" spans="1:2">
      <c r="A1279" s="1">
        <v>44251</v>
      </c>
      <c r="B1279">
        <v>0.12</v>
      </c>
    </row>
    <row r="1280" spans="1:2">
      <c r="A1280" s="1">
        <v>44252</v>
      </c>
      <c r="B1280">
        <v>0.17</v>
      </c>
    </row>
    <row r="1281" spans="1:2">
      <c r="A1281" s="1">
        <v>44253</v>
      </c>
      <c r="B1281">
        <v>0.14000000000000001</v>
      </c>
    </row>
    <row r="1282" spans="1:2">
      <c r="A1282" s="1">
        <v>44256</v>
      </c>
      <c r="B1282">
        <v>0.13</v>
      </c>
    </row>
    <row r="1283" spans="1:2">
      <c r="A1283" s="1">
        <v>44257</v>
      </c>
      <c r="B1283">
        <v>0.13</v>
      </c>
    </row>
    <row r="1284" spans="1:2">
      <c r="A1284" s="1">
        <v>44258</v>
      </c>
      <c r="B1284">
        <v>0.14000000000000001</v>
      </c>
    </row>
    <row r="1285" spans="1:2">
      <c r="A1285" s="1">
        <v>44259</v>
      </c>
      <c r="B1285">
        <v>0.14000000000000001</v>
      </c>
    </row>
    <row r="1286" spans="1:2">
      <c r="A1286" s="1">
        <v>44260</v>
      </c>
      <c r="B1286">
        <v>0.14000000000000001</v>
      </c>
    </row>
    <row r="1287" spans="1:2">
      <c r="A1287" s="1">
        <v>44263</v>
      </c>
      <c r="B1287">
        <v>0.17</v>
      </c>
    </row>
    <row r="1288" spans="1:2">
      <c r="A1288" s="1">
        <v>44264</v>
      </c>
      <c r="B1288">
        <v>0.17</v>
      </c>
    </row>
    <row r="1289" spans="1:2">
      <c r="A1289" s="1">
        <v>44265</v>
      </c>
      <c r="B1289">
        <v>0.16</v>
      </c>
    </row>
    <row r="1290" spans="1:2">
      <c r="A1290" s="1">
        <v>44266</v>
      </c>
      <c r="B1290">
        <v>0.14000000000000001</v>
      </c>
    </row>
    <row r="1291" spans="1:2">
      <c r="A1291" s="1">
        <v>44267</v>
      </c>
      <c r="B1291">
        <v>0.14000000000000001</v>
      </c>
    </row>
    <row r="1292" spans="1:2">
      <c r="A1292" s="1">
        <v>44270</v>
      </c>
      <c r="B1292">
        <v>0.14000000000000001</v>
      </c>
    </row>
    <row r="1293" spans="1:2">
      <c r="A1293" s="1">
        <v>44271</v>
      </c>
      <c r="B1293">
        <v>0.15</v>
      </c>
    </row>
    <row r="1294" spans="1:2">
      <c r="A1294" s="1">
        <v>44272</v>
      </c>
      <c r="B1294">
        <v>0.13</v>
      </c>
    </row>
    <row r="1295" spans="1:2">
      <c r="A1295" s="1">
        <v>44273</v>
      </c>
      <c r="B1295">
        <v>0.16</v>
      </c>
    </row>
    <row r="1296" spans="1:2">
      <c r="A1296" s="1">
        <v>44274</v>
      </c>
      <c r="B1296">
        <v>0.16</v>
      </c>
    </row>
    <row r="1297" spans="1:2">
      <c r="A1297" s="1">
        <v>44277</v>
      </c>
      <c r="B1297">
        <v>0.15</v>
      </c>
    </row>
    <row r="1298" spans="1:2">
      <c r="A1298" s="1">
        <v>44278</v>
      </c>
      <c r="B1298">
        <v>0.15</v>
      </c>
    </row>
    <row r="1299" spans="1:2">
      <c r="A1299" s="1">
        <v>44279</v>
      </c>
      <c r="B1299">
        <v>0.14000000000000001</v>
      </c>
    </row>
    <row r="1300" spans="1:2">
      <c r="A1300" s="1">
        <v>44280</v>
      </c>
      <c r="B1300">
        <v>0.14000000000000001</v>
      </c>
    </row>
    <row r="1301" spans="1:2">
      <c r="A1301" s="1">
        <v>44281</v>
      </c>
      <c r="B1301">
        <v>0.14000000000000001</v>
      </c>
    </row>
    <row r="1302" spans="1:2">
      <c r="A1302" s="1">
        <v>44284</v>
      </c>
      <c r="B1302">
        <v>0.14000000000000001</v>
      </c>
    </row>
    <row r="1303" spans="1:2">
      <c r="A1303" s="1">
        <v>44285</v>
      </c>
      <c r="B1303">
        <v>0.16</v>
      </c>
    </row>
    <row r="1304" spans="1:2">
      <c r="A1304" s="1">
        <v>44286</v>
      </c>
      <c r="B1304">
        <v>0.16</v>
      </c>
    </row>
    <row r="1305" spans="1:2">
      <c r="A1305" s="1">
        <v>44287</v>
      </c>
      <c r="B1305">
        <v>0.17</v>
      </c>
    </row>
    <row r="1306" spans="1:2">
      <c r="A1306" s="1">
        <v>44288</v>
      </c>
      <c r="B1306">
        <v>0.19</v>
      </c>
    </row>
    <row r="1307" spans="1:2">
      <c r="A1307" s="1">
        <v>44291</v>
      </c>
      <c r="B1307">
        <v>0.17</v>
      </c>
    </row>
    <row r="1308" spans="1:2">
      <c r="A1308" s="1">
        <v>44292</v>
      </c>
      <c r="B1308">
        <v>0.16</v>
      </c>
    </row>
    <row r="1309" spans="1:2">
      <c r="A1309" s="1">
        <v>44293</v>
      </c>
      <c r="B1309">
        <v>0.16</v>
      </c>
    </row>
    <row r="1310" spans="1:2">
      <c r="A1310" s="1">
        <v>44294</v>
      </c>
      <c r="B1310">
        <v>0.14000000000000001</v>
      </c>
    </row>
    <row r="1311" spans="1:2">
      <c r="A1311" s="1">
        <v>44295</v>
      </c>
      <c r="B1311">
        <v>0.16</v>
      </c>
    </row>
    <row r="1312" spans="1:2">
      <c r="A1312" s="1">
        <v>44298</v>
      </c>
      <c r="B1312">
        <v>0.18</v>
      </c>
    </row>
    <row r="1313" spans="1:2">
      <c r="A1313" s="1">
        <v>44299</v>
      </c>
      <c r="B1313">
        <v>0.16</v>
      </c>
    </row>
    <row r="1314" spans="1:2">
      <c r="A1314" s="1">
        <v>44300</v>
      </c>
      <c r="B1314">
        <v>0.16</v>
      </c>
    </row>
    <row r="1315" spans="1:2">
      <c r="A1315" s="1">
        <v>44301</v>
      </c>
      <c r="B1315">
        <v>0.16</v>
      </c>
    </row>
    <row r="1316" spans="1:2">
      <c r="A1316" s="1">
        <v>44302</v>
      </c>
      <c r="B1316">
        <v>0.16</v>
      </c>
    </row>
    <row r="1317" spans="1:2">
      <c r="A1317" s="1">
        <v>44305</v>
      </c>
      <c r="B1317">
        <v>0.16</v>
      </c>
    </row>
    <row r="1318" spans="1:2">
      <c r="A1318" s="1">
        <v>44306</v>
      </c>
      <c r="B1318">
        <v>0.15</v>
      </c>
    </row>
    <row r="1319" spans="1:2">
      <c r="A1319" s="1">
        <v>44307</v>
      </c>
      <c r="B1319">
        <v>0.15</v>
      </c>
    </row>
    <row r="1320" spans="1:2">
      <c r="A1320" s="1">
        <v>44308</v>
      </c>
      <c r="B1320">
        <v>0.16</v>
      </c>
    </row>
    <row r="1321" spans="1:2">
      <c r="A1321" s="1">
        <v>44309</v>
      </c>
      <c r="B1321">
        <v>0.16</v>
      </c>
    </row>
    <row r="1322" spans="1:2">
      <c r="A1322" s="1">
        <v>44312</v>
      </c>
      <c r="B1322">
        <v>0.18</v>
      </c>
    </row>
    <row r="1323" spans="1:2">
      <c r="A1323" s="1">
        <v>44313</v>
      </c>
      <c r="B1323">
        <v>0.17</v>
      </c>
    </row>
    <row r="1324" spans="1:2">
      <c r="A1324" s="1">
        <v>44314</v>
      </c>
      <c r="B1324">
        <v>0.17</v>
      </c>
    </row>
    <row r="1325" spans="1:2">
      <c r="A1325" s="1">
        <v>44315</v>
      </c>
      <c r="B1325">
        <v>0.16</v>
      </c>
    </row>
    <row r="1326" spans="1:2">
      <c r="A1326" s="1">
        <v>44316</v>
      </c>
      <c r="B1326">
        <v>0.16</v>
      </c>
    </row>
    <row r="1327" spans="1:2">
      <c r="A1327" s="1">
        <v>44319</v>
      </c>
      <c r="B1327">
        <v>0.16</v>
      </c>
    </row>
    <row r="1328" spans="1:2">
      <c r="A1328" s="1">
        <v>44320</v>
      </c>
      <c r="B1328">
        <v>0.16</v>
      </c>
    </row>
    <row r="1329" spans="1:2">
      <c r="A1329" s="1">
        <v>44321</v>
      </c>
      <c r="B1329">
        <v>0.16</v>
      </c>
    </row>
    <row r="1330" spans="1:2">
      <c r="A1330" s="1">
        <v>44322</v>
      </c>
      <c r="B1330">
        <v>0.16</v>
      </c>
    </row>
    <row r="1331" spans="1:2">
      <c r="A1331" s="1">
        <v>44323</v>
      </c>
      <c r="B1331">
        <v>0.14000000000000001</v>
      </c>
    </row>
    <row r="1332" spans="1:2">
      <c r="A1332" s="1">
        <v>44326</v>
      </c>
      <c r="B1332">
        <v>0.16</v>
      </c>
    </row>
    <row r="1333" spans="1:2">
      <c r="A1333" s="1">
        <v>44327</v>
      </c>
      <c r="B1333">
        <v>0.16</v>
      </c>
    </row>
    <row r="1334" spans="1:2">
      <c r="A1334" s="1">
        <v>44328</v>
      </c>
      <c r="B1334">
        <v>0.16</v>
      </c>
    </row>
    <row r="1335" spans="1:2">
      <c r="A1335" s="1">
        <v>44329</v>
      </c>
      <c r="B1335">
        <v>0.16</v>
      </c>
    </row>
    <row r="1336" spans="1:2">
      <c r="A1336" s="1">
        <v>44330</v>
      </c>
      <c r="B1336">
        <v>0.16</v>
      </c>
    </row>
    <row r="1337" spans="1:2">
      <c r="A1337" s="1">
        <v>44333</v>
      </c>
      <c r="B1337">
        <v>0.16</v>
      </c>
    </row>
    <row r="1338" spans="1:2">
      <c r="A1338" s="1">
        <v>44334</v>
      </c>
      <c r="B1338">
        <v>0.16</v>
      </c>
    </row>
    <row r="1339" spans="1:2">
      <c r="A1339" s="1">
        <v>44335</v>
      </c>
      <c r="B1339">
        <v>0.16</v>
      </c>
    </row>
    <row r="1340" spans="1:2">
      <c r="A1340" s="1">
        <v>44336</v>
      </c>
      <c r="B1340">
        <v>0.15</v>
      </c>
    </row>
    <row r="1341" spans="1:2">
      <c r="A1341" s="1">
        <v>44337</v>
      </c>
      <c r="B1341">
        <v>0.17</v>
      </c>
    </row>
    <row r="1342" spans="1:2">
      <c r="A1342" s="1">
        <v>44340</v>
      </c>
      <c r="B1342">
        <v>0.15</v>
      </c>
    </row>
    <row r="1343" spans="1:2">
      <c r="A1343" s="1">
        <v>44341</v>
      </c>
      <c r="B1343">
        <v>0.15</v>
      </c>
    </row>
    <row r="1344" spans="1:2">
      <c r="A1344" s="1">
        <v>44342</v>
      </c>
      <c r="B1344">
        <v>0.14000000000000001</v>
      </c>
    </row>
    <row r="1345" spans="1:2">
      <c r="A1345" s="1">
        <v>44343</v>
      </c>
      <c r="B1345">
        <v>0.14000000000000001</v>
      </c>
    </row>
    <row r="1346" spans="1:2">
      <c r="A1346" s="1">
        <v>44344</v>
      </c>
      <c r="B1346">
        <v>0.14000000000000001</v>
      </c>
    </row>
    <row r="1347" spans="1:2">
      <c r="A1347" s="1">
        <v>44347</v>
      </c>
    </row>
    <row r="1348" spans="1:2">
      <c r="A1348" s="1">
        <v>44348</v>
      </c>
      <c r="B1348">
        <v>0.16</v>
      </c>
    </row>
    <row r="1349" spans="1:2">
      <c r="A1349" s="1">
        <v>44349</v>
      </c>
      <c r="B1349">
        <v>0.13</v>
      </c>
    </row>
    <row r="1350" spans="1:2">
      <c r="A1350" s="1">
        <v>44350</v>
      </c>
      <c r="B1350">
        <v>0.16</v>
      </c>
    </row>
    <row r="1351" spans="1:2">
      <c r="A1351" s="1">
        <v>44351</v>
      </c>
      <c r="B1351">
        <v>0.14000000000000001</v>
      </c>
    </row>
    <row r="1352" spans="1:2">
      <c r="A1352" s="1">
        <v>44354</v>
      </c>
      <c r="B1352">
        <v>0.16</v>
      </c>
    </row>
    <row r="1353" spans="1:2">
      <c r="A1353" s="1">
        <v>44355</v>
      </c>
      <c r="B1353">
        <v>0.14000000000000001</v>
      </c>
    </row>
    <row r="1354" spans="1:2">
      <c r="A1354" s="1">
        <v>44356</v>
      </c>
      <c r="B1354">
        <v>0.16</v>
      </c>
    </row>
    <row r="1355" spans="1:2">
      <c r="A1355" s="1">
        <v>44357</v>
      </c>
      <c r="B1355">
        <v>0.14000000000000001</v>
      </c>
    </row>
    <row r="1356" spans="1:2">
      <c r="A1356" s="1">
        <v>44358</v>
      </c>
      <c r="B1356">
        <v>0.16</v>
      </c>
    </row>
    <row r="1357" spans="1:2">
      <c r="A1357" s="1">
        <v>44361</v>
      </c>
      <c r="B1357">
        <v>0.16</v>
      </c>
    </row>
    <row r="1358" spans="1:2">
      <c r="A1358" s="1">
        <v>44362</v>
      </c>
      <c r="B1358">
        <v>0.16</v>
      </c>
    </row>
    <row r="1359" spans="1:2">
      <c r="A1359" s="1">
        <v>44363</v>
      </c>
      <c r="B1359">
        <v>0.21</v>
      </c>
    </row>
    <row r="1360" spans="1:2">
      <c r="A1360" s="1">
        <v>44364</v>
      </c>
      <c r="B1360">
        <v>0.23</v>
      </c>
    </row>
    <row r="1361" spans="1:2">
      <c r="A1361" s="1">
        <v>44365</v>
      </c>
      <c r="B1361">
        <v>0.26</v>
      </c>
    </row>
    <row r="1362" spans="1:2">
      <c r="A1362" s="1">
        <v>44368</v>
      </c>
      <c r="B1362">
        <v>0.27</v>
      </c>
    </row>
    <row r="1363" spans="1:2">
      <c r="A1363" s="1">
        <v>44369</v>
      </c>
      <c r="B1363">
        <v>0.25</v>
      </c>
    </row>
    <row r="1364" spans="1:2">
      <c r="A1364" s="1">
        <v>44370</v>
      </c>
      <c r="B1364">
        <v>0.26</v>
      </c>
    </row>
    <row r="1365" spans="1:2">
      <c r="A1365" s="1">
        <v>44371</v>
      </c>
      <c r="B1365">
        <v>0.26</v>
      </c>
    </row>
    <row r="1366" spans="1:2">
      <c r="A1366" s="1">
        <v>44372</v>
      </c>
      <c r="B1366">
        <v>0.28000000000000003</v>
      </c>
    </row>
    <row r="1367" spans="1:2">
      <c r="A1367" s="1">
        <v>44375</v>
      </c>
      <c r="B1367">
        <v>0.25</v>
      </c>
    </row>
    <row r="1368" spans="1:2">
      <c r="A1368" s="1">
        <v>44376</v>
      </c>
      <c r="B1368">
        <v>0.27</v>
      </c>
    </row>
    <row r="1369" spans="1:2">
      <c r="A1369" s="1">
        <v>44377</v>
      </c>
      <c r="B1369">
        <v>0.25</v>
      </c>
    </row>
    <row r="1370" spans="1:2">
      <c r="A1370" s="1">
        <v>44378</v>
      </c>
      <c r="B1370">
        <v>0.25</v>
      </c>
    </row>
    <row r="1371" spans="1:2">
      <c r="A1371" s="1">
        <v>44379</v>
      </c>
      <c r="B1371">
        <v>0.24</v>
      </c>
    </row>
    <row r="1372" spans="1:2">
      <c r="A1372" s="1">
        <v>44382</v>
      </c>
    </row>
    <row r="1373" spans="1:2">
      <c r="A1373" s="1">
        <v>44383</v>
      </c>
      <c r="B1373">
        <v>0.22</v>
      </c>
    </row>
    <row r="1374" spans="1:2">
      <c r="A1374" s="1">
        <v>44384</v>
      </c>
      <c r="B1374">
        <v>0.22</v>
      </c>
    </row>
    <row r="1375" spans="1:2">
      <c r="A1375" s="1">
        <v>44385</v>
      </c>
      <c r="B1375">
        <v>0.19</v>
      </c>
    </row>
    <row r="1376" spans="1:2">
      <c r="A1376" s="1">
        <v>44386</v>
      </c>
      <c r="B1376">
        <v>0.23</v>
      </c>
    </row>
    <row r="1377" spans="1:2">
      <c r="A1377" s="1">
        <v>44389</v>
      </c>
      <c r="B1377">
        <v>0.23</v>
      </c>
    </row>
    <row r="1378" spans="1:2">
      <c r="A1378" s="1">
        <v>44390</v>
      </c>
      <c r="B1378">
        <v>0.26</v>
      </c>
    </row>
    <row r="1379" spans="1:2">
      <c r="A1379" s="1">
        <v>44391</v>
      </c>
      <c r="B1379">
        <v>0.23</v>
      </c>
    </row>
    <row r="1380" spans="1:2">
      <c r="A1380" s="1">
        <v>44392</v>
      </c>
      <c r="B1380">
        <v>0.23</v>
      </c>
    </row>
    <row r="1381" spans="1:2">
      <c r="A1381" s="1">
        <v>44393</v>
      </c>
      <c r="B1381">
        <v>0.25</v>
      </c>
    </row>
    <row r="1382" spans="1:2">
      <c r="A1382" s="1">
        <v>44396</v>
      </c>
      <c r="B1382">
        <v>0.21</v>
      </c>
    </row>
    <row r="1383" spans="1:2">
      <c r="A1383" s="1">
        <v>44397</v>
      </c>
      <c r="B1383">
        <v>0.2</v>
      </c>
    </row>
    <row r="1384" spans="1:2">
      <c r="A1384" s="1">
        <v>44398</v>
      </c>
      <c r="B1384">
        <v>0.22</v>
      </c>
    </row>
    <row r="1385" spans="1:2">
      <c r="A1385" s="1">
        <v>44399</v>
      </c>
      <c r="B1385">
        <v>0.2</v>
      </c>
    </row>
    <row r="1386" spans="1:2">
      <c r="A1386" s="1">
        <v>44400</v>
      </c>
      <c r="B1386">
        <v>0.22</v>
      </c>
    </row>
    <row r="1387" spans="1:2">
      <c r="A1387" s="1">
        <v>44403</v>
      </c>
      <c r="B1387">
        <v>0.22</v>
      </c>
    </row>
    <row r="1388" spans="1:2">
      <c r="A1388" s="1">
        <v>44404</v>
      </c>
      <c r="B1388">
        <v>0.2</v>
      </c>
    </row>
    <row r="1389" spans="1:2">
      <c r="A1389" s="1">
        <v>44405</v>
      </c>
      <c r="B1389">
        <v>0.2</v>
      </c>
    </row>
    <row r="1390" spans="1:2">
      <c r="A1390" s="1">
        <v>44406</v>
      </c>
      <c r="B1390">
        <v>0.2</v>
      </c>
    </row>
    <row r="1391" spans="1:2">
      <c r="A1391" s="1">
        <v>44407</v>
      </c>
      <c r="B1391">
        <v>0.19</v>
      </c>
    </row>
    <row r="1392" spans="1:2">
      <c r="A1392" s="1">
        <v>44410</v>
      </c>
      <c r="B1392">
        <v>0.17</v>
      </c>
    </row>
    <row r="1393" spans="1:2">
      <c r="A1393" s="1">
        <v>44411</v>
      </c>
      <c r="B1393">
        <v>0.17</v>
      </c>
    </row>
    <row r="1394" spans="1:2">
      <c r="A1394" s="1">
        <v>44412</v>
      </c>
      <c r="B1394">
        <v>0.17</v>
      </c>
    </row>
    <row r="1395" spans="1:2">
      <c r="A1395" s="1">
        <v>44413</v>
      </c>
      <c r="B1395">
        <v>0.21</v>
      </c>
    </row>
    <row r="1396" spans="1:2">
      <c r="A1396" s="1">
        <v>44414</v>
      </c>
      <c r="B1396">
        <v>0.21</v>
      </c>
    </row>
    <row r="1397" spans="1:2">
      <c r="A1397" s="1">
        <v>44417</v>
      </c>
      <c r="B1397">
        <v>0.23</v>
      </c>
    </row>
    <row r="1398" spans="1:2">
      <c r="A1398" s="1">
        <v>44418</v>
      </c>
      <c r="B1398">
        <v>0.24</v>
      </c>
    </row>
    <row r="1399" spans="1:2">
      <c r="A1399" s="1">
        <v>44419</v>
      </c>
      <c r="B1399">
        <v>0.23</v>
      </c>
    </row>
    <row r="1400" spans="1:2">
      <c r="A1400" s="1">
        <v>44420</v>
      </c>
      <c r="B1400">
        <v>0.23</v>
      </c>
    </row>
    <row r="1401" spans="1:2">
      <c r="A1401" s="1">
        <v>44421</v>
      </c>
      <c r="B1401">
        <v>0.23</v>
      </c>
    </row>
    <row r="1402" spans="1:2">
      <c r="A1402" s="1">
        <v>44424</v>
      </c>
      <c r="B1402">
        <v>0.21</v>
      </c>
    </row>
    <row r="1403" spans="1:2">
      <c r="A1403" s="1">
        <v>44425</v>
      </c>
      <c r="B1403">
        <v>0.23</v>
      </c>
    </row>
    <row r="1404" spans="1:2">
      <c r="A1404" s="1">
        <v>44426</v>
      </c>
      <c r="B1404">
        <v>0.23</v>
      </c>
    </row>
    <row r="1405" spans="1:2">
      <c r="A1405" s="1">
        <v>44427</v>
      </c>
      <c r="B1405">
        <v>0.22</v>
      </c>
    </row>
    <row r="1406" spans="1:2">
      <c r="A1406" s="1">
        <v>44428</v>
      </c>
      <c r="B1406">
        <v>0.23</v>
      </c>
    </row>
    <row r="1407" spans="1:2">
      <c r="A1407" s="1">
        <v>44431</v>
      </c>
      <c r="B1407">
        <v>0.23</v>
      </c>
    </row>
    <row r="1408" spans="1:2">
      <c r="A1408" s="1">
        <v>44432</v>
      </c>
      <c r="B1408">
        <v>0.24</v>
      </c>
    </row>
    <row r="1409" spans="1:2">
      <c r="A1409" s="1">
        <v>44433</v>
      </c>
      <c r="B1409">
        <v>0.23</v>
      </c>
    </row>
    <row r="1410" spans="1:2">
      <c r="A1410" s="1">
        <v>44434</v>
      </c>
      <c r="B1410">
        <v>0.25</v>
      </c>
    </row>
    <row r="1411" spans="1:2">
      <c r="A1411" s="1">
        <v>44435</v>
      </c>
      <c r="B1411">
        <v>0.22</v>
      </c>
    </row>
    <row r="1412" spans="1:2">
      <c r="A1412" s="1">
        <v>44438</v>
      </c>
      <c r="B1412">
        <v>0.2</v>
      </c>
    </row>
    <row r="1413" spans="1:2">
      <c r="A1413" s="1">
        <v>44439</v>
      </c>
      <c r="B1413">
        <v>0.2</v>
      </c>
    </row>
    <row r="1414" spans="1:2">
      <c r="A1414" s="1">
        <v>44440</v>
      </c>
      <c r="B1414">
        <v>0.2</v>
      </c>
    </row>
    <row r="1415" spans="1:2">
      <c r="A1415" s="1">
        <v>44441</v>
      </c>
      <c r="B1415">
        <v>0.2</v>
      </c>
    </row>
    <row r="1416" spans="1:2">
      <c r="A1416" s="1">
        <v>44442</v>
      </c>
      <c r="B1416">
        <v>0.21</v>
      </c>
    </row>
    <row r="1417" spans="1:2">
      <c r="A1417" s="1">
        <v>44445</v>
      </c>
    </row>
    <row r="1418" spans="1:2">
      <c r="A1418" s="1">
        <v>44446</v>
      </c>
      <c r="B1418">
        <v>0.22</v>
      </c>
    </row>
    <row r="1419" spans="1:2">
      <c r="A1419" s="1">
        <v>44447</v>
      </c>
      <c r="B1419">
        <v>0.22</v>
      </c>
    </row>
    <row r="1420" spans="1:2">
      <c r="A1420" s="1">
        <v>44448</v>
      </c>
      <c r="B1420">
        <v>0.23</v>
      </c>
    </row>
    <row r="1421" spans="1:2">
      <c r="A1421" s="1">
        <v>44449</v>
      </c>
      <c r="B1421">
        <v>0.23</v>
      </c>
    </row>
    <row r="1422" spans="1:2">
      <c r="A1422" s="1">
        <v>44452</v>
      </c>
      <c r="B1422">
        <v>0.21</v>
      </c>
    </row>
    <row r="1423" spans="1:2">
      <c r="A1423" s="1">
        <v>44453</v>
      </c>
      <c r="B1423">
        <v>0.21</v>
      </c>
    </row>
    <row r="1424" spans="1:2">
      <c r="A1424" s="1">
        <v>44454</v>
      </c>
      <c r="B1424">
        <v>0.21</v>
      </c>
    </row>
    <row r="1425" spans="1:2">
      <c r="A1425" s="1">
        <v>44455</v>
      </c>
      <c r="B1425">
        <v>0.23</v>
      </c>
    </row>
    <row r="1426" spans="1:2">
      <c r="A1426" s="1">
        <v>44456</v>
      </c>
      <c r="B1426">
        <v>0.23</v>
      </c>
    </row>
    <row r="1427" spans="1:2">
      <c r="A1427" s="1">
        <v>44459</v>
      </c>
      <c r="B1427">
        <v>0.23</v>
      </c>
    </row>
    <row r="1428" spans="1:2">
      <c r="A1428" s="1">
        <v>44460</v>
      </c>
      <c r="B1428">
        <v>0.22</v>
      </c>
    </row>
    <row r="1429" spans="1:2">
      <c r="A1429" s="1">
        <v>44461</v>
      </c>
      <c r="B1429">
        <v>0.25</v>
      </c>
    </row>
    <row r="1430" spans="1:2">
      <c r="A1430" s="1">
        <v>44462</v>
      </c>
      <c r="B1430">
        <v>0.27</v>
      </c>
    </row>
    <row r="1431" spans="1:2">
      <c r="A1431" s="1">
        <v>44463</v>
      </c>
      <c r="B1431">
        <v>0.28999999999999998</v>
      </c>
    </row>
    <row r="1432" spans="1:2">
      <c r="A1432" s="1">
        <v>44466</v>
      </c>
      <c r="B1432">
        <v>0.31</v>
      </c>
    </row>
    <row r="1433" spans="1:2">
      <c r="A1433" s="1">
        <v>44467</v>
      </c>
      <c r="B1433">
        <v>0.31</v>
      </c>
    </row>
    <row r="1434" spans="1:2">
      <c r="A1434" s="1">
        <v>44468</v>
      </c>
      <c r="B1434">
        <v>0.3</v>
      </c>
    </row>
    <row r="1435" spans="1:2">
      <c r="A1435" s="1">
        <v>44469</v>
      </c>
      <c r="B1435">
        <v>0.28000000000000003</v>
      </c>
    </row>
    <row r="1436" spans="1:2">
      <c r="A1436" s="1">
        <v>44470</v>
      </c>
      <c r="B1436">
        <v>0.27</v>
      </c>
    </row>
    <row r="1437" spans="1:2">
      <c r="A1437" s="1">
        <v>44473</v>
      </c>
      <c r="B1437">
        <v>0.27</v>
      </c>
    </row>
    <row r="1438" spans="1:2">
      <c r="A1438" s="1">
        <v>44474</v>
      </c>
      <c r="B1438">
        <v>0.28000000000000003</v>
      </c>
    </row>
    <row r="1439" spans="1:2">
      <c r="A1439" s="1">
        <v>44475</v>
      </c>
      <c r="B1439">
        <v>0.3</v>
      </c>
    </row>
    <row r="1440" spans="1:2">
      <c r="A1440" s="1">
        <v>44476</v>
      </c>
      <c r="B1440">
        <v>0.32</v>
      </c>
    </row>
    <row r="1441" spans="1:2">
      <c r="A1441" s="1">
        <v>44477</v>
      </c>
      <c r="B1441">
        <v>0.32</v>
      </c>
    </row>
    <row r="1442" spans="1:2">
      <c r="A1442" s="1">
        <v>44480</v>
      </c>
    </row>
    <row r="1443" spans="1:2">
      <c r="A1443" s="1">
        <v>44481</v>
      </c>
      <c r="B1443">
        <v>0.35</v>
      </c>
    </row>
    <row r="1444" spans="1:2">
      <c r="A1444" s="1">
        <v>44482</v>
      </c>
      <c r="B1444">
        <v>0.37</v>
      </c>
    </row>
    <row r="1445" spans="1:2">
      <c r="A1445" s="1">
        <v>44483</v>
      </c>
      <c r="B1445">
        <v>0.36</v>
      </c>
    </row>
    <row r="1446" spans="1:2">
      <c r="A1446" s="1">
        <v>44484</v>
      </c>
      <c r="B1446">
        <v>0.41</v>
      </c>
    </row>
    <row r="1447" spans="1:2">
      <c r="A1447" s="1">
        <v>44487</v>
      </c>
      <c r="B1447">
        <v>0.44</v>
      </c>
    </row>
    <row r="1448" spans="1:2">
      <c r="A1448" s="1">
        <v>44488</v>
      </c>
      <c r="B1448">
        <v>0.41</v>
      </c>
    </row>
    <row r="1449" spans="1:2">
      <c r="A1449" s="1">
        <v>44489</v>
      </c>
      <c r="B1449">
        <v>0.4</v>
      </c>
    </row>
    <row r="1450" spans="1:2">
      <c r="A1450" s="1">
        <v>44490</v>
      </c>
      <c r="B1450">
        <v>0.45</v>
      </c>
    </row>
    <row r="1451" spans="1:2">
      <c r="A1451" s="1">
        <v>44491</v>
      </c>
      <c r="B1451">
        <v>0.48</v>
      </c>
    </row>
    <row r="1452" spans="1:2">
      <c r="A1452" s="1">
        <v>44494</v>
      </c>
      <c r="B1452">
        <v>0.47</v>
      </c>
    </row>
    <row r="1453" spans="1:2">
      <c r="A1453" s="1">
        <v>44495</v>
      </c>
      <c r="B1453">
        <v>0.47</v>
      </c>
    </row>
    <row r="1454" spans="1:2">
      <c r="A1454" s="1">
        <v>44496</v>
      </c>
      <c r="B1454">
        <v>0.5</v>
      </c>
    </row>
    <row r="1455" spans="1:2">
      <c r="A1455" s="1">
        <v>44497</v>
      </c>
      <c r="B1455">
        <v>0.5</v>
      </c>
    </row>
    <row r="1456" spans="1:2">
      <c r="A1456" s="1">
        <v>44498</v>
      </c>
      <c r="B1456">
        <v>0.48</v>
      </c>
    </row>
    <row r="1457" spans="1:2">
      <c r="A1457" s="1">
        <v>44501</v>
      </c>
      <c r="B1457">
        <v>0.5</v>
      </c>
    </row>
    <row r="1458" spans="1:2">
      <c r="A1458" s="1">
        <v>44502</v>
      </c>
      <c r="B1458">
        <v>0.46</v>
      </c>
    </row>
    <row r="1459" spans="1:2">
      <c r="A1459" s="1">
        <v>44503</v>
      </c>
      <c r="B1459">
        <v>0.47</v>
      </c>
    </row>
    <row r="1460" spans="1:2">
      <c r="A1460" s="1">
        <v>44504</v>
      </c>
      <c r="B1460">
        <v>0.41</v>
      </c>
    </row>
    <row r="1461" spans="1:2">
      <c r="A1461" s="1">
        <v>44505</v>
      </c>
      <c r="B1461">
        <v>0.39</v>
      </c>
    </row>
    <row r="1462" spans="1:2">
      <c r="A1462" s="1">
        <v>44508</v>
      </c>
      <c r="B1462">
        <v>0.45</v>
      </c>
    </row>
    <row r="1463" spans="1:2">
      <c r="A1463" s="1">
        <v>44509</v>
      </c>
      <c r="B1463">
        <v>0.41</v>
      </c>
    </row>
    <row r="1464" spans="1:2">
      <c r="A1464" s="1">
        <v>44510</v>
      </c>
      <c r="B1464">
        <v>0.51</v>
      </c>
    </row>
    <row r="1465" spans="1:2">
      <c r="A1465" s="1">
        <v>44511</v>
      </c>
    </row>
    <row r="1466" spans="1:2">
      <c r="A1466" s="1">
        <v>44512</v>
      </c>
      <c r="B1466">
        <v>0.53</v>
      </c>
    </row>
    <row r="1467" spans="1:2">
      <c r="A1467" s="1">
        <v>44515</v>
      </c>
      <c r="B1467">
        <v>0.53</v>
      </c>
    </row>
    <row r="1468" spans="1:2">
      <c r="A1468" s="1">
        <v>44516</v>
      </c>
      <c r="B1468">
        <v>0.54</v>
      </c>
    </row>
    <row r="1469" spans="1:2">
      <c r="A1469" s="1">
        <v>44517</v>
      </c>
      <c r="B1469">
        <v>0.52</v>
      </c>
    </row>
    <row r="1470" spans="1:2">
      <c r="A1470" s="1">
        <v>44518</v>
      </c>
      <c r="B1470">
        <v>0.52</v>
      </c>
    </row>
    <row r="1471" spans="1:2">
      <c r="A1471" s="1">
        <v>44519</v>
      </c>
      <c r="B1471">
        <v>0.52</v>
      </c>
    </row>
    <row r="1472" spans="1:2">
      <c r="A1472" s="1">
        <v>44522</v>
      </c>
      <c r="B1472">
        <v>0.63</v>
      </c>
    </row>
    <row r="1473" spans="1:2">
      <c r="A1473" s="1">
        <v>44523</v>
      </c>
      <c r="B1473">
        <v>0.6</v>
      </c>
    </row>
    <row r="1474" spans="1:2">
      <c r="A1474" s="1">
        <v>44524</v>
      </c>
      <c r="B1474">
        <v>0.64</v>
      </c>
    </row>
    <row r="1475" spans="1:2">
      <c r="A1475" s="1">
        <v>44525</v>
      </c>
    </row>
    <row r="1476" spans="1:2">
      <c r="A1476" s="1">
        <v>44526</v>
      </c>
      <c r="B1476">
        <v>0.5</v>
      </c>
    </row>
    <row r="1477" spans="1:2">
      <c r="A1477" s="1">
        <v>44529</v>
      </c>
      <c r="B1477">
        <v>0.51</v>
      </c>
    </row>
    <row r="1478" spans="1:2">
      <c r="A1478" s="1">
        <v>44530</v>
      </c>
      <c r="B1478">
        <v>0.52</v>
      </c>
    </row>
    <row r="1479" spans="1:2">
      <c r="A1479" s="1">
        <v>44531</v>
      </c>
      <c r="B1479">
        <v>0.56000000000000005</v>
      </c>
    </row>
    <row r="1480" spans="1:2">
      <c r="A1480" s="1">
        <v>44532</v>
      </c>
      <c r="B1480">
        <v>0.63</v>
      </c>
    </row>
    <row r="1481" spans="1:2">
      <c r="A1481" s="1">
        <v>44533</v>
      </c>
      <c r="B1481">
        <v>0.6</v>
      </c>
    </row>
    <row r="1482" spans="1:2">
      <c r="A1482" s="1">
        <v>44536</v>
      </c>
      <c r="B1482">
        <v>0.65</v>
      </c>
    </row>
    <row r="1483" spans="1:2">
      <c r="A1483" s="1">
        <v>44537</v>
      </c>
      <c r="B1483">
        <v>0.7</v>
      </c>
    </row>
    <row r="1484" spans="1:2">
      <c r="A1484" s="1">
        <v>44538</v>
      </c>
      <c r="B1484">
        <v>0.68</v>
      </c>
    </row>
    <row r="1485" spans="1:2">
      <c r="A1485" s="1">
        <v>44539</v>
      </c>
      <c r="B1485">
        <v>0.7</v>
      </c>
    </row>
    <row r="1486" spans="1:2">
      <c r="A1486" s="1">
        <v>44540</v>
      </c>
      <c r="B1486">
        <v>0.67</v>
      </c>
    </row>
    <row r="1487" spans="1:2">
      <c r="A1487" s="1">
        <v>44543</v>
      </c>
      <c r="B1487">
        <v>0.66</v>
      </c>
    </row>
    <row r="1488" spans="1:2">
      <c r="A1488" s="1">
        <v>44544</v>
      </c>
      <c r="B1488">
        <v>0.67</v>
      </c>
    </row>
    <row r="1489" spans="1:2">
      <c r="A1489" s="1">
        <v>44545</v>
      </c>
      <c r="B1489">
        <v>0.69</v>
      </c>
    </row>
    <row r="1490" spans="1:2">
      <c r="A1490" s="1">
        <v>44546</v>
      </c>
      <c r="B1490">
        <v>0.64</v>
      </c>
    </row>
    <row r="1491" spans="1:2">
      <c r="A1491" s="1">
        <v>44547</v>
      </c>
      <c r="B1491">
        <v>0.66</v>
      </c>
    </row>
    <row r="1492" spans="1:2">
      <c r="A1492" s="1">
        <v>44550</v>
      </c>
      <c r="B1492">
        <v>0.65</v>
      </c>
    </row>
    <row r="1493" spans="1:2">
      <c r="A1493" s="1">
        <v>44551</v>
      </c>
      <c r="B1493">
        <v>0.7</v>
      </c>
    </row>
    <row r="1494" spans="1:2">
      <c r="A1494" s="1">
        <v>44552</v>
      </c>
      <c r="B1494">
        <v>0.68</v>
      </c>
    </row>
    <row r="1495" spans="1:2">
      <c r="A1495" s="1">
        <v>44553</v>
      </c>
      <c r="B1495">
        <v>0.71</v>
      </c>
    </row>
    <row r="1496" spans="1:2">
      <c r="A1496" s="1">
        <v>44554</v>
      </c>
    </row>
    <row r="1497" spans="1:2">
      <c r="A1497" s="1">
        <v>44557</v>
      </c>
      <c r="B1497">
        <v>0.76</v>
      </c>
    </row>
    <row r="1498" spans="1:2">
      <c r="A1498" s="1">
        <v>44558</v>
      </c>
      <c r="B1498">
        <v>0.74</v>
      </c>
    </row>
    <row r="1499" spans="1:2">
      <c r="A1499" s="1">
        <v>44559</v>
      </c>
      <c r="B1499">
        <v>0.75</v>
      </c>
    </row>
    <row r="1500" spans="1:2">
      <c r="A1500" s="1">
        <v>44560</v>
      </c>
      <c r="B1500">
        <v>0.73</v>
      </c>
    </row>
    <row r="1501" spans="1:2">
      <c r="A1501" s="1">
        <v>44561</v>
      </c>
      <c r="B1501">
        <v>0.73</v>
      </c>
    </row>
    <row r="1502" spans="1:2">
      <c r="A1502" s="1">
        <v>44564</v>
      </c>
      <c r="B1502">
        <v>0.78</v>
      </c>
    </row>
    <row r="1503" spans="1:2">
      <c r="A1503" s="1">
        <v>44565</v>
      </c>
      <c r="B1503">
        <v>0.77</v>
      </c>
    </row>
    <row r="1504" spans="1:2">
      <c r="A1504" s="1">
        <v>44566</v>
      </c>
      <c r="B1504">
        <v>0.83</v>
      </c>
    </row>
    <row r="1505" spans="1:2">
      <c r="A1505" s="1">
        <v>44567</v>
      </c>
      <c r="B1505">
        <v>0.88</v>
      </c>
    </row>
    <row r="1506" spans="1:2">
      <c r="A1506" s="1">
        <v>44568</v>
      </c>
      <c r="B1506">
        <v>0.87</v>
      </c>
    </row>
    <row r="1507" spans="1:2">
      <c r="A1507" s="1">
        <v>44571</v>
      </c>
      <c r="B1507">
        <v>0.92</v>
      </c>
    </row>
    <row r="1508" spans="1:2">
      <c r="A1508" s="1">
        <v>44572</v>
      </c>
      <c r="B1508">
        <v>0.9</v>
      </c>
    </row>
    <row r="1509" spans="1:2">
      <c r="A1509" s="1">
        <v>44573</v>
      </c>
      <c r="B1509">
        <v>0.92</v>
      </c>
    </row>
    <row r="1510" spans="1:2">
      <c r="A1510" s="1">
        <v>44574</v>
      </c>
      <c r="B1510">
        <v>0.91</v>
      </c>
    </row>
    <row r="1511" spans="1:2">
      <c r="A1511" s="1">
        <v>44575</v>
      </c>
      <c r="B1511">
        <v>0.99</v>
      </c>
    </row>
    <row r="1512" spans="1:2">
      <c r="A1512" s="1">
        <v>44578</v>
      </c>
    </row>
    <row r="1513" spans="1:2">
      <c r="A1513" s="1">
        <v>44579</v>
      </c>
      <c r="B1513">
        <v>1.06</v>
      </c>
    </row>
    <row r="1514" spans="1:2">
      <c r="A1514" s="1">
        <v>44580</v>
      </c>
      <c r="B1514">
        <v>1.04</v>
      </c>
    </row>
    <row r="1515" spans="1:2">
      <c r="A1515" s="1">
        <v>44581</v>
      </c>
      <c r="B1515">
        <v>1.08</v>
      </c>
    </row>
    <row r="1516" spans="1:2">
      <c r="A1516" s="1">
        <v>44582</v>
      </c>
      <c r="B1516">
        <v>1.01</v>
      </c>
    </row>
    <row r="1517" spans="1:2">
      <c r="A1517" s="1">
        <v>44585</v>
      </c>
      <c r="B1517">
        <v>0.99</v>
      </c>
    </row>
    <row r="1518" spans="1:2">
      <c r="A1518" s="1">
        <v>44586</v>
      </c>
      <c r="B1518">
        <v>1.02</v>
      </c>
    </row>
    <row r="1519" spans="1:2">
      <c r="A1519" s="1">
        <v>44587</v>
      </c>
      <c r="B1519">
        <v>1.1299999999999999</v>
      </c>
    </row>
    <row r="1520" spans="1:2">
      <c r="A1520" s="1">
        <v>44588</v>
      </c>
      <c r="B1520">
        <v>1.18</v>
      </c>
    </row>
    <row r="1521" spans="1:2">
      <c r="A1521" s="1">
        <v>44589</v>
      </c>
      <c r="B1521">
        <v>1.1499999999999999</v>
      </c>
    </row>
    <row r="1522" spans="1:2">
      <c r="A1522" s="1">
        <v>44592</v>
      </c>
      <c r="B1522">
        <v>1.18</v>
      </c>
    </row>
    <row r="1523" spans="1:2">
      <c r="A1523" s="1">
        <v>44593</v>
      </c>
      <c r="B1523">
        <v>1.18</v>
      </c>
    </row>
    <row r="1524" spans="1:2">
      <c r="A1524" s="1">
        <v>44594</v>
      </c>
      <c r="B1524">
        <v>1.1599999999999999</v>
      </c>
    </row>
    <row r="1525" spans="1:2">
      <c r="A1525" s="1">
        <v>44595</v>
      </c>
      <c r="B1525">
        <v>1.19</v>
      </c>
    </row>
    <row r="1526" spans="1:2">
      <c r="A1526" s="1">
        <v>44596</v>
      </c>
      <c r="B1526">
        <v>1.31</v>
      </c>
    </row>
    <row r="1527" spans="1:2">
      <c r="A1527" s="1">
        <v>44599</v>
      </c>
      <c r="B1527">
        <v>1.3</v>
      </c>
    </row>
    <row r="1528" spans="1:2">
      <c r="A1528" s="1">
        <v>44600</v>
      </c>
      <c r="B1528">
        <v>1.35</v>
      </c>
    </row>
    <row r="1529" spans="1:2">
      <c r="A1529" s="1">
        <v>44601</v>
      </c>
      <c r="B1529">
        <v>1.36</v>
      </c>
    </row>
    <row r="1530" spans="1:2">
      <c r="A1530" s="1">
        <v>44602</v>
      </c>
      <c r="B1530">
        <v>1.61</v>
      </c>
    </row>
    <row r="1531" spans="1:2">
      <c r="A1531" s="1">
        <v>44603</v>
      </c>
      <c r="B1531">
        <v>1.5</v>
      </c>
    </row>
    <row r="1532" spans="1:2">
      <c r="A1532" s="1">
        <v>44606</v>
      </c>
      <c r="B1532">
        <v>1.58</v>
      </c>
    </row>
    <row r="1533" spans="1:2">
      <c r="A1533" s="1">
        <v>44607</v>
      </c>
      <c r="B1533">
        <v>1.58</v>
      </c>
    </row>
    <row r="1534" spans="1:2">
      <c r="A1534" s="1">
        <v>44608</v>
      </c>
      <c r="B1534">
        <v>1.52</v>
      </c>
    </row>
    <row r="1535" spans="1:2">
      <c r="A1535" s="1">
        <v>44609</v>
      </c>
      <c r="B1535">
        <v>1.49</v>
      </c>
    </row>
    <row r="1536" spans="1:2">
      <c r="A1536" s="1">
        <v>44610</v>
      </c>
      <c r="B1536">
        <v>1.47</v>
      </c>
    </row>
    <row r="1537" spans="1:2">
      <c r="A1537" s="1">
        <v>44613</v>
      </c>
    </row>
    <row r="1538" spans="1:2">
      <c r="A1538" s="1">
        <v>44614</v>
      </c>
      <c r="B1538">
        <v>1.56</v>
      </c>
    </row>
    <row r="1539" spans="1:2">
      <c r="A1539" s="1">
        <v>44615</v>
      </c>
      <c r="B1539">
        <v>1.58</v>
      </c>
    </row>
    <row r="1540" spans="1:2">
      <c r="A1540" s="1">
        <v>44616</v>
      </c>
      <c r="B1540">
        <v>1.54</v>
      </c>
    </row>
    <row r="1541" spans="1:2">
      <c r="A1541" s="1">
        <v>44617</v>
      </c>
      <c r="B1541">
        <v>1.55</v>
      </c>
    </row>
    <row r="1542" spans="1:2">
      <c r="A1542" s="1">
        <v>44620</v>
      </c>
      <c r="B1542">
        <v>1.44</v>
      </c>
    </row>
    <row r="1543" spans="1:2">
      <c r="A1543" s="1">
        <v>44621</v>
      </c>
      <c r="B1543">
        <v>1.31</v>
      </c>
    </row>
    <row r="1544" spans="1:2">
      <c r="A1544" s="1">
        <v>44622</v>
      </c>
      <c r="B1544">
        <v>1.5</v>
      </c>
    </row>
    <row r="1545" spans="1:2">
      <c r="A1545" s="1">
        <v>44623</v>
      </c>
      <c r="B1545">
        <v>1.53</v>
      </c>
    </row>
    <row r="1546" spans="1:2">
      <c r="A1546" s="1">
        <v>44624</v>
      </c>
      <c r="B1546">
        <v>1.5</v>
      </c>
    </row>
    <row r="1547" spans="1:2">
      <c r="A1547" s="1">
        <v>44627</v>
      </c>
      <c r="B1547">
        <v>1.55</v>
      </c>
    </row>
    <row r="1548" spans="1:2">
      <c r="A1548" s="1">
        <v>44628</v>
      </c>
      <c r="B1548">
        <v>1.63</v>
      </c>
    </row>
    <row r="1549" spans="1:2">
      <c r="A1549" s="1">
        <v>44629</v>
      </c>
      <c r="B1549">
        <v>1.68</v>
      </c>
    </row>
    <row r="1550" spans="1:2">
      <c r="A1550" s="1">
        <v>44630</v>
      </c>
      <c r="B1550">
        <v>1.72</v>
      </c>
    </row>
    <row r="1551" spans="1:2">
      <c r="A1551" s="1">
        <v>44631</v>
      </c>
      <c r="B1551">
        <v>1.75</v>
      </c>
    </row>
    <row r="1552" spans="1:2">
      <c r="A1552" s="1">
        <v>44634</v>
      </c>
      <c r="B1552">
        <v>1.87</v>
      </c>
    </row>
    <row r="1553" spans="1:2">
      <c r="A1553" s="1">
        <v>44635</v>
      </c>
      <c r="B1553">
        <v>1.85</v>
      </c>
    </row>
    <row r="1554" spans="1:2">
      <c r="A1554" s="1">
        <v>44636</v>
      </c>
      <c r="B1554">
        <v>1.95</v>
      </c>
    </row>
    <row r="1555" spans="1:2">
      <c r="A1555" s="1">
        <v>44637</v>
      </c>
      <c r="B1555">
        <v>1.94</v>
      </c>
    </row>
    <row r="1556" spans="1:2">
      <c r="A1556" s="1">
        <v>44638</v>
      </c>
      <c r="B1556">
        <v>1.97</v>
      </c>
    </row>
    <row r="1557" spans="1:2">
      <c r="A1557" s="1">
        <v>44641</v>
      </c>
      <c r="B1557">
        <v>2.14</v>
      </c>
    </row>
    <row r="1558" spans="1:2">
      <c r="A1558" s="1">
        <v>44642</v>
      </c>
      <c r="B1558">
        <v>2.1800000000000002</v>
      </c>
    </row>
    <row r="1559" spans="1:2">
      <c r="A1559" s="1">
        <v>44643</v>
      </c>
      <c r="B1559">
        <v>2.13</v>
      </c>
    </row>
    <row r="1560" spans="1:2">
      <c r="A1560" s="1">
        <v>44644</v>
      </c>
      <c r="B1560">
        <v>2.13</v>
      </c>
    </row>
    <row r="1561" spans="1:2">
      <c r="A1561" s="1">
        <v>44645</v>
      </c>
      <c r="B1561">
        <v>2.2999999999999998</v>
      </c>
    </row>
    <row r="1562" spans="1:2">
      <c r="A1562" s="1">
        <v>44648</v>
      </c>
      <c r="B1562">
        <v>2.35</v>
      </c>
    </row>
    <row r="1563" spans="1:2">
      <c r="A1563" s="1">
        <v>44649</v>
      </c>
      <c r="B1563">
        <v>2.35</v>
      </c>
    </row>
    <row r="1564" spans="1:2">
      <c r="A1564" s="1">
        <v>44650</v>
      </c>
      <c r="B1564">
        <v>2.31</v>
      </c>
    </row>
    <row r="1565" spans="1:2">
      <c r="A1565" s="1">
        <v>44651</v>
      </c>
      <c r="B1565">
        <v>2.2799999999999998</v>
      </c>
    </row>
    <row r="1566" spans="1:2">
      <c r="A1566" s="1">
        <v>44652</v>
      </c>
      <c r="B1566">
        <v>2.44</v>
      </c>
    </row>
    <row r="1567" spans="1:2">
      <c r="A1567" s="1">
        <v>44655</v>
      </c>
      <c r="B1567">
        <v>2.4300000000000002</v>
      </c>
    </row>
    <row r="1568" spans="1:2">
      <c r="A1568" s="1">
        <v>44656</v>
      </c>
      <c r="B1568">
        <v>2.5099999999999998</v>
      </c>
    </row>
    <row r="1569" spans="1:2">
      <c r="A1569" s="1">
        <v>44657</v>
      </c>
      <c r="B1569">
        <v>2.5</v>
      </c>
    </row>
    <row r="1570" spans="1:2">
      <c r="A1570" s="1">
        <v>44658</v>
      </c>
      <c r="B1570">
        <v>2.4700000000000002</v>
      </c>
    </row>
    <row r="1571" spans="1:2">
      <c r="A1571" s="1">
        <v>44659</v>
      </c>
      <c r="B1571">
        <v>2.5299999999999998</v>
      </c>
    </row>
    <row r="1572" spans="1:2">
      <c r="A1572" s="1">
        <v>44662</v>
      </c>
      <c r="B1572">
        <v>2.5</v>
      </c>
    </row>
    <row r="1573" spans="1:2">
      <c r="A1573" s="1">
        <v>44663</v>
      </c>
      <c r="B1573">
        <v>2.39</v>
      </c>
    </row>
    <row r="1574" spans="1:2">
      <c r="A1574" s="1">
        <v>44664</v>
      </c>
      <c r="B1574">
        <v>2.37</v>
      </c>
    </row>
    <row r="1575" spans="1:2">
      <c r="A1575" s="1">
        <v>44665</v>
      </c>
      <c r="B1575">
        <v>2.4700000000000002</v>
      </c>
    </row>
    <row r="1576" spans="1:2">
      <c r="A1576" s="1">
        <v>44666</v>
      </c>
    </row>
    <row r="1577" spans="1:2">
      <c r="A1577" s="1">
        <v>44669</v>
      </c>
      <c r="B1577">
        <v>2.46</v>
      </c>
    </row>
    <row r="1578" spans="1:2">
      <c r="A1578" s="1">
        <v>44670</v>
      </c>
      <c r="B1578">
        <v>2.61</v>
      </c>
    </row>
    <row r="1579" spans="1:2">
      <c r="A1579" s="1">
        <v>44671</v>
      </c>
      <c r="B1579">
        <v>2.6</v>
      </c>
    </row>
    <row r="1580" spans="1:2">
      <c r="A1580" s="1">
        <v>44672</v>
      </c>
      <c r="B1580">
        <v>2.68</v>
      </c>
    </row>
    <row r="1581" spans="1:2">
      <c r="A1581" s="1">
        <v>44673</v>
      </c>
      <c r="B1581">
        <v>2.72</v>
      </c>
    </row>
    <row r="1582" spans="1:2">
      <c r="A1582" s="1">
        <v>44676</v>
      </c>
      <c r="B1582">
        <v>2.63</v>
      </c>
    </row>
    <row r="1583" spans="1:2">
      <c r="A1583" s="1">
        <v>44677</v>
      </c>
      <c r="B1583">
        <v>2.54</v>
      </c>
    </row>
    <row r="1584" spans="1:2">
      <c r="A1584" s="1">
        <v>44678</v>
      </c>
      <c r="B1584">
        <v>2.58</v>
      </c>
    </row>
    <row r="1585" spans="1:2">
      <c r="A1585" s="1">
        <v>44679</v>
      </c>
      <c r="B1585">
        <v>2.63</v>
      </c>
    </row>
    <row r="1586" spans="1:2">
      <c r="A1586" s="1">
        <v>44680</v>
      </c>
      <c r="B1586">
        <v>2.7</v>
      </c>
    </row>
    <row r="1587" spans="1:2">
      <c r="A1587" s="1">
        <v>44683</v>
      </c>
      <c r="B1587">
        <v>2.73</v>
      </c>
    </row>
    <row r="1588" spans="1:2">
      <c r="A1588" s="1">
        <v>44684</v>
      </c>
      <c r="B1588">
        <v>2.78</v>
      </c>
    </row>
    <row r="1589" spans="1:2">
      <c r="A1589" s="1">
        <v>44685</v>
      </c>
      <c r="B1589">
        <v>2.66</v>
      </c>
    </row>
    <row r="1590" spans="1:2">
      <c r="A1590" s="1">
        <v>44686</v>
      </c>
      <c r="B1590">
        <v>2.71</v>
      </c>
    </row>
    <row r="1591" spans="1:2">
      <c r="A1591" s="1">
        <v>44687</v>
      </c>
      <c r="B1591">
        <v>2.72</v>
      </c>
    </row>
    <row r="1592" spans="1:2">
      <c r="A1592" s="1">
        <v>44690</v>
      </c>
      <c r="B1592">
        <v>2.61</v>
      </c>
    </row>
    <row r="1593" spans="1:2">
      <c r="A1593" s="1">
        <v>44691</v>
      </c>
      <c r="B1593">
        <v>2.62</v>
      </c>
    </row>
    <row r="1594" spans="1:2">
      <c r="A1594" s="1">
        <v>44692</v>
      </c>
      <c r="B1594">
        <v>2.66</v>
      </c>
    </row>
    <row r="1595" spans="1:2">
      <c r="A1595" s="1">
        <v>44693</v>
      </c>
      <c r="B1595">
        <v>2.56</v>
      </c>
    </row>
    <row r="1596" spans="1:2">
      <c r="A1596" s="1">
        <v>44694</v>
      </c>
      <c r="B1596">
        <v>2.61</v>
      </c>
    </row>
    <row r="1597" spans="1:2">
      <c r="A1597" s="1">
        <v>44697</v>
      </c>
      <c r="B1597">
        <v>2.58</v>
      </c>
    </row>
    <row r="1598" spans="1:2">
      <c r="A1598" s="1">
        <v>44698</v>
      </c>
      <c r="B1598">
        <v>2.71</v>
      </c>
    </row>
    <row r="1599" spans="1:2">
      <c r="A1599" s="1">
        <v>44699</v>
      </c>
      <c r="B1599">
        <v>2.68</v>
      </c>
    </row>
    <row r="1600" spans="1:2">
      <c r="A1600" s="1">
        <v>44700</v>
      </c>
      <c r="B1600">
        <v>2.63</v>
      </c>
    </row>
    <row r="1601" spans="1:2">
      <c r="A1601" s="1">
        <v>44701</v>
      </c>
      <c r="B1601">
        <v>2.6</v>
      </c>
    </row>
    <row r="1602" spans="1:2">
      <c r="A1602" s="1">
        <v>44704</v>
      </c>
      <c r="B1602">
        <v>2.65</v>
      </c>
    </row>
    <row r="1603" spans="1:2">
      <c r="A1603" s="1">
        <v>44705</v>
      </c>
      <c r="B1603">
        <v>2.5</v>
      </c>
    </row>
    <row r="1604" spans="1:2">
      <c r="A1604" s="1">
        <v>44706</v>
      </c>
      <c r="B1604">
        <v>2.48</v>
      </c>
    </row>
    <row r="1605" spans="1:2">
      <c r="A1605" s="1">
        <v>44707</v>
      </c>
      <c r="B1605">
        <v>2.46</v>
      </c>
    </row>
    <row r="1606" spans="1:2">
      <c r="A1606" s="1">
        <v>44708</v>
      </c>
      <c r="B1606">
        <v>2.4700000000000002</v>
      </c>
    </row>
    <row r="1607" spans="1:2">
      <c r="A1607" s="1">
        <v>44711</v>
      </c>
    </row>
    <row r="1608" spans="1:2">
      <c r="A1608" s="1">
        <v>44712</v>
      </c>
      <c r="B1608">
        <v>2.5299999999999998</v>
      </c>
    </row>
    <row r="1609" spans="1:2">
      <c r="A1609" s="1">
        <v>44713</v>
      </c>
      <c r="B1609">
        <v>2.66</v>
      </c>
    </row>
    <row r="1610" spans="1:2">
      <c r="A1610" s="1">
        <v>44714</v>
      </c>
      <c r="B1610">
        <v>2.65</v>
      </c>
    </row>
    <row r="1611" spans="1:2">
      <c r="A1611" s="1">
        <v>44715</v>
      </c>
      <c r="B1611">
        <v>2.66</v>
      </c>
    </row>
    <row r="1612" spans="1:2">
      <c r="A1612" s="1">
        <v>44718</v>
      </c>
      <c r="B1612">
        <v>2.73</v>
      </c>
    </row>
    <row r="1613" spans="1:2">
      <c r="A1613" s="1">
        <v>44719</v>
      </c>
      <c r="B1613">
        <v>2.75</v>
      </c>
    </row>
    <row r="1614" spans="1:2">
      <c r="A1614" s="1">
        <v>44720</v>
      </c>
      <c r="B1614">
        <v>2.78</v>
      </c>
    </row>
    <row r="1615" spans="1:2">
      <c r="A1615" s="1">
        <v>44721</v>
      </c>
      <c r="B1615">
        <v>2.83</v>
      </c>
    </row>
    <row r="1616" spans="1:2">
      <c r="A1616" s="1">
        <v>44722</v>
      </c>
      <c r="B1616">
        <v>3.06</v>
      </c>
    </row>
    <row r="1617" spans="1:2">
      <c r="A1617" s="1">
        <v>44725</v>
      </c>
      <c r="B1617">
        <v>3.4</v>
      </c>
    </row>
    <row r="1618" spans="1:2">
      <c r="A1618" s="1">
        <v>44726</v>
      </c>
      <c r="B1618">
        <v>3.45</v>
      </c>
    </row>
    <row r="1619" spans="1:2">
      <c r="A1619" s="1">
        <v>44727</v>
      </c>
      <c r="B1619">
        <v>3.2</v>
      </c>
    </row>
    <row r="1620" spans="1:2">
      <c r="A1620" s="1">
        <v>44728</v>
      </c>
      <c r="B1620">
        <v>3.14</v>
      </c>
    </row>
    <row r="1621" spans="1:2">
      <c r="A1621" s="1">
        <v>44729</v>
      </c>
      <c r="B1621">
        <v>3.17</v>
      </c>
    </row>
    <row r="1622" spans="1:2">
      <c r="A1622" s="1">
        <v>44732</v>
      </c>
    </row>
    <row r="1623" spans="1:2">
      <c r="A1623" s="1">
        <v>44733</v>
      </c>
      <c r="B1623">
        <v>3.21</v>
      </c>
    </row>
    <row r="1624" spans="1:2">
      <c r="A1624" s="1">
        <v>44734</v>
      </c>
      <c r="B1624">
        <v>3.06</v>
      </c>
    </row>
    <row r="1625" spans="1:2">
      <c r="A1625" s="1">
        <v>44735</v>
      </c>
      <c r="B1625">
        <v>3.01</v>
      </c>
    </row>
    <row r="1626" spans="1:2">
      <c r="A1626" s="1">
        <v>44736</v>
      </c>
      <c r="B1626">
        <v>3.04</v>
      </c>
    </row>
    <row r="1627" spans="1:2">
      <c r="A1627" s="1">
        <v>44739</v>
      </c>
      <c r="B1627">
        <v>3.08</v>
      </c>
    </row>
    <row r="1628" spans="1:2">
      <c r="A1628" s="1">
        <v>44740</v>
      </c>
      <c r="B1628">
        <v>3.1</v>
      </c>
    </row>
    <row r="1629" spans="1:2">
      <c r="A1629" s="1">
        <v>44741</v>
      </c>
      <c r="B1629">
        <v>3.06</v>
      </c>
    </row>
    <row r="1630" spans="1:2">
      <c r="A1630" s="1">
        <v>44742</v>
      </c>
      <c r="B1630">
        <v>2.92</v>
      </c>
    </row>
    <row r="1631" spans="1:2">
      <c r="A1631" s="1">
        <v>44743</v>
      </c>
      <c r="B1631">
        <v>2.84</v>
      </c>
    </row>
    <row r="1632" spans="1:2">
      <c r="A1632" s="1">
        <v>44746</v>
      </c>
    </row>
    <row r="1633" spans="1:2">
      <c r="A1633" s="1">
        <v>44747</v>
      </c>
      <c r="B1633">
        <v>2.82</v>
      </c>
    </row>
    <row r="1634" spans="1:2">
      <c r="A1634" s="1">
        <v>44748</v>
      </c>
      <c r="B1634">
        <v>2.97</v>
      </c>
    </row>
    <row r="1635" spans="1:2">
      <c r="A1635" s="1">
        <v>44749</v>
      </c>
      <c r="B1635">
        <v>3.03</v>
      </c>
    </row>
    <row r="1636" spans="1:2">
      <c r="A1636" s="1">
        <v>44750</v>
      </c>
      <c r="B1636">
        <v>3.12</v>
      </c>
    </row>
    <row r="1637" spans="1:2">
      <c r="A1637" s="1">
        <v>44753</v>
      </c>
      <c r="B1637">
        <v>3.07</v>
      </c>
    </row>
    <row r="1638" spans="1:2">
      <c r="A1638" s="1">
        <v>44754</v>
      </c>
      <c r="B1638">
        <v>3.03</v>
      </c>
    </row>
    <row r="1639" spans="1:2">
      <c r="A1639" s="1">
        <v>44755</v>
      </c>
      <c r="B1639">
        <v>3.13</v>
      </c>
    </row>
    <row r="1640" spans="1:2">
      <c r="A1640" s="1">
        <v>44756</v>
      </c>
      <c r="B1640">
        <v>3.15</v>
      </c>
    </row>
    <row r="1641" spans="1:2">
      <c r="A1641" s="1">
        <v>44757</v>
      </c>
      <c r="B1641">
        <v>3.13</v>
      </c>
    </row>
    <row r="1642" spans="1:2">
      <c r="A1642" s="1">
        <v>44760</v>
      </c>
      <c r="B1642">
        <v>3.15</v>
      </c>
    </row>
    <row r="1643" spans="1:2">
      <c r="A1643" s="1">
        <v>44761</v>
      </c>
      <c r="B1643">
        <v>3.23</v>
      </c>
    </row>
    <row r="1644" spans="1:2">
      <c r="A1644" s="1">
        <v>44762</v>
      </c>
      <c r="B1644">
        <v>3.25</v>
      </c>
    </row>
    <row r="1645" spans="1:2">
      <c r="A1645" s="1">
        <v>44763</v>
      </c>
      <c r="B1645">
        <v>3.1</v>
      </c>
    </row>
    <row r="1646" spans="1:2">
      <c r="A1646" s="1">
        <v>44764</v>
      </c>
      <c r="B1646">
        <v>2.98</v>
      </c>
    </row>
    <row r="1647" spans="1:2">
      <c r="A1647" s="1">
        <v>44767</v>
      </c>
      <c r="B1647">
        <v>3</v>
      </c>
    </row>
    <row r="1648" spans="1:2">
      <c r="A1648" s="1">
        <v>44768</v>
      </c>
      <c r="B1648">
        <v>3.02</v>
      </c>
    </row>
    <row r="1649" spans="1:2">
      <c r="A1649" s="1">
        <v>44769</v>
      </c>
      <c r="B1649">
        <v>2.96</v>
      </c>
    </row>
    <row r="1650" spans="1:2">
      <c r="A1650" s="1">
        <v>44770</v>
      </c>
      <c r="B1650">
        <v>2.85</v>
      </c>
    </row>
    <row r="1651" spans="1:2">
      <c r="A1651" s="1">
        <v>44771</v>
      </c>
      <c r="B1651">
        <v>2.89</v>
      </c>
    </row>
    <row r="1652" spans="1:2">
      <c r="A1652" s="1">
        <v>44774</v>
      </c>
      <c r="B1652">
        <v>2.9</v>
      </c>
    </row>
    <row r="1653" spans="1:2">
      <c r="A1653" s="1">
        <v>44775</v>
      </c>
      <c r="B1653">
        <v>3.06</v>
      </c>
    </row>
    <row r="1654" spans="1:2">
      <c r="A1654" s="1">
        <v>44776</v>
      </c>
      <c r="B1654">
        <v>3.1</v>
      </c>
    </row>
    <row r="1655" spans="1:2">
      <c r="A1655" s="1">
        <v>44777</v>
      </c>
      <c r="B1655">
        <v>3.03</v>
      </c>
    </row>
    <row r="1656" spans="1:2">
      <c r="A1656" s="1">
        <v>44778</v>
      </c>
      <c r="B1656">
        <v>3.24</v>
      </c>
    </row>
    <row r="1657" spans="1:2">
      <c r="A1657" s="1">
        <v>44781</v>
      </c>
      <c r="B1657">
        <v>3.21</v>
      </c>
    </row>
    <row r="1658" spans="1:2">
      <c r="A1658" s="1">
        <v>44782</v>
      </c>
      <c r="B1658">
        <v>3.28</v>
      </c>
    </row>
    <row r="1659" spans="1:2">
      <c r="A1659" s="1">
        <v>44783</v>
      </c>
      <c r="B1659">
        <v>3.23</v>
      </c>
    </row>
    <row r="1660" spans="1:2">
      <c r="A1660" s="1">
        <v>44784</v>
      </c>
      <c r="B1660">
        <v>3.23</v>
      </c>
    </row>
    <row r="1661" spans="1:2">
      <c r="A1661" s="1">
        <v>44785</v>
      </c>
      <c r="B1661">
        <v>3.25</v>
      </c>
    </row>
    <row r="1662" spans="1:2">
      <c r="A1662" s="1">
        <v>44788</v>
      </c>
      <c r="B1662">
        <v>3.2</v>
      </c>
    </row>
    <row r="1663" spans="1:2">
      <c r="A1663" s="1">
        <v>44789</v>
      </c>
      <c r="B1663">
        <v>3.25</v>
      </c>
    </row>
    <row r="1664" spans="1:2">
      <c r="A1664" s="1">
        <v>44790</v>
      </c>
      <c r="B1664">
        <v>3.28</v>
      </c>
    </row>
    <row r="1665" spans="1:2">
      <c r="A1665" s="1">
        <v>44791</v>
      </c>
      <c r="B1665">
        <v>3.22</v>
      </c>
    </row>
    <row r="1666" spans="1:2">
      <c r="A1666" s="1">
        <v>44792</v>
      </c>
      <c r="B1666">
        <v>3.25</v>
      </c>
    </row>
    <row r="1667" spans="1:2">
      <c r="A1667" s="1">
        <v>44795</v>
      </c>
      <c r="B1667">
        <v>3.32</v>
      </c>
    </row>
    <row r="1668" spans="1:2">
      <c r="A1668" s="1">
        <v>44796</v>
      </c>
      <c r="B1668">
        <v>3.29</v>
      </c>
    </row>
    <row r="1669" spans="1:2">
      <c r="A1669" s="1">
        <v>44797</v>
      </c>
      <c r="B1669">
        <v>3.36</v>
      </c>
    </row>
    <row r="1670" spans="1:2">
      <c r="A1670" s="1">
        <v>44798</v>
      </c>
      <c r="B1670">
        <v>3.35</v>
      </c>
    </row>
    <row r="1671" spans="1:2">
      <c r="A1671" s="1">
        <v>44799</v>
      </c>
      <c r="B1671">
        <v>3.37</v>
      </c>
    </row>
    <row r="1672" spans="1:2">
      <c r="A1672" s="1">
        <v>44802</v>
      </c>
      <c r="B1672">
        <v>3.42</v>
      </c>
    </row>
    <row r="1673" spans="1:2">
      <c r="A1673" s="1">
        <v>44803</v>
      </c>
      <c r="B1673">
        <v>3.46</v>
      </c>
    </row>
    <row r="1674" spans="1:2">
      <c r="A1674" s="1">
        <v>44804</v>
      </c>
      <c r="B1674">
        <v>3.45</v>
      </c>
    </row>
    <row r="1675" spans="1:2">
      <c r="A1675" s="1">
        <v>44805</v>
      </c>
      <c r="B1675">
        <v>3.51</v>
      </c>
    </row>
    <row r="1676" spans="1:2">
      <c r="A1676" s="1">
        <v>44806</v>
      </c>
      <c r="B1676">
        <v>3.4</v>
      </c>
    </row>
    <row r="1677" spans="1:2">
      <c r="A1677" s="1">
        <v>44809</v>
      </c>
    </row>
    <row r="1678" spans="1:2">
      <c r="A1678" s="1">
        <v>44810</v>
      </c>
      <c r="B1678">
        <v>3.5</v>
      </c>
    </row>
    <row r="1679" spans="1:2">
      <c r="A1679" s="1">
        <v>44811</v>
      </c>
      <c r="B1679">
        <v>3.45</v>
      </c>
    </row>
    <row r="1680" spans="1:2">
      <c r="A1680" s="1">
        <v>44812</v>
      </c>
      <c r="B1680">
        <v>3.48</v>
      </c>
    </row>
    <row r="1681" spans="1:2">
      <c r="A1681" s="1">
        <v>44813</v>
      </c>
      <c r="B1681">
        <v>3.56</v>
      </c>
    </row>
    <row r="1682" spans="1:2">
      <c r="A1682" s="1">
        <v>44816</v>
      </c>
      <c r="B1682">
        <v>3.58</v>
      </c>
    </row>
    <row r="1683" spans="1:2">
      <c r="A1683" s="1">
        <v>44817</v>
      </c>
      <c r="B1683">
        <v>3.75</v>
      </c>
    </row>
    <row r="1684" spans="1:2">
      <c r="A1684" s="1">
        <v>44818</v>
      </c>
      <c r="B1684">
        <v>3.78</v>
      </c>
    </row>
    <row r="1685" spans="1:2">
      <c r="A1685" s="1">
        <v>44819</v>
      </c>
      <c r="B1685">
        <v>3.87</v>
      </c>
    </row>
    <row r="1686" spans="1:2">
      <c r="A1686" s="1">
        <v>44820</v>
      </c>
      <c r="B1686">
        <v>3.85</v>
      </c>
    </row>
    <row r="1687" spans="1:2">
      <c r="A1687" s="1">
        <v>44823</v>
      </c>
      <c r="B1687">
        <v>3.95</v>
      </c>
    </row>
    <row r="1688" spans="1:2">
      <c r="A1688" s="1">
        <v>44824</v>
      </c>
      <c r="B1688">
        <v>3.96</v>
      </c>
    </row>
    <row r="1689" spans="1:2">
      <c r="A1689" s="1">
        <v>44825</v>
      </c>
      <c r="B1689">
        <v>4.0199999999999996</v>
      </c>
    </row>
    <row r="1690" spans="1:2">
      <c r="A1690" s="1">
        <v>44826</v>
      </c>
      <c r="B1690">
        <v>4.1100000000000003</v>
      </c>
    </row>
    <row r="1691" spans="1:2">
      <c r="A1691" s="1">
        <v>44827</v>
      </c>
      <c r="B1691">
        <v>4.2</v>
      </c>
    </row>
    <row r="1692" spans="1:2">
      <c r="A1692" s="1">
        <v>44830</v>
      </c>
      <c r="B1692">
        <v>4.2699999999999996</v>
      </c>
    </row>
    <row r="1693" spans="1:2">
      <c r="A1693" s="1">
        <v>44831</v>
      </c>
      <c r="B1693">
        <v>4.3</v>
      </c>
    </row>
    <row r="1694" spans="1:2">
      <c r="A1694" s="1">
        <v>44832</v>
      </c>
      <c r="B1694">
        <v>4.07</v>
      </c>
    </row>
    <row r="1695" spans="1:2">
      <c r="A1695" s="1">
        <v>44833</v>
      </c>
      <c r="B1695">
        <v>4.16</v>
      </c>
    </row>
    <row r="1696" spans="1:2">
      <c r="A1696" s="1">
        <v>44834</v>
      </c>
      <c r="B1696">
        <v>4.22</v>
      </c>
    </row>
    <row r="1697" spans="1:2">
      <c r="A1697" s="1">
        <v>44837</v>
      </c>
      <c r="B1697">
        <v>4.12</v>
      </c>
    </row>
    <row r="1698" spans="1:2">
      <c r="A1698" s="1">
        <v>44838</v>
      </c>
      <c r="B1698">
        <v>4.0999999999999996</v>
      </c>
    </row>
    <row r="1699" spans="1:2">
      <c r="A1699" s="1">
        <v>44839</v>
      </c>
      <c r="B1699">
        <v>4.1500000000000004</v>
      </c>
    </row>
    <row r="1700" spans="1:2">
      <c r="A1700" s="1">
        <v>44840</v>
      </c>
      <c r="B1700">
        <v>4.2300000000000004</v>
      </c>
    </row>
    <row r="1701" spans="1:2">
      <c r="A1701" s="1">
        <v>44841</v>
      </c>
      <c r="B1701">
        <v>4.3</v>
      </c>
    </row>
    <row r="1702" spans="1:2">
      <c r="A1702" s="1">
        <v>44844</v>
      </c>
    </row>
    <row r="1703" spans="1:2">
      <c r="A1703" s="1">
        <v>44845</v>
      </c>
      <c r="B1703">
        <v>4.3</v>
      </c>
    </row>
    <row r="1704" spans="1:2">
      <c r="A1704" s="1">
        <v>44846</v>
      </c>
      <c r="B1704">
        <v>4.28</v>
      </c>
    </row>
    <row r="1705" spans="1:2">
      <c r="A1705" s="1">
        <v>44847</v>
      </c>
      <c r="B1705">
        <v>4.47</v>
      </c>
    </row>
    <row r="1706" spans="1:2">
      <c r="A1706" s="1">
        <v>44848</v>
      </c>
      <c r="B1706">
        <v>4.4800000000000004</v>
      </c>
    </row>
    <row r="1707" spans="1:2">
      <c r="A1707" s="1">
        <v>44851</v>
      </c>
      <c r="B1707">
        <v>4.45</v>
      </c>
    </row>
    <row r="1708" spans="1:2">
      <c r="A1708" s="1">
        <v>44852</v>
      </c>
      <c r="B1708">
        <v>4.43</v>
      </c>
    </row>
    <row r="1709" spans="1:2">
      <c r="A1709" s="1">
        <v>44853</v>
      </c>
      <c r="B1709">
        <v>4.55</v>
      </c>
    </row>
    <row r="1710" spans="1:2">
      <c r="A1710" s="1">
        <v>44854</v>
      </c>
      <c r="B1710">
        <v>4.62</v>
      </c>
    </row>
    <row r="1711" spans="1:2">
      <c r="A1711" s="1">
        <v>44855</v>
      </c>
      <c r="B1711">
        <v>4.49</v>
      </c>
    </row>
    <row r="1712" spans="1:2">
      <c r="A1712" s="1">
        <v>44858</v>
      </c>
      <c r="B1712">
        <v>4.5</v>
      </c>
    </row>
    <row r="1713" spans="1:2">
      <c r="A1713" s="1">
        <v>44859</v>
      </c>
      <c r="B1713">
        <v>4.42</v>
      </c>
    </row>
    <row r="1714" spans="1:2">
      <c r="A1714" s="1">
        <v>44860</v>
      </c>
      <c r="B1714">
        <v>4.3899999999999997</v>
      </c>
    </row>
    <row r="1715" spans="1:2">
      <c r="A1715" s="1">
        <v>44861</v>
      </c>
      <c r="B1715">
        <v>4.3</v>
      </c>
    </row>
    <row r="1716" spans="1:2">
      <c r="A1716" s="1">
        <v>44862</v>
      </c>
      <c r="B1716">
        <v>4.41</v>
      </c>
    </row>
    <row r="1717" spans="1:2">
      <c r="A1717" s="1">
        <v>44865</v>
      </c>
      <c r="B1717">
        <v>4.51</v>
      </c>
    </row>
    <row r="1718" spans="1:2">
      <c r="A1718" s="1">
        <v>44866</v>
      </c>
      <c r="B1718">
        <v>4.54</v>
      </c>
    </row>
    <row r="1719" spans="1:2">
      <c r="A1719" s="1">
        <v>44867</v>
      </c>
      <c r="B1719">
        <v>4.6100000000000003</v>
      </c>
    </row>
    <row r="1720" spans="1:2">
      <c r="A1720" s="1">
        <v>44868</v>
      </c>
      <c r="B1720">
        <v>4.71</v>
      </c>
    </row>
    <row r="1721" spans="1:2">
      <c r="A1721" s="1">
        <v>44869</v>
      </c>
      <c r="B1721">
        <v>4.66</v>
      </c>
    </row>
    <row r="1722" spans="1:2">
      <c r="A1722" s="1">
        <v>44872</v>
      </c>
      <c r="B1722">
        <v>4.72</v>
      </c>
    </row>
    <row r="1723" spans="1:2">
      <c r="A1723" s="1">
        <v>44873</v>
      </c>
      <c r="B1723">
        <v>4.67</v>
      </c>
    </row>
    <row r="1724" spans="1:2">
      <c r="A1724" s="1">
        <v>44874</v>
      </c>
      <c r="B1724">
        <v>4.6100000000000003</v>
      </c>
    </row>
    <row r="1725" spans="1:2">
      <c r="A1725" s="1">
        <v>44875</v>
      </c>
      <c r="B1725">
        <v>4.34</v>
      </c>
    </row>
    <row r="1726" spans="1:2">
      <c r="A1726" s="1">
        <v>44876</v>
      </c>
    </row>
    <row r="1727" spans="1:2">
      <c r="A1727" s="1">
        <v>44879</v>
      </c>
      <c r="B1727">
        <v>4.4000000000000004</v>
      </c>
    </row>
    <row r="1728" spans="1:2">
      <c r="A1728" s="1">
        <v>44880</v>
      </c>
      <c r="B1728">
        <v>4.37</v>
      </c>
    </row>
    <row r="1729" spans="1:2">
      <c r="A1729" s="1">
        <v>44881</v>
      </c>
      <c r="B1729">
        <v>4.3499999999999996</v>
      </c>
    </row>
    <row r="1730" spans="1:2">
      <c r="A1730" s="1">
        <v>44882</v>
      </c>
      <c r="B1730">
        <v>4.43</v>
      </c>
    </row>
    <row r="1731" spans="1:2">
      <c r="A1731" s="1">
        <v>44883</v>
      </c>
      <c r="B1731">
        <v>4.51</v>
      </c>
    </row>
    <row r="1732" spans="1:2">
      <c r="A1732" s="1">
        <v>44886</v>
      </c>
      <c r="B1732">
        <v>4.4800000000000004</v>
      </c>
    </row>
    <row r="1733" spans="1:2">
      <c r="A1733" s="1">
        <v>44887</v>
      </c>
      <c r="B1733">
        <v>4.47</v>
      </c>
    </row>
    <row r="1734" spans="1:2">
      <c r="A1734" s="1">
        <v>44888</v>
      </c>
      <c r="B1734">
        <v>4.46</v>
      </c>
    </row>
    <row r="1735" spans="1:2">
      <c r="A1735" s="1">
        <v>44889</v>
      </c>
    </row>
    <row r="1736" spans="1:2">
      <c r="A1736" s="1">
        <v>44890</v>
      </c>
      <c r="B1736">
        <v>4.42</v>
      </c>
    </row>
    <row r="1737" spans="1:2">
      <c r="A1737" s="1">
        <v>44893</v>
      </c>
      <c r="B1737">
        <v>4.46</v>
      </c>
    </row>
    <row r="1738" spans="1:2">
      <c r="A1738" s="1">
        <v>44894</v>
      </c>
      <c r="B1738">
        <v>4.4800000000000004</v>
      </c>
    </row>
    <row r="1739" spans="1:2">
      <c r="A1739" s="1">
        <v>44895</v>
      </c>
      <c r="B1739">
        <v>4.38</v>
      </c>
    </row>
    <row r="1740" spans="1:2">
      <c r="A1740" s="1">
        <v>44896</v>
      </c>
      <c r="B1740">
        <v>4.25</v>
      </c>
    </row>
    <row r="1741" spans="1:2">
      <c r="A1741" s="1">
        <v>44897</v>
      </c>
      <c r="B1741">
        <v>4.28</v>
      </c>
    </row>
    <row r="1742" spans="1:2">
      <c r="A1742" s="1">
        <v>44900</v>
      </c>
      <c r="B1742">
        <v>4.41</v>
      </c>
    </row>
    <row r="1743" spans="1:2">
      <c r="A1743" s="1">
        <v>44901</v>
      </c>
      <c r="B1743">
        <v>4.34</v>
      </c>
    </row>
    <row r="1744" spans="1:2">
      <c r="A1744" s="1">
        <v>44902</v>
      </c>
      <c r="B1744">
        <v>4.26</v>
      </c>
    </row>
    <row r="1745" spans="1:2">
      <c r="A1745" s="1">
        <v>44903</v>
      </c>
      <c r="B1745">
        <v>4.3099999999999996</v>
      </c>
    </row>
    <row r="1746" spans="1:2">
      <c r="A1746" s="1">
        <v>44904</v>
      </c>
      <c r="B1746">
        <v>4.33</v>
      </c>
    </row>
    <row r="1747" spans="1:2">
      <c r="A1747" s="1">
        <v>44907</v>
      </c>
      <c r="B1747">
        <v>4.3899999999999997</v>
      </c>
    </row>
    <row r="1748" spans="1:2">
      <c r="A1748" s="1">
        <v>44908</v>
      </c>
      <c r="B1748">
        <v>4.22</v>
      </c>
    </row>
    <row r="1749" spans="1:2">
      <c r="A1749" s="1">
        <v>44909</v>
      </c>
      <c r="B1749">
        <v>4.2300000000000004</v>
      </c>
    </row>
    <row r="1750" spans="1:2">
      <c r="A1750" s="1">
        <v>44910</v>
      </c>
      <c r="B1750">
        <v>4.2300000000000004</v>
      </c>
    </row>
    <row r="1751" spans="1:2">
      <c r="A1751" s="1">
        <v>44911</v>
      </c>
      <c r="B1751">
        <v>4.17</v>
      </c>
    </row>
    <row r="1752" spans="1:2">
      <c r="A1752" s="1">
        <v>44914</v>
      </c>
      <c r="B1752">
        <v>4.25</v>
      </c>
    </row>
    <row r="1753" spans="1:2">
      <c r="A1753" s="1">
        <v>44915</v>
      </c>
      <c r="B1753">
        <v>4.25</v>
      </c>
    </row>
    <row r="1754" spans="1:2">
      <c r="A1754" s="1">
        <v>44916</v>
      </c>
      <c r="B1754">
        <v>4.21</v>
      </c>
    </row>
    <row r="1755" spans="1:2">
      <c r="A1755" s="1">
        <v>44917</v>
      </c>
      <c r="B1755">
        <v>4.24</v>
      </c>
    </row>
    <row r="1756" spans="1:2">
      <c r="A1756" s="1">
        <v>44918</v>
      </c>
      <c r="B1756">
        <v>4.3099999999999996</v>
      </c>
    </row>
    <row r="1757" spans="1:2">
      <c r="A1757" s="1">
        <v>44921</v>
      </c>
    </row>
    <row r="1758" spans="1:2">
      <c r="A1758" s="1">
        <v>44922</v>
      </c>
      <c r="B1758">
        <v>4.32</v>
      </c>
    </row>
    <row r="1759" spans="1:2">
      <c r="A1759" s="1">
        <v>44923</v>
      </c>
      <c r="B1759">
        <v>4.3099999999999996</v>
      </c>
    </row>
    <row r="1760" spans="1:2">
      <c r="A1760" s="1">
        <v>44924</v>
      </c>
      <c r="B1760">
        <v>4.34</v>
      </c>
    </row>
    <row r="1761" spans="1:2">
      <c r="A1761" s="1">
        <v>44925</v>
      </c>
      <c r="B1761">
        <v>4.41</v>
      </c>
    </row>
    <row r="1762" spans="1:2">
      <c r="A1762" s="1">
        <v>44928</v>
      </c>
    </row>
    <row r="1763" spans="1:2">
      <c r="A1763" s="1">
        <v>44929</v>
      </c>
      <c r="B1763">
        <v>4.4000000000000004</v>
      </c>
    </row>
    <row r="1764" spans="1:2">
      <c r="A1764" s="1">
        <v>44930</v>
      </c>
      <c r="B1764">
        <v>4.3600000000000003</v>
      </c>
    </row>
    <row r="1765" spans="1:2">
      <c r="A1765" s="1">
        <v>44931</v>
      </c>
      <c r="B1765">
        <v>4.45</v>
      </c>
    </row>
    <row r="1766" spans="1:2">
      <c r="A1766" s="1">
        <v>44932</v>
      </c>
      <c r="B1766">
        <v>4.24</v>
      </c>
    </row>
    <row r="1767" spans="1:2">
      <c r="A1767" s="1">
        <v>44935</v>
      </c>
      <c r="B1767">
        <v>4.1900000000000004</v>
      </c>
    </row>
    <row r="1768" spans="1:2">
      <c r="A1768" s="1">
        <v>44936</v>
      </c>
      <c r="B1768">
        <v>4.24</v>
      </c>
    </row>
    <row r="1769" spans="1:2">
      <c r="A1769" s="1">
        <v>44937</v>
      </c>
      <c r="B1769">
        <v>4.2</v>
      </c>
    </row>
    <row r="1770" spans="1:2">
      <c r="A1770" s="1">
        <v>44938</v>
      </c>
      <c r="B1770">
        <v>4.12</v>
      </c>
    </row>
    <row r="1771" spans="1:2">
      <c r="A1771" s="1">
        <v>44939</v>
      </c>
      <c r="B1771">
        <v>4.22</v>
      </c>
    </row>
    <row r="1772" spans="1:2">
      <c r="A1772" s="1">
        <v>44942</v>
      </c>
    </row>
    <row r="1773" spans="1:2">
      <c r="A1773" s="1">
        <v>44943</v>
      </c>
      <c r="B1773">
        <v>4.18</v>
      </c>
    </row>
    <row r="1774" spans="1:2">
      <c r="A1774" s="1">
        <v>44944</v>
      </c>
      <c r="B1774">
        <v>4.0599999999999996</v>
      </c>
    </row>
    <row r="1775" spans="1:2">
      <c r="A1775" s="1">
        <v>44945</v>
      </c>
      <c r="B1775">
        <v>4.09</v>
      </c>
    </row>
    <row r="1776" spans="1:2">
      <c r="A1776" s="1">
        <v>44946</v>
      </c>
      <c r="B1776">
        <v>4.1399999999999997</v>
      </c>
    </row>
    <row r="1777" spans="1:2">
      <c r="A1777" s="1">
        <v>44949</v>
      </c>
      <c r="B1777">
        <v>4.21</v>
      </c>
    </row>
    <row r="1778" spans="1:2">
      <c r="A1778" s="1">
        <v>44950</v>
      </c>
      <c r="B1778">
        <v>4.12</v>
      </c>
    </row>
    <row r="1779" spans="1:2">
      <c r="A1779" s="1">
        <v>44951</v>
      </c>
      <c r="B1779">
        <v>4.1100000000000003</v>
      </c>
    </row>
    <row r="1780" spans="1:2">
      <c r="A1780" s="1">
        <v>44952</v>
      </c>
      <c r="B1780">
        <v>4.17</v>
      </c>
    </row>
    <row r="1781" spans="1:2">
      <c r="A1781" s="1">
        <v>44953</v>
      </c>
      <c r="B1781">
        <v>4.1900000000000004</v>
      </c>
    </row>
    <row r="1782" spans="1:2">
      <c r="A1782" s="1">
        <v>44956</v>
      </c>
      <c r="B1782">
        <v>4.25</v>
      </c>
    </row>
    <row r="1783" spans="1:2">
      <c r="A1783" s="1">
        <v>44957</v>
      </c>
      <c r="B1783">
        <v>4.21</v>
      </c>
    </row>
    <row r="1784" spans="1:2">
      <c r="A1784" s="1">
        <v>44958</v>
      </c>
      <c r="B1784">
        <v>4.09</v>
      </c>
    </row>
    <row r="1785" spans="1:2">
      <c r="A1785" s="1">
        <v>44959</v>
      </c>
      <c r="B1785">
        <v>4.09</v>
      </c>
    </row>
    <row r="1786" spans="1:2">
      <c r="A1786" s="1">
        <v>44960</v>
      </c>
      <c r="B1786">
        <v>4.3</v>
      </c>
    </row>
    <row r="1787" spans="1:2">
      <c r="A1787" s="1">
        <v>44963</v>
      </c>
      <c r="B1787">
        <v>4.4400000000000004</v>
      </c>
    </row>
    <row r="1788" spans="1:2">
      <c r="A1788" s="1">
        <v>44964</v>
      </c>
      <c r="B1788">
        <v>4.47</v>
      </c>
    </row>
    <row r="1789" spans="1:2">
      <c r="A1789" s="1">
        <v>44965</v>
      </c>
      <c r="B1789">
        <v>4.45</v>
      </c>
    </row>
    <row r="1790" spans="1:2">
      <c r="A1790" s="1">
        <v>44966</v>
      </c>
      <c r="B1790">
        <v>4.4800000000000004</v>
      </c>
    </row>
    <row r="1791" spans="1:2">
      <c r="A1791" s="1">
        <v>44967</v>
      </c>
      <c r="B1791">
        <v>4.5</v>
      </c>
    </row>
    <row r="1792" spans="1:2">
      <c r="A1792" s="1">
        <v>44970</v>
      </c>
      <c r="B1792">
        <v>4.5199999999999996</v>
      </c>
    </row>
    <row r="1793" spans="1:2">
      <c r="A1793" s="1">
        <v>44971</v>
      </c>
      <c r="B1793">
        <v>4.5999999999999996</v>
      </c>
    </row>
    <row r="1794" spans="1:2">
      <c r="A1794" s="1">
        <v>44972</v>
      </c>
      <c r="B1794">
        <v>4.62</v>
      </c>
    </row>
    <row r="1795" spans="1:2">
      <c r="A1795" s="1">
        <v>44973</v>
      </c>
      <c r="B1795">
        <v>4.62</v>
      </c>
    </row>
    <row r="1796" spans="1:2">
      <c r="A1796" s="1">
        <v>44974</v>
      </c>
      <c r="B1796">
        <v>4.5999999999999996</v>
      </c>
    </row>
    <row r="1797" spans="1:2">
      <c r="A1797" s="1">
        <v>44977</v>
      </c>
    </row>
    <row r="1798" spans="1:2">
      <c r="A1798" s="1">
        <v>44978</v>
      </c>
      <c r="B1798">
        <v>4.67</v>
      </c>
    </row>
    <row r="1799" spans="1:2">
      <c r="A1799" s="1">
        <v>44979</v>
      </c>
      <c r="B1799">
        <v>4.66</v>
      </c>
    </row>
    <row r="1800" spans="1:2">
      <c r="A1800" s="1">
        <v>44980</v>
      </c>
      <c r="B1800">
        <v>4.66</v>
      </c>
    </row>
    <row r="1801" spans="1:2">
      <c r="A1801" s="1">
        <v>44981</v>
      </c>
      <c r="B1801">
        <v>4.78</v>
      </c>
    </row>
    <row r="1802" spans="1:2">
      <c r="A1802" s="1">
        <v>44984</v>
      </c>
      <c r="B1802">
        <v>4.78</v>
      </c>
    </row>
    <row r="1803" spans="1:2">
      <c r="A1803" s="1">
        <v>44985</v>
      </c>
      <c r="B1803">
        <v>4.8099999999999996</v>
      </c>
    </row>
    <row r="1804" spans="1:2">
      <c r="A1804" s="1">
        <v>44986</v>
      </c>
      <c r="B1804">
        <v>4.8899999999999997</v>
      </c>
    </row>
    <row r="1805" spans="1:2">
      <c r="A1805" s="1">
        <v>44987</v>
      </c>
      <c r="B1805">
        <v>4.8899999999999997</v>
      </c>
    </row>
    <row r="1806" spans="1:2">
      <c r="A1806" s="1">
        <v>44988</v>
      </c>
      <c r="B1806">
        <v>4.8600000000000003</v>
      </c>
    </row>
    <row r="1807" spans="1:2">
      <c r="A1807" s="1">
        <v>44991</v>
      </c>
      <c r="B1807">
        <v>4.8899999999999997</v>
      </c>
    </row>
    <row r="1808" spans="1:2">
      <c r="A1808" s="1">
        <v>44992</v>
      </c>
      <c r="B1808">
        <v>5</v>
      </c>
    </row>
    <row r="1809" spans="1:2">
      <c r="A1809" s="1">
        <v>44993</v>
      </c>
      <c r="B1809">
        <v>5.05</v>
      </c>
    </row>
    <row r="1810" spans="1:2">
      <c r="A1810" s="1">
        <v>44994</v>
      </c>
      <c r="B1810">
        <v>4.9000000000000004</v>
      </c>
    </row>
    <row r="1811" spans="1:2">
      <c r="A1811" s="1">
        <v>44995</v>
      </c>
      <c r="B1811">
        <v>4.5999999999999996</v>
      </c>
    </row>
    <row r="1812" spans="1:2">
      <c r="A1812" s="1">
        <v>44998</v>
      </c>
      <c r="B1812">
        <v>4.03</v>
      </c>
    </row>
    <row r="1813" spans="1:2">
      <c r="A1813" s="1">
        <v>44999</v>
      </c>
      <c r="B1813">
        <v>4.2</v>
      </c>
    </row>
    <row r="1814" spans="1:2">
      <c r="A1814" s="1">
        <v>45000</v>
      </c>
      <c r="B1814">
        <v>3.93</v>
      </c>
    </row>
    <row r="1815" spans="1:2">
      <c r="A1815" s="1">
        <v>45001</v>
      </c>
      <c r="B1815">
        <v>4.1399999999999997</v>
      </c>
    </row>
    <row r="1816" spans="1:2">
      <c r="A1816" s="1">
        <v>45002</v>
      </c>
      <c r="B1816">
        <v>3.81</v>
      </c>
    </row>
    <row r="1817" spans="1:2">
      <c r="A1817" s="1">
        <v>45005</v>
      </c>
      <c r="B1817">
        <v>3.92</v>
      </c>
    </row>
    <row r="1818" spans="1:2">
      <c r="A1818" s="1">
        <v>45006</v>
      </c>
      <c r="B1818">
        <v>4.17</v>
      </c>
    </row>
    <row r="1819" spans="1:2">
      <c r="A1819" s="1">
        <v>45007</v>
      </c>
      <c r="B1819">
        <v>3.96</v>
      </c>
    </row>
    <row r="1820" spans="1:2">
      <c r="A1820" s="1">
        <v>45008</v>
      </c>
      <c r="B1820">
        <v>3.76</v>
      </c>
    </row>
    <row r="1821" spans="1:2">
      <c r="A1821" s="1">
        <v>45009</v>
      </c>
      <c r="B1821">
        <v>3.76</v>
      </c>
    </row>
    <row r="1822" spans="1:2">
      <c r="A1822" s="1">
        <v>45012</v>
      </c>
      <c r="B1822">
        <v>3.94</v>
      </c>
    </row>
    <row r="1823" spans="1:2">
      <c r="A1823" s="1">
        <v>45013</v>
      </c>
      <c r="B1823">
        <v>4.0199999999999996</v>
      </c>
    </row>
    <row r="1824" spans="1:2">
      <c r="A1824" s="1">
        <v>45014</v>
      </c>
      <c r="B1824">
        <v>4.08</v>
      </c>
    </row>
    <row r="1825" spans="1:2">
      <c r="A1825" s="1">
        <v>45015</v>
      </c>
      <c r="B1825">
        <v>4.0999999999999996</v>
      </c>
    </row>
    <row r="1826" spans="1:2">
      <c r="A1826" s="1">
        <v>45016</v>
      </c>
      <c r="B1826">
        <v>4.0599999999999996</v>
      </c>
    </row>
    <row r="1827" spans="1:2">
      <c r="A1827" s="1">
        <v>45019</v>
      </c>
      <c r="B1827">
        <v>3.97</v>
      </c>
    </row>
    <row r="1828" spans="1:2">
      <c r="A1828" s="1">
        <v>45020</v>
      </c>
      <c r="B1828">
        <v>3.84</v>
      </c>
    </row>
    <row r="1829" spans="1:2">
      <c r="A1829" s="1">
        <v>45021</v>
      </c>
      <c r="B1829">
        <v>3.79</v>
      </c>
    </row>
    <row r="1830" spans="1:2">
      <c r="A1830" s="1">
        <v>45022</v>
      </c>
      <c r="B1830">
        <v>3.82</v>
      </c>
    </row>
    <row r="1831" spans="1:2">
      <c r="A1831" s="1">
        <v>45023</v>
      </c>
      <c r="B1831">
        <v>3.97</v>
      </c>
    </row>
    <row r="1832" spans="1:2">
      <c r="A1832" s="1">
        <v>45026</v>
      </c>
      <c r="B1832">
        <v>4</v>
      </c>
    </row>
    <row r="1833" spans="1:2">
      <c r="A1833" s="1">
        <v>45027</v>
      </c>
      <c r="B1833">
        <v>4.03</v>
      </c>
    </row>
    <row r="1834" spans="1:2">
      <c r="A1834" s="1">
        <v>45028</v>
      </c>
      <c r="B1834">
        <v>3.95</v>
      </c>
    </row>
    <row r="1835" spans="1:2">
      <c r="A1835" s="1">
        <v>45029</v>
      </c>
      <c r="B1835">
        <v>3.96</v>
      </c>
    </row>
    <row r="1836" spans="1:2">
      <c r="A1836" s="1">
        <v>45030</v>
      </c>
      <c r="B1836">
        <v>4.08</v>
      </c>
    </row>
    <row r="1837" spans="1:2">
      <c r="A1837" s="1">
        <v>45033</v>
      </c>
      <c r="B1837">
        <v>4.18</v>
      </c>
    </row>
    <row r="1838" spans="1:2">
      <c r="A1838" s="1">
        <v>45034</v>
      </c>
      <c r="B1838">
        <v>4.1900000000000004</v>
      </c>
    </row>
    <row r="1839" spans="1:2">
      <c r="A1839" s="1">
        <v>45035</v>
      </c>
      <c r="B1839">
        <v>4.24</v>
      </c>
    </row>
    <row r="1840" spans="1:2">
      <c r="A1840" s="1">
        <v>45036</v>
      </c>
      <c r="B1840">
        <v>4.1399999999999997</v>
      </c>
    </row>
    <row r="1841" spans="1:2">
      <c r="A1841" s="1">
        <v>45037</v>
      </c>
      <c r="B1841">
        <v>4.17</v>
      </c>
    </row>
    <row r="1842" spans="1:2">
      <c r="A1842" s="1">
        <v>45040</v>
      </c>
      <c r="B1842">
        <v>4.12</v>
      </c>
    </row>
    <row r="1843" spans="1:2">
      <c r="A1843" s="1">
        <v>45041</v>
      </c>
      <c r="B1843">
        <v>3.86</v>
      </c>
    </row>
    <row r="1844" spans="1:2">
      <c r="A1844" s="1">
        <v>45042</v>
      </c>
      <c r="B1844">
        <v>3.9</v>
      </c>
    </row>
    <row r="1845" spans="1:2">
      <c r="A1845" s="1">
        <v>45043</v>
      </c>
      <c r="B1845">
        <v>4.07</v>
      </c>
    </row>
    <row r="1846" spans="1:2">
      <c r="A1846" s="1">
        <v>45044</v>
      </c>
      <c r="B1846">
        <v>4.04</v>
      </c>
    </row>
    <row r="1847" spans="1:2">
      <c r="A1847" s="1">
        <v>45047</v>
      </c>
      <c r="B1847">
        <v>4.1399999999999997</v>
      </c>
    </row>
    <row r="1848" spans="1:2">
      <c r="A1848" s="1">
        <v>45048</v>
      </c>
      <c r="B1848">
        <v>3.97</v>
      </c>
    </row>
    <row r="1849" spans="1:2">
      <c r="A1849" s="1">
        <v>45049</v>
      </c>
      <c r="B1849">
        <v>3.89</v>
      </c>
    </row>
    <row r="1850" spans="1:2">
      <c r="A1850" s="1">
        <v>45050</v>
      </c>
      <c r="B1850">
        <v>3.75</v>
      </c>
    </row>
    <row r="1851" spans="1:2">
      <c r="A1851" s="1">
        <v>45051</v>
      </c>
      <c r="B1851">
        <v>3.92</v>
      </c>
    </row>
    <row r="1852" spans="1:2">
      <c r="A1852" s="1">
        <v>45054</v>
      </c>
      <c r="B1852">
        <v>4</v>
      </c>
    </row>
    <row r="1853" spans="1:2">
      <c r="A1853" s="1">
        <v>45055</v>
      </c>
      <c r="B1853">
        <v>4.01</v>
      </c>
    </row>
    <row r="1854" spans="1:2">
      <c r="A1854" s="1">
        <v>45056</v>
      </c>
      <c r="B1854">
        <v>3.9</v>
      </c>
    </row>
    <row r="1855" spans="1:2">
      <c r="A1855" s="1">
        <v>45057</v>
      </c>
      <c r="B1855">
        <v>3.89</v>
      </c>
    </row>
    <row r="1856" spans="1:2">
      <c r="A1856" s="1">
        <v>45058</v>
      </c>
      <c r="B1856">
        <v>3.98</v>
      </c>
    </row>
    <row r="1857" spans="1:2">
      <c r="A1857" s="1">
        <v>45061</v>
      </c>
      <c r="B1857">
        <v>3.99</v>
      </c>
    </row>
    <row r="1858" spans="1:2">
      <c r="A1858" s="1">
        <v>45062</v>
      </c>
      <c r="B1858">
        <v>4.0599999999999996</v>
      </c>
    </row>
    <row r="1859" spans="1:2">
      <c r="A1859" s="1">
        <v>45063</v>
      </c>
      <c r="B1859">
        <v>4.12</v>
      </c>
    </row>
    <row r="1860" spans="1:2">
      <c r="A1860" s="1">
        <v>45064</v>
      </c>
      <c r="B1860">
        <v>4.24</v>
      </c>
    </row>
    <row r="1861" spans="1:2">
      <c r="A1861" s="1">
        <v>45065</v>
      </c>
      <c r="B1861">
        <v>4.28</v>
      </c>
    </row>
    <row r="1862" spans="1:2">
      <c r="A1862" s="1">
        <v>45068</v>
      </c>
      <c r="B1862">
        <v>4.29</v>
      </c>
    </row>
    <row r="1863" spans="1:2">
      <c r="A1863" s="1">
        <v>45069</v>
      </c>
      <c r="B1863">
        <v>4.26</v>
      </c>
    </row>
    <row r="1864" spans="1:2">
      <c r="A1864" s="1">
        <v>45070</v>
      </c>
      <c r="B1864">
        <v>4.3099999999999996</v>
      </c>
    </row>
    <row r="1865" spans="1:2">
      <c r="A1865" s="1">
        <v>45071</v>
      </c>
      <c r="B1865">
        <v>4.5</v>
      </c>
    </row>
    <row r="1866" spans="1:2">
      <c r="A1866" s="1">
        <v>45072</v>
      </c>
      <c r="B1866">
        <v>4.54</v>
      </c>
    </row>
    <row r="1867" spans="1:2">
      <c r="A1867" s="1">
        <v>45075</v>
      </c>
    </row>
    <row r="1868" spans="1:2">
      <c r="A1868" s="1">
        <v>45076</v>
      </c>
      <c r="B1868">
        <v>4.46</v>
      </c>
    </row>
    <row r="1869" spans="1:2">
      <c r="A1869" s="1">
        <v>45077</v>
      </c>
      <c r="B1869">
        <v>4.4000000000000004</v>
      </c>
    </row>
    <row r="1870" spans="1:2">
      <c r="A1870" s="1">
        <v>45078</v>
      </c>
      <c r="B1870">
        <v>4.33</v>
      </c>
    </row>
    <row r="1871" spans="1:2">
      <c r="A1871" s="1">
        <v>45079</v>
      </c>
      <c r="B1871">
        <v>4.5</v>
      </c>
    </row>
    <row r="1872" spans="1:2">
      <c r="A1872" s="1">
        <v>45082</v>
      </c>
      <c r="B1872">
        <v>4.46</v>
      </c>
    </row>
    <row r="1873" spans="1:2">
      <c r="A1873" s="1">
        <v>45083</v>
      </c>
      <c r="B1873">
        <v>4.51</v>
      </c>
    </row>
    <row r="1874" spans="1:2">
      <c r="A1874" s="1">
        <v>45084</v>
      </c>
      <c r="B1874">
        <v>4.5599999999999996</v>
      </c>
    </row>
    <row r="1875" spans="1:2">
      <c r="A1875" s="1">
        <v>45085</v>
      </c>
      <c r="B1875">
        <v>4.5199999999999996</v>
      </c>
    </row>
    <row r="1876" spans="1:2">
      <c r="A1876" s="1">
        <v>45086</v>
      </c>
      <c r="B1876">
        <v>4.59</v>
      </c>
    </row>
    <row r="1877" spans="1:2">
      <c r="A1877" s="1">
        <v>45089</v>
      </c>
      <c r="B1877">
        <v>4.55</v>
      </c>
    </row>
    <row r="1878" spans="1:2">
      <c r="A1878" s="1">
        <v>45090</v>
      </c>
      <c r="B1878">
        <v>4.67</v>
      </c>
    </row>
    <row r="1879" spans="1:2">
      <c r="A1879" s="1">
        <v>45091</v>
      </c>
      <c r="B1879">
        <v>4.74</v>
      </c>
    </row>
    <row r="1880" spans="1:2">
      <c r="A1880" s="1">
        <v>45092</v>
      </c>
      <c r="B1880">
        <v>4.62</v>
      </c>
    </row>
    <row r="1881" spans="1:2">
      <c r="A1881" s="1">
        <v>45093</v>
      </c>
      <c r="B1881">
        <v>4.7</v>
      </c>
    </row>
    <row r="1882" spans="1:2">
      <c r="A1882" s="1">
        <v>45096</v>
      </c>
    </row>
    <row r="1883" spans="1:2">
      <c r="A1883" s="1">
        <v>45097</v>
      </c>
      <c r="B1883">
        <v>4.68</v>
      </c>
    </row>
    <row r="1884" spans="1:2">
      <c r="A1884" s="1">
        <v>45098</v>
      </c>
      <c r="B1884">
        <v>4.68</v>
      </c>
    </row>
    <row r="1885" spans="1:2">
      <c r="A1885" s="1">
        <v>45099</v>
      </c>
      <c r="B1885">
        <v>4.7699999999999996</v>
      </c>
    </row>
    <row r="1886" spans="1:2">
      <c r="A1886" s="1">
        <v>45100</v>
      </c>
      <c r="B1886">
        <v>4.71</v>
      </c>
    </row>
    <row r="1887" spans="1:2">
      <c r="A1887" s="1">
        <v>45103</v>
      </c>
      <c r="B1887">
        <v>4.6500000000000004</v>
      </c>
    </row>
    <row r="1888" spans="1:2">
      <c r="A1888" s="1">
        <v>45104</v>
      </c>
      <c r="B1888">
        <v>4.74</v>
      </c>
    </row>
    <row r="1889" spans="1:2">
      <c r="A1889" s="1">
        <v>45105</v>
      </c>
      <c r="B1889">
        <v>4.71</v>
      </c>
    </row>
    <row r="1890" spans="1:2">
      <c r="A1890" s="1">
        <v>45106</v>
      </c>
      <c r="B1890">
        <v>4.87</v>
      </c>
    </row>
    <row r="1891" spans="1:2">
      <c r="A1891" s="1">
        <v>45107</v>
      </c>
      <c r="B1891">
        <v>4.87</v>
      </c>
    </row>
    <row r="1892" spans="1:2">
      <c r="A1892" s="1">
        <v>45110</v>
      </c>
      <c r="B1892">
        <v>4.9400000000000004</v>
      </c>
    </row>
    <row r="1893" spans="1:2">
      <c r="A1893" s="1">
        <v>45111</v>
      </c>
    </row>
    <row r="1894" spans="1:2">
      <c r="A1894" s="1">
        <v>45112</v>
      </c>
      <c r="B1894">
        <v>4.9400000000000004</v>
      </c>
    </row>
    <row r="1895" spans="1:2">
      <c r="A1895" s="1">
        <v>45113</v>
      </c>
      <c r="B1895">
        <v>4.99</v>
      </c>
    </row>
    <row r="1896" spans="1:2">
      <c r="A1896" s="1">
        <v>45114</v>
      </c>
      <c r="B1896">
        <v>4.9400000000000004</v>
      </c>
    </row>
    <row r="1897" spans="1:2">
      <c r="A1897" s="1">
        <v>45117</v>
      </c>
      <c r="B1897">
        <v>4.8499999999999996</v>
      </c>
    </row>
    <row r="1898" spans="1:2">
      <c r="A1898" s="1">
        <v>45118</v>
      </c>
      <c r="B1898">
        <v>4.88</v>
      </c>
    </row>
    <row r="1899" spans="1:2">
      <c r="A1899" s="1">
        <v>45119</v>
      </c>
      <c r="B1899">
        <v>4.72</v>
      </c>
    </row>
    <row r="1900" spans="1:2">
      <c r="A1900" s="1">
        <v>45120</v>
      </c>
      <c r="B1900">
        <v>4.59</v>
      </c>
    </row>
    <row r="1901" spans="1:2">
      <c r="A1901" s="1">
        <v>45121</v>
      </c>
      <c r="B1901">
        <v>4.74</v>
      </c>
    </row>
    <row r="1902" spans="1:2">
      <c r="A1902" s="1">
        <v>45124</v>
      </c>
      <c r="B1902">
        <v>4.74</v>
      </c>
    </row>
    <row r="1903" spans="1:2">
      <c r="A1903" s="1">
        <v>45125</v>
      </c>
      <c r="B1903">
        <v>4.74</v>
      </c>
    </row>
    <row r="1904" spans="1:2">
      <c r="A1904" s="1">
        <v>45126</v>
      </c>
      <c r="B1904">
        <v>4.74</v>
      </c>
    </row>
    <row r="1905" spans="1:2">
      <c r="A1905" s="1">
        <v>45127</v>
      </c>
      <c r="B1905">
        <v>4.8</v>
      </c>
    </row>
    <row r="1906" spans="1:2">
      <c r="A1906" s="1">
        <v>45128</v>
      </c>
      <c r="B1906">
        <v>4.82</v>
      </c>
    </row>
    <row r="1907" spans="1:2">
      <c r="A1907" s="1">
        <v>45131</v>
      </c>
      <c r="B1907">
        <v>4.8099999999999996</v>
      </c>
    </row>
    <row r="1908" spans="1:2">
      <c r="A1908" s="1">
        <v>45132</v>
      </c>
      <c r="B1908">
        <v>4.8499999999999996</v>
      </c>
    </row>
    <row r="1909" spans="1:2">
      <c r="A1909" s="1">
        <v>45133</v>
      </c>
      <c r="B1909">
        <v>4.82</v>
      </c>
    </row>
    <row r="1910" spans="1:2">
      <c r="A1910" s="1">
        <v>45134</v>
      </c>
      <c r="B1910">
        <v>4.91</v>
      </c>
    </row>
    <row r="1911" spans="1:2">
      <c r="A1911" s="1">
        <v>45135</v>
      </c>
      <c r="B1911">
        <v>4.87</v>
      </c>
    </row>
    <row r="1912" spans="1:2">
      <c r="A1912" s="1">
        <v>45138</v>
      </c>
      <c r="B1912">
        <v>4.88</v>
      </c>
    </row>
    <row r="1913" spans="1:2">
      <c r="A1913" s="1">
        <v>45139</v>
      </c>
      <c r="B1913">
        <v>4.92</v>
      </c>
    </row>
    <row r="1914" spans="1:2">
      <c r="A1914" s="1">
        <v>45140</v>
      </c>
      <c r="B1914">
        <v>4.88</v>
      </c>
    </row>
    <row r="1915" spans="1:2">
      <c r="A1915" s="1">
        <v>45141</v>
      </c>
      <c r="B1915">
        <v>4.9000000000000004</v>
      </c>
    </row>
    <row r="1916" spans="1:2">
      <c r="A1916" s="1">
        <v>45142</v>
      </c>
      <c r="B1916">
        <v>4.78</v>
      </c>
    </row>
    <row r="1917" spans="1:2">
      <c r="A1917" s="1">
        <v>45145</v>
      </c>
      <c r="B1917">
        <v>4.76</v>
      </c>
    </row>
    <row r="1918" spans="1:2">
      <c r="A1918" s="1">
        <v>45146</v>
      </c>
      <c r="B1918">
        <v>4.74</v>
      </c>
    </row>
    <row r="1919" spans="1:2">
      <c r="A1919" s="1">
        <v>45147</v>
      </c>
      <c r="B1919">
        <v>4.79</v>
      </c>
    </row>
    <row r="1920" spans="1:2">
      <c r="A1920" s="1">
        <v>45148</v>
      </c>
      <c r="B1920">
        <v>4.82</v>
      </c>
    </row>
    <row r="1921" spans="1:2">
      <c r="A1921" s="1">
        <v>45149</v>
      </c>
      <c r="B1921">
        <v>4.8899999999999997</v>
      </c>
    </row>
    <row r="1922" spans="1:2">
      <c r="A1922" s="1">
        <v>45152</v>
      </c>
      <c r="B1922">
        <v>4.96</v>
      </c>
    </row>
    <row r="1923" spans="1:2">
      <c r="A1923" s="1">
        <v>45153</v>
      </c>
      <c r="B1923">
        <v>4.92</v>
      </c>
    </row>
    <row r="1924" spans="1:2">
      <c r="A1924" s="1">
        <v>45154</v>
      </c>
      <c r="B1924">
        <v>4.97</v>
      </c>
    </row>
    <row r="1925" spans="1:2">
      <c r="A1925" s="1">
        <v>45155</v>
      </c>
      <c r="B1925">
        <v>4.9400000000000004</v>
      </c>
    </row>
    <row r="1926" spans="1:2">
      <c r="A1926" s="1">
        <v>45156</v>
      </c>
      <c r="B1926">
        <v>4.92</v>
      </c>
    </row>
    <row r="1927" spans="1:2">
      <c r="A1927" s="1">
        <v>45159</v>
      </c>
      <c r="B1927">
        <v>4.97</v>
      </c>
    </row>
    <row r="1928" spans="1:2">
      <c r="A1928" s="1">
        <v>45160</v>
      </c>
      <c r="B1928">
        <v>5.0199999999999996</v>
      </c>
    </row>
    <row r="1929" spans="1:2">
      <c r="A1929" s="1">
        <v>45161</v>
      </c>
      <c r="B1929">
        <v>4.95</v>
      </c>
    </row>
    <row r="1930" spans="1:2">
      <c r="A1930" s="1">
        <v>45162</v>
      </c>
      <c r="B1930">
        <v>4.9800000000000004</v>
      </c>
    </row>
    <row r="1931" spans="1:2">
      <c r="A1931" s="1">
        <v>45163</v>
      </c>
      <c r="B1931">
        <v>5.03</v>
      </c>
    </row>
    <row r="1932" spans="1:2">
      <c r="A1932" s="1">
        <v>45166</v>
      </c>
      <c r="B1932">
        <v>4.9800000000000004</v>
      </c>
    </row>
    <row r="1933" spans="1:2">
      <c r="A1933" s="1">
        <v>45167</v>
      </c>
      <c r="B1933">
        <v>4.87</v>
      </c>
    </row>
    <row r="1934" spans="1:2">
      <c r="A1934" s="1">
        <v>45168</v>
      </c>
      <c r="B1934">
        <v>4.9000000000000004</v>
      </c>
    </row>
    <row r="1935" spans="1:2">
      <c r="A1935" s="1">
        <v>45169</v>
      </c>
      <c r="B1935">
        <v>4.8499999999999996</v>
      </c>
    </row>
    <row r="1936" spans="1:2">
      <c r="A1936" s="1">
        <v>45170</v>
      </c>
      <c r="B1936">
        <v>4.87</v>
      </c>
    </row>
    <row r="1937" spans="1:2">
      <c r="A1937" s="1">
        <v>45173</v>
      </c>
    </row>
    <row r="1938" spans="1:2">
      <c r="A1938" s="1">
        <v>45174</v>
      </c>
      <c r="B1938">
        <v>4.9400000000000004</v>
      </c>
    </row>
    <row r="1939" spans="1:2">
      <c r="A1939" s="1">
        <v>45175</v>
      </c>
      <c r="B1939">
        <v>5.01</v>
      </c>
    </row>
    <row r="1940" spans="1:2">
      <c r="A1940" s="1">
        <v>45176</v>
      </c>
      <c r="B1940">
        <v>4.9400000000000004</v>
      </c>
    </row>
    <row r="1941" spans="1:2">
      <c r="A1941" s="1">
        <v>45177</v>
      </c>
      <c r="B1941">
        <v>4.9800000000000004</v>
      </c>
    </row>
    <row r="1942" spans="1:2">
      <c r="A1942" s="1">
        <v>45180</v>
      </c>
      <c r="B1942">
        <v>4.97</v>
      </c>
    </row>
    <row r="1943" spans="1:2">
      <c r="A1943" s="1">
        <v>45181</v>
      </c>
      <c r="B1943">
        <v>4.9800000000000004</v>
      </c>
    </row>
    <row r="1944" spans="1:2">
      <c r="A1944" s="1">
        <v>45182</v>
      </c>
      <c r="B1944">
        <v>4.96</v>
      </c>
    </row>
    <row r="1945" spans="1:2">
      <c r="A1945" s="1">
        <v>45183</v>
      </c>
      <c r="B1945">
        <v>5</v>
      </c>
    </row>
    <row r="1946" spans="1:2">
      <c r="A1946" s="1">
        <v>45184</v>
      </c>
      <c r="B1946">
        <v>5.0199999999999996</v>
      </c>
    </row>
    <row r="1947" spans="1:2">
      <c r="A1947" s="1">
        <v>45187</v>
      </c>
      <c r="B1947">
        <v>5.05</v>
      </c>
    </row>
    <row r="1948" spans="1:2">
      <c r="A1948" s="1">
        <v>45188</v>
      </c>
      <c r="B1948">
        <v>5.08</v>
      </c>
    </row>
    <row r="1949" spans="1:2">
      <c r="A1949" s="1">
        <v>45189</v>
      </c>
      <c r="B1949">
        <v>5.12</v>
      </c>
    </row>
    <row r="1950" spans="1:2">
      <c r="A1950" s="1">
        <v>45190</v>
      </c>
      <c r="B1950">
        <v>5.12</v>
      </c>
    </row>
    <row r="1951" spans="1:2">
      <c r="A1951" s="1">
        <v>45191</v>
      </c>
      <c r="B1951">
        <v>5.0999999999999996</v>
      </c>
    </row>
    <row r="1952" spans="1:2">
      <c r="A1952" s="1">
        <v>45194</v>
      </c>
      <c r="B1952">
        <v>5.09</v>
      </c>
    </row>
    <row r="1953" spans="1:2">
      <c r="A1953" s="1">
        <v>45195</v>
      </c>
      <c r="B1953">
        <v>5.04</v>
      </c>
    </row>
    <row r="1954" spans="1:2">
      <c r="A1954" s="1">
        <v>45196</v>
      </c>
      <c r="B1954">
        <v>5.0999999999999996</v>
      </c>
    </row>
    <row r="1955" spans="1:2">
      <c r="A1955" s="1">
        <v>45197</v>
      </c>
      <c r="B1955">
        <v>5.04</v>
      </c>
    </row>
    <row r="1956" spans="1:2">
      <c r="A1956" s="1">
        <v>45198</v>
      </c>
      <c r="B1956">
        <v>5.03</v>
      </c>
    </row>
    <row r="1957" spans="1:2">
      <c r="A1957" s="1">
        <v>45201</v>
      </c>
      <c r="B1957">
        <v>5.12</v>
      </c>
    </row>
    <row r="1958" spans="1:2">
      <c r="A1958" s="1">
        <v>45202</v>
      </c>
      <c r="B1958">
        <v>5.15</v>
      </c>
    </row>
    <row r="1959" spans="1:2">
      <c r="A1959" s="1">
        <v>45203</v>
      </c>
      <c r="B1959">
        <v>5.05</v>
      </c>
    </row>
    <row r="1960" spans="1:2">
      <c r="A1960" s="1">
        <v>45204</v>
      </c>
      <c r="B1960">
        <v>5.03</v>
      </c>
    </row>
    <row r="1961" spans="1:2">
      <c r="A1961" s="1">
        <v>45205</v>
      </c>
      <c r="B1961">
        <v>5.08</v>
      </c>
    </row>
    <row r="1962" spans="1:2">
      <c r="A1962" s="1">
        <v>45208</v>
      </c>
    </row>
    <row r="1963" spans="1:2">
      <c r="A1963" s="1">
        <v>45209</v>
      </c>
      <c r="B1963">
        <v>4.96</v>
      </c>
    </row>
    <row r="1964" spans="1:2">
      <c r="A1964" s="1">
        <v>45210</v>
      </c>
      <c r="B1964">
        <v>4.99</v>
      </c>
    </row>
    <row r="1965" spans="1:2">
      <c r="A1965" s="1">
        <v>45211</v>
      </c>
      <c r="B1965">
        <v>5.0599999999999996</v>
      </c>
    </row>
    <row r="1966" spans="1:2">
      <c r="A1966" s="1">
        <v>45212</v>
      </c>
      <c r="B1966">
        <v>5.04</v>
      </c>
    </row>
    <row r="1967" spans="1:2">
      <c r="A1967" s="1">
        <v>45215</v>
      </c>
      <c r="B1967">
        <v>5.09</v>
      </c>
    </row>
    <row r="1968" spans="1:2">
      <c r="A1968" s="1">
        <v>45216</v>
      </c>
      <c r="B1968">
        <v>5.19</v>
      </c>
    </row>
    <row r="1969" spans="1:2">
      <c r="A1969" s="1">
        <v>45217</v>
      </c>
      <c r="B1969">
        <v>5.19</v>
      </c>
    </row>
    <row r="1970" spans="1:2">
      <c r="A1970" s="1">
        <v>45218</v>
      </c>
      <c r="B1970">
        <v>5.14</v>
      </c>
    </row>
    <row r="1971" spans="1:2">
      <c r="A1971" s="1">
        <v>45219</v>
      </c>
      <c r="B1971">
        <v>5.07</v>
      </c>
    </row>
    <row r="1972" spans="1:2">
      <c r="A1972" s="1">
        <v>45222</v>
      </c>
      <c r="B1972">
        <v>5.05</v>
      </c>
    </row>
    <row r="1973" spans="1:2">
      <c r="A1973" s="1">
        <v>45223</v>
      </c>
      <c r="B1973">
        <v>5.0199999999999996</v>
      </c>
    </row>
    <row r="1974" spans="1:2">
      <c r="A1974" s="1">
        <v>45224</v>
      </c>
      <c r="B1974">
        <v>5.08</v>
      </c>
    </row>
    <row r="1975" spans="1:2">
      <c r="A1975" s="1">
        <v>45225</v>
      </c>
      <c r="B1975">
        <v>5.0199999999999996</v>
      </c>
    </row>
    <row r="1976" spans="1:2">
      <c r="A1976" s="1">
        <v>45226</v>
      </c>
      <c r="B1976">
        <v>4.99</v>
      </c>
    </row>
    <row r="1977" spans="1:2">
      <c r="A1977" s="1">
        <v>45229</v>
      </c>
      <c r="B1977">
        <v>5.03</v>
      </c>
    </row>
    <row r="1978" spans="1:2">
      <c r="A1978" s="1">
        <v>45230</v>
      </c>
      <c r="B1978">
        <v>5.07</v>
      </c>
    </row>
    <row r="1979" spans="1:2">
      <c r="A1979" s="1">
        <v>45231</v>
      </c>
      <c r="B1979">
        <v>4.95</v>
      </c>
    </row>
    <row r="1980" spans="1:2">
      <c r="A1980" s="1">
        <v>45232</v>
      </c>
      <c r="B1980">
        <v>4.9800000000000004</v>
      </c>
    </row>
    <row r="1981" spans="1:2">
      <c r="A1981" s="1">
        <v>45233</v>
      </c>
      <c r="B1981">
        <v>4.83</v>
      </c>
    </row>
    <row r="1982" spans="1:2">
      <c r="A1982" s="1">
        <v>45236</v>
      </c>
      <c r="B1982">
        <v>4.93</v>
      </c>
    </row>
    <row r="1983" spans="1:2">
      <c r="A1983" s="1">
        <v>45237</v>
      </c>
      <c r="B1983">
        <v>4.91</v>
      </c>
    </row>
    <row r="1984" spans="1:2">
      <c r="A1984" s="1">
        <v>45238</v>
      </c>
      <c r="B1984">
        <v>4.93</v>
      </c>
    </row>
    <row r="1985" spans="1:2">
      <c r="A1985" s="1">
        <v>45239</v>
      </c>
      <c r="B1985">
        <v>5.03</v>
      </c>
    </row>
    <row r="1986" spans="1:2">
      <c r="A1986" s="1">
        <v>45240</v>
      </c>
      <c r="B1986">
        <v>5.04</v>
      </c>
    </row>
    <row r="1987" spans="1:2">
      <c r="A1987" s="1">
        <v>45243</v>
      </c>
      <c r="B1987">
        <v>5.0199999999999996</v>
      </c>
    </row>
    <row r="1988" spans="1:2">
      <c r="A1988" s="1">
        <v>45244</v>
      </c>
      <c r="B1988">
        <v>4.8</v>
      </c>
    </row>
    <row r="1989" spans="1:2">
      <c r="A1989" s="1">
        <v>45245</v>
      </c>
      <c r="B1989">
        <v>4.9000000000000004</v>
      </c>
    </row>
    <row r="1990" spans="1:2">
      <c r="A1990" s="1">
        <v>45246</v>
      </c>
      <c r="B1990">
        <v>4.83</v>
      </c>
    </row>
    <row r="1991" spans="1:2">
      <c r="A1991" s="1">
        <v>45247</v>
      </c>
      <c r="B1991">
        <v>4.88</v>
      </c>
    </row>
    <row r="1992" spans="1:2">
      <c r="A1992" s="1">
        <v>45250</v>
      </c>
      <c r="B1992">
        <v>4.8899999999999997</v>
      </c>
    </row>
    <row r="1993" spans="1:2">
      <c r="A1993" s="1">
        <v>45251</v>
      </c>
      <c r="B1993">
        <v>4.8600000000000003</v>
      </c>
    </row>
    <row r="1994" spans="1:2">
      <c r="A1994" s="1">
        <v>45252</v>
      </c>
      <c r="B1994">
        <v>4.8899999999999997</v>
      </c>
    </row>
    <row r="1995" spans="1:2">
      <c r="A1995" s="1">
        <v>45253</v>
      </c>
    </row>
    <row r="1996" spans="1:2">
      <c r="A1996" s="1">
        <v>45254</v>
      </c>
      <c r="B1996">
        <v>4.92</v>
      </c>
    </row>
    <row r="1997" spans="1:2">
      <c r="A1997" s="1">
        <v>45257</v>
      </c>
      <c r="B1997">
        <v>4.84</v>
      </c>
    </row>
    <row r="1998" spans="1:2">
      <c r="A1998" s="1">
        <v>45258</v>
      </c>
      <c r="B1998">
        <v>4.7300000000000004</v>
      </c>
    </row>
    <row r="1999" spans="1:2">
      <c r="A1999" s="1">
        <v>45259</v>
      </c>
      <c r="B1999">
        <v>4.6399999999999997</v>
      </c>
    </row>
    <row r="2000" spans="1:2">
      <c r="A2000" s="1">
        <v>45260</v>
      </c>
      <c r="B2000">
        <v>4.7300000000000004</v>
      </c>
    </row>
    <row r="2001" spans="1:2">
      <c r="A2001" s="1">
        <v>45261</v>
      </c>
      <c r="B2001">
        <v>4.5599999999999996</v>
      </c>
    </row>
    <row r="2002" spans="1:2">
      <c r="A2002" s="1">
        <v>45264</v>
      </c>
      <c r="B2002">
        <v>4.6399999999999997</v>
      </c>
    </row>
    <row r="2003" spans="1:2">
      <c r="A2003" s="1">
        <v>45265</v>
      </c>
      <c r="B2003">
        <v>4.57</v>
      </c>
    </row>
    <row r="2004" spans="1:2">
      <c r="A2004" s="1">
        <v>45266</v>
      </c>
      <c r="B2004">
        <v>4.5999999999999996</v>
      </c>
    </row>
    <row r="2005" spans="1:2">
      <c r="A2005" s="1">
        <v>45267</v>
      </c>
      <c r="B2005">
        <v>4.58</v>
      </c>
    </row>
    <row r="2006" spans="1:2">
      <c r="A2006" s="1">
        <v>45268</v>
      </c>
      <c r="B2006">
        <v>4.71</v>
      </c>
    </row>
    <row r="2007" spans="1:2">
      <c r="A2007" s="1">
        <v>45271</v>
      </c>
      <c r="B2007">
        <v>4.71</v>
      </c>
    </row>
    <row r="2008" spans="1:2">
      <c r="A2008" s="1">
        <v>45272</v>
      </c>
      <c r="B2008">
        <v>4.7300000000000004</v>
      </c>
    </row>
    <row r="2009" spans="1:2">
      <c r="A2009" s="1">
        <v>45273</v>
      </c>
      <c r="B2009">
        <v>4.46</v>
      </c>
    </row>
    <row r="2010" spans="1:2">
      <c r="A2010" s="1">
        <v>45274</v>
      </c>
      <c r="B2010">
        <v>4.37</v>
      </c>
    </row>
    <row r="2011" spans="1:2">
      <c r="A2011" s="1">
        <v>45275</v>
      </c>
      <c r="B2011">
        <v>4.4400000000000004</v>
      </c>
    </row>
    <row r="2012" spans="1:2">
      <c r="A2012" s="1">
        <v>45278</v>
      </c>
      <c r="B2012">
        <v>4.43</v>
      </c>
    </row>
    <row r="2013" spans="1:2">
      <c r="A2013" s="1">
        <v>45279</v>
      </c>
      <c r="B2013">
        <v>4.41</v>
      </c>
    </row>
    <row r="2014" spans="1:2">
      <c r="A2014" s="1">
        <v>45280</v>
      </c>
      <c r="B2014">
        <v>4.34</v>
      </c>
    </row>
    <row r="2015" spans="1:2">
      <c r="A2015" s="1">
        <v>45281</v>
      </c>
      <c r="B2015">
        <v>4.33</v>
      </c>
    </row>
    <row r="2016" spans="1:2">
      <c r="A2016" s="1">
        <v>45282</v>
      </c>
      <c r="B2016">
        <v>4.3099999999999996</v>
      </c>
    </row>
    <row r="2017" spans="1:2">
      <c r="A2017" s="1">
        <v>45285</v>
      </c>
    </row>
    <row r="2018" spans="1:2">
      <c r="A2018" s="1">
        <v>45286</v>
      </c>
      <c r="B2018">
        <v>4.26</v>
      </c>
    </row>
    <row r="2019" spans="1:2">
      <c r="A2019" s="1">
        <v>45287</v>
      </c>
      <c r="B2019">
        <v>4.2</v>
      </c>
    </row>
    <row r="2020" spans="1:2">
      <c r="A2020" s="1">
        <v>45288</v>
      </c>
      <c r="B2020">
        <v>4.26</v>
      </c>
    </row>
    <row r="2021" spans="1:2">
      <c r="A2021" s="1">
        <v>45289</v>
      </c>
      <c r="B2021">
        <v>4.2300000000000004</v>
      </c>
    </row>
    <row r="2022" spans="1:2">
      <c r="A2022" s="1">
        <v>45292</v>
      </c>
    </row>
    <row r="2023" spans="1:2">
      <c r="A2023" s="1">
        <v>45293</v>
      </c>
      <c r="B2023">
        <v>4.33</v>
      </c>
    </row>
    <row r="2024" spans="1:2">
      <c r="A2024" s="1">
        <v>45294</v>
      </c>
      <c r="B2024">
        <v>4.33</v>
      </c>
    </row>
    <row r="2025" spans="1:2">
      <c r="A2025" s="1">
        <v>45295</v>
      </c>
      <c r="B2025">
        <v>4.38</v>
      </c>
    </row>
    <row r="2026" spans="1:2">
      <c r="A2026" s="1">
        <v>45296</v>
      </c>
      <c r="B2026">
        <v>4.4000000000000004</v>
      </c>
    </row>
    <row r="2027" spans="1:2">
      <c r="A2027" s="1">
        <v>45299</v>
      </c>
      <c r="B2027">
        <v>4.3600000000000003</v>
      </c>
    </row>
    <row r="2028" spans="1:2">
      <c r="A2028" s="1">
        <v>45300</v>
      </c>
      <c r="B2028">
        <v>4.3600000000000003</v>
      </c>
    </row>
    <row r="2029" spans="1:2">
      <c r="A2029" s="1">
        <v>45301</v>
      </c>
      <c r="B2029">
        <v>4.37</v>
      </c>
    </row>
    <row r="2030" spans="1:2">
      <c r="A2030" s="1">
        <v>45302</v>
      </c>
      <c r="B2030">
        <v>4.26</v>
      </c>
    </row>
    <row r="2031" spans="1:2">
      <c r="A2031" s="1">
        <v>45303</v>
      </c>
      <c r="B2031">
        <v>4.1399999999999997</v>
      </c>
    </row>
    <row r="2032" spans="1:2">
      <c r="A2032" s="1">
        <v>45306</v>
      </c>
    </row>
    <row r="2033" spans="1:2">
      <c r="A2033" s="1">
        <v>45307</v>
      </c>
      <c r="B2033">
        <v>4.22</v>
      </c>
    </row>
    <row r="2034" spans="1:2">
      <c r="A2034" s="1">
        <v>45308</v>
      </c>
      <c r="B2034">
        <v>4.34</v>
      </c>
    </row>
    <row r="2035" spans="1:2">
      <c r="A2035" s="1">
        <v>45309</v>
      </c>
      <c r="B2035">
        <v>4.34</v>
      </c>
    </row>
    <row r="2036" spans="1:2">
      <c r="A2036" s="1">
        <v>45310</v>
      </c>
      <c r="B2036">
        <v>4.3899999999999997</v>
      </c>
    </row>
    <row r="2037" spans="1:2">
      <c r="A2037" s="1">
        <v>45313</v>
      </c>
      <c r="B2037">
        <v>4.37</v>
      </c>
    </row>
    <row r="2038" spans="1:2">
      <c r="A2038" s="1">
        <v>45314</v>
      </c>
      <c r="B2038">
        <v>4.3099999999999996</v>
      </c>
    </row>
    <row r="2039" spans="1:2">
      <c r="A2039" s="1">
        <v>45315</v>
      </c>
      <c r="B2039">
        <v>4.34</v>
      </c>
    </row>
    <row r="2040" spans="1:2">
      <c r="A2040" s="1">
        <v>45316</v>
      </c>
      <c r="B2040">
        <v>4.28</v>
      </c>
    </row>
    <row r="2041" spans="1:2">
      <c r="A2041" s="1">
        <v>45317</v>
      </c>
      <c r="B2041">
        <v>4.34</v>
      </c>
    </row>
    <row r="2042" spans="1:2">
      <c r="A2042" s="1">
        <v>45320</v>
      </c>
      <c r="B2042">
        <v>4.29</v>
      </c>
    </row>
    <row r="2043" spans="1:2">
      <c r="A2043" s="1">
        <v>45321</v>
      </c>
      <c r="B2043">
        <v>4.3600000000000003</v>
      </c>
    </row>
    <row r="2044" spans="1:2">
      <c r="A2044" s="1">
        <v>45322</v>
      </c>
      <c r="B2044">
        <v>4.2699999999999996</v>
      </c>
    </row>
    <row r="2045" spans="1:2">
      <c r="A2045" s="1">
        <v>45323</v>
      </c>
      <c r="B2045">
        <v>4.2</v>
      </c>
    </row>
    <row r="2046" spans="1:2">
      <c r="A2046" s="1">
        <v>45324</v>
      </c>
      <c r="B2046">
        <v>4.3600000000000003</v>
      </c>
    </row>
    <row r="2047" spans="1:2">
      <c r="A2047" s="1">
        <v>45327</v>
      </c>
      <c r="B2047">
        <v>4.46</v>
      </c>
    </row>
    <row r="2048" spans="1:2">
      <c r="A2048" s="1">
        <v>45328</v>
      </c>
      <c r="B2048">
        <v>4.3899999999999997</v>
      </c>
    </row>
    <row r="2049" spans="1:2">
      <c r="A2049" s="1">
        <v>45329</v>
      </c>
      <c r="B2049">
        <v>4.41</v>
      </c>
    </row>
    <row r="2050" spans="1:2">
      <c r="A2050" s="1">
        <v>45330</v>
      </c>
      <c r="B2050">
        <v>4.46</v>
      </c>
    </row>
    <row r="2051" spans="1:2">
      <c r="A2051" s="1">
        <v>45331</v>
      </c>
      <c r="B2051">
        <v>4.4800000000000004</v>
      </c>
    </row>
    <row r="2052" spans="1:2">
      <c r="A2052" s="1">
        <v>45334</v>
      </c>
      <c r="B2052">
        <v>4.46</v>
      </c>
    </row>
    <row r="2053" spans="1:2">
      <c r="A2053" s="1">
        <v>45335</v>
      </c>
      <c r="B2053">
        <v>4.6399999999999997</v>
      </c>
    </row>
    <row r="2054" spans="1:2">
      <c r="A2054" s="1">
        <v>45336</v>
      </c>
      <c r="B2054">
        <v>4.5599999999999996</v>
      </c>
    </row>
    <row r="2055" spans="1:2">
      <c r="A2055" s="1">
        <v>45337</v>
      </c>
      <c r="B2055">
        <v>4.5599999999999996</v>
      </c>
    </row>
    <row r="2056" spans="1:2">
      <c r="A2056" s="1">
        <v>45338</v>
      </c>
      <c r="B2056">
        <v>4.6399999999999997</v>
      </c>
    </row>
    <row r="2057" spans="1:2">
      <c r="A2057" s="1">
        <v>45341</v>
      </c>
    </row>
    <row r="2058" spans="1:2">
      <c r="A2058" s="1">
        <v>45342</v>
      </c>
      <c r="B2058">
        <v>4.59</v>
      </c>
    </row>
    <row r="2059" spans="1:2">
      <c r="A2059" s="1">
        <v>45343</v>
      </c>
      <c r="B2059">
        <v>4.6399999999999997</v>
      </c>
    </row>
    <row r="2060" spans="1:2">
      <c r="A2060" s="1">
        <v>45344</v>
      </c>
      <c r="B2060">
        <v>4.6900000000000004</v>
      </c>
    </row>
    <row r="2061" spans="1:2">
      <c r="A2061" s="1">
        <v>45345</v>
      </c>
      <c r="B2061">
        <v>4.67</v>
      </c>
    </row>
    <row r="2062" spans="1:2">
      <c r="A2062" s="1">
        <v>45348</v>
      </c>
      <c r="B2062">
        <v>4.6900000000000004</v>
      </c>
    </row>
    <row r="2063" spans="1:2">
      <c r="A2063" s="1">
        <v>45349</v>
      </c>
      <c r="B2063">
        <v>4.7</v>
      </c>
    </row>
    <row r="2064" spans="1:2">
      <c r="A2064" s="1">
        <v>45350</v>
      </c>
      <c r="B2064">
        <v>4.6399999999999997</v>
      </c>
    </row>
    <row r="2065" spans="1:2">
      <c r="A2065" s="1">
        <v>45351</v>
      </c>
      <c r="B2065">
        <v>4.6399999999999997</v>
      </c>
    </row>
    <row r="2066" spans="1:2">
      <c r="A2066" s="1">
        <v>45352</v>
      </c>
      <c r="B2066">
        <v>4.54</v>
      </c>
    </row>
    <row r="2067" spans="1:2">
      <c r="A2067" s="1">
        <v>45355</v>
      </c>
      <c r="B2067">
        <v>4.6100000000000003</v>
      </c>
    </row>
    <row r="2068" spans="1:2">
      <c r="A2068" s="1">
        <v>45356</v>
      </c>
      <c r="B2068">
        <v>4.54</v>
      </c>
    </row>
    <row r="2069" spans="1:2">
      <c r="A2069" s="1">
        <v>45357</v>
      </c>
      <c r="B2069">
        <v>4.55</v>
      </c>
    </row>
    <row r="2070" spans="1:2">
      <c r="A2070" s="1">
        <v>45358</v>
      </c>
      <c r="B2070">
        <v>4.5</v>
      </c>
    </row>
    <row r="2071" spans="1:2">
      <c r="A2071" s="1">
        <v>45359</v>
      </c>
      <c r="B2071">
        <v>4.4800000000000004</v>
      </c>
    </row>
    <row r="2072" spans="1:2">
      <c r="A2072" s="1">
        <v>45362</v>
      </c>
      <c r="B2072">
        <v>4.51</v>
      </c>
    </row>
    <row r="2073" spans="1:2">
      <c r="A2073" s="1">
        <v>45363</v>
      </c>
      <c r="B2073">
        <v>4.58</v>
      </c>
    </row>
    <row r="2074" spans="1:2">
      <c r="A2074" s="1">
        <v>45364</v>
      </c>
      <c r="B2074">
        <v>4.6100000000000003</v>
      </c>
    </row>
    <row r="2075" spans="1:2">
      <c r="A2075" s="1">
        <v>45365</v>
      </c>
      <c r="B2075">
        <v>4.68</v>
      </c>
    </row>
    <row r="2076" spans="1:2">
      <c r="A2076" s="1">
        <v>45366</v>
      </c>
      <c r="B2076">
        <v>4.72</v>
      </c>
    </row>
    <row r="2077" spans="1:2">
      <c r="A2077" s="1">
        <v>45369</v>
      </c>
      <c r="B2077">
        <v>4.7300000000000004</v>
      </c>
    </row>
    <row r="2078" spans="1:2">
      <c r="A2078" s="1">
        <v>45370</v>
      </c>
      <c r="B2078">
        <v>4.68</v>
      </c>
    </row>
    <row r="2079" spans="1:2">
      <c r="A2079" s="1">
        <v>45371</v>
      </c>
      <c r="B2079">
        <v>4.59</v>
      </c>
    </row>
    <row r="2080" spans="1:2">
      <c r="A2080" s="1">
        <v>45372</v>
      </c>
      <c r="B2080">
        <v>4.62</v>
      </c>
    </row>
    <row r="2081" spans="1:2">
      <c r="A2081" s="1">
        <v>45373</v>
      </c>
      <c r="B2081">
        <v>4.59</v>
      </c>
    </row>
    <row r="2082" spans="1:2">
      <c r="A2082" s="1">
        <v>45376</v>
      </c>
      <c r="B2082">
        <v>4.54</v>
      </c>
    </row>
    <row r="2083" spans="1:2">
      <c r="A2083" s="1">
        <v>45377</v>
      </c>
      <c r="B2083">
        <v>4.5599999999999996</v>
      </c>
    </row>
    <row r="2084" spans="1:2">
      <c r="A2084" s="1">
        <v>45378</v>
      </c>
      <c r="B2084">
        <v>4.54</v>
      </c>
    </row>
    <row r="2085" spans="1:2">
      <c r="A2085" s="1">
        <v>45379</v>
      </c>
      <c r="B2085">
        <v>4.59</v>
      </c>
    </row>
    <row r="2086" spans="1:2">
      <c r="A2086" s="1">
        <v>45380</v>
      </c>
    </row>
    <row r="2087" spans="1:2">
      <c r="A2087" s="1">
        <v>45383</v>
      </c>
      <c r="B2087">
        <v>4.72</v>
      </c>
    </row>
    <row r="2088" spans="1:2">
      <c r="A2088" s="1">
        <v>45384</v>
      </c>
      <c r="B2088">
        <v>4.7</v>
      </c>
    </row>
    <row r="2089" spans="1:2">
      <c r="A2089" s="1">
        <v>45385</v>
      </c>
      <c r="B2089">
        <v>4.68</v>
      </c>
    </row>
    <row r="2090" spans="1:2">
      <c r="A2090" s="1">
        <v>45386</v>
      </c>
      <c r="B2090">
        <v>4.6500000000000004</v>
      </c>
    </row>
    <row r="2091" spans="1:2">
      <c r="A2091" s="1">
        <v>45387</v>
      </c>
      <c r="B2091">
        <v>4.7300000000000004</v>
      </c>
    </row>
    <row r="2092" spans="1:2">
      <c r="A2092" s="1">
        <v>45390</v>
      </c>
      <c r="B2092">
        <v>4.78</v>
      </c>
    </row>
    <row r="2093" spans="1:2">
      <c r="A2093" s="1">
        <v>45391</v>
      </c>
      <c r="B2093">
        <v>4.74</v>
      </c>
    </row>
    <row r="2094" spans="1:2">
      <c r="A2094" s="1">
        <v>45392</v>
      </c>
      <c r="B2094">
        <v>4.97</v>
      </c>
    </row>
    <row r="2095" spans="1:2">
      <c r="A2095" s="1">
        <v>45393</v>
      </c>
      <c r="B2095">
        <v>4.93</v>
      </c>
    </row>
    <row r="2096" spans="1:2">
      <c r="A2096" s="1">
        <v>45394</v>
      </c>
      <c r="B2096">
        <v>4.88</v>
      </c>
    </row>
    <row r="2097" spans="1:2">
      <c r="A2097" s="1">
        <v>45397</v>
      </c>
      <c r="B2097">
        <v>4.93</v>
      </c>
    </row>
    <row r="2098" spans="1:2">
      <c r="A2098" s="1">
        <v>45398</v>
      </c>
      <c r="B2098">
        <v>4.97</v>
      </c>
    </row>
    <row r="2099" spans="1:2">
      <c r="A2099" s="1">
        <v>45399</v>
      </c>
      <c r="B2099">
        <v>4.93</v>
      </c>
    </row>
    <row r="2100" spans="1:2">
      <c r="A2100" s="1">
        <v>45400</v>
      </c>
      <c r="B2100">
        <v>4.9800000000000004</v>
      </c>
    </row>
    <row r="2101" spans="1:2">
      <c r="A2101" s="1">
        <v>45401</v>
      </c>
      <c r="B2101">
        <v>4.97</v>
      </c>
    </row>
    <row r="2102" spans="1:2">
      <c r="A2102" s="1">
        <v>45404</v>
      </c>
      <c r="B2102">
        <v>4.97</v>
      </c>
    </row>
    <row r="2103" spans="1:2">
      <c r="A2103" s="1">
        <v>45405</v>
      </c>
      <c r="B2103">
        <v>4.8600000000000003</v>
      </c>
    </row>
    <row r="2104" spans="1:2">
      <c r="A2104" s="1">
        <v>45406</v>
      </c>
      <c r="B2104">
        <v>4.8899999999999997</v>
      </c>
    </row>
    <row r="2105" spans="1:2">
      <c r="A2105" s="1">
        <v>45407</v>
      </c>
      <c r="B2105">
        <v>4.96</v>
      </c>
    </row>
    <row r="2106" spans="1:2">
      <c r="A2106" s="1">
        <v>45408</v>
      </c>
      <c r="B2106">
        <v>4.96</v>
      </c>
    </row>
    <row r="2107" spans="1:2">
      <c r="A2107" s="1">
        <v>45411</v>
      </c>
      <c r="B2107">
        <v>4.97</v>
      </c>
    </row>
    <row r="2108" spans="1:2">
      <c r="A2108" s="1">
        <v>45412</v>
      </c>
      <c r="B2108">
        <v>5.04</v>
      </c>
    </row>
    <row r="2109" spans="1:2">
      <c r="A2109" s="1">
        <v>45413</v>
      </c>
      <c r="B2109">
        <v>4.96</v>
      </c>
    </row>
    <row r="2110" spans="1:2">
      <c r="A2110" s="1">
        <v>45414</v>
      </c>
      <c r="B2110">
        <v>4.87</v>
      </c>
    </row>
    <row r="2111" spans="1:2">
      <c r="A2111" s="1">
        <v>45415</v>
      </c>
      <c r="B2111">
        <v>4.8099999999999996</v>
      </c>
    </row>
    <row r="2112" spans="1:2">
      <c r="A2112" s="1">
        <v>45418</v>
      </c>
      <c r="B2112">
        <v>4.82</v>
      </c>
    </row>
    <row r="2113" spans="1:2">
      <c r="A2113" s="1">
        <v>45419</v>
      </c>
      <c r="B2113">
        <v>4.82</v>
      </c>
    </row>
    <row r="2114" spans="1:2">
      <c r="A2114" s="1">
        <v>45420</v>
      </c>
      <c r="B2114">
        <v>4.84</v>
      </c>
    </row>
    <row r="2115" spans="1:2">
      <c r="A2115" s="1">
        <v>45421</v>
      </c>
      <c r="B2115">
        <v>4.8</v>
      </c>
    </row>
    <row r="2116" spans="1:2">
      <c r="A2116" s="1">
        <v>45422</v>
      </c>
      <c r="B2116">
        <v>4.87</v>
      </c>
    </row>
    <row r="2117" spans="1:2">
      <c r="A2117" s="1">
        <v>45425</v>
      </c>
      <c r="B2117">
        <v>4.8499999999999996</v>
      </c>
    </row>
    <row r="2118" spans="1:2">
      <c r="A2118" s="1">
        <v>45426</v>
      </c>
      <c r="B2118">
        <v>4.8099999999999996</v>
      </c>
    </row>
    <row r="2119" spans="1:2">
      <c r="A2119" s="1">
        <v>45427</v>
      </c>
      <c r="B2119">
        <v>4.7300000000000004</v>
      </c>
    </row>
    <row r="2120" spans="1:2">
      <c r="A2120" s="1">
        <v>45428</v>
      </c>
      <c r="B2120">
        <v>4.78</v>
      </c>
    </row>
    <row r="2121" spans="1:2">
      <c r="A2121" s="1">
        <v>45429</v>
      </c>
      <c r="B2121">
        <v>4.83</v>
      </c>
    </row>
    <row r="2122" spans="1:2">
      <c r="A2122" s="1">
        <v>45432</v>
      </c>
      <c r="B2122">
        <v>4.82</v>
      </c>
    </row>
    <row r="2123" spans="1:2">
      <c r="A2123" s="1">
        <v>45433</v>
      </c>
      <c r="B2123">
        <v>4.82</v>
      </c>
    </row>
    <row r="2124" spans="1:2">
      <c r="A2124" s="1">
        <v>45434</v>
      </c>
      <c r="B2124">
        <v>4.8600000000000003</v>
      </c>
    </row>
    <row r="2125" spans="1:2">
      <c r="A2125" s="1">
        <v>45435</v>
      </c>
      <c r="B2125">
        <v>4.91</v>
      </c>
    </row>
    <row r="2126" spans="1:2">
      <c r="A2126" s="1">
        <v>45436</v>
      </c>
      <c r="B2126">
        <v>4.93</v>
      </c>
    </row>
    <row r="2127" spans="1:2">
      <c r="A2127" s="1">
        <v>45439</v>
      </c>
    </row>
    <row r="2128" spans="1:2">
      <c r="A2128" s="1">
        <v>45440</v>
      </c>
      <c r="B2128">
        <v>4.9400000000000004</v>
      </c>
    </row>
    <row r="2129" spans="1:2">
      <c r="A2129" s="1">
        <v>45441</v>
      </c>
      <c r="B2129">
        <v>4.96</v>
      </c>
    </row>
    <row r="2130" spans="1:2">
      <c r="A2130" s="1">
        <v>45442</v>
      </c>
      <c r="B2130">
        <v>4.92</v>
      </c>
    </row>
    <row r="2131" spans="1:2">
      <c r="A2131" s="1">
        <v>45443</v>
      </c>
      <c r="B2131">
        <v>4.8899999999999997</v>
      </c>
    </row>
    <row r="2132" spans="1:2">
      <c r="A2132" s="1">
        <v>45446</v>
      </c>
      <c r="B2132">
        <v>4.82</v>
      </c>
    </row>
    <row r="2133" spans="1:2">
      <c r="A2133" s="1">
        <v>45447</v>
      </c>
      <c r="B2133">
        <v>4.7699999999999996</v>
      </c>
    </row>
    <row r="2134" spans="1:2">
      <c r="A2134" s="1">
        <v>45448</v>
      </c>
      <c r="B2134">
        <v>4.72</v>
      </c>
    </row>
    <row r="2135" spans="1:2">
      <c r="A2135" s="1">
        <v>45449</v>
      </c>
      <c r="B2135">
        <v>4.72</v>
      </c>
    </row>
    <row r="2136" spans="1:2">
      <c r="A2136" s="1">
        <v>45450</v>
      </c>
      <c r="B2136">
        <v>4.87</v>
      </c>
    </row>
    <row r="2137" spans="1:2">
      <c r="A2137" s="1">
        <v>45453</v>
      </c>
      <c r="B2137">
        <v>4.87</v>
      </c>
    </row>
    <row r="2138" spans="1:2">
      <c r="A2138" s="1">
        <v>45454</v>
      </c>
      <c r="B2138">
        <v>4.8099999999999996</v>
      </c>
    </row>
    <row r="2139" spans="1:2">
      <c r="A2139" s="1">
        <v>45455</v>
      </c>
      <c r="B2139">
        <v>4.75</v>
      </c>
    </row>
    <row r="2140" spans="1:2">
      <c r="A2140" s="1">
        <v>45456</v>
      </c>
      <c r="B2140">
        <v>4.68</v>
      </c>
    </row>
    <row r="2141" spans="1:2">
      <c r="A2141" s="1">
        <v>45457</v>
      </c>
      <c r="B2141">
        <v>4.67</v>
      </c>
    </row>
    <row r="2142" spans="1:2">
      <c r="A2142" s="1">
        <v>45460</v>
      </c>
      <c r="B2142">
        <v>4.75</v>
      </c>
    </row>
    <row r="2143" spans="1:2">
      <c r="A2143" s="1">
        <v>45461</v>
      </c>
      <c r="B2143">
        <v>4.6900000000000004</v>
      </c>
    </row>
    <row r="2144" spans="1:2">
      <c r="A2144" s="1">
        <v>45462</v>
      </c>
    </row>
    <row r="2145" spans="1:2">
      <c r="A2145" s="1">
        <v>45463</v>
      </c>
      <c r="B2145">
        <v>4.7</v>
      </c>
    </row>
    <row r="2146" spans="1:2">
      <c r="A2146" s="1">
        <v>45464</v>
      </c>
      <c r="B2146">
        <v>4.7</v>
      </c>
    </row>
    <row r="2147" spans="1:2">
      <c r="A2147" s="1">
        <v>45467</v>
      </c>
      <c r="B2147">
        <v>4.71</v>
      </c>
    </row>
    <row r="2148" spans="1:2">
      <c r="A2148" s="1">
        <v>45468</v>
      </c>
      <c r="B2148">
        <v>4.6500000000000004</v>
      </c>
    </row>
    <row r="2149" spans="1:2">
      <c r="A2149" s="1">
        <v>45469</v>
      </c>
      <c r="B2149">
        <v>4.71</v>
      </c>
    </row>
    <row r="2150" spans="1:2">
      <c r="A2150" s="1">
        <v>45470</v>
      </c>
      <c r="B2150">
        <v>4.7</v>
      </c>
    </row>
    <row r="2151" spans="1:2">
      <c r="A2151" s="1">
        <v>45471</v>
      </c>
      <c r="B2151">
        <v>4.71</v>
      </c>
    </row>
    <row r="2152" spans="1:2">
      <c r="A2152" s="1">
        <v>45474</v>
      </c>
      <c r="B2152">
        <v>4.7699999999999996</v>
      </c>
    </row>
    <row r="2153" spans="1:2">
      <c r="A2153" s="1">
        <v>45475</v>
      </c>
      <c r="B2153">
        <v>4.74</v>
      </c>
    </row>
    <row r="2154" spans="1:2">
      <c r="A2154" s="1">
        <v>45476</v>
      </c>
      <c r="B2154">
        <v>4.71</v>
      </c>
    </row>
    <row r="2155" spans="1:2">
      <c r="A2155" s="1">
        <v>45477</v>
      </c>
    </row>
    <row r="2156" spans="1:2">
      <c r="A2156" s="1">
        <v>45478</v>
      </c>
      <c r="B2156">
        <v>4.5999999999999996</v>
      </c>
    </row>
    <row r="2157" spans="1:2">
      <c r="A2157" s="1">
        <v>45481</v>
      </c>
      <c r="B2157">
        <v>4.62</v>
      </c>
    </row>
    <row r="2158" spans="1:2">
      <c r="A2158" s="1">
        <v>45482</v>
      </c>
      <c r="B2158">
        <v>4.62</v>
      </c>
    </row>
    <row r="2159" spans="1:2">
      <c r="A2159" s="1">
        <v>45483</v>
      </c>
      <c r="B2159">
        <v>4.62</v>
      </c>
    </row>
    <row r="2160" spans="1:2">
      <c r="A2160" s="1">
        <v>45484</v>
      </c>
      <c r="B2160">
        <v>4.5</v>
      </c>
    </row>
    <row r="2161" spans="1:2">
      <c r="A2161" s="1">
        <v>45485</v>
      </c>
      <c r="B2161">
        <v>4.45</v>
      </c>
    </row>
    <row r="2162" spans="1:2">
      <c r="A2162" s="1">
        <v>45488</v>
      </c>
      <c r="B2162">
        <v>4.4400000000000004</v>
      </c>
    </row>
    <row r="2163" spans="1:2">
      <c r="A2163" s="1">
        <v>45489</v>
      </c>
      <c r="B2163">
        <v>4.43</v>
      </c>
    </row>
    <row r="2164" spans="1:2">
      <c r="A2164" s="1">
        <v>45490</v>
      </c>
      <c r="B2164">
        <v>4.42</v>
      </c>
    </row>
    <row r="2165" spans="1:2">
      <c r="A2165" s="1">
        <v>45491</v>
      </c>
      <c r="B2165">
        <v>4.46</v>
      </c>
    </row>
    <row r="2166" spans="1:2">
      <c r="A2166" s="1">
        <v>45492</v>
      </c>
      <c r="B2166">
        <v>4.49</v>
      </c>
    </row>
    <row r="2167" spans="1:2">
      <c r="A2167" s="1">
        <v>45495</v>
      </c>
      <c r="B2167">
        <v>4.5</v>
      </c>
    </row>
    <row r="2168" spans="1:2">
      <c r="A2168" s="1">
        <v>45496</v>
      </c>
      <c r="B2168">
        <v>4.4000000000000004</v>
      </c>
    </row>
    <row r="2169" spans="1:2">
      <c r="A2169" s="1">
        <v>45497</v>
      </c>
      <c r="B2169">
        <v>4.37</v>
      </c>
    </row>
    <row r="2170" spans="1:2">
      <c r="A2170" s="1">
        <v>45498</v>
      </c>
      <c r="B2170">
        <v>4.41</v>
      </c>
    </row>
    <row r="2171" spans="1:2">
      <c r="A2171" s="1">
        <v>45499</v>
      </c>
      <c r="B2171">
        <v>4.3600000000000003</v>
      </c>
    </row>
    <row r="2172" spans="1:2">
      <c r="A2172" s="1">
        <v>45502</v>
      </c>
      <c r="B2172">
        <v>4.3600000000000003</v>
      </c>
    </row>
    <row r="2173" spans="1:2">
      <c r="A2173" s="1">
        <v>45503</v>
      </c>
      <c r="B2173">
        <v>4.3499999999999996</v>
      </c>
    </row>
    <row r="2174" spans="1:2">
      <c r="A2174" s="1">
        <v>45504</v>
      </c>
      <c r="B2174">
        <v>4.29</v>
      </c>
    </row>
    <row r="2175" spans="1:2">
      <c r="A2175" s="1">
        <v>45505</v>
      </c>
      <c r="B2175">
        <v>4.16</v>
      </c>
    </row>
    <row r="2176" spans="1:2">
      <c r="A2176" s="1">
        <v>45506</v>
      </c>
      <c r="B2176">
        <v>3.88</v>
      </c>
    </row>
    <row r="2177" spans="1:2">
      <c r="A2177" s="1">
        <v>45509</v>
      </c>
      <c r="B2177">
        <v>3.89</v>
      </c>
    </row>
    <row r="2178" spans="1:2">
      <c r="A2178" s="1">
        <v>45510</v>
      </c>
      <c r="B2178">
        <v>3.99</v>
      </c>
    </row>
    <row r="2179" spans="1:2">
      <c r="A2179" s="1">
        <v>45511</v>
      </c>
      <c r="B2179">
        <v>4</v>
      </c>
    </row>
    <row r="2180" spans="1:2">
      <c r="A2180" s="1">
        <v>45512</v>
      </c>
      <c r="B2180">
        <v>4.04</v>
      </c>
    </row>
    <row r="2181" spans="1:2">
      <c r="A2181" s="1">
        <v>45513</v>
      </c>
      <c r="B2181">
        <v>4.05</v>
      </c>
    </row>
    <row r="2182" spans="1:2">
      <c r="A2182" s="1">
        <v>45516</v>
      </c>
      <c r="B2182">
        <v>4.01</v>
      </c>
    </row>
    <row r="2183" spans="1:2">
      <c r="A2183" s="1">
        <v>45517</v>
      </c>
      <c r="B2183">
        <v>3.93</v>
      </c>
    </row>
    <row r="2184" spans="1:2">
      <c r="A2184" s="1">
        <v>45518</v>
      </c>
      <c r="B2184">
        <v>3.94</v>
      </c>
    </row>
    <row r="2185" spans="1:2">
      <c r="A2185" s="1">
        <v>45519</v>
      </c>
      <c r="B2185">
        <v>4.08</v>
      </c>
    </row>
    <row r="2186" spans="1:2">
      <c r="A2186" s="1">
        <v>45520</v>
      </c>
      <c r="B2186">
        <v>4.0599999999999996</v>
      </c>
    </row>
    <row r="2187" spans="1:2">
      <c r="A2187" s="1">
        <v>45523</v>
      </c>
      <c r="B2187">
        <v>4.0599999999999996</v>
      </c>
    </row>
    <row r="2188" spans="1:2">
      <c r="A2188" s="1">
        <v>45524</v>
      </c>
      <c r="B2188">
        <v>3.99</v>
      </c>
    </row>
    <row r="2189" spans="1:2">
      <c r="A2189" s="1">
        <v>45525</v>
      </c>
      <c r="B2189">
        <v>3.92</v>
      </c>
    </row>
    <row r="2190" spans="1:2">
      <c r="A2190" s="1">
        <v>45526</v>
      </c>
      <c r="B2190">
        <v>3.99</v>
      </c>
    </row>
    <row r="2191" spans="1:2">
      <c r="A2191" s="1">
        <v>45527</v>
      </c>
      <c r="B2191">
        <v>3.9</v>
      </c>
    </row>
    <row r="2192" spans="1:2">
      <c r="A2192" s="1">
        <v>45530</v>
      </c>
      <c r="B2192">
        <v>3.91</v>
      </c>
    </row>
    <row r="2193" spans="1:2">
      <c r="A2193" s="1">
        <v>45531</v>
      </c>
      <c r="B2193">
        <v>3.83</v>
      </c>
    </row>
    <row r="2194" spans="1:2">
      <c r="A2194" s="1">
        <v>45532</v>
      </c>
      <c r="B2194">
        <v>3.83</v>
      </c>
    </row>
    <row r="2195" spans="1:2">
      <c r="A2195" s="1">
        <v>45533</v>
      </c>
      <c r="B2195">
        <v>3.87</v>
      </c>
    </row>
    <row r="2196" spans="1:2">
      <c r="A2196" s="1">
        <v>45534</v>
      </c>
      <c r="B2196">
        <v>3.91</v>
      </c>
    </row>
    <row r="2197" spans="1:2">
      <c r="A2197" s="1">
        <v>45537</v>
      </c>
    </row>
    <row r="2198" spans="1:2">
      <c r="A2198" s="1">
        <v>45538</v>
      </c>
      <c r="B2198">
        <v>3.88</v>
      </c>
    </row>
    <row r="2199" spans="1:2">
      <c r="A2199" s="1">
        <v>45539</v>
      </c>
      <c r="B2199">
        <v>3.76</v>
      </c>
    </row>
    <row r="2200" spans="1:2">
      <c r="A2200" s="1">
        <v>45540</v>
      </c>
      <c r="B2200">
        <v>3.75</v>
      </c>
    </row>
    <row r="2201" spans="1:2">
      <c r="A2201" s="1">
        <v>45541</v>
      </c>
      <c r="B2201">
        <v>3.66</v>
      </c>
    </row>
    <row r="2202" spans="1:2">
      <c r="A2202" s="1">
        <v>45544</v>
      </c>
      <c r="B2202">
        <v>3.68</v>
      </c>
    </row>
    <row r="2203" spans="1:2">
      <c r="A2203" s="1">
        <v>45545</v>
      </c>
      <c r="B2203">
        <v>3.59</v>
      </c>
    </row>
    <row r="2204" spans="1:2">
      <c r="A2204" s="1">
        <v>45546</v>
      </c>
      <c r="B2204">
        <v>3.62</v>
      </c>
    </row>
    <row r="2205" spans="1:2">
      <c r="A2205" s="1">
        <v>45547</v>
      </c>
      <c r="B2205">
        <v>3.64</v>
      </c>
    </row>
    <row r="2206" spans="1:2">
      <c r="A2206" s="1">
        <v>45548</v>
      </c>
      <c r="B2206">
        <v>3.57</v>
      </c>
    </row>
    <row r="2207" spans="1:2">
      <c r="A2207" s="1">
        <v>45551</v>
      </c>
      <c r="B2207">
        <v>3.56</v>
      </c>
    </row>
    <row r="2208" spans="1:2">
      <c r="A2208" s="1">
        <v>45552</v>
      </c>
      <c r="B2208">
        <v>3.59</v>
      </c>
    </row>
    <row r="2209" spans="1:2">
      <c r="A2209" s="1">
        <v>45553</v>
      </c>
      <c r="B2209">
        <v>3.61</v>
      </c>
    </row>
    <row r="2210" spans="1:2">
      <c r="A2210" s="1">
        <v>45554</v>
      </c>
      <c r="B2210">
        <v>3.59</v>
      </c>
    </row>
    <row r="2211" spans="1:2">
      <c r="A2211" s="1">
        <v>45555</v>
      </c>
      <c r="B2211">
        <v>3.55</v>
      </c>
    </row>
    <row r="2212" spans="1:2">
      <c r="A2212" s="1">
        <v>45558</v>
      </c>
      <c r="B2212">
        <v>3.57</v>
      </c>
    </row>
    <row r="2213" spans="1:2">
      <c r="A2213" s="1">
        <v>45559</v>
      </c>
      <c r="B2213">
        <v>3.49</v>
      </c>
    </row>
    <row r="2214" spans="1:2">
      <c r="A2214" s="1">
        <v>45560</v>
      </c>
      <c r="B2214">
        <v>3.53</v>
      </c>
    </row>
    <row r="2215" spans="1:2">
      <c r="A2215" s="1">
        <v>45561</v>
      </c>
      <c r="B2215">
        <v>3.6</v>
      </c>
    </row>
    <row r="2216" spans="1:2">
      <c r="A2216" s="1">
        <v>45562</v>
      </c>
      <c r="B2216">
        <v>3.55</v>
      </c>
    </row>
    <row r="2217" spans="1:2">
      <c r="A2217" s="1">
        <v>45565</v>
      </c>
      <c r="B2217">
        <v>3.66</v>
      </c>
    </row>
    <row r="2218" spans="1:2">
      <c r="A2218" s="1">
        <v>45566</v>
      </c>
      <c r="B2218">
        <v>3.61</v>
      </c>
    </row>
    <row r="2219" spans="1:2">
      <c r="A2219" s="1">
        <v>45567</v>
      </c>
      <c r="B2219">
        <v>3.63</v>
      </c>
    </row>
    <row r="2220" spans="1:2">
      <c r="A2220" s="1">
        <v>45568</v>
      </c>
      <c r="B2220">
        <v>3.7</v>
      </c>
    </row>
    <row r="2221" spans="1:2">
      <c r="A2221" s="1">
        <v>45569</v>
      </c>
      <c r="B2221">
        <v>3.93</v>
      </c>
    </row>
    <row r="2222" spans="1:2">
      <c r="A2222" s="1">
        <v>45572</v>
      </c>
      <c r="B2222">
        <v>3.99</v>
      </c>
    </row>
    <row r="2223" spans="1:2">
      <c r="A2223" s="1">
        <v>45573</v>
      </c>
      <c r="B2223">
        <v>3.98</v>
      </c>
    </row>
    <row r="2224" spans="1:2">
      <c r="A2224" s="1">
        <v>45574</v>
      </c>
      <c r="B2224">
        <v>3.99</v>
      </c>
    </row>
    <row r="2225" spans="1:2">
      <c r="A2225" s="1">
        <v>45575</v>
      </c>
      <c r="B2225">
        <v>3.98</v>
      </c>
    </row>
    <row r="2226" spans="1:2">
      <c r="A2226" s="1">
        <v>45576</v>
      </c>
      <c r="B2226">
        <v>3.95</v>
      </c>
    </row>
    <row r="2227" spans="1:2">
      <c r="A2227" s="1">
        <v>45579</v>
      </c>
    </row>
    <row r="2228" spans="1:2">
      <c r="A2228" s="1">
        <v>45580</v>
      </c>
      <c r="B2228">
        <v>3.95</v>
      </c>
    </row>
    <row r="2229" spans="1:2">
      <c r="A2229" s="1">
        <v>45581</v>
      </c>
      <c r="B2229">
        <v>3.93</v>
      </c>
    </row>
    <row r="2230" spans="1:2">
      <c r="A2230" s="1">
        <v>45582</v>
      </c>
      <c r="B2230">
        <v>3.96</v>
      </c>
    </row>
    <row r="2231" spans="1:2">
      <c r="A2231" s="1">
        <v>45583</v>
      </c>
      <c r="B2231">
        <v>3.95</v>
      </c>
    </row>
    <row r="2232" spans="1:2">
      <c r="A2232" s="1">
        <v>45586</v>
      </c>
      <c r="B2232">
        <v>4.0199999999999996</v>
      </c>
    </row>
    <row r="2233" spans="1:2">
      <c r="A2233" s="1">
        <v>45587</v>
      </c>
      <c r="B2233">
        <v>4.03</v>
      </c>
    </row>
    <row r="2234" spans="1:2">
      <c r="A2234" s="1">
        <v>45588</v>
      </c>
      <c r="B2234">
        <v>4.07</v>
      </c>
    </row>
    <row r="2235" spans="1:2">
      <c r="A2235" s="1">
        <v>45589</v>
      </c>
      <c r="B2235">
        <v>4.07</v>
      </c>
    </row>
    <row r="2236" spans="1:2">
      <c r="A2236" s="1">
        <v>45590</v>
      </c>
      <c r="B2236">
        <v>4.1100000000000003</v>
      </c>
    </row>
    <row r="2237" spans="1:2">
      <c r="A2237" s="1">
        <v>45593</v>
      </c>
      <c r="B2237">
        <v>4.12</v>
      </c>
    </row>
    <row r="2238" spans="1:2">
      <c r="A2238" s="1">
        <v>45594</v>
      </c>
      <c r="B2238">
        <v>4.1100000000000003</v>
      </c>
    </row>
    <row r="2239" spans="1:2">
      <c r="A2239" s="1">
        <v>45595</v>
      </c>
      <c r="B2239">
        <v>4.1500000000000004</v>
      </c>
    </row>
    <row r="2240" spans="1:2">
      <c r="A2240" s="1">
        <v>45596</v>
      </c>
      <c r="B2240">
        <v>4.16</v>
      </c>
    </row>
    <row r="2241" spans="1:2">
      <c r="A2241" s="1">
        <v>45597</v>
      </c>
      <c r="B2241">
        <v>4.21</v>
      </c>
    </row>
    <row r="2242" spans="1:2">
      <c r="A2242" s="1">
        <v>45600</v>
      </c>
      <c r="B2242">
        <v>4.17</v>
      </c>
    </row>
    <row r="2243" spans="1:2">
      <c r="A2243" s="1">
        <v>45601</v>
      </c>
      <c r="B2243">
        <v>4.1900000000000004</v>
      </c>
    </row>
    <row r="2244" spans="1:2">
      <c r="A2244" s="1">
        <v>45602</v>
      </c>
      <c r="B2244">
        <v>4.2699999999999996</v>
      </c>
    </row>
    <row r="2245" spans="1:2">
      <c r="A2245" s="1">
        <v>45603</v>
      </c>
      <c r="B2245">
        <v>4.21</v>
      </c>
    </row>
    <row r="2246" spans="1:2">
      <c r="A2246" s="1">
        <v>45604</v>
      </c>
      <c r="B2246">
        <v>4.26</v>
      </c>
    </row>
    <row r="2247" spans="1:2">
      <c r="A2247" s="1">
        <v>45607</v>
      </c>
    </row>
    <row r="2248" spans="1:2">
      <c r="A2248" s="1">
        <v>45608</v>
      </c>
      <c r="B2248">
        <v>4.34</v>
      </c>
    </row>
    <row r="2249" spans="1:2">
      <c r="A2249" s="1">
        <v>45609</v>
      </c>
      <c r="B2249">
        <v>4.2699999999999996</v>
      </c>
    </row>
    <row r="2250" spans="1:2">
      <c r="A2250" s="1">
        <v>45610</v>
      </c>
      <c r="B2250">
        <v>4.34</v>
      </c>
    </row>
    <row r="2251" spans="1:2">
      <c r="A2251" s="1">
        <v>45611</v>
      </c>
      <c r="B2251">
        <v>4.3099999999999996</v>
      </c>
    </row>
    <row r="2252" spans="1:2">
      <c r="A2252" s="1">
        <v>45614</v>
      </c>
      <c r="B2252">
        <v>4.29</v>
      </c>
    </row>
    <row r="2253" spans="1:2">
      <c r="A2253" s="1">
        <v>45615</v>
      </c>
      <c r="B2253">
        <v>4.2699999999999996</v>
      </c>
    </row>
    <row r="2254" spans="1:2">
      <c r="A2254" s="1">
        <v>45616</v>
      </c>
      <c r="B2254">
        <v>4.3099999999999996</v>
      </c>
    </row>
    <row r="2255" spans="1:2">
      <c r="A2255" s="1">
        <v>45617</v>
      </c>
      <c r="B2255">
        <v>4.34</v>
      </c>
    </row>
    <row r="2256" spans="1:2">
      <c r="A2256" s="1">
        <v>45618</v>
      </c>
      <c r="B2256">
        <v>4.37</v>
      </c>
    </row>
    <row r="2257" spans="1:2">
      <c r="A2257" s="1">
        <v>45621</v>
      </c>
      <c r="B2257">
        <v>4.21</v>
      </c>
    </row>
    <row r="2258" spans="1:2">
      <c r="A2258" s="1">
        <v>45622</v>
      </c>
      <c r="B2258">
        <v>4.21</v>
      </c>
    </row>
    <row r="2259" spans="1:2">
      <c r="A2259" s="1">
        <v>45623</v>
      </c>
      <c r="B2259">
        <v>4.1900000000000004</v>
      </c>
    </row>
    <row r="2260" spans="1:2">
      <c r="A2260" s="1">
        <v>45624</v>
      </c>
    </row>
    <row r="2261" spans="1:2">
      <c r="A2261" s="1">
        <v>45625</v>
      </c>
      <c r="B2261">
        <v>4.13</v>
      </c>
    </row>
    <row r="2262" spans="1:2">
      <c r="A2262" s="1">
        <v>45628</v>
      </c>
      <c r="B2262">
        <v>4.17</v>
      </c>
    </row>
    <row r="2263" spans="1:2">
      <c r="A2263" s="1">
        <v>45629</v>
      </c>
      <c r="B2263">
        <v>4.17</v>
      </c>
    </row>
    <row r="2264" spans="1:2">
      <c r="A2264" s="1">
        <v>45630</v>
      </c>
      <c r="B2264">
        <v>4.13</v>
      </c>
    </row>
    <row r="2265" spans="1:2">
      <c r="A2265" s="1">
        <v>45631</v>
      </c>
      <c r="B2265">
        <v>4.1500000000000004</v>
      </c>
    </row>
    <row r="2266" spans="1:2">
      <c r="A2266" s="1">
        <v>45632</v>
      </c>
      <c r="B2266">
        <v>4.0999999999999996</v>
      </c>
    </row>
    <row r="2267" spans="1:2">
      <c r="A2267" s="1">
        <v>45635</v>
      </c>
      <c r="B2267">
        <v>4.13</v>
      </c>
    </row>
    <row r="2268" spans="1:2">
      <c r="A2268" s="1">
        <v>45636</v>
      </c>
      <c r="B2268">
        <v>4.1500000000000004</v>
      </c>
    </row>
    <row r="2269" spans="1:2">
      <c r="A2269" s="1">
        <v>45637</v>
      </c>
      <c r="B2269">
        <v>4.1500000000000004</v>
      </c>
    </row>
    <row r="2270" spans="1:2">
      <c r="A2270" s="1">
        <v>45638</v>
      </c>
      <c r="B2270">
        <v>4.18</v>
      </c>
    </row>
    <row r="2271" spans="1:2">
      <c r="A2271" s="1">
        <v>45639</v>
      </c>
      <c r="B2271">
        <v>4.25</v>
      </c>
    </row>
    <row r="2272" spans="1:2">
      <c r="A2272" s="1">
        <v>45642</v>
      </c>
      <c r="B2272">
        <v>4.25</v>
      </c>
    </row>
    <row r="2273" spans="1:2">
      <c r="A2273" s="1">
        <v>45643</v>
      </c>
      <c r="B2273">
        <v>4.25</v>
      </c>
    </row>
    <row r="2274" spans="1:2">
      <c r="A2274" s="1">
        <v>45644</v>
      </c>
      <c r="B2274">
        <v>4.3499999999999996</v>
      </c>
    </row>
    <row r="2275" spans="1:2">
      <c r="A2275" s="1">
        <v>45645</v>
      </c>
      <c r="B2275">
        <v>4.32</v>
      </c>
    </row>
    <row r="2276" spans="1:2">
      <c r="A2276" s="1">
        <v>45646</v>
      </c>
      <c r="B2276">
        <v>4.3</v>
      </c>
    </row>
    <row r="2277" spans="1:2">
      <c r="A2277" s="1">
        <v>45649</v>
      </c>
      <c r="B2277">
        <v>4.3</v>
      </c>
    </row>
    <row r="2278" spans="1:2">
      <c r="A2278" s="1">
        <v>45650</v>
      </c>
      <c r="B2278">
        <v>4.29</v>
      </c>
    </row>
    <row r="2279" spans="1:2">
      <c r="A2279" s="1">
        <v>45651</v>
      </c>
    </row>
    <row r="2280" spans="1:2">
      <c r="A2280" s="1">
        <v>45652</v>
      </c>
      <c r="B2280">
        <v>4.3</v>
      </c>
    </row>
    <row r="2281" spans="1:2">
      <c r="A2281" s="1">
        <v>45653</v>
      </c>
      <c r="B2281">
        <v>4.3099999999999996</v>
      </c>
    </row>
    <row r="2282" spans="1:2">
      <c r="A2282" s="1">
        <v>45656</v>
      </c>
      <c r="B2282">
        <v>4.24</v>
      </c>
    </row>
    <row r="2283" spans="1:2">
      <c r="A2283" s="1">
        <v>45657</v>
      </c>
      <c r="B2283">
        <v>4.25</v>
      </c>
    </row>
    <row r="2284" spans="1:2">
      <c r="A2284" s="1">
        <v>45658</v>
      </c>
    </row>
    <row r="2285" spans="1:2">
      <c r="A2285" s="1">
        <v>45659</v>
      </c>
      <c r="B2285">
        <v>4.25</v>
      </c>
    </row>
    <row r="2286" spans="1:2">
      <c r="A2286" s="1">
        <v>45660</v>
      </c>
      <c r="B2286">
        <v>4.28</v>
      </c>
    </row>
    <row r="2287" spans="1:2">
      <c r="A2287" s="1">
        <v>45663</v>
      </c>
      <c r="B2287">
        <v>4.28</v>
      </c>
    </row>
    <row r="2288" spans="1:2">
      <c r="A2288" s="1">
        <v>45664</v>
      </c>
      <c r="B2288">
        <v>4.3</v>
      </c>
    </row>
    <row r="2289" spans="1:2">
      <c r="A2289" s="1">
        <v>45665</v>
      </c>
      <c r="B2289">
        <v>4.28</v>
      </c>
    </row>
    <row r="2290" spans="1:2">
      <c r="A2290" s="1">
        <v>45666</v>
      </c>
      <c r="B2290">
        <v>4.2699999999999996</v>
      </c>
    </row>
    <row r="2291" spans="1:2">
      <c r="A2291" s="1">
        <v>45667</v>
      </c>
      <c r="B2291">
        <v>4.4000000000000004</v>
      </c>
    </row>
    <row r="2292" spans="1:2">
      <c r="A2292" s="1">
        <v>45670</v>
      </c>
      <c r="B2292">
        <v>4.4000000000000004</v>
      </c>
    </row>
    <row r="2293" spans="1:2">
      <c r="A2293" s="1">
        <v>45671</v>
      </c>
      <c r="B2293">
        <v>4.37</v>
      </c>
    </row>
    <row r="2294" spans="1:2">
      <c r="A2294" s="1">
        <v>45672</v>
      </c>
      <c r="B2294">
        <v>4.2699999999999996</v>
      </c>
    </row>
    <row r="2295" spans="1:2">
      <c r="A2295" s="1">
        <v>45673</v>
      </c>
      <c r="B2295">
        <v>4.2300000000000004</v>
      </c>
    </row>
    <row r="2296" spans="1:2">
      <c r="A2296" s="1">
        <v>45674</v>
      </c>
      <c r="B2296">
        <v>4.2699999999999996</v>
      </c>
    </row>
    <row r="2297" spans="1:2">
      <c r="A2297" s="1">
        <v>45677</v>
      </c>
    </row>
    <row r="2298" spans="1:2">
      <c r="A2298" s="1">
        <v>45678</v>
      </c>
      <c r="B2298">
        <v>4.29</v>
      </c>
    </row>
    <row r="2299" spans="1:2">
      <c r="A2299" s="1">
        <v>45679</v>
      </c>
      <c r="B2299">
        <v>4.29</v>
      </c>
    </row>
    <row r="2300" spans="1:2">
      <c r="A2300" s="1">
        <v>45680</v>
      </c>
      <c r="B2300">
        <v>4.29</v>
      </c>
    </row>
    <row r="2301" spans="1:2">
      <c r="A2301" s="1">
        <v>45681</v>
      </c>
      <c r="B2301">
        <v>4.2699999999999996</v>
      </c>
    </row>
    <row r="2302" spans="1:2">
      <c r="A2302" s="1">
        <v>45684</v>
      </c>
      <c r="B2302">
        <v>4.17</v>
      </c>
    </row>
    <row r="2303" spans="1:2">
      <c r="A2303" s="1">
        <v>45685</v>
      </c>
      <c r="B2303">
        <v>4.1900000000000004</v>
      </c>
    </row>
    <row r="2304" spans="1:2">
      <c r="A2304" s="1">
        <v>45686</v>
      </c>
      <c r="B2304">
        <v>4.21</v>
      </c>
    </row>
    <row r="2305" spans="1:2">
      <c r="A2305" s="1">
        <v>45687</v>
      </c>
      <c r="B2305">
        <v>4.18</v>
      </c>
    </row>
    <row r="2306" spans="1:2">
      <c r="A2306" s="1">
        <v>45688</v>
      </c>
      <c r="B2306">
        <v>4.22</v>
      </c>
    </row>
    <row r="2307" spans="1:2">
      <c r="A2307" s="1">
        <v>45691</v>
      </c>
      <c r="B2307">
        <v>4.26</v>
      </c>
    </row>
    <row r="2308" spans="1:2">
      <c r="A2308" s="1">
        <v>45692</v>
      </c>
      <c r="B2308">
        <v>4.21</v>
      </c>
    </row>
    <row r="2309" spans="1:2">
      <c r="A2309" s="1">
        <v>45693</v>
      </c>
      <c r="B2309">
        <v>4.17</v>
      </c>
    </row>
    <row r="2310" spans="1:2">
      <c r="A2310" s="1">
        <v>45694</v>
      </c>
      <c r="B2310">
        <v>4.21</v>
      </c>
    </row>
    <row r="2311" spans="1:2">
      <c r="A2311" s="1">
        <v>45695</v>
      </c>
      <c r="B2311">
        <v>4.29</v>
      </c>
    </row>
    <row r="2312" spans="1:2">
      <c r="A2312" s="1">
        <v>45698</v>
      </c>
      <c r="B2312">
        <v>4.28</v>
      </c>
    </row>
    <row r="2313" spans="1:2">
      <c r="A2313" s="1">
        <v>45699</v>
      </c>
      <c r="B2313">
        <v>4.29</v>
      </c>
    </row>
    <row r="2314" spans="1:2">
      <c r="A2314" s="1">
        <v>45700</v>
      </c>
      <c r="B2314">
        <v>4.3600000000000003</v>
      </c>
    </row>
    <row r="2315" spans="1:2">
      <c r="A2315" s="1">
        <v>45701</v>
      </c>
      <c r="B2315">
        <v>4.3099999999999996</v>
      </c>
    </row>
    <row r="2316" spans="1:2">
      <c r="A2316" s="1">
        <v>45702</v>
      </c>
      <c r="B2316">
        <v>4.26</v>
      </c>
    </row>
    <row r="2317" spans="1:2">
      <c r="A2317" s="1">
        <v>45705</v>
      </c>
    </row>
    <row r="2318" spans="1:2">
      <c r="A2318" s="1">
        <v>45706</v>
      </c>
      <c r="B2318">
        <v>4.29</v>
      </c>
    </row>
    <row r="2319" spans="1:2">
      <c r="A2319" s="1">
        <v>45707</v>
      </c>
      <c r="B2319">
        <v>4.28</v>
      </c>
    </row>
    <row r="2320" spans="1:2">
      <c r="A2320" s="1">
        <v>45708</v>
      </c>
      <c r="B2320">
        <v>4.28</v>
      </c>
    </row>
    <row r="2321" spans="1:2">
      <c r="A2321" s="1">
        <v>45709</v>
      </c>
      <c r="B2321">
        <v>4.1900000000000004</v>
      </c>
    </row>
    <row r="2322" spans="1:2">
      <c r="A2322" s="1">
        <v>45712</v>
      </c>
      <c r="B2322">
        <v>4.13</v>
      </c>
    </row>
    <row r="2323" spans="1:2">
      <c r="A2323" s="1">
        <v>45713</v>
      </c>
      <c r="B2323">
        <v>4.07</v>
      </c>
    </row>
    <row r="2324" spans="1:2">
      <c r="A2324" s="1">
        <v>45714</v>
      </c>
      <c r="B2324">
        <v>4.05</v>
      </c>
    </row>
    <row r="2325" spans="1:2">
      <c r="A2325" s="1">
        <v>45715</v>
      </c>
      <c r="B2325">
        <v>4.07</v>
      </c>
    </row>
    <row r="2326" spans="1:2">
      <c r="A2326" s="1">
        <v>45716</v>
      </c>
      <c r="B2326">
        <v>3.99</v>
      </c>
    </row>
    <row r="2327" spans="1:2">
      <c r="A2327" s="1">
        <v>45719</v>
      </c>
      <c r="B2327">
        <v>3.96</v>
      </c>
    </row>
    <row r="2328" spans="1:2">
      <c r="A2328" s="1">
        <v>45720</v>
      </c>
      <c r="B2328">
        <v>3.96</v>
      </c>
    </row>
    <row r="2329" spans="1:2">
      <c r="A2329" s="1">
        <v>45721</v>
      </c>
      <c r="B2329">
        <v>3.99</v>
      </c>
    </row>
    <row r="2330" spans="1:2">
      <c r="A2330" s="1">
        <v>45722</v>
      </c>
      <c r="B2330">
        <v>3.96</v>
      </c>
    </row>
    <row r="2331" spans="1:2">
      <c r="A2331" s="1">
        <v>45723</v>
      </c>
      <c r="B2331">
        <v>3.99</v>
      </c>
    </row>
    <row r="2332" spans="1:2">
      <c r="A2332" s="1">
        <v>45726</v>
      </c>
      <c r="B2332">
        <v>3.89</v>
      </c>
    </row>
    <row r="2333" spans="1:2">
      <c r="A2333" s="1">
        <v>45727</v>
      </c>
      <c r="B2333">
        <v>3.94</v>
      </c>
    </row>
    <row r="2334" spans="1:2">
      <c r="A2334" s="1">
        <v>45728</v>
      </c>
      <c r="B2334">
        <v>4.01</v>
      </c>
    </row>
    <row r="2335" spans="1:2">
      <c r="A2335" s="1">
        <v>45729</v>
      </c>
      <c r="B2335">
        <v>3.94</v>
      </c>
    </row>
    <row r="2336" spans="1:2">
      <c r="A2336" s="1">
        <v>45730</v>
      </c>
      <c r="B2336">
        <v>4.0199999999999996</v>
      </c>
    </row>
    <row r="2337" spans="1:2">
      <c r="A2337" s="1">
        <v>45733</v>
      </c>
      <c r="B2337">
        <v>4.0599999999999996</v>
      </c>
    </row>
    <row r="2338" spans="1:2">
      <c r="A2338" s="1">
        <v>45734</v>
      </c>
      <c r="B2338">
        <v>4.04</v>
      </c>
    </row>
    <row r="2339" spans="1:2">
      <c r="A2339" s="1">
        <v>45735</v>
      </c>
      <c r="B2339">
        <v>3.99</v>
      </c>
    </row>
    <row r="2340" spans="1:2">
      <c r="A2340" s="1">
        <v>45736</v>
      </c>
      <c r="B2340">
        <v>3.95</v>
      </c>
    </row>
    <row r="2341" spans="1:2">
      <c r="A2341" s="1">
        <v>45737</v>
      </c>
      <c r="B2341">
        <v>3.94</v>
      </c>
    </row>
    <row r="2342" spans="1:2">
      <c r="A2342" s="1">
        <v>45740</v>
      </c>
      <c r="B2342">
        <v>4.04</v>
      </c>
    </row>
    <row r="2343" spans="1:2">
      <c r="A2343" s="1">
        <v>45741</v>
      </c>
      <c r="B2343">
        <v>3.96</v>
      </c>
    </row>
    <row r="2344" spans="1:2">
      <c r="A2344" s="1">
        <v>45742</v>
      </c>
      <c r="B2344">
        <v>3.98</v>
      </c>
    </row>
    <row r="2345" spans="1:2">
      <c r="A2345" s="1">
        <v>45743</v>
      </c>
      <c r="B2345">
        <v>3.97</v>
      </c>
    </row>
    <row r="2346" spans="1:2">
      <c r="A2346" s="1">
        <v>45744</v>
      </c>
      <c r="B2346">
        <v>3.89</v>
      </c>
    </row>
    <row r="2347" spans="1:2">
      <c r="A2347" s="1">
        <v>45747</v>
      </c>
      <c r="B2347">
        <v>3.89</v>
      </c>
    </row>
    <row r="2348" spans="1:2">
      <c r="A2348" s="1">
        <v>45748</v>
      </c>
      <c r="B2348">
        <v>3.87</v>
      </c>
    </row>
    <row r="2349" spans="1:2">
      <c r="A2349" s="1">
        <v>45749</v>
      </c>
      <c r="B2349">
        <v>3.91</v>
      </c>
    </row>
    <row r="2350" spans="1:2">
      <c r="A2350" s="1">
        <v>45750</v>
      </c>
      <c r="B2350">
        <v>3.71</v>
      </c>
    </row>
    <row r="2351" spans="1:2">
      <c r="A2351" s="1">
        <v>45751</v>
      </c>
      <c r="B2351">
        <v>3.68</v>
      </c>
    </row>
    <row r="2352" spans="1:2">
      <c r="A2352" s="1">
        <v>45754</v>
      </c>
      <c r="B2352">
        <v>3.73</v>
      </c>
    </row>
    <row r="2353" spans="1:2">
      <c r="A2353" s="1">
        <v>45755</v>
      </c>
      <c r="B2353">
        <v>3.71</v>
      </c>
    </row>
    <row r="2354" spans="1:2">
      <c r="A2354" s="1">
        <v>45756</v>
      </c>
      <c r="B2354">
        <v>3.91</v>
      </c>
    </row>
    <row r="2355" spans="1:2">
      <c r="A2355" s="1">
        <v>45757</v>
      </c>
      <c r="B2355">
        <v>3.84</v>
      </c>
    </row>
    <row r="2356" spans="1:2">
      <c r="A2356" s="1">
        <v>45758</v>
      </c>
      <c r="B2356">
        <v>3.96</v>
      </c>
    </row>
    <row r="2357" spans="1:2">
      <c r="A2357" s="1">
        <v>45761</v>
      </c>
      <c r="B2357">
        <v>3.84</v>
      </c>
    </row>
    <row r="2358" spans="1:2">
      <c r="A2358" s="1">
        <v>45762</v>
      </c>
      <c r="B2358">
        <v>3.84</v>
      </c>
    </row>
    <row r="2359" spans="1:2">
      <c r="A2359" s="1">
        <v>45763</v>
      </c>
      <c r="B2359">
        <v>3.77</v>
      </c>
    </row>
    <row r="2360" spans="1:2">
      <c r="A2360" s="1">
        <v>45764</v>
      </c>
      <c r="B2360">
        <v>3.81</v>
      </c>
    </row>
    <row r="2361" spans="1:2">
      <c r="A2361" s="1">
        <v>45765</v>
      </c>
    </row>
    <row r="2362" spans="1:2">
      <c r="A2362" s="1">
        <v>45768</v>
      </c>
      <c r="B2362">
        <v>3.75</v>
      </c>
    </row>
    <row r="2363" spans="1:2">
      <c r="A2363" s="1">
        <v>45769</v>
      </c>
      <c r="B2363">
        <v>3.76</v>
      </c>
    </row>
    <row r="2364" spans="1:2">
      <c r="A2364" s="1">
        <v>45770</v>
      </c>
      <c r="B2364">
        <v>3.81</v>
      </c>
    </row>
    <row r="2365" spans="1:2">
      <c r="A2365" s="1">
        <v>45771</v>
      </c>
      <c r="B2365">
        <v>3.77</v>
      </c>
    </row>
    <row r="2366" spans="1:2">
      <c r="A2366" s="1">
        <v>45772</v>
      </c>
      <c r="B2366">
        <v>3.74</v>
      </c>
    </row>
    <row r="2367" spans="1:2">
      <c r="A2367" s="1">
        <v>45775</v>
      </c>
      <c r="B2367">
        <v>3.67</v>
      </c>
    </row>
    <row r="2368" spans="1:2">
      <c r="A2368" s="1">
        <v>45776</v>
      </c>
      <c r="B2368">
        <v>3.65</v>
      </c>
    </row>
    <row r="2369" spans="1:2">
      <c r="A2369" s="1">
        <v>45777</v>
      </c>
      <c r="B2369">
        <v>3.6</v>
      </c>
    </row>
    <row r="2370" spans="1:2">
      <c r="A2370" s="1">
        <v>45778</v>
      </c>
      <c r="B2370">
        <v>3.7</v>
      </c>
    </row>
    <row r="2371" spans="1:2">
      <c r="A2371" s="1">
        <v>45779</v>
      </c>
      <c r="B2371">
        <v>3.83</v>
      </c>
    </row>
    <row r="2372" spans="1:2">
      <c r="A2372" s="1">
        <v>45782</v>
      </c>
      <c r="B2372">
        <v>3.83</v>
      </c>
    </row>
    <row r="2373" spans="1:2">
      <c r="A2373" s="1">
        <v>45783</v>
      </c>
      <c r="B2373">
        <v>3.78</v>
      </c>
    </row>
    <row r="2374" spans="1:2">
      <c r="A2374" s="1">
        <v>45784</v>
      </c>
      <c r="B2374">
        <v>3.78</v>
      </c>
    </row>
    <row r="2375" spans="1:2">
      <c r="A2375" s="1">
        <v>45785</v>
      </c>
      <c r="B2375">
        <v>3.9</v>
      </c>
    </row>
    <row r="2376" spans="1:2">
      <c r="A2376" s="1">
        <v>45786</v>
      </c>
      <c r="B2376">
        <v>3.88</v>
      </c>
    </row>
    <row r="2377" spans="1:2">
      <c r="A2377" s="1">
        <v>45789</v>
      </c>
      <c r="B2377">
        <v>3.98</v>
      </c>
    </row>
    <row r="2378" spans="1:2">
      <c r="A2378" s="1">
        <v>45790</v>
      </c>
      <c r="B2378">
        <v>4.0199999999999996</v>
      </c>
    </row>
    <row r="2379" spans="1:2">
      <c r="A2379" s="1">
        <v>45791</v>
      </c>
      <c r="B2379">
        <v>4.05</v>
      </c>
    </row>
    <row r="2380" spans="1:2">
      <c r="A2380" s="1">
        <v>45792</v>
      </c>
      <c r="B2380">
        <v>3.96</v>
      </c>
    </row>
    <row r="2381" spans="1:2">
      <c r="A2381" s="1">
        <v>45793</v>
      </c>
      <c r="B2381">
        <v>3.98</v>
      </c>
    </row>
    <row r="2382" spans="1:2">
      <c r="A2382" s="1">
        <v>45796</v>
      </c>
      <c r="B2382">
        <v>3.97</v>
      </c>
    </row>
    <row r="2383" spans="1:2">
      <c r="A2383" s="1">
        <v>45797</v>
      </c>
      <c r="B2383">
        <v>3.97</v>
      </c>
    </row>
    <row r="2384" spans="1:2">
      <c r="A2384" s="1">
        <v>45798</v>
      </c>
      <c r="B2384">
        <v>4</v>
      </c>
    </row>
    <row r="2385" spans="1:2">
      <c r="A2385" s="1">
        <v>45799</v>
      </c>
      <c r="B2385">
        <v>4</v>
      </c>
    </row>
    <row r="2386" spans="1:2">
      <c r="A2386" s="1">
        <v>45800</v>
      </c>
      <c r="B2386">
        <v>4</v>
      </c>
    </row>
    <row r="2387" spans="1:2">
      <c r="A2387" s="1">
        <v>45803</v>
      </c>
    </row>
    <row r="2388" spans="1:2">
      <c r="A2388" s="1">
        <v>45804</v>
      </c>
      <c r="B2388">
        <v>3.92</v>
      </c>
    </row>
    <row r="2389" spans="1:2">
      <c r="A2389" s="1">
        <v>45805</v>
      </c>
      <c r="B2389">
        <v>3.96</v>
      </c>
    </row>
    <row r="2390" spans="1:2">
      <c r="A2390" s="1">
        <v>45806</v>
      </c>
      <c r="B2390">
        <v>3.92</v>
      </c>
    </row>
    <row r="2391" spans="1:2">
      <c r="A2391" s="1">
        <v>45807</v>
      </c>
      <c r="B2391">
        <v>3.89</v>
      </c>
    </row>
    <row r="2392" spans="1:2">
      <c r="A2392" s="1">
        <v>45810</v>
      </c>
      <c r="B2392">
        <v>3.94</v>
      </c>
    </row>
    <row r="2393" spans="1:2">
      <c r="A2393" s="1">
        <v>45811</v>
      </c>
      <c r="B2393">
        <v>3.96</v>
      </c>
    </row>
    <row r="2394" spans="1:2">
      <c r="A2394" s="1">
        <v>45812</v>
      </c>
      <c r="B2394">
        <v>3.87</v>
      </c>
    </row>
    <row r="2395" spans="1:2">
      <c r="A2395" s="1">
        <v>45813</v>
      </c>
      <c r="B2395">
        <v>3.92</v>
      </c>
    </row>
    <row r="2396" spans="1:2">
      <c r="A2396" s="1">
        <v>45814</v>
      </c>
      <c r="B2396">
        <v>4.04</v>
      </c>
    </row>
    <row r="2397" spans="1:2">
      <c r="A2397" s="1">
        <v>45817</v>
      </c>
      <c r="B2397">
        <v>4.01</v>
      </c>
    </row>
    <row r="2398" spans="1:2">
      <c r="A2398" s="1">
        <v>45818</v>
      </c>
      <c r="B2398">
        <v>4.01</v>
      </c>
    </row>
    <row r="2399" spans="1:2">
      <c r="A2399" s="1">
        <v>45819</v>
      </c>
      <c r="B2399">
        <v>3.94</v>
      </c>
    </row>
    <row r="2400" spans="1:2">
      <c r="A2400" s="1">
        <v>45820</v>
      </c>
      <c r="B2400">
        <v>3.9</v>
      </c>
    </row>
    <row r="2401" spans="1:2">
      <c r="A2401" s="1">
        <v>45821</v>
      </c>
      <c r="B2401">
        <v>3.96</v>
      </c>
    </row>
    <row r="2402" spans="1:2">
      <c r="A2402" s="1">
        <v>45824</v>
      </c>
      <c r="B2402">
        <v>3.97</v>
      </c>
    </row>
    <row r="2403" spans="1:2">
      <c r="A2403" s="1">
        <v>45825</v>
      </c>
      <c r="B2403">
        <v>3.94</v>
      </c>
    </row>
    <row r="2404" spans="1:2">
      <c r="A2404" s="1">
        <v>45826</v>
      </c>
      <c r="B2404">
        <v>3.94</v>
      </c>
    </row>
    <row r="2405" spans="1:2">
      <c r="A2405" s="1">
        <v>45827</v>
      </c>
    </row>
    <row r="2406" spans="1:2">
      <c r="A2406" s="1">
        <v>45828</v>
      </c>
      <c r="B2406">
        <v>3.9</v>
      </c>
    </row>
    <row r="2407" spans="1:2">
      <c r="A2407" s="1">
        <v>45831</v>
      </c>
      <c r="B2407">
        <v>3.84</v>
      </c>
    </row>
    <row r="2408" spans="1:2">
      <c r="A2408" s="1">
        <v>45832</v>
      </c>
      <c r="B2408">
        <v>3.75</v>
      </c>
    </row>
    <row r="2409" spans="1:2">
      <c r="A2409" s="1">
        <v>45833</v>
      </c>
      <c r="B2409">
        <v>3.74</v>
      </c>
    </row>
    <row r="2410" spans="1:2">
      <c r="A2410" s="1">
        <v>45834</v>
      </c>
      <c r="B2410">
        <v>3.7</v>
      </c>
    </row>
    <row r="2411" spans="1:2">
      <c r="A2411" s="1">
        <v>45835</v>
      </c>
      <c r="B2411">
        <v>3.73</v>
      </c>
    </row>
    <row r="2412" spans="1:2">
      <c r="A2412" s="1">
        <v>45838</v>
      </c>
      <c r="B2412">
        <v>3.72</v>
      </c>
    </row>
    <row r="2413" spans="1:2">
      <c r="A2413" s="1">
        <v>45839</v>
      </c>
      <c r="B2413">
        <v>3.78</v>
      </c>
    </row>
    <row r="2414" spans="1:2">
      <c r="A2414" s="1">
        <v>45840</v>
      </c>
      <c r="B2414">
        <v>3.78</v>
      </c>
    </row>
    <row r="2415" spans="1:2">
      <c r="A2415" s="1">
        <v>45841</v>
      </c>
      <c r="B2415">
        <v>3.88</v>
      </c>
    </row>
    <row r="2416" spans="1:2">
      <c r="A2416" s="1">
        <v>45842</v>
      </c>
    </row>
    <row r="2417" spans="1:2">
      <c r="A2417" s="1">
        <v>45845</v>
      </c>
      <c r="B2417">
        <v>3.9</v>
      </c>
    </row>
    <row r="2418" spans="1:2">
      <c r="A2418" s="1">
        <v>45846</v>
      </c>
      <c r="B2418">
        <v>3.9</v>
      </c>
    </row>
    <row r="2419" spans="1:2">
      <c r="A2419" s="1">
        <v>45847</v>
      </c>
      <c r="B2419">
        <v>3.86</v>
      </c>
    </row>
    <row r="2420" spans="1:2">
      <c r="A2420" s="1">
        <v>45848</v>
      </c>
      <c r="B2420">
        <v>3.86</v>
      </c>
    </row>
    <row r="2421" spans="1:2">
      <c r="A2421" s="1">
        <v>45849</v>
      </c>
      <c r="B2421">
        <v>3.9</v>
      </c>
    </row>
    <row r="2422" spans="1:2">
      <c r="A2422" s="1">
        <v>45852</v>
      </c>
      <c r="B2422">
        <v>3.9</v>
      </c>
    </row>
    <row r="2423" spans="1:2">
      <c r="A2423" s="1">
        <v>45853</v>
      </c>
      <c r="B2423">
        <v>3.95</v>
      </c>
    </row>
    <row r="2424" spans="1:2">
      <c r="A2424" s="1">
        <v>45854</v>
      </c>
      <c r="B2424">
        <v>3.88</v>
      </c>
    </row>
    <row r="2425" spans="1:2">
      <c r="A2425" s="1">
        <v>45855</v>
      </c>
      <c r="B2425">
        <v>3.91</v>
      </c>
    </row>
    <row r="2426" spans="1:2">
      <c r="A2426" s="1">
        <v>45856</v>
      </c>
      <c r="B2426">
        <v>3.88</v>
      </c>
    </row>
    <row r="2427" spans="1:2">
      <c r="A2427" s="1">
        <v>45859</v>
      </c>
      <c r="B2427">
        <v>3.85</v>
      </c>
    </row>
    <row r="2428" spans="1:2">
      <c r="A2428" s="1">
        <v>45860</v>
      </c>
      <c r="B2428">
        <v>3.83</v>
      </c>
    </row>
    <row r="2429" spans="1:2">
      <c r="A2429" s="1">
        <v>45861</v>
      </c>
      <c r="B2429">
        <v>3.88</v>
      </c>
    </row>
    <row r="2430" spans="1:2">
      <c r="A2430" s="1">
        <v>45862</v>
      </c>
      <c r="B2430">
        <v>3.91</v>
      </c>
    </row>
    <row r="2431" spans="1:2">
      <c r="A2431" s="1">
        <v>45863</v>
      </c>
      <c r="B2431">
        <v>3.91</v>
      </c>
    </row>
    <row r="2432" spans="1:2">
      <c r="A2432" s="1">
        <v>45866</v>
      </c>
      <c r="B2432">
        <v>3.91</v>
      </c>
    </row>
    <row r="2433" spans="1:2">
      <c r="A2433" s="1">
        <v>45867</v>
      </c>
      <c r="B2433">
        <v>3.86</v>
      </c>
    </row>
    <row r="2434" spans="1:2">
      <c r="A2434" s="1">
        <v>45868</v>
      </c>
      <c r="B2434">
        <v>3.94</v>
      </c>
    </row>
    <row r="2435" spans="1:2">
      <c r="A2435" s="1">
        <v>45869</v>
      </c>
      <c r="B2435">
        <v>3.94</v>
      </c>
    </row>
    <row r="2436" spans="1:2">
      <c r="A2436" s="1">
        <v>45870</v>
      </c>
      <c r="B2436">
        <v>3.69</v>
      </c>
    </row>
    <row r="2437" spans="1:2">
      <c r="A2437" s="1">
        <v>45873</v>
      </c>
      <c r="B2437">
        <v>3.69</v>
      </c>
    </row>
    <row r="2438" spans="1:2">
      <c r="A2438" s="1">
        <v>45874</v>
      </c>
      <c r="B2438">
        <v>3.72</v>
      </c>
    </row>
    <row r="2439" spans="1:2">
      <c r="A2439" s="1">
        <v>45875</v>
      </c>
      <c r="B2439">
        <v>3.69</v>
      </c>
    </row>
    <row r="2440" spans="1:2">
      <c r="A2440" s="1">
        <v>45876</v>
      </c>
      <c r="B2440">
        <v>3.72</v>
      </c>
    </row>
    <row r="2441" spans="1:2">
      <c r="A2441" s="1">
        <v>45877</v>
      </c>
      <c r="B2441">
        <v>3.76</v>
      </c>
    </row>
    <row r="2442" spans="1:2">
      <c r="A2442" s="1">
        <v>45880</v>
      </c>
      <c r="B2442">
        <v>3.76</v>
      </c>
    </row>
    <row r="2443" spans="1:2">
      <c r="A2443" s="1">
        <v>45881</v>
      </c>
      <c r="B2443">
        <v>3.72</v>
      </c>
    </row>
    <row r="2444" spans="1:2">
      <c r="A2444" s="1">
        <v>45882</v>
      </c>
      <c r="B2444">
        <v>3.67</v>
      </c>
    </row>
    <row r="2445" spans="1:2">
      <c r="A2445" s="1">
        <v>45883</v>
      </c>
      <c r="B2445">
        <v>3.74</v>
      </c>
    </row>
    <row r="2446" spans="1:2">
      <c r="A2446" s="1">
        <v>45884</v>
      </c>
      <c r="B2446">
        <v>3.75</v>
      </c>
    </row>
    <row r="2447" spans="1:2">
      <c r="A2447" s="1">
        <v>45887</v>
      </c>
      <c r="B2447">
        <v>3.77</v>
      </c>
    </row>
    <row r="2448" spans="1:2">
      <c r="A2448" s="1">
        <v>45888</v>
      </c>
      <c r="B2448">
        <v>3.75</v>
      </c>
    </row>
    <row r="2449" spans="1:2">
      <c r="A2449" s="1">
        <v>45889</v>
      </c>
      <c r="B2449">
        <v>3.74</v>
      </c>
    </row>
    <row r="2450" spans="1:2">
      <c r="A2450" s="1">
        <v>45890</v>
      </c>
      <c r="B2450">
        <v>3.79</v>
      </c>
    </row>
    <row r="2451" spans="1:2">
      <c r="A2451" s="1">
        <v>45891</v>
      </c>
      <c r="B2451">
        <v>3.68</v>
      </c>
    </row>
    <row r="2452" spans="1:2">
      <c r="A2452" s="1">
        <v>45894</v>
      </c>
      <c r="B2452">
        <v>3.73</v>
      </c>
    </row>
    <row r="2453" spans="1:2">
      <c r="A2453" s="1">
        <v>45895</v>
      </c>
      <c r="B2453">
        <v>3.61</v>
      </c>
    </row>
    <row r="2454" spans="1:2">
      <c r="A2454" s="1">
        <v>45896</v>
      </c>
      <c r="B2454">
        <v>3.59</v>
      </c>
    </row>
    <row r="2455" spans="1:2">
      <c r="A2455" s="1">
        <v>45897</v>
      </c>
      <c r="B2455">
        <v>3.62</v>
      </c>
    </row>
    <row r="2456" spans="1:2">
      <c r="A2456" s="1">
        <v>45898</v>
      </c>
      <c r="B2456">
        <v>3.59</v>
      </c>
    </row>
    <row r="2457" spans="1:2">
      <c r="A2457" s="1">
        <v>45901</v>
      </c>
    </row>
    <row r="2458" spans="1:2">
      <c r="A2458" s="1">
        <v>45902</v>
      </c>
      <c r="B2458">
        <v>3.66</v>
      </c>
    </row>
    <row r="2459" spans="1:2">
      <c r="A2459" s="1">
        <v>45903</v>
      </c>
      <c r="B2459">
        <v>3.61</v>
      </c>
    </row>
    <row r="2460" spans="1:2">
      <c r="A2460" s="1">
        <v>45904</v>
      </c>
      <c r="B2460">
        <v>3.59</v>
      </c>
    </row>
    <row r="2461" spans="1:2">
      <c r="A2461" s="1">
        <v>45905</v>
      </c>
      <c r="B2461">
        <v>3.51</v>
      </c>
    </row>
    <row r="2462" spans="1:2">
      <c r="A2462" s="1">
        <v>45908</v>
      </c>
      <c r="B2462">
        <v>3.49</v>
      </c>
    </row>
    <row r="2463" spans="1:2">
      <c r="A2463" s="1">
        <v>45909</v>
      </c>
      <c r="B2463">
        <v>3.54</v>
      </c>
    </row>
    <row r="2464" spans="1:2">
      <c r="A2464" s="1">
        <v>45910</v>
      </c>
      <c r="B2464">
        <v>3.54</v>
      </c>
    </row>
    <row r="2465" spans="1:2">
      <c r="A2465" s="1">
        <v>45911</v>
      </c>
      <c r="B2465">
        <v>3.52</v>
      </c>
    </row>
    <row r="2466" spans="1:2">
      <c r="A2466" s="1">
        <v>45912</v>
      </c>
      <c r="B2466">
        <v>3.56</v>
      </c>
    </row>
    <row r="2467" spans="1:2">
      <c r="A2467" s="1">
        <v>45915</v>
      </c>
      <c r="B2467">
        <v>3.54</v>
      </c>
    </row>
    <row r="2468" spans="1:2">
      <c r="A2468" s="1">
        <v>45916</v>
      </c>
      <c r="B2468">
        <v>3.51</v>
      </c>
    </row>
    <row r="2469" spans="1:2">
      <c r="A2469" s="1">
        <v>45917</v>
      </c>
      <c r="B2469">
        <v>3.52</v>
      </c>
    </row>
    <row r="2470" spans="1:2">
      <c r="A2470" s="1">
        <v>45918</v>
      </c>
      <c r="B2470">
        <v>3.57</v>
      </c>
    </row>
    <row r="2471" spans="1:2">
      <c r="A2471" s="1">
        <v>45919</v>
      </c>
      <c r="B2471">
        <v>3.57</v>
      </c>
    </row>
    <row r="2472" spans="1:2">
      <c r="A2472" s="1">
        <v>45922</v>
      </c>
      <c r="B2472">
        <v>3.61</v>
      </c>
    </row>
    <row r="2473" spans="1:2">
      <c r="A2473" s="1">
        <v>45923</v>
      </c>
      <c r="B2473">
        <v>3.53</v>
      </c>
    </row>
    <row r="2474" spans="1:2">
      <c r="A2474" s="1">
        <v>45924</v>
      </c>
      <c r="B2474">
        <v>3.57</v>
      </c>
    </row>
    <row r="2475" spans="1:2">
      <c r="A2475" s="1">
        <v>45925</v>
      </c>
      <c r="B2475">
        <v>3.64</v>
      </c>
    </row>
    <row r="2476" spans="1:2">
      <c r="A2476" s="1">
        <v>45926</v>
      </c>
      <c r="B2476">
        <v>3.63</v>
      </c>
    </row>
    <row r="2477" spans="1:2">
      <c r="A2477" s="1">
        <v>45929</v>
      </c>
      <c r="B2477">
        <v>3.63</v>
      </c>
    </row>
    <row r="2478" spans="1:2">
      <c r="A2478" s="1">
        <v>45930</v>
      </c>
      <c r="B2478">
        <v>3.6</v>
      </c>
    </row>
    <row r="2479" spans="1:2">
      <c r="A2479" s="1">
        <v>45931</v>
      </c>
      <c r="B2479">
        <v>3.55</v>
      </c>
    </row>
    <row r="2480" spans="1:2">
      <c r="A2480" s="1">
        <v>45932</v>
      </c>
      <c r="B2480">
        <v>3.55</v>
      </c>
    </row>
    <row r="2481" spans="1:2">
      <c r="A2481" s="1">
        <v>45933</v>
      </c>
      <c r="B2481">
        <v>3.58</v>
      </c>
    </row>
    <row r="2482" spans="1:2">
      <c r="A2482" s="1">
        <v>45936</v>
      </c>
      <c r="B2482">
        <v>3.6</v>
      </c>
    </row>
    <row r="2483" spans="1:2">
      <c r="A2483" s="1">
        <v>45937</v>
      </c>
      <c r="B2483">
        <v>3.57</v>
      </c>
    </row>
    <row r="2484" spans="1:2">
      <c r="A2484" s="1">
        <v>45938</v>
      </c>
      <c r="B2484">
        <v>3.58</v>
      </c>
    </row>
    <row r="2485" spans="1:2">
      <c r="A2485" s="1">
        <v>45939</v>
      </c>
      <c r="B2485">
        <v>3.6</v>
      </c>
    </row>
    <row r="2486" spans="1:2">
      <c r="A2486" s="1">
        <v>45940</v>
      </c>
      <c r="B2486">
        <v>3.52</v>
      </c>
    </row>
    <row r="2487" spans="1:2">
      <c r="A2487" s="1">
        <v>45943</v>
      </c>
    </row>
    <row r="2488" spans="1:2">
      <c r="A2488" s="1">
        <v>45944</v>
      </c>
      <c r="B2488">
        <v>3.48</v>
      </c>
    </row>
    <row r="2489" spans="1:2">
      <c r="A2489" s="1">
        <v>45945</v>
      </c>
      <c r="B2489">
        <v>3.5</v>
      </c>
    </row>
    <row r="2490" spans="1:2">
      <c r="A2490" s="1">
        <v>45946</v>
      </c>
      <c r="B2490">
        <v>3.41</v>
      </c>
    </row>
    <row r="2491" spans="1:2">
      <c r="A2491" s="1">
        <v>45947</v>
      </c>
      <c r="B2491">
        <v>3.46</v>
      </c>
    </row>
    <row r="2492" spans="1:2">
      <c r="A2492" s="1">
        <v>45950</v>
      </c>
      <c r="B2492">
        <v>3.46</v>
      </c>
    </row>
    <row r="2493" spans="1:2">
      <c r="A2493" s="1">
        <v>45951</v>
      </c>
      <c r="B2493">
        <v>3.45</v>
      </c>
    </row>
    <row r="2494" spans="1:2">
      <c r="A2494" s="1">
        <v>45952</v>
      </c>
      <c r="B2494">
        <v>3.45</v>
      </c>
    </row>
    <row r="2495" spans="1:2">
      <c r="A2495" s="1">
        <v>45953</v>
      </c>
      <c r="B2495">
        <v>3.48</v>
      </c>
    </row>
    <row r="2496" spans="1:2">
      <c r="A2496" s="1">
        <v>45954</v>
      </c>
      <c r="B2496">
        <v>3.48</v>
      </c>
    </row>
    <row r="2497" spans="1:2">
      <c r="A2497" s="1">
        <v>45957</v>
      </c>
      <c r="B2497">
        <v>3.48</v>
      </c>
    </row>
    <row r="2498" spans="1:2">
      <c r="A2498" s="1">
        <v>45958</v>
      </c>
      <c r="B2498">
        <v>3.47</v>
      </c>
    </row>
    <row r="2499" spans="1:2">
      <c r="A2499" s="1">
        <v>45959</v>
      </c>
      <c r="B2499">
        <v>3.59</v>
      </c>
    </row>
    <row r="2500" spans="1:2">
      <c r="A2500" s="1">
        <v>45960</v>
      </c>
      <c r="B2500">
        <v>3.61</v>
      </c>
    </row>
    <row r="2501" spans="1:2">
      <c r="A2501" s="1">
        <v>45961</v>
      </c>
      <c r="B2501">
        <v>3.6</v>
      </c>
    </row>
    <row r="2502" spans="1:2">
      <c r="A2502" s="1">
        <v>45964</v>
      </c>
      <c r="B2502">
        <v>3.6</v>
      </c>
    </row>
    <row r="2503" spans="1:2">
      <c r="A2503" s="1">
        <v>45965</v>
      </c>
      <c r="B2503">
        <v>3.58</v>
      </c>
    </row>
    <row r="2504" spans="1:2">
      <c r="A2504" s="1">
        <v>45966</v>
      </c>
      <c r="B2504">
        <v>3.63</v>
      </c>
    </row>
    <row r="2505" spans="1:2">
      <c r="A2505" s="1">
        <v>45967</v>
      </c>
      <c r="B2505">
        <v>3.57</v>
      </c>
    </row>
    <row r="2506" spans="1:2">
      <c r="A2506" s="1">
        <v>45968</v>
      </c>
      <c r="B2506">
        <v>3.55</v>
      </c>
    </row>
    <row r="2507" spans="1:2">
      <c r="A2507" s="1">
        <v>45971</v>
      </c>
      <c r="B2507">
        <v>3.58</v>
      </c>
    </row>
    <row r="2508" spans="1:2">
      <c r="A2508" s="1">
        <v>45972</v>
      </c>
    </row>
    <row r="2509" spans="1:2">
      <c r="A2509" s="1">
        <v>45973</v>
      </c>
      <c r="B2509">
        <v>3.56</v>
      </c>
    </row>
    <row r="2510" spans="1:2">
      <c r="A2510" s="1">
        <v>45974</v>
      </c>
      <c r="B2510">
        <v>3.58</v>
      </c>
    </row>
    <row r="2511" spans="1:2">
      <c r="A2511" s="1">
        <v>45975</v>
      </c>
      <c r="B2511">
        <v>3.62</v>
      </c>
    </row>
    <row r="2512" spans="1:2">
      <c r="A2512" s="1">
        <v>45978</v>
      </c>
      <c r="B2512">
        <v>3.6</v>
      </c>
    </row>
    <row r="2513" spans="1:2">
      <c r="A2513" s="1">
        <v>45979</v>
      </c>
      <c r="B2513">
        <v>3.58</v>
      </c>
    </row>
    <row r="2514" spans="1:2">
      <c r="A2514" s="1">
        <v>45980</v>
      </c>
      <c r="B2514">
        <v>3.58</v>
      </c>
    </row>
    <row r="2515" spans="1:2">
      <c r="A2515" s="1">
        <v>45981</v>
      </c>
      <c r="B2515">
        <v>3.55</v>
      </c>
    </row>
    <row r="2516" spans="1:2">
      <c r="A2516" s="1">
        <v>45982</v>
      </c>
      <c r="B2516">
        <v>3.51</v>
      </c>
    </row>
    <row r="2517" spans="1:2">
      <c r="A2517" s="1">
        <v>45985</v>
      </c>
      <c r="B2517">
        <v>3.46</v>
      </c>
    </row>
    <row r="2518" spans="1:2">
      <c r="A2518" s="1">
        <v>45986</v>
      </c>
      <c r="B2518">
        <v>3.43</v>
      </c>
    </row>
    <row r="2519" spans="1:2">
      <c r="A2519" s="1">
        <v>45987</v>
      </c>
      <c r="B2519">
        <v>3.45</v>
      </c>
    </row>
    <row r="2520" spans="1:2">
      <c r="A2520" s="1">
        <v>45988</v>
      </c>
    </row>
    <row r="2521" spans="1:2">
      <c r="A2521" s="1">
        <v>45989</v>
      </c>
      <c r="B2521">
        <v>3.47</v>
      </c>
    </row>
    <row r="2522" spans="1:2">
      <c r="A2522" s="1">
        <v>45992</v>
      </c>
      <c r="B2522">
        <v>3.54</v>
      </c>
    </row>
    <row r="2523" spans="1:2">
      <c r="A2523" s="1">
        <v>45993</v>
      </c>
      <c r="B2523">
        <v>3.51</v>
      </c>
    </row>
    <row r="2524" spans="1:2">
      <c r="A2524" s="1">
        <v>45994</v>
      </c>
      <c r="B2524">
        <v>3.49</v>
      </c>
    </row>
    <row r="2525" spans="1:2">
      <c r="A2525" s="1">
        <v>45995</v>
      </c>
      <c r="B2525">
        <v>3.52</v>
      </c>
    </row>
    <row r="2526" spans="1:2">
      <c r="A2526" s="1">
        <v>45996</v>
      </c>
      <c r="B2526">
        <v>3.56</v>
      </c>
    </row>
    <row r="2527" spans="1:2">
      <c r="A2527" s="1">
        <v>45999</v>
      </c>
      <c r="B2527">
        <v>3.57</v>
      </c>
    </row>
    <row r="2528" spans="1:2">
      <c r="A2528" s="1">
        <v>46000</v>
      </c>
      <c r="B2528">
        <v>3.61</v>
      </c>
    </row>
    <row r="2529" spans="1:2">
      <c r="A2529" s="1">
        <v>46001</v>
      </c>
      <c r="B2529">
        <v>3.54</v>
      </c>
    </row>
    <row r="2530" spans="1:2">
      <c r="A2530" s="1">
        <v>46002</v>
      </c>
      <c r="B2530">
        <v>3.52</v>
      </c>
    </row>
    <row r="2531" spans="1:2">
      <c r="A2531" s="1">
        <v>46003</v>
      </c>
      <c r="B2531">
        <v>3.52</v>
      </c>
    </row>
    <row r="2532" spans="1:2">
      <c r="A2532" s="1">
        <v>46006</v>
      </c>
      <c r="B2532">
        <v>3.51</v>
      </c>
    </row>
    <row r="2533" spans="1:2">
      <c r="A2533" s="1">
        <v>46007</v>
      </c>
      <c r="B2533">
        <v>3.48</v>
      </c>
    </row>
    <row r="2534" spans="1:2">
      <c r="A2534" s="1">
        <v>46008</v>
      </c>
      <c r="B2534">
        <v>3.49</v>
      </c>
    </row>
    <row r="2535" spans="1:2">
      <c r="A2535" s="1">
        <v>46009</v>
      </c>
      <c r="B2535">
        <v>3.46</v>
      </c>
    </row>
    <row r="2536" spans="1:2">
      <c r="A2536" s="1">
        <v>46010</v>
      </c>
      <c r="B2536">
        <v>3.48</v>
      </c>
    </row>
    <row r="2537" spans="1:2">
      <c r="A2537" s="1">
        <v>46013</v>
      </c>
      <c r="B2537">
        <v>3.44</v>
      </c>
    </row>
    <row r="2538" spans="1:2">
      <c r="A2538" s="1">
        <v>46014</v>
      </c>
      <c r="B2538">
        <v>3.48</v>
      </c>
    </row>
    <row r="2539" spans="1:2">
      <c r="A2539" s="1">
        <v>46015</v>
      </c>
      <c r="B2539">
        <v>3.47</v>
      </c>
    </row>
    <row r="2540" spans="1:2">
      <c r="A2540" s="1">
        <v>46016</v>
      </c>
    </row>
    <row r="2541" spans="1:2">
      <c r="A2541" s="1">
        <v>46017</v>
      </c>
      <c r="B2541">
        <v>3.46</v>
      </c>
    </row>
    <row r="2542" spans="1:2">
      <c r="A2542" s="1">
        <v>46020</v>
      </c>
      <c r="B2542">
        <v>3.45</v>
      </c>
    </row>
    <row r="2543" spans="1:2">
      <c r="A2543" s="1">
        <v>46021</v>
      </c>
      <c r="B2543">
        <v>3.45</v>
      </c>
    </row>
    <row r="2544" spans="1:2">
      <c r="A2544" s="1">
        <v>46022</v>
      </c>
      <c r="B2544">
        <v>3.47</v>
      </c>
    </row>
    <row r="2545" spans="1:2">
      <c r="A2545" s="1">
        <v>46023</v>
      </c>
    </row>
    <row r="2546" spans="1:2">
      <c r="A2546" s="1">
        <v>46024</v>
      </c>
      <c r="B2546">
        <v>3.47</v>
      </c>
    </row>
    <row r="2547" spans="1:2">
      <c r="A2547" s="1">
        <v>46027</v>
      </c>
      <c r="B2547">
        <v>3.46</v>
      </c>
    </row>
    <row r="2548" spans="1:2">
      <c r="A2548" s="1">
        <v>46028</v>
      </c>
      <c r="B2548">
        <v>3.47</v>
      </c>
    </row>
    <row r="2549" spans="1:2">
      <c r="A2549" s="1">
        <v>46029</v>
      </c>
      <c r="B2549">
        <v>3.47</v>
      </c>
    </row>
    <row r="2550" spans="1:2">
      <c r="A2550" s="1">
        <v>46030</v>
      </c>
      <c r="B2550">
        <v>3.49</v>
      </c>
    </row>
    <row r="2551" spans="1:2">
      <c r="A2551" s="1">
        <v>46031</v>
      </c>
      <c r="B2551">
        <v>3.54</v>
      </c>
    </row>
    <row r="2552" spans="1:2">
      <c r="A2552" s="1">
        <v>46034</v>
      </c>
      <c r="B2552">
        <v>3.54</v>
      </c>
    </row>
    <row r="2553" spans="1:2">
      <c r="A2553" s="1">
        <v>46035</v>
      </c>
      <c r="B2553">
        <v>3.53</v>
      </c>
    </row>
    <row r="2554" spans="1:2">
      <c r="A2554" s="1">
        <v>46036</v>
      </c>
      <c r="B2554">
        <v>3.51</v>
      </c>
    </row>
    <row r="2555" spans="1:2">
      <c r="A2555" s="1">
        <v>46037</v>
      </c>
      <c r="B2555">
        <v>3.56</v>
      </c>
    </row>
    <row r="2556" spans="1:2">
      <c r="A2556" s="1">
        <v>46038</v>
      </c>
      <c r="B2556">
        <v>3.59</v>
      </c>
    </row>
    <row r="2557" spans="1:2">
      <c r="A2557" s="1">
        <v>46041</v>
      </c>
    </row>
    <row r="2558" spans="1:2">
      <c r="A2558" s="1">
        <v>46042</v>
      </c>
      <c r="B2558">
        <v>3.6</v>
      </c>
    </row>
    <row r="2559" spans="1:2">
      <c r="A2559" s="1">
        <v>46043</v>
      </c>
      <c r="B2559">
        <v>3.6</v>
      </c>
    </row>
    <row r="2560" spans="1:2">
      <c r="A2560" s="1">
        <v>46044</v>
      </c>
      <c r="B2560">
        <v>3.61</v>
      </c>
    </row>
    <row r="2561" spans="1:2">
      <c r="A2561" s="1">
        <v>46045</v>
      </c>
      <c r="B2561">
        <v>3.6</v>
      </c>
    </row>
    <row r="2562" spans="1:2">
      <c r="A2562" s="1">
        <v>46048</v>
      </c>
      <c r="B2562">
        <v>3.56</v>
      </c>
    </row>
    <row r="2563" spans="1:2">
      <c r="A2563" s="1">
        <v>46049</v>
      </c>
      <c r="B2563">
        <v>3.53</v>
      </c>
    </row>
    <row r="2564" spans="1:2">
      <c r="A2564" s="1">
        <v>46050</v>
      </c>
      <c r="B2564">
        <v>3.56</v>
      </c>
    </row>
    <row r="2565" spans="1:2">
      <c r="A2565" s="1">
        <v>46051</v>
      </c>
      <c r="B2565">
        <v>3.53</v>
      </c>
    </row>
    <row r="2566" spans="1:2">
      <c r="A2566" s="1">
        <v>46052</v>
      </c>
      <c r="B2566">
        <v>3.52</v>
      </c>
    </row>
    <row r="2567" spans="1:2">
      <c r="A2567" s="1">
        <v>46055</v>
      </c>
      <c r="B2567">
        <v>3.57</v>
      </c>
    </row>
    <row r="2568" spans="1:2">
      <c r="A2568" s="1">
        <v>46056</v>
      </c>
      <c r="B2568">
        <v>3.57</v>
      </c>
    </row>
    <row r="2569" spans="1:2">
      <c r="A2569" s="1">
        <v>46057</v>
      </c>
      <c r="B2569">
        <v>3.57</v>
      </c>
    </row>
    <row r="2570" spans="1:2">
      <c r="A2570" s="1">
        <v>46058</v>
      </c>
      <c r="B2570">
        <v>3.47</v>
      </c>
    </row>
    <row r="2571" spans="1:2">
      <c r="A2571" s="1">
        <v>46059</v>
      </c>
      <c r="B2571">
        <v>3.5</v>
      </c>
    </row>
    <row r="2572" spans="1:2">
      <c r="A2572" s="1">
        <v>46062</v>
      </c>
      <c r="B2572">
        <v>3.48</v>
      </c>
    </row>
    <row r="2573" spans="1:2">
      <c r="A2573" s="1">
        <v>46063</v>
      </c>
      <c r="B2573">
        <v>3.45</v>
      </c>
    </row>
    <row r="2574" spans="1:2">
      <c r="A2574" s="1">
        <v>46064</v>
      </c>
      <c r="B2574">
        <v>3.52</v>
      </c>
    </row>
    <row r="2575" spans="1:2">
      <c r="A2575" s="1">
        <v>46065</v>
      </c>
      <c r="B2575">
        <v>3.47</v>
      </c>
    </row>
    <row r="2576" spans="1:2">
      <c r="A2576" s="1">
        <v>46066</v>
      </c>
      <c r="B2576">
        <v>3.4</v>
      </c>
    </row>
    <row r="2577" spans="1:2">
      <c r="A2577" s="1">
        <v>46069</v>
      </c>
    </row>
    <row r="2578" spans="1:2">
      <c r="A2578" s="1">
        <v>46070</v>
      </c>
      <c r="B2578">
        <v>3.43</v>
      </c>
    </row>
    <row r="2579" spans="1:2">
      <c r="A2579" s="1">
        <v>46071</v>
      </c>
      <c r="B2579">
        <v>3.47</v>
      </c>
    </row>
    <row r="2580" spans="1:2">
      <c r="A2580" s="1">
        <v>46072</v>
      </c>
      <c r="B2580">
        <v>3.47</v>
      </c>
    </row>
    <row r="2581" spans="1:2">
      <c r="A2581" s="1">
        <v>46073</v>
      </c>
      <c r="B2581">
        <v>3.48</v>
      </c>
    </row>
    <row r="2582" spans="1:2">
      <c r="A2582" s="1">
        <v>46076</v>
      </c>
      <c r="B2582">
        <v>3.43</v>
      </c>
    </row>
    <row r="2583" spans="1:2">
      <c r="A2583" s="1">
        <v>46077</v>
      </c>
      <c r="B2583">
        <v>3.43</v>
      </c>
    </row>
    <row r="2584" spans="1:2">
      <c r="A2584" s="1">
        <v>46078</v>
      </c>
      <c r="B2584">
        <v>3.45</v>
      </c>
    </row>
    <row r="2585" spans="1:2">
      <c r="A2585" s="1">
        <v>46079</v>
      </c>
      <c r="B2585">
        <v>3.42</v>
      </c>
    </row>
    <row r="2586" spans="1:2">
      <c r="A2586" s="1">
        <v>46080</v>
      </c>
      <c r="B2586">
        <v>3.38</v>
      </c>
    </row>
    <row r="2587" spans="1:2">
      <c r="A2587" s="1">
        <v>46083</v>
      </c>
      <c r="B2587">
        <v>3.47</v>
      </c>
    </row>
    <row r="2588" spans="1:2">
      <c r="A2588" s="1">
        <v>46084</v>
      </c>
      <c r="B2588">
        <v>3.51</v>
      </c>
    </row>
    <row r="2589" spans="1:2">
      <c r="A2589" s="1">
        <v>46085</v>
      </c>
      <c r="B2589">
        <v>3.54</v>
      </c>
    </row>
    <row r="2590" spans="1:2">
      <c r="A2590" s="1">
        <v>46086</v>
      </c>
      <c r="B2590">
        <v>3.57</v>
      </c>
    </row>
    <row r="2591" spans="1:2">
      <c r="A2591" s="1">
        <v>46087</v>
      </c>
      <c r="B2591">
        <v>3.56</v>
      </c>
    </row>
    <row r="2592" spans="1:2">
      <c r="A2592" s="1">
        <v>46090</v>
      </c>
      <c r="B2592">
        <v>3.56</v>
      </c>
    </row>
    <row r="2593" spans="1:2">
      <c r="A2593" s="1">
        <v>46091</v>
      </c>
      <c r="B2593">
        <v>3.57</v>
      </c>
    </row>
    <row r="2594" spans="1:2">
      <c r="A2594" s="1">
        <v>46092</v>
      </c>
      <c r="B2594">
        <v>3.64</v>
      </c>
    </row>
    <row r="2595" spans="1:2">
      <c r="A2595" s="1">
        <v>46093</v>
      </c>
      <c r="B2595">
        <v>3.76</v>
      </c>
    </row>
    <row r="2596" spans="1:2">
      <c r="A2596" s="1">
        <v>46094</v>
      </c>
      <c r="B2596">
        <v>3.73</v>
      </c>
    </row>
    <row r="2597" spans="1:2">
      <c r="A2597" s="1">
        <v>46097</v>
      </c>
      <c r="B2597">
        <v>3.68</v>
      </c>
    </row>
    <row r="2598" spans="1:2">
      <c r="A2598" s="1">
        <v>46098</v>
      </c>
      <c r="B2598">
        <v>3.68</v>
      </c>
    </row>
    <row r="2599" spans="1:2">
      <c r="A2599" s="1">
        <v>46099</v>
      </c>
      <c r="B2599">
        <v>3.76</v>
      </c>
    </row>
    <row r="2600" spans="1:2">
      <c r="A2600" s="1">
        <v>46100</v>
      </c>
      <c r="B2600">
        <v>3.79</v>
      </c>
    </row>
    <row r="2601" spans="1:2">
      <c r="A2601" s="1">
        <v>46101</v>
      </c>
      <c r="B2601">
        <v>3.88</v>
      </c>
    </row>
    <row r="2602" spans="1:2">
      <c r="A2602" s="1">
        <v>46104</v>
      </c>
      <c r="B2602">
        <v>3.83</v>
      </c>
    </row>
    <row r="2603" spans="1:2">
      <c r="A2603" s="1">
        <v>46105</v>
      </c>
      <c r="B2603">
        <v>3.9</v>
      </c>
    </row>
    <row r="2604" spans="1:2">
      <c r="A2604" s="1">
        <v>46106</v>
      </c>
      <c r="B2604">
        <v>3.84</v>
      </c>
    </row>
    <row r="2605" spans="1:2">
      <c r="A2605" s="1">
        <v>46107</v>
      </c>
      <c r="B2605">
        <v>3.96</v>
      </c>
    </row>
    <row r="2606" spans="1:2">
      <c r="A2606" s="1">
        <v>46108</v>
      </c>
      <c r="B2606">
        <v>3.88</v>
      </c>
    </row>
    <row r="2607" spans="1:2">
      <c r="A2607" s="1">
        <v>46111</v>
      </c>
      <c r="B2607">
        <v>3.82</v>
      </c>
    </row>
    <row r="2608" spans="1:2">
      <c r="A2608" s="1">
        <v>46112</v>
      </c>
      <c r="B2608">
        <v>3.79</v>
      </c>
    </row>
    <row r="2609" spans="1:2">
      <c r="A2609" s="1">
        <v>46113</v>
      </c>
      <c r="B2609">
        <v>3.81</v>
      </c>
    </row>
    <row r="2610" spans="1:2">
      <c r="A2610" s="1">
        <v>46114</v>
      </c>
      <c r="B2610">
        <v>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SP500</vt:lpstr>
      <vt:lpstr>CRUDE OIL PRICES</vt:lpstr>
      <vt:lpstr>VIX</vt:lpstr>
      <vt:lpstr>DGS10</vt:lpstr>
      <vt:lpstr>T10Y3M</vt:lpstr>
      <vt:lpstr>BAMLC0A4CBBB</vt:lpstr>
      <vt:lpstr>CPIAUCSL</vt:lpstr>
      <vt:lpstr>DFF</vt:lpstr>
      <vt:lpstr>DGS2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</dc:creator>
  <cp:lastModifiedBy>Supreeth Sundaresh Athreyas (Student)</cp:lastModifiedBy>
  <dcterms:created xsi:type="dcterms:W3CDTF">2026-04-04T18:57:20Z</dcterms:created>
  <dcterms:modified xsi:type="dcterms:W3CDTF">2026-04-15T04:37:23Z</dcterms:modified>
</cp:coreProperties>
</file>